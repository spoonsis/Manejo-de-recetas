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0" documentId="8_{3037F8FE-7687-4497-81CA-1DB42EFF758C}" xr6:coauthVersionLast="47" xr6:coauthVersionMax="47" xr10:uidLastSave="{00000000-0000-0000-0000-000000000000}"/>
  <bookViews>
    <workbookView xWindow="-120" yWindow="-120" windowWidth="20730" windowHeight="11040" tabRatio="890" firstSheet="3" activeTab="3" xr2:uid="{7AECBC5B-B104-4132-A7A2-DB5EAA263F12}"/>
  </bookViews>
  <sheets>
    <sheet name="Ensamble Industria " sheetId="3" state="hidden" r:id="rId1"/>
    <sheet name="cOSTO" sheetId="13" state="hidden" r:id="rId2"/>
    <sheet name="Ensamble Locales" sheetId="12" state="hidden" r:id="rId3"/>
    <sheet name="Ensamble Locales 2" sheetId="15" r:id="rId4"/>
    <sheet name="Rosquete Chocolate " sheetId="4" state="hidden" r:id="rId5"/>
    <sheet name="Batido" sheetId="5" state="hidden" r:id="rId6"/>
    <sheet name="Premezcla " sheetId="6" state="hidden" r:id="rId7"/>
    <sheet name="Trasvasado leche condensada coc" sheetId="7" state="hidden" r:id="rId8"/>
    <sheet name="Leche cond coci Dura" sheetId="8" state="hidden" r:id="rId9"/>
    <sheet name="Crema Chant Verde" sheetId="9" state="hidden" r:id="rId10"/>
    <sheet name="Crema Chant Blanca" sheetId="10" state="hidden" r:id="rId11"/>
    <sheet name="Ganache choco oscuro" sheetId="11" state="hidden" r:id="rId12"/>
    <sheet name="COSTO " sheetId="2" state="hidden" r:id="rId13"/>
  </sheets>
  <externalReferences>
    <externalReference r:id="rId14"/>
    <externalReference r:id="rId15"/>
    <externalReference r:id="rId16"/>
    <externalReference r:id="rId17"/>
    <externalReference r:id="rId18"/>
  </externalReferences>
  <definedNames>
    <definedName name="_xlnm.Print_Area" localSheetId="0">'Ensamble Industria '!$A$1:$I$57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5" i="13" l="1"/>
  <c r="D76" i="13" s="1"/>
  <c r="D78" i="13" s="1"/>
  <c r="C75" i="13"/>
  <c r="C87" i="13" s="1"/>
  <c r="D73" i="13"/>
  <c r="D71" i="13"/>
  <c r="F67" i="13"/>
  <c r="D62" i="13"/>
  <c r="D87" i="13" s="1"/>
  <c r="D88" i="13" s="1"/>
  <c r="E53" i="13"/>
  <c r="F53" i="13" s="1"/>
  <c r="C53" i="13"/>
  <c r="E52" i="13"/>
  <c r="D52" i="13"/>
  <c r="B52" i="13"/>
  <c r="E51" i="13"/>
  <c r="D51" i="13"/>
  <c r="B51" i="13"/>
  <c r="E50" i="13"/>
  <c r="D50" i="13"/>
  <c r="B50" i="13"/>
  <c r="E43" i="13"/>
  <c r="F43" i="13" s="1"/>
  <c r="D43" i="13"/>
  <c r="C43" i="13"/>
  <c r="B43" i="13"/>
  <c r="A43" i="13"/>
  <c r="A52" i="13" s="1"/>
  <c r="C52" i="13" s="1"/>
  <c r="E42" i="13"/>
  <c r="F42" i="13" s="1"/>
  <c r="D42" i="13"/>
  <c r="B42" i="13"/>
  <c r="A42" i="13"/>
  <c r="C42" i="13" s="1"/>
  <c r="E41" i="13"/>
  <c r="D41" i="13"/>
  <c r="B41" i="13"/>
  <c r="A41" i="13"/>
  <c r="C41" i="13" s="1"/>
  <c r="A40" i="13"/>
  <c r="A49" i="13" s="1"/>
  <c r="C49" i="13" s="1"/>
  <c r="F49" i="13" s="1"/>
  <c r="A39" i="13"/>
  <c r="C39" i="13" s="1"/>
  <c r="F39" i="13" s="1"/>
  <c r="A38" i="13"/>
  <c r="A47" i="13" s="1"/>
  <c r="C47" i="13" s="1"/>
  <c r="F47" i="13" s="1"/>
  <c r="A37" i="13"/>
  <c r="A46" i="13" s="1"/>
  <c r="C46" i="13" s="1"/>
  <c r="F46" i="13" s="1"/>
  <c r="E34" i="13"/>
  <c r="F34" i="13" s="1"/>
  <c r="D34" i="13"/>
  <c r="C34" i="13"/>
  <c r="B34" i="13"/>
  <c r="E33" i="13"/>
  <c r="F33" i="13" s="1"/>
  <c r="D33" i="13"/>
  <c r="C33" i="13"/>
  <c r="B33" i="13"/>
  <c r="E32" i="13"/>
  <c r="F32" i="13" s="1"/>
  <c r="D32" i="13"/>
  <c r="C32" i="13"/>
  <c r="B32" i="13"/>
  <c r="E31" i="13"/>
  <c r="F31" i="13" s="1"/>
  <c r="D31" i="13"/>
  <c r="C31" i="13"/>
  <c r="B31" i="13"/>
  <c r="E30" i="13"/>
  <c r="F30" i="13" s="1"/>
  <c r="D30" i="13"/>
  <c r="C30" i="13"/>
  <c r="B30" i="13"/>
  <c r="E29" i="13"/>
  <c r="F29" i="13" s="1"/>
  <c r="C29" i="13"/>
  <c r="B29" i="13"/>
  <c r="E28" i="13"/>
  <c r="D28" i="13"/>
  <c r="C28" i="13"/>
  <c r="B28" i="13"/>
  <c r="C27" i="13"/>
  <c r="F27" i="13" s="1"/>
  <c r="E24" i="13"/>
  <c r="F24" i="13" s="1"/>
  <c r="D24" i="13"/>
  <c r="C24" i="13"/>
  <c r="B24" i="13"/>
  <c r="E23" i="13"/>
  <c r="F23" i="13" s="1"/>
  <c r="D23" i="13"/>
  <c r="C23" i="13"/>
  <c r="B23" i="13"/>
  <c r="E22" i="13"/>
  <c r="F22" i="13" s="1"/>
  <c r="D22" i="13"/>
  <c r="C22" i="13"/>
  <c r="B22" i="13"/>
  <c r="E21" i="13"/>
  <c r="F21" i="13" s="1"/>
  <c r="D21" i="13"/>
  <c r="C21" i="13"/>
  <c r="B21" i="13"/>
  <c r="C20" i="13"/>
  <c r="F20" i="13" s="1"/>
  <c r="C19" i="13"/>
  <c r="F19" i="13" s="1"/>
  <c r="C18" i="13"/>
  <c r="F18" i="13" s="1"/>
  <c r="C17" i="13"/>
  <c r="F17" i="13" s="1"/>
  <c r="B15" i="13"/>
  <c r="E14" i="13"/>
  <c r="D14" i="13"/>
  <c r="C14" i="13"/>
  <c r="B14" i="13"/>
  <c r="E13" i="13"/>
  <c r="F13" i="13" s="1"/>
  <c r="D13" i="13"/>
  <c r="C13" i="13"/>
  <c r="B13" i="13"/>
  <c r="E12" i="13"/>
  <c r="D12" i="13"/>
  <c r="C12" i="13"/>
  <c r="B12" i="13"/>
  <c r="E11" i="13"/>
  <c r="F11" i="13" s="1"/>
  <c r="D11" i="13"/>
  <c r="C11" i="13"/>
  <c r="B11" i="13"/>
  <c r="F10" i="13"/>
  <c r="C10" i="13"/>
  <c r="C9" i="13"/>
  <c r="F9" i="13" s="1"/>
  <c r="F8" i="13"/>
  <c r="C8" i="13"/>
  <c r="H6" i="13"/>
  <c r="A53" i="7"/>
  <c r="G10" i="7"/>
  <c r="D41" i="4"/>
  <c r="J10" i="4" s="1"/>
  <c r="D45" i="3"/>
  <c r="F12" i="13" l="1"/>
  <c r="F28" i="13"/>
  <c r="F14" i="13"/>
  <c r="F52" i="13"/>
  <c r="F41" i="13"/>
  <c r="E87" i="13"/>
  <c r="A48" i="13"/>
  <c r="C48" i="13" s="1"/>
  <c r="F48" i="13" s="1"/>
  <c r="D83" i="13"/>
  <c r="A51" i="13"/>
  <c r="C51" i="13" s="1"/>
  <c r="F51" i="13" s="1"/>
  <c r="E75" i="13"/>
  <c r="D85" i="13"/>
  <c r="C37" i="13"/>
  <c r="F37" i="13" s="1"/>
  <c r="C40" i="13"/>
  <c r="F40" i="13" s="1"/>
  <c r="C38" i="13"/>
  <c r="F38" i="13" s="1"/>
  <c r="A50" i="13"/>
  <c r="C50" i="13" s="1"/>
  <c r="F50" i="13" s="1"/>
  <c r="B28" i="2"/>
  <c r="C28" i="2"/>
  <c r="D28" i="2"/>
  <c r="C29" i="2"/>
  <c r="B30" i="2"/>
  <c r="C30" i="2"/>
  <c r="D30" i="2"/>
  <c r="E30" i="2"/>
  <c r="F30" i="2" s="1"/>
  <c r="E17" i="2"/>
  <c r="F17" i="2" s="1"/>
  <c r="E47" i="2"/>
  <c r="F47" i="2" s="1"/>
  <c r="D76" i="2"/>
  <c r="D77" i="2"/>
  <c r="D79" i="2"/>
  <c r="D74" i="2"/>
  <c r="D72" i="2"/>
  <c r="F68" i="2"/>
  <c r="E54" i="2"/>
  <c r="D63" i="2"/>
  <c r="D84" i="2"/>
  <c r="C54" i="2"/>
  <c r="E53" i="2"/>
  <c r="F53" i="2" s="1"/>
  <c r="D53" i="2"/>
  <c r="B53" i="2"/>
  <c r="E52" i="2"/>
  <c r="F52" i="2" s="1"/>
  <c r="D52" i="2"/>
  <c r="B52" i="2"/>
  <c r="E51" i="2"/>
  <c r="F51" i="2" s="1"/>
  <c r="D51" i="2"/>
  <c r="B51" i="2"/>
  <c r="E44" i="2"/>
  <c r="F44" i="2" s="1"/>
  <c r="D44" i="2"/>
  <c r="B44" i="2"/>
  <c r="A44" i="2"/>
  <c r="A53" i="2"/>
  <c r="C53" i="2"/>
  <c r="E43" i="2"/>
  <c r="F43" i="2" s="1"/>
  <c r="D43" i="2"/>
  <c r="B43" i="2"/>
  <c r="A43" i="2"/>
  <c r="C43" i="2"/>
  <c r="E42" i="2"/>
  <c r="F42" i="2" s="1"/>
  <c r="D42" i="2"/>
  <c r="B42" i="2"/>
  <c r="A42" i="2"/>
  <c r="C42" i="2"/>
  <c r="A41" i="2"/>
  <c r="A50" i="2"/>
  <c r="C50" i="2"/>
  <c r="A40" i="2"/>
  <c r="A49" i="2"/>
  <c r="C49" i="2"/>
  <c r="A39" i="2"/>
  <c r="C39" i="2"/>
  <c r="A38" i="2"/>
  <c r="C38" i="2"/>
  <c r="E35" i="2"/>
  <c r="F35" i="2" s="1"/>
  <c r="D35" i="2"/>
  <c r="C35" i="2"/>
  <c r="B35" i="2"/>
  <c r="E34" i="2"/>
  <c r="F34" i="2" s="1"/>
  <c r="D34" i="2"/>
  <c r="C34" i="2"/>
  <c r="B34" i="2"/>
  <c r="E33" i="2"/>
  <c r="F33" i="2" s="1"/>
  <c r="D33" i="2"/>
  <c r="C33" i="2"/>
  <c r="B33" i="2"/>
  <c r="D32" i="2"/>
  <c r="C32" i="2"/>
  <c r="B32" i="2"/>
  <c r="E31" i="2"/>
  <c r="F31" i="2" s="1"/>
  <c r="D31" i="2"/>
  <c r="C31" i="2"/>
  <c r="B31" i="2"/>
  <c r="C27" i="2"/>
  <c r="E24" i="2"/>
  <c r="F24" i="2" s="1"/>
  <c r="D24" i="2"/>
  <c r="C24" i="2"/>
  <c r="B24" i="2"/>
  <c r="E23" i="2"/>
  <c r="F23" i="2" s="1"/>
  <c r="D23" i="2"/>
  <c r="C23" i="2"/>
  <c r="B23" i="2"/>
  <c r="E22" i="2"/>
  <c r="F22" i="2" s="1"/>
  <c r="D22" i="2"/>
  <c r="C22" i="2"/>
  <c r="B22" i="2"/>
  <c r="E21" i="2"/>
  <c r="F21" i="2" s="1"/>
  <c r="D21" i="2"/>
  <c r="C21" i="2"/>
  <c r="B21" i="2"/>
  <c r="C20" i="2"/>
  <c r="F19" i="2"/>
  <c r="C19" i="2"/>
  <c r="C18" i="2"/>
  <c r="C17" i="2"/>
  <c r="B15" i="2"/>
  <c r="E14" i="2"/>
  <c r="F14" i="2" s="1"/>
  <c r="D14" i="2"/>
  <c r="C14" i="2"/>
  <c r="B14" i="2"/>
  <c r="E13" i="2"/>
  <c r="F13" i="2" s="1"/>
  <c r="D13" i="2"/>
  <c r="C13" i="2"/>
  <c r="B13" i="2"/>
  <c r="E12" i="2"/>
  <c r="F12" i="2" s="1"/>
  <c r="D12" i="2"/>
  <c r="C12" i="2"/>
  <c r="B12" i="2"/>
  <c r="E11" i="2"/>
  <c r="F11" i="2" s="1"/>
  <c r="D11" i="2"/>
  <c r="C11" i="2"/>
  <c r="B11" i="2"/>
  <c r="E10" i="2"/>
  <c r="F10" i="2" s="1"/>
  <c r="D10" i="2"/>
  <c r="C10" i="2"/>
  <c r="B10" i="2"/>
  <c r="D9" i="2"/>
  <c r="C9" i="2"/>
  <c r="B9" i="2"/>
  <c r="C8" i="2"/>
  <c r="H6" i="2"/>
  <c r="F28" i="2"/>
  <c r="F29" i="2"/>
  <c r="F54" i="2"/>
  <c r="D86" i="2"/>
  <c r="F27" i="2"/>
  <c r="F32" i="2"/>
  <c r="C40" i="2"/>
  <c r="F40" i="2"/>
  <c r="C44" i="2"/>
  <c r="A47" i="2"/>
  <c r="C47" i="2"/>
  <c r="D88" i="2"/>
  <c r="D89" i="2"/>
  <c r="A51" i="2"/>
  <c r="C51" i="2"/>
  <c r="C41" i="2"/>
  <c r="F41" i="2"/>
  <c r="F20" i="2"/>
  <c r="F50" i="2"/>
  <c r="F9" i="2"/>
  <c r="F49" i="2"/>
  <c r="F18" i="2"/>
  <c r="F8" i="2"/>
  <c r="F39" i="2"/>
  <c r="A48" i="2"/>
  <c r="C48" i="2"/>
  <c r="F48" i="2"/>
  <c r="A52" i="2"/>
  <c r="C52" i="2"/>
  <c r="C76" i="2"/>
  <c r="C88" i="2"/>
  <c r="E88" i="2"/>
  <c r="E76" i="2"/>
  <c r="E38" i="2"/>
  <c r="F38" i="2" s="1"/>
  <c r="F55" i="13" l="1"/>
  <c r="F66" i="13" s="1"/>
  <c r="F58" i="13"/>
  <c r="F56" i="13"/>
  <c r="F59" i="2"/>
  <c r="H59" i="2" s="1"/>
  <c r="F56" i="2"/>
  <c r="F57" i="2"/>
  <c r="F57" i="13" l="1"/>
  <c r="F65" i="13" s="1"/>
  <c r="C71" i="13"/>
  <c r="E71" i="13" s="1"/>
  <c r="H55" i="13"/>
  <c r="F2" i="13" s="1"/>
  <c r="C78" i="13"/>
  <c r="E78" i="13" s="1"/>
  <c r="H56" i="13"/>
  <c r="G2" i="13" s="1"/>
  <c r="H58" i="13"/>
  <c r="C76" i="13"/>
  <c r="C77" i="2"/>
  <c r="E77" i="2" s="1"/>
  <c r="F67" i="2"/>
  <c r="F58" i="2"/>
  <c r="H56" i="2"/>
  <c r="F2" i="2" s="1"/>
  <c r="C72" i="2"/>
  <c r="C79" i="2"/>
  <c r="E79" i="2" s="1"/>
  <c r="H57" i="2"/>
  <c r="G2" i="2" s="1"/>
  <c r="O58" i="2"/>
  <c r="H61" i="2"/>
  <c r="H62" i="2" s="1"/>
  <c r="O61" i="2" s="1"/>
  <c r="H2" i="2"/>
  <c r="O56" i="13" l="1"/>
  <c r="O58" i="13" s="1"/>
  <c r="H57" i="13"/>
  <c r="C83" i="13"/>
  <c r="E83" i="13" s="1"/>
  <c r="C89" i="2"/>
  <c r="E89" i="2" s="1"/>
  <c r="H2" i="13"/>
  <c r="O57" i="13"/>
  <c r="H60" i="13"/>
  <c r="H61" i="13" s="1"/>
  <c r="O60" i="13" s="1"/>
  <c r="C88" i="13"/>
  <c r="E88" i="13" s="1"/>
  <c r="E76" i="13"/>
  <c r="E80" i="13" s="1"/>
  <c r="C73" i="13"/>
  <c r="E65" i="13"/>
  <c r="F68" i="13"/>
  <c r="G65" i="13" s="1"/>
  <c r="C84" i="2"/>
  <c r="E84" i="2" s="1"/>
  <c r="E72" i="2"/>
  <c r="E81" i="2" s="1"/>
  <c r="F66" i="2"/>
  <c r="H58" i="2"/>
  <c r="O57" i="2"/>
  <c r="O59" i="13" l="1"/>
  <c r="O61" i="13" s="1"/>
  <c r="O62" i="13" s="1"/>
  <c r="O63" i="13" s="1"/>
  <c r="O64" i="13" s="1"/>
  <c r="G68" i="13"/>
  <c r="G11" i="13"/>
  <c r="G39" i="13"/>
  <c r="G67" i="13"/>
  <c r="G28" i="13"/>
  <c r="G29" i="13"/>
  <c r="G13" i="13"/>
  <c r="G10" i="13"/>
  <c r="G31" i="13"/>
  <c r="G17" i="13"/>
  <c r="G24" i="13"/>
  <c r="G32" i="13"/>
  <c r="G47" i="13"/>
  <c r="G9" i="13"/>
  <c r="G33" i="13"/>
  <c r="G22" i="13"/>
  <c r="G19" i="13"/>
  <c r="G46" i="13"/>
  <c r="G34" i="13"/>
  <c r="G8" i="13"/>
  <c r="G27" i="13"/>
  <c r="G42" i="13"/>
  <c r="G12" i="13"/>
  <c r="G21" i="13"/>
  <c r="G23" i="13"/>
  <c r="G30" i="13"/>
  <c r="G53" i="13"/>
  <c r="G20" i="13"/>
  <c r="G49" i="13"/>
  <c r="G43" i="13"/>
  <c r="G18" i="13"/>
  <c r="G14" i="13"/>
  <c r="G48" i="13"/>
  <c r="G40" i="13"/>
  <c r="G41" i="13"/>
  <c r="G51" i="13"/>
  <c r="G38" i="13"/>
  <c r="G55" i="13"/>
  <c r="G37" i="13"/>
  <c r="G50" i="13"/>
  <c r="G52" i="13"/>
  <c r="G66" i="13"/>
  <c r="G56" i="13"/>
  <c r="G57" i="13"/>
  <c r="G58" i="13"/>
  <c r="C85" i="13"/>
  <c r="E85" i="13" s="1"/>
  <c r="E73" i="13"/>
  <c r="O59" i="2"/>
  <c r="O60" i="2" s="1"/>
  <c r="O62" i="2" s="1"/>
  <c r="C74" i="2"/>
  <c r="F69" i="2"/>
  <c r="G66" i="2" s="1"/>
  <c r="E66" i="2"/>
  <c r="P64" i="13" l="1"/>
  <c r="E2" i="13"/>
  <c r="C86" i="2"/>
  <c r="E86" i="2" s="1"/>
  <c r="E74" i="2"/>
  <c r="O63" i="2"/>
  <c r="O64" i="2" s="1"/>
  <c r="O65" i="2" s="1"/>
  <c r="G54" i="2"/>
  <c r="G41" i="2"/>
  <c r="G50" i="2"/>
  <c r="G30" i="2"/>
  <c r="G42" i="2"/>
  <c r="G18" i="2"/>
  <c r="G48" i="2"/>
  <c r="G29" i="2"/>
  <c r="G9" i="2"/>
  <c r="G8" i="2"/>
  <c r="G32" i="2"/>
  <c r="G69" i="2"/>
  <c r="G68" i="2"/>
  <c r="G19" i="2"/>
  <c r="G40" i="2"/>
  <c r="G53" i="2"/>
  <c r="G27" i="2"/>
  <c r="G20" i="2"/>
  <c r="G47" i="2"/>
  <c r="G49" i="2"/>
  <c r="G52" i="2"/>
  <c r="G28" i="2"/>
  <c r="G35" i="2"/>
  <c r="G14" i="2"/>
  <c r="G17" i="2"/>
  <c r="G39" i="2"/>
  <c r="G44" i="2"/>
  <c r="G43" i="2"/>
  <c r="G21" i="2"/>
  <c r="G10" i="2"/>
  <c r="G59" i="2"/>
  <c r="G31" i="2"/>
  <c r="G23" i="2"/>
  <c r="G12" i="2"/>
  <c r="G34" i="2"/>
  <c r="G11" i="2"/>
  <c r="G22" i="2"/>
  <c r="G38" i="2"/>
  <c r="G13" i="2"/>
  <c r="G24" i="2"/>
  <c r="G33" i="2"/>
  <c r="G51" i="2"/>
  <c r="G57" i="2"/>
  <c r="G56" i="2"/>
  <c r="G58" i="2"/>
  <c r="G67" i="2"/>
  <c r="P65" i="2" l="1"/>
  <c r="E2" i="2"/>
</calcChain>
</file>

<file path=xl/sharedStrings.xml><?xml version="1.0" encoding="utf-8"?>
<sst xmlns="http://schemas.openxmlformats.org/spreadsheetml/2006/main" count="1235" uniqueCount="326">
  <si>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</si>
  <si>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</si>
  <si>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</si>
  <si>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</si>
  <si>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</si>
  <si>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</si>
  <si>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</si>
  <si>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</si>
  <si>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</si>
  <si>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</si>
  <si>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</si>
  <si>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</si>
  <si>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</si>
  <si>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</si>
  <si>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</si>
  <si>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</si>
  <si>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</si>
  <si>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</si>
  <si>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NESTLÉ</t>
  </si>
  <si>
    <t>g</t>
  </si>
  <si>
    <t>FAS</t>
  </si>
  <si>
    <t>1210461</t>
  </si>
  <si>
    <t>ud</t>
  </si>
  <si>
    <t>EMPAQUE</t>
  </si>
  <si>
    <t>ETIQ. GENERICA PEQUEÑA V-274 (UND)</t>
  </si>
  <si>
    <t>ETIQ.FECHA VENCIMIENTO BLANCO (ROLLO)</t>
  </si>
  <si>
    <t>Etiplast</t>
  </si>
  <si>
    <t>ETIQUETA BLANCA 2 5/8X1 15/16 (UND)</t>
  </si>
  <si>
    <t>1</t>
  </si>
  <si>
    <t xml:space="preserve">ETIQUETA SELLO DE SEGURIDAD (ROLLO:1000 U) </t>
  </si>
  <si>
    <t>1950699</t>
  </si>
  <si>
    <t>BASE PARA ROSQUETE (UND)</t>
  </si>
  <si>
    <t>ETIQUETA BLANCA R-153 (UND)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</si>
  <si>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</si>
  <si>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</si>
  <si>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</si>
  <si>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</si>
  <si>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</si>
  <si>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</si>
  <si>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</si>
  <si>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</si>
  <si>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</si>
  <si>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</si>
  <si>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</si>
  <si>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</si>
  <si>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2</t>
  </si>
  <si>
    <t>11400066</t>
  </si>
  <si>
    <t>MANJAR LECHE CONDENSADA (PAQ: 6 K)</t>
  </si>
  <si>
    <t>20100163</t>
  </si>
  <si>
    <t>RELLENO FUDGE SPOON (PAQ: 5000 G)</t>
  </si>
  <si>
    <t>51400047</t>
  </si>
  <si>
    <t>QUEQUERA MINI CAKE (CAJA:100 UND)</t>
  </si>
  <si>
    <t xml:space="preserve">M Y L </t>
  </si>
  <si>
    <t>MP10007</t>
  </si>
  <si>
    <t>EM10288</t>
  </si>
  <si>
    <t>EM10119</t>
  </si>
  <si>
    <t>EM10004</t>
  </si>
  <si>
    <t>EM10011</t>
  </si>
  <si>
    <t>EM10135</t>
  </si>
  <si>
    <t>EM10035</t>
  </si>
  <si>
    <t>EM10124</t>
  </si>
  <si>
    <t>902000149</t>
  </si>
  <si>
    <t>90100365</t>
  </si>
  <si>
    <t>SE00386</t>
  </si>
  <si>
    <t>TRASVASADO DE LECHE CONDENSADA COCINADA</t>
  </si>
  <si>
    <t xml:space="preserve">ROSQUETE CHOCOLATE DAWN 100g </t>
  </si>
  <si>
    <t>PROCESADO CHOCOLATE RALLADO OSCURO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</si>
  <si>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</si>
  <si>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</si>
  <si>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</si>
  <si>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</si>
  <si>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</si>
  <si>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</si>
  <si>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</si>
  <si>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</si>
  <si>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</si>
  <si>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</si>
  <si>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</si>
  <si>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</si>
  <si>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</si>
  <si>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</si>
  <si>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</si>
  <si>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</si>
  <si>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</si>
  <si>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</si>
  <si>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</si>
  <si>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</si>
  <si>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</si>
  <si>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</si>
  <si>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</si>
  <si>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</si>
  <si>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</si>
  <si>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</si>
  <si>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</si>
  <si>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</si>
  <si>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</si>
  <si>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</si>
  <si>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</si>
  <si>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</si>
  <si>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</si>
  <si>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</si>
  <si>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</si>
  <si>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</si>
  <si>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</si>
  <si>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</si>
  <si>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</si>
  <si>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</si>
  <si>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</si>
  <si>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</si>
  <si>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</si>
  <si>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</si>
  <si>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</si>
  <si>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</si>
  <si>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</si>
  <si>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</si>
  <si>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</si>
  <si>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</si>
  <si>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</si>
  <si>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Gramos </t>
  </si>
  <si>
    <t xml:space="preserve">UND </t>
  </si>
  <si>
    <t>NUEVO</t>
  </si>
  <si>
    <t>0702077</t>
  </si>
  <si>
    <t>0702007</t>
  </si>
  <si>
    <t>0702123</t>
  </si>
  <si>
    <t>702174</t>
  </si>
  <si>
    <t>701096</t>
  </si>
  <si>
    <t>Und</t>
  </si>
  <si>
    <t>Esteban Cartin, Gte Manufactura</t>
  </si>
  <si>
    <t>Figuras</t>
  </si>
  <si>
    <t># Código Netsuite</t>
  </si>
  <si>
    <t>Ensamble</t>
  </si>
  <si>
    <t>Decoración</t>
  </si>
  <si>
    <t/>
  </si>
  <si>
    <t>Empaque</t>
  </si>
  <si>
    <t>CONTROL DE CAMBIOS</t>
  </si>
  <si>
    <r>
      <rPr>
        <b/>
        <sz val="12"/>
        <rFont val="Century Gothic"/>
        <family val="2"/>
      </rPr>
      <t xml:space="preserve">1.- </t>
    </r>
    <r>
      <rPr>
        <sz val="12"/>
        <rFont val="Century Gothic"/>
        <family val="2"/>
      </rPr>
      <t>Cortar el mini cake por la mitad (eliminado la punta para nivelar) , rellenar con leche condensad cocinada. Hacer un circulo de manjar sobre la base para inmobilizar el quequito. Pegar el mini cake en la base.</t>
    </r>
  </si>
  <si>
    <t>SE00700</t>
  </si>
  <si>
    <t xml:space="preserve">ROSQUETE CHOCOLATE DAWN 120g </t>
  </si>
  <si>
    <t>SE00457</t>
  </si>
  <si>
    <t>Crema verde Electrico</t>
  </si>
  <si>
    <t>SE00458</t>
  </si>
  <si>
    <t>SE00001</t>
  </si>
  <si>
    <t>Ganache Chocolate Oscuro</t>
  </si>
  <si>
    <t>Ojos</t>
  </si>
  <si>
    <t>Mariela Barrantes Sánchez, Chef</t>
  </si>
  <si>
    <t xml:space="preserve">Colocho BOQUILLA#234 </t>
  </si>
  <si>
    <t>2 unidades</t>
  </si>
  <si>
    <t xml:space="preserve">Confitura Hallowen </t>
  </si>
  <si>
    <r>
      <rPr>
        <b/>
        <sz val="12"/>
        <rFont val="Century Gothic"/>
        <family val="2"/>
      </rPr>
      <t>2.-</t>
    </r>
    <r>
      <rPr>
        <sz val="12"/>
        <rFont val="Century Gothic"/>
        <family val="2"/>
      </rPr>
      <t xml:space="preserve"> Con manga y la boquilla cubrir el rosquete con la chantilly verde,  de manera que se cubran todas la paredes hasta llegar al borde,decorar las paredes y alisando la parte superior </t>
    </r>
  </si>
  <si>
    <t xml:space="preserve">Colocho BOQUILLA#48 </t>
  </si>
  <si>
    <t xml:space="preserve">3. Colocar el ganache en el centro con ayuda de una bolsa, realizar el colocho con la boquilla#234, en todo el borde hacia los lados de manera irregular. </t>
  </si>
  <si>
    <t xml:space="preserve">4.Poner dos ojos y la confitura de hallowen. </t>
  </si>
  <si>
    <t xml:space="preserve">5, Tapar y etiquetar </t>
  </si>
  <si>
    <t>ESP-RE-BAS-039</t>
  </si>
  <si>
    <t>02</t>
  </si>
  <si>
    <t xml:space="preserve"> SE00700 ROSQUETE CHOCOLATE DAWN 120g</t>
  </si>
  <si>
    <t>Javier Tong, Chef</t>
  </si>
  <si>
    <t>Batidos</t>
  </si>
  <si>
    <t>SE00342</t>
  </si>
  <si>
    <t>BATIDO NUCLEO CHOCOLATE DAWN</t>
  </si>
  <si>
    <t>AS00028</t>
  </si>
  <si>
    <t>BOLSA TRANSPARENTE 56X96X1.80 KILO</t>
  </si>
  <si>
    <t>PLASTICOS P</t>
  </si>
  <si>
    <t>ETIPLAST</t>
  </si>
  <si>
    <t>902000019</t>
  </si>
  <si>
    <t>MEZCLA P/ENGRASE MOLDES KILO</t>
  </si>
  <si>
    <t>CEMUSA</t>
  </si>
  <si>
    <t>1.- Pesar 120g de mezcla en los moldes previamente engrasados.</t>
  </si>
  <si>
    <t>2.- Hornear en el Horno Argental 220°C por 30 a 32 min</t>
  </si>
  <si>
    <t xml:space="preserve">3.- Enfriar y empacar 40 unidades por lata, cubrir con bolsa y etiquetar con fecha de produccion. </t>
  </si>
  <si>
    <t xml:space="preserve">2, se actualiza peso de cada prción </t>
  </si>
  <si>
    <t>ESP-RE-BAS-020</t>
  </si>
  <si>
    <t>01</t>
  </si>
  <si>
    <t>907000264(SE00342) Batido Nucleo Chocolate Dawn</t>
  </si>
  <si>
    <t>SE00341</t>
  </si>
  <si>
    <t>PREMEZCLA BATIDO NUCLEO CHOCOLATE DAWN</t>
  </si>
  <si>
    <t>MP10005</t>
  </si>
  <si>
    <t xml:space="preserve">HUEVO ENTERO PASTERI INNOVO ( CAJA: 10 K) </t>
  </si>
  <si>
    <t>INNOVO</t>
  </si>
  <si>
    <t>MP10002</t>
  </si>
  <si>
    <t>ACEITE CAPULLO RBD (UND:17 L)</t>
  </si>
  <si>
    <t>CAPULLO</t>
  </si>
  <si>
    <t>10415</t>
  </si>
  <si>
    <t>AGUA POTABLE (PLANTA)</t>
  </si>
  <si>
    <t>Tanda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</si>
  <si>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</si>
  <si>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</si>
  <si>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</si>
  <si>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5 min en velocidad 2. con Paleta</t>
  </si>
  <si>
    <t>ESP-RE-PRES-022</t>
  </si>
  <si>
    <t>SE00341 Premezcla Batido Nucleo Chocolate Dawn</t>
  </si>
  <si>
    <t>Premezclas</t>
  </si>
  <si>
    <t>MP10074</t>
  </si>
  <si>
    <t>AZUCAR BLANCO INDUSTRIAL (SACO:50 K)</t>
  </si>
  <si>
    <t>LAICA</t>
  </si>
  <si>
    <t>MP10478</t>
  </si>
  <si>
    <t>HARINA SILVER CAKE</t>
  </si>
  <si>
    <t>FAHACASA</t>
  </si>
  <si>
    <t>MP10479</t>
  </si>
  <si>
    <t>HARINA VERDE</t>
  </si>
  <si>
    <t>MP10304</t>
  </si>
  <si>
    <t>POLVO HORNEAR FLEISHMAN (PAQ:2.5 K)</t>
  </si>
  <si>
    <t>FLEISHMAN</t>
  </si>
  <si>
    <t>MP10008</t>
  </si>
  <si>
    <t>PRESERVANTE 1047S (PAQ=5 KILO)</t>
  </si>
  <si>
    <t>ASEAL</t>
  </si>
  <si>
    <t>0512255</t>
  </si>
  <si>
    <t>MP10146</t>
  </si>
  <si>
    <t xml:space="preserve">COCOA DUTCH PROCESS </t>
  </si>
  <si>
    <t>DUTCH</t>
  </si>
  <si>
    <t>MP10203</t>
  </si>
  <si>
    <t>GOMA XANTANA</t>
  </si>
  <si>
    <t>MABAKER &amp; CHEF</t>
  </si>
  <si>
    <t>MP10482</t>
  </si>
  <si>
    <t>COCENTRADO CHOCOLATE DAWN</t>
  </si>
  <si>
    <t>DAWN</t>
  </si>
  <si>
    <t>MP10517</t>
  </si>
  <si>
    <t>ACTI EGG</t>
  </si>
  <si>
    <t>PURATOS</t>
  </si>
  <si>
    <t>EM10013</t>
  </si>
  <si>
    <t>BOLSA 17x25 TRANSP KILO</t>
  </si>
  <si>
    <t>EM10133</t>
  </si>
  <si>
    <t>ETIQUETA ROJA LETRA ALERJENO (UND)</t>
  </si>
  <si>
    <t>EM10037</t>
  </si>
  <si>
    <t>BOLSA 8x12 TRANSPARENTE KILO</t>
  </si>
  <si>
    <t>1, En una bolsa 17x25 empacar el azucar. Etiquetar</t>
  </si>
  <si>
    <t>2, En una bolsa 17x25 empacar las harinas, concentrado, la cocoa y la goma. Etiquetar</t>
  </si>
  <si>
    <t>3, En una bolsa 8*12 pesar el polvo de hornear y el preservante. Colcoarla dentro de la bolsa de harinas.</t>
  </si>
  <si>
    <t>ESP-RE-COCS-058</t>
  </si>
  <si>
    <t xml:space="preserve">SE00386 TRASVASADO LECHE CONDENSADA COCINADA </t>
  </si>
  <si>
    <t>Cocina</t>
  </si>
  <si>
    <t>SE00572</t>
  </si>
  <si>
    <t>LECHE CONDENSADA COCINADA DURA</t>
  </si>
  <si>
    <t>Latas</t>
  </si>
  <si>
    <t>GRAMOS</t>
  </si>
  <si>
    <t>EM10307</t>
  </si>
  <si>
    <t>BOLSA MARMITA 14 x 20 (KILO)</t>
  </si>
  <si>
    <t>bolsas</t>
  </si>
  <si>
    <t>1, Abril las latas de leche condensada y con ayuda de una espatula colocar el contenido en bolsas de 4 kg.</t>
  </si>
  <si>
    <t>2, hacer nudo y etiquetar</t>
  </si>
  <si>
    <t>ESP-RE-COCS-066</t>
  </si>
  <si>
    <t>90100409  (SE00572) Leche condensada cocinada Dura</t>
  </si>
  <si>
    <t>MP10477</t>
  </si>
  <si>
    <t xml:space="preserve">LATA LECHE CONDENSADA </t>
  </si>
  <si>
    <t>NESTLE</t>
  </si>
  <si>
    <t>EM10002</t>
  </si>
  <si>
    <t>ETIQ.BLANCA 1 1/4 * 3/4 (UND)</t>
  </si>
  <si>
    <t>cajas</t>
  </si>
  <si>
    <t>1, Retirar las etiquetas de cada lata de leche condensada</t>
  </si>
  <si>
    <t>2, Colocar las latas en la marmita (sin aspas). Cerrar a presion.</t>
  </si>
  <si>
    <t>#, Cocinar en programa "Leche Cocinada dura"</t>
  </si>
  <si>
    <t>4, Retirar con mucho cuidado el tapon para liberar presion. Luego que ya este liberada toda la presion, proceder a abrir la olla.</t>
  </si>
  <si>
    <t>5, Con ayuda de una pinza o guantes colocar las latas en una caja esperar a que se sequen, Etiquetar con fecha de vencimiento.</t>
  </si>
  <si>
    <t xml:space="preserve">6, Empacar en las mismas cajas en las que llegaron y etiquetar con fecha de vencimeinto la caja tambien </t>
  </si>
  <si>
    <t>ESP-RE-DES-027</t>
  </si>
  <si>
    <t>Crema Verde Electrico SE00457</t>
  </si>
  <si>
    <t>Decoracion</t>
  </si>
  <si>
    <t>SE00010</t>
  </si>
  <si>
    <t>CREMA CHANTILLY BLANCA SPOON-IND KILO</t>
  </si>
  <si>
    <t>MP10152</t>
  </si>
  <si>
    <t>COLORANTE GEL ELECTRIC GREEN (UD=130ml)</t>
  </si>
  <si>
    <t>MASTER PACK</t>
  </si>
  <si>
    <t>MP10156</t>
  </si>
  <si>
    <t>COLORANTE GEL LEMON YELLOW UND 130 ML</t>
  </si>
  <si>
    <t>Minutos</t>
  </si>
  <si>
    <t>1, Mezclar la crema con los colorantes, hatsa homogeneo</t>
  </si>
  <si>
    <t>2.- Mantener en refrigeración.</t>
  </si>
  <si>
    <t>ESP-RE-DES-018</t>
  </si>
  <si>
    <t xml:space="preserve"> Crema Blanca Spoon (20800g)  SE00010</t>
  </si>
  <si>
    <t>MP10047</t>
  </si>
  <si>
    <t>BETTERCREME SUPREMO (UND:4 K)</t>
  </si>
  <si>
    <t>RICHS</t>
  </si>
  <si>
    <t>MP10048</t>
  </si>
  <si>
    <t>CREMA PRESTIGE GRAND (UND:4 K)</t>
  </si>
  <si>
    <t>AYA</t>
  </si>
  <si>
    <t>Etiplas</t>
  </si>
  <si>
    <t>1.- Abrir los galones de crema y verter dentro de la top cream. (Temperatura 5° liquida )</t>
  </si>
  <si>
    <t>2.- Disolver el preservante en el agua. Agregar a la top cream.</t>
  </si>
  <si>
    <t>3.- Batir por 17 minutos. Una ves lista (Temperatura 18° batida) Colocar en una tina plastica, tapar.</t>
  </si>
  <si>
    <t>4.- Etiquetar con nombre y fecha de vencimiento.</t>
  </si>
  <si>
    <t xml:space="preserve">5.- Mantener en refrigeración hasta su uso. </t>
  </si>
  <si>
    <t>2, Actualización tiempo de preparación y procedimiento</t>
  </si>
  <si>
    <t>ESP-RE-COCS-019</t>
  </si>
  <si>
    <t>908000032(SE00001) Ganache De chocolate Oscuro 40700g</t>
  </si>
  <si>
    <t>1210386</t>
  </si>
  <si>
    <t>MP10001</t>
  </si>
  <si>
    <t>COBERTURA CHOCOLATE LECHE ( 5KG )</t>
  </si>
  <si>
    <t>Nacional Chocolate</t>
  </si>
  <si>
    <t>11400027</t>
  </si>
  <si>
    <t>MP10006</t>
  </si>
  <si>
    <t>CREMA BETTERCREAM DOBLE CHOCO 4K</t>
  </si>
  <si>
    <t>Richs</t>
  </si>
  <si>
    <t>0702069</t>
  </si>
  <si>
    <t>ETIQ.BLANCA 1 1/4 * 3/4</t>
  </si>
  <si>
    <t>Cemusa</t>
  </si>
  <si>
    <t>1- Colocar la crema de chocolate en una olla y calentar hasta 55 grados hasta hervir, agregar primero la mitad del chocolate. Mezclar hasta derretir.</t>
  </si>
  <si>
    <t>2.- Añadir luego la mitad restante de chocolate, mezclar bien hasta derretir completamente el chocolate.</t>
  </si>
  <si>
    <t>3- Pasar el ganache caliente por un colador para evitar que queden grumos de chocolate.</t>
  </si>
  <si>
    <t>4.- Colocar en cheffing de acero y enfriar.</t>
  </si>
  <si>
    <t>SE00066</t>
  </si>
  <si>
    <t>Crema Chantilly Morado Barnie</t>
  </si>
  <si>
    <r>
      <rPr>
        <b/>
        <sz val="12"/>
        <rFont val="Century Gothic"/>
        <family val="2"/>
      </rPr>
      <t>2.-</t>
    </r>
    <r>
      <rPr>
        <sz val="12"/>
        <rFont val="Century Gothic"/>
        <family val="2"/>
      </rPr>
      <t xml:space="preserve"> Con manga y la boquilla cubrir el rosquete con la chantilly morada,  de manera que se cubran todas la paredes hasta llegar al borde,decorar las paredes y alisando la parte superior </t>
    </r>
  </si>
  <si>
    <t>UND</t>
  </si>
  <si>
    <t>Gramos</t>
  </si>
  <si>
    <t>% GIF</t>
  </si>
  <si>
    <t>MODI 77 COLONES X MIN</t>
  </si>
  <si>
    <t xml:space="preserve">Gf 64 colones min </t>
  </si>
  <si>
    <t xml:space="preserve">PTI00254 MINI CAKE CHOCOLATE UD  HALLOWEN (Monstruo Verde) Industria </t>
  </si>
  <si>
    <t>PTL00259 ( 20200110) MINI CAKE CHOCOLATE UD  HALLOWEN (Monstruo Verde ) Local</t>
  </si>
  <si>
    <t xml:space="preserve">Colocho BOQUILLA#22 </t>
  </si>
  <si>
    <t xml:space="preserve">3. Colocar el ganache en el centro con ayuda de una bolsa, realizar el colocho con la boquilla#22, en toda la parte superior realizando besitos. </t>
  </si>
  <si>
    <t>Costo actual ojos ( 8970 caja 200 ud) 44,85 c/u</t>
  </si>
  <si>
    <t>Costo atenrior ojos ( 8970 caja 700 ud) 12,81 c/u</t>
  </si>
  <si>
    <t>MP10883</t>
  </si>
  <si>
    <t>MP10885</t>
  </si>
  <si>
    <r>
      <rPr>
        <b/>
        <sz val="16"/>
        <rFont val="Arial"/>
        <family val="2"/>
      </rPr>
      <t xml:space="preserve">1.- </t>
    </r>
    <r>
      <rPr>
        <sz val="16"/>
        <rFont val="Arial"/>
        <family val="2"/>
      </rPr>
      <t>Cortar el mini cake por la mitad (eliminado la punta para nivelar) , rellenar con leche condensad cocinada. Hacer un circulo de manjar sobre la base para inmobilizar el quequito. Pegar el mini cake en la base.</t>
    </r>
  </si>
  <si>
    <r>
      <rPr>
        <b/>
        <sz val="16"/>
        <rFont val="Arial"/>
        <family val="2"/>
      </rPr>
      <t>2.-</t>
    </r>
    <r>
      <rPr>
        <sz val="16"/>
        <rFont val="Arial"/>
        <family val="2"/>
      </rPr>
      <t xml:space="preserve"> Con manga y la boquilla cubrir el rosquete con la chantilly verde,  de manera que se cubran todas la paredes hasta llegar al borde,decorar las paredes y alisando la parte superior </t>
    </r>
  </si>
  <si>
    <t>PTL00259 ( 20200110) MINI CAKE CHOCOLATE UD  HALLOWEN
 (Monstruo Verde ) Local</t>
  </si>
  <si>
    <t>ESP-RE-FIS-035</t>
  </si>
  <si>
    <t>EM10326</t>
  </si>
  <si>
    <t>Etiq Blanca 3x3</t>
  </si>
  <si>
    <t>2, Se quita rosquete de carton y se actualiza etiqueta de ingredientes.</t>
  </si>
  <si>
    <t>EM10461</t>
  </si>
  <si>
    <t xml:space="preserve">ETIQUETA HALLOWEEN MINI CAKE </t>
  </si>
  <si>
    <t xml:space="preserve">3. Se agrega etiqueta de halloween y se actualiza cantidad de confite 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</si>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</sst>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_-* #,##0.0\ _€_-;\-* #,##0.0\ _€_-;_-* &quot;-&quot;??\ _€_-;_-@_-"/>
    <numFmt numFmtId="168" formatCode="[$-409]d\-mmm\-yy;@"/>
    <numFmt numFmtId="169" formatCode="0.0000"/>
    <numFmt numFmtId="170" formatCode="0.0"/>
    <numFmt numFmtId="171" formatCode="_(* #,##0.000_);_(* \(#,##0.000\);_(* &quot;-&quot;??_);_(@_)"/>
  </numFmts>
  <fonts count="8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Arial Black"/>
      <family val="2"/>
    </font>
    <font>
      <b/>
      <sz val="10"/>
      <color indexed="21"/>
      <name val="Times New Roman"/>
      <family val="1"/>
    </font>
    <font>
      <b/>
      <sz val="14"/>
      <name val="Modern"/>
      <family val="3"/>
      <charset val="255"/>
    </font>
    <font>
      <b/>
      <sz val="10"/>
      <color indexed="16"/>
      <name val="Times New Roman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8"/>
      <name val="Times New Roman"/>
      <family val="1"/>
    </font>
    <font>
      <sz val="10"/>
      <color indexed="17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10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indexed="1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color indexed="57"/>
      <name val="Times New Roman"/>
      <family val="1"/>
    </font>
    <font>
      <b/>
      <sz val="10"/>
      <color indexed="18"/>
      <name val="Times New Roman"/>
      <family val="1"/>
    </font>
    <font>
      <sz val="10"/>
      <color indexed="18"/>
      <name val="Palatino Linotype"/>
      <family val="1"/>
    </font>
    <font>
      <sz val="10"/>
      <color indexed="8"/>
      <name val="Times New Roman"/>
      <family val="1"/>
    </font>
    <font>
      <sz val="10"/>
      <name val="Arial Black"/>
      <family val="2"/>
    </font>
    <font>
      <b/>
      <sz val="9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indexed="8"/>
      <name val="Century Gothic"/>
      <family val="2"/>
    </font>
    <font>
      <sz val="11"/>
      <name val="Times New Roman"/>
      <family val="1"/>
    </font>
    <font>
      <sz val="8"/>
      <name val="Calibri"/>
      <family val="2"/>
      <scheme val="minor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1"/>
      <color indexed="8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9.85"/>
      <color indexed="8"/>
      <name val="Times New Roman"/>
      <family val="1"/>
    </font>
    <font>
      <sz val="11"/>
      <name val="Arial"/>
      <family val="2"/>
    </font>
    <font>
      <sz val="11"/>
      <color rgb="FF000000"/>
      <name val="Calibri"/>
      <family val="2"/>
    </font>
    <font>
      <sz val="11"/>
      <name val="Aptos"/>
      <family val="2"/>
    </font>
    <font>
      <b/>
      <sz val="10"/>
      <name val="Arial"/>
      <family val="2"/>
    </font>
    <font>
      <sz val="9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name val="Tahoma"/>
      <family val="2"/>
    </font>
    <font>
      <sz val="8"/>
      <name val="Tahoma"/>
      <family val="2"/>
    </font>
    <font>
      <sz val="10"/>
      <color rgb="FF000000"/>
      <name val="Century Gothic"/>
      <family val="2"/>
    </font>
    <font>
      <sz val="11"/>
      <color rgb="FF000000"/>
      <name val="Calibri"/>
      <family val="2"/>
      <scheme val="minor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  <scheme val="minor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8"/>
      <color theme="1"/>
      <name val="Calibri"/>
      <family val="2"/>
      <scheme val="minor"/>
    </font>
    <font>
      <b/>
      <sz val="16"/>
      <name val="Century Gothic"/>
      <family val="2"/>
    </font>
    <font>
      <b/>
      <sz val="14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9">
    <xf numFmtId="0" fontId="0" fillId="0" borderId="0"/>
    <xf numFmtId="0" fontId="1" fillId="0" borderId="0"/>
    <xf numFmtId="0" fontId="1" fillId="0" borderId="0"/>
    <xf numFmtId="0" fontId="8" fillId="0" borderId="0"/>
    <xf numFmtId="0" fontId="9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8" fillId="0" borderId="0"/>
    <xf numFmtId="0" fontId="37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</cellStyleXfs>
  <cellXfs count="937">
    <xf numFmtId="0" fontId="0" fillId="0" borderId="0" xfId="0"/>
    <xf numFmtId="49" fontId="6" fillId="0" borderId="6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49" fontId="6" fillId="0" borderId="6" xfId="0" applyNumberFormat="1" applyFont="1" applyBorder="1" applyAlignment="1">
      <alignment horizontal="center"/>
    </xf>
    <xf numFmtId="1" fontId="6" fillId="0" borderId="6" xfId="0" applyNumberFormat="1" applyFont="1" applyBorder="1" applyAlignment="1">
      <alignment horizontal="center" wrapText="1"/>
    </xf>
    <xf numFmtId="49" fontId="6" fillId="0" borderId="6" xfId="3" applyNumberFormat="1" applyFont="1" applyBorder="1" applyAlignment="1">
      <alignment horizontal="center"/>
    </xf>
    <xf numFmtId="0" fontId="7" fillId="5" borderId="0" xfId="0" applyFont="1" applyFill="1" applyAlignment="1">
      <alignment vertical="center"/>
    </xf>
    <xf numFmtId="0" fontId="5" fillId="10" borderId="6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5" fillId="0" borderId="6" xfId="8" applyFont="1" applyFill="1" applyBorder="1" applyAlignment="1">
      <alignment horizontal="center" vertical="center"/>
    </xf>
    <xf numFmtId="43" fontId="5" fillId="0" borderId="0" xfId="8" applyFont="1" applyFill="1" applyBorder="1" applyAlignment="1">
      <alignment horizontal="center" vertical="center"/>
    </xf>
    <xf numFmtId="43" fontId="35" fillId="0" borderId="0" xfId="8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8" fontId="33" fillId="0" borderId="0" xfId="0" applyNumberFormat="1" applyFont="1" applyAlignment="1">
      <alignment horizontal="center" vertical="center" wrapText="1"/>
    </xf>
    <xf numFmtId="0" fontId="5" fillId="6" borderId="42" xfId="0" applyFont="1" applyFill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 wrapText="1"/>
    </xf>
    <xf numFmtId="0" fontId="5" fillId="6" borderId="4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9" applyNumberFormat="1" applyFont="1" applyFill="1" applyAlignment="1">
      <alignment horizontal="center" vertical="center"/>
    </xf>
    <xf numFmtId="4" fontId="5" fillId="0" borderId="0" xfId="9" applyNumberFormat="1" applyFont="1" applyFill="1" applyAlignment="1">
      <alignment horizontal="center" vertical="center"/>
    </xf>
    <xf numFmtId="10" fontId="5" fillId="0" borderId="0" xfId="10" applyNumberFormat="1" applyFont="1" applyFill="1" applyAlignment="1">
      <alignment vertical="center"/>
    </xf>
    <xf numFmtId="49" fontId="5" fillId="0" borderId="0" xfId="0" applyNumberFormat="1" applyFont="1" applyAlignment="1">
      <alignment horizontal="center" vertical="center"/>
    </xf>
    <xf numFmtId="10" fontId="11" fillId="0" borderId="0" xfId="10" applyNumberFormat="1" applyFont="1" applyFill="1" applyAlignment="1">
      <alignment vertical="center"/>
    </xf>
    <xf numFmtId="0" fontId="7" fillId="0" borderId="0" xfId="0" applyFont="1"/>
    <xf numFmtId="49" fontId="5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8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4" fontId="5" fillId="0" borderId="0" xfId="8" applyNumberFormat="1" applyFont="1" applyFill="1" applyAlignment="1">
      <alignment vertical="center"/>
    </xf>
    <xf numFmtId="43" fontId="17" fillId="0" borderId="0" xfId="8" applyFont="1" applyFill="1" applyAlignment="1">
      <alignment horizontal="center" vertical="center"/>
    </xf>
    <xf numFmtId="10" fontId="11" fillId="6" borderId="47" xfId="10" applyNumberFormat="1" applyFont="1" applyFill="1" applyBorder="1" applyAlignment="1">
      <alignment vertical="center"/>
    </xf>
    <xf numFmtId="0" fontId="7" fillId="6" borderId="34" xfId="0" applyFont="1" applyFill="1" applyBorder="1" applyAlignment="1">
      <alignment vertical="center"/>
    </xf>
    <xf numFmtId="0" fontId="7" fillId="6" borderId="47" xfId="0" applyFont="1" applyFill="1" applyBorder="1" applyAlignment="1">
      <alignment vertical="center"/>
    </xf>
    <xf numFmtId="43" fontId="17" fillId="6" borderId="48" xfId="8" applyFont="1" applyFill="1" applyBorder="1" applyAlignment="1">
      <alignment horizontal="center" vertical="center"/>
    </xf>
    <xf numFmtId="43" fontId="25" fillId="0" borderId="0" xfId="8" applyFont="1" applyFill="1" applyBorder="1" applyAlignment="1">
      <alignment horizontal="right"/>
    </xf>
    <xf numFmtId="0" fontId="7" fillId="6" borderId="48" xfId="0" applyFont="1" applyFill="1" applyBorder="1" applyAlignment="1">
      <alignment vertical="center"/>
    </xf>
    <xf numFmtId="10" fontId="11" fillId="6" borderId="48" xfId="10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0" fontId="27" fillId="0" borderId="0" xfId="0" applyFont="1"/>
    <xf numFmtId="9" fontId="27" fillId="0" borderId="0" xfId="0" applyNumberFormat="1" applyFont="1"/>
    <xf numFmtId="9" fontId="36" fillId="0" borderId="0" xfId="10" applyFont="1" applyFill="1" applyAlignment="1">
      <alignment horizontal="center"/>
    </xf>
    <xf numFmtId="0" fontId="17" fillId="0" borderId="0" xfId="0" applyFont="1" applyAlignment="1">
      <alignment horizontal="right" vertical="center"/>
    </xf>
    <xf numFmtId="4" fontId="17" fillId="0" borderId="0" xfId="8" applyNumberFormat="1" applyFont="1" applyFill="1" applyAlignment="1">
      <alignment vertical="center"/>
    </xf>
    <xf numFmtId="4" fontId="17" fillId="0" borderId="0" xfId="9" applyNumberFormat="1" applyFont="1" applyAlignment="1">
      <alignment horizontal="center" vertical="center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50" xfId="0" applyFont="1" applyBorder="1" applyAlignment="1">
      <alignment horizontal="right"/>
    </xf>
    <xf numFmtId="43" fontId="26" fillId="3" borderId="45" xfId="8" applyFont="1" applyFill="1" applyBorder="1" applyAlignment="1">
      <alignment horizontal="right"/>
    </xf>
    <xf numFmtId="43" fontId="26" fillId="0" borderId="0" xfId="8" applyFont="1" applyFill="1" applyBorder="1" applyAlignment="1">
      <alignment horizontal="right"/>
    </xf>
    <xf numFmtId="43" fontId="5" fillId="0" borderId="6" xfId="8" applyFont="1" applyFill="1" applyBorder="1" applyAlignment="1">
      <alignment vertical="center"/>
    </xf>
    <xf numFmtId="0" fontId="18" fillId="0" borderId="0" xfId="0" applyFont="1" applyAlignment="1">
      <alignment horizontal="left" vertical="center"/>
    </xf>
    <xf numFmtId="4" fontId="17" fillId="0" borderId="0" xfId="9" applyNumberFormat="1" applyFont="1" applyFill="1" applyAlignment="1">
      <alignment horizontal="center" vertical="center"/>
    </xf>
    <xf numFmtId="10" fontId="28" fillId="0" borderId="0" xfId="10" applyNumberFormat="1" applyFont="1" applyFill="1" applyAlignment="1">
      <alignment horizontal="right"/>
    </xf>
    <xf numFmtId="167" fontId="5" fillId="6" borderId="6" xfId="8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5" fillId="9" borderId="6" xfId="8" applyFont="1" applyFill="1" applyBorder="1" applyAlignment="1">
      <alignment vertical="center"/>
    </xf>
    <xf numFmtId="165" fontId="20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1" fillId="6" borderId="49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2" fontId="28" fillId="0" borderId="0" xfId="8" applyNumberFormat="1" applyFont="1" applyFill="1" applyBorder="1" applyAlignment="1">
      <alignment horizontal="center"/>
    </xf>
    <xf numFmtId="2" fontId="30" fillId="0" borderId="0" xfId="8" applyNumberFormat="1" applyFont="1" applyFill="1" applyBorder="1" applyAlignment="1">
      <alignment horizontal="center"/>
    </xf>
    <xf numFmtId="0" fontId="7" fillId="6" borderId="49" xfId="0" applyFont="1" applyFill="1" applyBorder="1" applyAlignment="1">
      <alignment vertical="center"/>
    </xf>
    <xf numFmtId="10" fontId="7" fillId="0" borderId="0" xfId="10" applyNumberFormat="1" applyFont="1" applyFill="1" applyAlignment="1">
      <alignment vertical="center"/>
    </xf>
    <xf numFmtId="4" fontId="7" fillId="0" borderId="0" xfId="8" applyNumberFormat="1" applyFont="1" applyFill="1" applyAlignment="1">
      <alignment vertical="center"/>
    </xf>
    <xf numFmtId="43" fontId="26" fillId="6" borderId="34" xfId="8" applyFont="1" applyFill="1" applyBorder="1" applyAlignment="1">
      <alignment horizontal="right"/>
    </xf>
    <xf numFmtId="0" fontId="5" fillId="6" borderId="35" xfId="0" applyFont="1" applyFill="1" applyBorder="1" applyAlignment="1">
      <alignment horizontal="right" vertical="center"/>
    </xf>
    <xf numFmtId="10" fontId="19" fillId="0" borderId="0" xfId="8" applyNumberFormat="1" applyFont="1" applyFill="1" applyAlignment="1">
      <alignment vertical="center"/>
    </xf>
    <xf numFmtId="10" fontId="11" fillId="0" borderId="0" xfId="10" applyNumberFormat="1" applyFont="1" applyFill="1" applyBorder="1" applyAlignment="1">
      <alignment vertical="center"/>
    </xf>
    <xf numFmtId="165" fontId="32" fillId="0" borderId="0" xfId="0" applyNumberFormat="1" applyFont="1" applyAlignment="1">
      <alignment horizontal="center" vertical="center"/>
    </xf>
    <xf numFmtId="0" fontId="7" fillId="5" borderId="45" xfId="0" applyFont="1" applyFill="1" applyBorder="1" applyAlignment="1">
      <alignment horizontal="center" vertical="center"/>
    </xf>
    <xf numFmtId="43" fontId="21" fillId="0" borderId="0" xfId="8" applyFont="1" applyFill="1" applyAlignment="1">
      <alignment vertical="center"/>
    </xf>
    <xf numFmtId="4" fontId="13" fillId="0" borderId="0" xfId="9" applyNumberFormat="1" applyFont="1" applyFill="1" applyAlignment="1">
      <alignment horizontal="center" vertical="center" wrapText="1"/>
    </xf>
    <xf numFmtId="9" fontId="7" fillId="0" borderId="0" xfId="8" applyNumberFormat="1" applyFont="1" applyFill="1" applyAlignment="1">
      <alignment vertical="center"/>
    </xf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8" applyNumberFormat="1" applyFont="1" applyFill="1" applyAlignment="1">
      <alignment vertical="center"/>
    </xf>
    <xf numFmtId="4" fontId="5" fillId="7" borderId="45" xfId="8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3" fontId="34" fillId="0" borderId="0" xfId="8" applyFont="1" applyFill="1" applyAlignment="1">
      <alignment vertical="center"/>
    </xf>
    <xf numFmtId="9" fontId="34" fillId="0" borderId="0" xfId="8" applyNumberFormat="1" applyFont="1" applyFill="1" applyAlignment="1">
      <alignment vertical="center"/>
    </xf>
    <xf numFmtId="4" fontId="5" fillId="0" borderId="0" xfId="8" applyNumberFormat="1" applyFont="1" applyFill="1" applyAlignment="1">
      <alignment horizontal="center" vertical="center"/>
    </xf>
    <xf numFmtId="10" fontId="20" fillId="0" borderId="0" xfId="10" applyNumberFormat="1" applyFont="1" applyFill="1" applyAlignment="1">
      <alignment vertical="center"/>
    </xf>
    <xf numFmtId="43" fontId="20" fillId="0" borderId="0" xfId="8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8" applyFont="1" applyFill="1" applyBorder="1"/>
    <xf numFmtId="10" fontId="20" fillId="0" borderId="0" xfId="10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43" fontId="7" fillId="0" borderId="0" xfId="8" applyFont="1" applyFill="1" applyBorder="1" applyAlignment="1">
      <alignment horizontal="center"/>
    </xf>
    <xf numFmtId="9" fontId="23" fillId="0" borderId="0" xfId="0" applyNumberFormat="1" applyFont="1" applyAlignment="1">
      <alignment horizontal="left"/>
    </xf>
    <xf numFmtId="4" fontId="5" fillId="0" borderId="0" xfId="0" applyNumberFormat="1" applyFont="1" applyAlignment="1">
      <alignment horizontal="center"/>
    </xf>
    <xf numFmtId="165" fontId="5" fillId="0" borderId="0" xfId="0" applyNumberFormat="1" applyFont="1"/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/>
    </xf>
    <xf numFmtId="49" fontId="6" fillId="5" borderId="6" xfId="0" applyNumberFormat="1" applyFont="1" applyFill="1" applyBorder="1" applyAlignment="1">
      <alignment horizontal="center" vertical="center"/>
    </xf>
    <xf numFmtId="0" fontId="38" fillId="5" borderId="6" xfId="3" applyFont="1" applyFill="1" applyBorder="1" applyAlignment="1">
      <alignment horizontal="left"/>
    </xf>
    <xf numFmtId="0" fontId="39" fillId="5" borderId="6" xfId="3" applyFont="1" applyFill="1" applyBorder="1" applyAlignment="1">
      <alignment vertical="center"/>
    </xf>
    <xf numFmtId="0" fontId="6" fillId="0" borderId="6" xfId="3" applyFont="1" applyBorder="1" applyAlignment="1">
      <alignment horizontal="center"/>
    </xf>
    <xf numFmtId="0" fontId="3" fillId="2" borderId="2" xfId="1" applyFont="1" applyFill="1" applyBorder="1" applyAlignment="1">
      <alignment horizontal="right"/>
    </xf>
    <xf numFmtId="0" fontId="40" fillId="2" borderId="3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right"/>
    </xf>
    <xf numFmtId="49" fontId="40" fillId="2" borderId="7" xfId="1" applyNumberFormat="1" applyFont="1" applyFill="1" applyBorder="1" applyAlignment="1">
      <alignment horizontal="center"/>
    </xf>
    <xf numFmtId="0" fontId="40" fillId="2" borderId="25" xfId="1" applyFont="1" applyFill="1" applyBorder="1" applyAlignment="1">
      <alignment horizontal="right"/>
    </xf>
    <xf numFmtId="0" fontId="40" fillId="2" borderId="6" xfId="1" applyFont="1" applyFill="1" applyBorder="1" applyAlignment="1">
      <alignment horizontal="right"/>
    </xf>
    <xf numFmtId="14" fontId="42" fillId="2" borderId="0" xfId="2" applyNumberFormat="1" applyFont="1" applyFill="1" applyAlignment="1">
      <alignment horizontal="center" vertical="center" wrapText="1"/>
    </xf>
    <xf numFmtId="0" fontId="3" fillId="4" borderId="3" xfId="3" applyFont="1" applyFill="1" applyBorder="1" applyAlignment="1">
      <alignment horizontal="center" vertical="center" wrapText="1"/>
    </xf>
    <xf numFmtId="1" fontId="3" fillId="4" borderId="22" xfId="3" applyNumberFormat="1" applyFont="1" applyFill="1" applyBorder="1" applyAlignment="1">
      <alignment horizontal="center"/>
    </xf>
    <xf numFmtId="1" fontId="3" fillId="4" borderId="22" xfId="3" applyNumberFormat="1" applyFont="1" applyFill="1" applyBorder="1" applyAlignment="1">
      <alignment horizontal="center" wrapText="1"/>
    </xf>
    <xf numFmtId="0" fontId="3" fillId="4" borderId="23" xfId="3" applyFont="1" applyFill="1" applyBorder="1" applyAlignment="1">
      <alignment horizontal="center"/>
    </xf>
    <xf numFmtId="0" fontId="38" fillId="0" borderId="27" xfId="3" applyFont="1" applyBorder="1" applyAlignment="1">
      <alignment horizontal="center" vertical="center"/>
    </xf>
    <xf numFmtId="0" fontId="38" fillId="0" borderId="29" xfId="3" applyFont="1" applyBorder="1" applyAlignment="1">
      <alignment horizontal="center" vertical="center"/>
    </xf>
    <xf numFmtId="0" fontId="39" fillId="0" borderId="6" xfId="3" applyFont="1" applyBorder="1" applyAlignment="1">
      <alignment vertical="center"/>
    </xf>
    <xf numFmtId="0" fontId="38" fillId="0" borderId="6" xfId="3" applyFont="1" applyBorder="1" applyAlignment="1">
      <alignment horizontal="center" vertical="center"/>
    </xf>
    <xf numFmtId="1" fontId="38" fillId="0" borderId="6" xfId="3" applyNumberFormat="1" applyFont="1" applyBorder="1" applyAlignment="1">
      <alignment horizontal="center"/>
    </xf>
    <xf numFmtId="1" fontId="38" fillId="0" borderId="6" xfId="3" applyNumberFormat="1" applyFont="1" applyBorder="1" applyAlignment="1">
      <alignment horizontal="center" wrapText="1"/>
    </xf>
    <xf numFmtId="0" fontId="6" fillId="0" borderId="7" xfId="3" applyFont="1" applyBorder="1" applyAlignment="1">
      <alignment horizontal="center"/>
    </xf>
    <xf numFmtId="49" fontId="6" fillId="5" borderId="27" xfId="0" applyNumberFormat="1" applyFont="1" applyFill="1" applyBorder="1" applyAlignment="1">
      <alignment horizontal="center" vertical="center"/>
    </xf>
    <xf numFmtId="49" fontId="6" fillId="5" borderId="29" xfId="0" applyNumberFormat="1" applyFont="1" applyFill="1" applyBorder="1" applyAlignment="1">
      <alignment horizontal="center" vertical="center"/>
    </xf>
    <xf numFmtId="49" fontId="6" fillId="5" borderId="6" xfId="0" applyNumberFormat="1" applyFont="1" applyFill="1" applyBorder="1" applyAlignment="1">
      <alignment vertical="center"/>
    </xf>
    <xf numFmtId="1" fontId="40" fillId="0" borderId="25" xfId="3" applyNumberFormat="1" applyFont="1" applyBorder="1" applyAlignment="1">
      <alignment horizontal="center" vertical="center"/>
    </xf>
    <xf numFmtId="0" fontId="43" fillId="5" borderId="0" xfId="0" applyFont="1" applyFill="1"/>
    <xf numFmtId="1" fontId="40" fillId="0" borderId="6" xfId="0" applyNumberFormat="1" applyFont="1" applyBorder="1" applyAlignment="1">
      <alignment horizontal="center"/>
    </xf>
    <xf numFmtId="0" fontId="44" fillId="0" borderId="6" xfId="11" applyFont="1" applyBorder="1" applyAlignment="1">
      <alignment horizontal="center"/>
    </xf>
    <xf numFmtId="0" fontId="44" fillId="0" borderId="6" xfId="0" applyFont="1" applyBorder="1" applyAlignment="1">
      <alignment horizontal="center"/>
    </xf>
    <xf numFmtId="0" fontId="44" fillId="0" borderId="6" xfId="0" applyFont="1" applyBorder="1"/>
    <xf numFmtId="0" fontId="6" fillId="0" borderId="29" xfId="0" applyFont="1" applyBorder="1" applyAlignment="1">
      <alignment horizontal="center"/>
    </xf>
    <xf numFmtId="49" fontId="6" fillId="0" borderId="6" xfId="0" applyNumberFormat="1" applyFont="1" applyBorder="1"/>
    <xf numFmtId="1" fontId="40" fillId="0" borderId="6" xfId="0" applyNumberFormat="1" applyFont="1" applyBorder="1" applyAlignment="1">
      <alignment horizontal="center" wrapText="1"/>
    </xf>
    <xf numFmtId="0" fontId="44" fillId="0" borderId="6" xfId="0" applyFont="1" applyBorder="1" applyAlignment="1">
      <alignment horizontal="center" vertical="center"/>
    </xf>
    <xf numFmtId="0" fontId="44" fillId="0" borderId="6" xfId="0" applyFont="1" applyBorder="1" applyAlignment="1">
      <alignment horizontal="left" vertical="center"/>
    </xf>
    <xf numFmtId="0" fontId="38" fillId="0" borderId="6" xfId="0" applyFont="1" applyBorder="1" applyAlignment="1">
      <alignment horizontal="center"/>
    </xf>
    <xf numFmtId="1" fontId="38" fillId="0" borderId="6" xfId="0" applyNumberFormat="1" applyFont="1" applyBorder="1" applyAlignment="1">
      <alignment horizontal="center"/>
    </xf>
    <xf numFmtId="1" fontId="38" fillId="0" borderId="6" xfId="0" applyNumberFormat="1" applyFont="1" applyBorder="1" applyAlignment="1">
      <alignment horizontal="center" wrapText="1"/>
    </xf>
    <xf numFmtId="16" fontId="1" fillId="0" borderId="6" xfId="3" applyNumberFormat="1" applyFont="1" applyBorder="1" applyAlignment="1">
      <alignment horizontal="center"/>
    </xf>
    <xf numFmtId="0" fontId="44" fillId="5" borderId="6" xfId="0" applyFont="1" applyFill="1" applyBorder="1"/>
    <xf numFmtId="1" fontId="6" fillId="0" borderId="6" xfId="3" applyNumberFormat="1" applyFont="1" applyBorder="1" applyAlignment="1">
      <alignment horizontal="center"/>
    </xf>
    <xf numFmtId="1" fontId="6" fillId="0" borderId="6" xfId="3" applyNumberFormat="1" applyFont="1" applyBorder="1" applyAlignment="1">
      <alignment horizontal="center" wrapText="1"/>
    </xf>
    <xf numFmtId="49" fontId="6" fillId="0" borderId="27" xfId="3" applyNumberFormat="1" applyFont="1" applyBorder="1" applyAlignment="1">
      <alignment horizontal="center"/>
    </xf>
    <xf numFmtId="49" fontId="6" fillId="0" borderId="29" xfId="3" applyNumberFormat="1" applyFont="1" applyBorder="1" applyAlignment="1">
      <alignment horizontal="center"/>
    </xf>
    <xf numFmtId="170" fontId="6" fillId="0" borderId="6" xfId="3" applyNumberFormat="1" applyFont="1" applyBorder="1" applyAlignment="1">
      <alignment horizontal="center"/>
    </xf>
    <xf numFmtId="49" fontId="6" fillId="5" borderId="6" xfId="0" applyNumberFormat="1" applyFont="1" applyFill="1" applyBorder="1" applyAlignment="1">
      <alignment horizontal="center"/>
    </xf>
    <xf numFmtId="1" fontId="6" fillId="5" borderId="6" xfId="0" applyNumberFormat="1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16" fontId="6" fillId="0" borderId="6" xfId="0" applyNumberFormat="1" applyFont="1" applyBorder="1" applyAlignment="1">
      <alignment horizontal="center"/>
    </xf>
    <xf numFmtId="1" fontId="6" fillId="0" borderId="6" xfId="12" applyNumberFormat="1" applyFont="1" applyBorder="1" applyAlignment="1">
      <alignment horizontal="center"/>
    </xf>
    <xf numFmtId="1" fontId="6" fillId="0" borderId="6" xfId="12" applyNumberFormat="1" applyFont="1" applyBorder="1" applyAlignment="1">
      <alignment horizontal="center" wrapText="1"/>
    </xf>
    <xf numFmtId="49" fontId="6" fillId="0" borderId="6" xfId="0" applyNumberFormat="1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2" fontId="6" fillId="0" borderId="6" xfId="3" applyNumberFormat="1" applyFont="1" applyBorder="1" applyAlignment="1">
      <alignment horizontal="center"/>
    </xf>
    <xf numFmtId="12" fontId="6" fillId="0" borderId="6" xfId="3" applyNumberFormat="1" applyFont="1" applyBorder="1" applyAlignment="1">
      <alignment horizontal="center"/>
    </xf>
    <xf numFmtId="0" fontId="40" fillId="0" borderId="6" xfId="0" quotePrefix="1" applyFont="1" applyBorder="1"/>
    <xf numFmtId="0" fontId="6" fillId="0" borderId="6" xfId="0" applyFont="1" applyBorder="1"/>
    <xf numFmtId="49" fontId="6" fillId="0" borderId="6" xfId="3" applyNumberFormat="1" applyFont="1" applyBorder="1"/>
    <xf numFmtId="49" fontId="45" fillId="2" borderId="39" xfId="3" applyNumberFormat="1" applyFont="1" applyFill="1" applyBorder="1" applyAlignment="1">
      <alignment horizontal="center" vertical="center"/>
    </xf>
    <xf numFmtId="49" fontId="45" fillId="2" borderId="0" xfId="3" applyNumberFormat="1" applyFont="1" applyFill="1" applyAlignment="1">
      <alignment horizontal="center" vertical="center"/>
    </xf>
    <xf numFmtId="0" fontId="40" fillId="2" borderId="0" xfId="3" applyFont="1" applyFill="1"/>
    <xf numFmtId="1" fontId="40" fillId="2" borderId="0" xfId="3" applyNumberFormat="1" applyFont="1" applyFill="1" applyAlignment="1">
      <alignment horizontal="center"/>
    </xf>
    <xf numFmtId="166" fontId="40" fillId="2" borderId="0" xfId="3" applyNumberFormat="1" applyFont="1" applyFill="1" applyAlignment="1">
      <alignment horizontal="center" wrapText="1"/>
    </xf>
    <xf numFmtId="0" fontId="40" fillId="2" borderId="50" xfId="3" applyFont="1" applyFill="1" applyBorder="1" applyAlignment="1">
      <alignment horizontal="center"/>
    </xf>
    <xf numFmtId="0" fontId="40" fillId="4" borderId="33" xfId="3" applyFont="1" applyFill="1" applyBorder="1" applyAlignment="1">
      <alignment horizontal="center"/>
    </xf>
    <xf numFmtId="0" fontId="40" fillId="4" borderId="34" xfId="3" applyFont="1" applyFill="1" applyBorder="1" applyAlignment="1">
      <alignment horizontal="center"/>
    </xf>
    <xf numFmtId="0" fontId="40" fillId="4" borderId="34" xfId="3" applyFont="1" applyFill="1" applyBorder="1"/>
    <xf numFmtId="0" fontId="3" fillId="4" borderId="34" xfId="3" applyFont="1" applyFill="1" applyBorder="1" applyAlignment="1">
      <alignment horizontal="center"/>
    </xf>
    <xf numFmtId="1" fontId="3" fillId="4" borderId="34" xfId="3" applyNumberFormat="1" applyFont="1" applyFill="1" applyBorder="1" applyAlignment="1">
      <alignment horizontal="center"/>
    </xf>
    <xf numFmtId="166" fontId="40" fillId="4" borderId="34" xfId="3" applyNumberFormat="1" applyFont="1" applyFill="1" applyBorder="1" applyAlignment="1">
      <alignment horizontal="center" wrapText="1"/>
    </xf>
    <xf numFmtId="0" fontId="40" fillId="4" borderId="35" xfId="3" applyFont="1" applyFill="1" applyBorder="1" applyAlignment="1">
      <alignment horizontal="center"/>
    </xf>
    <xf numFmtId="1" fontId="1" fillId="0" borderId="25" xfId="0" applyNumberFormat="1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4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" fontId="1" fillId="0" borderId="22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9" fontId="46" fillId="5" borderId="29" xfId="0" applyNumberFormat="1" applyFont="1" applyFill="1" applyBorder="1" applyAlignment="1">
      <alignment horizontal="center" vertical="center"/>
    </xf>
    <xf numFmtId="49" fontId="7" fillId="5" borderId="6" xfId="0" applyNumberFormat="1" applyFont="1" applyFill="1" applyBorder="1" applyAlignment="1">
      <alignment vertical="center"/>
    </xf>
    <xf numFmtId="0" fontId="46" fillId="5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69" fontId="1" fillId="0" borderId="6" xfId="0" applyNumberFormat="1" applyFont="1" applyBorder="1" applyAlignment="1">
      <alignment horizontal="center" wrapText="1"/>
    </xf>
    <xf numFmtId="1" fontId="1" fillId="0" borderId="6" xfId="3" applyNumberFormat="1" applyFont="1" applyBorder="1" applyAlignment="1">
      <alignment horizontal="center"/>
    </xf>
    <xf numFmtId="1" fontId="1" fillId="0" borderId="6" xfId="3" applyNumberFormat="1" applyFont="1" applyBorder="1" applyAlignment="1">
      <alignment horizontal="center" wrapText="1"/>
    </xf>
    <xf numFmtId="2" fontId="40" fillId="0" borderId="6" xfId="3" applyNumberFormat="1" applyFont="1" applyBorder="1" applyAlignment="1">
      <alignment horizontal="center"/>
    </xf>
    <xf numFmtId="0" fontId="1" fillId="0" borderId="6" xfId="3" applyFont="1" applyBorder="1" applyAlignment="1">
      <alignment horizontal="center"/>
    </xf>
    <xf numFmtId="0" fontId="0" fillId="0" borderId="6" xfId="0" applyBorder="1"/>
    <xf numFmtId="49" fontId="6" fillId="5" borderId="6" xfId="0" applyNumberFormat="1" applyFont="1" applyFill="1" applyBorder="1"/>
    <xf numFmtId="49" fontId="38" fillId="0" borderId="6" xfId="3" applyNumberFormat="1" applyFont="1" applyBorder="1" applyAlignment="1">
      <alignment horizontal="center"/>
    </xf>
    <xf numFmtId="0" fontId="38" fillId="0" borderId="6" xfId="3" applyFont="1" applyBorder="1" applyAlignment="1">
      <alignment horizontal="center"/>
    </xf>
    <xf numFmtId="0" fontId="40" fillId="0" borderId="6" xfId="0" quotePrefix="1" applyFont="1" applyBorder="1" applyAlignment="1">
      <alignment horizontal="right"/>
    </xf>
    <xf numFmtId="1" fontId="6" fillId="0" borderId="6" xfId="0" applyNumberFormat="1" applyFont="1" applyBorder="1"/>
    <xf numFmtId="0" fontId="4" fillId="2" borderId="2" xfId="2" applyFont="1" applyFill="1" applyBorder="1" applyAlignment="1">
      <alignment horizontal="right"/>
    </xf>
    <xf numFmtId="0" fontId="2" fillId="2" borderId="3" xfId="2" applyFont="1" applyFill="1" applyBorder="1" applyAlignment="1">
      <alignment horizontal="center"/>
    </xf>
    <xf numFmtId="0" fontId="4" fillId="2" borderId="6" xfId="2" applyFont="1" applyFill="1" applyBorder="1" applyAlignment="1">
      <alignment horizontal="right"/>
    </xf>
    <xf numFmtId="49" fontId="2" fillId="2" borderId="7" xfId="2" applyNumberFormat="1" applyFont="1" applyFill="1" applyBorder="1" applyAlignment="1">
      <alignment horizontal="center"/>
    </xf>
    <xf numFmtId="0" fontId="2" fillId="2" borderId="25" xfId="2" applyFont="1" applyFill="1" applyBorder="1" applyAlignment="1">
      <alignment horizontal="right"/>
    </xf>
    <xf numFmtId="0" fontId="2" fillId="2" borderId="6" xfId="2" applyFont="1" applyFill="1" applyBorder="1" applyAlignment="1">
      <alignment horizontal="right"/>
    </xf>
    <xf numFmtId="14" fontId="50" fillId="2" borderId="0" xfId="2" applyNumberFormat="1" applyFont="1" applyFill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 wrapText="1"/>
    </xf>
    <xf numFmtId="1" fontId="4" fillId="4" borderId="22" xfId="3" applyNumberFormat="1" applyFont="1" applyFill="1" applyBorder="1" applyAlignment="1">
      <alignment horizontal="center"/>
    </xf>
    <xf numFmtId="1" fontId="4" fillId="4" borderId="22" xfId="3" applyNumberFormat="1" applyFont="1" applyFill="1" applyBorder="1" applyAlignment="1">
      <alignment horizontal="center" wrapText="1"/>
    </xf>
    <xf numFmtId="0" fontId="4" fillId="4" borderId="23" xfId="3" applyFont="1" applyFill="1" applyBorder="1" applyAlignment="1">
      <alignment horizontal="center"/>
    </xf>
    <xf numFmtId="0" fontId="51" fillId="0" borderId="27" xfId="3" applyFont="1" applyBorder="1" applyAlignment="1">
      <alignment horizontal="center" vertical="center"/>
    </xf>
    <xf numFmtId="0" fontId="51" fillId="0" borderId="29" xfId="3" applyFont="1" applyBorder="1" applyAlignment="1">
      <alignment horizontal="center" vertical="center"/>
    </xf>
    <xf numFmtId="0" fontId="52" fillId="0" borderId="6" xfId="3" applyFont="1" applyBorder="1" applyAlignment="1">
      <alignment vertical="center"/>
    </xf>
    <xf numFmtId="0" fontId="51" fillId="0" borderId="6" xfId="3" applyFont="1" applyBorder="1" applyAlignment="1">
      <alignment horizontal="center" vertical="center"/>
    </xf>
    <xf numFmtId="1" fontId="51" fillId="0" borderId="6" xfId="3" applyNumberFormat="1" applyFont="1" applyBorder="1" applyAlignment="1">
      <alignment horizontal="center"/>
    </xf>
    <xf numFmtId="1" fontId="51" fillId="0" borderId="6" xfId="3" applyNumberFormat="1" applyFont="1" applyBorder="1" applyAlignment="1">
      <alignment horizontal="center" wrapText="1"/>
    </xf>
    <xf numFmtId="0" fontId="46" fillId="0" borderId="7" xfId="3" applyFont="1" applyBorder="1" applyAlignment="1">
      <alignment horizontal="center"/>
    </xf>
    <xf numFmtId="1" fontId="0" fillId="0" borderId="6" xfId="0" applyNumberFormat="1" applyBorder="1"/>
    <xf numFmtId="0" fontId="2" fillId="0" borderId="6" xfId="0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wrapText="1"/>
    </xf>
    <xf numFmtId="12" fontId="2" fillId="0" borderId="25" xfId="0" applyNumberFormat="1" applyFont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0" fillId="0" borderId="29" xfId="0" applyBorder="1" applyAlignment="1">
      <alignment horizontal="center"/>
    </xf>
    <xf numFmtId="0" fontId="2" fillId="0" borderId="6" xfId="0" applyFont="1" applyBorder="1" applyAlignment="1">
      <alignment horizontal="center"/>
    </xf>
    <xf numFmtId="49" fontId="46" fillId="0" borderId="27" xfId="3" applyNumberFormat="1" applyFont="1" applyBorder="1" applyAlignment="1">
      <alignment horizontal="center"/>
    </xf>
    <xf numFmtId="49" fontId="46" fillId="0" borderId="29" xfId="3" applyNumberFormat="1" applyFont="1" applyBorder="1" applyAlignment="1">
      <alignment horizontal="center"/>
    </xf>
    <xf numFmtId="0" fontId="2" fillId="5" borderId="6" xfId="3" applyFont="1" applyFill="1" applyBorder="1" applyAlignment="1">
      <alignment horizontal="center"/>
    </xf>
    <xf numFmtId="1" fontId="0" fillId="0" borderId="29" xfId="0" applyNumberFormat="1" applyBorder="1"/>
    <xf numFmtId="0" fontId="46" fillId="0" borderId="6" xfId="3" applyFont="1" applyBorder="1" applyAlignment="1">
      <alignment horizontal="center"/>
    </xf>
    <xf numFmtId="170" fontId="46" fillId="0" borderId="6" xfId="3" applyNumberFormat="1" applyFont="1" applyBorder="1" applyAlignment="1">
      <alignment horizontal="center"/>
    </xf>
    <xf numFmtId="1" fontId="46" fillId="0" borderId="6" xfId="3" applyNumberFormat="1" applyFont="1" applyBorder="1" applyAlignment="1">
      <alignment horizontal="center" wrapText="1"/>
    </xf>
    <xf numFmtId="0" fontId="53" fillId="5" borderId="27" xfId="0" applyFont="1" applyFill="1" applyBorder="1" applyAlignment="1">
      <alignment horizontal="center"/>
    </xf>
    <xf numFmtId="0" fontId="53" fillId="5" borderId="9" xfId="0" applyFont="1" applyFill="1" applyBorder="1" applyAlignment="1">
      <alignment horizontal="center"/>
    </xf>
    <xf numFmtId="0" fontId="53" fillId="5" borderId="25" xfId="0" applyFont="1" applyFill="1" applyBorder="1"/>
    <xf numFmtId="0" fontId="2" fillId="5" borderId="29" xfId="0" applyFont="1" applyFill="1" applyBorder="1" applyAlignment="1">
      <alignment horizontal="center"/>
    </xf>
    <xf numFmtId="1" fontId="2" fillId="5" borderId="25" xfId="0" applyNumberFormat="1" applyFont="1" applyFill="1" applyBorder="1" applyAlignment="1">
      <alignment horizontal="center"/>
    </xf>
    <xf numFmtId="1" fontId="2" fillId="5" borderId="25" xfId="0" applyNumberFormat="1" applyFont="1" applyFill="1" applyBorder="1" applyAlignment="1">
      <alignment horizontal="center" wrapText="1"/>
    </xf>
    <xf numFmtId="16" fontId="2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 wrapText="1"/>
    </xf>
    <xf numFmtId="49" fontId="51" fillId="0" borderId="32" xfId="3" applyNumberFormat="1" applyFont="1" applyBorder="1" applyAlignment="1">
      <alignment horizontal="center"/>
    </xf>
    <xf numFmtId="49" fontId="51" fillId="0" borderId="30" xfId="3" applyNumberFormat="1" applyFont="1" applyBorder="1" applyAlignment="1">
      <alignment horizontal="center"/>
    </xf>
    <xf numFmtId="0" fontId="51" fillId="0" borderId="29" xfId="3" applyFont="1" applyBorder="1" applyAlignment="1">
      <alignment horizontal="center"/>
    </xf>
    <xf numFmtId="170" fontId="51" fillId="0" borderId="6" xfId="3" applyNumberFormat="1" applyFont="1" applyBorder="1" applyAlignment="1">
      <alignment horizontal="center"/>
    </xf>
    <xf numFmtId="49" fontId="46" fillId="0" borderId="27" xfId="0" applyNumberFormat="1" applyFont="1" applyBorder="1" applyAlignment="1">
      <alignment horizontal="center"/>
    </xf>
    <xf numFmtId="49" fontId="46" fillId="0" borderId="29" xfId="0" applyNumberFormat="1" applyFont="1" applyBorder="1" applyAlignment="1">
      <alignment horizontal="center"/>
    </xf>
    <xf numFmtId="49" fontId="5" fillId="0" borderId="6" xfId="0" applyNumberFormat="1" applyFont="1" applyBorder="1"/>
    <xf numFmtId="0" fontId="46" fillId="0" borderId="6" xfId="0" applyFont="1" applyBorder="1" applyAlignment="1">
      <alignment horizontal="center"/>
    </xf>
    <xf numFmtId="1" fontId="46" fillId="0" borderId="6" xfId="0" applyNumberFormat="1" applyFont="1" applyBorder="1" applyAlignment="1">
      <alignment horizontal="center"/>
    </xf>
    <xf numFmtId="1" fontId="46" fillId="0" borderId="6" xfId="0" applyNumberFormat="1" applyFont="1" applyBorder="1" applyAlignment="1">
      <alignment horizontal="center" wrapText="1"/>
    </xf>
    <xf numFmtId="171" fontId="4" fillId="5" borderId="6" xfId="8" applyNumberFormat="1" applyFont="1" applyFill="1" applyBorder="1" applyAlignment="1">
      <alignment horizontal="center"/>
    </xf>
    <xf numFmtId="0" fontId="54" fillId="0" borderId="27" xfId="0" applyFont="1" applyBorder="1" applyAlignment="1">
      <alignment horizontal="center"/>
    </xf>
    <xf numFmtId="0" fontId="54" fillId="0" borderId="29" xfId="0" applyFont="1" applyBorder="1" applyAlignment="1">
      <alignment horizontal="center"/>
    </xf>
    <xf numFmtId="0" fontId="34" fillId="0" borderId="6" xfId="0" applyFont="1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2" fontId="46" fillId="0" borderId="6" xfId="3" applyNumberFormat="1" applyFont="1" applyBorder="1" applyAlignment="1">
      <alignment horizontal="center"/>
    </xf>
    <xf numFmtId="1" fontId="46" fillId="0" borderId="6" xfId="3" applyNumberFormat="1" applyFont="1" applyBorder="1" applyAlignment="1">
      <alignment horizontal="center"/>
    </xf>
    <xf numFmtId="0" fontId="2" fillId="0" borderId="6" xfId="0" quotePrefix="1" applyFont="1" applyBorder="1" applyAlignment="1">
      <alignment horizontal="center"/>
    </xf>
    <xf numFmtId="0" fontId="2" fillId="0" borderId="6" xfId="0" quotePrefix="1" applyFont="1" applyBorder="1"/>
    <xf numFmtId="49" fontId="55" fillId="2" borderId="39" xfId="3" applyNumberFormat="1" applyFont="1" applyFill="1" applyBorder="1" applyAlignment="1">
      <alignment horizontal="center" vertical="center"/>
    </xf>
    <xf numFmtId="49" fontId="55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6" fontId="2" fillId="2" borderId="0" xfId="3" applyNumberFormat="1" applyFont="1" applyFill="1" applyAlignment="1">
      <alignment horizontal="center" wrapText="1"/>
    </xf>
    <xf numFmtId="0" fontId="2" fillId="2" borderId="50" xfId="3" applyFont="1" applyFill="1" applyBorder="1" applyAlignment="1">
      <alignment horizontal="center"/>
    </xf>
    <xf numFmtId="0" fontId="2" fillId="4" borderId="33" xfId="3" applyFont="1" applyFill="1" applyBorder="1" applyAlignment="1">
      <alignment horizontal="center"/>
    </xf>
    <xf numFmtId="0" fontId="2" fillId="4" borderId="34" xfId="3" applyFont="1" applyFill="1" applyBorder="1" applyAlignment="1">
      <alignment horizontal="center"/>
    </xf>
    <xf numFmtId="0" fontId="2" fillId="4" borderId="34" xfId="3" applyFont="1" applyFill="1" applyBorder="1"/>
    <xf numFmtId="0" fontId="4" fillId="4" borderId="34" xfId="3" applyFont="1" applyFill="1" applyBorder="1" applyAlignment="1">
      <alignment horizontal="center"/>
    </xf>
    <xf numFmtId="1" fontId="4" fillId="4" borderId="34" xfId="3" applyNumberFormat="1" applyFont="1" applyFill="1" applyBorder="1" applyAlignment="1">
      <alignment horizontal="center"/>
    </xf>
    <xf numFmtId="166" fontId="2" fillId="4" borderId="34" xfId="3" applyNumberFormat="1" applyFont="1" applyFill="1" applyBorder="1" applyAlignment="1">
      <alignment horizontal="center" wrapText="1"/>
    </xf>
    <xf numFmtId="0" fontId="2" fillId="4" borderId="35" xfId="3" applyFont="1" applyFill="1" applyBorder="1" applyAlignment="1">
      <alignment horizontal="center"/>
    </xf>
    <xf numFmtId="1" fontId="4" fillId="0" borderId="25" xfId="0" applyNumberFormat="1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1" fontId="2" fillId="0" borderId="22" xfId="0" applyNumberFormat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8" fillId="0" borderId="55" xfId="3" applyBorder="1" applyAlignment="1">
      <alignment horizontal="center" vertical="center"/>
    </xf>
    <xf numFmtId="0" fontId="8" fillId="0" borderId="6" xfId="3" applyBorder="1" applyAlignment="1">
      <alignment horizontal="center" vertical="center"/>
    </xf>
    <xf numFmtId="0" fontId="8" fillId="0" borderId="56" xfId="3" applyBorder="1" applyAlignment="1">
      <alignment horizontal="left" vertical="center"/>
    </xf>
    <xf numFmtId="16" fontId="2" fillId="0" borderId="25" xfId="3" applyNumberFormat="1" applyFont="1" applyBorder="1" applyAlignment="1">
      <alignment horizontal="center"/>
    </xf>
    <xf numFmtId="1" fontId="2" fillId="0" borderId="6" xfId="3" applyNumberFormat="1" applyFont="1" applyBorder="1" applyAlignment="1">
      <alignment horizontal="center"/>
    </xf>
    <xf numFmtId="1" fontId="2" fillId="0" borderId="6" xfId="3" applyNumberFormat="1" applyFont="1" applyBorder="1" applyAlignment="1">
      <alignment horizontal="center" wrapText="1"/>
    </xf>
    <xf numFmtId="0" fontId="2" fillId="0" borderId="28" xfId="3" quotePrefix="1" applyFont="1" applyBorder="1" applyAlignment="1">
      <alignment horizontal="center"/>
    </xf>
    <xf numFmtId="0" fontId="2" fillId="0" borderId="6" xfId="3" quotePrefix="1" applyFont="1" applyBorder="1" applyAlignment="1">
      <alignment horizontal="center"/>
    </xf>
    <xf numFmtId="0" fontId="2" fillId="0" borderId="29" xfId="3" quotePrefix="1" applyFont="1" applyBorder="1"/>
    <xf numFmtId="16" fontId="2" fillId="0" borderId="6" xfId="3" applyNumberFormat="1" applyFont="1" applyBorder="1" applyAlignment="1">
      <alignment horizontal="center"/>
    </xf>
    <xf numFmtId="0" fontId="58" fillId="0" borderId="6" xfId="0" applyFont="1" applyBorder="1" applyAlignment="1">
      <alignment horizontal="center" vertical="center"/>
    </xf>
    <xf numFmtId="49" fontId="2" fillId="5" borderId="25" xfId="0" applyNumberFormat="1" applyFont="1" applyFill="1" applyBorder="1" applyAlignment="1">
      <alignment horizontal="center"/>
    </xf>
    <xf numFmtId="1" fontId="2" fillId="5" borderId="6" xfId="3" applyNumberFormat="1" applyFont="1" applyFill="1" applyBorder="1" applyAlignment="1">
      <alignment horizontal="center"/>
    </xf>
    <xf numFmtId="1" fontId="2" fillId="5" borderId="6" xfId="3" applyNumberFormat="1" applyFont="1" applyFill="1" applyBorder="1" applyAlignment="1">
      <alignment horizontal="center" wrapText="1"/>
    </xf>
    <xf numFmtId="49" fontId="46" fillId="0" borderId="6" xfId="0" applyNumberFormat="1" applyFont="1" applyBorder="1" applyAlignment="1">
      <alignment horizontal="center"/>
    </xf>
    <xf numFmtId="49" fontId="7" fillId="0" borderId="6" xfId="0" applyNumberFormat="1" applyFont="1" applyBorder="1"/>
    <xf numFmtId="16" fontId="46" fillId="0" borderId="6" xfId="0" applyNumberFormat="1" applyFont="1" applyBorder="1" applyAlignment="1">
      <alignment horizontal="center"/>
    </xf>
    <xf numFmtId="49" fontId="7" fillId="0" borderId="6" xfId="3" applyNumberFormat="1" applyFont="1" applyBorder="1"/>
    <xf numFmtId="1" fontId="2" fillId="0" borderId="25" xfId="0" applyNumberFormat="1" applyFont="1" applyBorder="1" applyAlignment="1">
      <alignment horizontal="center"/>
    </xf>
    <xf numFmtId="0" fontId="60" fillId="0" borderId="6" xfId="0" applyFont="1" applyBorder="1" applyAlignment="1">
      <alignment horizontal="center" vertical="center"/>
    </xf>
    <xf numFmtId="0" fontId="60" fillId="0" borderId="29" xfId="0" applyFont="1" applyBorder="1" applyAlignment="1">
      <alignment horizontal="center" vertical="center"/>
    </xf>
    <xf numFmtId="0" fontId="0" fillId="0" borderId="29" xfId="11" applyFont="1" applyBorder="1" applyAlignment="1">
      <alignment horizontal="center"/>
    </xf>
    <xf numFmtId="16" fontId="6" fillId="0" borderId="6" xfId="3" applyNumberFormat="1" applyFont="1" applyBorder="1" applyAlignment="1">
      <alignment horizontal="center"/>
    </xf>
    <xf numFmtId="0" fontId="37" fillId="0" borderId="6" xfId="11" applyBorder="1" applyAlignment="1">
      <alignment horizontal="center"/>
    </xf>
    <xf numFmtId="0" fontId="0" fillId="0" borderId="6" xfId="11" applyFont="1" applyBorder="1" applyAlignment="1">
      <alignment horizontal="center"/>
    </xf>
    <xf numFmtId="0" fontId="9" fillId="0" borderId="27" xfId="4" applyBorder="1" applyAlignment="1">
      <alignment horizontal="center"/>
    </xf>
    <xf numFmtId="0" fontId="9" fillId="0" borderId="29" xfId="4" applyBorder="1" applyAlignment="1">
      <alignment horizontal="center"/>
    </xf>
    <xf numFmtId="0" fontId="9" fillId="0" borderId="6" xfId="4" applyBorder="1"/>
    <xf numFmtId="0" fontId="9" fillId="0" borderId="6" xfId="4" applyBorder="1" applyAlignment="1">
      <alignment horizontal="center" vertical="center"/>
    </xf>
    <xf numFmtId="0" fontId="8" fillId="0" borderId="25" xfId="0" applyFont="1" applyBorder="1" applyAlignment="1">
      <alignment horizontal="center"/>
    </xf>
    <xf numFmtId="169" fontId="8" fillId="0" borderId="25" xfId="0" applyNumberFormat="1" applyFont="1" applyBorder="1" applyAlignment="1">
      <alignment horizontal="center" wrapText="1"/>
    </xf>
    <xf numFmtId="0" fontId="8" fillId="0" borderId="25" xfId="3" applyBorder="1" applyAlignment="1">
      <alignment horizontal="center"/>
    </xf>
    <xf numFmtId="1" fontId="8" fillId="0" borderId="6" xfId="3" applyNumberFormat="1" applyBorder="1" applyAlignment="1">
      <alignment horizontal="center" wrapText="1"/>
    </xf>
    <xf numFmtId="1" fontId="8" fillId="0" borderId="6" xfId="3" applyNumberFormat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0" xfId="0" applyFont="1"/>
    <xf numFmtId="0" fontId="9" fillId="5" borderId="27" xfId="4" applyFill="1" applyBorder="1" applyAlignment="1">
      <alignment horizontal="center"/>
    </xf>
    <xf numFmtId="0" fontId="9" fillId="5" borderId="29" xfId="4" applyFill="1" applyBorder="1" applyAlignment="1">
      <alignment horizontal="center"/>
    </xf>
    <xf numFmtId="0" fontId="0" fillId="5" borderId="6" xfId="4" applyFont="1" applyFill="1" applyBorder="1"/>
    <xf numFmtId="0" fontId="9" fillId="5" borderId="6" xfId="4" applyFill="1" applyBorder="1"/>
    <xf numFmtId="1" fontId="8" fillId="0" borderId="25" xfId="0" applyNumberFormat="1" applyFont="1" applyBorder="1" applyAlignment="1">
      <alignment horizontal="center" wrapText="1"/>
    </xf>
    <xf numFmtId="49" fontId="46" fillId="0" borderId="27" xfId="13" applyNumberFormat="1" applyFont="1" applyBorder="1" applyAlignment="1">
      <alignment horizontal="center"/>
    </xf>
    <xf numFmtId="49" fontId="46" fillId="0" borderId="29" xfId="13" applyNumberFormat="1" applyFont="1" applyBorder="1" applyAlignment="1">
      <alignment horizontal="center"/>
    </xf>
    <xf numFmtId="49" fontId="7" fillId="0" borderId="6" xfId="13" applyNumberFormat="1" applyFont="1" applyBorder="1"/>
    <xf numFmtId="0" fontId="46" fillId="0" borderId="6" xfId="13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2" fontId="2" fillId="0" borderId="25" xfId="3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5" borderId="6" xfId="0" applyFill="1" applyBorder="1"/>
    <xf numFmtId="0" fontId="8" fillId="0" borderId="27" xfId="12" applyBorder="1" applyAlignment="1">
      <alignment horizontal="center"/>
    </xf>
    <xf numFmtId="0" fontId="8" fillId="0" borderId="6" xfId="3" applyBorder="1" applyAlignment="1">
      <alignment horizontal="center"/>
    </xf>
    <xf numFmtId="0" fontId="8" fillId="5" borderId="6" xfId="12" applyFill="1" applyBorder="1"/>
    <xf numFmtId="16" fontId="46" fillId="0" borderId="6" xfId="12" applyNumberFormat="1" applyFont="1" applyBorder="1" applyAlignment="1">
      <alignment horizontal="center"/>
    </xf>
    <xf numFmtId="0" fontId="8" fillId="0" borderId="6" xfId="12" applyBorder="1" applyAlignment="1">
      <alignment horizontal="center"/>
    </xf>
    <xf numFmtId="1" fontId="46" fillId="0" borderId="6" xfId="12" applyNumberFormat="1" applyFont="1" applyBorder="1" applyAlignment="1">
      <alignment horizontal="center"/>
    </xf>
    <xf numFmtId="1" fontId="46" fillId="0" borderId="6" xfId="12" applyNumberFormat="1" applyFont="1" applyBorder="1" applyAlignment="1">
      <alignment horizontal="center" wrapText="1"/>
    </xf>
    <xf numFmtId="16" fontId="7" fillId="0" borderId="6" xfId="3" applyNumberFormat="1" applyFont="1" applyBorder="1" applyAlignment="1">
      <alignment horizontal="center"/>
    </xf>
    <xf numFmtId="16" fontId="46" fillId="0" borderId="29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2" fontId="46" fillId="0" borderId="6" xfId="3" applyNumberFormat="1" applyFont="1" applyBorder="1" applyAlignment="1">
      <alignment horizontal="center"/>
    </xf>
    <xf numFmtId="0" fontId="0" fillId="0" borderId="29" xfId="4" applyFont="1" applyBorder="1" applyAlignment="1">
      <alignment horizontal="center"/>
    </xf>
    <xf numFmtId="0" fontId="0" fillId="5" borderId="6" xfId="0" applyFill="1" applyBorder="1" applyAlignment="1">
      <alignment horizontal="center"/>
    </xf>
    <xf numFmtId="49" fontId="46" fillId="5" borderId="27" xfId="3" applyNumberFormat="1" applyFont="1" applyFill="1" applyBorder="1" applyAlignment="1">
      <alignment horizontal="center"/>
    </xf>
    <xf numFmtId="49" fontId="46" fillId="5" borderId="29" xfId="3" applyNumberFormat="1" applyFont="1" applyFill="1" applyBorder="1" applyAlignment="1">
      <alignment horizontal="center"/>
    </xf>
    <xf numFmtId="49" fontId="7" fillId="5" borderId="6" xfId="3" applyNumberFormat="1" applyFont="1" applyFill="1" applyBorder="1"/>
    <xf numFmtId="1" fontId="8" fillId="0" borderId="25" xfId="0" applyNumberFormat="1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62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" fontId="8" fillId="0" borderId="22" xfId="0" applyNumberFormat="1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46" fillId="0" borderId="30" xfId="0" applyFont="1" applyBorder="1" applyAlignment="1">
      <alignment horizontal="left"/>
    </xf>
    <xf numFmtId="0" fontId="8" fillId="2" borderId="3" xfId="2" applyFont="1" applyFill="1" applyBorder="1" applyAlignment="1">
      <alignment horizontal="center"/>
    </xf>
    <xf numFmtId="0" fontId="8" fillId="0" borderId="58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0" fontId="63" fillId="0" borderId="6" xfId="0" applyFont="1" applyBorder="1" applyAlignment="1">
      <alignment horizontal="center" vertical="top"/>
    </xf>
    <xf numFmtId="0" fontId="2" fillId="12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left"/>
    </xf>
    <xf numFmtId="0" fontId="64" fillId="0" borderId="6" xfId="0" applyFont="1" applyBorder="1" applyAlignment="1">
      <alignment horizontal="center" vertical="top"/>
    </xf>
    <xf numFmtId="0" fontId="64" fillId="0" borderId="6" xfId="0" applyFont="1" applyBorder="1" applyAlignment="1">
      <alignment vertical="top"/>
    </xf>
    <xf numFmtId="0" fontId="2" fillId="12" borderId="25" xfId="0" applyFont="1" applyFill="1" applyBorder="1" applyAlignment="1">
      <alignment horizontal="center"/>
    </xf>
    <xf numFmtId="0" fontId="2" fillId="12" borderId="25" xfId="0" applyFont="1" applyFill="1" applyBorder="1" applyAlignment="1">
      <alignment horizontal="center" wrapText="1"/>
    </xf>
    <xf numFmtId="0" fontId="65" fillId="0" borderId="6" xfId="0" applyFont="1" applyBorder="1" applyAlignment="1">
      <alignment horizontal="center" vertical="top" wrapText="1"/>
    </xf>
    <xf numFmtId="0" fontId="66" fillId="0" borderId="6" xfId="0" applyFont="1" applyBorder="1" applyAlignment="1">
      <alignment horizontal="left" vertical="top" wrapText="1"/>
    </xf>
    <xf numFmtId="0" fontId="8" fillId="0" borderId="6" xfId="0" applyFont="1" applyBorder="1"/>
    <xf numFmtId="0" fontId="8" fillId="5" borderId="27" xfId="3" applyFill="1" applyBorder="1" applyAlignment="1">
      <alignment horizontal="right"/>
    </xf>
    <xf numFmtId="0" fontId="8" fillId="5" borderId="29" xfId="3" applyFill="1" applyBorder="1" applyAlignment="1">
      <alignment horizontal="center"/>
    </xf>
    <xf numFmtId="0" fontId="8" fillId="5" borderId="6" xfId="3" applyFill="1" applyBorder="1"/>
    <xf numFmtId="0" fontId="8" fillId="5" borderId="25" xfId="3" applyFill="1" applyBorder="1" applyAlignment="1">
      <alignment horizontal="center"/>
    </xf>
    <xf numFmtId="0" fontId="8" fillId="5" borderId="6" xfId="3" applyFill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6" xfId="0" applyBorder="1" applyAlignment="1">
      <alignment horizontal="left" vertical="center"/>
    </xf>
    <xf numFmtId="0" fontId="1" fillId="0" borderId="6" xfId="0" applyFont="1" applyBorder="1"/>
    <xf numFmtId="0" fontId="53" fillId="5" borderId="27" xfId="3" applyFont="1" applyFill="1" applyBorder="1" applyAlignment="1">
      <alignment horizontal="center"/>
    </xf>
    <xf numFmtId="0" fontId="53" fillId="5" borderId="29" xfId="3" applyFont="1" applyFill="1" applyBorder="1" applyAlignment="1">
      <alignment horizontal="center"/>
    </xf>
    <xf numFmtId="0" fontId="2" fillId="5" borderId="6" xfId="3" applyFont="1" applyFill="1" applyBorder="1" applyAlignment="1">
      <alignment horizontal="left"/>
    </xf>
    <xf numFmtId="0" fontId="2" fillId="0" borderId="6" xfId="3" applyFont="1" applyBorder="1" applyAlignment="1">
      <alignment horizontal="center" vertical="center"/>
    </xf>
    <xf numFmtId="1" fontId="2" fillId="0" borderId="6" xfId="3" applyNumberFormat="1" applyFont="1" applyBorder="1" applyAlignment="1">
      <alignment horizontal="center" vertical="center"/>
    </xf>
    <xf numFmtId="1" fontId="2" fillId="0" borderId="6" xfId="3" applyNumberFormat="1" applyFont="1" applyBorder="1" applyAlignment="1">
      <alignment horizontal="center" vertical="center" wrapText="1"/>
    </xf>
    <xf numFmtId="0" fontId="4" fillId="2" borderId="2" xfId="1" applyFont="1" applyFill="1" applyBorder="1" applyAlignment="1">
      <alignment horizontal="right"/>
    </xf>
    <xf numFmtId="0" fontId="2" fillId="2" borderId="3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right"/>
    </xf>
    <xf numFmtId="49" fontId="2" fillId="2" borderId="7" xfId="1" applyNumberFormat="1" applyFont="1" applyFill="1" applyBorder="1" applyAlignment="1">
      <alignment horizontal="center"/>
    </xf>
    <xf numFmtId="0" fontId="2" fillId="2" borderId="25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right"/>
    </xf>
    <xf numFmtId="0" fontId="53" fillId="5" borderId="6" xfId="0" applyFont="1" applyFill="1" applyBorder="1" applyAlignment="1">
      <alignment horizontal="center"/>
    </xf>
    <xf numFmtId="1" fontId="2" fillId="5" borderId="6" xfId="0" applyNumberFormat="1" applyFont="1" applyFill="1" applyBorder="1" applyAlignment="1">
      <alignment horizontal="center"/>
    </xf>
    <xf numFmtId="1" fontId="2" fillId="5" borderId="6" xfId="0" applyNumberFormat="1" applyFont="1" applyFill="1" applyBorder="1" applyAlignment="1">
      <alignment horizontal="center" wrapText="1"/>
    </xf>
    <xf numFmtId="0" fontId="53" fillId="5" borderId="29" xfId="0" applyFont="1" applyFill="1" applyBorder="1" applyAlignment="1">
      <alignment horizontal="center"/>
    </xf>
    <xf numFmtId="0" fontId="53" fillId="5" borderId="6" xfId="0" applyFont="1" applyFill="1" applyBorder="1"/>
    <xf numFmtId="0" fontId="67" fillId="0" borderId="6" xfId="0" applyFont="1" applyBorder="1" applyAlignment="1">
      <alignment horizontal="center"/>
    </xf>
    <xf numFmtId="0" fontId="67" fillId="0" borderId="6" xfId="0" applyFont="1" applyBorder="1" applyAlignment="1">
      <alignment horizontal="center" vertical="center"/>
    </xf>
    <xf numFmtId="0" fontId="67" fillId="12" borderId="6" xfId="0" applyFont="1" applyFill="1" applyBorder="1"/>
    <xf numFmtId="0" fontId="2" fillId="0" borderId="6" xfId="0" applyFont="1" applyBorder="1" applyAlignment="1">
      <alignment horizontal="center" wrapText="1"/>
    </xf>
    <xf numFmtId="0" fontId="67" fillId="12" borderId="0" xfId="0" applyFont="1" applyFill="1" applyAlignment="1">
      <alignment horizontal="center"/>
    </xf>
    <xf numFmtId="0" fontId="67" fillId="12" borderId="0" xfId="0" applyFont="1" applyFill="1"/>
    <xf numFmtId="0" fontId="4" fillId="12" borderId="6" xfId="0" applyFont="1" applyFill="1" applyBorder="1" applyAlignment="1">
      <alignment horizontal="left"/>
    </xf>
    <xf numFmtId="0" fontId="67" fillId="12" borderId="6" xfId="0" applyFont="1" applyFill="1" applyBorder="1" applyAlignment="1">
      <alignment horizontal="left" vertical="center"/>
    </xf>
    <xf numFmtId="16" fontId="6" fillId="0" borderId="29" xfId="0" applyNumberFormat="1" applyFont="1" applyBorder="1" applyAlignment="1">
      <alignment horizontal="center"/>
    </xf>
    <xf numFmtId="16" fontId="2" fillId="5" borderId="6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" fontId="2" fillId="0" borderId="25" xfId="0" applyNumberFormat="1" applyFont="1" applyBorder="1" applyAlignment="1">
      <alignment horizontal="center" wrapText="1"/>
    </xf>
    <xf numFmtId="49" fontId="46" fillId="0" borderId="6" xfId="3" applyNumberFormat="1" applyFont="1" applyBorder="1" applyAlignment="1">
      <alignment horizontal="center"/>
    </xf>
    <xf numFmtId="16" fontId="46" fillId="0" borderId="6" xfId="3" applyNumberFormat="1" applyFont="1" applyBorder="1" applyAlignment="1">
      <alignment horizontal="center"/>
    </xf>
    <xf numFmtId="1" fontId="2" fillId="0" borderId="25" xfId="3" applyNumberFormat="1" applyFont="1" applyBorder="1" applyAlignment="1">
      <alignment horizontal="center"/>
    </xf>
    <xf numFmtId="0" fontId="2" fillId="0" borderId="25" xfId="3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46" fillId="0" borderId="5" xfId="0" applyFont="1" applyBorder="1" applyAlignment="1">
      <alignment horizontal="center"/>
    </xf>
    <xf numFmtId="0" fontId="46" fillId="0" borderId="6" xfId="0" applyFont="1" applyBorder="1" applyAlignment="1">
      <alignment horizontal="center" wrapText="1"/>
    </xf>
    <xf numFmtId="1" fontId="8" fillId="0" borderId="6" xfId="0" applyNumberFormat="1" applyFont="1" applyBorder="1" applyAlignment="1">
      <alignment horizontal="left" vertical="center"/>
    </xf>
    <xf numFmtId="0" fontId="46" fillId="5" borderId="27" xfId="0" applyFont="1" applyFill="1" applyBorder="1" applyAlignment="1">
      <alignment horizontal="center"/>
    </xf>
    <xf numFmtId="0" fontId="68" fillId="5" borderId="0" xfId="0" applyFont="1" applyFill="1" applyAlignment="1">
      <alignment horizontal="center"/>
    </xf>
    <xf numFmtId="1" fontId="7" fillId="5" borderId="6" xfId="0" applyNumberFormat="1" applyFont="1" applyFill="1" applyBorder="1"/>
    <xf numFmtId="0" fontId="7" fillId="5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 wrapText="1"/>
    </xf>
    <xf numFmtId="0" fontId="3" fillId="2" borderId="2" xfId="2" applyFont="1" applyFill="1" applyBorder="1" applyAlignment="1">
      <alignment horizontal="right"/>
    </xf>
    <xf numFmtId="0" fontId="40" fillId="2" borderId="3" xfId="2" applyFont="1" applyFill="1" applyBorder="1" applyAlignment="1">
      <alignment horizontal="center"/>
    </xf>
    <xf numFmtId="0" fontId="3" fillId="2" borderId="6" xfId="2" applyFont="1" applyFill="1" applyBorder="1" applyAlignment="1">
      <alignment horizontal="right"/>
    </xf>
    <xf numFmtId="49" fontId="40" fillId="2" borderId="7" xfId="2" applyNumberFormat="1" applyFont="1" applyFill="1" applyBorder="1" applyAlignment="1">
      <alignment horizontal="center"/>
    </xf>
    <xf numFmtId="0" fontId="40" fillId="2" borderId="25" xfId="2" applyFont="1" applyFill="1" applyBorder="1" applyAlignment="1">
      <alignment horizontal="right"/>
    </xf>
    <xf numFmtId="0" fontId="40" fillId="2" borderId="6" xfId="2" applyFont="1" applyFill="1" applyBorder="1" applyAlignment="1">
      <alignment horizontal="right"/>
    </xf>
    <xf numFmtId="0" fontId="69" fillId="5" borderId="27" xfId="0" applyFont="1" applyFill="1" applyBorder="1" applyAlignment="1">
      <alignment horizontal="center"/>
    </xf>
    <xf numFmtId="0" fontId="69" fillId="5" borderId="6" xfId="0" applyFont="1" applyFill="1" applyBorder="1" applyAlignment="1">
      <alignment horizontal="center"/>
    </xf>
    <xf numFmtId="0" fontId="69" fillId="5" borderId="25" xfId="0" applyFont="1" applyFill="1" applyBorder="1"/>
    <xf numFmtId="0" fontId="40" fillId="5" borderId="29" xfId="0" applyFont="1" applyFill="1" applyBorder="1" applyAlignment="1">
      <alignment horizontal="center"/>
    </xf>
    <xf numFmtId="1" fontId="40" fillId="5" borderId="6" xfId="0" applyNumberFormat="1" applyFont="1" applyFill="1" applyBorder="1" applyAlignment="1">
      <alignment horizontal="center"/>
    </xf>
    <xf numFmtId="1" fontId="40" fillId="5" borderId="6" xfId="0" applyNumberFormat="1" applyFont="1" applyFill="1" applyBorder="1" applyAlignment="1">
      <alignment horizontal="center" wrapText="1"/>
    </xf>
    <xf numFmtId="0" fontId="40" fillId="0" borderId="25" xfId="0" applyFont="1" applyBorder="1" applyAlignment="1">
      <alignment horizontal="center" wrapText="1"/>
    </xf>
    <xf numFmtId="12" fontId="40" fillId="0" borderId="25" xfId="0" applyNumberFormat="1" applyFont="1" applyBorder="1" applyAlignment="1">
      <alignment horizontal="center"/>
    </xf>
    <xf numFmtId="0" fontId="69" fillId="5" borderId="29" xfId="0" applyFont="1" applyFill="1" applyBorder="1" applyAlignment="1">
      <alignment horizontal="center"/>
    </xf>
    <xf numFmtId="0" fontId="69" fillId="5" borderId="6" xfId="0" applyFont="1" applyFill="1" applyBorder="1"/>
    <xf numFmtId="1" fontId="40" fillId="5" borderId="25" xfId="0" applyNumberFormat="1" applyFont="1" applyFill="1" applyBorder="1" applyAlignment="1">
      <alignment horizontal="center"/>
    </xf>
    <xf numFmtId="1" fontId="40" fillId="5" borderId="25" xfId="0" applyNumberFormat="1" applyFont="1" applyFill="1" applyBorder="1" applyAlignment="1">
      <alignment horizontal="center" wrapText="1"/>
    </xf>
    <xf numFmtId="0" fontId="40" fillId="0" borderId="6" xfId="0" applyFont="1" applyBorder="1" applyAlignment="1">
      <alignment horizontal="center"/>
    </xf>
    <xf numFmtId="0" fontId="70" fillId="0" borderId="6" xfId="0" applyFont="1" applyBorder="1" applyAlignment="1">
      <alignment horizontal="center"/>
    </xf>
    <xf numFmtId="0" fontId="70" fillId="0" borderId="6" xfId="0" applyFont="1" applyBorder="1" applyAlignment="1">
      <alignment horizontal="center" vertical="center"/>
    </xf>
    <xf numFmtId="0" fontId="70" fillId="12" borderId="6" xfId="0" applyFont="1" applyFill="1" applyBorder="1"/>
    <xf numFmtId="0" fontId="40" fillId="0" borderId="6" xfId="0" applyFont="1" applyBorder="1" applyAlignment="1">
      <alignment horizontal="center" wrapText="1"/>
    </xf>
    <xf numFmtId="0" fontId="70" fillId="12" borderId="0" xfId="0" applyFont="1" applyFill="1" applyAlignment="1">
      <alignment horizontal="center"/>
    </xf>
    <xf numFmtId="0" fontId="70" fillId="12" borderId="0" xfId="0" applyFont="1" applyFill="1"/>
    <xf numFmtId="0" fontId="3" fillId="12" borderId="6" xfId="0" applyFont="1" applyFill="1" applyBorder="1" applyAlignment="1">
      <alignment horizontal="left"/>
    </xf>
    <xf numFmtId="0" fontId="40" fillId="0" borderId="25" xfId="0" applyFont="1" applyBorder="1" applyAlignment="1">
      <alignment horizontal="center"/>
    </xf>
    <xf numFmtId="0" fontId="70" fillId="12" borderId="6" xfId="0" applyFont="1" applyFill="1" applyBorder="1" applyAlignment="1">
      <alignment horizontal="left" vertical="center"/>
    </xf>
    <xf numFmtId="0" fontId="69" fillId="5" borderId="9" xfId="0" applyFont="1" applyFill="1" applyBorder="1" applyAlignment="1">
      <alignment horizontal="center"/>
    </xf>
    <xf numFmtId="1" fontId="40" fillId="5" borderId="6" xfId="3" applyNumberFormat="1" applyFont="1" applyFill="1" applyBorder="1" applyAlignment="1">
      <alignment horizontal="center"/>
    </xf>
    <xf numFmtId="1" fontId="40" fillId="5" borderId="6" xfId="3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16" fontId="40" fillId="5" borderId="6" xfId="0" applyNumberFormat="1" applyFont="1" applyFill="1" applyBorder="1" applyAlignment="1">
      <alignment horizontal="center"/>
    </xf>
    <xf numFmtId="0" fontId="40" fillId="2" borderId="6" xfId="0" applyFont="1" applyFill="1" applyBorder="1" applyAlignment="1">
      <alignment horizontal="center"/>
    </xf>
    <xf numFmtId="1" fontId="40" fillId="0" borderId="25" xfId="0" applyNumberFormat="1" applyFont="1" applyBorder="1" applyAlignment="1">
      <alignment horizontal="center" wrapText="1"/>
    </xf>
    <xf numFmtId="16" fontId="40" fillId="0" borderId="6" xfId="0" applyNumberFormat="1" applyFont="1" applyBorder="1" applyAlignment="1">
      <alignment horizontal="center"/>
    </xf>
    <xf numFmtId="1" fontId="40" fillId="0" borderId="25" xfId="0" applyNumberFormat="1" applyFont="1" applyBorder="1" applyAlignment="1">
      <alignment horizontal="center"/>
    </xf>
    <xf numFmtId="49" fontId="38" fillId="0" borderId="32" xfId="3" applyNumberFormat="1" applyFont="1" applyBorder="1" applyAlignment="1">
      <alignment horizontal="center"/>
    </xf>
    <xf numFmtId="49" fontId="38" fillId="0" borderId="30" xfId="3" applyNumberFormat="1" applyFont="1" applyBorder="1" applyAlignment="1">
      <alignment horizontal="center"/>
    </xf>
    <xf numFmtId="0" fontId="38" fillId="0" borderId="29" xfId="3" applyFont="1" applyBorder="1" applyAlignment="1">
      <alignment horizontal="center"/>
    </xf>
    <xf numFmtId="170" fontId="38" fillId="0" borderId="6" xfId="3" applyNumberFormat="1" applyFont="1" applyBorder="1" applyAlignment="1">
      <alignment horizontal="center"/>
    </xf>
    <xf numFmtId="1" fontId="40" fillId="0" borderId="25" xfId="3" applyNumberFormat="1" applyFont="1" applyBorder="1" applyAlignment="1">
      <alignment horizontal="center"/>
    </xf>
    <xf numFmtId="0" fontId="40" fillId="0" borderId="25" xfId="3" applyFont="1" applyBorder="1" applyAlignment="1">
      <alignment horizontal="center"/>
    </xf>
    <xf numFmtId="171" fontId="3" fillId="5" borderId="6" xfId="8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1" fontId="1" fillId="0" borderId="6" xfId="0" applyNumberFormat="1" applyFont="1" applyBorder="1" applyAlignment="1">
      <alignment horizontal="left" vertical="center"/>
    </xf>
    <xf numFmtId="0" fontId="6" fillId="5" borderId="27" xfId="0" applyFont="1" applyFill="1" applyBorder="1" applyAlignment="1">
      <alignment horizontal="center"/>
    </xf>
    <xf numFmtId="0" fontId="71" fillId="5" borderId="0" xfId="0" applyFont="1" applyFill="1" applyAlignment="1">
      <alignment horizontal="center"/>
    </xf>
    <xf numFmtId="1" fontId="6" fillId="5" borderId="6" xfId="0" applyNumberFormat="1" applyFont="1" applyFill="1" applyBorder="1"/>
    <xf numFmtId="0" fontId="40" fillId="0" borderId="36" xfId="0" applyFont="1" applyBorder="1" applyAlignment="1">
      <alignment horizontal="center"/>
    </xf>
    <xf numFmtId="1" fontId="40" fillId="0" borderId="22" xfId="0" applyNumberFormat="1" applyFont="1" applyBorder="1" applyAlignment="1">
      <alignment horizontal="center"/>
    </xf>
    <xf numFmtId="0" fontId="40" fillId="0" borderId="22" xfId="0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16" fontId="46" fillId="5" borderId="25" xfId="0" applyNumberFormat="1" applyFont="1" applyFill="1" applyBorder="1" applyAlignment="1">
      <alignment horizontal="center"/>
    </xf>
    <xf numFmtId="1" fontId="46" fillId="5" borderId="25" xfId="0" applyNumberFormat="1" applyFont="1" applyFill="1" applyBorder="1" applyAlignment="1">
      <alignment horizontal="center"/>
    </xf>
    <xf numFmtId="1" fontId="46" fillId="0" borderId="25" xfId="0" applyNumberFormat="1" applyFont="1" applyBorder="1" applyAlignment="1">
      <alignment horizontal="center" wrapText="1"/>
    </xf>
    <xf numFmtId="2" fontId="51" fillId="0" borderId="6" xfId="3" applyNumberFormat="1" applyFont="1" applyBorder="1" applyAlignment="1">
      <alignment horizontal="center"/>
    </xf>
    <xf numFmtId="16" fontId="46" fillId="5" borderId="6" xfId="0" applyNumberFormat="1" applyFont="1" applyFill="1" applyBorder="1" applyAlignment="1">
      <alignment horizontal="center"/>
    </xf>
    <xf numFmtId="1" fontId="46" fillId="5" borderId="6" xfId="0" applyNumberFormat="1" applyFont="1" applyFill="1" applyBorder="1" applyAlignment="1">
      <alignment horizontal="center"/>
    </xf>
    <xf numFmtId="0" fontId="46" fillId="5" borderId="6" xfId="0" applyFont="1" applyFill="1" applyBorder="1" applyAlignment="1">
      <alignment horizontal="center"/>
    </xf>
    <xf numFmtId="166" fontId="46" fillId="0" borderId="6" xfId="0" applyNumberFormat="1" applyFont="1" applyBorder="1" applyAlignment="1">
      <alignment horizontal="center" wrapText="1"/>
    </xf>
    <xf numFmtId="1" fontId="0" fillId="0" borderId="6" xfId="0" applyNumberFormat="1" applyBorder="1" applyAlignment="1">
      <alignment horizontal="center"/>
    </xf>
    <xf numFmtId="0" fontId="8" fillId="0" borderId="0" xfId="3"/>
    <xf numFmtId="0" fontId="2" fillId="2" borderId="0" xfId="3" applyFont="1" applyFill="1" applyAlignment="1">
      <alignment horizontal="left" indent="1"/>
    </xf>
    <xf numFmtId="9" fontId="2" fillId="2" borderId="0" xfId="14" applyFont="1" applyFill="1"/>
    <xf numFmtId="10" fontId="5" fillId="0" borderId="0" xfId="14" applyNumberFormat="1" applyFont="1" applyFill="1" applyAlignment="1">
      <alignment vertical="center"/>
    </xf>
    <xf numFmtId="10" fontId="11" fillId="0" borderId="0" xfId="14" applyNumberFormat="1" applyFont="1" applyFill="1" applyAlignment="1">
      <alignment vertical="center"/>
    </xf>
    <xf numFmtId="10" fontId="11" fillId="6" borderId="47" xfId="14" applyNumberFormat="1" applyFont="1" applyFill="1" applyBorder="1" applyAlignment="1">
      <alignment vertical="center"/>
    </xf>
    <xf numFmtId="10" fontId="11" fillId="6" borderId="48" xfId="14" applyNumberFormat="1" applyFont="1" applyFill="1" applyBorder="1" applyAlignment="1">
      <alignment vertical="center"/>
    </xf>
    <xf numFmtId="9" fontId="36" fillId="0" borderId="0" xfId="14" applyFont="1" applyFill="1" applyAlignment="1">
      <alignment horizontal="center"/>
    </xf>
    <xf numFmtId="10" fontId="28" fillId="0" borderId="0" xfId="14" applyNumberFormat="1" applyFont="1" applyFill="1" applyAlignment="1">
      <alignment horizontal="right"/>
    </xf>
    <xf numFmtId="10" fontId="7" fillId="0" borderId="0" xfId="14" applyNumberFormat="1" applyFont="1" applyFill="1" applyAlignment="1">
      <alignment vertical="center"/>
    </xf>
    <xf numFmtId="10" fontId="11" fillId="0" borderId="0" xfId="14" applyNumberFormat="1" applyFont="1" applyFill="1" applyBorder="1" applyAlignment="1">
      <alignment vertical="center"/>
    </xf>
    <xf numFmtId="10" fontId="20" fillId="0" borderId="0" xfId="14" applyNumberFormat="1" applyFont="1" applyFill="1" applyAlignment="1">
      <alignment vertical="center"/>
    </xf>
    <xf numFmtId="10" fontId="20" fillId="0" borderId="0" xfId="14" applyNumberFormat="1" applyFont="1" applyFill="1" applyBorder="1" applyAlignment="1">
      <alignment vertical="center"/>
    </xf>
    <xf numFmtId="0" fontId="72" fillId="0" borderId="27" xfId="3" applyFont="1" applyBorder="1" applyAlignment="1">
      <alignment horizontal="center" vertical="center"/>
    </xf>
    <xf numFmtId="0" fontId="72" fillId="0" borderId="29" xfId="3" applyFont="1" applyBorder="1" applyAlignment="1">
      <alignment horizontal="center" vertical="center"/>
    </xf>
    <xf numFmtId="0" fontId="73" fillId="0" borderId="6" xfId="3" applyFont="1" applyBorder="1" applyAlignment="1">
      <alignment vertical="center"/>
    </xf>
    <xf numFmtId="0" fontId="72" fillId="0" borderId="6" xfId="3" applyFont="1" applyBorder="1" applyAlignment="1">
      <alignment horizontal="center" vertical="center"/>
    </xf>
    <xf numFmtId="1" fontId="72" fillId="0" borderId="6" xfId="3" applyNumberFormat="1" applyFont="1" applyBorder="1" applyAlignment="1">
      <alignment horizontal="center"/>
    </xf>
    <xf numFmtId="1" fontId="72" fillId="0" borderId="6" xfId="3" applyNumberFormat="1" applyFont="1" applyBorder="1" applyAlignment="1">
      <alignment horizontal="center" wrapText="1"/>
    </xf>
    <xf numFmtId="0" fontId="74" fillId="0" borderId="7" xfId="3" applyFont="1" applyBorder="1" applyAlignment="1">
      <alignment horizontal="center"/>
    </xf>
    <xf numFmtId="49" fontId="74" fillId="5" borderId="27" xfId="0" applyNumberFormat="1" applyFont="1" applyFill="1" applyBorder="1" applyAlignment="1">
      <alignment horizontal="center" vertical="center"/>
    </xf>
    <xf numFmtId="49" fontId="74" fillId="5" borderId="29" xfId="0" applyNumberFormat="1" applyFont="1" applyFill="1" applyBorder="1" applyAlignment="1">
      <alignment horizontal="center" vertical="center"/>
    </xf>
    <xf numFmtId="49" fontId="74" fillId="5" borderId="6" xfId="0" applyNumberFormat="1" applyFont="1" applyFill="1" applyBorder="1" applyAlignment="1">
      <alignment vertical="center"/>
    </xf>
    <xf numFmtId="0" fontId="74" fillId="5" borderId="6" xfId="0" applyFont="1" applyFill="1" applyBorder="1" applyAlignment="1">
      <alignment horizontal="center" vertical="center"/>
    </xf>
    <xf numFmtId="49" fontId="74" fillId="0" borderId="6" xfId="0" applyNumberFormat="1" applyFont="1" applyBorder="1" applyAlignment="1">
      <alignment horizontal="center" vertical="center"/>
    </xf>
    <xf numFmtId="1" fontId="74" fillId="0" borderId="6" xfId="0" applyNumberFormat="1" applyFont="1" applyBorder="1" applyAlignment="1">
      <alignment horizontal="center"/>
    </xf>
    <xf numFmtId="0" fontId="74" fillId="0" borderId="6" xfId="0" applyFont="1" applyBorder="1" applyAlignment="1">
      <alignment horizontal="center"/>
    </xf>
    <xf numFmtId="1" fontId="74" fillId="0" borderId="25" xfId="3" applyNumberFormat="1" applyFont="1" applyBorder="1" applyAlignment="1">
      <alignment horizontal="center" vertical="center"/>
    </xf>
    <xf numFmtId="0" fontId="75" fillId="5" borderId="0" xfId="0" applyFont="1" applyFill="1"/>
    <xf numFmtId="0" fontId="74" fillId="5" borderId="6" xfId="0" applyFont="1" applyFill="1" applyBorder="1" applyAlignment="1">
      <alignment horizontal="center"/>
    </xf>
    <xf numFmtId="49" fontId="74" fillId="0" borderId="6" xfId="0" applyNumberFormat="1" applyFont="1" applyBorder="1" applyAlignment="1">
      <alignment horizontal="center"/>
    </xf>
    <xf numFmtId="0" fontId="75" fillId="0" borderId="6" xfId="11" applyFont="1" applyBorder="1" applyAlignment="1">
      <alignment horizontal="center"/>
    </xf>
    <xf numFmtId="0" fontId="75" fillId="0" borderId="6" xfId="0" applyFont="1" applyBorder="1" applyAlignment="1">
      <alignment horizontal="center"/>
    </xf>
    <xf numFmtId="0" fontId="75" fillId="0" borderId="6" xfId="0" applyFont="1" applyBorder="1"/>
    <xf numFmtId="0" fontId="74" fillId="0" borderId="29" xfId="0" applyFont="1" applyBorder="1" applyAlignment="1">
      <alignment horizontal="center"/>
    </xf>
    <xf numFmtId="1" fontId="74" fillId="0" borderId="6" xfId="0" applyNumberFormat="1" applyFont="1" applyBorder="1" applyAlignment="1">
      <alignment horizontal="center" wrapText="1"/>
    </xf>
    <xf numFmtId="49" fontId="74" fillId="0" borderId="6" xfId="0" applyNumberFormat="1" applyFont="1" applyBorder="1"/>
    <xf numFmtId="0" fontId="75" fillId="0" borderId="6" xfId="0" applyFont="1" applyBorder="1" applyAlignment="1">
      <alignment horizontal="center" vertical="center"/>
    </xf>
    <xf numFmtId="0" fontId="75" fillId="0" borderId="6" xfId="0" applyFont="1" applyBorder="1" applyAlignment="1">
      <alignment horizontal="left" vertical="center"/>
    </xf>
    <xf numFmtId="169" fontId="74" fillId="0" borderId="6" xfId="0" applyNumberFormat="1" applyFont="1" applyBorder="1" applyAlignment="1">
      <alignment horizontal="center" wrapText="1"/>
    </xf>
    <xf numFmtId="0" fontId="72" fillId="0" borderId="6" xfId="0" applyFont="1" applyBorder="1" applyAlignment="1">
      <alignment horizontal="center"/>
    </xf>
    <xf numFmtId="1" fontId="72" fillId="0" borderId="6" xfId="0" applyNumberFormat="1" applyFont="1" applyBorder="1" applyAlignment="1">
      <alignment horizontal="center"/>
    </xf>
    <xf numFmtId="1" fontId="72" fillId="0" borderId="6" xfId="0" applyNumberFormat="1" applyFont="1" applyBorder="1" applyAlignment="1">
      <alignment horizontal="center" wrapText="1"/>
    </xf>
    <xf numFmtId="16" fontId="74" fillId="0" borderId="6" xfId="3" applyNumberFormat="1" applyFont="1" applyBorder="1" applyAlignment="1">
      <alignment horizontal="center"/>
    </xf>
    <xf numFmtId="1" fontId="74" fillId="0" borderId="6" xfId="3" applyNumberFormat="1" applyFont="1" applyBorder="1" applyAlignment="1">
      <alignment horizontal="center"/>
    </xf>
    <xf numFmtId="1" fontId="74" fillId="0" borderId="6" xfId="3" applyNumberFormat="1" applyFont="1" applyBorder="1" applyAlignment="1">
      <alignment horizontal="center" wrapText="1"/>
    </xf>
    <xf numFmtId="2" fontId="74" fillId="0" borderId="6" xfId="3" applyNumberFormat="1" applyFont="1" applyBorder="1" applyAlignment="1">
      <alignment horizontal="center"/>
    </xf>
    <xf numFmtId="0" fontId="75" fillId="5" borderId="6" xfId="0" applyFont="1" applyFill="1" applyBorder="1"/>
    <xf numFmtId="0" fontId="74" fillId="0" borderId="6" xfId="3" applyFont="1" applyBorder="1" applyAlignment="1">
      <alignment horizontal="center"/>
    </xf>
    <xf numFmtId="49" fontId="74" fillId="0" borderId="6" xfId="3" applyNumberFormat="1" applyFont="1" applyBorder="1" applyAlignment="1">
      <alignment horizontal="center"/>
    </xf>
    <xf numFmtId="0" fontId="72" fillId="5" borderId="6" xfId="3" applyFont="1" applyFill="1" applyBorder="1" applyAlignment="1">
      <alignment horizontal="left"/>
    </xf>
    <xf numFmtId="170" fontId="74" fillId="0" borderId="6" xfId="3" applyNumberFormat="1" applyFont="1" applyBorder="1" applyAlignment="1">
      <alignment horizontal="center"/>
    </xf>
    <xf numFmtId="49" fontId="74" fillId="5" borderId="6" xfId="0" applyNumberFormat="1" applyFont="1" applyFill="1" applyBorder="1" applyAlignment="1">
      <alignment horizontal="center" vertical="center"/>
    </xf>
    <xf numFmtId="49" fontId="74" fillId="5" borderId="6" xfId="0" applyNumberFormat="1" applyFont="1" applyFill="1" applyBorder="1" applyAlignment="1">
      <alignment horizontal="center"/>
    </xf>
    <xf numFmtId="49" fontId="74" fillId="5" borderId="6" xfId="0" applyNumberFormat="1" applyFont="1" applyFill="1" applyBorder="1"/>
    <xf numFmtId="1" fontId="74" fillId="5" borderId="6" xfId="0" applyNumberFormat="1" applyFont="1" applyFill="1" applyBorder="1" applyAlignment="1">
      <alignment horizontal="center"/>
    </xf>
    <xf numFmtId="1" fontId="74" fillId="0" borderId="6" xfId="0" applyNumberFormat="1" applyFont="1" applyBorder="1"/>
    <xf numFmtId="0" fontId="74" fillId="0" borderId="6" xfId="0" applyFont="1" applyBorder="1" applyAlignment="1">
      <alignment horizontal="center" vertical="center"/>
    </xf>
    <xf numFmtId="16" fontId="74" fillId="0" borderId="6" xfId="0" applyNumberFormat="1" applyFont="1" applyBorder="1" applyAlignment="1">
      <alignment horizontal="center"/>
    </xf>
    <xf numFmtId="1" fontId="74" fillId="0" borderId="6" xfId="12" applyNumberFormat="1" applyFont="1" applyBorder="1" applyAlignment="1">
      <alignment horizontal="center"/>
    </xf>
    <xf numFmtId="1" fontId="74" fillId="0" borderId="6" xfId="12" applyNumberFormat="1" applyFont="1" applyBorder="1" applyAlignment="1">
      <alignment horizontal="center" wrapText="1"/>
    </xf>
    <xf numFmtId="49" fontId="72" fillId="0" borderId="6" xfId="3" applyNumberFormat="1" applyFont="1" applyBorder="1" applyAlignment="1">
      <alignment horizontal="center"/>
    </xf>
    <xf numFmtId="0" fontId="73" fillId="5" borderId="6" xfId="3" applyFont="1" applyFill="1" applyBorder="1" applyAlignment="1">
      <alignment vertical="center"/>
    </xf>
    <xf numFmtId="0" fontId="72" fillId="0" borderId="6" xfId="3" applyFont="1" applyBorder="1" applyAlignment="1">
      <alignment horizontal="center"/>
    </xf>
    <xf numFmtId="49" fontId="74" fillId="0" borderId="6" xfId="0" applyNumberFormat="1" applyFont="1" applyBorder="1" applyAlignment="1">
      <alignment vertical="center"/>
    </xf>
    <xf numFmtId="0" fontId="74" fillId="0" borderId="6" xfId="0" quotePrefix="1" applyFont="1" applyBorder="1" applyAlignment="1">
      <alignment horizontal="right"/>
    </xf>
    <xf numFmtId="0" fontId="74" fillId="0" borderId="6" xfId="0" quotePrefix="1" applyFont="1" applyBorder="1"/>
    <xf numFmtId="0" fontId="74" fillId="0" borderId="6" xfId="0" applyFont="1" applyBorder="1"/>
    <xf numFmtId="0" fontId="75" fillId="0" borderId="0" xfId="0" applyFont="1" applyAlignment="1">
      <alignment horizontal="center"/>
    </xf>
    <xf numFmtId="49" fontId="74" fillId="0" borderId="27" xfId="3" applyNumberFormat="1" applyFont="1" applyBorder="1" applyAlignment="1">
      <alignment horizontal="center"/>
    </xf>
    <xf numFmtId="49" fontId="74" fillId="0" borderId="29" xfId="3" applyNumberFormat="1" applyFont="1" applyBorder="1" applyAlignment="1">
      <alignment horizontal="center"/>
    </xf>
    <xf numFmtId="49" fontId="74" fillId="0" borderId="6" xfId="3" applyNumberFormat="1" applyFont="1" applyBorder="1"/>
    <xf numFmtId="49" fontId="76" fillId="2" borderId="39" xfId="3" applyNumberFormat="1" applyFont="1" applyFill="1" applyBorder="1" applyAlignment="1">
      <alignment horizontal="center" vertical="center"/>
    </xf>
    <xf numFmtId="49" fontId="76" fillId="2" borderId="0" xfId="3" applyNumberFormat="1" applyFont="1" applyFill="1" applyAlignment="1">
      <alignment horizontal="center" vertical="center"/>
    </xf>
    <xf numFmtId="0" fontId="74" fillId="2" borderId="0" xfId="3" applyFont="1" applyFill="1"/>
    <xf numFmtId="1" fontId="74" fillId="2" borderId="0" xfId="3" applyNumberFormat="1" applyFont="1" applyFill="1" applyAlignment="1">
      <alignment horizontal="center"/>
    </xf>
    <xf numFmtId="166" fontId="74" fillId="2" borderId="0" xfId="3" applyNumberFormat="1" applyFont="1" applyFill="1" applyAlignment="1">
      <alignment horizontal="center" wrapText="1"/>
    </xf>
    <xf numFmtId="0" fontId="74" fillId="2" borderId="50" xfId="3" applyFont="1" applyFill="1" applyBorder="1" applyAlignment="1">
      <alignment horizontal="center"/>
    </xf>
    <xf numFmtId="0" fontId="74" fillId="4" borderId="33" xfId="3" applyFont="1" applyFill="1" applyBorder="1" applyAlignment="1">
      <alignment horizontal="center"/>
    </xf>
    <xf numFmtId="0" fontId="74" fillId="4" borderId="34" xfId="3" applyFont="1" applyFill="1" applyBorder="1" applyAlignment="1">
      <alignment horizontal="center"/>
    </xf>
    <xf numFmtId="0" fontId="74" fillId="4" borderId="34" xfId="3" applyFont="1" applyFill="1" applyBorder="1"/>
    <xf numFmtId="0" fontId="72" fillId="4" borderId="34" xfId="3" applyFont="1" applyFill="1" applyBorder="1" applyAlignment="1">
      <alignment horizontal="center"/>
    </xf>
    <xf numFmtId="1" fontId="72" fillId="4" borderId="34" xfId="3" applyNumberFormat="1" applyFont="1" applyFill="1" applyBorder="1" applyAlignment="1">
      <alignment horizontal="center"/>
    </xf>
    <xf numFmtId="166" fontId="74" fillId="4" borderId="34" xfId="3" applyNumberFormat="1" applyFont="1" applyFill="1" applyBorder="1" applyAlignment="1">
      <alignment horizontal="center" wrapText="1"/>
    </xf>
    <xf numFmtId="0" fontId="74" fillId="4" borderId="35" xfId="3" applyFont="1" applyFill="1" applyBorder="1" applyAlignment="1">
      <alignment horizontal="center"/>
    </xf>
    <xf numFmtId="1" fontId="74" fillId="0" borderId="25" xfId="0" applyNumberFormat="1" applyFont="1" applyBorder="1" applyAlignment="1">
      <alignment horizontal="center"/>
    </xf>
    <xf numFmtId="0" fontId="74" fillId="0" borderId="36" xfId="0" applyFont="1" applyBorder="1" applyAlignment="1">
      <alignment horizontal="center"/>
    </xf>
    <xf numFmtId="1" fontId="74" fillId="0" borderId="22" xfId="0" applyNumberFormat="1" applyFont="1" applyBorder="1" applyAlignment="1">
      <alignment horizontal="center"/>
    </xf>
    <xf numFmtId="0" fontId="74" fillId="0" borderId="22" xfId="0" applyFont="1" applyBorder="1" applyAlignment="1">
      <alignment horizontal="center"/>
    </xf>
    <xf numFmtId="0" fontId="77" fillId="0" borderId="0" xfId="0" applyFont="1"/>
    <xf numFmtId="0" fontId="2" fillId="2" borderId="54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40" fillId="0" borderId="38" xfId="0" applyFont="1" applyBorder="1" applyAlignment="1">
      <alignment horizontal="left"/>
    </xf>
    <xf numFmtId="0" fontId="40" fillId="0" borderId="9" xfId="0" applyFont="1" applyBorder="1" applyAlignment="1">
      <alignment horizontal="left"/>
    </xf>
    <xf numFmtId="0" fontId="40" fillId="0" borderId="25" xfId="0" applyFont="1" applyBorder="1" applyAlignment="1">
      <alignment horizontal="left"/>
    </xf>
    <xf numFmtId="0" fontId="40" fillId="0" borderId="26" xfId="0" applyFont="1" applyBorder="1" applyAlignment="1">
      <alignment horizontal="left"/>
    </xf>
    <xf numFmtId="0" fontId="40" fillId="0" borderId="32" xfId="0" applyFont="1" applyBorder="1" applyAlignment="1">
      <alignment horizontal="left" wrapText="1"/>
    </xf>
    <xf numFmtId="0" fontId="40" fillId="0" borderId="30" xfId="0" applyFont="1" applyBorder="1" applyAlignment="1">
      <alignment horizontal="left" wrapText="1"/>
    </xf>
    <xf numFmtId="0" fontId="40" fillId="0" borderId="31" xfId="0" applyFont="1" applyBorder="1" applyAlignment="1">
      <alignment horizontal="left" wrapText="1"/>
    </xf>
    <xf numFmtId="0" fontId="40" fillId="0" borderId="32" xfId="0" applyFont="1" applyBorder="1" applyAlignment="1">
      <alignment horizontal="left"/>
    </xf>
    <xf numFmtId="0" fontId="40" fillId="0" borderId="30" xfId="0" applyFont="1" applyBorder="1" applyAlignment="1">
      <alignment horizontal="left"/>
    </xf>
    <xf numFmtId="0" fontId="40" fillId="0" borderId="31" xfId="0" applyFont="1" applyBorder="1" applyAlignment="1">
      <alignment horizontal="left"/>
    </xf>
    <xf numFmtId="0" fontId="40" fillId="0" borderId="52" xfId="3" applyFont="1" applyBorder="1" applyAlignment="1">
      <alignment horizontal="left"/>
    </xf>
    <xf numFmtId="0" fontId="40" fillId="0" borderId="16" xfId="3" applyFont="1" applyBorder="1" applyAlignment="1">
      <alignment horizontal="left"/>
    </xf>
    <xf numFmtId="0" fontId="40" fillId="0" borderId="51" xfId="3" applyFont="1" applyBorder="1" applyAlignment="1">
      <alignment horizontal="left"/>
    </xf>
    <xf numFmtId="0" fontId="4" fillId="11" borderId="53" xfId="1" applyFont="1" applyFill="1" applyBorder="1" applyAlignment="1">
      <alignment horizontal="center"/>
    </xf>
    <xf numFmtId="0" fontId="4" fillId="11" borderId="46" xfId="1" applyFont="1" applyFill="1" applyBorder="1" applyAlignment="1">
      <alignment horizontal="center"/>
    </xf>
    <xf numFmtId="0" fontId="40" fillId="0" borderId="38" xfId="0" applyFont="1" applyBorder="1" applyAlignment="1">
      <alignment horizontal="left" wrapText="1"/>
    </xf>
    <xf numFmtId="0" fontId="40" fillId="0" borderId="9" xfId="0" applyFont="1" applyBorder="1" applyAlignment="1">
      <alignment horizontal="left" wrapText="1"/>
    </xf>
    <xf numFmtId="0" fontId="40" fillId="0" borderId="25" xfId="0" applyFont="1" applyBorder="1" applyAlignment="1">
      <alignment horizontal="left" wrapText="1"/>
    </xf>
    <xf numFmtId="0" fontId="40" fillId="0" borderId="26" xfId="0" applyFont="1" applyBorder="1" applyAlignment="1">
      <alignment horizontal="left" wrapText="1"/>
    </xf>
    <xf numFmtId="0" fontId="3" fillId="0" borderId="32" xfId="3" applyFont="1" applyBorder="1" applyAlignment="1">
      <alignment horizontal="right"/>
    </xf>
    <xf numFmtId="0" fontId="3" fillId="0" borderId="30" xfId="3" applyFont="1" applyBorder="1" applyAlignment="1">
      <alignment horizontal="right"/>
    </xf>
    <xf numFmtId="0" fontId="3" fillId="0" borderId="29" xfId="3" applyFont="1" applyBorder="1" applyAlignment="1">
      <alignment horizontal="right"/>
    </xf>
    <xf numFmtId="0" fontId="40" fillId="0" borderId="6" xfId="3" applyFont="1" applyBorder="1" applyAlignment="1">
      <alignment horizontal="right"/>
    </xf>
    <xf numFmtId="166" fontId="40" fillId="0" borderId="28" xfId="3" applyNumberFormat="1" applyFont="1" applyBorder="1" applyAlignment="1">
      <alignment horizontal="center"/>
    </xf>
    <xf numFmtId="166" fontId="40" fillId="0" borderId="31" xfId="3" applyNumberFormat="1" applyFont="1" applyBorder="1" applyAlignment="1">
      <alignment horizontal="center"/>
    </xf>
    <xf numFmtId="166" fontId="40" fillId="0" borderId="28" xfId="3" applyNumberFormat="1" applyFont="1" applyBorder="1" applyAlignment="1">
      <alignment horizontal="right" wrapText="1"/>
    </xf>
    <xf numFmtId="166" fontId="40" fillId="0" borderId="29" xfId="3" applyNumberFormat="1" applyFont="1" applyBorder="1" applyAlignment="1">
      <alignment horizontal="right" wrapText="1"/>
    </xf>
    <xf numFmtId="0" fontId="3" fillId="0" borderId="21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3" fillId="0" borderId="22" xfId="3" applyFont="1" applyBorder="1" applyAlignment="1">
      <alignment horizontal="right"/>
    </xf>
    <xf numFmtId="0" fontId="40" fillId="0" borderId="22" xfId="3" applyFont="1" applyBorder="1" applyAlignment="1">
      <alignment horizontal="right"/>
    </xf>
    <xf numFmtId="166" fontId="40" fillId="0" borderId="15" xfId="3" applyNumberFormat="1" applyFont="1" applyBorder="1" applyAlignment="1">
      <alignment horizontal="center"/>
    </xf>
    <xf numFmtId="166" fontId="40" fillId="0" borderId="51" xfId="3" applyNumberFormat="1" applyFont="1" applyBorder="1" applyAlignment="1">
      <alignment horizontal="center"/>
    </xf>
    <xf numFmtId="0" fontId="3" fillId="4" borderId="33" xfId="3" applyFont="1" applyFill="1" applyBorder="1" applyAlignment="1">
      <alignment horizontal="left"/>
    </xf>
    <xf numFmtId="0" fontId="3" fillId="4" borderId="34" xfId="3" applyFont="1" applyFill="1" applyBorder="1" applyAlignment="1">
      <alignment horizontal="left"/>
    </xf>
    <xf numFmtId="0" fontId="3" fillId="4" borderId="35" xfId="3" applyFont="1" applyFill="1" applyBorder="1" applyAlignment="1">
      <alignment horizontal="left"/>
    </xf>
    <xf numFmtId="0" fontId="3" fillId="0" borderId="24" xfId="3" applyFont="1" applyBorder="1" applyAlignment="1">
      <alignment horizontal="right"/>
    </xf>
    <xf numFmtId="0" fontId="3" fillId="0" borderId="40" xfId="3" applyFont="1" applyBorder="1" applyAlignment="1">
      <alignment horizontal="right"/>
    </xf>
    <xf numFmtId="0" fontId="3" fillId="0" borderId="9" xfId="3" applyFont="1" applyBorder="1" applyAlignment="1">
      <alignment horizontal="right"/>
    </xf>
    <xf numFmtId="166" fontId="40" fillId="0" borderId="25" xfId="3" applyNumberFormat="1" applyFont="1" applyBorder="1" applyAlignment="1">
      <alignment horizontal="right"/>
    </xf>
    <xf numFmtId="0" fontId="40" fillId="2" borderId="36" xfId="3" applyFont="1" applyFill="1" applyBorder="1" applyAlignment="1">
      <alignment horizontal="center"/>
    </xf>
    <xf numFmtId="0" fontId="40" fillId="2" borderId="37" xfId="3" applyFont="1" applyFill="1" applyBorder="1" applyAlignment="1">
      <alignment horizontal="center"/>
    </xf>
    <xf numFmtId="0" fontId="41" fillId="2" borderId="0" xfId="2" applyFont="1" applyFill="1" applyAlignment="1">
      <alignment horizontal="right"/>
    </xf>
    <xf numFmtId="0" fontId="42" fillId="2" borderId="18" xfId="2" applyFont="1" applyFill="1" applyBorder="1" applyAlignment="1">
      <alignment horizontal="center"/>
    </xf>
    <xf numFmtId="0" fontId="41" fillId="2" borderId="0" xfId="2" applyFont="1" applyFill="1"/>
    <xf numFmtId="0" fontId="3" fillId="4" borderId="20" xfId="3" applyFont="1" applyFill="1" applyBorder="1" applyAlignment="1">
      <alignment horizontal="center" vertical="center"/>
    </xf>
    <xf numFmtId="0" fontId="3" fillId="4" borderId="21" xfId="3" applyFont="1" applyFill="1" applyBorder="1" applyAlignment="1">
      <alignment horizontal="center" vertical="center"/>
    </xf>
    <xf numFmtId="0" fontId="3" fillId="4" borderId="20" xfId="3" applyFont="1" applyFill="1" applyBorder="1" applyAlignment="1">
      <alignment horizontal="center" vertical="center" wrapText="1"/>
    </xf>
    <xf numFmtId="0" fontId="3" fillId="4" borderId="21" xfId="3" applyFont="1" applyFill="1" applyBorder="1" applyAlignment="1">
      <alignment horizontal="center" vertical="center" wrapText="1"/>
    </xf>
    <xf numFmtId="0" fontId="3" fillId="4" borderId="2" xfId="3" applyFont="1" applyFill="1" applyBorder="1" applyAlignment="1">
      <alignment horizontal="center" vertical="center"/>
    </xf>
    <xf numFmtId="0" fontId="3" fillId="4" borderId="22" xfId="3" applyFont="1" applyFill="1" applyBorder="1" applyAlignment="1">
      <alignment horizontal="center" vertical="center"/>
    </xf>
    <xf numFmtId="14" fontId="40" fillId="2" borderId="8" xfId="1" applyNumberFormat="1" applyFont="1" applyFill="1" applyBorder="1" applyAlignment="1">
      <alignment horizontal="center" vertical="center" wrapText="1"/>
    </xf>
    <xf numFmtId="14" fontId="40" fillId="2" borderId="13" xfId="1" applyNumberFormat="1" applyFont="1" applyFill="1" applyBorder="1" applyAlignment="1">
      <alignment horizontal="center" vertical="center" wrapText="1"/>
    </xf>
    <xf numFmtId="14" fontId="40" fillId="2" borderId="26" xfId="1" applyNumberFormat="1" applyFont="1" applyFill="1" applyBorder="1" applyAlignment="1">
      <alignment horizontal="center" vertical="center" wrapText="1"/>
    </xf>
    <xf numFmtId="0" fontId="40" fillId="2" borderId="10" xfId="1" applyFont="1" applyFill="1" applyBorder="1" applyAlignment="1">
      <alignment horizontal="left"/>
    </xf>
    <xf numFmtId="0" fontId="40" fillId="2" borderId="11" xfId="1" applyFont="1" applyFill="1" applyBorder="1" applyAlignment="1">
      <alignment horizontal="left"/>
    </xf>
    <xf numFmtId="0" fontId="40" fillId="2" borderId="1" xfId="1" applyFont="1" applyFill="1" applyBorder="1" applyAlignment="1">
      <alignment horizontal="left"/>
    </xf>
    <xf numFmtId="0" fontId="40" fillId="2" borderId="28" xfId="1" applyFont="1" applyFill="1" applyBorder="1" applyAlignment="1">
      <alignment horizontal="left"/>
    </xf>
    <xf numFmtId="0" fontId="40" fillId="2" borderId="30" xfId="1" applyFont="1" applyFill="1" applyBorder="1" applyAlignment="1">
      <alignment horizontal="left"/>
    </xf>
    <xf numFmtId="0" fontId="40" fillId="2" borderId="29" xfId="1" applyFont="1" applyFill="1" applyBorder="1" applyAlignment="1">
      <alignment horizontal="left"/>
    </xf>
    <xf numFmtId="0" fontId="40" fillId="2" borderId="41" xfId="1" applyFont="1" applyFill="1" applyBorder="1" applyAlignment="1">
      <alignment horizontal="center"/>
    </xf>
    <xf numFmtId="0" fontId="40" fillId="2" borderId="46" xfId="1" applyFont="1" applyFill="1" applyBorder="1" applyAlignment="1">
      <alignment horizontal="center"/>
    </xf>
    <xf numFmtId="0" fontId="40" fillId="2" borderId="39" xfId="1" applyFont="1" applyFill="1" applyBorder="1" applyAlignment="1">
      <alignment horizontal="center"/>
    </xf>
    <xf numFmtId="0" fontId="40" fillId="2" borderId="0" xfId="1" applyFont="1" applyFill="1" applyAlignment="1">
      <alignment horizontal="center"/>
    </xf>
    <xf numFmtId="0" fontId="40" fillId="2" borderId="24" xfId="1" applyFont="1" applyFill="1" applyBorder="1" applyAlignment="1">
      <alignment horizontal="center"/>
    </xf>
    <xf numFmtId="0" fontId="40" fillId="2" borderId="40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3" borderId="34" xfId="1" applyFont="1" applyFill="1" applyBorder="1" applyAlignment="1">
      <alignment horizontal="center" vertical="center" wrapText="1"/>
    </xf>
    <xf numFmtId="0" fontId="3" fillId="3" borderId="35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right" vertical="top" wrapText="1"/>
    </xf>
    <xf numFmtId="0" fontId="3" fillId="2" borderId="12" xfId="1" applyFont="1" applyFill="1" applyBorder="1" applyAlignment="1">
      <alignment horizontal="right" vertical="top" wrapText="1"/>
    </xf>
    <xf numFmtId="0" fontId="3" fillId="2" borderId="17" xfId="1" applyFont="1" applyFill="1" applyBorder="1" applyAlignment="1">
      <alignment horizontal="right" vertical="top" wrapText="1"/>
    </xf>
    <xf numFmtId="0" fontId="17" fillId="0" borderId="0" xfId="0" applyFont="1" applyAlignment="1">
      <alignment horizontal="center" vertical="center"/>
    </xf>
    <xf numFmtId="0" fontId="24" fillId="0" borderId="33" xfId="0" applyFont="1" applyBorder="1" applyAlignment="1">
      <alignment horizontal="right" vertical="center"/>
    </xf>
    <xf numFmtId="0" fontId="24" fillId="0" borderId="34" xfId="0" applyFont="1" applyBorder="1" applyAlignment="1">
      <alignment horizontal="right" vertical="center"/>
    </xf>
    <xf numFmtId="0" fontId="24" fillId="0" borderId="35" xfId="0" applyFont="1" applyBorder="1" applyAlignment="1">
      <alignment horizontal="right" vertical="center"/>
    </xf>
    <xf numFmtId="0" fontId="22" fillId="0" borderId="0" xfId="0" applyFont="1" applyAlignment="1">
      <alignment horizontal="right"/>
    </xf>
    <xf numFmtId="0" fontId="28" fillId="0" borderId="18" xfId="0" applyFont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26" fillId="6" borderId="33" xfId="0" applyFont="1" applyFill="1" applyBorder="1" applyAlignment="1">
      <alignment horizontal="right"/>
    </xf>
    <xf numFmtId="0" fontId="26" fillId="6" borderId="34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5" fillId="8" borderId="33" xfId="0" applyFont="1" applyFill="1" applyBorder="1" applyAlignment="1">
      <alignment horizontal="right" vertical="center"/>
    </xf>
    <xf numFmtId="0" fontId="5" fillId="8" borderId="34" xfId="0" applyFont="1" applyFill="1" applyBorder="1" applyAlignment="1">
      <alignment horizontal="right" vertical="center"/>
    </xf>
    <xf numFmtId="0" fontId="5" fillId="8" borderId="35" xfId="0" applyFont="1" applyFill="1" applyBorder="1" applyAlignment="1">
      <alignment horizontal="right" vertical="center"/>
    </xf>
    <xf numFmtId="4" fontId="13" fillId="0" borderId="0" xfId="9" applyNumberFormat="1" applyFont="1" applyFill="1" applyAlignment="1">
      <alignment horizontal="center" vertical="center" wrapText="1"/>
    </xf>
    <xf numFmtId="0" fontId="20" fillId="0" borderId="6" xfId="0" applyFont="1" applyBorder="1" applyAlignment="1">
      <alignment horizontal="right" vertical="center"/>
    </xf>
    <xf numFmtId="0" fontId="31" fillId="0" borderId="39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31" fillId="0" borderId="50" xfId="0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27" fillId="0" borderId="41" xfId="0" applyFont="1" applyBorder="1" applyAlignment="1">
      <alignment horizontal="right"/>
    </xf>
    <xf numFmtId="0" fontId="27" fillId="0" borderId="46" xfId="0" applyFont="1" applyBorder="1" applyAlignment="1">
      <alignment horizontal="right"/>
    </xf>
    <xf numFmtId="0" fontId="7" fillId="0" borderId="6" xfId="0" applyFont="1" applyBorder="1" applyAlignment="1">
      <alignment horizontal="right" vertical="center"/>
    </xf>
    <xf numFmtId="0" fontId="27" fillId="0" borderId="0" xfId="0" applyFont="1" applyAlignment="1">
      <alignment horizontal="right"/>
    </xf>
    <xf numFmtId="0" fontId="10" fillId="0" borderId="18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33" fillId="0" borderId="34" xfId="0" applyFont="1" applyBorder="1" applyAlignment="1">
      <alignment horizontal="right" vertical="center" wrapText="1"/>
    </xf>
    <xf numFmtId="14" fontId="40" fillId="2" borderId="8" xfId="2" applyNumberFormat="1" applyFont="1" applyFill="1" applyBorder="1" applyAlignment="1">
      <alignment horizontal="center" vertical="center" wrapText="1"/>
    </xf>
    <xf numFmtId="14" fontId="40" fillId="2" borderId="13" xfId="2" applyNumberFormat="1" applyFont="1" applyFill="1" applyBorder="1" applyAlignment="1">
      <alignment horizontal="center" vertical="center" wrapText="1"/>
    </xf>
    <xf numFmtId="14" fontId="40" fillId="2" borderId="26" xfId="2" applyNumberFormat="1" applyFont="1" applyFill="1" applyBorder="1" applyAlignment="1">
      <alignment horizontal="center" vertical="center" wrapText="1"/>
    </xf>
    <xf numFmtId="0" fontId="40" fillId="2" borderId="10" xfId="2" applyFont="1" applyFill="1" applyBorder="1" applyAlignment="1">
      <alignment horizontal="left"/>
    </xf>
    <xf numFmtId="0" fontId="40" fillId="2" borderId="11" xfId="2" applyFont="1" applyFill="1" applyBorder="1" applyAlignment="1">
      <alignment horizontal="left"/>
    </xf>
    <xf numFmtId="0" fontId="40" fillId="2" borderId="1" xfId="2" applyFont="1" applyFill="1" applyBorder="1" applyAlignment="1">
      <alignment horizontal="left"/>
    </xf>
    <xf numFmtId="0" fontId="40" fillId="2" borderId="28" xfId="2" applyFont="1" applyFill="1" applyBorder="1" applyAlignment="1">
      <alignment horizontal="left"/>
    </xf>
    <xf numFmtId="0" fontId="40" fillId="2" borderId="30" xfId="2" applyFont="1" applyFill="1" applyBorder="1" applyAlignment="1">
      <alignment horizontal="left"/>
    </xf>
    <xf numFmtId="0" fontId="40" fillId="2" borderId="29" xfId="2" applyFont="1" applyFill="1" applyBorder="1" applyAlignment="1">
      <alignment horizontal="left"/>
    </xf>
    <xf numFmtId="0" fontId="3" fillId="2" borderId="2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/>
    </xf>
    <xf numFmtId="0" fontId="3" fillId="3" borderId="34" xfId="2" applyFont="1" applyFill="1" applyBorder="1" applyAlignment="1">
      <alignment horizontal="center" vertical="center" wrapText="1"/>
    </xf>
    <xf numFmtId="0" fontId="3" fillId="3" borderId="35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right" vertical="top" wrapText="1"/>
    </xf>
    <xf numFmtId="0" fontId="3" fillId="2" borderId="12" xfId="2" applyFont="1" applyFill="1" applyBorder="1" applyAlignment="1">
      <alignment horizontal="right" vertical="top" wrapText="1"/>
    </xf>
    <xf numFmtId="0" fontId="3" fillId="2" borderId="17" xfId="2" applyFont="1" applyFill="1" applyBorder="1" applyAlignment="1">
      <alignment horizontal="right" vertical="top" wrapText="1"/>
    </xf>
    <xf numFmtId="0" fontId="40" fillId="2" borderId="41" xfId="2" applyFont="1" applyFill="1" applyBorder="1" applyAlignment="1">
      <alignment horizontal="center"/>
    </xf>
    <xf numFmtId="0" fontId="40" fillId="2" borderId="46" xfId="2" applyFont="1" applyFill="1" applyBorder="1" applyAlignment="1">
      <alignment horizontal="center"/>
    </xf>
    <xf numFmtId="0" fontId="40" fillId="2" borderId="39" xfId="2" applyFont="1" applyFill="1" applyBorder="1" applyAlignment="1">
      <alignment horizontal="center"/>
    </xf>
    <xf numFmtId="0" fontId="40" fillId="2" borderId="0" xfId="2" applyFont="1" applyFill="1" applyAlignment="1">
      <alignment horizontal="center"/>
    </xf>
    <xf numFmtId="0" fontId="40" fillId="2" borderId="24" xfId="2" applyFont="1" applyFill="1" applyBorder="1" applyAlignment="1">
      <alignment horizontal="center"/>
    </xf>
    <xf numFmtId="0" fontId="40" fillId="2" borderId="40" xfId="2" applyFont="1" applyFill="1" applyBorder="1" applyAlignment="1">
      <alignment horizontal="center"/>
    </xf>
    <xf numFmtId="0" fontId="2" fillId="2" borderId="54" xfId="2" applyFont="1" applyFill="1" applyBorder="1" applyAlignment="1">
      <alignment horizontal="left"/>
    </xf>
    <xf numFmtId="0" fontId="2" fillId="2" borderId="0" xfId="2" applyFont="1" applyFill="1" applyAlignment="1">
      <alignment horizontal="left"/>
    </xf>
    <xf numFmtId="0" fontId="4" fillId="11" borderId="53" xfId="2" applyFont="1" applyFill="1" applyBorder="1" applyAlignment="1">
      <alignment horizontal="center"/>
    </xf>
    <xf numFmtId="0" fontId="4" fillId="11" borderId="46" xfId="2" applyFont="1" applyFill="1" applyBorder="1" applyAlignment="1">
      <alignment horizontal="center"/>
    </xf>
    <xf numFmtId="0" fontId="72" fillId="0" borderId="32" xfId="3" applyFont="1" applyBorder="1" applyAlignment="1">
      <alignment horizontal="right"/>
    </xf>
    <xf numFmtId="0" fontId="72" fillId="0" borderId="30" xfId="3" applyFont="1" applyBorder="1" applyAlignment="1">
      <alignment horizontal="right"/>
    </xf>
    <xf numFmtId="0" fontId="72" fillId="0" borderId="29" xfId="3" applyFont="1" applyBorder="1" applyAlignment="1">
      <alignment horizontal="right"/>
    </xf>
    <xf numFmtId="0" fontId="74" fillId="0" borderId="6" xfId="3" applyFont="1" applyBorder="1" applyAlignment="1">
      <alignment horizontal="right"/>
    </xf>
    <xf numFmtId="166" fontId="74" fillId="0" borderId="28" xfId="3" applyNumberFormat="1" applyFont="1" applyBorder="1" applyAlignment="1">
      <alignment horizontal="center"/>
    </xf>
    <xf numFmtId="166" fontId="74" fillId="0" borderId="31" xfId="3" applyNumberFormat="1" applyFont="1" applyBorder="1" applyAlignment="1">
      <alignment horizontal="center"/>
    </xf>
    <xf numFmtId="0" fontId="72" fillId="0" borderId="21" xfId="3" applyFont="1" applyBorder="1" applyAlignment="1">
      <alignment horizontal="right"/>
    </xf>
    <xf numFmtId="0" fontId="72" fillId="0" borderId="14" xfId="3" applyFont="1" applyBorder="1" applyAlignment="1">
      <alignment horizontal="right"/>
    </xf>
    <xf numFmtId="0" fontId="72" fillId="0" borderId="22" xfId="3" applyFont="1" applyBorder="1" applyAlignment="1">
      <alignment horizontal="right"/>
    </xf>
    <xf numFmtId="0" fontId="74" fillId="0" borderId="22" xfId="3" applyFont="1" applyBorder="1" applyAlignment="1">
      <alignment horizontal="right"/>
    </xf>
    <xf numFmtId="166" fontId="74" fillId="0" borderId="15" xfId="3" applyNumberFormat="1" applyFont="1" applyBorder="1" applyAlignment="1">
      <alignment horizontal="center"/>
    </xf>
    <xf numFmtId="166" fontId="74" fillId="0" borderId="51" xfId="3" applyNumberFormat="1" applyFont="1" applyBorder="1" applyAlignment="1">
      <alignment horizontal="center"/>
    </xf>
    <xf numFmtId="0" fontId="78" fillId="3" borderId="34" xfId="2" applyFont="1" applyFill="1" applyBorder="1" applyAlignment="1">
      <alignment horizontal="center" vertical="center" wrapText="1"/>
    </xf>
    <xf numFmtId="0" fontId="78" fillId="3" borderId="35" xfId="2" applyFont="1" applyFill="1" applyBorder="1" applyAlignment="1">
      <alignment horizontal="center" vertical="center" wrapText="1"/>
    </xf>
    <xf numFmtId="0" fontId="74" fillId="0" borderId="32" xfId="0" applyFont="1" applyBorder="1" applyAlignment="1">
      <alignment horizontal="left"/>
    </xf>
    <xf numFmtId="0" fontId="74" fillId="0" borderId="30" xfId="0" applyFont="1" applyBorder="1" applyAlignment="1">
      <alignment horizontal="left"/>
    </xf>
    <xf numFmtId="0" fontId="74" fillId="0" borderId="31" xfId="0" applyFont="1" applyBorder="1" applyAlignment="1">
      <alignment horizontal="left"/>
    </xf>
    <xf numFmtId="0" fontId="74" fillId="0" borderId="38" xfId="0" applyFont="1" applyBorder="1" applyAlignment="1">
      <alignment horizontal="left"/>
    </xf>
    <xf numFmtId="0" fontId="74" fillId="0" borderId="9" xfId="0" applyFont="1" applyBorder="1" applyAlignment="1">
      <alignment horizontal="left"/>
    </xf>
    <xf numFmtId="0" fontId="74" fillId="0" borderId="25" xfId="0" applyFont="1" applyBorder="1" applyAlignment="1">
      <alignment horizontal="left"/>
    </xf>
    <xf numFmtId="0" fontId="74" fillId="0" borderId="26" xfId="0" applyFont="1" applyBorder="1" applyAlignment="1">
      <alignment horizontal="left"/>
    </xf>
    <xf numFmtId="166" fontId="74" fillId="0" borderId="28" xfId="3" applyNumberFormat="1" applyFont="1" applyBorder="1" applyAlignment="1">
      <alignment horizontal="right" wrapText="1"/>
    </xf>
    <xf numFmtId="166" fontId="74" fillId="0" borderId="29" xfId="3" applyNumberFormat="1" applyFont="1" applyBorder="1" applyAlignment="1">
      <alignment horizontal="right" wrapText="1"/>
    </xf>
    <xf numFmtId="0" fontId="74" fillId="0" borderId="38" xfId="0" applyFont="1" applyBorder="1" applyAlignment="1">
      <alignment horizontal="left" wrapText="1"/>
    </xf>
    <xf numFmtId="0" fontId="74" fillId="0" borderId="9" xfId="0" applyFont="1" applyBorder="1" applyAlignment="1">
      <alignment horizontal="left" wrapText="1"/>
    </xf>
    <xf numFmtId="0" fontId="74" fillId="0" borderId="25" xfId="0" applyFont="1" applyBorder="1" applyAlignment="1">
      <alignment horizontal="left" wrapText="1"/>
    </xf>
    <xf numFmtId="0" fontId="74" fillId="0" borderId="26" xfId="0" applyFont="1" applyBorder="1" applyAlignment="1">
      <alignment horizontal="left" wrapText="1"/>
    </xf>
    <xf numFmtId="0" fontId="72" fillId="4" borderId="33" xfId="3" applyFont="1" applyFill="1" applyBorder="1" applyAlignment="1">
      <alignment horizontal="center"/>
    </xf>
    <xf numFmtId="0" fontId="72" fillId="4" borderId="34" xfId="3" applyFont="1" applyFill="1" applyBorder="1" applyAlignment="1">
      <alignment horizontal="center"/>
    </xf>
    <xf numFmtId="0" fontId="72" fillId="4" borderId="35" xfId="3" applyFont="1" applyFill="1" applyBorder="1" applyAlignment="1">
      <alignment horizontal="center"/>
    </xf>
    <xf numFmtId="0" fontId="74" fillId="2" borderId="6" xfId="2" applyFont="1" applyFill="1" applyBorder="1" applyAlignment="1">
      <alignment horizontal="left"/>
    </xf>
    <xf numFmtId="0" fontId="72" fillId="0" borderId="24" xfId="3" applyFont="1" applyBorder="1" applyAlignment="1">
      <alignment horizontal="right"/>
    </xf>
    <xf numFmtId="0" fontId="72" fillId="0" borderId="40" xfId="3" applyFont="1" applyBorder="1" applyAlignment="1">
      <alignment horizontal="right"/>
    </xf>
    <xf numFmtId="0" fontId="72" fillId="0" borderId="9" xfId="3" applyFont="1" applyBorder="1" applyAlignment="1">
      <alignment horizontal="right"/>
    </xf>
    <xf numFmtId="166" fontId="74" fillId="0" borderId="25" xfId="3" applyNumberFormat="1" applyFont="1" applyBorder="1" applyAlignment="1">
      <alignment horizontal="right"/>
    </xf>
    <xf numFmtId="0" fontId="74" fillId="2" borderId="36" xfId="3" applyFont="1" applyFill="1" applyBorder="1" applyAlignment="1">
      <alignment horizontal="center"/>
    </xf>
    <xf numFmtId="0" fontId="74" fillId="2" borderId="37" xfId="3" applyFont="1" applyFill="1" applyBorder="1" applyAlignment="1">
      <alignment horizontal="center"/>
    </xf>
    <xf numFmtId="0" fontId="74" fillId="0" borderId="52" xfId="3" applyFont="1" applyBorder="1" applyAlignment="1">
      <alignment horizontal="left"/>
    </xf>
    <xf numFmtId="0" fontId="74" fillId="0" borderId="16" xfId="3" applyFont="1" applyBorder="1" applyAlignment="1">
      <alignment horizontal="left"/>
    </xf>
    <xf numFmtId="0" fontId="74" fillId="0" borderId="51" xfId="3" applyFont="1" applyBorder="1" applyAlignment="1">
      <alignment horizontal="left"/>
    </xf>
    <xf numFmtId="0" fontId="72" fillId="11" borderId="53" xfId="2" applyFont="1" applyFill="1" applyBorder="1" applyAlignment="1">
      <alignment horizontal="center"/>
    </xf>
    <xf numFmtId="0" fontId="72" fillId="11" borderId="46" xfId="2" applyFont="1" applyFill="1" applyBorder="1" applyAlignment="1">
      <alignment horizontal="center"/>
    </xf>
    <xf numFmtId="0" fontId="74" fillId="0" borderId="32" xfId="0" applyFont="1" applyBorder="1" applyAlignment="1">
      <alignment horizontal="left" wrapText="1"/>
    </xf>
    <xf numFmtId="0" fontId="74" fillId="0" borderId="30" xfId="0" applyFont="1" applyBorder="1" applyAlignment="1">
      <alignment horizontal="left" wrapText="1"/>
    </xf>
    <xf numFmtId="0" fontId="74" fillId="0" borderId="31" xfId="0" applyFont="1" applyBorder="1" applyAlignment="1">
      <alignment horizontal="left" wrapText="1"/>
    </xf>
    <xf numFmtId="14" fontId="2" fillId="2" borderId="8" xfId="2" applyNumberFormat="1" applyFont="1" applyFill="1" applyBorder="1" applyAlignment="1">
      <alignment horizontal="center" vertical="center" wrapText="1"/>
    </xf>
    <xf numFmtId="14" fontId="2" fillId="2" borderId="13" xfId="2" applyNumberFormat="1" applyFont="1" applyFill="1" applyBorder="1" applyAlignment="1">
      <alignment horizontal="center" vertical="center" wrapText="1"/>
    </xf>
    <xf numFmtId="14" fontId="2" fillId="2" borderId="26" xfId="2" applyNumberFormat="1" applyFont="1" applyFill="1" applyBorder="1" applyAlignment="1">
      <alignment horizontal="center" vertical="center" wrapText="1"/>
    </xf>
    <xf numFmtId="0" fontId="2" fillId="2" borderId="10" xfId="2" applyFont="1" applyFill="1" applyBorder="1" applyAlignment="1">
      <alignment horizontal="left"/>
    </xf>
    <xf numFmtId="0" fontId="2" fillId="2" borderId="11" xfId="2" applyFont="1" applyFill="1" applyBorder="1" applyAlignment="1">
      <alignment horizontal="left"/>
    </xf>
    <xf numFmtId="0" fontId="2" fillId="2" borderId="1" xfId="2" applyFont="1" applyFill="1" applyBorder="1" applyAlignment="1">
      <alignment horizontal="left"/>
    </xf>
    <xf numFmtId="0" fontId="2" fillId="2" borderId="28" xfId="2" applyFont="1" applyFill="1" applyBorder="1" applyAlignment="1">
      <alignment horizontal="left"/>
    </xf>
    <xf numFmtId="0" fontId="2" fillId="2" borderId="30" xfId="2" applyFont="1" applyFill="1" applyBorder="1" applyAlignment="1">
      <alignment horizontal="left"/>
    </xf>
    <xf numFmtId="0" fontId="2" fillId="2" borderId="29" xfId="2" applyFont="1" applyFill="1" applyBorder="1" applyAlignment="1">
      <alignment horizontal="left"/>
    </xf>
    <xf numFmtId="0" fontId="2" fillId="2" borderId="41" xfId="2" applyFont="1" applyFill="1" applyBorder="1" applyAlignment="1">
      <alignment horizontal="center"/>
    </xf>
    <xf numFmtId="0" fontId="2" fillId="2" borderId="46" xfId="2" applyFont="1" applyFill="1" applyBorder="1" applyAlignment="1">
      <alignment horizontal="center"/>
    </xf>
    <xf numFmtId="0" fontId="2" fillId="2" borderId="39" xfId="2" applyFont="1" applyFill="1" applyBorder="1" applyAlignment="1">
      <alignment horizontal="center"/>
    </xf>
    <xf numFmtId="0" fontId="2" fillId="2" borderId="0" xfId="2" applyFont="1" applyFill="1" applyAlignment="1">
      <alignment horizontal="center"/>
    </xf>
    <xf numFmtId="0" fontId="2" fillId="2" borderId="24" xfId="2" applyFont="1" applyFill="1" applyBorder="1" applyAlignment="1">
      <alignment horizontal="center"/>
    </xf>
    <xf numFmtId="0" fontId="2" fillId="2" borderId="40" xfId="2" applyFont="1" applyFill="1" applyBorder="1" applyAlignment="1">
      <alignment horizontal="center"/>
    </xf>
    <xf numFmtId="0" fontId="3" fillId="2" borderId="15" xfId="2" applyFont="1" applyFill="1" applyBorder="1" applyAlignment="1">
      <alignment horizontal="center"/>
    </xf>
    <xf numFmtId="0" fontId="3" fillId="2" borderId="16" xfId="2" applyFont="1" applyFill="1" applyBorder="1" applyAlignment="1">
      <alignment horizontal="center"/>
    </xf>
    <xf numFmtId="0" fontId="3" fillId="2" borderId="14" xfId="2" applyFont="1" applyFill="1" applyBorder="1" applyAlignment="1">
      <alignment horizontal="center"/>
    </xf>
    <xf numFmtId="0" fontId="48" fillId="3" borderId="33" xfId="2" applyFont="1" applyFill="1" applyBorder="1" applyAlignment="1">
      <alignment horizontal="center" vertical="center" wrapText="1"/>
    </xf>
    <xf numFmtId="0" fontId="48" fillId="3" borderId="34" xfId="2" applyFont="1" applyFill="1" applyBorder="1" applyAlignment="1">
      <alignment horizontal="center" vertical="center" wrapText="1"/>
    </xf>
    <xf numFmtId="0" fontId="48" fillId="3" borderId="35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right" vertical="top" wrapText="1"/>
    </xf>
    <xf numFmtId="0" fontId="4" fillId="2" borderId="12" xfId="2" applyFont="1" applyFill="1" applyBorder="1" applyAlignment="1">
      <alignment horizontal="right" vertical="top" wrapText="1"/>
    </xf>
    <xf numFmtId="0" fontId="4" fillId="2" borderId="17" xfId="2" applyFont="1" applyFill="1" applyBorder="1" applyAlignment="1">
      <alignment horizontal="right" vertical="top" wrapText="1"/>
    </xf>
    <xf numFmtId="0" fontId="49" fillId="2" borderId="0" xfId="2" applyFont="1" applyFill="1" applyAlignment="1">
      <alignment horizontal="right"/>
    </xf>
    <xf numFmtId="0" fontId="50" fillId="2" borderId="18" xfId="2" applyFont="1" applyFill="1" applyBorder="1" applyAlignment="1">
      <alignment horizontal="center"/>
    </xf>
    <xf numFmtId="0" fontId="49" fillId="2" borderId="0" xfId="2" applyFont="1" applyFill="1"/>
    <xf numFmtId="0" fontId="4" fillId="4" borderId="20" xfId="3" applyFont="1" applyFill="1" applyBorder="1" applyAlignment="1">
      <alignment horizontal="center" vertical="center"/>
    </xf>
    <xf numFmtId="0" fontId="4" fillId="4" borderId="21" xfId="3" applyFont="1" applyFill="1" applyBorder="1" applyAlignment="1">
      <alignment horizontal="center" vertical="center"/>
    </xf>
    <xf numFmtId="0" fontId="4" fillId="4" borderId="20" xfId="3" applyFont="1" applyFill="1" applyBorder="1" applyAlignment="1">
      <alignment horizontal="center" vertical="center" wrapText="1"/>
    </xf>
    <xf numFmtId="0" fontId="4" fillId="4" borderId="21" xfId="3" applyFont="1" applyFill="1" applyBorder="1" applyAlignment="1">
      <alignment horizontal="center" vertical="center" wrapText="1"/>
    </xf>
    <xf numFmtId="0" fontId="4" fillId="4" borderId="2" xfId="3" applyFont="1" applyFill="1" applyBorder="1" applyAlignment="1">
      <alignment horizontal="center" vertical="center"/>
    </xf>
    <xf numFmtId="0" fontId="4" fillId="4" borderId="22" xfId="3" applyFont="1" applyFill="1" applyBorder="1" applyAlignment="1">
      <alignment horizontal="center" vertical="center"/>
    </xf>
    <xf numFmtId="0" fontId="4" fillId="0" borderId="24" xfId="3" applyFont="1" applyBorder="1" applyAlignment="1">
      <alignment horizontal="right"/>
    </xf>
    <xf numFmtId="0" fontId="4" fillId="0" borderId="40" xfId="3" applyFont="1" applyBorder="1" applyAlignment="1">
      <alignment horizontal="right"/>
    </xf>
    <xf numFmtId="0" fontId="4" fillId="0" borderId="9" xfId="3" applyFont="1" applyBorder="1" applyAlignment="1">
      <alignment horizontal="right"/>
    </xf>
    <xf numFmtId="166" fontId="2" fillId="0" borderId="25" xfId="3" applyNumberFormat="1" applyFont="1" applyBorder="1" applyAlignment="1">
      <alignment horizontal="right"/>
    </xf>
    <xf numFmtId="0" fontId="2" fillId="2" borderId="36" xfId="3" applyFont="1" applyFill="1" applyBorder="1" applyAlignment="1">
      <alignment horizontal="center"/>
    </xf>
    <xf numFmtId="0" fontId="2" fillId="2" borderId="37" xfId="3" applyFont="1" applyFill="1" applyBorder="1" applyAlignment="1">
      <alignment horizontal="center"/>
    </xf>
    <xf numFmtId="0" fontId="4" fillId="0" borderId="32" xfId="3" applyFont="1" applyBorder="1" applyAlignment="1">
      <alignment horizontal="right"/>
    </xf>
    <xf numFmtId="0" fontId="4" fillId="0" borderId="30" xfId="3" applyFont="1" applyBorder="1" applyAlignment="1">
      <alignment horizontal="right"/>
    </xf>
    <xf numFmtId="0" fontId="4" fillId="0" borderId="29" xfId="3" applyFont="1" applyBorder="1" applyAlignment="1">
      <alignment horizontal="right"/>
    </xf>
    <xf numFmtId="0" fontId="2" fillId="0" borderId="6" xfId="3" applyFont="1" applyBorder="1" applyAlignment="1">
      <alignment horizontal="right"/>
    </xf>
    <xf numFmtId="166" fontId="2" fillId="0" borderId="28" xfId="3" applyNumberFormat="1" applyFont="1" applyBorder="1" applyAlignment="1">
      <alignment horizontal="center"/>
    </xf>
    <xf numFmtId="166" fontId="2" fillId="0" borderId="31" xfId="3" applyNumberFormat="1" applyFont="1" applyBorder="1" applyAlignment="1">
      <alignment horizontal="center"/>
    </xf>
    <xf numFmtId="166" fontId="2" fillId="0" borderId="28" xfId="3" applyNumberFormat="1" applyFont="1" applyBorder="1" applyAlignment="1">
      <alignment horizontal="right" wrapText="1"/>
    </xf>
    <xf numFmtId="166" fontId="2" fillId="0" borderId="29" xfId="3" applyNumberFormat="1" applyFont="1" applyBorder="1" applyAlignment="1">
      <alignment horizontal="right" wrapText="1"/>
    </xf>
    <xf numFmtId="166" fontId="2" fillId="0" borderId="28" xfId="0" applyNumberFormat="1" applyFont="1" applyBorder="1" applyAlignment="1">
      <alignment horizontal="center" wrapText="1"/>
    </xf>
    <xf numFmtId="166" fontId="2" fillId="0" borderId="31" xfId="0" applyNumberFormat="1" applyFont="1" applyBorder="1" applyAlignment="1">
      <alignment horizontal="center" wrapText="1"/>
    </xf>
    <xf numFmtId="0" fontId="2" fillId="0" borderId="38" xfId="3" applyFont="1" applyBorder="1" applyAlignment="1">
      <alignment horizontal="left"/>
    </xf>
    <xf numFmtId="0" fontId="2" fillId="0" borderId="9" xfId="3" applyFont="1" applyBorder="1" applyAlignment="1">
      <alignment horizontal="left"/>
    </xf>
    <xf numFmtId="0" fontId="2" fillId="0" borderId="25" xfId="3" applyFont="1" applyBorder="1" applyAlignment="1">
      <alignment horizontal="left"/>
    </xf>
    <xf numFmtId="0" fontId="2" fillId="0" borderId="26" xfId="3" applyFont="1" applyBorder="1" applyAlignment="1">
      <alignment horizontal="left"/>
    </xf>
    <xf numFmtId="0" fontId="4" fillId="0" borderId="21" xfId="3" applyFont="1" applyBorder="1" applyAlignment="1">
      <alignment horizontal="right"/>
    </xf>
    <xf numFmtId="0" fontId="4" fillId="0" borderId="14" xfId="3" applyFont="1" applyBorder="1" applyAlignment="1">
      <alignment horizontal="right"/>
    </xf>
    <xf numFmtId="0" fontId="4" fillId="0" borderId="22" xfId="3" applyFont="1" applyBorder="1" applyAlignment="1">
      <alignment horizontal="right"/>
    </xf>
    <xf numFmtId="0" fontId="2" fillId="0" borderId="22" xfId="3" applyFont="1" applyBorder="1" applyAlignment="1">
      <alignment horizontal="right"/>
    </xf>
    <xf numFmtId="0" fontId="4" fillId="4" borderId="33" xfId="3" applyFont="1" applyFill="1" applyBorder="1" applyAlignment="1">
      <alignment horizontal="left"/>
    </xf>
    <xf numFmtId="0" fontId="4" fillId="4" borderId="34" xfId="3" applyFont="1" applyFill="1" applyBorder="1" applyAlignment="1">
      <alignment horizontal="left"/>
    </xf>
    <xf numFmtId="0" fontId="4" fillId="4" borderId="35" xfId="3" applyFont="1" applyFill="1" applyBorder="1" applyAlignment="1">
      <alignment horizontal="left"/>
    </xf>
    <xf numFmtId="0" fontId="2" fillId="0" borderId="32" xfId="3" applyFont="1" applyBorder="1" applyAlignment="1">
      <alignment horizontal="left"/>
    </xf>
    <xf numFmtId="0" fontId="2" fillId="0" borderId="30" xfId="3" applyFont="1" applyBorder="1" applyAlignment="1">
      <alignment horizontal="left"/>
    </xf>
    <xf numFmtId="0" fontId="2" fillId="0" borderId="31" xfId="3" applyFont="1" applyBorder="1" applyAlignment="1">
      <alignment horizontal="left"/>
    </xf>
    <xf numFmtId="0" fontId="56" fillId="0" borderId="24" xfId="3" applyFont="1" applyBorder="1" applyAlignment="1">
      <alignment horizontal="left" wrapText="1"/>
    </xf>
    <xf numFmtId="0" fontId="56" fillId="0" borderId="40" xfId="3" applyFont="1" applyBorder="1" applyAlignment="1">
      <alignment horizontal="left" wrapText="1"/>
    </xf>
    <xf numFmtId="0" fontId="56" fillId="0" borderId="37" xfId="3" applyFont="1" applyBorder="1" applyAlignment="1">
      <alignment horizontal="left" wrapText="1"/>
    </xf>
    <xf numFmtId="0" fontId="2" fillId="0" borderId="38" xfId="3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25" xfId="3" applyFont="1" applyBorder="1" applyAlignment="1">
      <alignment horizontal="left" wrapText="1"/>
    </xf>
    <xf numFmtId="0" fontId="2" fillId="0" borderId="26" xfId="3" applyFont="1" applyBorder="1" applyAlignment="1">
      <alignment horizontal="left" wrapText="1"/>
    </xf>
    <xf numFmtId="0" fontId="2" fillId="0" borderId="21" xfId="3" applyFont="1" applyBorder="1" applyAlignment="1">
      <alignment horizontal="left"/>
    </xf>
    <xf numFmtId="0" fontId="2" fillId="0" borderId="14" xfId="3" applyFont="1" applyBorder="1" applyAlignment="1">
      <alignment horizontal="left"/>
    </xf>
    <xf numFmtId="0" fontId="2" fillId="0" borderId="22" xfId="3" applyFont="1" applyBorder="1" applyAlignment="1">
      <alignment horizontal="left"/>
    </xf>
    <xf numFmtId="0" fontId="2" fillId="0" borderId="23" xfId="3" applyFont="1" applyBorder="1" applyAlignment="1">
      <alignment horizontal="left"/>
    </xf>
    <xf numFmtId="0" fontId="2" fillId="0" borderId="28" xfId="0" applyFont="1" applyBorder="1" applyAlignment="1">
      <alignment horizontal="left" wrapText="1"/>
    </xf>
    <xf numFmtId="0" fontId="2" fillId="0" borderId="30" xfId="0" applyFont="1" applyBorder="1" applyAlignment="1">
      <alignment horizontal="left" wrapText="1"/>
    </xf>
    <xf numFmtId="0" fontId="2" fillId="0" borderId="29" xfId="0" applyFont="1" applyBorder="1" applyAlignment="1">
      <alignment horizontal="left" wrapText="1"/>
    </xf>
    <xf numFmtId="0" fontId="57" fillId="3" borderId="28" xfId="2" applyFont="1" applyFill="1" applyBorder="1" applyAlignment="1">
      <alignment horizontal="center" vertical="center" wrapText="1"/>
    </xf>
    <xf numFmtId="0" fontId="57" fillId="3" borderId="30" xfId="2" applyFont="1" applyFill="1" applyBorder="1" applyAlignment="1">
      <alignment horizontal="center" vertical="center" wrapText="1"/>
    </xf>
    <xf numFmtId="0" fontId="57" fillId="3" borderId="29" xfId="2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6" fillId="0" borderId="32" xfId="3" applyFont="1" applyBorder="1" applyAlignment="1">
      <alignment horizontal="left" wrapText="1"/>
    </xf>
    <xf numFmtId="0" fontId="6" fillId="0" borderId="30" xfId="3" applyFont="1" applyBorder="1" applyAlignment="1">
      <alignment horizontal="left" wrapText="1"/>
    </xf>
    <xf numFmtId="0" fontId="6" fillId="0" borderId="31" xfId="3" applyFont="1" applyBorder="1" applyAlignment="1">
      <alignment horizontal="left" wrapText="1"/>
    </xf>
    <xf numFmtId="0" fontId="59" fillId="0" borderId="24" xfId="3" applyFont="1" applyBorder="1" applyAlignment="1">
      <alignment horizontal="left"/>
    </xf>
    <xf numFmtId="0" fontId="59" fillId="0" borderId="40" xfId="3" applyFont="1" applyBorder="1" applyAlignment="1">
      <alignment horizontal="left"/>
    </xf>
    <xf numFmtId="0" fontId="59" fillId="0" borderId="37" xfId="3" applyFont="1" applyBorder="1" applyAlignment="1">
      <alignment horizontal="left"/>
    </xf>
    <xf numFmtId="166" fontId="2" fillId="0" borderId="15" xfId="3" applyNumberFormat="1" applyFont="1" applyBorder="1" applyAlignment="1">
      <alignment horizontal="center"/>
    </xf>
    <xf numFmtId="166" fontId="2" fillId="0" borderId="51" xfId="3" applyNumberFormat="1" applyFont="1" applyBorder="1" applyAlignment="1">
      <alignment horizontal="center"/>
    </xf>
    <xf numFmtId="0" fontId="2" fillId="0" borderId="27" xfId="3" applyFont="1" applyBorder="1" applyAlignment="1">
      <alignment horizontal="left"/>
    </xf>
    <xf numFmtId="0" fontId="2" fillId="0" borderId="29" xfId="3" applyFont="1" applyBorder="1" applyAlignment="1">
      <alignment horizontal="left"/>
    </xf>
    <xf numFmtId="0" fontId="2" fillId="0" borderId="6" xfId="3" applyFont="1" applyBorder="1" applyAlignment="1">
      <alignment horizontal="left"/>
    </xf>
    <xf numFmtId="0" fontId="2" fillId="0" borderId="7" xfId="3" applyFont="1" applyBorder="1" applyAlignment="1">
      <alignment horizontal="left"/>
    </xf>
    <xf numFmtId="0" fontId="2" fillId="0" borderId="32" xfId="3" applyFont="1" applyBorder="1" applyAlignment="1">
      <alignment horizontal="left" wrapText="1"/>
    </xf>
    <xf numFmtId="0" fontId="2" fillId="0" borderId="30" xfId="3" applyFont="1" applyBorder="1" applyAlignment="1">
      <alignment horizontal="left" wrapText="1"/>
    </xf>
    <xf numFmtId="0" fontId="2" fillId="0" borderId="31" xfId="3" applyFont="1" applyBorder="1" applyAlignment="1">
      <alignment horizontal="left" wrapText="1"/>
    </xf>
    <xf numFmtId="0" fontId="2" fillId="0" borderId="27" xfId="3" applyFont="1" applyBorder="1" applyAlignment="1">
      <alignment horizontal="left" wrapText="1"/>
    </xf>
    <xf numFmtId="0" fontId="2" fillId="0" borderId="29" xfId="3" applyFont="1" applyBorder="1" applyAlignment="1">
      <alignment horizontal="left" wrapText="1"/>
    </xf>
    <xf numFmtId="0" fontId="2" fillId="0" borderId="6" xfId="3" applyFont="1" applyBorder="1" applyAlignment="1">
      <alignment horizontal="left" wrapText="1"/>
    </xf>
    <xf numFmtId="0" fontId="2" fillId="0" borderId="7" xfId="3" applyFont="1" applyBorder="1" applyAlignment="1">
      <alignment horizontal="left" wrapText="1"/>
    </xf>
    <xf numFmtId="0" fontId="59" fillId="0" borderId="57" xfId="3" applyFont="1" applyBorder="1" applyAlignment="1">
      <alignment horizontal="left"/>
    </xf>
    <xf numFmtId="0" fontId="59" fillId="0" borderId="18" xfId="3" applyFont="1" applyBorder="1" applyAlignment="1">
      <alignment horizontal="left"/>
    </xf>
    <xf numFmtId="0" fontId="59" fillId="0" borderId="19" xfId="3" applyFont="1" applyBorder="1" applyAlignment="1">
      <alignment horizontal="left"/>
    </xf>
    <xf numFmtId="0" fontId="2" fillId="0" borderId="52" xfId="3" applyFont="1" applyBorder="1" applyAlignment="1">
      <alignment horizontal="left"/>
    </xf>
    <xf numFmtId="0" fontId="2" fillId="0" borderId="16" xfId="3" applyFont="1" applyBorder="1" applyAlignment="1">
      <alignment horizontal="left"/>
    </xf>
    <xf numFmtId="0" fontId="2" fillId="0" borderId="51" xfId="3" applyFont="1" applyBorder="1" applyAlignment="1">
      <alignment horizontal="left"/>
    </xf>
    <xf numFmtId="14" fontId="2" fillId="2" borderId="8" xfId="1" applyNumberFormat="1" applyFont="1" applyFill="1" applyBorder="1" applyAlignment="1">
      <alignment horizontal="center" vertical="center" wrapText="1"/>
    </xf>
    <xf numFmtId="14" fontId="2" fillId="2" borderId="13" xfId="1" applyNumberFormat="1" applyFont="1" applyFill="1" applyBorder="1" applyAlignment="1">
      <alignment horizontal="center" vertical="center" wrapText="1"/>
    </xf>
    <xf numFmtId="14" fontId="2" fillId="2" borderId="26" xfId="1" applyNumberFormat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2" borderId="28" xfId="1" applyFont="1" applyFill="1" applyBorder="1" applyAlignment="1">
      <alignment horizontal="left"/>
    </xf>
    <xf numFmtId="0" fontId="2" fillId="2" borderId="30" xfId="1" applyFont="1" applyFill="1" applyBorder="1" applyAlignment="1">
      <alignment horizontal="left"/>
    </xf>
    <xf numFmtId="0" fontId="2" fillId="2" borderId="29" xfId="1" applyFont="1" applyFill="1" applyBorder="1" applyAlignment="1">
      <alignment horizontal="left"/>
    </xf>
    <xf numFmtId="0" fontId="2" fillId="2" borderId="41" xfId="1" applyFont="1" applyFill="1" applyBorder="1" applyAlignment="1">
      <alignment horizontal="center"/>
    </xf>
    <xf numFmtId="0" fontId="2" fillId="2" borderId="46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4" xfId="1" applyFont="1" applyFill="1" applyBorder="1" applyAlignment="1">
      <alignment horizontal="center"/>
    </xf>
    <xf numFmtId="0" fontId="2" fillId="2" borderId="40" xfId="1" applyFont="1" applyFill="1" applyBorder="1" applyAlignment="1">
      <alignment horizontal="center"/>
    </xf>
    <xf numFmtId="0" fontId="3" fillId="2" borderId="15" xfId="1" applyFont="1" applyFill="1" applyBorder="1" applyAlignment="1">
      <alignment horizontal="center"/>
    </xf>
    <xf numFmtId="0" fontId="3" fillId="2" borderId="16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48" fillId="3" borderId="33" xfId="1" applyFont="1" applyFill="1" applyBorder="1" applyAlignment="1">
      <alignment horizontal="center" vertical="center" wrapText="1"/>
    </xf>
    <xf numFmtId="0" fontId="48" fillId="3" borderId="34" xfId="1" applyFont="1" applyFill="1" applyBorder="1" applyAlignment="1">
      <alignment horizontal="center" vertical="center" wrapText="1"/>
    </xf>
    <xf numFmtId="0" fontId="48" fillId="3" borderId="35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right" vertical="top" wrapText="1"/>
    </xf>
    <xf numFmtId="0" fontId="4" fillId="2" borderId="12" xfId="1" applyFont="1" applyFill="1" applyBorder="1" applyAlignment="1">
      <alignment horizontal="right" vertical="top" wrapText="1"/>
    </xf>
    <xf numFmtId="0" fontId="4" fillId="2" borderId="17" xfId="1" applyFont="1" applyFill="1" applyBorder="1" applyAlignment="1">
      <alignment horizontal="right" vertical="top" wrapText="1"/>
    </xf>
    <xf numFmtId="0" fontId="46" fillId="0" borderId="24" xfId="0" applyFont="1" applyBorder="1" applyAlignment="1">
      <alignment horizontal="left"/>
    </xf>
    <xf numFmtId="0" fontId="46" fillId="0" borderId="40" xfId="0" applyFont="1" applyBorder="1" applyAlignment="1">
      <alignment horizontal="left"/>
    </xf>
    <xf numFmtId="0" fontId="46" fillId="0" borderId="37" xfId="0" applyFont="1" applyBorder="1" applyAlignment="1">
      <alignment horizontal="left"/>
    </xf>
    <xf numFmtId="0" fontId="51" fillId="0" borderId="32" xfId="0" applyFont="1" applyBorder="1" applyAlignment="1">
      <alignment horizontal="left"/>
    </xf>
    <xf numFmtId="0" fontId="51" fillId="0" borderId="30" xfId="0" applyFont="1" applyBorder="1" applyAlignment="1">
      <alignment horizontal="left"/>
    </xf>
    <xf numFmtId="0" fontId="51" fillId="0" borderId="31" xfId="0" applyFont="1" applyBorder="1" applyAlignment="1">
      <alignment horizontal="left"/>
    </xf>
    <xf numFmtId="0" fontId="2" fillId="0" borderId="32" xfId="0" applyFont="1" applyBorder="1" applyAlignment="1">
      <alignment horizontal="left" wrapText="1"/>
    </xf>
    <xf numFmtId="0" fontId="2" fillId="0" borderId="52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51" xfId="0" applyFont="1" applyBorder="1" applyAlignment="1">
      <alignment horizontal="left"/>
    </xf>
    <xf numFmtId="0" fontId="3" fillId="3" borderId="33" xfId="2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left"/>
    </xf>
    <xf numFmtId="0" fontId="6" fillId="0" borderId="40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166" fontId="40" fillId="0" borderId="28" xfId="0" applyNumberFormat="1" applyFont="1" applyBorder="1" applyAlignment="1">
      <alignment horizontal="center" wrapText="1"/>
    </xf>
    <xf numFmtId="166" fontId="40" fillId="0" borderId="31" xfId="0" applyNumberFormat="1" applyFont="1" applyBorder="1" applyAlignment="1">
      <alignment horizontal="center" wrapText="1"/>
    </xf>
    <xf numFmtId="0" fontId="38" fillId="0" borderId="32" xfId="0" applyFont="1" applyBorder="1" applyAlignment="1">
      <alignment horizontal="left"/>
    </xf>
    <xf numFmtId="0" fontId="38" fillId="0" borderId="30" xfId="0" applyFont="1" applyBorder="1" applyAlignment="1">
      <alignment horizontal="left"/>
    </xf>
    <xf numFmtId="0" fontId="38" fillId="0" borderId="31" xfId="0" applyFont="1" applyBorder="1" applyAlignment="1">
      <alignment horizontal="left"/>
    </xf>
    <xf numFmtId="0" fontId="3" fillId="11" borderId="53" xfId="2" applyFont="1" applyFill="1" applyBorder="1" applyAlignment="1">
      <alignment horizontal="center"/>
    </xf>
    <xf numFmtId="0" fontId="3" fillId="11" borderId="46" xfId="2" applyFont="1" applyFill="1" applyBorder="1" applyAlignment="1">
      <alignment horizontal="center"/>
    </xf>
    <xf numFmtId="0" fontId="40" fillId="2" borderId="54" xfId="2" applyFont="1" applyFill="1" applyBorder="1" applyAlignment="1">
      <alignment horizontal="left"/>
    </xf>
    <xf numFmtId="0" fontId="40" fillId="2" borderId="0" xfId="2" applyFont="1" applyFill="1" applyAlignment="1">
      <alignment horizontal="left"/>
    </xf>
    <xf numFmtId="0" fontId="40" fillId="0" borderId="27" xfId="0" applyFont="1" applyBorder="1" applyAlignment="1">
      <alignment horizontal="left"/>
    </xf>
    <xf numFmtId="0" fontId="40" fillId="0" borderId="29" xfId="0" applyFont="1" applyBorder="1" applyAlignment="1">
      <alignment horizontal="left"/>
    </xf>
    <xf numFmtId="0" fontId="40" fillId="0" borderId="6" xfId="0" applyFont="1" applyBorder="1" applyAlignment="1">
      <alignment horizontal="left"/>
    </xf>
    <xf numFmtId="0" fontId="40" fillId="0" borderId="7" xfId="0" applyFont="1" applyBorder="1" applyAlignment="1">
      <alignment horizontal="left"/>
    </xf>
    <xf numFmtId="0" fontId="40" fillId="0" borderId="29" xfId="0" applyFont="1" applyBorder="1" applyAlignment="1">
      <alignment horizontal="left" wrapText="1"/>
    </xf>
    <xf numFmtId="0" fontId="40" fillId="0" borderId="52" xfId="0" applyFont="1" applyBorder="1" applyAlignment="1">
      <alignment horizontal="left"/>
    </xf>
    <xf numFmtId="0" fontId="40" fillId="0" borderId="16" xfId="0" applyFont="1" applyBorder="1" applyAlignment="1">
      <alignment horizontal="left"/>
    </xf>
    <xf numFmtId="0" fontId="40" fillId="0" borderId="51" xfId="0" applyFont="1" applyBorder="1" applyAlignment="1">
      <alignment horizontal="left"/>
    </xf>
    <xf numFmtId="0" fontId="46" fillId="0" borderId="32" xfId="0" applyFont="1" applyBorder="1" applyAlignment="1">
      <alignment horizontal="left"/>
    </xf>
    <xf numFmtId="0" fontId="46" fillId="0" borderId="30" xfId="0" applyFont="1" applyBorder="1" applyAlignment="1">
      <alignment horizontal="left"/>
    </xf>
    <xf numFmtId="0" fontId="46" fillId="0" borderId="31" xfId="0" applyFont="1" applyBorder="1" applyAlignment="1">
      <alignment horizontal="left"/>
    </xf>
    <xf numFmtId="0" fontId="46" fillId="0" borderId="32" xfId="0" applyFont="1" applyBorder="1" applyAlignment="1">
      <alignment horizontal="left" wrapText="1"/>
    </xf>
    <xf numFmtId="0" fontId="46" fillId="0" borderId="30" xfId="0" applyFont="1" applyBorder="1" applyAlignment="1">
      <alignment horizontal="left" wrapText="1"/>
    </xf>
    <xf numFmtId="0" fontId="46" fillId="0" borderId="31" xfId="0" applyFont="1" applyBorder="1" applyAlignment="1">
      <alignment horizontal="left" wrapText="1"/>
    </xf>
    <xf numFmtId="0" fontId="6" fillId="0" borderId="32" xfId="0" applyFont="1" applyBorder="1" applyAlignment="1">
      <alignment horizontal="left"/>
    </xf>
    <xf numFmtId="0" fontId="6" fillId="0" borderId="30" xfId="0" applyFont="1" applyBorder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52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51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" fillId="0" borderId="31" xfId="0" applyFont="1" applyBorder="1" applyAlignment="1">
      <alignment horizontal="left"/>
    </xf>
    <xf numFmtId="0" fontId="79" fillId="2" borderId="18" xfId="2" applyFont="1" applyFill="1" applyBorder="1" applyAlignment="1">
      <alignment horizontal="center"/>
    </xf>
    <xf numFmtId="14" fontId="79" fillId="2" borderId="0" xfId="2" applyNumberFormat="1" applyFont="1" applyFill="1" applyAlignment="1">
      <alignment horizontal="center" vertical="center" wrapText="1"/>
    </xf>
  </cellXfs>
  <cellStyles count="19">
    <cellStyle name="Millares" xfId="8" builtinId="3"/>
    <cellStyle name="Millares [0]" xfId="9" builtinId="6"/>
    <cellStyle name="Millares [0] 2" xfId="6" xr:uid="{935422FF-998A-499C-9088-818969E3A74B}"/>
    <cellStyle name="Millares [0] 2 2" xfId="16" xr:uid="{CD57BA39-A3F3-41C3-9418-9D2D602DCBF8}"/>
    <cellStyle name="Millares [0] 3" xfId="18" xr:uid="{03D4BA2B-D5FB-4548-912F-068F22D98E3B}"/>
    <cellStyle name="Millares 2" xfId="5" xr:uid="{C38BE13D-BAD1-4CB3-BC7E-13C43A9EF1E2}"/>
    <cellStyle name="Millares 2 2" xfId="15" xr:uid="{76507EF7-E858-49C1-909E-A15014F031C8}"/>
    <cellStyle name="Millares 3" xfId="17" xr:uid="{F73F2E16-960A-42F8-9B7C-B445694759EA}"/>
    <cellStyle name="Normal" xfId="0" builtinId="0"/>
    <cellStyle name="Normal 2" xfId="3" xr:uid="{520A9BD4-C4D2-42DF-81FE-5B85EB3F0D06}"/>
    <cellStyle name="Normal 3" xfId="4" xr:uid="{00608F4A-2ED1-4657-8367-A484F05496C7}"/>
    <cellStyle name="Normal 3 2" xfId="12" xr:uid="{3866E02A-E609-4E40-99DF-D1907641AFF6}"/>
    <cellStyle name="Normal 4" xfId="13" xr:uid="{DA1F6855-7EE1-46BB-9AC9-5662751DFE82}"/>
    <cellStyle name="Normal 5" xfId="11" xr:uid="{7CDFD8D3-D8F6-4631-85BD-FDB28DEC992C}"/>
    <cellStyle name="Normal_CRITERIOS DE EVALUACION PT DE GB" xfId="1" xr:uid="{E9316FDD-056F-4CD9-AE7F-831788575709}"/>
    <cellStyle name="Normal_CRITERIOS DE EVALUACION PT DE GB 2" xfId="2" xr:uid="{DECC572B-5C25-4351-8532-C1D8A772FC82}"/>
    <cellStyle name="Porcentaje" xfId="10" builtinId="5"/>
    <cellStyle name="Porcentaje 2" xfId="7" xr:uid="{66FF3F4E-2D8A-4BEC-9FAE-A54CAB32D046}"/>
    <cellStyle name="Porcentaje 2 2" xfId="14" xr:uid="{F18AF503-CF0D-4894-B931-674C8ED49F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114299</xdr:rowOff>
    </xdr:from>
    <xdr:to>
      <xdr:col>1</xdr:col>
      <xdr:colOff>878845</xdr:colOff>
      <xdr:row>3</xdr:row>
      <xdr:rowOff>93344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6607C6C-31F8-4F24-84FF-82DCC95CD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28612"/>
          <a:ext cx="1783720" cy="7948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4/REING%20MINI%20CAKES%202023-2024/ESP-RE-FIS-070(11)%20MINI%20CAKE%20CHOCOFRESA%20UD%2030300006.xlsx" TargetMode="External"/><Relationship Id="rId1" Type="http://schemas.openxmlformats.org/officeDocument/2006/relationships/externalLinkPath" Target="/personal/eramirez_fascr_com/Documents/Escritorio/INDUSTRIA%202022/INDUSTRIA%202024/REING%20MINI%20CAKES%202023-2024/ESP-RE-FIS-070(11)%20MINI%20CAKE%20CHOCOFRESA%20UD%20303000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món y Queso Suizo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>
        <row r="2">
          <cell r="A2"/>
          <cell r="B2" t="str">
            <v xml:space="preserve">INSTRUCTIVO </v>
          </cell>
          <cell r="C2"/>
          <cell r="D2"/>
          <cell r="E2"/>
          <cell r="F2"/>
          <cell r="G2" t="str">
            <v>REVISION</v>
          </cell>
          <cell r="H2"/>
        </row>
        <row r="3">
          <cell r="A3"/>
          <cell r="B3" t="str">
            <v>Sándwich Jamón y Queso Suizo</v>
          </cell>
          <cell r="C3"/>
          <cell r="D3"/>
          <cell r="E3"/>
          <cell r="F3"/>
          <cell r="G3" t="str">
            <v>FECHA APROBACION</v>
          </cell>
          <cell r="H3"/>
        </row>
        <row r="4">
          <cell r="A4"/>
          <cell r="B4" t="str">
            <v xml:space="preserve">ELABORADO: </v>
          </cell>
          <cell r="C4" t="str">
            <v>Enmanuel Madrigal, Chef</v>
          </cell>
          <cell r="D4"/>
          <cell r="E4" t="str">
            <v>APROBADO:</v>
          </cell>
          <cell r="F4" t="str">
            <v>Yenny Castro Q, Gte Calidad</v>
          </cell>
          <cell r="G4"/>
          <cell r="H4"/>
        </row>
        <row r="5">
          <cell r="A5"/>
          <cell r="B5"/>
          <cell r="C5"/>
          <cell r="D5"/>
          <cell r="E5"/>
          <cell r="F5"/>
          <cell r="G5"/>
          <cell r="H5"/>
        </row>
        <row r="6">
          <cell r="A6" t="str">
            <v xml:space="preserve"># Código </v>
          </cell>
          <cell r="B6" t="str">
            <v xml:space="preserve">Descrip. - Componentes </v>
          </cell>
          <cell r="C6" t="str">
            <v>ALERGENOS</v>
          </cell>
          <cell r="D6" t="str">
            <v>Cantidades</v>
          </cell>
          <cell r="E6" t="str">
            <v>Vida Útil</v>
          </cell>
          <cell r="F6" t="str">
            <v>Tipo Almacenamiento</v>
          </cell>
          <cell r="G6" t="str">
            <v>Tiempo Calentamiento</v>
          </cell>
          <cell r="H6"/>
        </row>
        <row r="7">
          <cell r="A7" t="str">
            <v>120000036 / 120000037</v>
          </cell>
          <cell r="B7" t="str">
            <v xml:space="preserve">PAN CUADRADO MASA MADRE ( PAQ: 14 REBANADAS) / PAN CUADRADO MULTIGRANO ( PAQ: 14 REBANADAS) </v>
          </cell>
          <cell r="C7" t="str">
            <v>trigo</v>
          </cell>
          <cell r="D7" t="str">
            <v>2 REB</v>
          </cell>
          <cell r="E7" t="str">
            <v>Ver empaque</v>
          </cell>
          <cell r="F7" t="str">
            <v>Refrigeración</v>
          </cell>
          <cell r="G7" t="str">
            <v>Plancha 1:30 min</v>
          </cell>
          <cell r="H7"/>
        </row>
        <row r="8">
          <cell r="A8">
            <v>20100106</v>
          </cell>
          <cell r="B8" t="str">
            <v>MAYONESA SPOON (BOLSA=1000g)</v>
          </cell>
          <cell r="C8" t="str">
            <v>huevos</v>
          </cell>
          <cell r="D8" t="str">
            <v>2 cdas - 20 g</v>
          </cell>
          <cell r="E8" t="str">
            <v>Ver Empaque</v>
          </cell>
          <cell r="F8" t="str">
            <v xml:space="preserve">Refrigeración </v>
          </cell>
          <cell r="G8" t="str">
            <v>Plancha 1:30 min</v>
          </cell>
          <cell r="H8"/>
        </row>
        <row r="9">
          <cell r="A9"/>
          <cell r="B9" t="str">
            <v xml:space="preserve">MOSTAZA DIJON </v>
          </cell>
          <cell r="C9"/>
          <cell r="D9" t="str">
            <v>1 cda - 10 g</v>
          </cell>
          <cell r="E9"/>
          <cell r="F9"/>
          <cell r="G9"/>
          <cell r="H9"/>
        </row>
        <row r="10">
          <cell r="A10">
            <v>10300035</v>
          </cell>
          <cell r="B10" t="str">
            <v>JAMON COCIDO DELIKA GI (PAQ:250 G)</v>
          </cell>
          <cell r="C10"/>
          <cell r="D10" t="str">
            <v>3 reb - 150 g</v>
          </cell>
          <cell r="E10" t="str">
            <v>Ver Empaque</v>
          </cell>
          <cell r="F10" t="str">
            <v xml:space="preserve">Refrigeración </v>
          </cell>
          <cell r="G10" t="str">
            <v>Plancha 1:30 min</v>
          </cell>
          <cell r="H10"/>
        </row>
        <row r="11">
          <cell r="A11" t="str">
            <v>11400056</v>
          </cell>
          <cell r="B11" t="str">
            <v>QUESO SUIZO REBANADO (PAQ: 1.5LB)</v>
          </cell>
          <cell r="C11" t="str">
            <v>Leche</v>
          </cell>
          <cell r="D11" t="str">
            <v>3 reb - 69 g</v>
          </cell>
          <cell r="E11" t="str">
            <v>Ver Empaque</v>
          </cell>
          <cell r="F11" t="str">
            <v xml:space="preserve">Refrigeración </v>
          </cell>
          <cell r="G11" t="str">
            <v>Plancha 1:30 min</v>
          </cell>
          <cell r="H11"/>
        </row>
        <row r="12">
          <cell r="A12" t="str">
            <v>10900036</v>
          </cell>
          <cell r="B12" t="str">
            <v>LECHUGA AMERICANA ENTERA (PAQ=500g)</v>
          </cell>
          <cell r="C12"/>
          <cell r="D12" t="str">
            <v>1 hoja - 10g</v>
          </cell>
          <cell r="E12" t="str">
            <v>Ver Empaque</v>
          </cell>
          <cell r="F12" t="str">
            <v xml:space="preserve">Refrigeración </v>
          </cell>
          <cell r="G12" t="str">
            <v>N/A</v>
          </cell>
          <cell r="H12"/>
        </row>
        <row r="13">
          <cell r="A13" t="str">
            <v>0101210</v>
          </cell>
          <cell r="B13" t="str">
            <v xml:space="preserve">TOMATE </v>
          </cell>
          <cell r="C13"/>
          <cell r="D13" t="str">
            <v>3 media luna - 60 g</v>
          </cell>
          <cell r="E13" t="str">
            <v>Ver Empaque</v>
          </cell>
          <cell r="F13" t="str">
            <v xml:space="preserve">Refrigeración </v>
          </cell>
          <cell r="G13" t="str">
            <v>N/A</v>
          </cell>
          <cell r="H13"/>
        </row>
        <row r="14">
          <cell r="A14">
            <v>10100098</v>
          </cell>
          <cell r="B14" t="str">
            <v>SAL REFINADA (PAQUETE = 500gr)</v>
          </cell>
          <cell r="C14"/>
          <cell r="D14" t="str">
            <v>1 pizca - 3 g</v>
          </cell>
          <cell r="E14" t="str">
            <v>Ver Empaque</v>
          </cell>
          <cell r="F14" t="str">
            <v xml:space="preserve">Temp Ambiente </v>
          </cell>
          <cell r="G14" t="str">
            <v>N/A</v>
          </cell>
          <cell r="H14"/>
        </row>
        <row r="15">
          <cell r="A15" t="str">
            <v>150625</v>
          </cell>
          <cell r="B15" t="str">
            <v>PEPINILLOS REBANADOS (GALON)</v>
          </cell>
          <cell r="C15"/>
          <cell r="D15" t="str">
            <v>4-5 reb - 20 g</v>
          </cell>
          <cell r="E15" t="str">
            <v>VER EMPAQUE</v>
          </cell>
          <cell r="F15" t="str">
            <v>REFRIGERACIÓN</v>
          </cell>
          <cell r="G15" t="str">
            <v>NO APLICA</v>
          </cell>
          <cell r="H15"/>
        </row>
        <row r="16">
          <cell r="A16"/>
          <cell r="B16" t="str">
            <v>Un opción a elegir, bravas, fritas o ensalada verde</v>
          </cell>
          <cell r="C16"/>
          <cell r="D16"/>
          <cell r="E16"/>
          <cell r="F16"/>
          <cell r="G16"/>
          <cell r="H16"/>
        </row>
        <row r="17">
          <cell r="A17">
            <v>400823</v>
          </cell>
          <cell r="B17" t="str">
            <v>PAPA GAJO CASCARA HIERBA</v>
          </cell>
          <cell r="C17"/>
          <cell r="D17" t="str">
            <v>1 porc - 170</v>
          </cell>
          <cell r="E17" t="str">
            <v>Ver empaque</v>
          </cell>
          <cell r="F17" t="str">
            <v xml:space="preserve">Congelación </v>
          </cell>
          <cell r="G17" t="str">
            <v>Freidroa 3:00 min</v>
          </cell>
          <cell r="H17"/>
        </row>
        <row r="18">
          <cell r="A18"/>
          <cell r="B18" t="str">
            <v>ADEREZO A ESCOGER (chipotle, albahaca, mayonesa, culantro)</v>
          </cell>
          <cell r="C18"/>
          <cell r="D18" t="str">
            <v>1 onz - 30 g</v>
          </cell>
          <cell r="E18" t="str">
            <v>Ver empaque</v>
          </cell>
          <cell r="F18" t="str">
            <v xml:space="preserve">Refrigeración </v>
          </cell>
          <cell r="G18" t="str">
            <v>NO APLICA</v>
          </cell>
          <cell r="H18"/>
        </row>
        <row r="19">
          <cell r="A19">
            <v>101170</v>
          </cell>
          <cell r="B19" t="str">
            <v>PAPAS FREIR (KILO)</v>
          </cell>
          <cell r="C19"/>
          <cell r="D19" t="str">
            <v>1 porc - 150</v>
          </cell>
          <cell r="E19" t="str">
            <v>Ver empaque</v>
          </cell>
          <cell r="F19" t="str">
            <v xml:space="preserve">Congelación </v>
          </cell>
          <cell r="G19" t="str">
            <v>Freidroa 3:00 min</v>
          </cell>
          <cell r="H19"/>
        </row>
        <row r="20">
          <cell r="A20"/>
          <cell r="B20" t="str">
            <v>ADEREZO A ESCOGER (chipotle, albahaca, mayonesa, culantro)</v>
          </cell>
          <cell r="C20"/>
          <cell r="D20" t="str">
            <v>1 onz - 30 g</v>
          </cell>
          <cell r="E20" t="str">
            <v>Ver empaque</v>
          </cell>
          <cell r="F20" t="str">
            <v xml:space="preserve">Refrigeración </v>
          </cell>
          <cell r="G20" t="str">
            <v>NO APLICA</v>
          </cell>
          <cell r="H20"/>
        </row>
        <row r="21">
          <cell r="A21" t="str">
            <v>SPOON</v>
          </cell>
          <cell r="B21" t="str">
            <v>ENSALADA VERDE ACOMPAÑAMIENTO</v>
          </cell>
          <cell r="C21"/>
          <cell r="D21" t="str">
            <v>1 und</v>
          </cell>
          <cell r="E21" t="str">
            <v>Ver empaque</v>
          </cell>
          <cell r="F21" t="str">
            <v xml:space="preserve">Refrigeración </v>
          </cell>
          <cell r="G21" t="str">
            <v>NO APLICA</v>
          </cell>
          <cell r="H21"/>
        </row>
        <row r="22">
          <cell r="A22" t="str">
            <v>50400015</v>
          </cell>
          <cell r="B22" t="str">
            <v>CAJA MEDIANA OFFICE BREAK (CAJA: 400 UND)</v>
          </cell>
          <cell r="C22"/>
          <cell r="D22" t="str">
            <v>1 unidad</v>
          </cell>
          <cell r="E22" t="str">
            <v>N/A</v>
          </cell>
          <cell r="F22" t="str">
            <v>N/A</v>
          </cell>
          <cell r="G22" t="str">
            <v>N/A</v>
          </cell>
          <cell r="H22"/>
        </row>
        <row r="23">
          <cell r="A23" t="str">
            <v>51100018</v>
          </cell>
          <cell r="B23" t="str">
            <v>PAPEL ENCERADO 12X12 (PAQ:1000 UND)</v>
          </cell>
          <cell r="C23"/>
          <cell r="D23" t="str">
            <v>1 unidad</v>
          </cell>
          <cell r="E23" t="str">
            <v>N/A</v>
          </cell>
          <cell r="F23" t="str">
            <v>N/A</v>
          </cell>
          <cell r="G23" t="str">
            <v>N/A</v>
          </cell>
          <cell r="H23"/>
        </row>
        <row r="24">
          <cell r="A24" t="str">
            <v>111301</v>
          </cell>
          <cell r="B24" t="str">
            <v>CUCHILLOS LINEA VERDE (10/100 UD)</v>
          </cell>
          <cell r="C24"/>
          <cell r="D24" t="str">
            <v>1 unidad</v>
          </cell>
          <cell r="E24" t="str">
            <v>N/A</v>
          </cell>
          <cell r="F24" t="str">
            <v>N/A</v>
          </cell>
          <cell r="G24" t="str">
            <v>N/A</v>
          </cell>
          <cell r="H24"/>
        </row>
        <row r="25">
          <cell r="A25" t="str">
            <v>435424</v>
          </cell>
          <cell r="B25" t="str">
            <v>SERVILLETA AIRFLEX SCOTT 30/120 UND</v>
          </cell>
          <cell r="C25"/>
          <cell r="D25" t="str">
            <v>2 unidades</v>
          </cell>
          <cell r="E25" t="str">
            <v>N/A</v>
          </cell>
          <cell r="F25" t="str">
            <v>N/A</v>
          </cell>
          <cell r="G25" t="str">
            <v>N/A</v>
          </cell>
          <cell r="H25"/>
        </row>
        <row r="26">
          <cell r="A26">
            <v>51600022</v>
          </cell>
          <cell r="B26" t="str">
            <v xml:space="preserve">ROLLO SELLO SEGURIDAD ROJO (ROLLO) </v>
          </cell>
          <cell r="C26"/>
          <cell r="D26" t="str">
            <v>2 uds</v>
          </cell>
          <cell r="E26" t="str">
            <v>N/A</v>
          </cell>
          <cell r="F26" t="str">
            <v>N/A</v>
          </cell>
          <cell r="G26" t="str">
            <v>N/A</v>
          </cell>
          <cell r="H26"/>
        </row>
        <row r="27">
          <cell r="A27" t="str">
            <v xml:space="preserve">1. DIAGRAMA Y/O FOTOGRAFIA DE PRODUCTO </v>
          </cell>
          <cell r="B27"/>
          <cell r="C27"/>
          <cell r="D27"/>
          <cell r="E27"/>
          <cell r="F27"/>
          <cell r="G27"/>
          <cell r="H27"/>
        </row>
        <row r="28">
          <cell r="A28"/>
          <cell r="B28"/>
          <cell r="C28"/>
          <cell r="D28"/>
          <cell r="E28"/>
          <cell r="F28"/>
          <cell r="G28"/>
          <cell r="H28"/>
        </row>
        <row r="29">
          <cell r="A29"/>
          <cell r="B29"/>
          <cell r="C29"/>
          <cell r="D29"/>
          <cell r="E29"/>
          <cell r="F29"/>
          <cell r="G29"/>
          <cell r="H29"/>
        </row>
        <row r="30">
          <cell r="A30" t="str">
            <v xml:space="preserve">PRESENTACIÓN SALON </v>
          </cell>
          <cell r="B30"/>
          <cell r="C30"/>
          <cell r="D30"/>
          <cell r="E30" t="str">
            <v>LLEVAR / DOMICILIO</v>
          </cell>
          <cell r="F30"/>
          <cell r="G30"/>
          <cell r="H30"/>
        </row>
        <row r="31">
          <cell r="A31"/>
          <cell r="B31"/>
          <cell r="C31"/>
          <cell r="D31"/>
          <cell r="E31"/>
          <cell r="F31"/>
          <cell r="G31"/>
          <cell r="H31"/>
        </row>
        <row r="32">
          <cell r="A32"/>
          <cell r="B32"/>
          <cell r="C32"/>
          <cell r="D32"/>
          <cell r="E32"/>
          <cell r="F32"/>
          <cell r="G32"/>
          <cell r="H32"/>
        </row>
        <row r="33">
          <cell r="A33"/>
          <cell r="B33"/>
          <cell r="C33"/>
          <cell r="D33"/>
          <cell r="E33"/>
          <cell r="F33"/>
          <cell r="G33"/>
          <cell r="H33"/>
        </row>
        <row r="34">
          <cell r="A34"/>
          <cell r="B34"/>
          <cell r="C34"/>
          <cell r="D34"/>
          <cell r="E34"/>
          <cell r="F34"/>
          <cell r="G34"/>
          <cell r="H34"/>
        </row>
        <row r="35">
          <cell r="A35"/>
          <cell r="B35"/>
          <cell r="C35"/>
          <cell r="D35"/>
          <cell r="E35"/>
          <cell r="F35"/>
          <cell r="G35"/>
          <cell r="H35"/>
        </row>
        <row r="36">
          <cell r="A36"/>
          <cell r="B36"/>
          <cell r="C36"/>
          <cell r="D36"/>
          <cell r="E36"/>
          <cell r="F36"/>
          <cell r="G36"/>
          <cell r="H36"/>
        </row>
        <row r="37">
          <cell r="A37"/>
          <cell r="B37"/>
          <cell r="C37"/>
          <cell r="D37"/>
          <cell r="E37"/>
          <cell r="F37"/>
          <cell r="G37"/>
          <cell r="H37"/>
        </row>
        <row r="38">
          <cell r="A38"/>
          <cell r="B38"/>
          <cell r="C38"/>
          <cell r="D38"/>
          <cell r="E38"/>
          <cell r="F38"/>
          <cell r="G38"/>
          <cell r="H38"/>
        </row>
        <row r="39">
          <cell r="A39"/>
          <cell r="B39"/>
          <cell r="C39"/>
          <cell r="D39"/>
          <cell r="E39"/>
          <cell r="F39"/>
          <cell r="G39"/>
          <cell r="H39"/>
        </row>
        <row r="40">
          <cell r="A40"/>
          <cell r="B40"/>
          <cell r="C40"/>
          <cell r="D40"/>
          <cell r="E40"/>
          <cell r="F40"/>
          <cell r="G40"/>
          <cell r="H40"/>
        </row>
        <row r="41">
          <cell r="A41" t="str">
            <v>2. DESCRIPCIÓN DE ACTIVIDADES</v>
          </cell>
          <cell r="B41"/>
          <cell r="C41"/>
          <cell r="D41"/>
          <cell r="E41"/>
          <cell r="F41"/>
          <cell r="G41"/>
          <cell r="H41"/>
        </row>
        <row r="42">
          <cell r="A42" t="str">
            <v>1- Colocar dos rebanas de pan cudrado en la plancha, hasta dorar por 1:30 aprox y retirar</v>
          </cell>
          <cell r="B42"/>
          <cell r="C42"/>
          <cell r="D42"/>
          <cell r="E42"/>
          <cell r="F42"/>
          <cell r="G42"/>
          <cell r="H42"/>
        </row>
        <row r="43">
          <cell r="A43" t="str">
            <v>2- Cubrir la base y la tapa del pan con 1 cda de mayonesa (TOTAL 2 CDAs 30 G)</v>
          </cell>
          <cell r="B43"/>
          <cell r="C43"/>
          <cell r="D43"/>
          <cell r="E43"/>
          <cell r="F43"/>
          <cell r="G43"/>
          <cell r="H43"/>
        </row>
        <row r="44">
          <cell r="A44" t="str">
            <v>3- En la base colocar 1 hoja de lechuga 10g y 2 media lunas de tomate con sal (40g)</v>
          </cell>
          <cell r="B44"/>
          <cell r="C44"/>
          <cell r="D44"/>
          <cell r="E44"/>
          <cell r="F44"/>
          <cell r="G44"/>
          <cell r="H44"/>
        </row>
        <row r="45">
          <cell r="A45" t="str">
            <v xml:space="preserve">4- Doblar en pañuelos 4 rebanadas de pavo y colocar en cada esquina del sándwich </v>
          </cell>
          <cell r="B45"/>
          <cell r="C45"/>
          <cell r="D45"/>
          <cell r="E45"/>
          <cell r="F45"/>
          <cell r="G45"/>
          <cell r="H45"/>
        </row>
        <row r="46">
          <cell r="A46" t="str">
            <v>5- Colocar 4-5 rebanadas de pepinillos (20g)</v>
          </cell>
          <cell r="B46"/>
          <cell r="C46"/>
          <cell r="D46"/>
          <cell r="E46"/>
          <cell r="F46"/>
          <cell r="G46"/>
          <cell r="H46"/>
        </row>
        <row r="47">
          <cell r="A47" t="str">
            <v>6- Con cuchillo cierra rebanar 1/4 de aguacate (50g) en láminas finitas y distribuir bien</v>
          </cell>
          <cell r="B47"/>
          <cell r="C47"/>
          <cell r="D47"/>
          <cell r="E47"/>
          <cell r="F47"/>
          <cell r="G47"/>
          <cell r="H47"/>
        </row>
        <row r="48">
          <cell r="A48" t="str">
            <v>7- Colocar la tapa del sándwich, presionar y partir por la mitad y colocar en plato piedra negro</v>
          </cell>
          <cell r="B48"/>
          <cell r="C48"/>
          <cell r="D48"/>
          <cell r="E48"/>
          <cell r="F48"/>
          <cell r="G48"/>
          <cell r="H48"/>
        </row>
        <row r="49">
          <cell r="A49" t="str">
            <v>Restaurante y Food Court:  Plato piedra negro</v>
          </cell>
          <cell r="B49"/>
          <cell r="C49"/>
          <cell r="D49"/>
          <cell r="E49"/>
          <cell r="F49"/>
          <cell r="G49"/>
          <cell r="H49"/>
        </row>
        <row r="50">
          <cell r="A50" t="str">
            <v>Domicilio: Envolver en papel encerado el sándwich SIN PARTIR y colocar en caja office break pequeña</v>
          </cell>
          <cell r="B50"/>
          <cell r="C50"/>
          <cell r="D50"/>
          <cell r="E50"/>
          <cell r="F50"/>
          <cell r="G50"/>
          <cell r="H50"/>
        </row>
        <row r="51">
          <cell r="A51" t="str">
            <v>3. ESPECIFICACIONES DEL PLATO</v>
          </cell>
          <cell r="B51"/>
          <cell r="C51"/>
          <cell r="D51"/>
          <cell r="E51"/>
          <cell r="F51"/>
          <cell r="G51"/>
          <cell r="H51"/>
        </row>
        <row r="52">
          <cell r="A52" t="str">
            <v>Sándwhich de pan cuadrado artesanal relleno de jamón de cerdo, queso suizo, lechuga, tomate fresco, pepinillos y mayonesa</v>
          </cell>
          <cell r="B52"/>
          <cell r="C52"/>
          <cell r="D52"/>
          <cell r="E52"/>
          <cell r="F52"/>
          <cell r="G52"/>
          <cell r="H52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SQUETE CHOC DAWN 100"/>
      <sheetName val="COSTO ROSQUETE"/>
      <sheetName val="ENSAMBLE"/>
      <sheetName val="COSTO ENSAMBLE"/>
    </sheetNames>
    <sheetDataSet>
      <sheetData sheetId="0"/>
      <sheetData sheetId="1">
        <row r="52">
          <cell r="H52">
            <v>136.64119004873046</v>
          </cell>
        </row>
        <row r="53">
          <cell r="H53">
            <v>2.1019774560784814</v>
          </cell>
        </row>
        <row r="55">
          <cell r="H55">
            <v>2.3438715055142345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CA3E-CDD1-46AF-B024-E4FE323D3BD8}">
  <dimension ref="A1:I60"/>
  <sheetViews>
    <sheetView zoomScale="70" zoomScaleNormal="70" workbookViewId="0">
      <selection activeCell="N19" sqref="N19"/>
    </sheetView>
  </sheetViews>
  <sheetFormatPr baseColWidth="10" defaultRowHeight="15" x14ac:dyDescent="0.25"/>
  <cols>
    <col min="3" max="3" width="53.140625" customWidth="1"/>
    <col min="4" max="4" width="34.28515625" bestFit="1" customWidth="1"/>
    <col min="8" max="8" width="27" customWidth="1"/>
    <col min="9" max="9" width="23.42578125" bestFit="1" customWidth="1"/>
  </cols>
  <sheetData>
    <row r="1" spans="1:9" ht="17.25" x14ac:dyDescent="0.3">
      <c r="A1" s="637"/>
      <c r="B1" s="638"/>
      <c r="C1" s="643" t="s">
        <v>0</v>
      </c>
      <c r="D1" s="643"/>
      <c r="E1" s="643"/>
      <c r="F1" s="643"/>
      <c r="G1" s="643"/>
      <c r="H1" s="110" t="s">
        <v>1</v>
      </c>
      <c r="I1" s="111"/>
    </row>
    <row r="2" spans="1:9" ht="18" thickBot="1" x14ac:dyDescent="0.35">
      <c r="A2" s="639"/>
      <c r="B2" s="640"/>
      <c r="C2" s="644" t="s">
        <v>2</v>
      </c>
      <c r="D2" s="644"/>
      <c r="E2" s="644"/>
      <c r="F2" s="644"/>
      <c r="G2" s="644"/>
      <c r="H2" s="112" t="s">
        <v>3</v>
      </c>
      <c r="I2" s="113"/>
    </row>
    <row r="3" spans="1:9" ht="15.95" customHeight="1" thickBot="1" x14ac:dyDescent="0.3">
      <c r="A3" s="639"/>
      <c r="B3" s="640"/>
      <c r="C3" s="645" t="s">
        <v>307</v>
      </c>
      <c r="D3" s="645"/>
      <c r="E3" s="645"/>
      <c r="F3" s="645"/>
      <c r="G3" s="646"/>
      <c r="H3" s="647" t="s">
        <v>4</v>
      </c>
      <c r="I3" s="628"/>
    </row>
    <row r="4" spans="1:9" ht="17.25" x14ac:dyDescent="0.3">
      <c r="A4" s="639"/>
      <c r="B4" s="640"/>
      <c r="C4" s="114" t="s">
        <v>5</v>
      </c>
      <c r="D4" s="631" t="s">
        <v>144</v>
      </c>
      <c r="E4" s="632"/>
      <c r="F4" s="632"/>
      <c r="G4" s="633"/>
      <c r="H4" s="648"/>
      <c r="I4" s="629"/>
    </row>
    <row r="5" spans="1:9" ht="18" thickBot="1" x14ac:dyDescent="0.35">
      <c r="A5" s="641"/>
      <c r="B5" s="642"/>
      <c r="C5" s="115" t="s">
        <v>6</v>
      </c>
      <c r="D5" s="634" t="s">
        <v>127</v>
      </c>
      <c r="E5" s="635"/>
      <c r="F5" s="635"/>
      <c r="G5" s="636"/>
      <c r="H5" s="649"/>
      <c r="I5" s="630"/>
    </row>
    <row r="6" spans="1:9" ht="16.5" thickBot="1" x14ac:dyDescent="0.3">
      <c r="A6" s="619" t="s">
        <v>7</v>
      </c>
      <c r="B6" s="619"/>
      <c r="C6" s="619"/>
      <c r="D6" s="620" t="s">
        <v>128</v>
      </c>
      <c r="E6" s="620"/>
      <c r="F6" s="620"/>
      <c r="G6" s="621" t="s">
        <v>8</v>
      </c>
      <c r="H6" s="621"/>
      <c r="I6" s="116" t="s">
        <v>128</v>
      </c>
    </row>
    <row r="7" spans="1:9" x14ac:dyDescent="0.25">
      <c r="A7" s="622" t="s">
        <v>9</v>
      </c>
      <c r="B7" s="624" t="s">
        <v>129</v>
      </c>
      <c r="C7" s="626" t="s">
        <v>10</v>
      </c>
      <c r="D7" s="626" t="s">
        <v>11</v>
      </c>
      <c r="E7" s="626" t="s">
        <v>12</v>
      </c>
      <c r="F7" s="626"/>
      <c r="G7" s="626" t="s">
        <v>13</v>
      </c>
      <c r="H7" s="626"/>
      <c r="I7" s="117" t="s">
        <v>14</v>
      </c>
    </row>
    <row r="8" spans="1:9" ht="31.5" thickBot="1" x14ac:dyDescent="0.3">
      <c r="A8" s="623"/>
      <c r="B8" s="625"/>
      <c r="C8" s="627"/>
      <c r="D8" s="627"/>
      <c r="E8" s="118" t="s">
        <v>15</v>
      </c>
      <c r="F8" s="119" t="s">
        <v>16</v>
      </c>
      <c r="G8" s="118" t="s">
        <v>15</v>
      </c>
      <c r="H8" s="119" t="s">
        <v>16</v>
      </c>
      <c r="I8" s="120" t="s">
        <v>17</v>
      </c>
    </row>
    <row r="9" spans="1:9" ht="15.75" x14ac:dyDescent="0.25">
      <c r="A9" s="121"/>
      <c r="B9" s="122"/>
      <c r="C9" s="123" t="s">
        <v>130</v>
      </c>
      <c r="D9" s="124"/>
      <c r="E9" s="125"/>
      <c r="F9" s="126"/>
      <c r="G9" s="125"/>
      <c r="H9" s="126"/>
      <c r="I9" s="127"/>
    </row>
    <row r="10" spans="1:9" ht="15.95" customHeight="1" x14ac:dyDescent="0.25">
      <c r="A10" s="128" t="s">
        <v>46</v>
      </c>
      <c r="B10" s="129" t="s">
        <v>53</v>
      </c>
      <c r="C10" s="130" t="s">
        <v>47</v>
      </c>
      <c r="D10" s="104" t="s">
        <v>18</v>
      </c>
      <c r="E10" s="104">
        <v>10</v>
      </c>
      <c r="F10" s="1" t="s">
        <v>19</v>
      </c>
      <c r="G10" s="2"/>
      <c r="H10" s="3"/>
      <c r="I10" s="127"/>
    </row>
    <row r="11" spans="1:9" ht="17.25" x14ac:dyDescent="0.25">
      <c r="A11" s="128"/>
      <c r="B11" s="184" t="s">
        <v>136</v>
      </c>
      <c r="C11" s="185" t="s">
        <v>137</v>
      </c>
      <c r="D11" s="186" t="s">
        <v>20</v>
      </c>
      <c r="E11" s="104">
        <v>112</v>
      </c>
      <c r="F11" s="1" t="s">
        <v>19</v>
      </c>
      <c r="G11" s="2"/>
      <c r="H11" s="131"/>
      <c r="I11" s="127"/>
    </row>
    <row r="12" spans="1:9" ht="17.25" x14ac:dyDescent="0.3">
      <c r="A12" s="128" t="s">
        <v>62</v>
      </c>
      <c r="B12" s="129" t="s">
        <v>63</v>
      </c>
      <c r="C12" s="132" t="s">
        <v>64</v>
      </c>
      <c r="D12" s="104" t="s">
        <v>18</v>
      </c>
      <c r="E12" s="105">
        <v>30</v>
      </c>
      <c r="F12" s="4" t="s">
        <v>19</v>
      </c>
      <c r="G12" s="133"/>
      <c r="H12" s="134"/>
      <c r="I12" s="127"/>
    </row>
    <row r="13" spans="1:9" ht="17.25" x14ac:dyDescent="0.3">
      <c r="A13" s="135"/>
      <c r="B13" s="135"/>
      <c r="C13" s="136"/>
      <c r="D13" s="137"/>
      <c r="E13" s="2"/>
      <c r="F13" s="5"/>
      <c r="G13" s="133"/>
      <c r="H13" s="134"/>
      <c r="I13" s="127"/>
    </row>
    <row r="14" spans="1:9" ht="17.25" x14ac:dyDescent="0.3">
      <c r="A14" s="4"/>
      <c r="B14" s="4"/>
      <c r="C14" s="138"/>
      <c r="D14" s="3"/>
      <c r="E14" s="133"/>
      <c r="F14" s="139"/>
      <c r="G14" s="133"/>
      <c r="H14" s="134"/>
      <c r="I14" s="127"/>
    </row>
    <row r="15" spans="1:9" ht="15.75" x14ac:dyDescent="0.25">
      <c r="A15" s="140"/>
      <c r="B15" s="140"/>
      <c r="C15" s="141"/>
      <c r="D15" s="3"/>
      <c r="E15" s="2"/>
      <c r="F15" s="5"/>
      <c r="G15" s="188"/>
      <c r="H15" s="134"/>
      <c r="I15" s="127"/>
    </row>
    <row r="16" spans="1:9" ht="15.75" x14ac:dyDescent="0.25">
      <c r="A16" s="140"/>
      <c r="B16" s="140"/>
      <c r="C16" s="141"/>
      <c r="D16" s="3"/>
      <c r="E16" s="2"/>
      <c r="F16" s="5"/>
      <c r="G16" s="188"/>
      <c r="H16" s="134"/>
      <c r="I16" s="127"/>
    </row>
    <row r="17" spans="1:9" ht="15.75" x14ac:dyDescent="0.25">
      <c r="A17" s="140"/>
      <c r="B17" s="140"/>
      <c r="C17" s="141"/>
      <c r="D17" s="142"/>
      <c r="E17" s="143"/>
      <c r="F17" s="144"/>
      <c r="G17" s="188"/>
      <c r="H17" s="134"/>
      <c r="I17" s="127"/>
    </row>
    <row r="18" spans="1:9" ht="17.25" x14ac:dyDescent="0.3">
      <c r="A18" s="135"/>
      <c r="B18" s="135"/>
      <c r="C18" s="136"/>
      <c r="D18" s="145"/>
      <c r="E18" s="189"/>
      <c r="F18" s="190"/>
      <c r="G18" s="191"/>
      <c r="H18" s="134"/>
      <c r="I18" s="127"/>
    </row>
    <row r="19" spans="1:9" ht="15.75" x14ac:dyDescent="0.25">
      <c r="A19" s="135"/>
      <c r="B19" s="135"/>
      <c r="C19" s="146"/>
      <c r="D19" s="147"/>
      <c r="E19" s="147"/>
      <c r="F19" s="148"/>
      <c r="G19" s="125"/>
      <c r="H19" s="192"/>
      <c r="I19" s="127"/>
    </row>
    <row r="20" spans="1:9" ht="15.75" x14ac:dyDescent="0.25">
      <c r="A20" s="6"/>
      <c r="B20" s="6"/>
      <c r="C20" s="107" t="s">
        <v>131</v>
      </c>
      <c r="D20" s="109" t="s">
        <v>132</v>
      </c>
      <c r="E20" s="151"/>
      <c r="F20" s="148"/>
      <c r="G20" s="125"/>
      <c r="H20" s="192"/>
      <c r="I20" s="127"/>
    </row>
    <row r="21" spans="1:9" ht="17.25" x14ac:dyDescent="0.3">
      <c r="A21" s="106"/>
      <c r="B21" s="187" t="s">
        <v>138</v>
      </c>
      <c r="C21" s="193" t="s">
        <v>139</v>
      </c>
      <c r="D21" s="104" t="s">
        <v>20</v>
      </c>
      <c r="E21" s="105">
        <v>22</v>
      </c>
      <c r="F21" s="4" t="s">
        <v>19</v>
      </c>
      <c r="G21" s="191"/>
      <c r="H21" s="191" t="s">
        <v>149</v>
      </c>
      <c r="I21" s="127"/>
    </row>
    <row r="22" spans="1:9" ht="15.75" x14ac:dyDescent="0.25">
      <c r="A22" s="106"/>
      <c r="B22" s="187" t="s">
        <v>140</v>
      </c>
      <c r="C22" s="193" t="s">
        <v>139</v>
      </c>
      <c r="D22" s="104" t="s">
        <v>20</v>
      </c>
      <c r="E22" s="105">
        <v>15</v>
      </c>
      <c r="F22" s="4" t="s">
        <v>19</v>
      </c>
      <c r="G22" s="2"/>
      <c r="H22" s="3" t="s">
        <v>145</v>
      </c>
      <c r="I22" s="127"/>
    </row>
    <row r="23" spans="1:9" ht="15.75" x14ac:dyDescent="0.25">
      <c r="A23" s="106"/>
      <c r="B23" s="187" t="s">
        <v>141</v>
      </c>
      <c r="C23" s="193" t="s">
        <v>142</v>
      </c>
      <c r="D23" s="104" t="s">
        <v>20</v>
      </c>
      <c r="E23" s="105">
        <v>8</v>
      </c>
      <c r="F23" s="4" t="s">
        <v>19</v>
      </c>
      <c r="G23" s="2"/>
      <c r="H23" s="3"/>
      <c r="I23" s="127"/>
    </row>
    <row r="24" spans="1:9" ht="15.75" x14ac:dyDescent="0.25">
      <c r="A24" s="152"/>
      <c r="B24" s="152" t="s">
        <v>120</v>
      </c>
      <c r="C24" s="194" t="s">
        <v>143</v>
      </c>
      <c r="D24" s="153"/>
      <c r="E24" s="105">
        <v>1</v>
      </c>
      <c r="F24" s="4" t="s">
        <v>19</v>
      </c>
      <c r="G24" s="198"/>
      <c r="H24" s="2" t="s">
        <v>146</v>
      </c>
      <c r="I24" s="127"/>
    </row>
    <row r="25" spans="1:9" ht="15.75" x14ac:dyDescent="0.25">
      <c r="A25" s="152"/>
      <c r="B25" s="152" t="s">
        <v>120</v>
      </c>
      <c r="C25" s="194" t="s">
        <v>147</v>
      </c>
      <c r="D25" s="153"/>
      <c r="E25" s="105">
        <v>1</v>
      </c>
      <c r="F25" s="4" t="s">
        <v>19</v>
      </c>
      <c r="G25" s="198"/>
      <c r="H25" s="2"/>
      <c r="I25" s="127"/>
    </row>
    <row r="26" spans="1:9" ht="15.75" x14ac:dyDescent="0.25">
      <c r="A26" s="135"/>
      <c r="B26" s="135"/>
      <c r="C26" s="136"/>
      <c r="D26" s="153"/>
      <c r="E26" s="105"/>
      <c r="F26" s="5"/>
      <c r="G26" s="125"/>
      <c r="H26" s="192"/>
      <c r="I26" s="127"/>
    </row>
    <row r="27" spans="1:9" ht="15.75" x14ac:dyDescent="0.25">
      <c r="A27" s="135"/>
      <c r="B27" s="135"/>
      <c r="C27" s="146"/>
      <c r="D27" s="155"/>
      <c r="E27" s="156"/>
      <c r="F27" s="157"/>
      <c r="G27" s="125"/>
      <c r="H27" s="192"/>
      <c r="I27" s="127"/>
    </row>
    <row r="28" spans="1:9" ht="15.75" x14ac:dyDescent="0.25">
      <c r="A28" s="195"/>
      <c r="B28" s="195"/>
      <c r="C28" s="108" t="s">
        <v>133</v>
      </c>
      <c r="D28" s="196" t="s">
        <v>132</v>
      </c>
      <c r="E28" s="125"/>
      <c r="F28" s="126"/>
      <c r="G28" s="125"/>
      <c r="H28" s="192"/>
      <c r="I28" s="127"/>
    </row>
    <row r="29" spans="1:9" ht="15.75" x14ac:dyDescent="0.25">
      <c r="A29" s="106" t="s">
        <v>50</v>
      </c>
      <c r="B29" s="106" t="s">
        <v>54</v>
      </c>
      <c r="C29" s="130" t="s">
        <v>51</v>
      </c>
      <c r="D29" s="104" t="s">
        <v>52</v>
      </c>
      <c r="E29" s="106">
        <v>1</v>
      </c>
      <c r="F29" s="6" t="s">
        <v>22</v>
      </c>
      <c r="G29" s="188"/>
      <c r="H29" s="192"/>
      <c r="I29" s="127"/>
    </row>
    <row r="30" spans="1:9" ht="15.75" x14ac:dyDescent="0.25">
      <c r="A30" s="1">
        <v>702077</v>
      </c>
      <c r="B30" s="1" t="s">
        <v>55</v>
      </c>
      <c r="C30" s="158" t="s">
        <v>24</v>
      </c>
      <c r="D30" s="159" t="s">
        <v>26</v>
      </c>
      <c r="E30" s="1">
        <v>1</v>
      </c>
      <c r="F30" s="6" t="s">
        <v>22</v>
      </c>
      <c r="G30" s="160"/>
      <c r="H30" s="192"/>
      <c r="I30" s="127"/>
    </row>
    <row r="31" spans="1:9" ht="15.75" x14ac:dyDescent="0.25">
      <c r="A31" s="1">
        <v>702007</v>
      </c>
      <c r="B31" s="1" t="s">
        <v>56</v>
      </c>
      <c r="C31" s="158" t="s">
        <v>25</v>
      </c>
      <c r="D31" s="159" t="s">
        <v>26</v>
      </c>
      <c r="E31" s="1">
        <v>1</v>
      </c>
      <c r="F31" s="6" t="s">
        <v>22</v>
      </c>
      <c r="G31" s="125"/>
      <c r="H31" s="192"/>
      <c r="I31" s="127"/>
    </row>
    <row r="32" spans="1:9" ht="15.75" x14ac:dyDescent="0.25">
      <c r="A32" s="1">
        <v>702123</v>
      </c>
      <c r="B32" s="1" t="s">
        <v>57</v>
      </c>
      <c r="C32" s="158" t="s">
        <v>27</v>
      </c>
      <c r="D32" s="159"/>
      <c r="E32" s="1" t="s">
        <v>28</v>
      </c>
      <c r="F32" s="6" t="s">
        <v>22</v>
      </c>
      <c r="G32" s="125"/>
      <c r="H32" s="192"/>
      <c r="I32" s="127"/>
    </row>
    <row r="33" spans="1:9" ht="15.75" x14ac:dyDescent="0.25">
      <c r="A33" s="1">
        <v>702174</v>
      </c>
      <c r="B33" s="1" t="s">
        <v>58</v>
      </c>
      <c r="C33" s="158" t="s">
        <v>29</v>
      </c>
      <c r="D33" s="159"/>
      <c r="E33" s="1" t="s">
        <v>45</v>
      </c>
      <c r="F33" s="6" t="s">
        <v>22</v>
      </c>
      <c r="G33" s="125"/>
      <c r="H33" s="192"/>
      <c r="I33" s="127"/>
    </row>
    <row r="34" spans="1:9" ht="15.75" x14ac:dyDescent="0.25">
      <c r="A34" s="1" t="s">
        <v>30</v>
      </c>
      <c r="B34" s="1" t="s">
        <v>59</v>
      </c>
      <c r="C34" s="158" t="s">
        <v>31</v>
      </c>
      <c r="D34" s="159"/>
      <c r="E34" s="1" t="s">
        <v>28</v>
      </c>
      <c r="F34" s="6" t="s">
        <v>22</v>
      </c>
      <c r="G34" s="161"/>
      <c r="H34" s="192"/>
      <c r="I34" s="127"/>
    </row>
    <row r="35" spans="1:9" ht="15.75" x14ac:dyDescent="0.25">
      <c r="A35" s="1">
        <v>701096</v>
      </c>
      <c r="B35" s="1" t="s">
        <v>60</v>
      </c>
      <c r="C35" s="158" t="s">
        <v>32</v>
      </c>
      <c r="D35" s="159"/>
      <c r="E35" s="1">
        <v>1</v>
      </c>
      <c r="F35" s="5" t="s">
        <v>22</v>
      </c>
      <c r="G35" s="147"/>
      <c r="H35" s="192"/>
      <c r="I35" s="127"/>
    </row>
    <row r="36" spans="1:9" ht="17.25" x14ac:dyDescent="0.3">
      <c r="A36" s="197"/>
      <c r="B36" s="135"/>
      <c r="C36" s="162"/>
      <c r="D36" s="163"/>
      <c r="E36" s="139"/>
      <c r="F36" s="139"/>
      <c r="G36" s="147"/>
      <c r="H36" s="192"/>
      <c r="I36" s="127"/>
    </row>
    <row r="37" spans="1:9" ht="15.75" x14ac:dyDescent="0.25">
      <c r="A37" s="135"/>
      <c r="B37" s="154"/>
      <c r="C37" s="136"/>
      <c r="D37" s="3"/>
      <c r="E37" s="2"/>
      <c r="F37" s="5"/>
      <c r="G37" s="147"/>
      <c r="H37" s="109"/>
      <c r="I37" s="127"/>
    </row>
    <row r="38" spans="1:9" ht="15.75" x14ac:dyDescent="0.25">
      <c r="A38" s="149"/>
      <c r="B38" s="150"/>
      <c r="C38" s="164"/>
      <c r="D38" s="109"/>
      <c r="E38" s="109"/>
      <c r="F38" s="148"/>
      <c r="G38" s="109"/>
      <c r="H38" s="109"/>
      <c r="I38" s="127"/>
    </row>
    <row r="39" spans="1:9" ht="18" thickBot="1" x14ac:dyDescent="0.35">
      <c r="A39" s="165"/>
      <c r="B39" s="166"/>
      <c r="C39" s="167"/>
      <c r="D39" s="167"/>
      <c r="E39" s="168"/>
      <c r="F39" s="169"/>
      <c r="G39" s="167"/>
      <c r="H39" s="167"/>
      <c r="I39" s="170"/>
    </row>
    <row r="40" spans="1:9" ht="18" thickBot="1" x14ac:dyDescent="0.35">
      <c r="A40" s="171"/>
      <c r="B40" s="172"/>
      <c r="C40" s="173"/>
      <c r="D40" s="174" t="s">
        <v>15</v>
      </c>
      <c r="E40" s="175" t="s">
        <v>33</v>
      </c>
      <c r="F40" s="176"/>
      <c r="G40" s="173"/>
      <c r="H40" s="173"/>
      <c r="I40" s="177"/>
    </row>
    <row r="41" spans="1:9" ht="17.25" x14ac:dyDescent="0.3">
      <c r="A41" s="613" t="s">
        <v>34</v>
      </c>
      <c r="B41" s="614"/>
      <c r="C41" s="615"/>
      <c r="D41" s="178">
        <v>182</v>
      </c>
      <c r="E41" s="179" t="s">
        <v>19</v>
      </c>
      <c r="F41" s="616" t="s">
        <v>35</v>
      </c>
      <c r="G41" s="616"/>
      <c r="H41" s="617"/>
      <c r="I41" s="618"/>
    </row>
    <row r="42" spans="1:9" ht="17.25" x14ac:dyDescent="0.3">
      <c r="A42" s="596" t="s">
        <v>36</v>
      </c>
      <c r="B42" s="597"/>
      <c r="C42" s="598"/>
      <c r="D42" s="180">
        <v>5</v>
      </c>
      <c r="E42" s="181" t="s">
        <v>37</v>
      </c>
      <c r="F42" s="599" t="s">
        <v>38</v>
      </c>
      <c r="G42" s="599"/>
      <c r="H42" s="600"/>
      <c r="I42" s="601"/>
    </row>
    <row r="43" spans="1:9" ht="17.25" x14ac:dyDescent="0.3">
      <c r="A43" s="596" t="s">
        <v>39</v>
      </c>
      <c r="B43" s="597"/>
      <c r="C43" s="598"/>
      <c r="D43" s="181">
        <v>1</v>
      </c>
      <c r="E43" s="181" t="s">
        <v>22</v>
      </c>
      <c r="F43" s="599" t="s">
        <v>40</v>
      </c>
      <c r="G43" s="599"/>
      <c r="H43" s="600"/>
      <c r="I43" s="601"/>
    </row>
    <row r="44" spans="1:9" ht="17.25" x14ac:dyDescent="0.3">
      <c r="A44" s="596" t="s">
        <v>41</v>
      </c>
      <c r="B44" s="597"/>
      <c r="C44" s="598"/>
      <c r="D44" s="181">
        <v>182</v>
      </c>
      <c r="E44" s="181" t="s">
        <v>19</v>
      </c>
      <c r="F44" s="602" t="s">
        <v>42</v>
      </c>
      <c r="G44" s="603"/>
      <c r="H44" s="600"/>
      <c r="I44" s="601"/>
    </row>
    <row r="45" spans="1:9" ht="18" thickBot="1" x14ac:dyDescent="0.35">
      <c r="A45" s="604" t="s">
        <v>43</v>
      </c>
      <c r="B45" s="605"/>
      <c r="C45" s="606"/>
      <c r="D45" s="182">
        <f>SUM(E10:E25)-D41</f>
        <v>17</v>
      </c>
      <c r="E45" s="183" t="s">
        <v>19</v>
      </c>
      <c r="F45" s="607"/>
      <c r="G45" s="607"/>
      <c r="H45" s="608"/>
      <c r="I45" s="609"/>
    </row>
    <row r="46" spans="1:9" ht="16.5" thickBot="1" x14ac:dyDescent="0.3">
      <c r="A46" s="610" t="s">
        <v>44</v>
      </c>
      <c r="B46" s="611"/>
      <c r="C46" s="611"/>
      <c r="D46" s="611"/>
      <c r="E46" s="611"/>
      <c r="F46" s="611"/>
      <c r="G46" s="611"/>
      <c r="H46" s="611"/>
      <c r="I46" s="612"/>
    </row>
    <row r="47" spans="1:9" ht="32.450000000000003" customHeight="1" x14ac:dyDescent="0.3">
      <c r="A47" s="592" t="s">
        <v>135</v>
      </c>
      <c r="B47" s="593"/>
      <c r="C47" s="594"/>
      <c r="D47" s="594"/>
      <c r="E47" s="594"/>
      <c r="F47" s="594"/>
      <c r="G47" s="594"/>
      <c r="H47" s="594"/>
      <c r="I47" s="595"/>
    </row>
    <row r="48" spans="1:9" ht="30" customHeight="1" x14ac:dyDescent="0.3">
      <c r="A48" s="592" t="s">
        <v>148</v>
      </c>
      <c r="B48" s="593"/>
      <c r="C48" s="594"/>
      <c r="D48" s="594"/>
      <c r="E48" s="594"/>
      <c r="F48" s="594"/>
      <c r="G48" s="594"/>
      <c r="H48" s="594"/>
      <c r="I48" s="595"/>
    </row>
    <row r="49" spans="1:9" ht="14.45" customHeight="1" x14ac:dyDescent="0.3">
      <c r="A49" s="577" t="s">
        <v>150</v>
      </c>
      <c r="B49" s="578"/>
      <c r="C49" s="579"/>
      <c r="D49" s="579"/>
      <c r="E49" s="579"/>
      <c r="F49" s="579"/>
      <c r="G49" s="579"/>
      <c r="H49" s="579"/>
      <c r="I49" s="580"/>
    </row>
    <row r="50" spans="1:9" ht="14.45" customHeight="1" x14ac:dyDescent="0.3">
      <c r="A50" s="577" t="s">
        <v>151</v>
      </c>
      <c r="B50" s="578"/>
      <c r="C50" s="579"/>
      <c r="D50" s="579"/>
      <c r="E50" s="579"/>
      <c r="F50" s="579"/>
      <c r="G50" s="579"/>
      <c r="H50" s="579"/>
      <c r="I50" s="580"/>
    </row>
    <row r="51" spans="1:9" ht="14.45" customHeight="1" x14ac:dyDescent="0.3">
      <c r="A51" s="577" t="s">
        <v>152</v>
      </c>
      <c r="B51" s="578"/>
      <c r="C51" s="579"/>
      <c r="D51" s="579"/>
      <c r="E51" s="579"/>
      <c r="F51" s="579"/>
      <c r="G51" s="579"/>
      <c r="H51" s="579"/>
      <c r="I51" s="580"/>
    </row>
    <row r="52" spans="1:9" ht="15.6" customHeight="1" x14ac:dyDescent="0.3">
      <c r="A52" s="581"/>
      <c r="B52" s="582"/>
      <c r="C52" s="582"/>
      <c r="D52" s="582"/>
      <c r="E52" s="582"/>
      <c r="F52" s="582"/>
      <c r="G52" s="582"/>
      <c r="H52" s="582"/>
      <c r="I52" s="583"/>
    </row>
    <row r="53" spans="1:9" ht="17.25" x14ac:dyDescent="0.3">
      <c r="A53" s="584"/>
      <c r="B53" s="585"/>
      <c r="C53" s="585"/>
      <c r="D53" s="585"/>
      <c r="E53" s="585"/>
      <c r="F53" s="585"/>
      <c r="G53" s="585"/>
      <c r="H53" s="585"/>
      <c r="I53" s="586"/>
    </row>
    <row r="54" spans="1:9" ht="17.25" x14ac:dyDescent="0.3">
      <c r="A54" s="584"/>
      <c r="B54" s="585"/>
      <c r="C54" s="585"/>
      <c r="D54" s="585"/>
      <c r="E54" s="585"/>
      <c r="F54" s="585"/>
      <c r="G54" s="585"/>
      <c r="H54" s="585"/>
      <c r="I54" s="586"/>
    </row>
    <row r="55" spans="1:9" ht="18" customHeight="1" x14ac:dyDescent="0.3">
      <c r="A55" s="584"/>
      <c r="B55" s="585"/>
      <c r="C55" s="585"/>
      <c r="D55" s="585"/>
      <c r="E55" s="585"/>
      <c r="F55" s="585"/>
      <c r="G55" s="585"/>
      <c r="H55" s="585"/>
      <c r="I55" s="586"/>
    </row>
    <row r="56" spans="1:9" ht="17.25" x14ac:dyDescent="0.3">
      <c r="A56" s="584"/>
      <c r="B56" s="585"/>
      <c r="C56" s="585"/>
      <c r="D56" s="585"/>
      <c r="E56" s="585"/>
      <c r="F56" s="585"/>
      <c r="G56" s="585"/>
      <c r="H56" s="585"/>
      <c r="I56" s="586"/>
    </row>
    <row r="57" spans="1:9" ht="18" thickBot="1" x14ac:dyDescent="0.35">
      <c r="A57" s="587"/>
      <c r="B57" s="588"/>
      <c r="C57" s="588"/>
      <c r="D57" s="588"/>
      <c r="E57" s="588"/>
      <c r="F57" s="588"/>
      <c r="G57" s="588"/>
      <c r="H57" s="588"/>
      <c r="I57" s="589"/>
    </row>
    <row r="58" spans="1:9" x14ac:dyDescent="0.25">
      <c r="A58" s="590" t="s">
        <v>134</v>
      </c>
      <c r="B58" s="591"/>
      <c r="C58" s="591"/>
      <c r="D58" s="591"/>
      <c r="E58" s="591"/>
      <c r="F58" s="591"/>
      <c r="G58" s="591"/>
      <c r="H58" s="591"/>
      <c r="I58" s="591"/>
    </row>
    <row r="59" spans="1:9" x14ac:dyDescent="0.25">
      <c r="A59" s="575"/>
      <c r="B59" s="576"/>
      <c r="C59" s="576"/>
      <c r="D59" s="576"/>
      <c r="E59" s="576"/>
      <c r="F59" s="576"/>
      <c r="G59" s="576"/>
      <c r="H59" s="576"/>
      <c r="I59" s="576"/>
    </row>
    <row r="60" spans="1:9" x14ac:dyDescent="0.25">
      <c r="A60" s="575"/>
      <c r="B60" s="576"/>
      <c r="C60" s="576"/>
      <c r="D60" s="576"/>
      <c r="E60" s="576"/>
      <c r="F60" s="576"/>
      <c r="G60" s="576"/>
      <c r="H60" s="576"/>
      <c r="I60" s="576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60:I60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59:I59"/>
  </mergeCells>
  <phoneticPr fontId="47" type="noConversion"/>
  <pageMargins left="0.7" right="0.7" top="0.75" bottom="0.75" header="0.3" footer="0.3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D080-3B79-4EFA-9D33-8E7AAA6D1700}">
  <dimension ref="A1:Q93"/>
  <sheetViews>
    <sheetView workbookViewId="0">
      <selection activeCell="M8" sqref="M8:N15"/>
    </sheetView>
  </sheetViews>
  <sheetFormatPr baseColWidth="10" defaultColWidth="8.42578125" defaultRowHeight="12.75" x14ac:dyDescent="0.25"/>
  <cols>
    <col min="1" max="1" width="10" style="12" bestFit="1" customWidth="1"/>
    <col min="2" max="2" width="44.28515625" style="12" bestFit="1" customWidth="1"/>
    <col min="3" max="3" width="10.42578125" style="12" bestFit="1" customWidth="1"/>
    <col min="4" max="4" width="10.42578125" style="12" customWidth="1"/>
    <col min="5" max="5" width="11" style="12" customWidth="1"/>
    <col min="6" max="6" width="9.5703125" style="12" bestFit="1" customWidth="1"/>
    <col min="7" max="7" width="10.85546875" style="496" customWidth="1"/>
    <col min="8" max="8" width="10.42578125" style="85" bestFit="1" customWidth="1"/>
    <col min="9" max="9" width="4.5703125" style="85" customWidth="1"/>
    <col min="10" max="10" width="1.85546875" style="11" customWidth="1"/>
    <col min="11" max="11" width="7" style="12" bestFit="1" customWidth="1"/>
    <col min="12" max="12" width="6.28515625" style="12" customWidth="1"/>
    <col min="13" max="13" width="20.42578125" style="12" customWidth="1"/>
    <col min="14" max="14" width="6.42578125" style="12" bestFit="1" customWidth="1"/>
    <col min="15" max="16" width="8.42578125" style="12"/>
    <col min="17" max="17" width="3.28515625" style="12" customWidth="1"/>
    <col min="18" max="16384" width="8.42578125" style="12"/>
  </cols>
  <sheetData>
    <row r="1" spans="1:13" ht="27.75" customHeight="1" x14ac:dyDescent="0.25">
      <c r="A1" s="7"/>
      <c r="B1" s="7"/>
      <c r="C1" s="7"/>
      <c r="D1" s="7"/>
      <c r="E1" s="8" t="s">
        <v>67</v>
      </c>
      <c r="F1" s="9" t="s">
        <v>68</v>
      </c>
      <c r="G1" s="9" t="s">
        <v>69</v>
      </c>
      <c r="H1" s="9" t="s">
        <v>70</v>
      </c>
      <c r="I1" s="10"/>
    </row>
    <row r="2" spans="1:13" ht="30.75" customHeight="1" x14ac:dyDescent="0.25">
      <c r="A2" s="7"/>
      <c r="B2" s="7"/>
      <c r="C2" s="7"/>
      <c r="D2" s="7"/>
      <c r="E2" s="13">
        <f>IFERROR(O64,"")</f>
        <v>1357.662632034632</v>
      </c>
      <c r="F2" s="13">
        <f>IFERROR(H55,"")</f>
        <v>471.30000000000007</v>
      </c>
      <c r="G2" s="13">
        <f>IFERROR(H56,"")</f>
        <v>292.44133333333332</v>
      </c>
      <c r="H2" s="13">
        <f>IFERROR(H58,"")</f>
        <v>324.33999999999997</v>
      </c>
      <c r="I2" s="14"/>
    </row>
    <row r="3" spans="1:13" ht="15" customHeight="1" x14ac:dyDescent="0.25">
      <c r="A3" s="7"/>
      <c r="B3" s="7"/>
      <c r="C3" s="7"/>
      <c r="D3" s="7"/>
      <c r="E3" s="7"/>
      <c r="F3" s="15"/>
      <c r="G3" s="15"/>
      <c r="H3" s="15"/>
      <c r="I3" s="15"/>
    </row>
    <row r="4" spans="1:13" ht="24.75" customHeight="1" thickBot="1" x14ac:dyDescent="0.3">
      <c r="A4" s="676"/>
      <c r="B4" s="676"/>
      <c r="C4" s="676"/>
      <c r="D4" s="676"/>
      <c r="E4" s="676"/>
      <c r="F4" s="676"/>
      <c r="G4" s="676"/>
      <c r="H4" s="676"/>
      <c r="I4" s="16"/>
    </row>
    <row r="5" spans="1:13" ht="19.5" customHeight="1" thickBot="1" x14ac:dyDescent="0.3">
      <c r="A5" s="677" t="s">
        <v>71</v>
      </c>
      <c r="B5" s="678"/>
      <c r="C5" s="678"/>
      <c r="D5" s="678"/>
      <c r="E5" s="678"/>
      <c r="F5" s="678"/>
      <c r="G5" s="678"/>
      <c r="H5" s="679"/>
      <c r="I5" s="17"/>
    </row>
    <row r="6" spans="1:13" ht="19.5" thickBot="1" x14ac:dyDescent="0.3">
      <c r="A6" s="17"/>
      <c r="B6" s="17"/>
      <c r="C6" s="17"/>
      <c r="D6" s="17"/>
      <c r="E6" s="17"/>
      <c r="F6" s="680" t="s">
        <v>72</v>
      </c>
      <c r="G6" s="680"/>
      <c r="H6" s="18">
        <f ca="1">TODAY()</f>
        <v>45887</v>
      </c>
      <c r="I6" s="18"/>
    </row>
    <row r="7" spans="1:13" ht="26.25" thickBot="1" x14ac:dyDescent="0.3">
      <c r="A7" s="19" t="s">
        <v>73</v>
      </c>
      <c r="B7" s="20" t="s">
        <v>74</v>
      </c>
      <c r="C7" s="20" t="s">
        <v>73</v>
      </c>
      <c r="D7" s="21" t="s">
        <v>75</v>
      </c>
      <c r="E7" s="21" t="s">
        <v>76</v>
      </c>
      <c r="F7" s="21" t="s">
        <v>77</v>
      </c>
      <c r="G7" s="21" t="s">
        <v>78</v>
      </c>
      <c r="H7" s="22" t="s">
        <v>79</v>
      </c>
      <c r="I7" s="23"/>
    </row>
    <row r="8" spans="1:13" ht="13.5" x14ac:dyDescent="0.25">
      <c r="A8" s="24">
        <v>10</v>
      </c>
      <c r="B8" s="12" t="s">
        <v>47</v>
      </c>
      <c r="C8" s="25">
        <f>+A8</f>
        <v>10</v>
      </c>
      <c r="D8" s="26" t="s">
        <v>118</v>
      </c>
      <c r="E8" s="26">
        <v>2.13</v>
      </c>
      <c r="F8" s="26">
        <f>IFERROR(C8*E8,"")</f>
        <v>21.299999999999997</v>
      </c>
      <c r="G8" s="488">
        <f t="shared" ref="G8:G14" si="0">IFERROR(F8/$F$68,"")</f>
        <v>1.9700928194278898E-2</v>
      </c>
      <c r="H8" s="28" t="s">
        <v>46</v>
      </c>
      <c r="I8" s="28"/>
      <c r="J8" s="489"/>
      <c r="M8" s="12" t="s">
        <v>311</v>
      </c>
    </row>
    <row r="9" spans="1:13" ht="13.5" x14ac:dyDescent="0.25">
      <c r="A9" s="24">
        <v>2</v>
      </c>
      <c r="B9" s="12" t="s">
        <v>143</v>
      </c>
      <c r="C9" s="25">
        <f t="shared" ref="C9:C14" si="1">+A9</f>
        <v>2</v>
      </c>
      <c r="D9" s="26" t="s">
        <v>302</v>
      </c>
      <c r="E9" s="26">
        <v>44.85</v>
      </c>
      <c r="F9" s="26">
        <f t="shared" ref="F9:F14" si="2">IFERROR(C9*E9,"")</f>
        <v>89.7</v>
      </c>
      <c r="G9" s="488">
        <f t="shared" si="0"/>
        <v>8.2965880705484385E-2</v>
      </c>
      <c r="H9" s="28"/>
      <c r="I9" s="28"/>
      <c r="J9" s="489"/>
    </row>
    <row r="10" spans="1:13" ht="13.5" x14ac:dyDescent="0.25">
      <c r="A10" s="24">
        <v>1</v>
      </c>
      <c r="B10" s="12" t="s">
        <v>147</v>
      </c>
      <c r="C10" s="25">
        <f t="shared" si="1"/>
        <v>1</v>
      </c>
      <c r="D10" s="26" t="s">
        <v>118</v>
      </c>
      <c r="E10" s="26">
        <v>13.14</v>
      </c>
      <c r="F10" s="26">
        <f t="shared" si="2"/>
        <v>13.14</v>
      </c>
      <c r="G10" s="488">
        <f t="shared" si="0"/>
        <v>1.2153530350836843E-2</v>
      </c>
      <c r="H10" s="28"/>
      <c r="I10" s="28"/>
      <c r="J10" s="489"/>
      <c r="M10" s="12" t="s">
        <v>312</v>
      </c>
    </row>
    <row r="11" spans="1:13" ht="13.5" hidden="1" x14ac:dyDescent="0.25">
      <c r="A11" s="24"/>
      <c r="B11" s="12" t="str">
        <f>IFERROR(VLOOKUP(H11,'[1]Consolidado MP Planta'!$A$2:$M$823,3,0),"")</f>
        <v/>
      </c>
      <c r="C11" s="25">
        <f t="shared" si="1"/>
        <v>0</v>
      </c>
      <c r="D11" s="26" t="str">
        <f>IFERROR(VLOOKUP(H11,'[1]Consolidado MP Planta'!$A$2:$M$823,13,0),"")</f>
        <v/>
      </c>
      <c r="E11" s="26" t="str">
        <f>IFERROR(VLOOKUP(H11,'[1]Consolidado MP Planta'!$A$2:$M$823,12,0),"")</f>
        <v/>
      </c>
      <c r="F11" s="26" t="str">
        <f t="shared" si="2"/>
        <v/>
      </c>
      <c r="G11" s="488" t="str">
        <f t="shared" si="0"/>
        <v/>
      </c>
      <c r="H11" s="28"/>
      <c r="I11" s="28"/>
      <c r="J11" s="489"/>
    </row>
    <row r="12" spans="1:13" ht="13.5" hidden="1" x14ac:dyDescent="0.25">
      <c r="A12" s="24"/>
      <c r="B12" s="12" t="str">
        <f>IFERROR(VLOOKUP(H12,'[1]Consolidado MP Planta'!$A$2:$M$823,3,0),"")</f>
        <v/>
      </c>
      <c r="C12" s="25">
        <f t="shared" si="1"/>
        <v>0</v>
      </c>
      <c r="D12" s="26" t="str">
        <f>IFERROR(VLOOKUP(H12,'[1]Consolidado MP Planta'!$A$2:$M$823,13,0),"")</f>
        <v/>
      </c>
      <c r="E12" s="26" t="str">
        <f>IFERROR(VLOOKUP(H12,'[1]Consolidado MP Planta'!$A$2:$M$823,12,0),"")</f>
        <v/>
      </c>
      <c r="F12" s="26" t="str">
        <f t="shared" si="2"/>
        <v/>
      </c>
      <c r="G12" s="488" t="str">
        <f t="shared" si="0"/>
        <v/>
      </c>
      <c r="H12" s="28"/>
      <c r="I12" s="28"/>
      <c r="J12" s="489"/>
    </row>
    <row r="13" spans="1:13" ht="13.5" hidden="1" x14ac:dyDescent="0.25">
      <c r="A13" s="24"/>
      <c r="B13" s="12" t="str">
        <f>IFERROR(VLOOKUP(H13,'[1]Consolidado MP Planta'!$A$2:$M$823,3,0),"")</f>
        <v/>
      </c>
      <c r="C13" s="25">
        <f t="shared" si="1"/>
        <v>0</v>
      </c>
      <c r="D13" s="26" t="str">
        <f>IFERROR(VLOOKUP(H13,'[1]Consolidado MP Planta'!$A$2:$M$823,13,0),"")</f>
        <v/>
      </c>
      <c r="E13" s="26" t="str">
        <f>IFERROR(VLOOKUP(H13,'[1]Consolidado MP Planta'!$A$2:$M$823,12,0),"")</f>
        <v/>
      </c>
      <c r="F13" s="26" t="str">
        <f t="shared" si="2"/>
        <v/>
      </c>
      <c r="G13" s="488" t="str">
        <f t="shared" si="0"/>
        <v/>
      </c>
      <c r="H13" s="28"/>
      <c r="I13" s="28"/>
      <c r="J13" s="489"/>
    </row>
    <row r="14" spans="1:13" ht="13.5" hidden="1" x14ac:dyDescent="0.25">
      <c r="A14" s="24"/>
      <c r="B14" s="12" t="str">
        <f>IFERROR(VLOOKUP(H14,'[1]Consolidado MP Planta'!$A$2:$M$823,3,0),"")</f>
        <v/>
      </c>
      <c r="C14" s="25">
        <f t="shared" si="1"/>
        <v>0</v>
      </c>
      <c r="D14" s="26" t="str">
        <f>IFERROR(VLOOKUP(H14,'[1]Consolidado MP Planta'!$A$2:$M$823,13,0),"")</f>
        <v/>
      </c>
      <c r="E14" s="26" t="str">
        <f>IFERROR(VLOOKUP(H14,'[1]Consolidado MP Planta'!$A$2:$M$823,12,0),"")</f>
        <v/>
      </c>
      <c r="F14" s="26" t="str">
        <f t="shared" si="2"/>
        <v/>
      </c>
      <c r="G14" s="488" t="str">
        <f t="shared" si="0"/>
        <v/>
      </c>
      <c r="H14" s="28"/>
      <c r="I14" s="28"/>
      <c r="J14" s="489"/>
    </row>
    <row r="15" spans="1:13" ht="14.25" thickBot="1" x14ac:dyDescent="0.3">
      <c r="A15" s="24"/>
      <c r="B15" s="12" t="str">
        <f>IFERROR(VLOOKUP(H15,'[2]ARTICULOS MP PLANTA'!$A$2:$G$589,2,0),"")</f>
        <v/>
      </c>
      <c r="C15" s="25"/>
      <c r="D15" s="26"/>
      <c r="E15" s="26"/>
      <c r="F15" s="26"/>
      <c r="G15" s="488"/>
      <c r="H15" s="28"/>
      <c r="I15" s="28"/>
      <c r="J15" s="489"/>
    </row>
    <row r="16" spans="1:13" ht="26.25" thickBot="1" x14ac:dyDescent="0.3">
      <c r="A16" s="19" t="s">
        <v>73</v>
      </c>
      <c r="B16" s="20" t="s">
        <v>80</v>
      </c>
      <c r="C16" s="20" t="s">
        <v>73</v>
      </c>
      <c r="D16" s="21" t="s">
        <v>75</v>
      </c>
      <c r="E16" s="21" t="s">
        <v>76</v>
      </c>
      <c r="F16" s="21" t="s">
        <v>77</v>
      </c>
      <c r="G16" s="21" t="s">
        <v>78</v>
      </c>
      <c r="H16" s="22" t="s">
        <v>79</v>
      </c>
      <c r="I16" s="23"/>
      <c r="J16" s="489"/>
    </row>
    <row r="17" spans="1:12" ht="13.5" x14ac:dyDescent="0.25">
      <c r="A17" s="24">
        <v>1</v>
      </c>
      <c r="B17" s="12" t="s">
        <v>137</v>
      </c>
      <c r="C17" s="25">
        <f>+A17</f>
        <v>1</v>
      </c>
      <c r="D17" s="25" t="s">
        <v>119</v>
      </c>
      <c r="E17" s="26">
        <v>151.34</v>
      </c>
      <c r="F17" s="26">
        <f>IFERROR(E17*C17,"")</f>
        <v>151.34</v>
      </c>
      <c r="G17" s="488">
        <f t="shared" ref="G17:G24" si="3">IFERROR(F17/$F$68,"")</f>
        <v>0.13997833206207366</v>
      </c>
      <c r="H17" s="28" t="s">
        <v>136</v>
      </c>
      <c r="I17" s="28"/>
      <c r="J17" s="489"/>
    </row>
    <row r="18" spans="1:12" ht="13.5" x14ac:dyDescent="0.25">
      <c r="A18" s="24">
        <v>30</v>
      </c>
      <c r="B18" s="12" t="s">
        <v>64</v>
      </c>
      <c r="C18" s="25">
        <f t="shared" ref="C18:C24" si="4">+A18</f>
        <v>30</v>
      </c>
      <c r="D18" s="25" t="s">
        <v>118</v>
      </c>
      <c r="E18" s="26">
        <v>2.2000000000000002</v>
      </c>
      <c r="F18" s="26">
        <f t="shared" ref="F18:F24" si="5">IFERROR(E18*C18,"")</f>
        <v>66</v>
      </c>
      <c r="G18" s="488">
        <f t="shared" si="3"/>
        <v>6.1045129616075465E-2</v>
      </c>
      <c r="H18" s="28" t="s">
        <v>63</v>
      </c>
      <c r="I18" s="28"/>
      <c r="J18" s="489"/>
    </row>
    <row r="19" spans="1:12" ht="15" x14ac:dyDescent="0.25">
      <c r="A19" s="24">
        <v>37</v>
      </c>
      <c r="B19" t="s">
        <v>139</v>
      </c>
      <c r="C19" s="25">
        <f>+A19</f>
        <v>37</v>
      </c>
      <c r="D19" s="25" t="s">
        <v>118</v>
      </c>
      <c r="E19" s="26">
        <v>2.54</v>
      </c>
      <c r="F19" s="26">
        <f>IFERROR(E19*C19,"")</f>
        <v>93.98</v>
      </c>
      <c r="G19" s="488">
        <f t="shared" si="3"/>
        <v>8.6924564868466253E-2</v>
      </c>
      <c r="H19" s="28" t="s">
        <v>138</v>
      </c>
      <c r="I19" s="28"/>
      <c r="J19" s="489"/>
    </row>
    <row r="20" spans="1:12" ht="13.5" x14ac:dyDescent="0.25">
      <c r="A20" s="24">
        <v>8</v>
      </c>
      <c r="B20" s="12" t="s">
        <v>142</v>
      </c>
      <c r="C20" s="25">
        <f>+A20</f>
        <v>8</v>
      </c>
      <c r="D20" s="25" t="s">
        <v>118</v>
      </c>
      <c r="E20" s="26">
        <v>4.4800000000000004</v>
      </c>
      <c r="F20" s="26">
        <f>IFERROR(E20*C20,"")</f>
        <v>35.840000000000003</v>
      </c>
      <c r="G20" s="488">
        <f t="shared" si="3"/>
        <v>3.3149355233941587E-2</v>
      </c>
      <c r="H20" s="28" t="s">
        <v>141</v>
      </c>
      <c r="I20" s="28"/>
      <c r="J20" s="489"/>
    </row>
    <row r="21" spans="1:12" ht="15.6" hidden="1" customHeight="1" x14ac:dyDescent="0.25">
      <c r="A21" s="24"/>
      <c r="B21" s="12" t="str">
        <f>IFERROR(VLOOKUP(H21,[1]SEMIELABORADOS!$A$2:$M$6000,2,0),"")</f>
        <v/>
      </c>
      <c r="C21" s="25">
        <f>+A21</f>
        <v>0</v>
      </c>
      <c r="D21" s="25" t="str">
        <f>IFERROR(VLOOKUP(H21,[1]SEMIELABORADOS!$A$2:$M$6000,6,0),"")</f>
        <v/>
      </c>
      <c r="E21" s="26" t="str">
        <f>IFERROR(VLOOKUP(H21,[1]SEMIELABORADOS!$A$2:$H$65536,8,0),"")</f>
        <v/>
      </c>
      <c r="F21" s="26" t="str">
        <f>IFERROR(E21*C21,"")</f>
        <v/>
      </c>
      <c r="G21" s="488" t="str">
        <f t="shared" si="3"/>
        <v/>
      </c>
      <c r="H21" s="28"/>
      <c r="I21" s="28"/>
      <c r="J21" s="489"/>
    </row>
    <row r="22" spans="1:12" ht="13.5" hidden="1" x14ac:dyDescent="0.25">
      <c r="A22" s="24"/>
      <c r="B22" s="12" t="str">
        <f>IFERROR(VLOOKUP(H22,[1]SEMIELABORADOS!$A$2:$M$6000,2,0),"")</f>
        <v/>
      </c>
      <c r="C22" s="25">
        <f t="shared" si="4"/>
        <v>0</v>
      </c>
      <c r="D22" s="25" t="str">
        <f>IFERROR(VLOOKUP(H22,[1]SEMIELABORADOS!$A$2:$M$6000,6,0),"")</f>
        <v/>
      </c>
      <c r="E22" s="26" t="str">
        <f>IFERROR(VLOOKUP(H22,[1]SEMIELABORADOS!$A$2:$H$65536,8,0),"")</f>
        <v/>
      </c>
      <c r="F22" s="26" t="str">
        <f t="shared" si="5"/>
        <v/>
      </c>
      <c r="G22" s="488" t="str">
        <f t="shared" si="3"/>
        <v/>
      </c>
      <c r="H22" s="28"/>
      <c r="I22" s="28"/>
      <c r="J22" s="489"/>
    </row>
    <row r="23" spans="1:12" ht="13.5" hidden="1" x14ac:dyDescent="0.25">
      <c r="A23" s="24"/>
      <c r="B23" s="12" t="str">
        <f>IFERROR(VLOOKUP(H23,[1]SEMIELABORADOS!$A$2:$M$6000,2,0),"")</f>
        <v/>
      </c>
      <c r="C23" s="25">
        <f t="shared" si="4"/>
        <v>0</v>
      </c>
      <c r="D23" s="25" t="str">
        <f>IFERROR(VLOOKUP(H23,[1]SEMIELABORADOS!$A$2:$M$6000,6,0),"")</f>
        <v/>
      </c>
      <c r="E23" s="26" t="str">
        <f>IFERROR(VLOOKUP(H23,[1]SEMIELABORADOS!$A$2:$H$65536,8,0),"")</f>
        <v/>
      </c>
      <c r="F23" s="26" t="str">
        <f t="shared" si="5"/>
        <v/>
      </c>
      <c r="G23" s="488" t="str">
        <f t="shared" si="3"/>
        <v/>
      </c>
      <c r="H23" s="28"/>
      <c r="I23" s="28"/>
      <c r="J23" s="489"/>
    </row>
    <row r="24" spans="1:12" ht="13.5" hidden="1" x14ac:dyDescent="0.25">
      <c r="A24" s="24"/>
      <c r="B24" s="12" t="str">
        <f>IFERROR(VLOOKUP(H24,[1]SEMIELABORADOS!$A$2:$M$6000,2,0),"")</f>
        <v/>
      </c>
      <c r="C24" s="25">
        <f t="shared" si="4"/>
        <v>0</v>
      </c>
      <c r="D24" s="25" t="str">
        <f>IFERROR(VLOOKUP(H24,[1]SEMIELABORADOS!$A$2:$M$6000,6,0),"")</f>
        <v/>
      </c>
      <c r="E24" s="26" t="str">
        <f>IFERROR(VLOOKUP(H24,[1]SEMIELABORADOS!$A$2:$H$65536,8,0),"")</f>
        <v/>
      </c>
      <c r="F24" s="26" t="str">
        <f t="shared" si="5"/>
        <v/>
      </c>
      <c r="G24" s="488" t="str">
        <f t="shared" si="3"/>
        <v/>
      </c>
      <c r="H24" s="28"/>
      <c r="I24" s="28"/>
      <c r="J24" s="489"/>
    </row>
    <row r="25" spans="1:12" ht="14.25" thickBot="1" x14ac:dyDescent="0.3">
      <c r="A25" s="24"/>
      <c r="C25" s="25"/>
      <c r="D25" s="25"/>
      <c r="E25" s="26"/>
      <c r="F25" s="26"/>
      <c r="G25" s="488"/>
      <c r="H25" s="28"/>
      <c r="I25" s="28"/>
      <c r="J25" s="489"/>
    </row>
    <row r="26" spans="1:12" ht="26.25" thickBot="1" x14ac:dyDescent="0.3">
      <c r="A26" s="19" t="s">
        <v>73</v>
      </c>
      <c r="B26" s="20" t="s">
        <v>23</v>
      </c>
      <c r="C26" s="20" t="s">
        <v>73</v>
      </c>
      <c r="D26" s="21" t="s">
        <v>75</v>
      </c>
      <c r="E26" s="21" t="s">
        <v>76</v>
      </c>
      <c r="F26" s="21" t="s">
        <v>77</v>
      </c>
      <c r="G26" s="21" t="s">
        <v>78</v>
      </c>
      <c r="H26" s="22" t="s">
        <v>79</v>
      </c>
      <c r="I26" s="23"/>
    </row>
    <row r="27" spans="1:12" ht="13.5" x14ac:dyDescent="0.25">
      <c r="A27" s="24">
        <v>1</v>
      </c>
      <c r="B27" s="30" t="s">
        <v>51</v>
      </c>
      <c r="C27" s="25">
        <f t="shared" ref="C27:C34" si="6">+A27</f>
        <v>1</v>
      </c>
      <c r="D27" s="26" t="s">
        <v>126</v>
      </c>
      <c r="E27" s="26">
        <v>132.13</v>
      </c>
      <c r="F27" s="26">
        <f t="shared" ref="F27:F34" si="7">IFERROR(C27*E27,"")</f>
        <v>132.13</v>
      </c>
      <c r="G27" s="488">
        <f>IFERROR(F27/$F$68,"")</f>
        <v>0.12221049963897047</v>
      </c>
      <c r="H27" s="31" t="s">
        <v>50</v>
      </c>
      <c r="I27" s="31"/>
      <c r="J27" s="489"/>
      <c r="K27" s="670"/>
      <c r="L27" s="670"/>
    </row>
    <row r="28" spans="1:12" ht="13.5" x14ac:dyDescent="0.25">
      <c r="A28" s="24">
        <v>1</v>
      </c>
      <c r="B28" s="30" t="str">
        <f>IFERROR(VLOOKUP(H28,'[1]Consolidado MP Planta'!$A$2:$M$823,3,0),"")</f>
        <v>ETIQ. GENERICA PEQUEÑA V-274 (UND)</v>
      </c>
      <c r="C28" s="25">
        <f t="shared" si="6"/>
        <v>1</v>
      </c>
      <c r="D28" s="26" t="str">
        <f>IFERROR(VLOOKUP(H28,'[1]Consolidado MP Planta'!$A$2:$M$823,13,0),"")</f>
        <v>Und</v>
      </c>
      <c r="E28" s="26">
        <f>IFERROR(VLOOKUP(H28,'[1]Consolidado MP Planta'!$A$2:$M$823,12,0),"")</f>
        <v>13.45</v>
      </c>
      <c r="F28" s="26">
        <f t="shared" si="7"/>
        <v>13.45</v>
      </c>
      <c r="G28" s="488">
        <f>IFERROR(F28/$F$68,"")</f>
        <v>1.2440257474791135E-2</v>
      </c>
      <c r="H28" s="31" t="s">
        <v>121</v>
      </c>
      <c r="I28" s="31"/>
      <c r="J28" s="489"/>
      <c r="K28" s="670"/>
      <c r="L28" s="670"/>
    </row>
    <row r="29" spans="1:12" ht="13.5" x14ac:dyDescent="0.25">
      <c r="A29" s="24">
        <v>1</v>
      </c>
      <c r="B29" s="30" t="str">
        <f>IFERROR(VLOOKUP(H29,'[1]Consolidado MP Planta'!$A$2:$M$823,3,0),"")</f>
        <v>ETIQ.FECHA VENCIMIENTO BLANCO (ROLLO)</v>
      </c>
      <c r="C29" s="25">
        <f t="shared" si="6"/>
        <v>1</v>
      </c>
      <c r="D29" s="26" t="s">
        <v>126</v>
      </c>
      <c r="E29" s="26">
        <f>IFERROR(VLOOKUP(H29,'[1]Consolidado MP Planta'!$A$2:$M$823,12,0),"")</f>
        <v>0.33333333333333331</v>
      </c>
      <c r="F29" s="26">
        <f t="shared" si="7"/>
        <v>0.33333333333333331</v>
      </c>
      <c r="G29" s="488">
        <f t="shared" ref="G29:G30" si="8">IFERROR(F29/$F$68,"")</f>
        <v>3.0830873543472454E-4</v>
      </c>
      <c r="H29" s="31" t="s">
        <v>122</v>
      </c>
      <c r="I29" s="31"/>
      <c r="J29" s="489"/>
      <c r="K29" s="10"/>
      <c r="L29" s="10"/>
    </row>
    <row r="30" spans="1:12" ht="13.5" x14ac:dyDescent="0.25">
      <c r="A30" s="24">
        <v>1</v>
      </c>
      <c r="B30" s="30" t="str">
        <f>IFERROR(VLOOKUP(H30,'[1]Consolidado MP Planta'!$A$2:$M$823,3,0),"")</f>
        <v>ETIQUETA BLANCA 2 5/8X1 15/16 (UND)</v>
      </c>
      <c r="C30" s="25">
        <f t="shared" si="6"/>
        <v>1</v>
      </c>
      <c r="D30" s="26" t="str">
        <f>IFERROR(VLOOKUP(H30,'[1]Consolidado MP Planta'!$A$2:$M$823,13,0),"")</f>
        <v>Und</v>
      </c>
      <c r="E30" s="26">
        <f>IFERROR(VLOOKUP(H30,'[1]Consolidado MP Planta'!$A$2:$M$823,12,0),"")</f>
        <v>2.1280000000000001</v>
      </c>
      <c r="F30" s="26">
        <f t="shared" si="7"/>
        <v>2.1280000000000001</v>
      </c>
      <c r="G30" s="488">
        <f t="shared" si="8"/>
        <v>1.9682429670152819E-3</v>
      </c>
      <c r="H30" s="31" t="s">
        <v>123</v>
      </c>
      <c r="I30" s="31"/>
      <c r="J30" s="489"/>
      <c r="K30" s="10"/>
      <c r="L30" s="10"/>
    </row>
    <row r="31" spans="1:12" ht="13.5" x14ac:dyDescent="0.25">
      <c r="A31" s="24">
        <v>2</v>
      </c>
      <c r="B31" s="30" t="str">
        <f>IFERROR(VLOOKUP(H31,'[1]Consolidado MP Planta'!$A$2:$M$823,3,0),"")</f>
        <v>ETIQUETA SELLO SEGURIDAD (ROLLO:1000)</v>
      </c>
      <c r="C31" s="25">
        <f t="shared" si="6"/>
        <v>2</v>
      </c>
      <c r="D31" s="26" t="str">
        <f>IFERROR(VLOOKUP(H31,'[1]Consolidado MP Planta'!$A$2:$M$823,13,0),"")</f>
        <v>Und</v>
      </c>
      <c r="E31" s="26">
        <f>IFERROR(VLOOKUP(H31,'[1]Consolidado MP Planta'!$A$2:$M$823,12,0),"")</f>
        <v>6</v>
      </c>
      <c r="F31" s="26">
        <f t="shared" si="7"/>
        <v>12</v>
      </c>
      <c r="G31" s="488">
        <f>IFERROR(F31/$F$68,"")</f>
        <v>1.1099114475650084E-2</v>
      </c>
      <c r="H31" s="31" t="s">
        <v>124</v>
      </c>
      <c r="I31" s="31"/>
      <c r="J31" s="489"/>
      <c r="K31" s="670"/>
      <c r="L31" s="670"/>
    </row>
    <row r="32" spans="1:12" ht="13.5" x14ac:dyDescent="0.25">
      <c r="A32" s="24">
        <v>1</v>
      </c>
      <c r="B32" s="30" t="str">
        <f>IFERROR(VLOOKUP(H32,'[1]Consolidado MP Planta'!$A$2:$M$823,3,0),"")</f>
        <v>BASE PARA ROSQUETE (UND)</v>
      </c>
      <c r="C32" s="25">
        <f t="shared" si="6"/>
        <v>1</v>
      </c>
      <c r="D32" s="26" t="str">
        <f>IFERROR(VLOOKUP(H32,'[1]Consolidado MP Planta'!$A$2:$M$823,13,0),"")</f>
        <v>Und</v>
      </c>
      <c r="E32" s="26">
        <f>IFERROR(VLOOKUP(H32,'[1]Consolidado MP Planta'!$A$2:$M$823,12,0),"")</f>
        <v>128</v>
      </c>
      <c r="F32" s="26">
        <f t="shared" si="7"/>
        <v>128</v>
      </c>
      <c r="G32" s="488">
        <f>IFERROR(F32/$F$68,"")</f>
        <v>0.11839055440693423</v>
      </c>
      <c r="H32" s="31" t="s">
        <v>30</v>
      </c>
      <c r="I32" s="31"/>
      <c r="J32" s="489"/>
      <c r="K32" s="670"/>
      <c r="L32" s="670"/>
    </row>
    <row r="33" spans="1:13" ht="13.5" x14ac:dyDescent="0.25">
      <c r="A33" s="24">
        <v>1</v>
      </c>
      <c r="B33" s="30" t="str">
        <f>IFERROR(VLOOKUP(H33,'[1]Consolidado MP Planta'!$A$2:$M$823,3,0),"")</f>
        <v>ETIQUETA BLANCA R-153 (UND)</v>
      </c>
      <c r="C33" s="25">
        <f t="shared" si="6"/>
        <v>1</v>
      </c>
      <c r="D33" s="26" t="str">
        <f>IFERROR(VLOOKUP(H33,'[1]Consolidado MP Planta'!$A$2:$M$823,13,0),"")</f>
        <v>Und</v>
      </c>
      <c r="E33" s="26">
        <f>IFERROR(VLOOKUP(H33,'[1]Consolidado MP Planta'!$A$2:$M$823,12,0),"")</f>
        <v>0.39</v>
      </c>
      <c r="F33" s="26">
        <f t="shared" si="7"/>
        <v>0.39</v>
      </c>
      <c r="G33" s="488">
        <f>IFERROR(F33/$F$68,"")</f>
        <v>3.6072122045862774E-4</v>
      </c>
      <c r="H33" s="31" t="s">
        <v>125</v>
      </c>
      <c r="I33" s="31"/>
      <c r="J33" s="489"/>
      <c r="K33" s="32"/>
      <c r="L33" s="33"/>
    </row>
    <row r="34" spans="1:13" ht="13.5" x14ac:dyDescent="0.25">
      <c r="A34" s="24"/>
      <c r="B34" s="30" t="str">
        <f>IFERROR(VLOOKUP(H34,'[1]Consolidado MP Planta'!$A$2:$M$823,3,0),"")</f>
        <v/>
      </c>
      <c r="C34" s="25">
        <f t="shared" si="6"/>
        <v>0</v>
      </c>
      <c r="D34" s="26" t="str">
        <f>IFERROR(VLOOKUP(H34,'[1]Consolidado MP Planta'!$A$2:$M$823,13,0),"")</f>
        <v/>
      </c>
      <c r="E34" s="26" t="str">
        <f>IFERROR(VLOOKUP(H34,'[1]Consolidado MP Planta'!$A$2:$M$823,12,0),"")</f>
        <v/>
      </c>
      <c r="F34" s="26" t="str">
        <f t="shared" si="7"/>
        <v/>
      </c>
      <c r="G34" s="488" t="str">
        <f>IFERROR(F34/$F$68,"")</f>
        <v/>
      </c>
      <c r="H34" s="31"/>
      <c r="I34" s="31"/>
      <c r="J34" s="489"/>
    </row>
    <row r="35" spans="1:13" ht="14.25" thickBot="1" x14ac:dyDescent="0.3">
      <c r="A35" s="24"/>
      <c r="B35" s="30"/>
      <c r="C35" s="25"/>
      <c r="D35" s="26"/>
      <c r="E35" s="26"/>
      <c r="F35" s="26"/>
      <c r="G35" s="488"/>
      <c r="H35" s="31"/>
      <c r="I35" s="31"/>
      <c r="J35" s="489"/>
    </row>
    <row r="36" spans="1:13" ht="26.25" thickBot="1" x14ac:dyDescent="0.25">
      <c r="A36" s="19" t="s">
        <v>73</v>
      </c>
      <c r="B36" s="20" t="s">
        <v>81</v>
      </c>
      <c r="C36" s="20" t="s">
        <v>73</v>
      </c>
      <c r="D36" s="21" t="s">
        <v>75</v>
      </c>
      <c r="E36" s="21" t="s">
        <v>76</v>
      </c>
      <c r="F36" s="21" t="s">
        <v>77</v>
      </c>
      <c r="G36" s="21" t="s">
        <v>78</v>
      </c>
      <c r="H36" s="22" t="s">
        <v>79</v>
      </c>
      <c r="I36" s="31"/>
      <c r="J36" s="489"/>
    </row>
    <row r="37" spans="1:13" ht="13.5" x14ac:dyDescent="0.25">
      <c r="A37" s="24">
        <f t="shared" ref="A37:A43" si="9">+A17</f>
        <v>1</v>
      </c>
      <c r="B37" s="30" t="s">
        <v>137</v>
      </c>
      <c r="C37" s="25">
        <f>+A37</f>
        <v>1</v>
      </c>
      <c r="D37" s="26" t="s">
        <v>302</v>
      </c>
      <c r="E37" s="26">
        <v>0.01</v>
      </c>
      <c r="F37" s="26">
        <f>IFERROR(E37*C37,"")</f>
        <v>0.01</v>
      </c>
      <c r="G37" s="488">
        <f t="shared" ref="G37:G43" si="10">IFERROR(F37/$F$68,"")</f>
        <v>9.2492620630417374E-6</v>
      </c>
      <c r="H37" s="28" t="s">
        <v>136</v>
      </c>
      <c r="I37" s="31"/>
      <c r="J37" s="489"/>
    </row>
    <row r="38" spans="1:13" ht="13.5" x14ac:dyDescent="0.25">
      <c r="A38" s="24">
        <f t="shared" si="9"/>
        <v>30</v>
      </c>
      <c r="B38" s="30" t="s">
        <v>64</v>
      </c>
      <c r="C38" s="25">
        <f t="shared" ref="C38:C43" si="11">+A38</f>
        <v>30</v>
      </c>
      <c r="D38" s="26" t="s">
        <v>302</v>
      </c>
      <c r="E38" s="26">
        <v>0.01</v>
      </c>
      <c r="F38" s="26">
        <f t="shared" ref="F38:F43" si="12">IFERROR(E38*C38,"")</f>
        <v>0.3</v>
      </c>
      <c r="G38" s="488">
        <f t="shared" si="10"/>
        <v>2.7747786189125209E-4</v>
      </c>
      <c r="H38" s="28" t="s">
        <v>63</v>
      </c>
      <c r="I38" s="31"/>
      <c r="J38" s="489"/>
    </row>
    <row r="39" spans="1:13" ht="15" x14ac:dyDescent="0.25">
      <c r="A39" s="24">
        <f t="shared" si="9"/>
        <v>37</v>
      </c>
      <c r="B39" t="s">
        <v>139</v>
      </c>
      <c r="C39" s="25">
        <f t="shared" si="11"/>
        <v>37</v>
      </c>
      <c r="D39" s="26" t="s">
        <v>303</v>
      </c>
      <c r="E39" s="26">
        <v>0.1</v>
      </c>
      <c r="F39" s="26">
        <f t="shared" si="12"/>
        <v>3.7</v>
      </c>
      <c r="G39" s="488">
        <f t="shared" si="10"/>
        <v>3.4222269633254429E-3</v>
      </c>
      <c r="H39" s="28" t="s">
        <v>138</v>
      </c>
      <c r="I39" s="31"/>
      <c r="J39" s="489"/>
    </row>
    <row r="40" spans="1:13" ht="13.5" x14ac:dyDescent="0.25">
      <c r="A40" s="24">
        <f t="shared" si="9"/>
        <v>8</v>
      </c>
      <c r="B40" s="12" t="s">
        <v>142</v>
      </c>
      <c r="C40" s="25">
        <f>+A40</f>
        <v>8</v>
      </c>
      <c r="D40" s="25" t="s">
        <v>118</v>
      </c>
      <c r="E40" s="26">
        <v>0</v>
      </c>
      <c r="F40" s="26">
        <f>IFERROR(E40*C40,"")</f>
        <v>0</v>
      </c>
      <c r="G40" s="488">
        <f t="shared" si="10"/>
        <v>0</v>
      </c>
      <c r="H40" s="28" t="s">
        <v>141</v>
      </c>
      <c r="I40" s="31"/>
      <c r="J40" s="489"/>
    </row>
    <row r="41" spans="1:13" ht="13.5" x14ac:dyDescent="0.25">
      <c r="A41" s="24">
        <f t="shared" si="9"/>
        <v>0</v>
      </c>
      <c r="B41" s="30" t="str">
        <f>IFERROR(VLOOKUP(H41,[1]SEMIELABORADOS!$A$2:$M$6000,2,0),"")</f>
        <v/>
      </c>
      <c r="C41" s="25">
        <f>+A41</f>
        <v>0</v>
      </c>
      <c r="D41" s="26" t="str">
        <f>IFERROR(VLOOKUP(H41,[1]SEMIELABORADOS!$A$2:$M$6000,6,0),"")</f>
        <v/>
      </c>
      <c r="E41" s="26" t="str">
        <f>IFERROR(VLOOKUP(H41,[1]SEMIELABORADOS!$A$2:$M$65536,10,0),"")</f>
        <v/>
      </c>
      <c r="F41" s="26" t="str">
        <f>IFERROR(E41*C41,"")</f>
        <v/>
      </c>
      <c r="G41" s="488" t="str">
        <f t="shared" si="10"/>
        <v/>
      </c>
      <c r="H41" s="31"/>
      <c r="I41" s="31"/>
      <c r="J41" s="489"/>
    </row>
    <row r="42" spans="1:13" ht="13.5" x14ac:dyDescent="0.25">
      <c r="A42" s="24">
        <f t="shared" si="9"/>
        <v>0</v>
      </c>
      <c r="B42" s="30" t="str">
        <f>IFERROR(VLOOKUP(H42,[1]SEMIELABORADOS!$A$2:$M$6000,2,0),"")</f>
        <v/>
      </c>
      <c r="C42" s="25">
        <f t="shared" si="11"/>
        <v>0</v>
      </c>
      <c r="D42" s="26" t="str">
        <f>IFERROR(VLOOKUP(H42,[1]SEMIELABORADOS!$A$2:$M$6000,6,0),"")</f>
        <v/>
      </c>
      <c r="E42" s="26" t="str">
        <f>IFERROR(VLOOKUP(H42,[1]SEMIELABORADOS!$A$2:$M$65536,10,0),"")</f>
        <v/>
      </c>
      <c r="F42" s="26" t="str">
        <f t="shared" si="12"/>
        <v/>
      </c>
      <c r="G42" s="488" t="str">
        <f t="shared" si="10"/>
        <v/>
      </c>
      <c r="H42" s="31"/>
      <c r="I42" s="31"/>
      <c r="J42" s="489"/>
    </row>
    <row r="43" spans="1:13" ht="13.5" x14ac:dyDescent="0.25">
      <c r="A43" s="24">
        <f t="shared" si="9"/>
        <v>0</v>
      </c>
      <c r="B43" s="30" t="str">
        <f>IFERROR(VLOOKUP(H43,[1]SEMIELABORADOS!$A$2:$M$6000,2,0),"")</f>
        <v/>
      </c>
      <c r="C43" s="25">
        <f t="shared" si="11"/>
        <v>0</v>
      </c>
      <c r="D43" s="26" t="str">
        <f>IFERROR(VLOOKUP(H43,[1]SEMIELABORADOS!$A$2:$M$6000,6,0),"")</f>
        <v/>
      </c>
      <c r="E43" s="26" t="str">
        <f>IFERROR(VLOOKUP(H43,[1]SEMIELABORADOS!$A$2:$M$65536,10,0),"")</f>
        <v/>
      </c>
      <c r="F43" s="26" t="str">
        <f t="shared" si="12"/>
        <v/>
      </c>
      <c r="G43" s="488" t="str">
        <f t="shared" si="10"/>
        <v/>
      </c>
      <c r="H43" s="31"/>
      <c r="I43" s="31"/>
      <c r="J43" s="489"/>
    </row>
    <row r="44" spans="1:13" ht="14.25" thickBot="1" x14ac:dyDescent="0.3">
      <c r="A44" s="24"/>
      <c r="B44" s="30"/>
      <c r="C44" s="25"/>
      <c r="D44" s="26"/>
      <c r="E44" s="26"/>
      <c r="F44" s="26"/>
      <c r="G44" s="488"/>
      <c r="H44" s="31"/>
      <c r="I44" s="31"/>
      <c r="J44" s="489"/>
    </row>
    <row r="45" spans="1:13" ht="26.25" thickBot="1" x14ac:dyDescent="0.3">
      <c r="A45" s="19" t="s">
        <v>73</v>
      </c>
      <c r="B45" s="20" t="s">
        <v>82</v>
      </c>
      <c r="C45" s="20" t="s">
        <v>73</v>
      </c>
      <c r="D45" s="21" t="s">
        <v>75</v>
      </c>
      <c r="E45" s="21" t="s">
        <v>76</v>
      </c>
      <c r="F45" s="21" t="s">
        <v>77</v>
      </c>
      <c r="G45" s="21" t="s">
        <v>78</v>
      </c>
      <c r="H45" s="22" t="s">
        <v>79</v>
      </c>
      <c r="I45" s="23"/>
      <c r="J45" s="489"/>
    </row>
    <row r="46" spans="1:13" ht="13.5" x14ac:dyDescent="0.25">
      <c r="A46" s="24">
        <f>+A37</f>
        <v>1</v>
      </c>
      <c r="B46" s="30" t="s">
        <v>137</v>
      </c>
      <c r="C46" s="25">
        <f>+A46</f>
        <v>1</v>
      </c>
      <c r="D46" s="26" t="s">
        <v>302</v>
      </c>
      <c r="E46" s="26">
        <v>13.94</v>
      </c>
      <c r="F46" s="26">
        <f>IFERROR(E46*C46,"")</f>
        <v>13.94</v>
      </c>
      <c r="G46" s="488">
        <f>IFERROR(F46/$F$68,"")</f>
        <v>1.2893471315880181E-2</v>
      </c>
      <c r="H46" s="28" t="s">
        <v>136</v>
      </c>
      <c r="I46" s="23"/>
      <c r="J46" s="489"/>
    </row>
    <row r="47" spans="1:13" ht="13.5" x14ac:dyDescent="0.25">
      <c r="A47" s="24">
        <f t="shared" ref="A47:A52" si="13">+A38</f>
        <v>30</v>
      </c>
      <c r="B47" s="30" t="s">
        <v>64</v>
      </c>
      <c r="C47" s="25">
        <f t="shared" ref="C47:C52" si="14">+A47</f>
        <v>30</v>
      </c>
      <c r="D47" s="26" t="s">
        <v>302</v>
      </c>
      <c r="E47" s="26">
        <v>0.02</v>
      </c>
      <c r="F47" s="26">
        <f t="shared" ref="F47:F52" si="15">IFERROR(E47*C47,"")</f>
        <v>0.6</v>
      </c>
      <c r="G47" s="488">
        <f t="shared" ref="G47:G52" si="16">IFERROR(F47/$F$68,"")</f>
        <v>5.5495572378250419E-4</v>
      </c>
      <c r="H47" s="28" t="s">
        <v>63</v>
      </c>
      <c r="I47" s="23"/>
      <c r="J47" s="489"/>
      <c r="M47" s="34"/>
    </row>
    <row r="48" spans="1:13" ht="15" x14ac:dyDescent="0.25">
      <c r="A48" s="24">
        <f t="shared" si="13"/>
        <v>37</v>
      </c>
      <c r="B48" t="s">
        <v>139</v>
      </c>
      <c r="C48" s="25">
        <f t="shared" si="14"/>
        <v>37</v>
      </c>
      <c r="D48" s="26" t="s">
        <v>303</v>
      </c>
      <c r="E48" s="26">
        <v>0.04</v>
      </c>
      <c r="F48" s="26">
        <f t="shared" si="15"/>
        <v>1.48</v>
      </c>
      <c r="G48" s="488">
        <f t="shared" si="16"/>
        <v>1.3688907853301772E-3</v>
      </c>
      <c r="H48" s="28" t="s">
        <v>138</v>
      </c>
      <c r="I48" s="23"/>
      <c r="J48" s="489"/>
    </row>
    <row r="49" spans="1:17" ht="13.5" x14ac:dyDescent="0.25">
      <c r="A49" s="24">
        <f t="shared" si="13"/>
        <v>8</v>
      </c>
      <c r="B49" s="12" t="s">
        <v>142</v>
      </c>
      <c r="C49" s="25">
        <f t="shared" si="14"/>
        <v>8</v>
      </c>
      <c r="D49" s="25" t="s">
        <v>118</v>
      </c>
      <c r="E49" s="26">
        <v>0.04</v>
      </c>
      <c r="F49" s="26">
        <f t="shared" si="15"/>
        <v>0.32</v>
      </c>
      <c r="G49" s="488">
        <f t="shared" si="16"/>
        <v>2.959763860173356E-4</v>
      </c>
      <c r="H49" s="28" t="s">
        <v>141</v>
      </c>
      <c r="I49" s="23"/>
      <c r="J49" s="489"/>
    </row>
    <row r="50" spans="1:17" ht="13.5" x14ac:dyDescent="0.25">
      <c r="A50" s="24">
        <f t="shared" si="13"/>
        <v>0</v>
      </c>
      <c r="B50" s="30" t="str">
        <f>IFERROR(VLOOKUP(H50,[1]SEMIELABORADOS!$A$2:$M$6000,2,0),"")</f>
        <v/>
      </c>
      <c r="C50" s="25">
        <f t="shared" si="14"/>
        <v>0</v>
      </c>
      <c r="D50" s="26" t="str">
        <f>IFERROR(VLOOKUP(H50,[1]SEMIELABORADOS!$A$2:$M$6000,6,0),"")</f>
        <v/>
      </c>
      <c r="E50" s="26" t="str">
        <f>IFERROR(VLOOKUP(H50,[1]SEMIELABORADOS!$A$2:$M$65536,12,0),"")</f>
        <v/>
      </c>
      <c r="F50" s="26" t="str">
        <f t="shared" si="15"/>
        <v/>
      </c>
      <c r="G50" s="488" t="str">
        <f t="shared" si="16"/>
        <v/>
      </c>
      <c r="H50" s="31"/>
      <c r="I50" s="23"/>
      <c r="J50" s="489"/>
    </row>
    <row r="51" spans="1:17" ht="13.5" x14ac:dyDescent="0.25">
      <c r="A51" s="24">
        <f t="shared" si="13"/>
        <v>0</v>
      </c>
      <c r="B51" s="30" t="str">
        <f>IFERROR(VLOOKUP(H51,[1]SEMIELABORADOS!$A$2:$M$6000,2,0),"")</f>
        <v/>
      </c>
      <c r="C51" s="25">
        <f t="shared" si="14"/>
        <v>0</v>
      </c>
      <c r="D51" s="26" t="str">
        <f>IFERROR(VLOOKUP(H51,[1]SEMIELABORADOS!$A$2:$M$6000,6,0),"")</f>
        <v/>
      </c>
      <c r="E51" s="26" t="str">
        <f>IFERROR(VLOOKUP(H51,[1]SEMIELABORADOS!$A$2:$M$65536,12,0),"")</f>
        <v/>
      </c>
      <c r="F51" s="26" t="str">
        <f t="shared" si="15"/>
        <v/>
      </c>
      <c r="G51" s="488" t="str">
        <f t="shared" si="16"/>
        <v/>
      </c>
      <c r="H51" s="31"/>
      <c r="I51" s="23"/>
      <c r="J51" s="489"/>
    </row>
    <row r="52" spans="1:17" ht="13.5" x14ac:dyDescent="0.25">
      <c r="A52" s="24">
        <f t="shared" si="13"/>
        <v>0</v>
      </c>
      <c r="B52" s="30" t="str">
        <f>IFERROR(VLOOKUP(H52,[1]SEMIELABORADOS!$A$2:$M$6000,2,0),"")</f>
        <v/>
      </c>
      <c r="C52" s="25">
        <f t="shared" si="14"/>
        <v>0</v>
      </c>
      <c r="D52" s="26" t="str">
        <f>IFERROR(VLOOKUP(H52,[1]SEMIELABORADOS!$A$2:$M$6000,6,0),"")</f>
        <v/>
      </c>
      <c r="E52" s="26" t="str">
        <f>IFERROR(VLOOKUP(H52,[1]SEMIELABORADOS!$A$2:$M$65536,12,0),"")</f>
        <v/>
      </c>
      <c r="F52" s="26" t="str">
        <f t="shared" si="15"/>
        <v/>
      </c>
      <c r="G52" s="488" t="str">
        <f t="shared" si="16"/>
        <v/>
      </c>
      <c r="H52" s="30"/>
      <c r="I52" s="23"/>
      <c r="J52" s="489"/>
    </row>
    <row r="53" spans="1:17" ht="13.5" x14ac:dyDescent="0.25">
      <c r="A53" s="24">
        <v>1</v>
      </c>
      <c r="B53" s="30" t="s">
        <v>83</v>
      </c>
      <c r="C53" s="25">
        <f>+A53</f>
        <v>1</v>
      </c>
      <c r="D53" s="25" t="s">
        <v>84</v>
      </c>
      <c r="E53" s="26">
        <f>+F67</f>
        <v>308</v>
      </c>
      <c r="F53" s="26">
        <f>IFERROR(C53*E53,"")</f>
        <v>308</v>
      </c>
      <c r="G53" s="488">
        <f>IFERROR(F53/$F$68,"")</f>
        <v>0.28487727154168552</v>
      </c>
      <c r="H53" s="35"/>
      <c r="I53" s="35"/>
      <c r="J53" s="489"/>
    </row>
    <row r="54" spans="1:17" ht="14.25" thickBot="1" x14ac:dyDescent="0.3">
      <c r="A54" s="24"/>
      <c r="B54" s="30"/>
      <c r="C54" s="25"/>
      <c r="D54" s="25"/>
      <c r="E54" s="26"/>
      <c r="F54" s="26"/>
      <c r="G54" s="488"/>
      <c r="H54" s="35"/>
      <c r="I54" s="35"/>
      <c r="J54" s="489"/>
    </row>
    <row r="55" spans="1:17" ht="13.5" thickBot="1" x14ac:dyDescent="0.3">
      <c r="A55" s="36"/>
      <c r="B55" s="671" t="s">
        <v>85</v>
      </c>
      <c r="C55" s="671"/>
      <c r="D55" s="671"/>
      <c r="E55" s="671"/>
      <c r="F55" s="38">
        <f>SUM(F8:F14,F17:F24)</f>
        <v>471.30000000000007</v>
      </c>
      <c r="G55" s="488">
        <f>+F55/$F$68</f>
        <v>0.43591772103115711</v>
      </c>
      <c r="H55" s="39">
        <f>+F55/$D$62</f>
        <v>471.30000000000007</v>
      </c>
      <c r="I55" s="39"/>
      <c r="J55" s="490"/>
      <c r="K55" s="41"/>
      <c r="L55" s="41"/>
      <c r="M55" s="41"/>
      <c r="N55" s="41"/>
      <c r="O55" s="41"/>
      <c r="P55" s="41"/>
      <c r="Q55" s="42"/>
    </row>
    <row r="56" spans="1:17" x14ac:dyDescent="0.2">
      <c r="A56" s="36"/>
      <c r="B56" s="671" t="s">
        <v>86</v>
      </c>
      <c r="C56" s="671"/>
      <c r="D56" s="671"/>
      <c r="E56" s="671"/>
      <c r="F56" s="38">
        <f>SUM(F27:F34,F37:F43)</f>
        <v>292.44133333333332</v>
      </c>
      <c r="G56" s="488">
        <f>+F56/$F$68</f>
        <v>0.27048665300653429</v>
      </c>
      <c r="H56" s="39">
        <f>+F56/$D$62</f>
        <v>292.44133333333332</v>
      </c>
      <c r="I56" s="39"/>
      <c r="J56" s="43"/>
      <c r="K56" s="672" t="s">
        <v>87</v>
      </c>
      <c r="L56" s="673"/>
      <c r="M56" s="673"/>
      <c r="N56" s="673"/>
      <c r="O56" s="44">
        <f>+F57</f>
        <v>763.74133333333339</v>
      </c>
      <c r="P56" s="44"/>
      <c r="Q56" s="45"/>
    </row>
    <row r="57" spans="1:17" x14ac:dyDescent="0.2">
      <c r="A57" s="36"/>
      <c r="B57" s="671" t="s">
        <v>88</v>
      </c>
      <c r="C57" s="671"/>
      <c r="D57" s="671"/>
      <c r="E57" s="671"/>
      <c r="F57" s="38">
        <f>+F55+F56</f>
        <v>763.74133333333339</v>
      </c>
      <c r="G57" s="488">
        <f>+F57/$F$68</f>
        <v>0.70640437403769141</v>
      </c>
      <c r="H57" s="39">
        <f>+F57/$D$62</f>
        <v>763.74133333333339</v>
      </c>
      <c r="I57" s="39"/>
      <c r="J57" s="491"/>
      <c r="K57" s="47"/>
      <c r="M57" s="48" t="s">
        <v>89</v>
      </c>
      <c r="N57" s="49"/>
      <c r="O57" s="44">
        <f>+H58</f>
        <v>324.33999999999997</v>
      </c>
      <c r="P57" s="44"/>
      <c r="Q57" s="45"/>
    </row>
    <row r="58" spans="1:17" ht="13.5" thickBot="1" x14ac:dyDescent="0.25">
      <c r="A58" s="36"/>
      <c r="B58" s="37"/>
      <c r="C58" s="671" t="s">
        <v>90</v>
      </c>
      <c r="D58" s="671"/>
      <c r="E58" s="671"/>
      <c r="F58" s="38">
        <f>SUM(F46:F53)</f>
        <v>324.33999999999997</v>
      </c>
      <c r="G58" s="488">
        <f>+F58/$F$68</f>
        <v>0.29999056575269567</v>
      </c>
      <c r="H58" s="39">
        <f>+F58/$D$62</f>
        <v>324.33999999999997</v>
      </c>
      <c r="I58" s="39"/>
      <c r="J58" s="491"/>
      <c r="K58" s="47"/>
      <c r="L58" s="47"/>
      <c r="M58" s="47" t="s">
        <v>91</v>
      </c>
      <c r="N58" s="492"/>
      <c r="O58" s="44">
        <f>O56*N58</f>
        <v>0</v>
      </c>
      <c r="P58" s="44"/>
      <c r="Q58" s="45"/>
    </row>
    <row r="59" spans="1:17" ht="13.5" thickBot="1" x14ac:dyDescent="0.25">
      <c r="A59" s="36"/>
      <c r="B59" s="51"/>
      <c r="C59" s="51"/>
      <c r="D59" s="51"/>
      <c r="E59" s="51"/>
      <c r="F59" s="52"/>
      <c r="G59" s="488"/>
      <c r="H59" s="53"/>
      <c r="I59" s="39"/>
      <c r="J59" s="491"/>
      <c r="K59" s="54"/>
      <c r="M59" s="55" t="s">
        <v>92</v>
      </c>
      <c r="N59" s="56"/>
      <c r="O59" s="57">
        <f>SUM(O56:O58)</f>
        <v>1088.0813333333333</v>
      </c>
      <c r="P59" s="58"/>
      <c r="Q59" s="45"/>
    </row>
    <row r="60" spans="1:17" x14ac:dyDescent="0.2">
      <c r="B60" s="674" t="s">
        <v>93</v>
      </c>
      <c r="C60" s="674"/>
      <c r="D60" s="59">
        <v>182</v>
      </c>
      <c r="E60" s="60"/>
      <c r="G60" s="488"/>
      <c r="H60" s="53">
        <f>+H58/77</f>
        <v>4.2122077922077921</v>
      </c>
      <c r="I60" s="61"/>
      <c r="J60" s="491"/>
      <c r="K60" s="54"/>
      <c r="L60" s="47"/>
      <c r="M60" s="47" t="s">
        <v>304</v>
      </c>
      <c r="N60" s="493"/>
      <c r="O60" s="44">
        <f>+H61</f>
        <v>269.58129870129869</v>
      </c>
      <c r="P60" s="44"/>
      <c r="Q60" s="45"/>
    </row>
    <row r="61" spans="1:17" x14ac:dyDescent="0.2">
      <c r="B61" s="674" t="s">
        <v>95</v>
      </c>
      <c r="C61" s="674"/>
      <c r="D61" s="63">
        <v>182</v>
      </c>
      <c r="E61" s="60"/>
      <c r="G61" s="488"/>
      <c r="H61" s="53">
        <f>+H60*64</f>
        <v>269.58129870129869</v>
      </c>
      <c r="I61" s="61"/>
      <c r="J61" s="491"/>
      <c r="K61" s="54"/>
      <c r="L61" s="47"/>
      <c r="M61" s="675" t="s">
        <v>92</v>
      </c>
      <c r="N61" s="675"/>
      <c r="O61" s="44">
        <f>SUM(O59:O60)</f>
        <v>1357.662632034632</v>
      </c>
      <c r="P61" s="44"/>
      <c r="Q61" s="45"/>
    </row>
    <row r="62" spans="1:17" ht="13.5" thickBot="1" x14ac:dyDescent="0.25">
      <c r="B62" s="666" t="s">
        <v>96</v>
      </c>
      <c r="C62" s="666"/>
      <c r="D62" s="59">
        <f>+D60/D61</f>
        <v>1</v>
      </c>
      <c r="E62" s="60"/>
      <c r="F62" s="64"/>
      <c r="G62" s="488"/>
      <c r="H62" s="53"/>
      <c r="I62" s="61"/>
      <c r="J62" s="491"/>
      <c r="K62" s="54"/>
      <c r="L62" s="675"/>
      <c r="M62" s="675"/>
      <c r="N62" s="493"/>
      <c r="O62" s="44">
        <f>+O61*N62</f>
        <v>0</v>
      </c>
      <c r="P62" s="44"/>
      <c r="Q62" s="45"/>
    </row>
    <row r="63" spans="1:17" ht="13.5" thickBot="1" x14ac:dyDescent="0.25">
      <c r="B63" s="666" t="s">
        <v>97</v>
      </c>
      <c r="C63" s="666"/>
      <c r="D63" s="65"/>
      <c r="E63" s="60"/>
      <c r="F63" s="64"/>
      <c r="G63" s="488"/>
      <c r="H63" s="53"/>
      <c r="I63" s="61"/>
      <c r="J63" s="491"/>
      <c r="K63" s="667" t="s">
        <v>98</v>
      </c>
      <c r="L63" s="668"/>
      <c r="M63" s="668"/>
      <c r="N63" s="669"/>
      <c r="O63" s="57">
        <f>SUM(O61:O62)</f>
        <v>1357.662632034632</v>
      </c>
      <c r="P63" s="66" t="s">
        <v>99</v>
      </c>
      <c r="Q63" s="45"/>
    </row>
    <row r="64" spans="1:17" ht="13.5" thickBot="1" x14ac:dyDescent="0.25">
      <c r="C64" s="36" t="s">
        <v>100</v>
      </c>
      <c r="D64" s="67"/>
      <c r="E64" s="10" t="s">
        <v>101</v>
      </c>
      <c r="F64" s="68" t="s">
        <v>102</v>
      </c>
      <c r="G64" s="488"/>
      <c r="H64" s="53"/>
      <c r="I64" s="61"/>
      <c r="J64" s="69"/>
      <c r="K64" s="70"/>
      <c r="L64" s="655" t="s">
        <v>103</v>
      </c>
      <c r="M64" s="655"/>
      <c r="N64" s="655"/>
      <c r="O64" s="71">
        <f>+O63/D62</f>
        <v>1357.662632034632</v>
      </c>
      <c r="P64" s="72">
        <f>+O64/D61</f>
        <v>7.4596847913990771</v>
      </c>
      <c r="Q64" s="73"/>
    </row>
    <row r="65" spans="2:16" ht="13.5" thickBot="1" x14ac:dyDescent="0.25">
      <c r="B65" s="656" t="s">
        <v>88</v>
      </c>
      <c r="C65" s="656"/>
      <c r="D65" s="656"/>
      <c r="E65" s="494">
        <f>+F65/F65</f>
        <v>1</v>
      </c>
      <c r="F65" s="75">
        <f>SUM(F57)</f>
        <v>763.74133333333339</v>
      </c>
      <c r="G65" s="488">
        <f>+F65/$F$68</f>
        <v>0.70640437403769141</v>
      </c>
      <c r="H65" s="53"/>
      <c r="I65" s="61"/>
      <c r="K65" s="657"/>
      <c r="L65" s="658"/>
      <c r="M65" s="658"/>
      <c r="N65" s="658"/>
      <c r="O65" s="76"/>
      <c r="P65" s="77"/>
    </row>
    <row r="66" spans="2:16" ht="13.5" thickBot="1" x14ac:dyDescent="0.3">
      <c r="B66" s="659" t="s">
        <v>104</v>
      </c>
      <c r="C66" s="659"/>
      <c r="D66" s="659"/>
      <c r="E66" s="78">
        <v>0.02</v>
      </c>
      <c r="F66" s="75">
        <f>+F55*E66</f>
        <v>9.4260000000000019</v>
      </c>
      <c r="G66" s="488">
        <f>+F66/$F$68</f>
        <v>8.7183544206231433E-3</v>
      </c>
      <c r="H66" s="39"/>
      <c r="I66" s="61"/>
      <c r="J66" s="495"/>
      <c r="O66" s="80"/>
      <c r="P66" s="37"/>
    </row>
    <row r="67" spans="2:16" ht="13.5" thickBot="1" x14ac:dyDescent="0.3">
      <c r="B67" s="660" t="s">
        <v>105</v>
      </c>
      <c r="C67" s="661"/>
      <c r="D67" s="81">
        <v>4</v>
      </c>
      <c r="E67" s="82">
        <v>77</v>
      </c>
      <c r="F67" s="75">
        <f>+E67*D67</f>
        <v>308</v>
      </c>
      <c r="G67" s="488">
        <f>+F67/$F$68</f>
        <v>0.28487727154168552</v>
      </c>
      <c r="H67" s="39"/>
      <c r="I67" s="39"/>
      <c r="J67" s="489"/>
    </row>
    <row r="68" spans="2:16" ht="13.5" thickBot="1" x14ac:dyDescent="0.3">
      <c r="B68" s="662" t="s">
        <v>106</v>
      </c>
      <c r="C68" s="663"/>
      <c r="D68" s="663"/>
      <c r="E68" s="664"/>
      <c r="F68" s="52">
        <f>SUM(F65:F67)</f>
        <v>1081.1673333333333</v>
      </c>
      <c r="G68" s="488">
        <f>+F68/$F$68</f>
        <v>1</v>
      </c>
      <c r="H68" s="665"/>
      <c r="I68" s="39"/>
      <c r="J68" s="489"/>
      <c r="M68" s="12" t="s">
        <v>305</v>
      </c>
    </row>
    <row r="69" spans="2:16" x14ac:dyDescent="0.25">
      <c r="C69" s="34"/>
      <c r="D69" s="34"/>
      <c r="E69" s="84"/>
      <c r="F69" s="75"/>
      <c r="G69" s="488"/>
      <c r="H69" s="665"/>
      <c r="I69" s="83"/>
      <c r="J69" s="12"/>
      <c r="M69" s="12" t="s">
        <v>306</v>
      </c>
    </row>
    <row r="70" spans="2:16" ht="13.5" thickBot="1" x14ac:dyDescent="0.3">
      <c r="B70" s="650" t="s">
        <v>109</v>
      </c>
      <c r="C70" s="650"/>
      <c r="D70" s="650"/>
      <c r="E70" s="650"/>
      <c r="F70" s="650"/>
      <c r="G70" s="488"/>
      <c r="H70" s="86"/>
      <c r="I70" s="83"/>
      <c r="J70" s="12"/>
      <c r="M70" s="12" t="s">
        <v>110</v>
      </c>
    </row>
    <row r="71" spans="2:16" ht="13.5" thickBot="1" x14ac:dyDescent="0.3">
      <c r="B71" s="87" t="s">
        <v>111</v>
      </c>
      <c r="C71" s="88">
        <f>+F55</f>
        <v>471.30000000000007</v>
      </c>
      <c r="D71" s="88">
        <f>+D60</f>
        <v>182</v>
      </c>
      <c r="E71" s="89">
        <f>+C71/D71</f>
        <v>2.5895604395604401</v>
      </c>
      <c r="F71" s="488"/>
      <c r="G71" s="86"/>
      <c r="H71" s="489"/>
      <c r="I71" s="86"/>
      <c r="J71" s="12"/>
    </row>
    <row r="72" spans="2:16" x14ac:dyDescent="0.25">
      <c r="B72" s="90"/>
      <c r="C72" s="91"/>
      <c r="D72" s="92"/>
      <c r="E72" s="75"/>
      <c r="F72" s="488"/>
      <c r="G72" s="86"/>
      <c r="H72" s="489"/>
      <c r="I72" s="489"/>
      <c r="J72" s="12"/>
    </row>
    <row r="73" spans="2:16" x14ac:dyDescent="0.25">
      <c r="B73" s="87" t="s">
        <v>112</v>
      </c>
      <c r="C73" s="88">
        <f>SUM(F65:F66)</f>
        <v>773.16733333333343</v>
      </c>
      <c r="D73" s="88">
        <f>+D60</f>
        <v>182</v>
      </c>
      <c r="E73" s="93">
        <f>+C73/D73</f>
        <v>4.2481721611721621</v>
      </c>
      <c r="F73" s="488"/>
      <c r="G73" s="86"/>
      <c r="H73" s="489"/>
      <c r="I73" s="489"/>
      <c r="J73" s="12"/>
    </row>
    <row r="74" spans="2:16" x14ac:dyDescent="0.25">
      <c r="B74" s="87"/>
      <c r="C74" s="88"/>
      <c r="D74" s="88"/>
      <c r="E74" s="93"/>
      <c r="F74" s="488"/>
      <c r="G74" s="86"/>
      <c r="H74" s="489"/>
      <c r="I74" s="489"/>
      <c r="J74" s="12"/>
    </row>
    <row r="75" spans="2:16" ht="13.5" thickBot="1" x14ac:dyDescent="0.3">
      <c r="B75" s="87" t="s">
        <v>113</v>
      </c>
      <c r="C75" s="88">
        <f>+F67</f>
        <v>308</v>
      </c>
      <c r="D75" s="88">
        <f>+D60</f>
        <v>182</v>
      </c>
      <c r="E75" s="93">
        <f>+C75/D75</f>
        <v>1.6923076923076923</v>
      </c>
      <c r="F75" s="488"/>
      <c r="G75" s="86"/>
      <c r="H75" s="489"/>
      <c r="I75" s="489"/>
      <c r="J75" s="12"/>
    </row>
    <row r="76" spans="2:16" ht="13.5" thickBot="1" x14ac:dyDescent="0.3">
      <c r="B76" s="87" t="s">
        <v>114</v>
      </c>
      <c r="C76" s="88">
        <f>+F58</f>
        <v>324.33999999999997</v>
      </c>
      <c r="D76" s="88">
        <f>+D75</f>
        <v>182</v>
      </c>
      <c r="E76" s="89">
        <f>+C76/D76</f>
        <v>1.7820879120879118</v>
      </c>
      <c r="F76" s="488"/>
      <c r="G76" s="86"/>
      <c r="H76" s="489"/>
      <c r="I76" s="489"/>
      <c r="J76" s="12"/>
    </row>
    <row r="77" spans="2:16" ht="13.5" thickBot="1" x14ac:dyDescent="0.3">
      <c r="B77" s="51"/>
      <c r="C77" s="52"/>
      <c r="D77" s="52"/>
      <c r="E77" s="93"/>
      <c r="F77" s="488"/>
      <c r="G77" s="86"/>
      <c r="H77" s="489"/>
      <c r="I77" s="489"/>
      <c r="J77" s="12"/>
    </row>
    <row r="78" spans="2:16" ht="13.5" thickBot="1" x14ac:dyDescent="0.3">
      <c r="B78" s="87" t="s">
        <v>115</v>
      </c>
      <c r="C78" s="88">
        <f>+F56</f>
        <v>292.44133333333332</v>
      </c>
      <c r="D78" s="88">
        <f>+D76</f>
        <v>182</v>
      </c>
      <c r="E78" s="89">
        <f>+C78/D78</f>
        <v>1.6068205128205126</v>
      </c>
      <c r="F78" s="488"/>
      <c r="G78" s="86"/>
      <c r="H78" s="489"/>
      <c r="I78" s="489"/>
      <c r="J78" s="489"/>
    </row>
    <row r="79" spans="2:16" ht="13.5" thickBot="1" x14ac:dyDescent="0.3">
      <c r="B79" s="51"/>
      <c r="C79" s="52"/>
      <c r="D79" s="52"/>
      <c r="E79" s="93"/>
      <c r="F79" s="488"/>
      <c r="G79" s="86"/>
      <c r="H79" s="489"/>
      <c r="I79" s="489"/>
    </row>
    <row r="80" spans="2:16" ht="13.5" thickBot="1" x14ac:dyDescent="0.3">
      <c r="B80" s="651" t="s">
        <v>116</v>
      </c>
      <c r="C80" s="652"/>
      <c r="D80" s="653"/>
      <c r="E80" s="89">
        <f>+E71+E76</f>
        <v>4.3716483516483517</v>
      </c>
      <c r="G80" s="488"/>
      <c r="H80" s="86"/>
      <c r="I80" s="489"/>
      <c r="J80" s="93"/>
    </row>
    <row r="81" spans="1:10" x14ac:dyDescent="0.25">
      <c r="I81" s="86"/>
      <c r="J81" s="12"/>
    </row>
    <row r="82" spans="1:10" ht="13.5" thickBot="1" x14ac:dyDescent="0.3">
      <c r="B82" s="650" t="s">
        <v>117</v>
      </c>
      <c r="C82" s="650"/>
      <c r="D82" s="650"/>
      <c r="E82" s="650"/>
      <c r="F82" s="650"/>
      <c r="G82" s="488"/>
      <c r="H82" s="86"/>
      <c r="J82" s="12"/>
    </row>
    <row r="83" spans="1:10" ht="13.5" thickBot="1" x14ac:dyDescent="0.3">
      <c r="B83" s="87" t="s">
        <v>111</v>
      </c>
      <c r="C83" s="88">
        <f>+C71</f>
        <v>471.30000000000007</v>
      </c>
      <c r="D83" s="88">
        <f>+D62</f>
        <v>1</v>
      </c>
      <c r="E83" s="89">
        <f>+C83/D83</f>
        <v>471.30000000000007</v>
      </c>
      <c r="F83" s="488"/>
      <c r="G83" s="86"/>
      <c r="H83" s="489"/>
      <c r="I83" s="86"/>
      <c r="J83" s="12"/>
    </row>
    <row r="84" spans="1:10" x14ac:dyDescent="0.25">
      <c r="B84" s="90"/>
      <c r="C84" s="91"/>
      <c r="D84" s="92"/>
      <c r="E84" s="75"/>
      <c r="F84" s="488"/>
      <c r="G84" s="86"/>
      <c r="H84" s="489"/>
      <c r="I84" s="489"/>
      <c r="J84" s="12"/>
    </row>
    <row r="85" spans="1:10" x14ac:dyDescent="0.25">
      <c r="B85" s="87" t="s">
        <v>112</v>
      </c>
      <c r="C85" s="88">
        <f>+C73</f>
        <v>773.16733333333343</v>
      </c>
      <c r="D85" s="88">
        <f>+D62</f>
        <v>1</v>
      </c>
      <c r="E85" s="93">
        <f>+C85/D85</f>
        <v>773.16733333333343</v>
      </c>
      <c r="F85" s="488"/>
      <c r="G85" s="86"/>
      <c r="H85" s="489"/>
      <c r="I85" s="489"/>
      <c r="J85" s="12"/>
    </row>
    <row r="86" spans="1:10" x14ac:dyDescent="0.25">
      <c r="B86" s="87"/>
      <c r="C86" s="88"/>
      <c r="D86" s="88"/>
      <c r="E86" s="93"/>
      <c r="F86" s="488"/>
      <c r="G86" s="86"/>
      <c r="H86" s="489"/>
      <c r="I86" s="489"/>
      <c r="J86" s="12"/>
    </row>
    <row r="87" spans="1:10" ht="13.5" thickBot="1" x14ac:dyDescent="0.3">
      <c r="B87" s="87" t="s">
        <v>114</v>
      </c>
      <c r="C87" s="88">
        <f>+C75</f>
        <v>308</v>
      </c>
      <c r="D87" s="88">
        <f>+D62</f>
        <v>1</v>
      </c>
      <c r="E87" s="93">
        <f>+C87/D87</f>
        <v>308</v>
      </c>
      <c r="F87" s="95"/>
      <c r="G87" s="85"/>
      <c r="H87" s="11"/>
      <c r="I87" s="489"/>
    </row>
    <row r="88" spans="1:10" ht="13.5" thickBot="1" x14ac:dyDescent="0.3">
      <c r="B88" s="87" t="s">
        <v>114</v>
      </c>
      <c r="C88" s="88">
        <f>+C76</f>
        <v>324.33999999999997</v>
      </c>
      <c r="D88" s="88">
        <f>+D87</f>
        <v>1</v>
      </c>
      <c r="E88" s="89">
        <f>+C88/D88</f>
        <v>324.33999999999997</v>
      </c>
      <c r="F88" s="496"/>
      <c r="G88" s="85"/>
      <c r="H88" s="11"/>
      <c r="I88" s="11"/>
    </row>
    <row r="89" spans="1:10" x14ac:dyDescent="0.25">
      <c r="I89" s="11"/>
    </row>
    <row r="90" spans="1:10" x14ac:dyDescent="0.2">
      <c r="A90" s="654"/>
      <c r="B90" s="654"/>
      <c r="C90" s="96"/>
      <c r="D90" s="96"/>
      <c r="E90" s="97"/>
      <c r="G90" s="497"/>
    </row>
    <row r="91" spans="1:10" x14ac:dyDescent="0.2">
      <c r="A91" s="30"/>
      <c r="B91" s="99"/>
      <c r="C91" s="100"/>
      <c r="D91" s="100"/>
      <c r="E91" s="101"/>
      <c r="G91" s="497"/>
    </row>
    <row r="92" spans="1:10" x14ac:dyDescent="0.2">
      <c r="A92" s="30"/>
      <c r="B92" s="99"/>
      <c r="C92" s="102"/>
      <c r="D92" s="102"/>
      <c r="E92" s="30"/>
      <c r="G92" s="497"/>
    </row>
    <row r="93" spans="1:10" x14ac:dyDescent="0.2">
      <c r="A93" s="30"/>
      <c r="B93" s="99"/>
      <c r="C93" s="103"/>
      <c r="D93" s="103"/>
      <c r="E93" s="30"/>
      <c r="G93" s="497"/>
    </row>
  </sheetData>
  <mergeCells count="30">
    <mergeCell ref="K31:L31"/>
    <mergeCell ref="A4:H4"/>
    <mergeCell ref="A5:H5"/>
    <mergeCell ref="F6:G6"/>
    <mergeCell ref="K27:L27"/>
    <mergeCell ref="K28:L28"/>
    <mergeCell ref="B63:C63"/>
    <mergeCell ref="K63:N63"/>
    <mergeCell ref="K32:L32"/>
    <mergeCell ref="B55:E55"/>
    <mergeCell ref="B56:E56"/>
    <mergeCell ref="K56:N56"/>
    <mergeCell ref="B57:E57"/>
    <mergeCell ref="C58:E58"/>
    <mergeCell ref="B60:C60"/>
    <mergeCell ref="B61:C61"/>
    <mergeCell ref="M61:N61"/>
    <mergeCell ref="B62:C62"/>
    <mergeCell ref="L62:M62"/>
    <mergeCell ref="B70:F70"/>
    <mergeCell ref="B80:D80"/>
    <mergeCell ref="B82:F82"/>
    <mergeCell ref="A90:B90"/>
    <mergeCell ref="L64:N64"/>
    <mergeCell ref="B65:D65"/>
    <mergeCell ref="K65:N65"/>
    <mergeCell ref="B66:D66"/>
    <mergeCell ref="B67:C67"/>
    <mergeCell ref="B68:E68"/>
    <mergeCell ref="H68:H6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824D-5AC1-4480-B622-CDC8AD88B311}">
  <dimension ref="A1:I60"/>
  <sheetViews>
    <sheetView workbookViewId="0">
      <selection activeCell="C3" sqref="C3:G3"/>
    </sheetView>
  </sheetViews>
  <sheetFormatPr baseColWidth="10" defaultRowHeight="15" x14ac:dyDescent="0.25"/>
  <cols>
    <col min="3" max="3" width="54.5703125" bestFit="1" customWidth="1"/>
  </cols>
  <sheetData>
    <row r="1" spans="1:9" ht="17.25" x14ac:dyDescent="0.3">
      <c r="A1" s="697"/>
      <c r="B1" s="698"/>
      <c r="C1" s="690" t="s">
        <v>0</v>
      </c>
      <c r="D1" s="690"/>
      <c r="E1" s="690"/>
      <c r="F1" s="690"/>
      <c r="G1" s="690"/>
      <c r="H1" s="418" t="s">
        <v>1</v>
      </c>
      <c r="I1" s="419"/>
    </row>
    <row r="2" spans="1:9" ht="18" thickBot="1" x14ac:dyDescent="0.35">
      <c r="A2" s="699"/>
      <c r="B2" s="700"/>
      <c r="C2" s="691" t="s">
        <v>2</v>
      </c>
      <c r="D2" s="691"/>
      <c r="E2" s="691"/>
      <c r="F2" s="691"/>
      <c r="G2" s="691"/>
      <c r="H2" s="420" t="s">
        <v>3</v>
      </c>
      <c r="I2" s="421"/>
    </row>
    <row r="3" spans="1:9" ht="15.75" thickBot="1" x14ac:dyDescent="0.3">
      <c r="A3" s="699"/>
      <c r="B3" s="700"/>
      <c r="C3" s="692" t="s">
        <v>308</v>
      </c>
      <c r="D3" s="692"/>
      <c r="E3" s="692"/>
      <c r="F3" s="692"/>
      <c r="G3" s="693"/>
      <c r="H3" s="694" t="s">
        <v>4</v>
      </c>
      <c r="I3" s="681"/>
    </row>
    <row r="4" spans="1:9" ht="17.25" x14ac:dyDescent="0.3">
      <c r="A4" s="699"/>
      <c r="B4" s="700"/>
      <c r="C4" s="422" t="s">
        <v>5</v>
      </c>
      <c r="D4" s="684" t="s">
        <v>144</v>
      </c>
      <c r="E4" s="685"/>
      <c r="F4" s="685"/>
      <c r="G4" s="686"/>
      <c r="H4" s="695"/>
      <c r="I4" s="682"/>
    </row>
    <row r="5" spans="1:9" ht="18" thickBot="1" x14ac:dyDescent="0.35">
      <c r="A5" s="701"/>
      <c r="B5" s="702"/>
      <c r="C5" s="423" t="s">
        <v>6</v>
      </c>
      <c r="D5" s="687" t="s">
        <v>127</v>
      </c>
      <c r="E5" s="688"/>
      <c r="F5" s="688"/>
      <c r="G5" s="689"/>
      <c r="H5" s="696"/>
      <c r="I5" s="683"/>
    </row>
    <row r="6" spans="1:9" ht="16.5" thickBot="1" x14ac:dyDescent="0.3">
      <c r="A6" s="619" t="s">
        <v>7</v>
      </c>
      <c r="B6" s="619"/>
      <c r="C6" s="619"/>
      <c r="D6" s="620" t="s">
        <v>128</v>
      </c>
      <c r="E6" s="620"/>
      <c r="F6" s="620"/>
      <c r="G6" s="621" t="s">
        <v>8</v>
      </c>
      <c r="H6" s="621"/>
      <c r="I6" s="116" t="s">
        <v>128</v>
      </c>
    </row>
    <row r="7" spans="1:9" ht="45" x14ac:dyDescent="0.25">
      <c r="A7" s="622" t="s">
        <v>9</v>
      </c>
      <c r="B7" s="624" t="s">
        <v>129</v>
      </c>
      <c r="C7" s="626" t="s">
        <v>10</v>
      </c>
      <c r="D7" s="626" t="s">
        <v>11</v>
      </c>
      <c r="E7" s="626" t="s">
        <v>12</v>
      </c>
      <c r="F7" s="626"/>
      <c r="G7" s="626" t="s">
        <v>13</v>
      </c>
      <c r="H7" s="626"/>
      <c r="I7" s="117" t="s">
        <v>14</v>
      </c>
    </row>
    <row r="8" spans="1:9" ht="31.5" thickBot="1" x14ac:dyDescent="0.3">
      <c r="A8" s="623"/>
      <c r="B8" s="625"/>
      <c r="C8" s="627"/>
      <c r="D8" s="627"/>
      <c r="E8" s="118" t="s">
        <v>15</v>
      </c>
      <c r="F8" s="119" t="s">
        <v>16</v>
      </c>
      <c r="G8" s="118" t="s">
        <v>15</v>
      </c>
      <c r="H8" s="119" t="s">
        <v>16</v>
      </c>
      <c r="I8" s="120" t="s">
        <v>17</v>
      </c>
    </row>
    <row r="9" spans="1:9" ht="15.75" x14ac:dyDescent="0.25">
      <c r="A9" s="121"/>
      <c r="B9" s="122"/>
      <c r="C9" s="123" t="s">
        <v>130</v>
      </c>
      <c r="D9" s="124"/>
      <c r="E9" s="125"/>
      <c r="F9" s="126"/>
      <c r="G9" s="125"/>
      <c r="H9" s="126"/>
      <c r="I9" s="127"/>
    </row>
    <row r="10" spans="1:9" ht="15.75" x14ac:dyDescent="0.25">
      <c r="A10" s="128" t="s">
        <v>46</v>
      </c>
      <c r="B10" s="129" t="s">
        <v>53</v>
      </c>
      <c r="C10" s="130" t="s">
        <v>47</v>
      </c>
      <c r="D10" s="104" t="s">
        <v>18</v>
      </c>
      <c r="E10" s="104">
        <v>10</v>
      </c>
      <c r="F10" s="1" t="s">
        <v>19</v>
      </c>
      <c r="G10" s="2"/>
      <c r="H10" s="3"/>
      <c r="I10" s="127"/>
    </row>
    <row r="11" spans="1:9" ht="17.25" x14ac:dyDescent="0.25">
      <c r="A11" s="128"/>
      <c r="B11" s="184" t="s">
        <v>136</v>
      </c>
      <c r="C11" s="185" t="s">
        <v>137</v>
      </c>
      <c r="D11" s="186" t="s">
        <v>20</v>
      </c>
      <c r="E11" s="104">
        <v>112</v>
      </c>
      <c r="F11" s="1" t="s">
        <v>19</v>
      </c>
      <c r="G11" s="2"/>
      <c r="H11" s="131"/>
      <c r="I11" s="127"/>
    </row>
    <row r="12" spans="1:9" ht="17.25" x14ac:dyDescent="0.3">
      <c r="A12" s="128" t="s">
        <v>62</v>
      </c>
      <c r="B12" s="129" t="s">
        <v>63</v>
      </c>
      <c r="C12" s="132" t="s">
        <v>64</v>
      </c>
      <c r="D12" s="104" t="s">
        <v>18</v>
      </c>
      <c r="E12" s="105">
        <v>30</v>
      </c>
      <c r="F12" s="4" t="s">
        <v>19</v>
      </c>
      <c r="G12" s="133"/>
      <c r="H12" s="134"/>
      <c r="I12" s="127"/>
    </row>
    <row r="13" spans="1:9" ht="17.25" x14ac:dyDescent="0.3">
      <c r="A13" s="135"/>
      <c r="B13" s="135"/>
      <c r="C13" s="136"/>
      <c r="D13" s="137"/>
      <c r="E13" s="2"/>
      <c r="F13" s="5"/>
      <c r="G13" s="133"/>
      <c r="H13" s="134"/>
      <c r="I13" s="127"/>
    </row>
    <row r="14" spans="1:9" ht="17.25" x14ac:dyDescent="0.3">
      <c r="A14" s="4"/>
      <c r="B14" s="4"/>
      <c r="C14" s="138"/>
      <c r="D14" s="3"/>
      <c r="E14" s="133"/>
      <c r="F14" s="139"/>
      <c r="G14" s="133"/>
      <c r="H14" s="134"/>
      <c r="I14" s="127"/>
    </row>
    <row r="15" spans="1:9" ht="15.75" x14ac:dyDescent="0.25">
      <c r="A15" s="140"/>
      <c r="B15" s="140"/>
      <c r="C15" s="141"/>
      <c r="D15" s="3"/>
      <c r="E15" s="2"/>
      <c r="F15" s="5"/>
      <c r="G15" s="188"/>
      <c r="H15" s="134"/>
      <c r="I15" s="127"/>
    </row>
    <row r="16" spans="1:9" ht="15.75" x14ac:dyDescent="0.25">
      <c r="A16" s="140"/>
      <c r="B16" s="140"/>
      <c r="C16" s="141"/>
      <c r="D16" s="3"/>
      <c r="E16" s="2"/>
      <c r="F16" s="5"/>
      <c r="G16" s="188"/>
      <c r="H16" s="134"/>
      <c r="I16" s="127"/>
    </row>
    <row r="17" spans="1:9" ht="15.75" x14ac:dyDescent="0.25">
      <c r="A17" s="140"/>
      <c r="B17" s="140"/>
      <c r="C17" s="141"/>
      <c r="D17" s="142"/>
      <c r="E17" s="143"/>
      <c r="F17" s="144"/>
      <c r="G17" s="188"/>
      <c r="H17" s="134"/>
      <c r="I17" s="127"/>
    </row>
    <row r="18" spans="1:9" ht="17.25" x14ac:dyDescent="0.3">
      <c r="A18" s="135"/>
      <c r="B18" s="135"/>
      <c r="C18" s="136"/>
      <c r="D18" s="145"/>
      <c r="E18" s="189"/>
      <c r="F18" s="190"/>
      <c r="G18" s="191"/>
      <c r="H18" s="134"/>
      <c r="I18" s="127"/>
    </row>
    <row r="19" spans="1:9" ht="15.75" x14ac:dyDescent="0.25">
      <c r="A19" s="135"/>
      <c r="B19" s="135"/>
      <c r="C19" s="146"/>
      <c r="D19" s="147"/>
      <c r="E19" s="147"/>
      <c r="F19" s="148"/>
      <c r="G19" s="125"/>
      <c r="H19" s="192"/>
      <c r="I19" s="127"/>
    </row>
    <row r="20" spans="1:9" ht="15.75" x14ac:dyDescent="0.25">
      <c r="A20" s="6"/>
      <c r="B20" s="6"/>
      <c r="C20" s="107" t="s">
        <v>131</v>
      </c>
      <c r="D20" s="109" t="s">
        <v>132</v>
      </c>
      <c r="E20" s="151"/>
      <c r="F20" s="148"/>
      <c r="G20" s="125"/>
      <c r="H20" s="192"/>
      <c r="I20" s="127"/>
    </row>
    <row r="21" spans="1:9" ht="17.25" x14ac:dyDescent="0.3">
      <c r="A21" s="106"/>
      <c r="B21" s="187" t="s">
        <v>299</v>
      </c>
      <c r="C21" s="193" t="s">
        <v>300</v>
      </c>
      <c r="D21" s="104" t="s">
        <v>20</v>
      </c>
      <c r="E21" s="105">
        <v>22</v>
      </c>
      <c r="F21" s="4" t="s">
        <v>19</v>
      </c>
      <c r="G21" s="191"/>
      <c r="H21" s="191" t="s">
        <v>149</v>
      </c>
      <c r="I21" s="127"/>
    </row>
    <row r="22" spans="1:9" ht="15.75" x14ac:dyDescent="0.25">
      <c r="A22" s="106"/>
      <c r="B22" s="187" t="s">
        <v>299</v>
      </c>
      <c r="C22" s="193" t="s">
        <v>300</v>
      </c>
      <c r="D22" s="104" t="s">
        <v>20</v>
      </c>
      <c r="E22" s="105">
        <v>15</v>
      </c>
      <c r="F22" s="4" t="s">
        <v>19</v>
      </c>
      <c r="G22" s="2"/>
      <c r="H22" s="3" t="s">
        <v>145</v>
      </c>
      <c r="I22" s="127"/>
    </row>
    <row r="23" spans="1:9" ht="15.75" x14ac:dyDescent="0.25">
      <c r="A23" s="106"/>
      <c r="B23" s="187" t="s">
        <v>141</v>
      </c>
      <c r="C23" s="193" t="s">
        <v>142</v>
      </c>
      <c r="D23" s="104" t="s">
        <v>20</v>
      </c>
      <c r="E23" s="105">
        <v>8</v>
      </c>
      <c r="F23" s="4" t="s">
        <v>19</v>
      </c>
      <c r="G23" s="2"/>
      <c r="H23" s="3"/>
      <c r="I23" s="127"/>
    </row>
    <row r="24" spans="1:9" ht="15.75" x14ac:dyDescent="0.25">
      <c r="A24" s="152"/>
      <c r="B24" s="152" t="s">
        <v>120</v>
      </c>
      <c r="C24" s="194" t="s">
        <v>143</v>
      </c>
      <c r="D24" s="153"/>
      <c r="E24" s="105">
        <v>1</v>
      </c>
      <c r="F24" s="4" t="s">
        <v>19</v>
      </c>
      <c r="G24" s="198"/>
      <c r="H24" s="2" t="s">
        <v>146</v>
      </c>
      <c r="I24" s="127"/>
    </row>
    <row r="25" spans="1:9" ht="15.75" x14ac:dyDescent="0.25">
      <c r="A25" s="152"/>
      <c r="B25" s="152" t="s">
        <v>120</v>
      </c>
      <c r="C25" s="194" t="s">
        <v>147</v>
      </c>
      <c r="D25" s="153"/>
      <c r="E25" s="105">
        <v>1</v>
      </c>
      <c r="F25" s="4" t="s">
        <v>19</v>
      </c>
      <c r="G25" s="198"/>
      <c r="H25" s="2"/>
      <c r="I25" s="127"/>
    </row>
    <row r="26" spans="1:9" ht="15.75" x14ac:dyDescent="0.25">
      <c r="A26" s="135"/>
      <c r="B26" s="135"/>
      <c r="C26" s="136"/>
      <c r="D26" s="153"/>
      <c r="E26" s="105"/>
      <c r="F26" s="5"/>
      <c r="G26" s="125"/>
      <c r="H26" s="192"/>
      <c r="I26" s="127"/>
    </row>
    <row r="27" spans="1:9" ht="15.75" x14ac:dyDescent="0.25">
      <c r="A27" s="135"/>
      <c r="B27" s="135"/>
      <c r="C27" s="146"/>
      <c r="D27" s="155"/>
      <c r="E27" s="156"/>
      <c r="F27" s="157"/>
      <c r="G27" s="125"/>
      <c r="H27" s="192"/>
      <c r="I27" s="127"/>
    </row>
    <row r="28" spans="1:9" ht="15.75" x14ac:dyDescent="0.25">
      <c r="A28" s="195"/>
      <c r="B28" s="195"/>
      <c r="C28" s="108" t="s">
        <v>133</v>
      </c>
      <c r="D28" s="196" t="s">
        <v>132</v>
      </c>
      <c r="E28" s="125"/>
      <c r="F28" s="126"/>
      <c r="G28" s="125"/>
      <c r="H28" s="192"/>
      <c r="I28" s="127"/>
    </row>
    <row r="29" spans="1:9" ht="15.75" x14ac:dyDescent="0.25">
      <c r="A29" s="106" t="s">
        <v>50</v>
      </c>
      <c r="B29" s="106" t="s">
        <v>54</v>
      </c>
      <c r="C29" s="130" t="s">
        <v>51</v>
      </c>
      <c r="D29" s="104" t="s">
        <v>52</v>
      </c>
      <c r="E29" s="106">
        <v>1</v>
      </c>
      <c r="F29" s="6" t="s">
        <v>22</v>
      </c>
      <c r="G29" s="188"/>
      <c r="H29" s="192"/>
      <c r="I29" s="127"/>
    </row>
    <row r="30" spans="1:9" ht="15.75" x14ac:dyDescent="0.25">
      <c r="A30" s="1">
        <v>702077</v>
      </c>
      <c r="B30" s="1" t="s">
        <v>55</v>
      </c>
      <c r="C30" s="158" t="s">
        <v>24</v>
      </c>
      <c r="D30" s="159" t="s">
        <v>26</v>
      </c>
      <c r="E30" s="1">
        <v>1</v>
      </c>
      <c r="F30" s="6" t="s">
        <v>22</v>
      </c>
      <c r="G30" s="160"/>
      <c r="H30" s="192"/>
      <c r="I30" s="127"/>
    </row>
    <row r="31" spans="1:9" ht="15.75" x14ac:dyDescent="0.25">
      <c r="A31" s="1">
        <v>702007</v>
      </c>
      <c r="B31" s="1" t="s">
        <v>56</v>
      </c>
      <c r="C31" s="158" t="s">
        <v>25</v>
      </c>
      <c r="D31" s="159" t="s">
        <v>26</v>
      </c>
      <c r="E31" s="1">
        <v>1</v>
      </c>
      <c r="F31" s="6" t="s">
        <v>22</v>
      </c>
      <c r="G31" s="125"/>
      <c r="H31" s="192"/>
      <c r="I31" s="127"/>
    </row>
    <row r="32" spans="1:9" ht="15.75" x14ac:dyDescent="0.25">
      <c r="A32" s="1">
        <v>702123</v>
      </c>
      <c r="B32" s="1" t="s">
        <v>57</v>
      </c>
      <c r="C32" s="158" t="s">
        <v>27</v>
      </c>
      <c r="D32" s="159"/>
      <c r="E32" s="1" t="s">
        <v>28</v>
      </c>
      <c r="F32" s="6" t="s">
        <v>22</v>
      </c>
      <c r="G32" s="125"/>
      <c r="H32" s="192"/>
      <c r="I32" s="127"/>
    </row>
    <row r="33" spans="1:9" ht="15.75" x14ac:dyDescent="0.25">
      <c r="A33" s="1">
        <v>702174</v>
      </c>
      <c r="B33" s="1" t="s">
        <v>58</v>
      </c>
      <c r="C33" s="158" t="s">
        <v>29</v>
      </c>
      <c r="D33" s="159"/>
      <c r="E33" s="1" t="s">
        <v>45</v>
      </c>
      <c r="F33" s="6" t="s">
        <v>22</v>
      </c>
      <c r="G33" s="125"/>
      <c r="H33" s="192"/>
      <c r="I33" s="127"/>
    </row>
    <row r="34" spans="1:9" ht="15.75" x14ac:dyDescent="0.25">
      <c r="A34" s="1" t="s">
        <v>30</v>
      </c>
      <c r="B34" s="1" t="s">
        <v>59</v>
      </c>
      <c r="C34" s="158" t="s">
        <v>31</v>
      </c>
      <c r="D34" s="159"/>
      <c r="E34" s="1" t="s">
        <v>28</v>
      </c>
      <c r="F34" s="6" t="s">
        <v>22</v>
      </c>
      <c r="G34" s="161"/>
      <c r="H34" s="192"/>
      <c r="I34" s="127"/>
    </row>
    <row r="35" spans="1:9" ht="15.75" x14ac:dyDescent="0.25">
      <c r="A35" s="1">
        <v>701096</v>
      </c>
      <c r="B35" s="1" t="s">
        <v>60</v>
      </c>
      <c r="C35" s="158" t="s">
        <v>32</v>
      </c>
      <c r="D35" s="159"/>
      <c r="E35" s="1">
        <v>1</v>
      </c>
      <c r="F35" s="5" t="s">
        <v>22</v>
      </c>
      <c r="G35" s="147"/>
      <c r="H35" s="192"/>
      <c r="I35" s="127"/>
    </row>
    <row r="36" spans="1:9" ht="17.25" x14ac:dyDescent="0.3">
      <c r="A36" s="197"/>
      <c r="B36" s="135"/>
      <c r="C36" s="162"/>
      <c r="D36" s="163"/>
      <c r="E36" s="139"/>
      <c r="F36" s="139"/>
      <c r="G36" s="147"/>
      <c r="H36" s="192"/>
      <c r="I36" s="127"/>
    </row>
    <row r="37" spans="1:9" ht="15.75" x14ac:dyDescent="0.25">
      <c r="A37" s="135"/>
      <c r="B37" s="154"/>
      <c r="C37" s="136"/>
      <c r="D37" s="3"/>
      <c r="E37" s="2"/>
      <c r="F37" s="5"/>
      <c r="G37" s="147"/>
      <c r="H37" s="109"/>
      <c r="I37" s="127"/>
    </row>
    <row r="38" spans="1:9" ht="15.75" x14ac:dyDescent="0.25">
      <c r="A38" s="149"/>
      <c r="B38" s="150"/>
      <c r="C38" s="164"/>
      <c r="D38" s="109"/>
      <c r="E38" s="109"/>
      <c r="F38" s="148"/>
      <c r="G38" s="109"/>
      <c r="H38" s="109"/>
      <c r="I38" s="127"/>
    </row>
    <row r="39" spans="1:9" ht="18" thickBot="1" x14ac:dyDescent="0.35">
      <c r="A39" s="165"/>
      <c r="B39" s="166"/>
      <c r="C39" s="167"/>
      <c r="D39" s="167"/>
      <c r="E39" s="168"/>
      <c r="F39" s="169"/>
      <c r="G39" s="167"/>
      <c r="H39" s="167"/>
      <c r="I39" s="170"/>
    </row>
    <row r="40" spans="1:9" ht="18" thickBot="1" x14ac:dyDescent="0.35">
      <c r="A40" s="171"/>
      <c r="B40" s="172"/>
      <c r="C40" s="173"/>
      <c r="D40" s="174" t="s">
        <v>15</v>
      </c>
      <c r="E40" s="175" t="s">
        <v>33</v>
      </c>
      <c r="F40" s="176"/>
      <c r="G40" s="173"/>
      <c r="H40" s="173"/>
      <c r="I40" s="177"/>
    </row>
    <row r="41" spans="1:9" ht="17.25" x14ac:dyDescent="0.3">
      <c r="A41" s="613" t="s">
        <v>34</v>
      </c>
      <c r="B41" s="614"/>
      <c r="C41" s="615"/>
      <c r="D41" s="178">
        <v>182</v>
      </c>
      <c r="E41" s="179" t="s">
        <v>19</v>
      </c>
      <c r="F41" s="616" t="s">
        <v>35</v>
      </c>
      <c r="G41" s="616"/>
      <c r="H41" s="617"/>
      <c r="I41" s="618"/>
    </row>
    <row r="42" spans="1:9" ht="17.25" x14ac:dyDescent="0.3">
      <c r="A42" s="596" t="s">
        <v>36</v>
      </c>
      <c r="B42" s="597"/>
      <c r="C42" s="598"/>
      <c r="D42" s="180">
        <v>5</v>
      </c>
      <c r="E42" s="181" t="s">
        <v>37</v>
      </c>
      <c r="F42" s="599" t="s">
        <v>38</v>
      </c>
      <c r="G42" s="599"/>
      <c r="H42" s="600"/>
      <c r="I42" s="601"/>
    </row>
    <row r="43" spans="1:9" ht="17.25" x14ac:dyDescent="0.3">
      <c r="A43" s="596" t="s">
        <v>39</v>
      </c>
      <c r="B43" s="597"/>
      <c r="C43" s="598"/>
      <c r="D43" s="181">
        <v>1</v>
      </c>
      <c r="E43" s="181" t="s">
        <v>22</v>
      </c>
      <c r="F43" s="599" t="s">
        <v>40</v>
      </c>
      <c r="G43" s="599"/>
      <c r="H43" s="600"/>
      <c r="I43" s="601"/>
    </row>
    <row r="44" spans="1:9" ht="17.25" x14ac:dyDescent="0.3">
      <c r="A44" s="596" t="s">
        <v>41</v>
      </c>
      <c r="B44" s="597"/>
      <c r="C44" s="598"/>
      <c r="D44" s="181">
        <v>182</v>
      </c>
      <c r="E44" s="181" t="s">
        <v>19</v>
      </c>
      <c r="F44" s="602" t="s">
        <v>42</v>
      </c>
      <c r="G44" s="603"/>
      <c r="H44" s="600"/>
      <c r="I44" s="601"/>
    </row>
    <row r="45" spans="1:9" ht="18" thickBot="1" x14ac:dyDescent="0.35">
      <c r="A45" s="604" t="s">
        <v>43</v>
      </c>
      <c r="B45" s="605"/>
      <c r="C45" s="606"/>
      <c r="D45" s="182">
        <v>17</v>
      </c>
      <c r="E45" s="183" t="s">
        <v>19</v>
      </c>
      <c r="F45" s="607"/>
      <c r="G45" s="607"/>
      <c r="H45" s="608"/>
      <c r="I45" s="609"/>
    </row>
    <row r="46" spans="1:9" ht="16.5" thickBot="1" x14ac:dyDescent="0.3">
      <c r="A46" s="610" t="s">
        <v>44</v>
      </c>
      <c r="B46" s="611"/>
      <c r="C46" s="611"/>
      <c r="D46" s="611"/>
      <c r="E46" s="611"/>
      <c r="F46" s="611"/>
      <c r="G46" s="611"/>
      <c r="H46" s="611"/>
      <c r="I46" s="612"/>
    </row>
    <row r="47" spans="1:9" ht="17.25" x14ac:dyDescent="0.3">
      <c r="A47" s="592" t="s">
        <v>135</v>
      </c>
      <c r="B47" s="593"/>
      <c r="C47" s="594"/>
      <c r="D47" s="594"/>
      <c r="E47" s="594"/>
      <c r="F47" s="594"/>
      <c r="G47" s="594"/>
      <c r="H47" s="594"/>
      <c r="I47" s="595"/>
    </row>
    <row r="48" spans="1:9" ht="17.25" x14ac:dyDescent="0.3">
      <c r="A48" s="592" t="s">
        <v>301</v>
      </c>
      <c r="B48" s="593"/>
      <c r="C48" s="594"/>
      <c r="D48" s="594"/>
      <c r="E48" s="594"/>
      <c r="F48" s="594"/>
      <c r="G48" s="594"/>
      <c r="H48" s="594"/>
      <c r="I48" s="595"/>
    </row>
    <row r="49" spans="1:9" ht="17.25" x14ac:dyDescent="0.3">
      <c r="A49" s="577" t="s">
        <v>150</v>
      </c>
      <c r="B49" s="578"/>
      <c r="C49" s="579"/>
      <c r="D49" s="579"/>
      <c r="E49" s="579"/>
      <c r="F49" s="579"/>
      <c r="G49" s="579"/>
      <c r="H49" s="579"/>
      <c r="I49" s="580"/>
    </row>
    <row r="50" spans="1:9" ht="17.25" x14ac:dyDescent="0.3">
      <c r="A50" s="577" t="s">
        <v>151</v>
      </c>
      <c r="B50" s="578"/>
      <c r="C50" s="579"/>
      <c r="D50" s="579"/>
      <c r="E50" s="579"/>
      <c r="F50" s="579"/>
      <c r="G50" s="579"/>
      <c r="H50" s="579"/>
      <c r="I50" s="580"/>
    </row>
    <row r="51" spans="1:9" ht="17.25" x14ac:dyDescent="0.3">
      <c r="A51" s="577" t="s">
        <v>152</v>
      </c>
      <c r="B51" s="578"/>
      <c r="C51" s="579"/>
      <c r="D51" s="579"/>
      <c r="E51" s="579"/>
      <c r="F51" s="579"/>
      <c r="G51" s="579"/>
      <c r="H51" s="579"/>
      <c r="I51" s="580"/>
    </row>
    <row r="52" spans="1:9" ht="17.25" x14ac:dyDescent="0.3">
      <c r="A52" s="581"/>
      <c r="B52" s="582"/>
      <c r="C52" s="582"/>
      <c r="D52" s="582"/>
      <c r="E52" s="582"/>
      <c r="F52" s="582"/>
      <c r="G52" s="582"/>
      <c r="H52" s="582"/>
      <c r="I52" s="583"/>
    </row>
    <row r="53" spans="1:9" ht="17.25" x14ac:dyDescent="0.3">
      <c r="A53" s="584"/>
      <c r="B53" s="585"/>
      <c r="C53" s="585"/>
      <c r="D53" s="585"/>
      <c r="E53" s="585"/>
      <c r="F53" s="585"/>
      <c r="G53" s="585"/>
      <c r="H53" s="585"/>
      <c r="I53" s="586"/>
    </row>
    <row r="54" spans="1:9" ht="17.25" x14ac:dyDescent="0.3">
      <c r="A54" s="584"/>
      <c r="B54" s="585"/>
      <c r="C54" s="585"/>
      <c r="D54" s="585"/>
      <c r="E54" s="585"/>
      <c r="F54" s="585"/>
      <c r="G54" s="585"/>
      <c r="H54" s="585"/>
      <c r="I54" s="586"/>
    </row>
    <row r="55" spans="1:9" ht="17.25" x14ac:dyDescent="0.3">
      <c r="A55" s="584"/>
      <c r="B55" s="585"/>
      <c r="C55" s="585"/>
      <c r="D55" s="585"/>
      <c r="E55" s="585"/>
      <c r="F55" s="585"/>
      <c r="G55" s="585"/>
      <c r="H55" s="585"/>
      <c r="I55" s="586"/>
    </row>
    <row r="56" spans="1:9" ht="17.25" x14ac:dyDescent="0.3">
      <c r="A56" s="584"/>
      <c r="B56" s="585"/>
      <c r="C56" s="585"/>
      <c r="D56" s="585"/>
      <c r="E56" s="585"/>
      <c r="F56" s="585"/>
      <c r="G56" s="585"/>
      <c r="H56" s="585"/>
      <c r="I56" s="586"/>
    </row>
    <row r="57" spans="1:9" ht="18" thickBot="1" x14ac:dyDescent="0.35">
      <c r="A57" s="587"/>
      <c r="B57" s="588"/>
      <c r="C57" s="588"/>
      <c r="D57" s="588"/>
      <c r="E57" s="588"/>
      <c r="F57" s="588"/>
      <c r="G57" s="588"/>
      <c r="H57" s="588"/>
      <c r="I57" s="589"/>
    </row>
    <row r="58" spans="1:9" x14ac:dyDescent="0.25">
      <c r="A58" s="705" t="s">
        <v>134</v>
      </c>
      <c r="B58" s="706"/>
      <c r="C58" s="706"/>
      <c r="D58" s="706"/>
      <c r="E58" s="706"/>
      <c r="F58" s="706"/>
      <c r="G58" s="706"/>
      <c r="H58" s="706"/>
      <c r="I58" s="706"/>
    </row>
    <row r="59" spans="1:9" x14ac:dyDescent="0.25">
      <c r="A59" s="703"/>
      <c r="B59" s="704"/>
      <c r="C59" s="704"/>
      <c r="D59" s="704"/>
      <c r="E59" s="704"/>
      <c r="F59" s="704"/>
      <c r="G59" s="704"/>
      <c r="H59" s="704"/>
      <c r="I59" s="704"/>
    </row>
    <row r="60" spans="1:9" x14ac:dyDescent="0.25">
      <c r="A60" s="703"/>
      <c r="B60" s="704"/>
      <c r="C60" s="704"/>
      <c r="D60" s="704"/>
      <c r="E60" s="704"/>
      <c r="F60" s="704"/>
      <c r="G60" s="704"/>
      <c r="H60" s="704"/>
      <c r="I60" s="704"/>
    </row>
  </sheetData>
  <mergeCells count="47">
    <mergeCell ref="A60:I60"/>
    <mergeCell ref="A41:C41"/>
    <mergeCell ref="F41:G41"/>
    <mergeCell ref="H41:I41"/>
    <mergeCell ref="A57:I57"/>
    <mergeCell ref="A58:I58"/>
    <mergeCell ref="A51:I51"/>
    <mergeCell ref="A59:I59"/>
    <mergeCell ref="A49:I49"/>
    <mergeCell ref="A52:I52"/>
    <mergeCell ref="A53:I53"/>
    <mergeCell ref="A54:I54"/>
    <mergeCell ref="A55:I55"/>
    <mergeCell ref="A42:C42"/>
    <mergeCell ref="F42:G42"/>
    <mergeCell ref="H42:I42"/>
    <mergeCell ref="A1:B5"/>
    <mergeCell ref="A6:C6"/>
    <mergeCell ref="D6:F6"/>
    <mergeCell ref="G6:H6"/>
    <mergeCell ref="A7:A8"/>
    <mergeCell ref="B7:B8"/>
    <mergeCell ref="E7:F7"/>
    <mergeCell ref="A56:I56"/>
    <mergeCell ref="A50:I50"/>
    <mergeCell ref="A44:C44"/>
    <mergeCell ref="F44:G44"/>
    <mergeCell ref="H44:I44"/>
    <mergeCell ref="A47:I47"/>
    <mergeCell ref="A48:I48"/>
    <mergeCell ref="A46:I46"/>
    <mergeCell ref="I3:I5"/>
    <mergeCell ref="D4:G4"/>
    <mergeCell ref="D5:G5"/>
    <mergeCell ref="G7:H7"/>
    <mergeCell ref="C1:G1"/>
    <mergeCell ref="C2:G2"/>
    <mergeCell ref="C3:G3"/>
    <mergeCell ref="H3:H5"/>
    <mergeCell ref="C7:C8"/>
    <mergeCell ref="D7:D8"/>
    <mergeCell ref="A43:C43"/>
    <mergeCell ref="F43:G43"/>
    <mergeCell ref="H43:I43"/>
    <mergeCell ref="A45:C45"/>
    <mergeCell ref="F45:G45"/>
    <mergeCell ref="H45:I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3785-CCFC-4123-87A4-DDA0F218B01C}">
  <sheetPr>
    <pageSetUpPr fitToPage="1"/>
  </sheetPr>
  <dimension ref="A1:I6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2" width="15" bestFit="1" customWidth="1"/>
    <col min="3" max="3" width="74" customWidth="1"/>
    <col min="4" max="4" width="14.140625" bestFit="1" customWidth="1"/>
    <col min="6" max="6" width="15.140625" customWidth="1"/>
    <col min="7" max="7" width="18.42578125" customWidth="1"/>
    <col min="8" max="8" width="18.5703125" customWidth="1"/>
    <col min="9" max="9" width="18" customWidth="1"/>
  </cols>
  <sheetData>
    <row r="1" spans="1:9" ht="17.25" x14ac:dyDescent="0.3">
      <c r="A1" s="697"/>
      <c r="B1" s="698"/>
      <c r="C1" s="690" t="s">
        <v>0</v>
      </c>
      <c r="D1" s="690"/>
      <c r="E1" s="690"/>
      <c r="F1" s="690"/>
      <c r="G1" s="690"/>
      <c r="H1" s="418" t="s">
        <v>1</v>
      </c>
      <c r="I1" s="419" t="s">
        <v>318</v>
      </c>
    </row>
    <row r="2" spans="1:9" ht="18" thickBot="1" x14ac:dyDescent="0.35">
      <c r="A2" s="699"/>
      <c r="B2" s="700"/>
      <c r="C2" s="691" t="s">
        <v>2</v>
      </c>
      <c r="D2" s="691"/>
      <c r="E2" s="691"/>
      <c r="F2" s="691"/>
      <c r="G2" s="691"/>
      <c r="H2" s="420" t="s">
        <v>3</v>
      </c>
      <c r="I2" s="421" t="s">
        <v>325</v>
      </c>
    </row>
    <row r="3" spans="1:9" ht="46.5" customHeight="1" thickBot="1" x14ac:dyDescent="0.3">
      <c r="A3" s="699"/>
      <c r="B3" s="700"/>
      <c r="C3" s="719" t="s">
        <v>317</v>
      </c>
      <c r="D3" s="719"/>
      <c r="E3" s="719"/>
      <c r="F3" s="719"/>
      <c r="G3" s="720"/>
      <c r="H3" s="694" t="s">
        <v>4</v>
      </c>
      <c r="I3" s="681">
        <v>45867</v>
      </c>
    </row>
    <row r="4" spans="1:9" ht="17.25" x14ac:dyDescent="0.3">
      <c r="A4" s="699"/>
      <c r="B4" s="700"/>
      <c r="C4" s="422" t="s">
        <v>5</v>
      </c>
      <c r="D4" s="684" t="s">
        <v>144</v>
      </c>
      <c r="E4" s="685"/>
      <c r="F4" s="685"/>
      <c r="G4" s="686"/>
      <c r="H4" s="695"/>
      <c r="I4" s="682"/>
    </row>
    <row r="5" spans="1:9" ht="18" thickBot="1" x14ac:dyDescent="0.35">
      <c r="A5" s="701"/>
      <c r="B5" s="702"/>
      <c r="C5" s="423" t="s">
        <v>6</v>
      </c>
      <c r="D5" s="687" t="s">
        <v>127</v>
      </c>
      <c r="E5" s="688"/>
      <c r="F5" s="688"/>
      <c r="G5" s="689"/>
      <c r="H5" s="696"/>
      <c r="I5" s="683"/>
    </row>
    <row r="6" spans="1:9" ht="18.75" thickBot="1" x14ac:dyDescent="0.3">
      <c r="A6" s="619" t="s">
        <v>7</v>
      </c>
      <c r="B6" s="619"/>
      <c r="C6" s="619"/>
      <c r="D6" s="935" t="s">
        <v>128</v>
      </c>
      <c r="E6" s="935"/>
      <c r="F6" s="935"/>
      <c r="G6" s="621" t="s">
        <v>8</v>
      </c>
      <c r="H6" s="621"/>
      <c r="I6" s="936" t="s">
        <v>128</v>
      </c>
    </row>
    <row r="7" spans="1:9" ht="30" x14ac:dyDescent="0.25">
      <c r="A7" s="622" t="s">
        <v>9</v>
      </c>
      <c r="B7" s="624" t="s">
        <v>129</v>
      </c>
      <c r="C7" s="626" t="s">
        <v>10</v>
      </c>
      <c r="D7" s="626" t="s">
        <v>11</v>
      </c>
      <c r="E7" s="626" t="s">
        <v>12</v>
      </c>
      <c r="F7" s="626"/>
      <c r="G7" s="626" t="s">
        <v>13</v>
      </c>
      <c r="H7" s="626"/>
      <c r="I7" s="117" t="s">
        <v>14</v>
      </c>
    </row>
    <row r="8" spans="1:9" ht="31.5" thickBot="1" x14ac:dyDescent="0.3">
      <c r="A8" s="623"/>
      <c r="B8" s="625"/>
      <c r="C8" s="627"/>
      <c r="D8" s="627"/>
      <c r="E8" s="118" t="s">
        <v>15</v>
      </c>
      <c r="F8" s="119" t="s">
        <v>16</v>
      </c>
      <c r="G8" s="118" t="s">
        <v>15</v>
      </c>
      <c r="H8" s="119" t="s">
        <v>16</v>
      </c>
      <c r="I8" s="120" t="s">
        <v>17</v>
      </c>
    </row>
    <row r="9" spans="1:9" ht="20.25" x14ac:dyDescent="0.3">
      <c r="A9" s="498"/>
      <c r="B9" s="499"/>
      <c r="C9" s="500" t="s">
        <v>130</v>
      </c>
      <c r="D9" s="501"/>
      <c r="E9" s="502"/>
      <c r="F9" s="503"/>
      <c r="G9" s="502"/>
      <c r="H9" s="503"/>
      <c r="I9" s="504"/>
    </row>
    <row r="10" spans="1:9" ht="20.25" x14ac:dyDescent="0.3">
      <c r="A10" s="505" t="s">
        <v>46</v>
      </c>
      <c r="B10" s="506" t="s">
        <v>53</v>
      </c>
      <c r="C10" s="507" t="s">
        <v>47</v>
      </c>
      <c r="D10" s="508" t="s">
        <v>18</v>
      </c>
      <c r="E10" s="508">
        <v>10</v>
      </c>
      <c r="F10" s="509" t="s">
        <v>19</v>
      </c>
      <c r="G10" s="510"/>
      <c r="H10" s="511"/>
      <c r="I10" s="504"/>
    </row>
    <row r="11" spans="1:9" ht="20.25" x14ac:dyDescent="0.3">
      <c r="A11" s="505"/>
      <c r="B11" s="506" t="s">
        <v>136</v>
      </c>
      <c r="C11" s="507" t="s">
        <v>137</v>
      </c>
      <c r="D11" s="508" t="s">
        <v>20</v>
      </c>
      <c r="E11" s="508">
        <v>112</v>
      </c>
      <c r="F11" s="509" t="s">
        <v>19</v>
      </c>
      <c r="G11" s="510"/>
      <c r="H11" s="512"/>
      <c r="I11" s="504"/>
    </row>
    <row r="12" spans="1:9" ht="20.25" x14ac:dyDescent="0.3">
      <c r="A12" s="505" t="s">
        <v>62</v>
      </c>
      <c r="B12" s="506" t="s">
        <v>63</v>
      </c>
      <c r="C12" s="513" t="s">
        <v>64</v>
      </c>
      <c r="D12" s="508" t="s">
        <v>18</v>
      </c>
      <c r="E12" s="514">
        <v>30</v>
      </c>
      <c r="F12" s="515" t="s">
        <v>19</v>
      </c>
      <c r="G12" s="510"/>
      <c r="H12" s="516"/>
      <c r="I12" s="504"/>
    </row>
    <row r="13" spans="1:9" ht="20.25" x14ac:dyDescent="0.3">
      <c r="A13" s="517"/>
      <c r="B13" s="517"/>
      <c r="C13" s="518"/>
      <c r="D13" s="519"/>
      <c r="E13" s="510"/>
      <c r="F13" s="520"/>
      <c r="G13" s="510"/>
      <c r="H13" s="516"/>
      <c r="I13" s="504"/>
    </row>
    <row r="14" spans="1:9" ht="20.25" x14ac:dyDescent="0.3">
      <c r="A14" s="515"/>
      <c r="B14" s="515"/>
      <c r="C14" s="521"/>
      <c r="D14" s="511"/>
      <c r="E14" s="510"/>
      <c r="F14" s="520"/>
      <c r="G14" s="510"/>
      <c r="H14" s="516"/>
      <c r="I14" s="504"/>
    </row>
    <row r="15" spans="1:9" ht="20.25" x14ac:dyDescent="0.3">
      <c r="A15" s="522"/>
      <c r="B15" s="522"/>
      <c r="C15" s="523"/>
      <c r="D15" s="511"/>
      <c r="E15" s="510"/>
      <c r="F15" s="520"/>
      <c r="G15" s="524"/>
      <c r="H15" s="516"/>
      <c r="I15" s="504"/>
    </row>
    <row r="16" spans="1:9" ht="20.25" x14ac:dyDescent="0.3">
      <c r="A16" s="522"/>
      <c r="B16" s="522"/>
      <c r="C16" s="523"/>
      <c r="D16" s="511"/>
      <c r="E16" s="510"/>
      <c r="F16" s="520"/>
      <c r="G16" s="524"/>
      <c r="H16" s="516"/>
      <c r="I16" s="504"/>
    </row>
    <row r="17" spans="1:9" ht="20.25" x14ac:dyDescent="0.3">
      <c r="A17" s="522"/>
      <c r="B17" s="522"/>
      <c r="C17" s="523"/>
      <c r="D17" s="525"/>
      <c r="E17" s="526"/>
      <c r="F17" s="527"/>
      <c r="G17" s="524"/>
      <c r="H17" s="516"/>
      <c r="I17" s="504"/>
    </row>
    <row r="18" spans="1:9" ht="20.25" x14ac:dyDescent="0.3">
      <c r="A18" s="517"/>
      <c r="B18" s="517"/>
      <c r="C18" s="518"/>
      <c r="D18" s="528"/>
      <c r="E18" s="529"/>
      <c r="F18" s="530"/>
      <c r="G18" s="531"/>
      <c r="H18" s="516"/>
      <c r="I18" s="504"/>
    </row>
    <row r="19" spans="1:9" ht="20.25" x14ac:dyDescent="0.3">
      <c r="A19" s="517"/>
      <c r="B19" s="517"/>
      <c r="C19" s="532"/>
      <c r="D19" s="529"/>
      <c r="E19" s="529"/>
      <c r="F19" s="530"/>
      <c r="G19" s="502"/>
      <c r="H19" s="533"/>
      <c r="I19" s="504"/>
    </row>
    <row r="20" spans="1:9" ht="20.25" x14ac:dyDescent="0.3">
      <c r="A20" s="534"/>
      <c r="B20" s="534"/>
      <c r="C20" s="535" t="s">
        <v>131</v>
      </c>
      <c r="D20" s="533" t="s">
        <v>132</v>
      </c>
      <c r="E20" s="536"/>
      <c r="F20" s="530"/>
      <c r="G20" s="502"/>
      <c r="H20" s="533"/>
      <c r="I20" s="504"/>
    </row>
    <row r="21" spans="1:9" ht="20.25" x14ac:dyDescent="0.3">
      <c r="A21" s="537"/>
      <c r="B21" s="517" t="s">
        <v>138</v>
      </c>
      <c r="C21" s="518" t="s">
        <v>139</v>
      </c>
      <c r="D21" s="508" t="s">
        <v>20</v>
      </c>
      <c r="E21" s="514">
        <v>22</v>
      </c>
      <c r="F21" s="515" t="s">
        <v>19</v>
      </c>
      <c r="G21" s="531"/>
      <c r="H21" s="531" t="s">
        <v>149</v>
      </c>
      <c r="I21" s="504"/>
    </row>
    <row r="22" spans="1:9" ht="20.25" x14ac:dyDescent="0.3">
      <c r="A22" s="537"/>
      <c r="B22" s="517" t="s">
        <v>138</v>
      </c>
      <c r="C22" s="518" t="s">
        <v>139</v>
      </c>
      <c r="D22" s="508" t="s">
        <v>20</v>
      </c>
      <c r="E22" s="514">
        <v>15</v>
      </c>
      <c r="F22" s="515" t="s">
        <v>19</v>
      </c>
      <c r="G22" s="510"/>
      <c r="H22" s="511" t="s">
        <v>309</v>
      </c>
      <c r="I22" s="504"/>
    </row>
    <row r="23" spans="1:9" ht="20.25" x14ac:dyDescent="0.3">
      <c r="A23" s="537"/>
      <c r="B23" s="517" t="s">
        <v>141</v>
      </c>
      <c r="C23" s="518" t="s">
        <v>142</v>
      </c>
      <c r="D23" s="508" t="s">
        <v>20</v>
      </c>
      <c r="E23" s="514">
        <v>8</v>
      </c>
      <c r="F23" s="515" t="s">
        <v>19</v>
      </c>
      <c r="G23" s="510"/>
      <c r="H23" s="511"/>
      <c r="I23" s="504"/>
    </row>
    <row r="24" spans="1:9" ht="20.25" x14ac:dyDescent="0.3">
      <c r="A24" s="538"/>
      <c r="B24" s="538" t="s">
        <v>313</v>
      </c>
      <c r="C24" s="539" t="s">
        <v>143</v>
      </c>
      <c r="D24" s="540"/>
      <c r="E24" s="514">
        <v>1</v>
      </c>
      <c r="F24" s="515" t="s">
        <v>19</v>
      </c>
      <c r="G24" s="541"/>
      <c r="H24" s="510" t="s">
        <v>146</v>
      </c>
      <c r="I24" s="504"/>
    </row>
    <row r="25" spans="1:9" ht="20.25" x14ac:dyDescent="0.3">
      <c r="A25" s="538"/>
      <c r="B25" s="542" t="s">
        <v>314</v>
      </c>
      <c r="C25" s="539" t="s">
        <v>147</v>
      </c>
      <c r="D25" s="540"/>
      <c r="E25" s="514">
        <v>3</v>
      </c>
      <c r="F25" s="515" t="s">
        <v>19</v>
      </c>
      <c r="G25" s="541"/>
      <c r="H25" s="510"/>
      <c r="I25" s="504"/>
    </row>
    <row r="26" spans="1:9" ht="20.25" x14ac:dyDescent="0.3">
      <c r="A26" s="517"/>
      <c r="B26" s="517"/>
      <c r="C26" s="518"/>
      <c r="D26" s="540"/>
      <c r="E26" s="514"/>
      <c r="F26" s="520"/>
      <c r="G26" s="502"/>
      <c r="H26" s="533"/>
      <c r="I26" s="504"/>
    </row>
    <row r="27" spans="1:9" ht="20.25" x14ac:dyDescent="0.3">
      <c r="A27" s="517"/>
      <c r="B27" s="517"/>
      <c r="C27" s="532"/>
      <c r="D27" s="543"/>
      <c r="E27" s="544"/>
      <c r="F27" s="545"/>
      <c r="G27" s="502"/>
      <c r="H27" s="533"/>
      <c r="I27" s="504"/>
    </row>
    <row r="28" spans="1:9" ht="20.25" x14ac:dyDescent="0.3">
      <c r="A28" s="546"/>
      <c r="B28" s="546"/>
      <c r="C28" s="547" t="s">
        <v>133</v>
      </c>
      <c r="D28" s="548" t="s">
        <v>132</v>
      </c>
      <c r="E28" s="502"/>
      <c r="F28" s="503"/>
      <c r="G28" s="502"/>
      <c r="H28" s="533"/>
      <c r="I28" s="504"/>
    </row>
    <row r="29" spans="1:9" ht="20.25" x14ac:dyDescent="0.3">
      <c r="A29" s="537" t="s">
        <v>50</v>
      </c>
      <c r="B29" s="537" t="s">
        <v>54</v>
      </c>
      <c r="C29" s="507" t="s">
        <v>51</v>
      </c>
      <c r="D29" s="508" t="s">
        <v>52</v>
      </c>
      <c r="E29" s="537">
        <v>1</v>
      </c>
      <c r="F29" s="534" t="s">
        <v>22</v>
      </c>
      <c r="G29" s="524"/>
      <c r="H29" s="533"/>
      <c r="I29" s="504"/>
    </row>
    <row r="30" spans="1:9" ht="20.25" x14ac:dyDescent="0.3">
      <c r="A30" s="509">
        <v>702077</v>
      </c>
      <c r="B30" s="509" t="s">
        <v>55</v>
      </c>
      <c r="C30" s="549" t="s">
        <v>24</v>
      </c>
      <c r="D30" s="542" t="s">
        <v>26</v>
      </c>
      <c r="E30" s="509">
        <v>1</v>
      </c>
      <c r="F30" s="534" t="s">
        <v>22</v>
      </c>
      <c r="G30" s="531"/>
      <c r="H30" s="533"/>
      <c r="I30" s="504"/>
    </row>
    <row r="31" spans="1:9" ht="20.25" x14ac:dyDescent="0.3">
      <c r="A31" s="509">
        <v>702007</v>
      </c>
      <c r="B31" s="509" t="s">
        <v>56</v>
      </c>
      <c r="C31" s="549" t="s">
        <v>25</v>
      </c>
      <c r="D31" s="542" t="s">
        <v>26</v>
      </c>
      <c r="E31" s="509">
        <v>1</v>
      </c>
      <c r="F31" s="534" t="s">
        <v>22</v>
      </c>
      <c r="G31" s="502"/>
      <c r="H31" s="533"/>
      <c r="I31" s="504"/>
    </row>
    <row r="32" spans="1:9" ht="23.25" x14ac:dyDescent="0.35">
      <c r="A32" s="509"/>
      <c r="B32" s="574" t="s">
        <v>319</v>
      </c>
      <c r="C32" s="574" t="s">
        <v>320</v>
      </c>
      <c r="D32" s="542"/>
      <c r="E32" s="509" t="s">
        <v>28</v>
      </c>
      <c r="F32" s="534" t="s">
        <v>22</v>
      </c>
      <c r="G32" s="502"/>
      <c r="H32" s="533"/>
      <c r="I32" s="504"/>
    </row>
    <row r="33" spans="1:9" ht="20.25" x14ac:dyDescent="0.3">
      <c r="A33" s="509">
        <v>702174</v>
      </c>
      <c r="B33" s="509" t="s">
        <v>58</v>
      </c>
      <c r="C33" s="549" t="s">
        <v>29</v>
      </c>
      <c r="D33" s="542"/>
      <c r="E33" s="509" t="s">
        <v>45</v>
      </c>
      <c r="F33" s="534" t="s">
        <v>22</v>
      </c>
      <c r="G33" s="502"/>
      <c r="H33" s="533"/>
      <c r="I33" s="504"/>
    </row>
    <row r="34" spans="1:9" ht="20.25" x14ac:dyDescent="0.3">
      <c r="A34" s="509">
        <v>701096</v>
      </c>
      <c r="B34" s="509" t="s">
        <v>60</v>
      </c>
      <c r="C34" s="549" t="s">
        <v>32</v>
      </c>
      <c r="D34" s="542"/>
      <c r="E34" s="509">
        <v>1</v>
      </c>
      <c r="F34" s="520" t="s">
        <v>22</v>
      </c>
      <c r="G34" s="529"/>
      <c r="H34" s="533"/>
      <c r="I34" s="504"/>
    </row>
    <row r="35" spans="1:9" ht="20.25" x14ac:dyDescent="0.3">
      <c r="A35" s="550"/>
      <c r="B35" s="517" t="s">
        <v>322</v>
      </c>
      <c r="C35" s="551" t="s">
        <v>323</v>
      </c>
      <c r="D35" s="552"/>
      <c r="E35" s="509" t="s">
        <v>28</v>
      </c>
      <c r="F35" s="520" t="s">
        <v>22</v>
      </c>
      <c r="G35" s="529"/>
      <c r="H35" s="533"/>
      <c r="I35" s="504"/>
    </row>
    <row r="36" spans="1:9" ht="20.25" x14ac:dyDescent="0.3">
      <c r="A36" s="517"/>
      <c r="B36" s="553"/>
      <c r="C36" s="518"/>
      <c r="D36" s="511"/>
      <c r="E36" s="510"/>
      <c r="F36" s="520"/>
      <c r="G36" s="529"/>
      <c r="H36" s="533"/>
      <c r="I36" s="504"/>
    </row>
    <row r="37" spans="1:9" ht="20.25" x14ac:dyDescent="0.3">
      <c r="A37" s="554"/>
      <c r="B37" s="555"/>
      <c r="C37" s="556"/>
      <c r="D37" s="533"/>
      <c r="E37" s="533"/>
      <c r="F37" s="530"/>
      <c r="G37" s="533"/>
      <c r="H37" s="533"/>
      <c r="I37" s="504"/>
    </row>
    <row r="38" spans="1:9" ht="21" thickBot="1" x14ac:dyDescent="0.35">
      <c r="A38" s="557"/>
      <c r="B38" s="558"/>
      <c r="C38" s="559"/>
      <c r="D38" s="559"/>
      <c r="E38" s="560"/>
      <c r="F38" s="561"/>
      <c r="G38" s="559"/>
      <c r="H38" s="559"/>
      <c r="I38" s="562"/>
    </row>
    <row r="39" spans="1:9" ht="21" thickBot="1" x14ac:dyDescent="0.35">
      <c r="A39" s="563"/>
      <c r="B39" s="564"/>
      <c r="C39" s="565"/>
      <c r="D39" s="566" t="s">
        <v>15</v>
      </c>
      <c r="E39" s="567" t="s">
        <v>33</v>
      </c>
      <c r="F39" s="568"/>
      <c r="G39" s="565"/>
      <c r="H39" s="565"/>
      <c r="I39" s="569"/>
    </row>
    <row r="40" spans="1:9" ht="20.25" x14ac:dyDescent="0.3">
      <c r="A40" s="738" t="s">
        <v>34</v>
      </c>
      <c r="B40" s="739"/>
      <c r="C40" s="740"/>
      <c r="D40" s="570">
        <v>182</v>
      </c>
      <c r="E40" s="571" t="s">
        <v>19</v>
      </c>
      <c r="F40" s="741" t="s">
        <v>35</v>
      </c>
      <c r="G40" s="741"/>
      <c r="H40" s="742"/>
      <c r="I40" s="743"/>
    </row>
    <row r="41" spans="1:9" ht="20.25" x14ac:dyDescent="0.3">
      <c r="A41" s="707" t="s">
        <v>36</v>
      </c>
      <c r="B41" s="708"/>
      <c r="C41" s="709"/>
      <c r="D41" s="525">
        <v>5</v>
      </c>
      <c r="E41" s="511" t="s">
        <v>37</v>
      </c>
      <c r="F41" s="710" t="s">
        <v>38</v>
      </c>
      <c r="G41" s="710"/>
      <c r="H41" s="711"/>
      <c r="I41" s="712"/>
    </row>
    <row r="42" spans="1:9" ht="20.25" x14ac:dyDescent="0.3">
      <c r="A42" s="707" t="s">
        <v>39</v>
      </c>
      <c r="B42" s="708"/>
      <c r="C42" s="709"/>
      <c r="D42" s="511">
        <v>1</v>
      </c>
      <c r="E42" s="511" t="s">
        <v>22</v>
      </c>
      <c r="F42" s="710" t="s">
        <v>40</v>
      </c>
      <c r="G42" s="710"/>
      <c r="H42" s="711"/>
      <c r="I42" s="712"/>
    </row>
    <row r="43" spans="1:9" ht="20.25" x14ac:dyDescent="0.3">
      <c r="A43" s="707" t="s">
        <v>41</v>
      </c>
      <c r="B43" s="708"/>
      <c r="C43" s="709"/>
      <c r="D43" s="511">
        <v>182</v>
      </c>
      <c r="E43" s="511" t="s">
        <v>19</v>
      </c>
      <c r="F43" s="728" t="s">
        <v>42</v>
      </c>
      <c r="G43" s="729"/>
      <c r="H43" s="711"/>
      <c r="I43" s="712"/>
    </row>
    <row r="44" spans="1:9" ht="21" thickBot="1" x14ac:dyDescent="0.35">
      <c r="A44" s="713" t="s">
        <v>43</v>
      </c>
      <c r="B44" s="714"/>
      <c r="C44" s="715"/>
      <c r="D44" s="572">
        <v>17</v>
      </c>
      <c r="E44" s="573" t="s">
        <v>19</v>
      </c>
      <c r="F44" s="716"/>
      <c r="G44" s="716"/>
      <c r="H44" s="717"/>
      <c r="I44" s="718"/>
    </row>
    <row r="45" spans="1:9" ht="21" thickBot="1" x14ac:dyDescent="0.35">
      <c r="A45" s="734" t="s">
        <v>44</v>
      </c>
      <c r="B45" s="735"/>
      <c r="C45" s="735"/>
      <c r="D45" s="735"/>
      <c r="E45" s="735"/>
      <c r="F45" s="735"/>
      <c r="G45" s="735"/>
      <c r="H45" s="735"/>
      <c r="I45" s="736"/>
    </row>
    <row r="46" spans="1:9" ht="44.25" customHeight="1" x14ac:dyDescent="0.3">
      <c r="A46" s="730" t="s">
        <v>315</v>
      </c>
      <c r="B46" s="731"/>
      <c r="C46" s="732"/>
      <c r="D46" s="732"/>
      <c r="E46" s="732"/>
      <c r="F46" s="732"/>
      <c r="G46" s="732"/>
      <c r="H46" s="732"/>
      <c r="I46" s="733"/>
    </row>
    <row r="47" spans="1:9" ht="43.5" customHeight="1" x14ac:dyDescent="0.3">
      <c r="A47" s="730" t="s">
        <v>316</v>
      </c>
      <c r="B47" s="731"/>
      <c r="C47" s="732"/>
      <c r="D47" s="732"/>
      <c r="E47" s="732"/>
      <c r="F47" s="732"/>
      <c r="G47" s="732"/>
      <c r="H47" s="732"/>
      <c r="I47" s="733"/>
    </row>
    <row r="48" spans="1:9" ht="20.25" x14ac:dyDescent="0.3">
      <c r="A48" s="724" t="s">
        <v>310</v>
      </c>
      <c r="B48" s="725"/>
      <c r="C48" s="726"/>
      <c r="D48" s="726"/>
      <c r="E48" s="726"/>
      <c r="F48" s="726"/>
      <c r="G48" s="726"/>
      <c r="H48" s="726"/>
      <c r="I48" s="727"/>
    </row>
    <row r="49" spans="1:9" ht="20.25" x14ac:dyDescent="0.3">
      <c r="A49" s="724" t="s">
        <v>151</v>
      </c>
      <c r="B49" s="725"/>
      <c r="C49" s="726"/>
      <c r="D49" s="726"/>
      <c r="E49" s="726"/>
      <c r="F49" s="726"/>
      <c r="G49" s="726"/>
      <c r="H49" s="726"/>
      <c r="I49" s="727"/>
    </row>
    <row r="50" spans="1:9" ht="20.25" x14ac:dyDescent="0.3">
      <c r="A50" s="724" t="s">
        <v>152</v>
      </c>
      <c r="B50" s="725"/>
      <c r="C50" s="726"/>
      <c r="D50" s="726"/>
      <c r="E50" s="726"/>
      <c r="F50" s="726"/>
      <c r="G50" s="726"/>
      <c r="H50" s="726"/>
      <c r="I50" s="727"/>
    </row>
    <row r="51" spans="1:9" ht="20.25" x14ac:dyDescent="0.3">
      <c r="A51" s="749"/>
      <c r="B51" s="750"/>
      <c r="C51" s="750"/>
      <c r="D51" s="750"/>
      <c r="E51" s="750"/>
      <c r="F51" s="750"/>
      <c r="G51" s="750"/>
      <c r="H51" s="750"/>
      <c r="I51" s="751"/>
    </row>
    <row r="52" spans="1:9" ht="20.25" x14ac:dyDescent="0.3">
      <c r="A52" s="721"/>
      <c r="B52" s="722"/>
      <c r="C52" s="722"/>
      <c r="D52" s="722"/>
      <c r="E52" s="722"/>
      <c r="F52" s="722"/>
      <c r="G52" s="722"/>
      <c r="H52" s="722"/>
      <c r="I52" s="723"/>
    </row>
    <row r="53" spans="1:9" ht="20.25" x14ac:dyDescent="0.3">
      <c r="A53" s="721"/>
      <c r="B53" s="722"/>
      <c r="C53" s="722"/>
      <c r="D53" s="722"/>
      <c r="E53" s="722"/>
      <c r="F53" s="722"/>
      <c r="G53" s="722"/>
      <c r="H53" s="722"/>
      <c r="I53" s="723"/>
    </row>
    <row r="54" spans="1:9" ht="20.25" x14ac:dyDescent="0.3">
      <c r="A54" s="721"/>
      <c r="B54" s="722"/>
      <c r="C54" s="722"/>
      <c r="D54" s="722"/>
      <c r="E54" s="722"/>
      <c r="F54" s="722"/>
      <c r="G54" s="722"/>
      <c r="H54" s="722"/>
      <c r="I54" s="723"/>
    </row>
    <row r="55" spans="1:9" ht="20.25" x14ac:dyDescent="0.3">
      <c r="A55" s="721"/>
      <c r="B55" s="722"/>
      <c r="C55" s="722"/>
      <c r="D55" s="722"/>
      <c r="E55" s="722"/>
      <c r="F55" s="722"/>
      <c r="G55" s="722"/>
      <c r="H55" s="722"/>
      <c r="I55" s="723"/>
    </row>
    <row r="56" spans="1:9" ht="21" thickBot="1" x14ac:dyDescent="0.35">
      <c r="A56" s="744"/>
      <c r="B56" s="745"/>
      <c r="C56" s="745"/>
      <c r="D56" s="745"/>
      <c r="E56" s="745"/>
      <c r="F56" s="745"/>
      <c r="G56" s="745"/>
      <c r="H56" s="745"/>
      <c r="I56" s="746"/>
    </row>
    <row r="57" spans="1:9" ht="20.25" x14ac:dyDescent="0.3">
      <c r="A57" s="747" t="s">
        <v>134</v>
      </c>
      <c r="B57" s="748"/>
      <c r="C57" s="748"/>
      <c r="D57" s="748"/>
      <c r="E57" s="748"/>
      <c r="F57" s="748"/>
      <c r="G57" s="748"/>
      <c r="H57" s="748"/>
      <c r="I57" s="748"/>
    </row>
    <row r="58" spans="1:9" ht="20.25" x14ac:dyDescent="0.3">
      <c r="A58" s="737" t="s">
        <v>321</v>
      </c>
      <c r="B58" s="737"/>
      <c r="C58" s="737"/>
      <c r="D58" s="737"/>
      <c r="E58" s="737"/>
      <c r="F58" s="737"/>
      <c r="G58" s="737"/>
      <c r="H58" s="737"/>
      <c r="I58" s="737"/>
    </row>
    <row r="59" spans="1:9" ht="20.25" x14ac:dyDescent="0.3">
      <c r="A59" s="737" t="s">
        <v>324</v>
      </c>
      <c r="B59" s="737"/>
      <c r="C59" s="737"/>
      <c r="D59" s="737"/>
      <c r="E59" s="737"/>
      <c r="F59" s="737"/>
      <c r="G59" s="737"/>
      <c r="H59" s="737"/>
      <c r="I59" s="737"/>
    </row>
    <row r="60" spans="1:9" ht="20.25" x14ac:dyDescent="0.3">
      <c r="A60" s="737"/>
      <c r="B60" s="737"/>
      <c r="C60" s="737"/>
      <c r="D60" s="737"/>
      <c r="E60" s="737"/>
      <c r="F60" s="737"/>
      <c r="G60" s="737"/>
      <c r="H60" s="737"/>
      <c r="I60" s="737"/>
    </row>
  </sheetData>
  <mergeCells count="48">
    <mergeCell ref="A60:I60"/>
    <mergeCell ref="A59:I59"/>
    <mergeCell ref="A40:C40"/>
    <mergeCell ref="F40:G40"/>
    <mergeCell ref="H40:I40"/>
    <mergeCell ref="A56:I56"/>
    <mergeCell ref="A57:I57"/>
    <mergeCell ref="A50:I50"/>
    <mergeCell ref="A58:I58"/>
    <mergeCell ref="A48:I48"/>
    <mergeCell ref="A51:I51"/>
    <mergeCell ref="A52:I52"/>
    <mergeCell ref="A53:I53"/>
    <mergeCell ref="A54:I54"/>
    <mergeCell ref="A41:C41"/>
    <mergeCell ref="F41:G41"/>
    <mergeCell ref="H41:I41"/>
    <mergeCell ref="A1:B5"/>
    <mergeCell ref="A6:C6"/>
    <mergeCell ref="D6:F6"/>
    <mergeCell ref="G6:H6"/>
    <mergeCell ref="A7:A8"/>
    <mergeCell ref="B7:B8"/>
    <mergeCell ref="E7:F7"/>
    <mergeCell ref="A55:I55"/>
    <mergeCell ref="A49:I49"/>
    <mergeCell ref="A43:C43"/>
    <mergeCell ref="F43:G43"/>
    <mergeCell ref="H43:I43"/>
    <mergeCell ref="A46:I46"/>
    <mergeCell ref="A47:I47"/>
    <mergeCell ref="A45:I45"/>
    <mergeCell ref="I3:I5"/>
    <mergeCell ref="D4:G4"/>
    <mergeCell ref="D5:G5"/>
    <mergeCell ref="G7:H7"/>
    <mergeCell ref="C1:G1"/>
    <mergeCell ref="C2:G2"/>
    <mergeCell ref="C3:G3"/>
    <mergeCell ref="H3:H5"/>
    <mergeCell ref="C7:C8"/>
    <mergeCell ref="D7:D8"/>
    <mergeCell ref="A42:C42"/>
    <mergeCell ref="F42:G42"/>
    <mergeCell ref="H42:I42"/>
    <mergeCell ref="A44:C44"/>
    <mergeCell ref="F44:G44"/>
    <mergeCell ref="H44:I44"/>
  </mergeCells>
  <pageMargins left="0.7" right="0.7" top="0.75" bottom="0.75" header="0.3" footer="0.3"/>
  <pageSetup scale="4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3D6F-BE29-48CC-854A-37A3FD93E133}">
  <dimension ref="A1:J57"/>
  <sheetViews>
    <sheetView workbookViewId="0">
      <selection activeCell="C14" sqref="C14"/>
    </sheetView>
  </sheetViews>
  <sheetFormatPr baseColWidth="10" defaultRowHeight="15" x14ac:dyDescent="0.25"/>
  <cols>
    <col min="1" max="1" width="13" bestFit="1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10" ht="15.75" x14ac:dyDescent="0.25">
      <c r="A1" s="761"/>
      <c r="B1" s="762"/>
      <c r="C1" s="690" t="s">
        <v>0</v>
      </c>
      <c r="D1" s="690"/>
      <c r="E1" s="690"/>
      <c r="F1" s="690"/>
      <c r="G1" s="690"/>
      <c r="H1" s="199" t="s">
        <v>1</v>
      </c>
      <c r="I1" s="200" t="s">
        <v>153</v>
      </c>
    </row>
    <row r="2" spans="1:10" ht="18" customHeight="1" thickBot="1" x14ac:dyDescent="0.3">
      <c r="A2" s="763"/>
      <c r="B2" s="764"/>
      <c r="C2" s="767" t="s">
        <v>2</v>
      </c>
      <c r="D2" s="768"/>
      <c r="E2" s="768"/>
      <c r="F2" s="768"/>
      <c r="G2" s="769"/>
      <c r="H2" s="201" t="s">
        <v>3</v>
      </c>
      <c r="I2" s="202" t="s">
        <v>154</v>
      </c>
    </row>
    <row r="3" spans="1:10" ht="31.5" customHeight="1" thickBot="1" x14ac:dyDescent="0.3">
      <c r="A3" s="763"/>
      <c r="B3" s="764"/>
      <c r="C3" s="770" t="s">
        <v>155</v>
      </c>
      <c r="D3" s="771"/>
      <c r="E3" s="771"/>
      <c r="F3" s="771"/>
      <c r="G3" s="772"/>
      <c r="H3" s="773" t="s">
        <v>4</v>
      </c>
      <c r="I3" s="752">
        <v>45619</v>
      </c>
    </row>
    <row r="4" spans="1:10" ht="18" customHeight="1" x14ac:dyDescent="0.25">
      <c r="A4" s="763"/>
      <c r="B4" s="764"/>
      <c r="C4" s="203" t="s">
        <v>5</v>
      </c>
      <c r="D4" s="755" t="s">
        <v>156</v>
      </c>
      <c r="E4" s="756"/>
      <c r="F4" s="756"/>
      <c r="G4" s="757"/>
      <c r="H4" s="774"/>
      <c r="I4" s="753"/>
    </row>
    <row r="5" spans="1:10" ht="15.75" thickBot="1" x14ac:dyDescent="0.3">
      <c r="A5" s="765"/>
      <c r="B5" s="766"/>
      <c r="C5" s="204" t="s">
        <v>6</v>
      </c>
      <c r="D5" s="758" t="s">
        <v>127</v>
      </c>
      <c r="E5" s="759"/>
      <c r="F5" s="759"/>
      <c r="G5" s="760"/>
      <c r="H5" s="775"/>
      <c r="I5" s="754"/>
    </row>
    <row r="6" spans="1:10" ht="18.75" thickBot="1" x14ac:dyDescent="0.3">
      <c r="A6" s="776" t="s">
        <v>7</v>
      </c>
      <c r="B6" s="776"/>
      <c r="C6" s="776"/>
      <c r="D6" s="777" t="s">
        <v>157</v>
      </c>
      <c r="E6" s="777"/>
      <c r="F6" s="777"/>
      <c r="G6" s="778" t="s">
        <v>8</v>
      </c>
      <c r="H6" s="778"/>
      <c r="I6" s="205" t="s">
        <v>157</v>
      </c>
    </row>
    <row r="7" spans="1:10" x14ac:dyDescent="0.25">
      <c r="A7" s="779" t="s">
        <v>9</v>
      </c>
      <c r="B7" s="781" t="s">
        <v>129</v>
      </c>
      <c r="C7" s="783" t="s">
        <v>10</v>
      </c>
      <c r="D7" s="783" t="s">
        <v>11</v>
      </c>
      <c r="E7" s="783" t="s">
        <v>12</v>
      </c>
      <c r="F7" s="783"/>
      <c r="G7" s="783" t="s">
        <v>13</v>
      </c>
      <c r="H7" s="783"/>
      <c r="I7" s="206" t="s">
        <v>14</v>
      </c>
    </row>
    <row r="8" spans="1:10" ht="27" thickBot="1" x14ac:dyDescent="0.3">
      <c r="A8" s="780"/>
      <c r="B8" s="782"/>
      <c r="C8" s="784"/>
      <c r="D8" s="784"/>
      <c r="E8" s="207" t="s">
        <v>15</v>
      </c>
      <c r="F8" s="208" t="s">
        <v>16</v>
      </c>
      <c r="G8" s="207" t="s">
        <v>15</v>
      </c>
      <c r="H8" s="208" t="s">
        <v>16</v>
      </c>
      <c r="I8" s="209" t="s">
        <v>17</v>
      </c>
    </row>
    <row r="9" spans="1:10" ht="18.399999999999999" customHeight="1" x14ac:dyDescent="0.25">
      <c r="A9" s="210"/>
      <c r="B9" s="211"/>
      <c r="C9" s="212" t="s">
        <v>130</v>
      </c>
      <c r="D9" s="213"/>
      <c r="E9" s="214"/>
      <c r="F9" s="215"/>
      <c r="G9" s="214"/>
      <c r="H9" s="215"/>
      <c r="I9" s="216"/>
    </row>
    <row r="10" spans="1:10" ht="18" customHeight="1" x14ac:dyDescent="0.25">
      <c r="A10" s="217">
        <v>907000264</v>
      </c>
      <c r="B10" s="187" t="s">
        <v>158</v>
      </c>
      <c r="C10" s="193" t="s">
        <v>159</v>
      </c>
      <c r="D10" s="218" t="s">
        <v>20</v>
      </c>
      <c r="E10" s="219">
        <v>39000</v>
      </c>
      <c r="F10" s="220" t="s">
        <v>19</v>
      </c>
      <c r="G10" s="221"/>
      <c r="H10" s="222"/>
      <c r="I10" s="216"/>
      <c r="J10">
        <f>+E10/D41</f>
        <v>120.03077712233906</v>
      </c>
    </row>
    <row r="11" spans="1:10" x14ac:dyDescent="0.25">
      <c r="A11" s="218"/>
      <c r="B11" s="218"/>
      <c r="C11" s="223"/>
      <c r="D11" s="218"/>
      <c r="E11" s="219"/>
      <c r="F11" s="220"/>
      <c r="G11" s="221"/>
      <c r="H11" s="222"/>
      <c r="I11" s="216"/>
    </row>
    <row r="12" spans="1:10" x14ac:dyDescent="0.25">
      <c r="A12" s="218"/>
      <c r="B12" s="218"/>
      <c r="C12" s="223"/>
      <c r="D12" s="218"/>
      <c r="E12" s="219"/>
      <c r="F12" s="220"/>
      <c r="G12" s="221"/>
      <c r="H12" s="222"/>
      <c r="I12" s="216"/>
    </row>
    <row r="13" spans="1:10" x14ac:dyDescent="0.25">
      <c r="A13" s="218"/>
      <c r="B13" s="218"/>
      <c r="C13" s="223"/>
      <c r="D13" s="218"/>
      <c r="E13" s="219"/>
      <c r="F13" s="220"/>
      <c r="G13" s="221"/>
      <c r="H13" s="222"/>
      <c r="I13" s="216"/>
    </row>
    <row r="14" spans="1:10" x14ac:dyDescent="0.25">
      <c r="A14" s="218"/>
      <c r="B14" s="218"/>
      <c r="C14" s="223"/>
      <c r="D14" s="218"/>
      <c r="E14" s="219"/>
      <c r="F14" s="220"/>
      <c r="G14" s="221"/>
      <c r="H14" s="222"/>
      <c r="I14" s="216"/>
    </row>
    <row r="15" spans="1:10" x14ac:dyDescent="0.25">
      <c r="A15" s="218"/>
      <c r="B15" s="218"/>
      <c r="C15" s="223"/>
      <c r="D15" s="218"/>
      <c r="E15" s="219"/>
      <c r="F15" s="220"/>
      <c r="G15" s="221"/>
      <c r="H15" s="222"/>
      <c r="I15" s="216"/>
    </row>
    <row r="16" spans="1:10" x14ac:dyDescent="0.25">
      <c r="A16" s="218"/>
      <c r="B16" s="218"/>
      <c r="C16" s="223"/>
      <c r="D16" s="218"/>
      <c r="E16" s="219"/>
      <c r="F16" s="220"/>
      <c r="G16" s="221"/>
      <c r="H16" s="222"/>
      <c r="I16" s="216"/>
    </row>
    <row r="17" spans="1:9" x14ac:dyDescent="0.25">
      <c r="A17" s="218"/>
      <c r="B17" s="218"/>
      <c r="C17" s="223"/>
      <c r="D17" s="218"/>
      <c r="E17" s="219"/>
      <c r="F17" s="220"/>
      <c r="G17" s="221"/>
      <c r="H17" s="222"/>
      <c r="I17" s="216"/>
    </row>
    <row r="18" spans="1:9" x14ac:dyDescent="0.25">
      <c r="A18" s="218"/>
      <c r="B18" s="218"/>
      <c r="C18" s="223"/>
      <c r="D18" s="218"/>
      <c r="E18" s="219"/>
      <c r="F18" s="220"/>
      <c r="G18" s="221"/>
      <c r="H18" s="222"/>
      <c r="I18" s="216"/>
    </row>
    <row r="19" spans="1:9" x14ac:dyDescent="0.25">
      <c r="A19" s="218"/>
      <c r="B19" s="218"/>
      <c r="C19" s="223"/>
      <c r="D19" s="218"/>
      <c r="E19" s="219"/>
      <c r="F19" s="220"/>
      <c r="G19" s="221"/>
      <c r="H19" s="222"/>
      <c r="I19" s="216"/>
    </row>
    <row r="20" spans="1:9" ht="15.75" x14ac:dyDescent="0.25">
      <c r="A20" s="224"/>
      <c r="B20" s="224"/>
      <c r="C20" s="193"/>
      <c r="D20" s="3"/>
      <c r="E20" s="3"/>
      <c r="F20" s="3"/>
      <c r="G20" s="225"/>
      <c r="H20" s="222"/>
      <c r="I20" s="216"/>
    </row>
    <row r="21" spans="1:9" ht="15.75" x14ac:dyDescent="0.25">
      <c r="A21" s="226"/>
      <c r="B21" s="227"/>
      <c r="C21" s="107" t="s">
        <v>131</v>
      </c>
      <c r="D21" s="3"/>
      <c r="E21" s="3"/>
      <c r="F21" s="3"/>
      <c r="G21" s="225"/>
      <c r="H21" s="222"/>
      <c r="I21" s="216"/>
    </row>
    <row r="22" spans="1:9" x14ac:dyDescent="0.25">
      <c r="A22" s="217"/>
      <c r="B22" s="187"/>
      <c r="C22" s="193"/>
      <c r="D22" s="228"/>
      <c r="E22" s="228"/>
      <c r="F22" s="228"/>
      <c r="G22" s="214"/>
      <c r="H22" s="222"/>
      <c r="I22" s="216"/>
    </row>
    <row r="23" spans="1:9" x14ac:dyDescent="0.25">
      <c r="A23" s="229"/>
      <c r="B23" s="224"/>
      <c r="C23" s="193"/>
      <c r="D23" s="228"/>
      <c r="E23" s="228"/>
      <c r="F23" s="228"/>
      <c r="G23" s="214"/>
      <c r="H23" s="222"/>
      <c r="I23" s="216"/>
    </row>
    <row r="24" spans="1:9" x14ac:dyDescent="0.25">
      <c r="A24" s="229"/>
      <c r="B24" s="224"/>
      <c r="C24" s="193"/>
      <c r="D24" s="228"/>
      <c r="E24" s="228"/>
      <c r="F24" s="228"/>
      <c r="G24" s="214"/>
      <c r="H24" s="222"/>
      <c r="I24" s="216"/>
    </row>
    <row r="25" spans="1:9" ht="15.75" x14ac:dyDescent="0.25">
      <c r="A25" s="226"/>
      <c r="B25" s="227"/>
      <c r="C25" s="107"/>
      <c r="D25" s="230"/>
      <c r="E25" s="231"/>
      <c r="F25" s="232"/>
      <c r="G25" s="214"/>
      <c r="H25" s="222"/>
      <c r="I25" s="216"/>
    </row>
    <row r="26" spans="1:9" x14ac:dyDescent="0.25">
      <c r="A26" s="233"/>
      <c r="B26" s="234"/>
      <c r="C26" s="235"/>
      <c r="D26" s="236"/>
      <c r="E26" s="237"/>
      <c r="F26" s="238"/>
      <c r="G26" s="214"/>
      <c r="H26" s="222"/>
      <c r="I26" s="216"/>
    </row>
    <row r="27" spans="1:9" x14ac:dyDescent="0.25">
      <c r="A27" s="187"/>
      <c r="B27" s="187"/>
      <c r="C27" s="193"/>
      <c r="D27" s="239"/>
      <c r="E27" s="240"/>
      <c r="F27" s="241"/>
      <c r="G27" s="214"/>
      <c r="H27" s="222"/>
      <c r="I27" s="216"/>
    </row>
    <row r="28" spans="1:9" ht="15.75" x14ac:dyDescent="0.25">
      <c r="A28" s="242"/>
      <c r="B28" s="243"/>
      <c r="C28" s="108" t="s">
        <v>133</v>
      </c>
      <c r="D28" s="244"/>
      <c r="E28" s="245"/>
      <c r="F28" s="215"/>
      <c r="G28" s="214"/>
      <c r="H28" s="222"/>
      <c r="I28" s="216"/>
    </row>
    <row r="29" spans="1:9" x14ac:dyDescent="0.25">
      <c r="A29" s="246">
        <v>1950928</v>
      </c>
      <c r="B29" s="247" t="s">
        <v>160</v>
      </c>
      <c r="C29" s="248" t="s">
        <v>161</v>
      </c>
      <c r="D29" s="249" t="s">
        <v>162</v>
      </c>
      <c r="E29" s="250">
        <v>15.35</v>
      </c>
      <c r="F29" s="251" t="s">
        <v>22</v>
      </c>
      <c r="G29" s="252"/>
      <c r="H29" s="222"/>
      <c r="I29" s="216"/>
    </row>
    <row r="30" spans="1:9" x14ac:dyDescent="0.25">
      <c r="A30" s="246">
        <v>702007</v>
      </c>
      <c r="B30" s="247" t="s">
        <v>56</v>
      </c>
      <c r="C30" s="248" t="s">
        <v>25</v>
      </c>
      <c r="D30" s="249" t="s">
        <v>163</v>
      </c>
      <c r="E30" s="250">
        <v>15</v>
      </c>
      <c r="F30" s="251" t="s">
        <v>22</v>
      </c>
      <c r="G30" s="252"/>
      <c r="H30" s="222"/>
      <c r="I30" s="216"/>
    </row>
    <row r="31" spans="1:9" x14ac:dyDescent="0.25">
      <c r="A31" s="253" t="s">
        <v>164</v>
      </c>
      <c r="B31" s="254"/>
      <c r="C31" s="255" t="s">
        <v>165</v>
      </c>
      <c r="D31" s="249" t="s">
        <v>20</v>
      </c>
      <c r="E31" s="250">
        <v>2410</v>
      </c>
      <c r="F31" s="251" t="s">
        <v>19</v>
      </c>
      <c r="G31" s="252"/>
      <c r="H31" s="222"/>
      <c r="I31" s="216"/>
    </row>
    <row r="32" spans="1:9" x14ac:dyDescent="0.25">
      <c r="A32" s="256">
        <v>702123</v>
      </c>
      <c r="B32" s="256" t="s">
        <v>57</v>
      </c>
      <c r="C32" s="257" t="s">
        <v>27</v>
      </c>
      <c r="D32" s="249" t="s">
        <v>166</v>
      </c>
      <c r="E32" s="250">
        <v>15</v>
      </c>
      <c r="F32" s="251" t="s">
        <v>22</v>
      </c>
      <c r="G32" s="214"/>
      <c r="H32" s="222"/>
      <c r="I32" s="216"/>
    </row>
    <row r="33" spans="1:9" x14ac:dyDescent="0.25">
      <c r="A33" s="256"/>
      <c r="B33" s="256"/>
      <c r="C33" s="257"/>
      <c r="D33" s="249"/>
      <c r="E33" s="250"/>
      <c r="F33" s="251"/>
      <c r="G33" s="214"/>
      <c r="H33" s="222"/>
      <c r="I33" s="216"/>
    </row>
    <row r="34" spans="1:9" x14ac:dyDescent="0.25">
      <c r="A34" s="256"/>
      <c r="B34" s="256"/>
      <c r="C34" s="257"/>
      <c r="D34" s="249"/>
      <c r="E34" s="250"/>
      <c r="F34" s="251"/>
      <c r="G34" s="258"/>
      <c r="H34" s="222"/>
      <c r="I34" s="216"/>
    </row>
    <row r="35" spans="1:9" ht="15.75" x14ac:dyDescent="0.25">
      <c r="A35" s="256"/>
      <c r="B35" s="256"/>
      <c r="C35" s="257"/>
      <c r="D35" s="3"/>
      <c r="E35" s="250"/>
      <c r="F35" s="251"/>
      <c r="G35" s="259"/>
      <c r="H35" s="222"/>
      <c r="I35" s="216"/>
    </row>
    <row r="36" spans="1:9" x14ac:dyDescent="0.25">
      <c r="A36" s="260"/>
      <c r="B36" s="260"/>
      <c r="C36" s="261"/>
      <c r="D36" s="249"/>
      <c r="E36" s="241"/>
      <c r="F36" s="241"/>
      <c r="G36" s="259"/>
      <c r="H36" s="215"/>
      <c r="I36" s="216"/>
    </row>
    <row r="37" spans="1:9" ht="15.75" thickBot="1" x14ac:dyDescent="0.3">
      <c r="A37" s="262"/>
      <c r="B37" s="263"/>
      <c r="C37" s="264" t="s">
        <v>132</v>
      </c>
      <c r="D37" s="264"/>
      <c r="E37" s="265"/>
      <c r="F37" s="266"/>
      <c r="G37" s="264"/>
      <c r="H37" s="264"/>
      <c r="I37" s="267"/>
    </row>
    <row r="38" spans="1:9" ht="15.75" thickBot="1" x14ac:dyDescent="0.3">
      <c r="A38" s="268"/>
      <c r="B38" s="269"/>
      <c r="C38" s="270" t="s">
        <v>132</v>
      </c>
      <c r="D38" s="271" t="s">
        <v>15</v>
      </c>
      <c r="E38" s="272" t="s">
        <v>33</v>
      </c>
      <c r="F38" s="273"/>
      <c r="G38" s="270"/>
      <c r="H38" s="270"/>
      <c r="I38" s="274"/>
    </row>
    <row r="39" spans="1:9" x14ac:dyDescent="0.25">
      <c r="A39" s="785" t="s">
        <v>34</v>
      </c>
      <c r="B39" s="786"/>
      <c r="C39" s="787"/>
      <c r="D39" s="275">
        <v>38990</v>
      </c>
      <c r="E39" s="276" t="s">
        <v>19</v>
      </c>
      <c r="F39" s="788" t="s">
        <v>35</v>
      </c>
      <c r="G39" s="788"/>
      <c r="H39" s="789"/>
      <c r="I39" s="790"/>
    </row>
    <row r="40" spans="1:9" x14ac:dyDescent="0.25">
      <c r="A40" s="791" t="s">
        <v>36</v>
      </c>
      <c r="B40" s="792"/>
      <c r="C40" s="793"/>
      <c r="D40" s="225">
        <v>60</v>
      </c>
      <c r="E40" s="225" t="s">
        <v>37</v>
      </c>
      <c r="F40" s="794" t="s">
        <v>38</v>
      </c>
      <c r="G40" s="794"/>
      <c r="H40" s="795"/>
      <c r="I40" s="796"/>
    </row>
    <row r="41" spans="1:9" x14ac:dyDescent="0.25">
      <c r="A41" s="791" t="s">
        <v>39</v>
      </c>
      <c r="B41" s="792"/>
      <c r="C41" s="793"/>
      <c r="D41" s="240">
        <f>D39/D42</f>
        <v>324.91666666666669</v>
      </c>
      <c r="E41" s="225" t="s">
        <v>22</v>
      </c>
      <c r="F41" s="794" t="s">
        <v>40</v>
      </c>
      <c r="G41" s="794"/>
      <c r="H41" s="795"/>
      <c r="I41" s="796"/>
    </row>
    <row r="42" spans="1:9" x14ac:dyDescent="0.25">
      <c r="A42" s="791" t="s">
        <v>41</v>
      </c>
      <c r="B42" s="792"/>
      <c r="C42" s="793"/>
      <c r="D42" s="240">
        <v>120</v>
      </c>
      <c r="E42" s="225" t="s">
        <v>19</v>
      </c>
      <c r="F42" s="797" t="s">
        <v>42</v>
      </c>
      <c r="G42" s="798"/>
      <c r="H42" s="799"/>
      <c r="I42" s="800"/>
    </row>
    <row r="43" spans="1:9" ht="15.75" thickBot="1" x14ac:dyDescent="0.3">
      <c r="A43" s="805" t="s">
        <v>43</v>
      </c>
      <c r="B43" s="806"/>
      <c r="C43" s="807"/>
      <c r="D43" s="277">
        <v>100</v>
      </c>
      <c r="E43" s="278" t="s">
        <v>19</v>
      </c>
      <c r="F43" s="808"/>
      <c r="G43" s="808"/>
      <c r="H43" s="795"/>
      <c r="I43" s="796"/>
    </row>
    <row r="44" spans="1:9" ht="15.75" thickBot="1" x14ac:dyDescent="0.3">
      <c r="A44" s="809" t="s">
        <v>44</v>
      </c>
      <c r="B44" s="810"/>
      <c r="C44" s="810"/>
      <c r="D44" s="810"/>
      <c r="E44" s="810"/>
      <c r="F44" s="810"/>
      <c r="G44" s="810"/>
      <c r="H44" s="810"/>
      <c r="I44" s="811"/>
    </row>
    <row r="45" spans="1:9" ht="14.65" customHeight="1" x14ac:dyDescent="0.25">
      <c r="A45" s="801" t="s">
        <v>167</v>
      </c>
      <c r="B45" s="802"/>
      <c r="C45" s="803"/>
      <c r="D45" s="803"/>
      <c r="E45" s="803"/>
      <c r="F45" s="803"/>
      <c r="G45" s="803"/>
      <c r="H45" s="803"/>
      <c r="I45" s="804"/>
    </row>
    <row r="46" spans="1:9" ht="15.4" customHeight="1" x14ac:dyDescent="0.25">
      <c r="A46" s="801" t="s">
        <v>168</v>
      </c>
      <c r="B46" s="802"/>
      <c r="C46" s="803"/>
      <c r="D46" s="803"/>
      <c r="E46" s="803"/>
      <c r="F46" s="803"/>
      <c r="G46" s="803"/>
      <c r="H46" s="803"/>
      <c r="I46" s="804"/>
    </row>
    <row r="47" spans="1:9" ht="14.65" customHeight="1" x14ac:dyDescent="0.25">
      <c r="A47" s="812" t="s">
        <v>169</v>
      </c>
      <c r="B47" s="813"/>
      <c r="C47" s="813"/>
      <c r="D47" s="813"/>
      <c r="E47" s="813"/>
      <c r="F47" s="813"/>
      <c r="G47" s="813"/>
      <c r="H47" s="813"/>
      <c r="I47" s="814"/>
    </row>
    <row r="48" spans="1:9" x14ac:dyDescent="0.25">
      <c r="A48" s="812"/>
      <c r="B48" s="813"/>
      <c r="C48" s="813"/>
      <c r="D48" s="813"/>
      <c r="E48" s="813"/>
      <c r="F48" s="813"/>
      <c r="G48" s="813"/>
      <c r="H48" s="813"/>
      <c r="I48" s="814"/>
    </row>
    <row r="49" spans="1:9" x14ac:dyDescent="0.25">
      <c r="A49" s="815"/>
      <c r="B49" s="816"/>
      <c r="C49" s="816"/>
      <c r="D49" s="816"/>
      <c r="E49" s="816"/>
      <c r="F49" s="816"/>
      <c r="G49" s="816"/>
      <c r="H49" s="816"/>
      <c r="I49" s="817"/>
    </row>
    <row r="50" spans="1:9" ht="14.65" customHeight="1" x14ac:dyDescent="0.25">
      <c r="A50" s="801"/>
      <c r="B50" s="802"/>
      <c r="C50" s="803"/>
      <c r="D50" s="803"/>
      <c r="E50" s="803"/>
      <c r="F50" s="803"/>
      <c r="G50" s="803"/>
      <c r="H50" s="803"/>
      <c r="I50" s="804"/>
    </row>
    <row r="51" spans="1:9" ht="14.65" customHeight="1" x14ac:dyDescent="0.25">
      <c r="A51" s="818"/>
      <c r="B51" s="819"/>
      <c r="C51" s="820"/>
      <c r="D51" s="820"/>
      <c r="E51" s="820"/>
      <c r="F51" s="820"/>
      <c r="G51" s="820"/>
      <c r="H51" s="820"/>
      <c r="I51" s="821"/>
    </row>
    <row r="52" spans="1:9" ht="18" customHeight="1" x14ac:dyDescent="0.25">
      <c r="A52" s="801"/>
      <c r="B52" s="802"/>
      <c r="C52" s="803"/>
      <c r="D52" s="803"/>
      <c r="E52" s="803"/>
      <c r="F52" s="803"/>
      <c r="G52" s="803"/>
      <c r="H52" s="803"/>
      <c r="I52" s="804"/>
    </row>
    <row r="53" spans="1:9" ht="14.65" customHeight="1" thickBot="1" x14ac:dyDescent="0.3">
      <c r="A53" s="822"/>
      <c r="B53" s="823"/>
      <c r="C53" s="824"/>
      <c r="D53" s="824"/>
      <c r="E53" s="824"/>
      <c r="F53" s="824"/>
      <c r="G53" s="824"/>
      <c r="H53" s="824"/>
      <c r="I53" s="825"/>
    </row>
    <row r="54" spans="1:9" ht="14.65" customHeight="1" thickBot="1" x14ac:dyDescent="0.3">
      <c r="A54" s="826"/>
      <c r="B54" s="827"/>
      <c r="C54" s="827"/>
      <c r="D54" s="827"/>
      <c r="E54" s="827"/>
      <c r="F54" s="827"/>
      <c r="G54" s="827"/>
      <c r="H54" s="827"/>
      <c r="I54" s="828"/>
    </row>
    <row r="55" spans="1:9" ht="14.65" customHeight="1" x14ac:dyDescent="0.25">
      <c r="A55" s="705" t="s">
        <v>134</v>
      </c>
      <c r="B55" s="706"/>
      <c r="C55" s="706"/>
      <c r="D55" s="706"/>
      <c r="E55" s="706"/>
      <c r="F55" s="706"/>
      <c r="G55" s="706"/>
      <c r="H55" s="706"/>
      <c r="I55" s="706"/>
    </row>
    <row r="56" spans="1:9" x14ac:dyDescent="0.25">
      <c r="A56" s="758" t="s">
        <v>170</v>
      </c>
      <c r="B56" s="759"/>
      <c r="C56" s="759"/>
      <c r="D56" s="759"/>
      <c r="E56" s="759"/>
      <c r="F56" s="759"/>
      <c r="G56" s="759"/>
      <c r="H56" s="759"/>
      <c r="I56" s="760"/>
    </row>
    <row r="57" spans="1:9" x14ac:dyDescent="0.25">
      <c r="A57" s="703"/>
      <c r="B57" s="704"/>
      <c r="C57" s="704"/>
      <c r="D57" s="704"/>
      <c r="E57" s="704"/>
      <c r="F57" s="704"/>
      <c r="G57" s="704"/>
      <c r="H57" s="704"/>
      <c r="I57" s="704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A879-4986-4DD9-B1E9-15E4E4F5252E}">
  <dimension ref="A1:I57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761"/>
      <c r="B1" s="762"/>
      <c r="C1" s="690" t="s">
        <v>0</v>
      </c>
      <c r="D1" s="690"/>
      <c r="E1" s="690"/>
      <c r="F1" s="690"/>
      <c r="G1" s="690"/>
      <c r="H1" s="199" t="s">
        <v>1</v>
      </c>
      <c r="I1" s="200" t="s">
        <v>171</v>
      </c>
    </row>
    <row r="2" spans="1:9" ht="18" customHeight="1" thickBot="1" x14ac:dyDescent="0.3">
      <c r="A2" s="763"/>
      <c r="B2" s="764"/>
      <c r="C2" s="767" t="s">
        <v>2</v>
      </c>
      <c r="D2" s="768"/>
      <c r="E2" s="768"/>
      <c r="F2" s="768"/>
      <c r="G2" s="769"/>
      <c r="H2" s="201" t="s">
        <v>3</v>
      </c>
      <c r="I2" s="202" t="s">
        <v>172</v>
      </c>
    </row>
    <row r="3" spans="1:9" ht="31.5" customHeight="1" thickBot="1" x14ac:dyDescent="0.3">
      <c r="A3" s="763"/>
      <c r="B3" s="764"/>
      <c r="C3" s="829" t="s">
        <v>173</v>
      </c>
      <c r="D3" s="830"/>
      <c r="E3" s="830"/>
      <c r="F3" s="830"/>
      <c r="G3" s="831"/>
      <c r="H3" s="773" t="s">
        <v>4</v>
      </c>
      <c r="I3" s="752">
        <v>45619</v>
      </c>
    </row>
    <row r="4" spans="1:9" ht="18" customHeight="1" x14ac:dyDescent="0.25">
      <c r="A4" s="763"/>
      <c r="B4" s="764"/>
      <c r="C4" s="203" t="s">
        <v>5</v>
      </c>
      <c r="D4" s="755" t="s">
        <v>156</v>
      </c>
      <c r="E4" s="756"/>
      <c r="F4" s="756"/>
      <c r="G4" s="757"/>
      <c r="H4" s="774"/>
      <c r="I4" s="753"/>
    </row>
    <row r="5" spans="1:9" ht="15.75" thickBot="1" x14ac:dyDescent="0.3">
      <c r="A5" s="765"/>
      <c r="B5" s="766"/>
      <c r="C5" s="204" t="s">
        <v>6</v>
      </c>
      <c r="D5" s="758" t="s">
        <v>127</v>
      </c>
      <c r="E5" s="759"/>
      <c r="F5" s="759"/>
      <c r="G5" s="760"/>
      <c r="H5" s="775"/>
      <c r="I5" s="754"/>
    </row>
    <row r="6" spans="1:9" ht="18.75" thickBot="1" x14ac:dyDescent="0.3">
      <c r="A6" s="776" t="s">
        <v>7</v>
      </c>
      <c r="B6" s="776"/>
      <c r="C6" s="776"/>
      <c r="D6" s="777" t="s">
        <v>157</v>
      </c>
      <c r="E6" s="777"/>
      <c r="F6" s="777"/>
      <c r="G6" s="778" t="s">
        <v>8</v>
      </c>
      <c r="H6" s="778"/>
      <c r="I6" s="205" t="s">
        <v>157</v>
      </c>
    </row>
    <row r="7" spans="1:9" x14ac:dyDescent="0.25">
      <c r="A7" s="779" t="s">
        <v>9</v>
      </c>
      <c r="B7" s="781" t="s">
        <v>129</v>
      </c>
      <c r="C7" s="783" t="s">
        <v>10</v>
      </c>
      <c r="D7" s="783" t="s">
        <v>11</v>
      </c>
      <c r="E7" s="783" t="s">
        <v>12</v>
      </c>
      <c r="F7" s="783"/>
      <c r="G7" s="783" t="s">
        <v>13</v>
      </c>
      <c r="H7" s="783"/>
      <c r="I7" s="206" t="s">
        <v>14</v>
      </c>
    </row>
    <row r="8" spans="1:9" ht="27" thickBot="1" x14ac:dyDescent="0.3">
      <c r="A8" s="780"/>
      <c r="B8" s="782"/>
      <c r="C8" s="784"/>
      <c r="D8" s="784"/>
      <c r="E8" s="207" t="s">
        <v>15</v>
      </c>
      <c r="F8" s="208" t="s">
        <v>16</v>
      </c>
      <c r="G8" s="207" t="s">
        <v>15</v>
      </c>
      <c r="H8" s="208" t="s">
        <v>16</v>
      </c>
      <c r="I8" s="209" t="s">
        <v>17</v>
      </c>
    </row>
    <row r="9" spans="1:9" ht="18.600000000000001" customHeight="1" x14ac:dyDescent="0.25">
      <c r="A9" s="210"/>
      <c r="B9" s="211"/>
      <c r="C9" s="212" t="s">
        <v>130</v>
      </c>
      <c r="D9" s="213"/>
      <c r="E9" s="214"/>
      <c r="F9" s="215"/>
      <c r="G9" s="214"/>
      <c r="H9" s="215"/>
      <c r="I9" s="216"/>
    </row>
    <row r="10" spans="1:9" ht="18" customHeight="1" x14ac:dyDescent="0.25">
      <c r="A10" s="217">
        <v>906000130</v>
      </c>
      <c r="B10" s="187" t="s">
        <v>174</v>
      </c>
      <c r="C10" s="193" t="s">
        <v>175</v>
      </c>
      <c r="D10" s="218" t="s">
        <v>20</v>
      </c>
      <c r="E10" s="219">
        <v>21971</v>
      </c>
      <c r="F10" s="220" t="s">
        <v>19</v>
      </c>
      <c r="G10" s="221"/>
      <c r="H10" s="222"/>
      <c r="I10" s="216"/>
    </row>
    <row r="11" spans="1:9" x14ac:dyDescent="0.25">
      <c r="A11" s="218">
        <v>1210482</v>
      </c>
      <c r="B11" s="218" t="s">
        <v>176</v>
      </c>
      <c r="C11" s="223" t="s">
        <v>177</v>
      </c>
      <c r="D11" s="218" t="s">
        <v>178</v>
      </c>
      <c r="E11" s="219">
        <v>6687</v>
      </c>
      <c r="F11" s="220" t="s">
        <v>19</v>
      </c>
      <c r="G11" s="221"/>
      <c r="H11" s="222"/>
      <c r="I11" s="216"/>
    </row>
    <row r="12" spans="1:9" x14ac:dyDescent="0.25">
      <c r="A12" s="218">
        <v>10100050</v>
      </c>
      <c r="B12" s="218" t="s">
        <v>179</v>
      </c>
      <c r="C12" s="223" t="s">
        <v>180</v>
      </c>
      <c r="D12" s="218" t="s">
        <v>181</v>
      </c>
      <c r="E12" s="219">
        <v>5732</v>
      </c>
      <c r="F12" s="220" t="s">
        <v>19</v>
      </c>
      <c r="G12" s="221"/>
      <c r="H12" s="222"/>
      <c r="I12" s="216"/>
    </row>
    <row r="13" spans="1:9" x14ac:dyDescent="0.25">
      <c r="A13" s="218" t="s">
        <v>182</v>
      </c>
      <c r="B13" s="218"/>
      <c r="C13" s="223" t="s">
        <v>183</v>
      </c>
      <c r="D13" s="218" t="s">
        <v>20</v>
      </c>
      <c r="E13" s="219">
        <v>5350</v>
      </c>
      <c r="F13" s="220" t="s">
        <v>19</v>
      </c>
      <c r="G13" s="221"/>
      <c r="H13" s="222"/>
      <c r="I13" s="216"/>
    </row>
    <row r="14" spans="1:9" x14ac:dyDescent="0.25">
      <c r="A14" s="218"/>
      <c r="B14" s="218"/>
      <c r="C14" s="223"/>
      <c r="D14" s="218"/>
      <c r="E14" s="219"/>
      <c r="F14" s="220"/>
      <c r="G14" s="221"/>
      <c r="H14" s="222"/>
      <c r="I14" s="216"/>
    </row>
    <row r="15" spans="1:9" x14ac:dyDescent="0.25">
      <c r="A15" s="218"/>
      <c r="B15" s="218"/>
      <c r="C15" s="223"/>
      <c r="D15" s="218"/>
      <c r="E15" s="219"/>
      <c r="F15" s="220"/>
      <c r="G15" s="221"/>
      <c r="H15" s="222"/>
      <c r="I15" s="216"/>
    </row>
    <row r="16" spans="1:9" x14ac:dyDescent="0.25">
      <c r="A16" s="218"/>
      <c r="B16" s="218"/>
      <c r="C16" s="223"/>
      <c r="D16" s="218"/>
      <c r="E16" s="219"/>
      <c r="F16" s="220"/>
      <c r="G16" s="221"/>
      <c r="H16" s="222"/>
      <c r="I16" s="216"/>
    </row>
    <row r="17" spans="1:9" x14ac:dyDescent="0.25">
      <c r="A17" s="218"/>
      <c r="B17" s="218"/>
      <c r="C17" s="223"/>
      <c r="D17" s="218"/>
      <c r="E17" s="219"/>
      <c r="F17" s="220"/>
      <c r="G17" s="221"/>
      <c r="H17" s="222"/>
      <c r="I17" s="216"/>
    </row>
    <row r="18" spans="1:9" x14ac:dyDescent="0.25">
      <c r="A18" s="218"/>
      <c r="B18" s="218"/>
      <c r="C18" s="223"/>
      <c r="D18" s="218"/>
      <c r="E18" s="219"/>
      <c r="F18" s="220"/>
      <c r="G18" s="221"/>
      <c r="H18" s="222"/>
      <c r="I18" s="216"/>
    </row>
    <row r="19" spans="1:9" x14ac:dyDescent="0.25">
      <c r="A19" s="218"/>
      <c r="B19" s="218"/>
      <c r="C19" s="223"/>
      <c r="D19" s="218"/>
      <c r="E19" s="219"/>
      <c r="F19" s="220"/>
      <c r="G19" s="221"/>
      <c r="H19" s="222"/>
      <c r="I19" s="216"/>
    </row>
    <row r="20" spans="1:9" ht="15.75" x14ac:dyDescent="0.25">
      <c r="A20" s="224"/>
      <c r="B20" s="224"/>
      <c r="C20" s="193"/>
      <c r="D20" s="3"/>
      <c r="E20" s="3"/>
      <c r="F20" s="3"/>
      <c r="G20" s="225"/>
      <c r="H20" s="222"/>
      <c r="I20" s="216"/>
    </row>
    <row r="21" spans="1:9" ht="15.75" x14ac:dyDescent="0.25">
      <c r="A21" s="226"/>
      <c r="B21" s="227"/>
      <c r="C21" s="107" t="s">
        <v>131</v>
      </c>
      <c r="D21" s="3"/>
      <c r="E21" s="3"/>
      <c r="F21" s="3"/>
      <c r="G21" s="225"/>
      <c r="H21" s="222"/>
      <c r="I21" s="216"/>
    </row>
    <row r="22" spans="1:9" x14ac:dyDescent="0.25">
      <c r="A22" s="217"/>
      <c r="B22" s="187"/>
      <c r="C22" s="193"/>
      <c r="D22" s="228"/>
      <c r="E22" s="228"/>
      <c r="F22" s="228"/>
      <c r="G22" s="214"/>
      <c r="H22" s="222"/>
      <c r="I22" s="216"/>
    </row>
    <row r="23" spans="1:9" x14ac:dyDescent="0.25">
      <c r="A23" s="229"/>
      <c r="B23" s="224"/>
      <c r="C23" s="193"/>
      <c r="D23" s="228"/>
      <c r="E23" s="228"/>
      <c r="F23" s="228"/>
      <c r="G23" s="214"/>
      <c r="H23" s="222"/>
      <c r="I23" s="216"/>
    </row>
    <row r="24" spans="1:9" x14ac:dyDescent="0.25">
      <c r="A24" s="229"/>
      <c r="B24" s="224"/>
      <c r="C24" s="193"/>
      <c r="D24" s="228"/>
      <c r="E24" s="228"/>
      <c r="F24" s="228"/>
      <c r="G24" s="214"/>
      <c r="H24" s="222"/>
      <c r="I24" s="216"/>
    </row>
    <row r="25" spans="1:9" ht="15.75" x14ac:dyDescent="0.25">
      <c r="A25" s="226"/>
      <c r="B25" s="227"/>
      <c r="C25" s="107"/>
      <c r="D25" s="230"/>
      <c r="E25" s="231"/>
      <c r="F25" s="232"/>
      <c r="G25" s="214"/>
      <c r="H25" s="222"/>
      <c r="I25" s="216"/>
    </row>
    <row r="26" spans="1:9" x14ac:dyDescent="0.25">
      <c r="A26" s="233"/>
      <c r="B26" s="234"/>
      <c r="C26" s="235"/>
      <c r="D26" s="236"/>
      <c r="E26" s="237"/>
      <c r="F26" s="238"/>
      <c r="G26" s="214"/>
      <c r="H26" s="222"/>
      <c r="I26" s="216"/>
    </row>
    <row r="27" spans="1:9" x14ac:dyDescent="0.25">
      <c r="A27" s="187"/>
      <c r="B27" s="187"/>
      <c r="C27" s="193"/>
      <c r="D27" s="239"/>
      <c r="E27" s="240"/>
      <c r="F27" s="241"/>
      <c r="G27" s="214"/>
      <c r="H27" s="222"/>
      <c r="I27" s="216"/>
    </row>
    <row r="28" spans="1:9" ht="15.75" x14ac:dyDescent="0.25">
      <c r="A28" s="242"/>
      <c r="B28" s="243"/>
      <c r="C28" s="108" t="s">
        <v>133</v>
      </c>
      <c r="D28" s="244"/>
      <c r="E28" s="245"/>
      <c r="F28" s="215"/>
      <c r="G28" s="214"/>
      <c r="H28" s="222"/>
      <c r="I28" s="216"/>
    </row>
    <row r="29" spans="1:9" x14ac:dyDescent="0.25">
      <c r="A29" s="246"/>
      <c r="B29" s="247"/>
      <c r="C29" s="248"/>
      <c r="D29" s="249"/>
      <c r="E29" s="250"/>
      <c r="F29" s="251"/>
      <c r="G29" s="252"/>
      <c r="H29" s="222"/>
      <c r="I29" s="216"/>
    </row>
    <row r="30" spans="1:9" x14ac:dyDescent="0.25">
      <c r="A30" s="246"/>
      <c r="B30" s="247"/>
      <c r="C30" s="248"/>
      <c r="D30" s="249"/>
      <c r="E30" s="250"/>
      <c r="F30" s="251"/>
      <c r="G30" s="252"/>
      <c r="H30" s="222"/>
      <c r="I30" s="216"/>
    </row>
    <row r="31" spans="1:9" x14ac:dyDescent="0.25">
      <c r="A31" s="253"/>
      <c r="B31" s="254"/>
      <c r="C31" s="255"/>
      <c r="D31" s="249"/>
      <c r="E31" s="250"/>
      <c r="F31" s="251"/>
      <c r="G31" s="252"/>
      <c r="H31" s="222"/>
      <c r="I31" s="216"/>
    </row>
    <row r="32" spans="1:9" x14ac:dyDescent="0.25">
      <c r="A32" s="256"/>
      <c r="B32" s="256"/>
      <c r="C32" s="257"/>
      <c r="D32" s="249"/>
      <c r="E32" s="250"/>
      <c r="F32" s="251"/>
      <c r="G32" s="214"/>
      <c r="H32" s="222"/>
      <c r="I32" s="216"/>
    </row>
    <row r="33" spans="1:9" x14ac:dyDescent="0.25">
      <c r="A33" s="256"/>
      <c r="B33" s="256"/>
      <c r="C33" s="257"/>
      <c r="D33" s="249"/>
      <c r="E33" s="250"/>
      <c r="F33" s="251"/>
      <c r="G33" s="214"/>
      <c r="H33" s="222"/>
      <c r="I33" s="216"/>
    </row>
    <row r="34" spans="1:9" x14ac:dyDescent="0.25">
      <c r="A34" s="256"/>
      <c r="B34" s="256"/>
      <c r="C34" s="257"/>
      <c r="D34" s="249"/>
      <c r="E34" s="250"/>
      <c r="F34" s="251"/>
      <c r="G34" s="258"/>
      <c r="H34" s="222"/>
      <c r="I34" s="216"/>
    </row>
    <row r="35" spans="1:9" ht="15.75" x14ac:dyDescent="0.25">
      <c r="A35" s="256"/>
      <c r="B35" s="256"/>
      <c r="C35" s="257"/>
      <c r="D35" s="3"/>
      <c r="E35" s="250"/>
      <c r="F35" s="251"/>
      <c r="G35" s="259"/>
      <c r="H35" s="222"/>
      <c r="I35" s="216"/>
    </row>
    <row r="36" spans="1:9" x14ac:dyDescent="0.25">
      <c r="A36" s="260"/>
      <c r="B36" s="260"/>
      <c r="C36" s="261"/>
      <c r="D36" s="249"/>
      <c r="E36" s="241"/>
      <c r="F36" s="241"/>
      <c r="G36" s="259"/>
      <c r="H36" s="215"/>
      <c r="I36" s="216"/>
    </row>
    <row r="37" spans="1:9" ht="15.75" thickBot="1" x14ac:dyDescent="0.3">
      <c r="A37" s="262"/>
      <c r="B37" s="263"/>
      <c r="C37" s="264" t="s">
        <v>132</v>
      </c>
      <c r="D37" s="264"/>
      <c r="E37" s="265"/>
      <c r="F37" s="266"/>
      <c r="G37" s="264"/>
      <c r="H37" s="264"/>
      <c r="I37" s="267"/>
    </row>
    <row r="38" spans="1:9" ht="15.75" thickBot="1" x14ac:dyDescent="0.3">
      <c r="A38" s="268"/>
      <c r="B38" s="269"/>
      <c r="C38" s="270" t="s">
        <v>132</v>
      </c>
      <c r="D38" s="271" t="s">
        <v>15</v>
      </c>
      <c r="E38" s="272" t="s">
        <v>33</v>
      </c>
      <c r="F38" s="273"/>
      <c r="G38" s="270"/>
      <c r="H38" s="270"/>
      <c r="I38" s="274"/>
    </row>
    <row r="39" spans="1:9" x14ac:dyDescent="0.25">
      <c r="A39" s="785" t="s">
        <v>34</v>
      </c>
      <c r="B39" s="786"/>
      <c r="C39" s="787"/>
      <c r="D39" s="275">
        <v>39000</v>
      </c>
      <c r="E39" s="276" t="s">
        <v>19</v>
      </c>
      <c r="F39" s="788" t="s">
        <v>35</v>
      </c>
      <c r="G39" s="788"/>
      <c r="H39" s="789"/>
      <c r="I39" s="790"/>
    </row>
    <row r="40" spans="1:9" x14ac:dyDescent="0.25">
      <c r="A40" s="791" t="s">
        <v>36</v>
      </c>
      <c r="B40" s="792"/>
      <c r="C40" s="793"/>
      <c r="D40" s="225">
        <v>10</v>
      </c>
      <c r="E40" s="225" t="s">
        <v>37</v>
      </c>
      <c r="F40" s="794" t="s">
        <v>38</v>
      </c>
      <c r="G40" s="794"/>
      <c r="H40" s="795"/>
      <c r="I40" s="796"/>
    </row>
    <row r="41" spans="1:9" x14ac:dyDescent="0.25">
      <c r="A41" s="791" t="s">
        <v>39</v>
      </c>
      <c r="B41" s="792"/>
      <c r="C41" s="793"/>
      <c r="D41" s="240">
        <v>1</v>
      </c>
      <c r="E41" s="225" t="s">
        <v>184</v>
      </c>
      <c r="F41" s="794" t="s">
        <v>40</v>
      </c>
      <c r="G41" s="794"/>
      <c r="H41" s="795"/>
      <c r="I41" s="796"/>
    </row>
    <row r="42" spans="1:9" x14ac:dyDescent="0.25">
      <c r="A42" s="791" t="s">
        <v>41</v>
      </c>
      <c r="B42" s="792"/>
      <c r="C42" s="793"/>
      <c r="D42" s="240">
        <v>39000</v>
      </c>
      <c r="E42" s="225" t="s">
        <v>19</v>
      </c>
      <c r="F42" s="797" t="s">
        <v>42</v>
      </c>
      <c r="G42" s="798"/>
      <c r="H42" s="799"/>
      <c r="I42" s="800"/>
    </row>
    <row r="43" spans="1:9" ht="15.75" thickBot="1" x14ac:dyDescent="0.3">
      <c r="A43" s="805" t="s">
        <v>43</v>
      </c>
      <c r="B43" s="806"/>
      <c r="C43" s="807"/>
      <c r="D43" s="277">
        <v>740</v>
      </c>
      <c r="E43" s="278" t="s">
        <v>19</v>
      </c>
      <c r="F43" s="808"/>
      <c r="G43" s="808"/>
      <c r="H43" s="795"/>
      <c r="I43" s="796"/>
    </row>
    <row r="44" spans="1:9" ht="15.75" thickBot="1" x14ac:dyDescent="0.3">
      <c r="A44" s="809" t="s">
        <v>44</v>
      </c>
      <c r="B44" s="810"/>
      <c r="C44" s="810"/>
      <c r="D44" s="810"/>
      <c r="E44" s="810"/>
      <c r="F44" s="810"/>
      <c r="G44" s="810"/>
      <c r="H44" s="810"/>
      <c r="I44" s="811"/>
    </row>
    <row r="45" spans="1:9" ht="14.45" customHeight="1" x14ac:dyDescent="0.25">
      <c r="A45" s="815" t="s">
        <v>185</v>
      </c>
      <c r="B45" s="816"/>
      <c r="C45" s="816"/>
      <c r="D45" s="816"/>
      <c r="E45" s="816"/>
      <c r="F45" s="816"/>
      <c r="G45" s="816"/>
      <c r="H45" s="816"/>
      <c r="I45" s="817"/>
    </row>
    <row r="46" spans="1:9" ht="15.6" customHeight="1" x14ac:dyDescent="0.25">
      <c r="A46" s="815" t="s">
        <v>186</v>
      </c>
      <c r="B46" s="816"/>
      <c r="C46" s="816"/>
      <c r="D46" s="816"/>
      <c r="E46" s="816"/>
      <c r="F46" s="816"/>
      <c r="G46" s="816"/>
      <c r="H46" s="816"/>
      <c r="I46" s="817"/>
    </row>
    <row r="47" spans="1:9" ht="14.45" customHeight="1" x14ac:dyDescent="0.25">
      <c r="A47" s="815" t="s">
        <v>187</v>
      </c>
      <c r="B47" s="816"/>
      <c r="C47" s="816"/>
      <c r="D47" s="816"/>
      <c r="E47" s="816"/>
      <c r="F47" s="816"/>
      <c r="G47" s="816"/>
      <c r="H47" s="816"/>
      <c r="I47" s="817"/>
    </row>
    <row r="48" spans="1:9" x14ac:dyDescent="0.25">
      <c r="A48" s="815" t="s">
        <v>188</v>
      </c>
      <c r="B48" s="816"/>
      <c r="C48" s="816"/>
      <c r="D48" s="816"/>
      <c r="E48" s="816"/>
      <c r="F48" s="816"/>
      <c r="G48" s="816"/>
      <c r="H48" s="816"/>
      <c r="I48" s="817"/>
    </row>
    <row r="49" spans="1:9" x14ac:dyDescent="0.25">
      <c r="A49" s="815"/>
      <c r="B49" s="816"/>
      <c r="C49" s="816"/>
      <c r="D49" s="816"/>
      <c r="E49" s="816"/>
      <c r="F49" s="816"/>
      <c r="G49" s="816"/>
      <c r="H49" s="816"/>
      <c r="I49" s="817"/>
    </row>
    <row r="50" spans="1:9" ht="14.45" customHeight="1" x14ac:dyDescent="0.25">
      <c r="A50" s="801"/>
      <c r="B50" s="802"/>
      <c r="C50" s="803"/>
      <c r="D50" s="803"/>
      <c r="E50" s="803"/>
      <c r="F50" s="803"/>
      <c r="G50" s="803"/>
      <c r="H50" s="803"/>
      <c r="I50" s="804"/>
    </row>
    <row r="51" spans="1:9" ht="14.45" customHeight="1" x14ac:dyDescent="0.25">
      <c r="A51" s="818"/>
      <c r="B51" s="819"/>
      <c r="C51" s="820"/>
      <c r="D51" s="820"/>
      <c r="E51" s="820"/>
      <c r="F51" s="820"/>
      <c r="G51" s="820"/>
      <c r="H51" s="820"/>
      <c r="I51" s="821"/>
    </row>
    <row r="52" spans="1:9" ht="18" customHeight="1" x14ac:dyDescent="0.25">
      <c r="A52" s="801"/>
      <c r="B52" s="802"/>
      <c r="C52" s="803"/>
      <c r="D52" s="803"/>
      <c r="E52" s="803"/>
      <c r="F52" s="803"/>
      <c r="G52" s="803"/>
      <c r="H52" s="803"/>
      <c r="I52" s="804"/>
    </row>
    <row r="53" spans="1:9" ht="14.45" customHeight="1" thickBot="1" x14ac:dyDescent="0.3">
      <c r="A53" s="822"/>
      <c r="B53" s="823"/>
      <c r="C53" s="824"/>
      <c r="D53" s="824"/>
      <c r="E53" s="824"/>
      <c r="F53" s="824"/>
      <c r="G53" s="824"/>
      <c r="H53" s="824"/>
      <c r="I53" s="825"/>
    </row>
    <row r="54" spans="1:9" ht="14.45" customHeight="1" thickBot="1" x14ac:dyDescent="0.3">
      <c r="A54" s="826"/>
      <c r="B54" s="827"/>
      <c r="C54" s="827"/>
      <c r="D54" s="827"/>
      <c r="E54" s="827"/>
      <c r="F54" s="827"/>
      <c r="G54" s="827"/>
      <c r="H54" s="827"/>
      <c r="I54" s="828"/>
    </row>
    <row r="55" spans="1:9" ht="14.45" customHeight="1" x14ac:dyDescent="0.25">
      <c r="A55" s="705" t="s">
        <v>134</v>
      </c>
      <c r="B55" s="706"/>
      <c r="C55" s="706"/>
      <c r="D55" s="706"/>
      <c r="E55" s="706"/>
      <c r="F55" s="706"/>
      <c r="G55" s="706"/>
      <c r="H55" s="706"/>
      <c r="I55" s="706"/>
    </row>
    <row r="56" spans="1:9" x14ac:dyDescent="0.25">
      <c r="A56" s="703"/>
      <c r="B56" s="704"/>
      <c r="C56" s="704"/>
      <c r="D56" s="704"/>
      <c r="E56" s="704"/>
      <c r="F56" s="704"/>
      <c r="G56" s="704"/>
      <c r="H56" s="704"/>
      <c r="I56" s="704"/>
    </row>
    <row r="57" spans="1:9" x14ac:dyDescent="0.25">
      <c r="A57" s="703"/>
      <c r="B57" s="704"/>
      <c r="C57" s="704"/>
      <c r="D57" s="704"/>
      <c r="E57" s="704"/>
      <c r="F57" s="704"/>
      <c r="G57" s="704"/>
      <c r="H57" s="704"/>
      <c r="I57" s="704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F2BA-CFAF-41B8-AD63-E331A97FBF64}">
  <dimension ref="A1:I57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761"/>
      <c r="B1" s="762"/>
      <c r="C1" s="690" t="s">
        <v>0</v>
      </c>
      <c r="D1" s="690"/>
      <c r="E1" s="690"/>
      <c r="F1" s="690"/>
      <c r="G1" s="690"/>
      <c r="H1" s="199" t="s">
        <v>1</v>
      </c>
      <c r="I1" s="200" t="s">
        <v>189</v>
      </c>
    </row>
    <row r="2" spans="1:9" ht="18" customHeight="1" thickBot="1" x14ac:dyDescent="0.3">
      <c r="A2" s="763"/>
      <c r="B2" s="764"/>
      <c r="C2" s="767" t="s">
        <v>2</v>
      </c>
      <c r="D2" s="768"/>
      <c r="E2" s="768"/>
      <c r="F2" s="768"/>
      <c r="G2" s="769"/>
      <c r="H2" s="201" t="s">
        <v>3</v>
      </c>
      <c r="I2" s="202" t="s">
        <v>172</v>
      </c>
    </row>
    <row r="3" spans="1:9" ht="31.5" customHeight="1" thickBot="1" x14ac:dyDescent="0.3">
      <c r="A3" s="763"/>
      <c r="B3" s="764"/>
      <c r="C3" s="829" t="s">
        <v>190</v>
      </c>
      <c r="D3" s="830"/>
      <c r="E3" s="830"/>
      <c r="F3" s="830"/>
      <c r="G3" s="831"/>
      <c r="H3" s="773" t="s">
        <v>4</v>
      </c>
      <c r="I3" s="752">
        <v>45663</v>
      </c>
    </row>
    <row r="4" spans="1:9" ht="18" customHeight="1" x14ac:dyDescent="0.25">
      <c r="A4" s="763"/>
      <c r="B4" s="764"/>
      <c r="C4" s="203" t="s">
        <v>5</v>
      </c>
      <c r="D4" s="755" t="s">
        <v>156</v>
      </c>
      <c r="E4" s="756"/>
      <c r="F4" s="756"/>
      <c r="G4" s="757"/>
      <c r="H4" s="774"/>
      <c r="I4" s="753"/>
    </row>
    <row r="5" spans="1:9" ht="15.75" thickBot="1" x14ac:dyDescent="0.3">
      <c r="A5" s="765"/>
      <c r="B5" s="766"/>
      <c r="C5" s="204" t="s">
        <v>6</v>
      </c>
      <c r="D5" s="758" t="s">
        <v>127</v>
      </c>
      <c r="E5" s="759"/>
      <c r="F5" s="759"/>
      <c r="G5" s="760"/>
      <c r="H5" s="775"/>
      <c r="I5" s="754"/>
    </row>
    <row r="6" spans="1:9" ht="18.75" thickBot="1" x14ac:dyDescent="0.3">
      <c r="A6" s="776" t="s">
        <v>7</v>
      </c>
      <c r="B6" s="776"/>
      <c r="C6" s="776"/>
      <c r="D6" s="777" t="s">
        <v>191</v>
      </c>
      <c r="E6" s="777"/>
      <c r="F6" s="777"/>
      <c r="G6" s="778" t="s">
        <v>8</v>
      </c>
      <c r="H6" s="778"/>
      <c r="I6" s="205" t="s">
        <v>191</v>
      </c>
    </row>
    <row r="7" spans="1:9" x14ac:dyDescent="0.25">
      <c r="A7" s="779" t="s">
        <v>9</v>
      </c>
      <c r="B7" s="781" t="s">
        <v>129</v>
      </c>
      <c r="C7" s="783" t="s">
        <v>10</v>
      </c>
      <c r="D7" s="783" t="s">
        <v>11</v>
      </c>
      <c r="E7" s="783" t="s">
        <v>12</v>
      </c>
      <c r="F7" s="783"/>
      <c r="G7" s="783" t="s">
        <v>13</v>
      </c>
      <c r="H7" s="783"/>
      <c r="I7" s="206" t="s">
        <v>14</v>
      </c>
    </row>
    <row r="8" spans="1:9" ht="27" thickBot="1" x14ac:dyDescent="0.3">
      <c r="A8" s="780"/>
      <c r="B8" s="782"/>
      <c r="C8" s="784"/>
      <c r="D8" s="784"/>
      <c r="E8" s="207" t="s">
        <v>15</v>
      </c>
      <c r="F8" s="208" t="s">
        <v>16</v>
      </c>
      <c r="G8" s="207" t="s">
        <v>15</v>
      </c>
      <c r="H8" s="208" t="s">
        <v>16</v>
      </c>
      <c r="I8" s="209" t="s">
        <v>17</v>
      </c>
    </row>
    <row r="9" spans="1:9" ht="18.399999999999999" customHeight="1" x14ac:dyDescent="0.25">
      <c r="A9" s="210"/>
      <c r="B9" s="211"/>
      <c r="C9" s="212" t="s">
        <v>130</v>
      </c>
      <c r="D9" s="213"/>
      <c r="E9" s="214"/>
      <c r="F9" s="215"/>
      <c r="G9" s="214"/>
      <c r="H9" s="215"/>
      <c r="I9" s="216"/>
    </row>
    <row r="10" spans="1:9" ht="18" customHeight="1" x14ac:dyDescent="0.25">
      <c r="A10" s="279">
        <v>510301</v>
      </c>
      <c r="B10" s="280" t="s">
        <v>192</v>
      </c>
      <c r="C10" s="281" t="s">
        <v>193</v>
      </c>
      <c r="D10" s="282" t="s">
        <v>194</v>
      </c>
      <c r="E10" s="283">
        <v>10028</v>
      </c>
      <c r="F10" s="284" t="s">
        <v>19</v>
      </c>
      <c r="G10" s="221"/>
      <c r="H10" s="222"/>
      <c r="I10" s="216"/>
    </row>
    <row r="11" spans="1:9" x14ac:dyDescent="0.25">
      <c r="A11" s="279">
        <v>11200072</v>
      </c>
      <c r="B11" s="187" t="s">
        <v>195</v>
      </c>
      <c r="C11" s="281" t="s">
        <v>196</v>
      </c>
      <c r="D11" s="282" t="s">
        <v>197</v>
      </c>
      <c r="E11" s="283">
        <v>3800</v>
      </c>
      <c r="F11" s="284" t="s">
        <v>19</v>
      </c>
      <c r="G11" s="221"/>
      <c r="H11" s="222"/>
      <c r="I11" s="216"/>
    </row>
    <row r="12" spans="1:9" x14ac:dyDescent="0.25">
      <c r="A12" s="285">
        <v>11200071</v>
      </c>
      <c r="B12" s="286" t="s">
        <v>198</v>
      </c>
      <c r="C12" s="287" t="s">
        <v>199</v>
      </c>
      <c r="D12" s="288" t="s">
        <v>197</v>
      </c>
      <c r="E12" s="283">
        <v>2012</v>
      </c>
      <c r="F12" s="284" t="s">
        <v>19</v>
      </c>
      <c r="G12" s="225"/>
      <c r="H12" s="222"/>
      <c r="I12" s="216"/>
    </row>
    <row r="13" spans="1:9" ht="15.75" x14ac:dyDescent="0.25">
      <c r="A13" s="187">
        <v>10100046</v>
      </c>
      <c r="B13" s="187" t="s">
        <v>200</v>
      </c>
      <c r="C13" s="287" t="s">
        <v>201</v>
      </c>
      <c r="D13" s="3" t="s">
        <v>202</v>
      </c>
      <c r="E13" s="3">
        <v>134</v>
      </c>
      <c r="F13" s="3" t="s">
        <v>19</v>
      </c>
      <c r="G13" s="225"/>
      <c r="H13" s="222"/>
      <c r="I13" s="216"/>
    </row>
    <row r="14" spans="1:9" ht="15.75" x14ac:dyDescent="0.25">
      <c r="A14" s="289">
        <v>1212410</v>
      </c>
      <c r="B14" s="289" t="s">
        <v>203</v>
      </c>
      <c r="C14" s="287" t="s">
        <v>204</v>
      </c>
      <c r="D14" s="3" t="s">
        <v>205</v>
      </c>
      <c r="E14" s="3">
        <v>80</v>
      </c>
      <c r="F14" s="3" t="s">
        <v>19</v>
      </c>
      <c r="G14" s="225"/>
      <c r="H14" s="222"/>
      <c r="I14" s="216"/>
    </row>
    <row r="15" spans="1:9" ht="15.75" x14ac:dyDescent="0.25">
      <c r="A15" s="289" t="s">
        <v>206</v>
      </c>
      <c r="B15" s="289" t="s">
        <v>207</v>
      </c>
      <c r="C15" s="287" t="s">
        <v>208</v>
      </c>
      <c r="D15" s="3" t="s">
        <v>209</v>
      </c>
      <c r="E15" s="3">
        <v>573</v>
      </c>
      <c r="F15" s="3" t="s">
        <v>19</v>
      </c>
      <c r="G15" s="225"/>
      <c r="H15" s="222"/>
      <c r="I15" s="216"/>
    </row>
    <row r="16" spans="1:9" ht="15.75" x14ac:dyDescent="0.25">
      <c r="A16" s="289">
        <v>1160001</v>
      </c>
      <c r="B16" s="289" t="s">
        <v>210</v>
      </c>
      <c r="C16" s="287" t="s">
        <v>211</v>
      </c>
      <c r="D16" s="3" t="s">
        <v>212</v>
      </c>
      <c r="E16" s="3">
        <v>92</v>
      </c>
      <c r="F16" s="3" t="s">
        <v>19</v>
      </c>
      <c r="G16" s="225"/>
      <c r="H16" s="222"/>
      <c r="I16" s="216"/>
    </row>
    <row r="17" spans="1:9" ht="15.75" x14ac:dyDescent="0.25">
      <c r="A17" s="187">
        <v>11200073</v>
      </c>
      <c r="B17" s="187" t="s">
        <v>213</v>
      </c>
      <c r="C17" s="287" t="s">
        <v>214</v>
      </c>
      <c r="D17" s="3" t="s">
        <v>215</v>
      </c>
      <c r="E17" s="3">
        <v>5278</v>
      </c>
      <c r="F17" s="3" t="s">
        <v>19</v>
      </c>
      <c r="G17" s="225"/>
      <c r="H17" s="222"/>
      <c r="I17" s="216"/>
    </row>
    <row r="18" spans="1:9" ht="15.75" x14ac:dyDescent="0.25">
      <c r="A18" s="187"/>
      <c r="B18" s="187" t="s">
        <v>216</v>
      </c>
      <c r="C18" s="287" t="s">
        <v>217</v>
      </c>
      <c r="D18" s="3" t="s">
        <v>218</v>
      </c>
      <c r="E18" s="3">
        <v>250</v>
      </c>
      <c r="F18" s="3" t="s">
        <v>19</v>
      </c>
      <c r="G18" s="225"/>
      <c r="H18" s="222"/>
      <c r="I18" s="216"/>
    </row>
    <row r="19" spans="1:9" ht="15.75" x14ac:dyDescent="0.25">
      <c r="A19" s="226"/>
      <c r="B19" s="227"/>
      <c r="C19" s="107" t="s">
        <v>131</v>
      </c>
      <c r="D19" s="3"/>
      <c r="E19" s="3"/>
      <c r="F19" s="3"/>
      <c r="G19" s="225"/>
      <c r="H19" s="222"/>
      <c r="I19" s="216"/>
    </row>
    <row r="20" spans="1:9" x14ac:dyDescent="0.25">
      <c r="A20" s="217"/>
      <c r="B20" s="187"/>
      <c r="C20" s="193"/>
      <c r="D20" s="228"/>
      <c r="E20" s="228"/>
      <c r="F20" s="228"/>
      <c r="G20" s="214"/>
      <c r="H20" s="222"/>
      <c r="I20" s="216"/>
    </row>
    <row r="21" spans="1:9" ht="15.75" x14ac:dyDescent="0.25">
      <c r="A21" s="226"/>
      <c r="B21" s="227"/>
      <c r="C21" s="107"/>
      <c r="D21" s="230"/>
      <c r="E21" s="231"/>
      <c r="F21" s="232"/>
      <c r="G21" s="214"/>
      <c r="H21" s="222"/>
      <c r="I21" s="216"/>
    </row>
    <row r="22" spans="1:9" x14ac:dyDescent="0.25">
      <c r="A22" s="233"/>
      <c r="B22" s="234"/>
      <c r="C22" s="235"/>
      <c r="D22" s="236"/>
      <c r="E22" s="237"/>
      <c r="F22" s="238"/>
      <c r="G22" s="214"/>
      <c r="H22" s="222"/>
      <c r="I22" s="216"/>
    </row>
    <row r="23" spans="1:9" x14ac:dyDescent="0.25">
      <c r="A23" s="233"/>
      <c r="B23" s="234"/>
      <c r="C23" s="235"/>
      <c r="D23" s="236"/>
      <c r="E23" s="290"/>
      <c r="F23" s="238"/>
      <c r="G23" s="214"/>
      <c r="H23" s="215"/>
      <c r="I23" s="216"/>
    </row>
    <row r="24" spans="1:9" x14ac:dyDescent="0.25">
      <c r="A24" s="233"/>
      <c r="B24" s="234"/>
      <c r="C24" s="235"/>
      <c r="D24" s="236"/>
      <c r="E24" s="237"/>
      <c r="F24" s="238"/>
      <c r="G24" s="214"/>
      <c r="H24" s="215"/>
      <c r="I24" s="216"/>
    </row>
    <row r="25" spans="1:9" x14ac:dyDescent="0.25">
      <c r="A25" s="233"/>
      <c r="B25" s="234"/>
      <c r="C25" s="235"/>
      <c r="D25" s="236"/>
      <c r="E25" s="291"/>
      <c r="F25" s="292"/>
      <c r="G25" s="214"/>
      <c r="H25" s="215"/>
      <c r="I25" s="216"/>
    </row>
    <row r="26" spans="1:9" x14ac:dyDescent="0.25">
      <c r="A26" s="187"/>
      <c r="B26" s="187"/>
      <c r="C26" s="193"/>
      <c r="D26" s="239"/>
      <c r="E26" s="240"/>
      <c r="F26" s="241"/>
      <c r="G26" s="214"/>
      <c r="H26" s="215"/>
      <c r="I26" s="216"/>
    </row>
    <row r="27" spans="1:9" ht="15.75" x14ac:dyDescent="0.25">
      <c r="A27" s="242"/>
      <c r="B27" s="243"/>
      <c r="C27" s="108" t="s">
        <v>133</v>
      </c>
      <c r="D27" s="244"/>
      <c r="E27" s="245"/>
      <c r="F27" s="215"/>
      <c r="G27" s="214"/>
      <c r="I27" s="216"/>
    </row>
    <row r="28" spans="1:9" x14ac:dyDescent="0.25">
      <c r="A28" s="246">
        <v>1950708</v>
      </c>
      <c r="B28" s="247" t="s">
        <v>219</v>
      </c>
      <c r="C28" s="248" t="s">
        <v>220</v>
      </c>
      <c r="D28" s="249"/>
      <c r="E28" s="250">
        <v>2</v>
      </c>
      <c r="F28" s="251" t="s">
        <v>22</v>
      </c>
      <c r="G28" s="252"/>
      <c r="H28" s="215"/>
      <c r="I28" s="216"/>
    </row>
    <row r="29" spans="1:9" x14ac:dyDescent="0.25">
      <c r="A29" s="246">
        <v>60100010</v>
      </c>
      <c r="B29" s="247" t="s">
        <v>221</v>
      </c>
      <c r="C29" s="248" t="s">
        <v>222</v>
      </c>
      <c r="D29" s="249"/>
      <c r="E29" s="250">
        <v>1</v>
      </c>
      <c r="F29" s="251" t="s">
        <v>22</v>
      </c>
      <c r="G29" s="252"/>
      <c r="H29" s="215"/>
      <c r="I29" s="216"/>
    </row>
    <row r="30" spans="1:9" x14ac:dyDescent="0.25">
      <c r="A30" s="253">
        <v>702123</v>
      </c>
      <c r="B30" s="254" t="s">
        <v>57</v>
      </c>
      <c r="C30" s="255" t="s">
        <v>27</v>
      </c>
      <c r="D30" s="249"/>
      <c r="E30" s="250">
        <v>2</v>
      </c>
      <c r="F30" s="251" t="s">
        <v>22</v>
      </c>
      <c r="G30" s="252"/>
      <c r="H30" s="215"/>
      <c r="I30" s="216"/>
    </row>
    <row r="31" spans="1:9" x14ac:dyDescent="0.25">
      <c r="A31" s="256">
        <v>1950705</v>
      </c>
      <c r="B31" s="256" t="s">
        <v>223</v>
      </c>
      <c r="C31" s="257" t="s">
        <v>224</v>
      </c>
      <c r="D31" s="249"/>
      <c r="E31" s="250">
        <v>1</v>
      </c>
      <c r="F31" s="251" t="s">
        <v>22</v>
      </c>
      <c r="G31" s="214"/>
      <c r="H31" s="215"/>
      <c r="I31" s="216"/>
    </row>
    <row r="32" spans="1:9" x14ac:dyDescent="0.25">
      <c r="A32" s="256"/>
      <c r="B32" s="256"/>
      <c r="C32" s="257"/>
      <c r="D32" s="249"/>
      <c r="E32" s="250"/>
      <c r="F32" s="251"/>
      <c r="G32" s="214"/>
      <c r="H32" s="215"/>
      <c r="I32" s="216"/>
    </row>
    <row r="33" spans="1:9" x14ac:dyDescent="0.25">
      <c r="A33" s="256"/>
      <c r="B33" s="256"/>
      <c r="C33" s="257"/>
      <c r="D33" s="249"/>
      <c r="E33" s="250"/>
      <c r="F33" s="251"/>
      <c r="G33" s="258"/>
      <c r="H33" s="215"/>
      <c r="I33" s="216"/>
    </row>
    <row r="34" spans="1:9" ht="15.75" x14ac:dyDescent="0.25">
      <c r="A34" s="256"/>
      <c r="B34" s="256"/>
      <c r="C34" s="257"/>
      <c r="D34" s="3"/>
      <c r="E34" s="250"/>
      <c r="F34" s="251"/>
      <c r="G34" s="259"/>
      <c r="H34" s="215"/>
      <c r="I34" s="216"/>
    </row>
    <row r="35" spans="1:9" x14ac:dyDescent="0.25">
      <c r="A35" s="260"/>
      <c r="B35" s="260"/>
      <c r="C35" s="261"/>
      <c r="D35" s="249"/>
      <c r="E35" s="241"/>
      <c r="F35" s="241"/>
      <c r="G35" s="259"/>
      <c r="H35" s="215"/>
      <c r="I35" s="216"/>
    </row>
    <row r="36" spans="1:9" x14ac:dyDescent="0.25">
      <c r="A36" s="293"/>
      <c r="B36" s="187"/>
      <c r="C36" s="294"/>
      <c r="D36" s="295"/>
      <c r="E36" s="240"/>
      <c r="F36" s="225"/>
      <c r="G36" s="259"/>
      <c r="H36" s="215"/>
      <c r="I36" s="216"/>
    </row>
    <row r="37" spans="1:9" ht="15.75" x14ac:dyDescent="0.25">
      <c r="A37" s="256"/>
      <c r="B37" s="256"/>
      <c r="C37" s="257"/>
      <c r="D37" s="249"/>
      <c r="E37" s="240"/>
      <c r="F37" s="225"/>
      <c r="G37" s="147"/>
      <c r="H37" s="215"/>
      <c r="I37" s="216"/>
    </row>
    <row r="38" spans="1:9" ht="15.75" x14ac:dyDescent="0.25">
      <c r="A38" s="226"/>
      <c r="B38" s="227"/>
      <c r="C38" s="296"/>
      <c r="D38" s="230"/>
      <c r="E38" s="230"/>
      <c r="F38" s="232"/>
      <c r="G38" s="109"/>
      <c r="H38" s="109"/>
      <c r="I38" s="216"/>
    </row>
    <row r="39" spans="1:9" ht="15.75" thickBot="1" x14ac:dyDescent="0.3">
      <c r="A39" s="262"/>
      <c r="B39" s="263"/>
      <c r="C39" s="264"/>
      <c r="D39" s="264"/>
      <c r="E39" s="265"/>
      <c r="F39" s="266"/>
      <c r="G39" s="264"/>
      <c r="H39" s="264"/>
      <c r="I39" s="267"/>
    </row>
    <row r="40" spans="1:9" ht="15.75" thickBot="1" x14ac:dyDescent="0.3">
      <c r="A40" s="268"/>
      <c r="B40" s="269"/>
      <c r="C40" s="270"/>
      <c r="D40" s="271" t="s">
        <v>15</v>
      </c>
      <c r="E40" s="272" t="s">
        <v>33</v>
      </c>
      <c r="F40" s="273"/>
      <c r="G40" s="270"/>
      <c r="H40" s="270"/>
      <c r="I40" s="274"/>
    </row>
    <row r="41" spans="1:9" x14ac:dyDescent="0.25">
      <c r="A41" s="785" t="s">
        <v>34</v>
      </c>
      <c r="B41" s="786"/>
      <c r="C41" s="787"/>
      <c r="D41" s="297">
        <v>21997</v>
      </c>
      <c r="E41" s="276" t="s">
        <v>19</v>
      </c>
      <c r="F41" s="788" t="s">
        <v>35</v>
      </c>
      <c r="G41" s="788"/>
      <c r="H41" s="789"/>
      <c r="I41" s="790"/>
    </row>
    <row r="42" spans="1:9" x14ac:dyDescent="0.25">
      <c r="A42" s="791" t="s">
        <v>36</v>
      </c>
      <c r="B42" s="792"/>
      <c r="C42" s="793"/>
      <c r="D42" s="240">
        <v>3</v>
      </c>
      <c r="E42" s="225" t="s">
        <v>37</v>
      </c>
      <c r="F42" s="794" t="s">
        <v>38</v>
      </c>
      <c r="G42" s="794"/>
      <c r="H42" s="795"/>
      <c r="I42" s="796"/>
    </row>
    <row r="43" spans="1:9" x14ac:dyDescent="0.25">
      <c r="A43" s="791" t="s">
        <v>39</v>
      </c>
      <c r="B43" s="792"/>
      <c r="C43" s="793"/>
      <c r="D43" s="240">
        <v>1</v>
      </c>
      <c r="E43" s="225" t="s">
        <v>22</v>
      </c>
      <c r="F43" s="794" t="s">
        <v>40</v>
      </c>
      <c r="G43" s="794"/>
      <c r="H43" s="795"/>
      <c r="I43" s="796"/>
    </row>
    <row r="44" spans="1:9" x14ac:dyDescent="0.25">
      <c r="A44" s="791" t="s">
        <v>41</v>
      </c>
      <c r="B44" s="792"/>
      <c r="C44" s="793"/>
      <c r="D44" s="240">
        <v>21997</v>
      </c>
      <c r="E44" s="225" t="s">
        <v>19</v>
      </c>
      <c r="F44" s="797" t="s">
        <v>42</v>
      </c>
      <c r="G44" s="798"/>
      <c r="H44" s="799"/>
      <c r="I44" s="800"/>
    </row>
    <row r="45" spans="1:9" ht="15.75" thickBot="1" x14ac:dyDescent="0.3">
      <c r="A45" s="805" t="s">
        <v>43</v>
      </c>
      <c r="B45" s="806"/>
      <c r="C45" s="807"/>
      <c r="D45" s="277">
        <v>0</v>
      </c>
      <c r="E45" s="278" t="s">
        <v>19</v>
      </c>
      <c r="F45" s="808"/>
      <c r="G45" s="808"/>
      <c r="H45" s="795"/>
      <c r="I45" s="796"/>
    </row>
    <row r="46" spans="1:9" ht="15.75" thickBot="1" x14ac:dyDescent="0.3">
      <c r="A46" s="809" t="s">
        <v>44</v>
      </c>
      <c r="B46" s="810"/>
      <c r="C46" s="810"/>
      <c r="D46" s="810"/>
      <c r="E46" s="810"/>
      <c r="F46" s="810"/>
      <c r="G46" s="810"/>
      <c r="H46" s="810"/>
      <c r="I46" s="811"/>
    </row>
    <row r="47" spans="1:9" ht="14.65" customHeight="1" x14ac:dyDescent="0.25">
      <c r="A47" s="815" t="s">
        <v>225</v>
      </c>
      <c r="B47" s="816"/>
      <c r="C47" s="816"/>
      <c r="D47" s="816"/>
      <c r="E47" s="816"/>
      <c r="F47" s="816"/>
      <c r="G47" s="816"/>
      <c r="H47" s="816"/>
      <c r="I47" s="817"/>
    </row>
    <row r="48" spans="1:9" ht="15.4" customHeight="1" x14ac:dyDescent="0.25">
      <c r="A48" s="815" t="s">
        <v>226</v>
      </c>
      <c r="B48" s="816"/>
      <c r="C48" s="816"/>
      <c r="D48" s="816"/>
      <c r="E48" s="816"/>
      <c r="F48" s="816"/>
      <c r="G48" s="816"/>
      <c r="H48" s="816"/>
      <c r="I48" s="817"/>
    </row>
    <row r="49" spans="1:9" ht="14.65" customHeight="1" x14ac:dyDescent="0.25">
      <c r="A49" s="815" t="s">
        <v>227</v>
      </c>
      <c r="B49" s="816"/>
      <c r="C49" s="816"/>
      <c r="D49" s="816"/>
      <c r="E49" s="816"/>
      <c r="F49" s="816"/>
      <c r="G49" s="816"/>
      <c r="H49" s="816"/>
      <c r="I49" s="817"/>
    </row>
    <row r="50" spans="1:9" ht="14.65" customHeight="1" x14ac:dyDescent="0.25">
      <c r="A50" s="815"/>
      <c r="B50" s="816"/>
      <c r="C50" s="816"/>
      <c r="D50" s="816"/>
      <c r="E50" s="816"/>
      <c r="F50" s="816"/>
      <c r="G50" s="816"/>
      <c r="H50" s="816"/>
      <c r="I50" s="817"/>
    </row>
    <row r="51" spans="1:9" ht="14.65" customHeight="1" x14ac:dyDescent="0.25">
      <c r="A51" s="815"/>
      <c r="B51" s="816"/>
      <c r="C51" s="816"/>
      <c r="D51" s="816"/>
      <c r="E51" s="816"/>
      <c r="F51" s="816"/>
      <c r="G51" s="816"/>
      <c r="H51" s="816"/>
      <c r="I51" s="817"/>
    </row>
    <row r="52" spans="1:9" ht="18" customHeight="1" thickBot="1" x14ac:dyDescent="0.3">
      <c r="A52" s="832"/>
      <c r="B52" s="833"/>
      <c r="C52" s="834"/>
      <c r="D52" s="834"/>
      <c r="E52" s="834"/>
      <c r="F52" s="834"/>
      <c r="G52" s="834"/>
      <c r="H52" s="834"/>
      <c r="I52" s="835"/>
    </row>
    <row r="53" spans="1:9" ht="15.75" x14ac:dyDescent="0.25">
      <c r="A53" s="836"/>
      <c r="B53" s="837"/>
      <c r="C53" s="837"/>
      <c r="D53" s="837"/>
      <c r="E53" s="837"/>
      <c r="F53" s="837"/>
      <c r="G53" s="837"/>
      <c r="H53" s="837"/>
      <c r="I53" s="838"/>
    </row>
    <row r="54" spans="1:9" ht="15.75" thickBot="1" x14ac:dyDescent="0.3">
      <c r="A54" s="839"/>
      <c r="B54" s="840"/>
      <c r="C54" s="840"/>
      <c r="D54" s="840"/>
      <c r="E54" s="840"/>
      <c r="F54" s="840"/>
      <c r="G54" s="840"/>
      <c r="H54" s="840"/>
      <c r="I54" s="841"/>
    </row>
    <row r="55" spans="1:9" x14ac:dyDescent="0.25">
      <c r="A55" s="705" t="s">
        <v>134</v>
      </c>
      <c r="B55" s="706"/>
      <c r="C55" s="706"/>
      <c r="D55" s="706"/>
      <c r="E55" s="706"/>
      <c r="F55" s="706"/>
      <c r="G55" s="706"/>
      <c r="H55" s="706"/>
      <c r="I55" s="706"/>
    </row>
    <row r="56" spans="1:9" x14ac:dyDescent="0.25">
      <c r="A56" s="703"/>
      <c r="B56" s="704"/>
      <c r="C56" s="704"/>
      <c r="D56" s="704"/>
      <c r="E56" s="704"/>
      <c r="F56" s="704"/>
      <c r="G56" s="704"/>
      <c r="H56" s="704"/>
      <c r="I56" s="704"/>
    </row>
    <row r="57" spans="1:9" x14ac:dyDescent="0.25">
      <c r="A57" s="703"/>
      <c r="B57" s="704"/>
      <c r="C57" s="704"/>
      <c r="D57" s="704"/>
      <c r="E57" s="704"/>
      <c r="F57" s="704"/>
      <c r="G57" s="704"/>
      <c r="H57" s="704"/>
      <c r="I57" s="704"/>
    </row>
  </sheetData>
  <mergeCells count="44">
    <mergeCell ref="A55:I55"/>
    <mergeCell ref="A56:I56"/>
    <mergeCell ref="A57:I57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CCA2-ACF4-43E2-8EE6-301639A0AAC2}">
  <dimension ref="A1:I64"/>
  <sheetViews>
    <sheetView workbookViewId="0">
      <selection activeCell="C15" sqref="C15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761"/>
      <c r="B1" s="762"/>
      <c r="C1" s="690" t="s">
        <v>0</v>
      </c>
      <c r="D1" s="690"/>
      <c r="E1" s="690"/>
      <c r="F1" s="690"/>
      <c r="G1" s="690"/>
      <c r="H1" s="199" t="s">
        <v>1</v>
      </c>
      <c r="I1" s="200" t="s">
        <v>228</v>
      </c>
    </row>
    <row r="2" spans="1:9" ht="16.5" thickBot="1" x14ac:dyDescent="0.3">
      <c r="A2" s="763"/>
      <c r="B2" s="764"/>
      <c r="C2" s="691" t="s">
        <v>2</v>
      </c>
      <c r="D2" s="691"/>
      <c r="E2" s="691"/>
      <c r="F2" s="691"/>
      <c r="G2" s="691"/>
      <c r="H2" s="201" t="s">
        <v>3</v>
      </c>
      <c r="I2" s="202" t="s">
        <v>172</v>
      </c>
    </row>
    <row r="3" spans="1:9" ht="15.95" customHeight="1" thickBot="1" x14ac:dyDescent="0.3">
      <c r="A3" s="763"/>
      <c r="B3" s="764"/>
      <c r="C3" s="770" t="s">
        <v>229</v>
      </c>
      <c r="D3" s="771"/>
      <c r="E3" s="771"/>
      <c r="F3" s="771"/>
      <c r="G3" s="772"/>
      <c r="H3" s="773" t="s">
        <v>4</v>
      </c>
      <c r="I3" s="752">
        <v>45609</v>
      </c>
    </row>
    <row r="4" spans="1:9" x14ac:dyDescent="0.25">
      <c r="A4" s="763"/>
      <c r="B4" s="764"/>
      <c r="C4" s="203" t="s">
        <v>5</v>
      </c>
      <c r="D4" s="755" t="s">
        <v>156</v>
      </c>
      <c r="E4" s="756"/>
      <c r="F4" s="756"/>
      <c r="G4" s="757"/>
      <c r="H4" s="774"/>
      <c r="I4" s="753"/>
    </row>
    <row r="5" spans="1:9" ht="15.75" thickBot="1" x14ac:dyDescent="0.3">
      <c r="A5" s="765"/>
      <c r="B5" s="766"/>
      <c r="C5" s="204" t="s">
        <v>6</v>
      </c>
      <c r="D5" s="758" t="s">
        <v>127</v>
      </c>
      <c r="E5" s="759"/>
      <c r="F5" s="759"/>
      <c r="G5" s="760"/>
      <c r="H5" s="775"/>
      <c r="I5" s="754"/>
    </row>
    <row r="6" spans="1:9" ht="18.75" thickBot="1" x14ac:dyDescent="0.3">
      <c r="A6" s="776" t="s">
        <v>7</v>
      </c>
      <c r="B6" s="776"/>
      <c r="C6" s="776"/>
      <c r="D6" s="777" t="s">
        <v>230</v>
      </c>
      <c r="E6" s="777"/>
      <c r="F6" s="777"/>
      <c r="G6" s="778" t="s">
        <v>8</v>
      </c>
      <c r="H6" s="778"/>
      <c r="I6" s="205" t="s">
        <v>230</v>
      </c>
    </row>
    <row r="7" spans="1:9" x14ac:dyDescent="0.25">
      <c r="A7" s="779" t="s">
        <v>9</v>
      </c>
      <c r="B7" s="781" t="s">
        <v>129</v>
      </c>
      <c r="C7" s="783" t="s">
        <v>10</v>
      </c>
      <c r="D7" s="783" t="s">
        <v>11</v>
      </c>
      <c r="E7" s="783" t="s">
        <v>12</v>
      </c>
      <c r="F7" s="783"/>
      <c r="G7" s="783" t="s">
        <v>13</v>
      </c>
      <c r="H7" s="783"/>
      <c r="I7" s="206" t="s">
        <v>14</v>
      </c>
    </row>
    <row r="8" spans="1:9" ht="27" thickBot="1" x14ac:dyDescent="0.3">
      <c r="A8" s="780"/>
      <c r="B8" s="782"/>
      <c r="C8" s="784"/>
      <c r="D8" s="784"/>
      <c r="E8" s="207" t="s">
        <v>15</v>
      </c>
      <c r="F8" s="208" t="s">
        <v>16</v>
      </c>
      <c r="G8" s="207" t="s">
        <v>15</v>
      </c>
      <c r="H8" s="208" t="s">
        <v>16</v>
      </c>
      <c r="I8" s="209" t="s">
        <v>17</v>
      </c>
    </row>
    <row r="9" spans="1:9" x14ac:dyDescent="0.25">
      <c r="A9" s="210"/>
      <c r="B9" s="211"/>
      <c r="C9" s="212" t="s">
        <v>130</v>
      </c>
      <c r="D9" s="213"/>
      <c r="E9" s="214"/>
      <c r="F9" s="215"/>
      <c r="G9" s="214"/>
      <c r="H9" s="215"/>
      <c r="I9" s="216"/>
    </row>
    <row r="10" spans="1:9" ht="15.95" customHeight="1" x14ac:dyDescent="0.25">
      <c r="A10" s="298">
        <v>90100409</v>
      </c>
      <c r="B10" s="299" t="s">
        <v>231</v>
      </c>
      <c r="C10" s="300" t="s">
        <v>232</v>
      </c>
      <c r="D10" s="301" t="s">
        <v>20</v>
      </c>
      <c r="E10" s="302">
        <v>43</v>
      </c>
      <c r="F10" s="232" t="s">
        <v>233</v>
      </c>
      <c r="G10" s="302">
        <f>+E10*395</f>
        <v>16985</v>
      </c>
      <c r="H10" s="303" t="s">
        <v>234</v>
      </c>
      <c r="I10" s="216"/>
    </row>
    <row r="11" spans="1:9" x14ac:dyDescent="0.25">
      <c r="A11" s="304"/>
      <c r="B11" s="305"/>
      <c r="C11" s="306"/>
      <c r="D11" s="307"/>
      <c r="E11" s="308"/>
      <c r="F11" s="308"/>
      <c r="G11" s="309"/>
      <c r="H11" s="310"/>
      <c r="I11" s="216"/>
    </row>
    <row r="12" spans="1:9" x14ac:dyDescent="0.25">
      <c r="A12" s="304"/>
      <c r="B12" s="305"/>
      <c r="C12" s="306"/>
      <c r="D12" s="307"/>
      <c r="E12" s="308"/>
      <c r="F12" s="308"/>
      <c r="G12" s="309"/>
      <c r="H12" s="310"/>
      <c r="I12" s="216"/>
    </row>
    <row r="13" spans="1:9" x14ac:dyDescent="0.25">
      <c r="A13" s="304"/>
      <c r="B13" s="305"/>
      <c r="C13" s="306"/>
      <c r="D13" s="307"/>
      <c r="E13" s="308"/>
      <c r="F13" s="311"/>
      <c r="G13" s="309"/>
      <c r="H13" s="310"/>
      <c r="I13" s="216"/>
    </row>
    <row r="14" spans="1:9" x14ac:dyDescent="0.25">
      <c r="A14" s="304"/>
      <c r="B14" s="305"/>
      <c r="C14" s="306"/>
      <c r="D14" s="307"/>
      <c r="E14" s="312"/>
      <c r="F14" s="311"/>
      <c r="G14" s="309"/>
      <c r="H14" s="310"/>
      <c r="I14" s="216"/>
    </row>
    <row r="15" spans="1:9" x14ac:dyDescent="0.25">
      <c r="A15" s="304"/>
      <c r="B15" s="305"/>
      <c r="C15" s="306"/>
      <c r="D15" s="307"/>
      <c r="E15" s="312"/>
      <c r="F15" s="311"/>
      <c r="G15" s="309"/>
      <c r="H15" s="310"/>
      <c r="I15" s="216"/>
    </row>
    <row r="16" spans="1:9" x14ac:dyDescent="0.25">
      <c r="A16" s="304"/>
      <c r="B16" s="305"/>
      <c r="C16" s="306"/>
      <c r="D16" s="307"/>
      <c r="E16" s="308"/>
      <c r="F16" s="308"/>
      <c r="G16" s="309"/>
      <c r="H16" s="310"/>
      <c r="I16" s="216"/>
    </row>
    <row r="17" spans="1:9" x14ac:dyDescent="0.25">
      <c r="A17" s="304"/>
      <c r="B17" s="313"/>
      <c r="C17" s="314"/>
      <c r="D17" s="307"/>
      <c r="E17" s="308"/>
      <c r="F17" s="308"/>
      <c r="G17" s="309"/>
      <c r="H17" s="310"/>
      <c r="I17" s="216"/>
    </row>
    <row r="18" spans="1:9" x14ac:dyDescent="0.25">
      <c r="A18" s="315"/>
      <c r="B18" s="316"/>
      <c r="C18" s="317"/>
      <c r="D18" s="307"/>
      <c r="E18" s="312"/>
      <c r="F18" s="311"/>
      <c r="G18" s="309"/>
      <c r="H18" s="310"/>
      <c r="I18" s="216"/>
    </row>
    <row r="19" spans="1:9" x14ac:dyDescent="0.25">
      <c r="A19" s="315"/>
      <c r="B19" s="316"/>
      <c r="C19" s="318"/>
      <c r="D19" s="307"/>
      <c r="E19" s="312"/>
      <c r="F19" s="311"/>
      <c r="G19" s="309"/>
      <c r="H19" s="310"/>
      <c r="I19" s="216"/>
    </row>
    <row r="20" spans="1:9" x14ac:dyDescent="0.25">
      <c r="A20" s="315"/>
      <c r="B20" s="316"/>
      <c r="C20" s="318"/>
      <c r="D20" s="307"/>
      <c r="E20" s="312"/>
      <c r="F20" s="311"/>
      <c r="G20" s="309"/>
      <c r="H20" s="310"/>
      <c r="I20" s="216"/>
    </row>
    <row r="21" spans="1:9" x14ac:dyDescent="0.25">
      <c r="A21" s="315"/>
      <c r="B21" s="316"/>
      <c r="C21" s="317"/>
      <c r="D21" s="307"/>
      <c r="E21" s="319"/>
      <c r="F21" s="319"/>
      <c r="G21" s="309"/>
      <c r="H21" s="310"/>
      <c r="I21" s="216"/>
    </row>
    <row r="22" spans="1:9" x14ac:dyDescent="0.25">
      <c r="A22" s="320"/>
      <c r="B22" s="321"/>
      <c r="C22" s="322"/>
      <c r="D22" s="323"/>
      <c r="E22" s="324"/>
      <c r="F22" s="324"/>
      <c r="G22" s="325"/>
      <c r="H22" s="310"/>
      <c r="I22" s="216"/>
    </row>
    <row r="23" spans="1:9" x14ac:dyDescent="0.25">
      <c r="A23" s="320"/>
      <c r="B23" s="321"/>
      <c r="C23" s="322"/>
      <c r="D23" s="323"/>
      <c r="E23" s="324"/>
      <c r="F23" s="324"/>
      <c r="G23" s="325"/>
      <c r="H23" s="310"/>
      <c r="I23" s="216"/>
    </row>
    <row r="24" spans="1:9" x14ac:dyDescent="0.25">
      <c r="A24" s="320"/>
      <c r="B24" s="321"/>
      <c r="C24" s="322"/>
      <c r="D24" s="323"/>
      <c r="E24" s="324"/>
      <c r="F24" s="324"/>
      <c r="G24" s="325"/>
      <c r="H24" s="310"/>
      <c r="I24" s="216"/>
    </row>
    <row r="25" spans="1:9" ht="15.75" x14ac:dyDescent="0.25">
      <c r="A25" s="326"/>
      <c r="B25" s="326"/>
      <c r="D25" s="259"/>
      <c r="E25" s="181"/>
      <c r="F25" s="181"/>
      <c r="G25" s="214"/>
      <c r="H25" s="310"/>
      <c r="I25" s="216"/>
    </row>
    <row r="26" spans="1:9" x14ac:dyDescent="0.25">
      <c r="A26" s="187"/>
      <c r="B26" s="187"/>
      <c r="C26" s="327"/>
      <c r="D26" s="259"/>
      <c r="E26" s="259"/>
      <c r="F26" s="232"/>
      <c r="G26" s="214"/>
      <c r="H26" s="310"/>
      <c r="I26" s="216"/>
    </row>
    <row r="27" spans="1:9" ht="15.75" x14ac:dyDescent="0.25">
      <c r="A27" s="226"/>
      <c r="B27" s="227"/>
      <c r="C27" s="107" t="s">
        <v>131</v>
      </c>
      <c r="D27" s="230" t="s">
        <v>132</v>
      </c>
      <c r="E27" s="231"/>
      <c r="F27" s="232"/>
      <c r="G27" s="214"/>
      <c r="H27" s="310"/>
      <c r="I27" s="216"/>
    </row>
    <row r="28" spans="1:9" x14ac:dyDescent="0.25">
      <c r="A28" s="328"/>
      <c r="B28" s="329"/>
      <c r="C28" s="330"/>
      <c r="D28" s="331" t="s">
        <v>132</v>
      </c>
      <c r="E28" s="259"/>
      <c r="F28" s="232"/>
      <c r="G28" s="214"/>
      <c r="H28" s="310"/>
      <c r="I28" s="216"/>
    </row>
    <row r="29" spans="1:9" x14ac:dyDescent="0.25">
      <c r="A29" s="187"/>
      <c r="B29" s="187"/>
      <c r="C29" s="327"/>
      <c r="D29" s="331" t="s">
        <v>132</v>
      </c>
      <c r="E29" s="259"/>
      <c r="F29" s="232"/>
      <c r="G29" s="214"/>
      <c r="H29" s="310"/>
      <c r="I29" s="216"/>
    </row>
    <row r="30" spans="1:9" x14ac:dyDescent="0.25">
      <c r="A30" s="332"/>
      <c r="B30" s="332"/>
      <c r="C30" s="330"/>
      <c r="D30" s="331" t="s">
        <v>132</v>
      </c>
      <c r="E30" s="259"/>
      <c r="F30" s="232"/>
      <c r="G30" s="214"/>
      <c r="H30" s="310"/>
      <c r="I30" s="216"/>
    </row>
    <row r="31" spans="1:9" x14ac:dyDescent="0.25">
      <c r="A31" s="187"/>
      <c r="B31" s="187"/>
      <c r="C31" s="327"/>
      <c r="D31" s="259" t="s">
        <v>132</v>
      </c>
      <c r="E31" s="230"/>
      <c r="F31" s="232"/>
      <c r="G31" s="214"/>
      <c r="H31" s="310"/>
      <c r="I31" s="216"/>
    </row>
    <row r="32" spans="1:9" x14ac:dyDescent="0.25">
      <c r="A32" s="187"/>
      <c r="B32" s="187"/>
      <c r="C32" s="327"/>
      <c r="D32" s="295" t="s">
        <v>132</v>
      </c>
      <c r="E32" s="333"/>
      <c r="F32" s="334"/>
      <c r="G32" s="214"/>
      <c r="H32" s="310"/>
      <c r="I32" s="216"/>
    </row>
    <row r="33" spans="1:9" ht="15.75" x14ac:dyDescent="0.25">
      <c r="A33" s="242"/>
      <c r="B33" s="243"/>
      <c r="C33" s="108" t="s">
        <v>133</v>
      </c>
      <c r="D33" s="244" t="s">
        <v>132</v>
      </c>
      <c r="E33" s="214"/>
      <c r="F33" s="215"/>
      <c r="G33" s="214"/>
      <c r="H33" s="310"/>
      <c r="I33" s="216"/>
    </row>
    <row r="34" spans="1:9" ht="15.75" x14ac:dyDescent="0.25">
      <c r="A34" s="256">
        <v>702123</v>
      </c>
      <c r="B34" s="256" t="s">
        <v>57</v>
      </c>
      <c r="C34" s="256" t="s">
        <v>27</v>
      </c>
      <c r="D34" s="335" t="s">
        <v>163</v>
      </c>
      <c r="E34" s="147">
        <v>4</v>
      </c>
      <c r="F34" s="303" t="s">
        <v>22</v>
      </c>
      <c r="G34" s="309"/>
      <c r="H34" s="310"/>
      <c r="I34" s="216"/>
    </row>
    <row r="35" spans="1:9" x14ac:dyDescent="0.25">
      <c r="A35" s="256">
        <v>51600050</v>
      </c>
      <c r="B35" s="256" t="s">
        <v>235</v>
      </c>
      <c r="C35" s="256" t="s">
        <v>236</v>
      </c>
      <c r="D35" s="336"/>
      <c r="E35" s="297">
        <v>4</v>
      </c>
      <c r="F35" s="337" t="s">
        <v>22</v>
      </c>
      <c r="G35" s="338"/>
      <c r="H35" s="310"/>
      <c r="I35" s="216"/>
    </row>
    <row r="36" spans="1:9" x14ac:dyDescent="0.25">
      <c r="A36" s="304"/>
      <c r="B36" s="339"/>
      <c r="C36" s="306"/>
      <c r="D36" s="307"/>
      <c r="E36" s="250"/>
      <c r="F36" s="251"/>
      <c r="G36" s="214"/>
      <c r="H36" s="310"/>
      <c r="I36" s="216"/>
    </row>
    <row r="37" spans="1:9" x14ac:dyDescent="0.25">
      <c r="A37" s="340"/>
      <c r="B37" s="340"/>
      <c r="C37" s="327"/>
      <c r="D37" s="230"/>
      <c r="E37" s="259"/>
      <c r="F37" s="232"/>
      <c r="G37" s="214"/>
      <c r="H37" s="215"/>
      <c r="I37" s="216"/>
    </row>
    <row r="38" spans="1:9" x14ac:dyDescent="0.25">
      <c r="A38" s="341"/>
      <c r="B38" s="342"/>
      <c r="C38" s="343"/>
      <c r="D38" s="230"/>
      <c r="E38" s="259"/>
      <c r="F38" s="232"/>
      <c r="G38" s="214"/>
      <c r="H38" s="215"/>
      <c r="I38" s="216"/>
    </row>
    <row r="39" spans="1:9" ht="15.75" x14ac:dyDescent="0.25">
      <c r="A39" s="341"/>
      <c r="B39" s="342"/>
      <c r="C39" s="343"/>
      <c r="D39" s="109"/>
      <c r="E39" s="259"/>
      <c r="F39" s="232"/>
      <c r="G39" s="258"/>
      <c r="H39" s="230"/>
      <c r="I39" s="216"/>
    </row>
    <row r="40" spans="1:9" ht="15.75" x14ac:dyDescent="0.25">
      <c r="A40" s="226"/>
      <c r="B40" s="227"/>
      <c r="C40" s="296"/>
      <c r="D40" s="109"/>
      <c r="E40" s="259"/>
      <c r="F40" s="232"/>
      <c r="G40" s="259"/>
      <c r="H40" s="230"/>
      <c r="I40" s="216"/>
    </row>
    <row r="41" spans="1:9" ht="15.75" x14ac:dyDescent="0.25">
      <c r="A41" s="226"/>
      <c r="B41" s="227"/>
      <c r="C41" s="296"/>
      <c r="D41" s="109"/>
      <c r="E41" s="259"/>
      <c r="F41" s="232"/>
      <c r="G41" s="147"/>
      <c r="H41" s="232"/>
      <c r="I41" s="216"/>
    </row>
    <row r="42" spans="1:9" ht="15.75" x14ac:dyDescent="0.25">
      <c r="A42" s="226"/>
      <c r="B42" s="227"/>
      <c r="C42" s="296"/>
      <c r="D42" s="230"/>
      <c r="E42" s="230"/>
      <c r="F42" s="232"/>
      <c r="G42" s="109"/>
      <c r="H42" s="109"/>
      <c r="I42" s="216"/>
    </row>
    <row r="43" spans="1:9" ht="15.75" thickBot="1" x14ac:dyDescent="0.3">
      <c r="A43" s="262"/>
      <c r="B43" s="263"/>
      <c r="C43" s="264"/>
      <c r="D43" s="264"/>
      <c r="E43" s="265"/>
      <c r="F43" s="266"/>
      <c r="G43" s="264"/>
      <c r="H43" s="264"/>
      <c r="I43" s="267"/>
    </row>
    <row r="44" spans="1:9" ht="15.75" thickBot="1" x14ac:dyDescent="0.3">
      <c r="A44" s="268"/>
      <c r="B44" s="269"/>
      <c r="C44" s="270"/>
      <c r="D44" s="271" t="s">
        <v>15</v>
      </c>
      <c r="E44" s="272" t="s">
        <v>33</v>
      </c>
      <c r="F44" s="273"/>
      <c r="G44" s="270"/>
      <c r="H44" s="270"/>
      <c r="I44" s="274"/>
    </row>
    <row r="45" spans="1:9" x14ac:dyDescent="0.25">
      <c r="A45" s="785" t="s">
        <v>34</v>
      </c>
      <c r="B45" s="786"/>
      <c r="C45" s="787"/>
      <c r="D45" s="344">
        <v>16000</v>
      </c>
      <c r="E45" s="345" t="s">
        <v>19</v>
      </c>
      <c r="F45" s="788" t="s">
        <v>35</v>
      </c>
      <c r="G45" s="788"/>
      <c r="H45" s="789"/>
      <c r="I45" s="790"/>
    </row>
    <row r="46" spans="1:9" x14ac:dyDescent="0.25">
      <c r="A46" s="791" t="s">
        <v>36</v>
      </c>
      <c r="B46" s="792"/>
      <c r="C46" s="793"/>
      <c r="D46" s="346">
        <v>15</v>
      </c>
      <c r="E46" s="347" t="s">
        <v>37</v>
      </c>
      <c r="F46" s="794" t="s">
        <v>38</v>
      </c>
      <c r="G46" s="794"/>
      <c r="H46" s="795"/>
      <c r="I46" s="796"/>
    </row>
    <row r="47" spans="1:9" x14ac:dyDescent="0.25">
      <c r="A47" s="791" t="s">
        <v>39</v>
      </c>
      <c r="B47" s="792"/>
      <c r="C47" s="793"/>
      <c r="D47" s="347">
        <v>4</v>
      </c>
      <c r="E47" s="347" t="s">
        <v>237</v>
      </c>
      <c r="F47" s="794" t="s">
        <v>40</v>
      </c>
      <c r="G47" s="794"/>
      <c r="H47" s="795"/>
      <c r="I47" s="796"/>
    </row>
    <row r="48" spans="1:9" x14ac:dyDescent="0.25">
      <c r="A48" s="791" t="s">
        <v>41</v>
      </c>
      <c r="B48" s="792"/>
      <c r="C48" s="793"/>
      <c r="D48" s="347">
        <v>4000</v>
      </c>
      <c r="E48" s="347" t="s">
        <v>19</v>
      </c>
      <c r="F48" s="797" t="s">
        <v>42</v>
      </c>
      <c r="G48" s="798"/>
      <c r="H48" s="795"/>
      <c r="I48" s="796"/>
    </row>
    <row r="49" spans="1:9" ht="15.75" thickBot="1" x14ac:dyDescent="0.3">
      <c r="A49" s="805" t="s">
        <v>43</v>
      </c>
      <c r="B49" s="806"/>
      <c r="C49" s="807"/>
      <c r="D49" s="348">
        <v>985</v>
      </c>
      <c r="E49" s="349" t="s">
        <v>19</v>
      </c>
      <c r="F49" s="808"/>
      <c r="G49" s="808"/>
      <c r="H49" s="842"/>
      <c r="I49" s="843"/>
    </row>
    <row r="50" spans="1:9" ht="15.75" thickBot="1" x14ac:dyDescent="0.3">
      <c r="A50" s="809" t="s">
        <v>44</v>
      </c>
      <c r="B50" s="810"/>
      <c r="C50" s="810"/>
      <c r="D50" s="810"/>
      <c r="E50" s="810"/>
      <c r="F50" s="810"/>
      <c r="G50" s="810"/>
      <c r="H50" s="810"/>
      <c r="I50" s="811"/>
    </row>
    <row r="51" spans="1:9" x14ac:dyDescent="0.25">
      <c r="A51" s="844" t="s">
        <v>238</v>
      </c>
      <c r="B51" s="845"/>
      <c r="C51" s="846"/>
      <c r="D51" s="846"/>
      <c r="E51" s="846"/>
      <c r="F51" s="846"/>
      <c r="G51" s="846"/>
      <c r="H51" s="846"/>
      <c r="I51" s="847"/>
    </row>
    <row r="52" spans="1:9" x14ac:dyDescent="0.25">
      <c r="A52" s="844" t="s">
        <v>239</v>
      </c>
      <c r="B52" s="845"/>
      <c r="C52" s="846"/>
      <c r="D52" s="846"/>
      <c r="E52" s="846"/>
      <c r="F52" s="846"/>
      <c r="G52" s="846"/>
      <c r="H52" s="846"/>
      <c r="I52" s="847"/>
    </row>
    <row r="53" spans="1:9" x14ac:dyDescent="0.25">
      <c r="A53" s="848">
        <f>D46/D45</f>
        <v>9.3749999999999997E-4</v>
      </c>
      <c r="B53" s="849"/>
      <c r="C53" s="849"/>
      <c r="D53" s="849"/>
      <c r="E53" s="849"/>
      <c r="F53" s="849"/>
      <c r="G53" s="849"/>
      <c r="H53" s="849"/>
      <c r="I53" s="850"/>
    </row>
    <row r="54" spans="1:9" x14ac:dyDescent="0.25">
      <c r="A54" s="851"/>
      <c r="B54" s="852"/>
      <c r="C54" s="853"/>
      <c r="D54" s="853"/>
      <c r="E54" s="853"/>
      <c r="F54" s="853"/>
      <c r="G54" s="853"/>
      <c r="H54" s="853"/>
      <c r="I54" s="854"/>
    </row>
    <row r="55" spans="1:9" x14ac:dyDescent="0.25">
      <c r="A55" s="815"/>
      <c r="B55" s="816"/>
      <c r="C55" s="816"/>
      <c r="D55" s="816"/>
      <c r="E55" s="816"/>
      <c r="F55" s="816"/>
      <c r="G55" s="816"/>
      <c r="H55" s="816"/>
      <c r="I55" s="817"/>
    </row>
    <row r="56" spans="1:9" x14ac:dyDescent="0.25">
      <c r="A56" s="815"/>
      <c r="B56" s="816"/>
      <c r="C56" s="816"/>
      <c r="D56" s="816"/>
      <c r="E56" s="816"/>
      <c r="F56" s="816"/>
      <c r="G56" s="816"/>
      <c r="H56" s="816"/>
      <c r="I56" s="817"/>
    </row>
    <row r="57" spans="1:9" x14ac:dyDescent="0.25">
      <c r="A57" s="839"/>
      <c r="B57" s="840"/>
      <c r="C57" s="840"/>
      <c r="D57" s="840"/>
      <c r="E57" s="840"/>
      <c r="F57" s="840"/>
      <c r="G57" s="840"/>
      <c r="H57" s="840"/>
      <c r="I57" s="841"/>
    </row>
    <row r="58" spans="1:9" x14ac:dyDescent="0.25">
      <c r="A58" s="839"/>
      <c r="B58" s="840"/>
      <c r="C58" s="840"/>
      <c r="D58" s="840"/>
      <c r="E58" s="840"/>
      <c r="F58" s="840"/>
      <c r="G58" s="840"/>
      <c r="H58" s="840"/>
      <c r="I58" s="841"/>
    </row>
    <row r="59" spans="1:9" ht="18" customHeight="1" thickBot="1" x14ac:dyDescent="0.3">
      <c r="A59" s="855"/>
      <c r="B59" s="856"/>
      <c r="C59" s="856"/>
      <c r="D59" s="856"/>
      <c r="E59" s="856"/>
      <c r="F59" s="856"/>
      <c r="G59" s="856"/>
      <c r="H59" s="856"/>
      <c r="I59" s="857"/>
    </row>
    <row r="60" spans="1:9" x14ac:dyDescent="0.25">
      <c r="A60" s="350"/>
      <c r="B60" s="350"/>
      <c r="C60" s="350"/>
      <c r="D60" s="350"/>
      <c r="E60" s="350"/>
      <c r="F60" s="350"/>
      <c r="G60" s="350"/>
      <c r="H60" s="350"/>
      <c r="I60" s="350"/>
    </row>
    <row r="61" spans="1:9" ht="15.75" thickBot="1" x14ac:dyDescent="0.3">
      <c r="A61" s="858"/>
      <c r="B61" s="859"/>
      <c r="C61" s="859"/>
      <c r="D61" s="859"/>
      <c r="E61" s="859"/>
      <c r="F61" s="859"/>
      <c r="G61" s="859"/>
      <c r="H61" s="859"/>
      <c r="I61" s="860"/>
    </row>
    <row r="62" spans="1:9" x14ac:dyDescent="0.25">
      <c r="A62" s="705" t="s">
        <v>134</v>
      </c>
      <c r="B62" s="706"/>
      <c r="C62" s="706"/>
      <c r="D62" s="706"/>
      <c r="E62" s="706"/>
      <c r="F62" s="706"/>
      <c r="G62" s="706"/>
      <c r="H62" s="706"/>
      <c r="I62" s="706"/>
    </row>
    <row r="63" spans="1:9" x14ac:dyDescent="0.25">
      <c r="A63" s="703"/>
      <c r="B63" s="704"/>
      <c r="C63" s="704"/>
      <c r="D63" s="704"/>
      <c r="E63" s="704"/>
      <c r="F63" s="704"/>
      <c r="G63" s="704"/>
      <c r="H63" s="704"/>
      <c r="I63" s="704"/>
    </row>
    <row r="64" spans="1:9" x14ac:dyDescent="0.25">
      <c r="A64" s="703"/>
      <c r="B64" s="704"/>
      <c r="C64" s="704"/>
      <c r="D64" s="704"/>
      <c r="E64" s="704"/>
      <c r="F64" s="704"/>
      <c r="G64" s="704"/>
      <c r="H64" s="704"/>
      <c r="I64" s="704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212D-00DC-4ECE-ABF5-D3D754A007CA}">
  <dimension ref="A1:I64"/>
  <sheetViews>
    <sheetView workbookViewId="0">
      <selection activeCell="D15" sqref="D15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761"/>
      <c r="B1" s="762"/>
      <c r="C1" s="690" t="s">
        <v>0</v>
      </c>
      <c r="D1" s="690"/>
      <c r="E1" s="690"/>
      <c r="F1" s="690"/>
      <c r="G1" s="690"/>
      <c r="H1" s="199" t="s">
        <v>1</v>
      </c>
      <c r="I1" s="351" t="s">
        <v>240</v>
      </c>
    </row>
    <row r="2" spans="1:9" ht="15.75" x14ac:dyDescent="0.25">
      <c r="A2" s="763"/>
      <c r="B2" s="764"/>
      <c r="C2" s="691" t="s">
        <v>2</v>
      </c>
      <c r="D2" s="691"/>
      <c r="E2" s="691"/>
      <c r="F2" s="691"/>
      <c r="G2" s="691"/>
      <c r="H2" s="201" t="s">
        <v>3</v>
      </c>
      <c r="I2" s="202" t="s">
        <v>172</v>
      </c>
    </row>
    <row r="3" spans="1:9" ht="15.75" thickBot="1" x14ac:dyDescent="0.3">
      <c r="A3" s="763"/>
      <c r="B3" s="764"/>
      <c r="C3" s="829" t="s">
        <v>241</v>
      </c>
      <c r="D3" s="830"/>
      <c r="E3" s="830"/>
      <c r="F3" s="830"/>
      <c r="G3" s="831"/>
      <c r="H3" s="773" t="s">
        <v>4</v>
      </c>
      <c r="I3" s="752">
        <v>45609</v>
      </c>
    </row>
    <row r="4" spans="1:9" x14ac:dyDescent="0.25">
      <c r="A4" s="763"/>
      <c r="B4" s="764"/>
      <c r="C4" s="203" t="s">
        <v>5</v>
      </c>
      <c r="D4" s="755" t="s">
        <v>156</v>
      </c>
      <c r="E4" s="756"/>
      <c r="F4" s="756"/>
      <c r="G4" s="757"/>
      <c r="H4" s="774"/>
      <c r="I4" s="753"/>
    </row>
    <row r="5" spans="1:9" ht="15.75" thickBot="1" x14ac:dyDescent="0.3">
      <c r="A5" s="765"/>
      <c r="B5" s="766"/>
      <c r="C5" s="204" t="s">
        <v>6</v>
      </c>
      <c r="D5" s="758" t="s">
        <v>127</v>
      </c>
      <c r="E5" s="759"/>
      <c r="F5" s="759"/>
      <c r="G5" s="760"/>
      <c r="H5" s="775"/>
      <c r="I5" s="754"/>
    </row>
    <row r="6" spans="1:9" ht="18.75" thickBot="1" x14ac:dyDescent="0.3">
      <c r="A6" s="776" t="s">
        <v>7</v>
      </c>
      <c r="B6" s="776"/>
      <c r="C6" s="776"/>
      <c r="D6" s="777" t="s">
        <v>230</v>
      </c>
      <c r="E6" s="777"/>
      <c r="F6" s="777"/>
      <c r="G6" s="778" t="s">
        <v>8</v>
      </c>
      <c r="H6" s="778"/>
      <c r="I6" s="205" t="s">
        <v>133</v>
      </c>
    </row>
    <row r="7" spans="1:9" x14ac:dyDescent="0.25">
      <c r="A7" s="779" t="s">
        <v>9</v>
      </c>
      <c r="B7" s="781" t="s">
        <v>129</v>
      </c>
      <c r="C7" s="783" t="s">
        <v>10</v>
      </c>
      <c r="D7" s="783" t="s">
        <v>11</v>
      </c>
      <c r="E7" s="783" t="s">
        <v>12</v>
      </c>
      <c r="F7" s="783"/>
      <c r="G7" s="783" t="s">
        <v>13</v>
      </c>
      <c r="H7" s="783"/>
      <c r="I7" s="206" t="s">
        <v>14</v>
      </c>
    </row>
    <row r="8" spans="1:9" ht="27" thickBot="1" x14ac:dyDescent="0.3">
      <c r="A8" s="780"/>
      <c r="B8" s="782"/>
      <c r="C8" s="784"/>
      <c r="D8" s="784"/>
      <c r="E8" s="207" t="s">
        <v>15</v>
      </c>
      <c r="F8" s="208" t="s">
        <v>16</v>
      </c>
      <c r="G8" s="207" t="s">
        <v>15</v>
      </c>
      <c r="H8" s="208" t="s">
        <v>16</v>
      </c>
      <c r="I8" s="209" t="s">
        <v>17</v>
      </c>
    </row>
    <row r="9" spans="1:9" x14ac:dyDescent="0.25">
      <c r="A9" s="210"/>
      <c r="B9" s="211"/>
      <c r="C9" s="212" t="s">
        <v>130</v>
      </c>
      <c r="D9" s="213"/>
      <c r="E9" s="214"/>
      <c r="F9" s="215"/>
      <c r="G9" s="214"/>
      <c r="H9" s="215"/>
      <c r="I9" s="216"/>
    </row>
    <row r="10" spans="1:9" x14ac:dyDescent="0.25">
      <c r="A10" s="352">
        <v>505605</v>
      </c>
      <c r="B10" s="353" t="s">
        <v>242</v>
      </c>
      <c r="C10" s="354" t="s">
        <v>243</v>
      </c>
      <c r="D10" s="355" t="s">
        <v>244</v>
      </c>
      <c r="E10" s="356">
        <v>204</v>
      </c>
      <c r="F10" s="357" t="s">
        <v>22</v>
      </c>
      <c r="G10" s="302"/>
      <c r="H10" s="303"/>
      <c r="I10" s="216"/>
    </row>
    <row r="11" spans="1:9" x14ac:dyDescent="0.25">
      <c r="A11" s="347" t="s">
        <v>182</v>
      </c>
      <c r="B11" s="347"/>
      <c r="C11" s="358" t="s">
        <v>183</v>
      </c>
      <c r="D11" s="355" t="s">
        <v>20</v>
      </c>
      <c r="E11" s="356">
        <v>60000</v>
      </c>
      <c r="F11" s="357" t="s">
        <v>19</v>
      </c>
      <c r="G11" s="309"/>
      <c r="H11" s="303"/>
      <c r="I11" s="216"/>
    </row>
    <row r="12" spans="1:9" x14ac:dyDescent="0.25">
      <c r="A12" s="359"/>
      <c r="B12" s="359"/>
      <c r="C12" s="360"/>
      <c r="D12" s="355"/>
      <c r="E12" s="356"/>
      <c r="F12" s="357"/>
      <c r="G12" s="309"/>
      <c r="H12" s="303"/>
      <c r="I12" s="216"/>
    </row>
    <row r="13" spans="1:9" x14ac:dyDescent="0.25">
      <c r="A13" s="347"/>
      <c r="B13" s="347"/>
      <c r="C13" s="358"/>
      <c r="D13" s="355"/>
      <c r="E13" s="361"/>
      <c r="F13" s="362"/>
      <c r="G13" s="309"/>
      <c r="H13" s="303"/>
      <c r="I13" s="216"/>
    </row>
    <row r="14" spans="1:9" x14ac:dyDescent="0.25">
      <c r="A14" s="363"/>
      <c r="B14" s="363"/>
      <c r="C14" s="364"/>
      <c r="D14" s="355"/>
      <c r="E14" s="361"/>
      <c r="F14" s="362"/>
      <c r="G14" s="309"/>
      <c r="H14" s="303"/>
      <c r="I14" s="216"/>
    </row>
    <row r="15" spans="1:9" x14ac:dyDescent="0.25">
      <c r="A15" s="347"/>
      <c r="B15" s="347"/>
      <c r="C15" s="358"/>
      <c r="D15" s="355"/>
      <c r="E15" s="356"/>
      <c r="F15" s="357"/>
      <c r="G15" s="309"/>
      <c r="H15" s="303"/>
      <c r="I15" s="216"/>
    </row>
    <row r="16" spans="1:9" x14ac:dyDescent="0.25">
      <c r="A16" s="347"/>
      <c r="B16" s="347"/>
      <c r="C16" s="358"/>
      <c r="D16" s="355"/>
      <c r="E16" s="356"/>
      <c r="F16" s="357"/>
      <c r="G16" s="309"/>
      <c r="H16" s="303"/>
      <c r="I16" s="216"/>
    </row>
    <row r="17" spans="1:9" x14ac:dyDescent="0.25">
      <c r="A17" s="347"/>
      <c r="B17" s="347"/>
      <c r="C17" s="365"/>
      <c r="D17" s="355"/>
      <c r="E17" s="361"/>
      <c r="F17" s="362"/>
      <c r="G17" s="309"/>
      <c r="H17" s="303"/>
      <c r="I17" s="216"/>
    </row>
    <row r="18" spans="1:9" x14ac:dyDescent="0.25">
      <c r="A18" s="366"/>
      <c r="B18" s="367"/>
      <c r="C18" s="368"/>
      <c r="D18" s="369"/>
      <c r="E18" s="369"/>
      <c r="F18" s="310"/>
      <c r="G18" s="309"/>
      <c r="H18" s="303"/>
      <c r="I18" s="216"/>
    </row>
    <row r="19" spans="1:9" x14ac:dyDescent="0.25">
      <c r="A19" s="366"/>
      <c r="B19" s="367"/>
      <c r="C19" s="368"/>
      <c r="D19" s="370"/>
      <c r="E19" s="369"/>
      <c r="F19" s="310"/>
      <c r="G19" s="309"/>
      <c r="H19" s="303"/>
      <c r="I19" s="216"/>
    </row>
    <row r="20" spans="1:9" x14ac:dyDescent="0.25">
      <c r="A20" s="315"/>
      <c r="B20" s="316"/>
      <c r="C20" s="318"/>
      <c r="D20" s="307"/>
      <c r="E20" s="312"/>
      <c r="F20" s="311"/>
      <c r="G20" s="309"/>
      <c r="H20" s="310"/>
      <c r="I20" s="216"/>
    </row>
    <row r="21" spans="1:9" x14ac:dyDescent="0.25">
      <c r="A21" s="315"/>
      <c r="B21" s="316"/>
      <c r="C21" s="317"/>
      <c r="D21" s="307"/>
      <c r="E21" s="319"/>
      <c r="F21" s="319"/>
      <c r="G21" s="309"/>
      <c r="H21" s="310"/>
      <c r="I21" s="216"/>
    </row>
    <row r="22" spans="1:9" x14ac:dyDescent="0.25">
      <c r="A22" s="320"/>
      <c r="B22" s="321"/>
      <c r="C22" s="322"/>
      <c r="D22" s="323"/>
      <c r="E22" s="324"/>
      <c r="F22" s="324"/>
      <c r="G22" s="325"/>
      <c r="H22" s="310"/>
      <c r="I22" s="216"/>
    </row>
    <row r="23" spans="1:9" x14ac:dyDescent="0.25">
      <c r="A23" s="320"/>
      <c r="B23" s="321"/>
      <c r="C23" s="322"/>
      <c r="D23" s="323"/>
      <c r="E23" s="324"/>
      <c r="F23" s="324"/>
      <c r="G23" s="325"/>
      <c r="H23" s="310"/>
      <c r="I23" s="216"/>
    </row>
    <row r="24" spans="1:9" x14ac:dyDescent="0.25">
      <c r="A24" s="320"/>
      <c r="B24" s="321"/>
      <c r="C24" s="322"/>
      <c r="D24" s="323"/>
      <c r="E24" s="324"/>
      <c r="F24" s="324"/>
      <c r="G24" s="325"/>
      <c r="H24" s="310"/>
      <c r="I24" s="216"/>
    </row>
    <row r="25" spans="1:9" ht="15.75" x14ac:dyDescent="0.25">
      <c r="A25" s="326"/>
      <c r="B25" s="326"/>
      <c r="D25" s="259"/>
      <c r="E25" s="181"/>
      <c r="F25" s="181"/>
      <c r="G25" s="214"/>
      <c r="H25" s="310"/>
      <c r="I25" s="216"/>
    </row>
    <row r="26" spans="1:9" x14ac:dyDescent="0.25">
      <c r="A26" s="187"/>
      <c r="B26" s="187"/>
      <c r="C26" s="327"/>
      <c r="D26" s="259"/>
      <c r="E26" s="259"/>
      <c r="F26" s="232"/>
      <c r="G26" s="214"/>
      <c r="H26" s="310"/>
      <c r="I26" s="216"/>
    </row>
    <row r="27" spans="1:9" ht="15.75" x14ac:dyDescent="0.25">
      <c r="A27" s="226"/>
      <c r="B27" s="227"/>
      <c r="C27" s="107" t="s">
        <v>131</v>
      </c>
      <c r="D27" s="230" t="s">
        <v>132</v>
      </c>
      <c r="E27" s="231"/>
      <c r="F27" s="232"/>
      <c r="G27" s="214"/>
      <c r="H27" s="310"/>
      <c r="I27" s="216"/>
    </row>
    <row r="28" spans="1:9" x14ac:dyDescent="0.25">
      <c r="A28" s="328"/>
      <c r="B28" s="329"/>
      <c r="C28" s="330"/>
      <c r="D28" s="331" t="s">
        <v>132</v>
      </c>
      <c r="E28" s="259"/>
      <c r="F28" s="232"/>
      <c r="G28" s="214"/>
      <c r="H28" s="310"/>
      <c r="I28" s="216"/>
    </row>
    <row r="29" spans="1:9" x14ac:dyDescent="0.25">
      <c r="A29" s="187"/>
      <c r="B29" s="187"/>
      <c r="C29" s="327"/>
      <c r="D29" s="331" t="s">
        <v>132</v>
      </c>
      <c r="E29" s="259"/>
      <c r="F29" s="232"/>
      <c r="G29" s="214"/>
      <c r="H29" s="310"/>
      <c r="I29" s="216"/>
    </row>
    <row r="30" spans="1:9" x14ac:dyDescent="0.25">
      <c r="A30" s="332"/>
      <c r="B30" s="332"/>
      <c r="C30" s="330"/>
      <c r="D30" s="331" t="s">
        <v>132</v>
      </c>
      <c r="E30" s="259"/>
      <c r="F30" s="232"/>
      <c r="G30" s="214"/>
      <c r="H30" s="310"/>
      <c r="I30" s="216"/>
    </row>
    <row r="31" spans="1:9" x14ac:dyDescent="0.25">
      <c r="A31" s="187"/>
      <c r="B31" s="187"/>
      <c r="C31" s="327"/>
      <c r="D31" s="259" t="s">
        <v>132</v>
      </c>
      <c r="E31" s="230"/>
      <c r="F31" s="232"/>
      <c r="G31" s="214"/>
      <c r="H31" s="310"/>
      <c r="I31" s="216"/>
    </row>
    <row r="32" spans="1:9" x14ac:dyDescent="0.25">
      <c r="A32" s="187"/>
      <c r="B32" s="187"/>
      <c r="C32" s="327"/>
      <c r="D32" s="295" t="s">
        <v>132</v>
      </c>
      <c r="E32" s="333"/>
      <c r="F32" s="334"/>
      <c r="G32" s="214"/>
      <c r="H32" s="310"/>
      <c r="I32" s="216"/>
    </row>
    <row r="33" spans="1:9" ht="15.75" x14ac:dyDescent="0.25">
      <c r="A33" s="242"/>
      <c r="B33" s="243"/>
      <c r="C33" s="108" t="s">
        <v>133</v>
      </c>
      <c r="D33" s="244" t="s">
        <v>132</v>
      </c>
      <c r="E33" s="214"/>
      <c r="F33" s="215"/>
      <c r="G33" s="214"/>
      <c r="H33" s="310"/>
      <c r="I33" s="216"/>
    </row>
    <row r="34" spans="1:9" ht="15.75" x14ac:dyDescent="0.25">
      <c r="A34" s="371">
        <v>702069</v>
      </c>
      <c r="B34" s="372" t="s">
        <v>245</v>
      </c>
      <c r="C34" s="373" t="s">
        <v>246</v>
      </c>
      <c r="D34" s="374"/>
      <c r="E34" s="181">
        <v>208</v>
      </c>
      <c r="F34" s="181" t="s">
        <v>22</v>
      </c>
      <c r="G34" s="309"/>
      <c r="H34" s="310"/>
      <c r="I34" s="216"/>
    </row>
    <row r="35" spans="1:9" x14ac:dyDescent="0.25">
      <c r="A35" s="375"/>
      <c r="B35" s="376"/>
      <c r="C35" s="377"/>
      <c r="D35" s="378"/>
      <c r="E35" s="379"/>
      <c r="F35" s="380"/>
      <c r="G35" s="338"/>
      <c r="H35" s="310"/>
      <c r="I35" s="216"/>
    </row>
    <row r="36" spans="1:9" x14ac:dyDescent="0.25">
      <c r="A36" s="304"/>
      <c r="B36" s="339"/>
      <c r="C36" s="306"/>
      <c r="D36" s="307"/>
      <c r="E36" s="250"/>
      <c r="F36" s="251"/>
      <c r="G36" s="214"/>
      <c r="H36" s="310"/>
      <c r="I36" s="216"/>
    </row>
    <row r="37" spans="1:9" x14ac:dyDescent="0.25">
      <c r="A37" s="340"/>
      <c r="B37" s="340"/>
      <c r="C37" s="327"/>
      <c r="D37" s="230"/>
      <c r="E37" s="259"/>
      <c r="F37" s="232"/>
      <c r="G37" s="214"/>
      <c r="H37" s="215"/>
      <c r="I37" s="216"/>
    </row>
    <row r="38" spans="1:9" x14ac:dyDescent="0.25">
      <c r="A38" s="341"/>
      <c r="B38" s="342"/>
      <c r="C38" s="343"/>
      <c r="D38" s="230"/>
      <c r="E38" s="259"/>
      <c r="F38" s="232"/>
      <c r="G38" s="214"/>
      <c r="H38" s="215"/>
      <c r="I38" s="216"/>
    </row>
    <row r="39" spans="1:9" ht="15.75" x14ac:dyDescent="0.25">
      <c r="A39" s="341"/>
      <c r="B39" s="342"/>
      <c r="C39" s="343"/>
      <c r="D39" s="109"/>
      <c r="E39" s="259"/>
      <c r="F39" s="232"/>
      <c r="G39" s="258"/>
      <c r="H39" s="230"/>
      <c r="I39" s="216"/>
    </row>
    <row r="40" spans="1:9" ht="15.75" x14ac:dyDescent="0.25">
      <c r="A40" s="226"/>
      <c r="B40" s="227"/>
      <c r="C40" s="296"/>
      <c r="D40" s="109"/>
      <c r="E40" s="259"/>
      <c r="F40" s="232"/>
      <c r="G40" s="259"/>
      <c r="H40" s="230"/>
      <c r="I40" s="216"/>
    </row>
    <row r="41" spans="1:9" ht="15.75" x14ac:dyDescent="0.25">
      <c r="A41" s="226"/>
      <c r="B41" s="227"/>
      <c r="C41" s="296"/>
      <c r="D41" s="109"/>
      <c r="E41" s="259"/>
      <c r="F41" s="232"/>
      <c r="G41" s="147"/>
      <c r="H41" s="232"/>
      <c r="I41" s="216"/>
    </row>
    <row r="42" spans="1:9" ht="15.75" x14ac:dyDescent="0.25">
      <c r="A42" s="226"/>
      <c r="B42" s="227"/>
      <c r="C42" s="296"/>
      <c r="D42" s="230"/>
      <c r="E42" s="230"/>
      <c r="F42" s="232"/>
      <c r="G42" s="109"/>
      <c r="H42" s="109"/>
      <c r="I42" s="216"/>
    </row>
    <row r="43" spans="1:9" ht="15.75" thickBot="1" x14ac:dyDescent="0.3">
      <c r="A43" s="262"/>
      <c r="B43" s="263"/>
      <c r="C43" s="264"/>
      <c r="D43" s="264"/>
      <c r="E43" s="265"/>
      <c r="F43" s="266"/>
      <c r="G43" s="264"/>
      <c r="H43" s="264"/>
      <c r="I43" s="267"/>
    </row>
    <row r="44" spans="1:9" ht="15.75" thickBot="1" x14ac:dyDescent="0.3">
      <c r="A44" s="268"/>
      <c r="B44" s="269"/>
      <c r="C44" s="270"/>
      <c r="D44" s="271" t="s">
        <v>15</v>
      </c>
      <c r="E44" s="272" t="s">
        <v>33</v>
      </c>
      <c r="F44" s="273"/>
      <c r="G44" s="270"/>
      <c r="H44" s="270"/>
      <c r="I44" s="274"/>
    </row>
    <row r="45" spans="1:9" x14ac:dyDescent="0.25">
      <c r="A45" s="785" t="s">
        <v>34</v>
      </c>
      <c r="B45" s="786"/>
      <c r="C45" s="787"/>
      <c r="D45" s="344">
        <v>80580</v>
      </c>
      <c r="E45" s="345" t="s">
        <v>22</v>
      </c>
      <c r="F45" s="788" t="s">
        <v>35</v>
      </c>
      <c r="G45" s="788"/>
      <c r="H45" s="789"/>
      <c r="I45" s="790"/>
    </row>
    <row r="46" spans="1:9" x14ac:dyDescent="0.25">
      <c r="A46" s="791" t="s">
        <v>36</v>
      </c>
      <c r="B46" s="792"/>
      <c r="C46" s="793"/>
      <c r="D46" s="346">
        <v>75</v>
      </c>
      <c r="E46" s="347" t="s">
        <v>37</v>
      </c>
      <c r="F46" s="794" t="s">
        <v>38</v>
      </c>
      <c r="G46" s="794"/>
      <c r="H46" s="795"/>
      <c r="I46" s="796"/>
    </row>
    <row r="47" spans="1:9" x14ac:dyDescent="0.25">
      <c r="A47" s="791" t="s">
        <v>39</v>
      </c>
      <c r="B47" s="792"/>
      <c r="C47" s="793"/>
      <c r="D47" s="347">
        <v>4.25</v>
      </c>
      <c r="E47" s="347" t="s">
        <v>247</v>
      </c>
      <c r="F47" s="794" t="s">
        <v>40</v>
      </c>
      <c r="G47" s="794"/>
      <c r="H47" s="795"/>
      <c r="I47" s="796"/>
    </row>
    <row r="48" spans="1:9" x14ac:dyDescent="0.25">
      <c r="A48" s="791" t="s">
        <v>41</v>
      </c>
      <c r="B48" s="792"/>
      <c r="C48" s="793"/>
      <c r="D48" s="347">
        <v>18960</v>
      </c>
      <c r="E48" s="347" t="s">
        <v>19</v>
      </c>
      <c r="F48" s="797" t="s">
        <v>42</v>
      </c>
      <c r="G48" s="798"/>
      <c r="H48" s="795"/>
      <c r="I48" s="796"/>
    </row>
    <row r="49" spans="1:9" ht="15.75" thickBot="1" x14ac:dyDescent="0.3">
      <c r="A49" s="805" t="s">
        <v>43</v>
      </c>
      <c r="B49" s="806"/>
      <c r="C49" s="807"/>
      <c r="D49" s="348">
        <v>60000</v>
      </c>
      <c r="E49" s="349" t="s">
        <v>19</v>
      </c>
      <c r="F49" s="808"/>
      <c r="G49" s="808"/>
      <c r="H49" s="842"/>
      <c r="I49" s="843"/>
    </row>
    <row r="50" spans="1:9" ht="15.75" thickBot="1" x14ac:dyDescent="0.3">
      <c r="A50" s="809" t="s">
        <v>44</v>
      </c>
      <c r="B50" s="810"/>
      <c r="C50" s="810"/>
      <c r="D50" s="810"/>
      <c r="E50" s="810"/>
      <c r="F50" s="810"/>
      <c r="G50" s="810"/>
      <c r="H50" s="810"/>
      <c r="I50" s="811"/>
    </row>
    <row r="51" spans="1:9" x14ac:dyDescent="0.25">
      <c r="A51" s="815" t="s">
        <v>248</v>
      </c>
      <c r="B51" s="816"/>
      <c r="C51" s="816"/>
      <c r="D51" s="816"/>
      <c r="E51" s="816"/>
      <c r="F51" s="816"/>
      <c r="G51" s="816"/>
      <c r="H51" s="816"/>
      <c r="I51" s="817"/>
    </row>
    <row r="52" spans="1:9" x14ac:dyDescent="0.25">
      <c r="A52" s="815" t="s">
        <v>249</v>
      </c>
      <c r="B52" s="816"/>
      <c r="C52" s="816"/>
      <c r="D52" s="816"/>
      <c r="E52" s="816"/>
      <c r="F52" s="816"/>
      <c r="G52" s="816"/>
      <c r="H52" s="816"/>
      <c r="I52" s="817"/>
    </row>
    <row r="53" spans="1:9" x14ac:dyDescent="0.25">
      <c r="A53" s="815" t="s">
        <v>250</v>
      </c>
      <c r="B53" s="816"/>
      <c r="C53" s="816"/>
      <c r="D53" s="816"/>
      <c r="E53" s="816"/>
      <c r="F53" s="816"/>
      <c r="G53" s="816"/>
      <c r="H53" s="816"/>
      <c r="I53" s="817"/>
    </row>
    <row r="54" spans="1:9" x14ac:dyDescent="0.25">
      <c r="A54" s="815" t="s">
        <v>251</v>
      </c>
      <c r="B54" s="816"/>
      <c r="C54" s="816"/>
      <c r="D54" s="816"/>
      <c r="E54" s="816"/>
      <c r="F54" s="816"/>
      <c r="G54" s="816"/>
      <c r="H54" s="816"/>
      <c r="I54" s="817"/>
    </row>
    <row r="55" spans="1:9" x14ac:dyDescent="0.25">
      <c r="A55" s="815" t="s">
        <v>252</v>
      </c>
      <c r="B55" s="816"/>
      <c r="C55" s="816"/>
      <c r="D55" s="816"/>
      <c r="E55" s="816"/>
      <c r="F55" s="816"/>
      <c r="G55" s="816"/>
      <c r="H55" s="816"/>
      <c r="I55" s="817"/>
    </row>
    <row r="56" spans="1:9" x14ac:dyDescent="0.25">
      <c r="A56" s="815" t="s">
        <v>253</v>
      </c>
      <c r="B56" s="816"/>
      <c r="C56" s="816"/>
      <c r="D56" s="816"/>
      <c r="E56" s="816"/>
      <c r="F56" s="816"/>
      <c r="G56" s="816"/>
      <c r="H56" s="816"/>
      <c r="I56" s="817"/>
    </row>
    <row r="57" spans="1:9" x14ac:dyDescent="0.25">
      <c r="A57" s="839"/>
      <c r="B57" s="840"/>
      <c r="C57" s="840"/>
      <c r="D57" s="840"/>
      <c r="E57" s="840"/>
      <c r="F57" s="840"/>
      <c r="G57" s="840"/>
      <c r="H57" s="840"/>
      <c r="I57" s="841"/>
    </row>
    <row r="58" spans="1:9" x14ac:dyDescent="0.25">
      <c r="A58" s="839"/>
      <c r="B58" s="840"/>
      <c r="C58" s="840"/>
      <c r="D58" s="840"/>
      <c r="E58" s="840"/>
      <c r="F58" s="840"/>
      <c r="G58" s="840"/>
      <c r="H58" s="840"/>
      <c r="I58" s="841"/>
    </row>
    <row r="59" spans="1:9" ht="15.75" thickBot="1" x14ac:dyDescent="0.3">
      <c r="A59" s="855"/>
      <c r="B59" s="856"/>
      <c r="C59" s="856"/>
      <c r="D59" s="856"/>
      <c r="E59" s="856"/>
      <c r="F59" s="856"/>
      <c r="G59" s="856"/>
      <c r="H59" s="856"/>
      <c r="I59" s="857"/>
    </row>
    <row r="60" spans="1:9" x14ac:dyDescent="0.25">
      <c r="A60" s="350"/>
      <c r="B60" s="350"/>
      <c r="C60" s="350"/>
      <c r="D60" s="350"/>
      <c r="E60" s="350"/>
      <c r="F60" s="350"/>
      <c r="G60" s="350"/>
      <c r="H60" s="350"/>
      <c r="I60" s="350"/>
    </row>
    <row r="61" spans="1:9" ht="15.75" thickBot="1" x14ac:dyDescent="0.3">
      <c r="A61" s="858"/>
      <c r="B61" s="859"/>
      <c r="C61" s="859"/>
      <c r="D61" s="859"/>
      <c r="E61" s="859"/>
      <c r="F61" s="859"/>
      <c r="G61" s="859"/>
      <c r="H61" s="859"/>
      <c r="I61" s="860"/>
    </row>
    <row r="62" spans="1:9" x14ac:dyDescent="0.25">
      <c r="A62" s="705" t="s">
        <v>134</v>
      </c>
      <c r="B62" s="706"/>
      <c r="C62" s="706"/>
      <c r="D62" s="706"/>
      <c r="E62" s="706"/>
      <c r="F62" s="706"/>
      <c r="G62" s="706"/>
      <c r="H62" s="706"/>
      <c r="I62" s="706"/>
    </row>
    <row r="63" spans="1:9" x14ac:dyDescent="0.25">
      <c r="A63" s="703"/>
      <c r="B63" s="704"/>
      <c r="C63" s="704"/>
      <c r="D63" s="704"/>
      <c r="E63" s="704"/>
      <c r="F63" s="704"/>
      <c r="G63" s="704"/>
      <c r="H63" s="704"/>
      <c r="I63" s="704"/>
    </row>
    <row r="64" spans="1:9" x14ac:dyDescent="0.25">
      <c r="A64" s="703"/>
      <c r="B64" s="704"/>
      <c r="C64" s="704"/>
      <c r="D64" s="704"/>
      <c r="E64" s="704"/>
      <c r="F64" s="704"/>
      <c r="G64" s="704"/>
      <c r="H64" s="704"/>
      <c r="I64" s="704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A672-10A3-423B-8EE4-8761608F0430}">
  <dimension ref="A1:I58"/>
  <sheetViews>
    <sheetView zoomScale="85" zoomScaleNormal="85" workbookViewId="0">
      <selection activeCell="C13" sqref="C1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33.7109375" bestFit="1" customWidth="1"/>
    <col min="9" max="9" width="17.42578125" bestFit="1" customWidth="1"/>
  </cols>
  <sheetData>
    <row r="1" spans="1:9" ht="15.75" x14ac:dyDescent="0.25">
      <c r="A1" s="870"/>
      <c r="B1" s="871"/>
      <c r="C1" s="643" t="s">
        <v>0</v>
      </c>
      <c r="D1" s="643"/>
      <c r="E1" s="643"/>
      <c r="F1" s="643"/>
      <c r="G1" s="643"/>
      <c r="H1" s="381" t="s">
        <v>1</v>
      </c>
      <c r="I1" s="382" t="s">
        <v>254</v>
      </c>
    </row>
    <row r="2" spans="1:9" ht="18" customHeight="1" thickBot="1" x14ac:dyDescent="0.3">
      <c r="A2" s="872"/>
      <c r="B2" s="873"/>
      <c r="C2" s="876" t="s">
        <v>2</v>
      </c>
      <c r="D2" s="877"/>
      <c r="E2" s="877"/>
      <c r="F2" s="877"/>
      <c r="G2" s="878"/>
      <c r="H2" s="383" t="s">
        <v>3</v>
      </c>
      <c r="I2" s="384" t="s">
        <v>172</v>
      </c>
    </row>
    <row r="3" spans="1:9" ht="31.5" customHeight="1" thickBot="1" x14ac:dyDescent="0.3">
      <c r="A3" s="872"/>
      <c r="B3" s="873"/>
      <c r="C3" s="879" t="s">
        <v>255</v>
      </c>
      <c r="D3" s="880"/>
      <c r="E3" s="880"/>
      <c r="F3" s="880"/>
      <c r="G3" s="881"/>
      <c r="H3" s="882" t="s">
        <v>4</v>
      </c>
      <c r="I3" s="861">
        <v>45613</v>
      </c>
    </row>
    <row r="4" spans="1:9" ht="18" customHeight="1" x14ac:dyDescent="0.25">
      <c r="A4" s="872"/>
      <c r="B4" s="873"/>
      <c r="C4" s="385" t="s">
        <v>5</v>
      </c>
      <c r="D4" s="864" t="s">
        <v>156</v>
      </c>
      <c r="E4" s="865"/>
      <c r="F4" s="865"/>
      <c r="G4" s="866"/>
      <c r="H4" s="883"/>
      <c r="I4" s="862"/>
    </row>
    <row r="5" spans="1:9" ht="15.75" thickBot="1" x14ac:dyDescent="0.3">
      <c r="A5" s="874"/>
      <c r="B5" s="875"/>
      <c r="C5" s="386" t="s">
        <v>6</v>
      </c>
      <c r="D5" s="867" t="s">
        <v>127</v>
      </c>
      <c r="E5" s="868"/>
      <c r="F5" s="868"/>
      <c r="G5" s="869"/>
      <c r="H5" s="884"/>
      <c r="I5" s="863"/>
    </row>
    <row r="6" spans="1:9" ht="18.75" thickBot="1" x14ac:dyDescent="0.3">
      <c r="A6" s="776" t="s">
        <v>7</v>
      </c>
      <c r="B6" s="776"/>
      <c r="C6" s="776"/>
      <c r="D6" s="777" t="s">
        <v>131</v>
      </c>
      <c r="E6" s="777"/>
      <c r="F6" s="777"/>
      <c r="G6" s="778" t="s">
        <v>8</v>
      </c>
      <c r="H6" s="778"/>
      <c r="I6" s="205" t="s">
        <v>256</v>
      </c>
    </row>
    <row r="7" spans="1:9" ht="25.5" x14ac:dyDescent="0.25">
      <c r="A7" s="779" t="s">
        <v>9</v>
      </c>
      <c r="B7" s="781" t="s">
        <v>129</v>
      </c>
      <c r="C7" s="783" t="s">
        <v>10</v>
      </c>
      <c r="D7" s="783" t="s">
        <v>11</v>
      </c>
      <c r="E7" s="783" t="s">
        <v>12</v>
      </c>
      <c r="F7" s="783"/>
      <c r="G7" s="783" t="s">
        <v>13</v>
      </c>
      <c r="H7" s="783"/>
      <c r="I7" s="206" t="s">
        <v>14</v>
      </c>
    </row>
    <row r="8" spans="1:9" ht="27" thickBot="1" x14ac:dyDescent="0.3">
      <c r="A8" s="780"/>
      <c r="B8" s="782"/>
      <c r="C8" s="784"/>
      <c r="D8" s="784"/>
      <c r="E8" s="207" t="s">
        <v>15</v>
      </c>
      <c r="F8" s="208" t="s">
        <v>16</v>
      </c>
      <c r="G8" s="207" t="s">
        <v>15</v>
      </c>
      <c r="H8" s="208" t="s">
        <v>16</v>
      </c>
      <c r="I8" s="209" t="s">
        <v>17</v>
      </c>
    </row>
    <row r="9" spans="1:9" x14ac:dyDescent="0.25">
      <c r="A9" s="210"/>
      <c r="B9" s="211"/>
      <c r="C9" s="212" t="s">
        <v>130</v>
      </c>
      <c r="D9" s="213"/>
      <c r="E9" s="214"/>
      <c r="F9" s="215"/>
      <c r="G9" s="214"/>
      <c r="H9" s="215"/>
      <c r="I9" s="216"/>
    </row>
    <row r="10" spans="1:9" ht="18" customHeight="1" x14ac:dyDescent="0.25">
      <c r="A10" s="233">
        <v>95717</v>
      </c>
      <c r="B10" s="387" t="s">
        <v>257</v>
      </c>
      <c r="C10" s="235" t="s">
        <v>258</v>
      </c>
      <c r="D10" s="236" t="s">
        <v>20</v>
      </c>
      <c r="E10" s="388">
        <v>1000</v>
      </c>
      <c r="F10" s="389" t="s">
        <v>19</v>
      </c>
      <c r="G10" s="221"/>
      <c r="H10" s="222"/>
      <c r="I10" s="216"/>
    </row>
    <row r="11" spans="1:9" x14ac:dyDescent="0.25">
      <c r="A11" s="233">
        <v>10400001</v>
      </c>
      <c r="B11" s="390" t="s">
        <v>259</v>
      </c>
      <c r="C11" s="391" t="s">
        <v>260</v>
      </c>
      <c r="D11" s="236" t="s">
        <v>261</v>
      </c>
      <c r="E11" s="237">
        <v>10</v>
      </c>
      <c r="F11" s="238" t="s">
        <v>19</v>
      </c>
      <c r="G11" s="221"/>
      <c r="H11" s="222"/>
      <c r="I11" s="216"/>
    </row>
    <row r="12" spans="1:9" x14ac:dyDescent="0.25">
      <c r="A12" s="233">
        <v>10400006</v>
      </c>
      <c r="B12" s="390" t="s">
        <v>262</v>
      </c>
      <c r="C12" s="391" t="s">
        <v>263</v>
      </c>
      <c r="D12" s="236" t="s">
        <v>261</v>
      </c>
      <c r="E12" s="237">
        <v>10</v>
      </c>
      <c r="F12" s="238" t="s">
        <v>19</v>
      </c>
      <c r="G12" s="225"/>
      <c r="H12" s="222"/>
      <c r="I12" s="216"/>
    </row>
    <row r="13" spans="1:9" x14ac:dyDescent="0.25">
      <c r="A13" s="233"/>
      <c r="B13" s="390"/>
      <c r="C13" s="391"/>
      <c r="D13" s="236"/>
      <c r="E13" s="237"/>
      <c r="F13" s="238"/>
      <c r="G13" s="225"/>
      <c r="H13" s="222"/>
      <c r="I13" s="216"/>
    </row>
    <row r="14" spans="1:9" x14ac:dyDescent="0.25">
      <c r="A14" s="392"/>
      <c r="B14" s="393"/>
      <c r="C14" s="394"/>
      <c r="D14" s="225"/>
      <c r="E14" s="225"/>
      <c r="F14" s="395"/>
      <c r="G14" s="225"/>
      <c r="H14" s="222"/>
      <c r="I14" s="216"/>
    </row>
    <row r="15" spans="1:9" x14ac:dyDescent="0.25">
      <c r="A15" s="396"/>
      <c r="B15" s="393"/>
      <c r="C15" s="397"/>
      <c r="D15" s="225"/>
      <c r="E15" s="225"/>
      <c r="F15" s="395"/>
      <c r="G15" s="225"/>
      <c r="H15" s="222"/>
      <c r="I15" s="216"/>
    </row>
    <row r="16" spans="1:9" x14ac:dyDescent="0.25">
      <c r="A16" s="225"/>
      <c r="B16" s="225"/>
      <c r="C16" s="398"/>
      <c r="D16" s="337"/>
      <c r="E16" s="337"/>
      <c r="F16" s="221"/>
      <c r="G16" s="225"/>
      <c r="H16" s="222"/>
      <c r="I16" s="216"/>
    </row>
    <row r="17" spans="1:9" x14ac:dyDescent="0.25">
      <c r="A17" s="393"/>
      <c r="B17" s="393"/>
      <c r="C17" s="399"/>
      <c r="D17" s="225"/>
      <c r="E17" s="225"/>
      <c r="F17" s="395"/>
      <c r="G17" s="225"/>
      <c r="H17" s="222"/>
      <c r="I17" s="216"/>
    </row>
    <row r="18" spans="1:9" x14ac:dyDescent="0.25">
      <c r="A18" s="392"/>
      <c r="B18" s="393"/>
      <c r="C18" s="394"/>
      <c r="D18" s="225"/>
      <c r="E18" s="225"/>
      <c r="F18" s="395"/>
      <c r="G18" s="225"/>
      <c r="H18" s="222"/>
      <c r="I18" s="216"/>
    </row>
    <row r="19" spans="1:9" ht="15.75" x14ac:dyDescent="0.25">
      <c r="A19" s="187"/>
      <c r="B19" s="187"/>
      <c r="C19" s="193"/>
      <c r="D19" s="400"/>
      <c r="E19" s="2"/>
      <c r="F19" s="5"/>
      <c r="G19" s="214"/>
      <c r="H19" s="222"/>
      <c r="I19" s="216"/>
    </row>
    <row r="20" spans="1:9" ht="15.75" x14ac:dyDescent="0.25">
      <c r="A20" s="226"/>
      <c r="B20" s="227"/>
      <c r="C20" s="107" t="s">
        <v>131</v>
      </c>
      <c r="D20" s="230"/>
      <c r="E20" s="231"/>
      <c r="F20" s="232"/>
      <c r="G20" s="214"/>
      <c r="H20" s="215"/>
      <c r="I20" s="216"/>
    </row>
    <row r="21" spans="1:9" x14ac:dyDescent="0.25">
      <c r="A21" s="233"/>
      <c r="B21" s="234"/>
      <c r="C21" s="235"/>
      <c r="D21" s="236"/>
      <c r="E21" s="237"/>
      <c r="F21" s="238"/>
      <c r="G21" s="214"/>
      <c r="H21" s="215"/>
      <c r="I21" s="216"/>
    </row>
    <row r="22" spans="1:9" x14ac:dyDescent="0.25">
      <c r="A22" s="233"/>
      <c r="B22" s="234"/>
      <c r="C22" s="235"/>
      <c r="D22" s="236"/>
      <c r="E22" s="240"/>
      <c r="F22" s="238"/>
      <c r="G22" s="214"/>
      <c r="H22" s="215"/>
      <c r="I22" s="216"/>
    </row>
    <row r="23" spans="1:9" x14ac:dyDescent="0.25">
      <c r="A23" s="233"/>
      <c r="B23" s="234"/>
      <c r="C23" s="235"/>
      <c r="D23" s="236"/>
      <c r="E23" s="237"/>
      <c r="F23" s="238"/>
      <c r="G23" s="214"/>
      <c r="H23" s="215"/>
      <c r="I23" s="216"/>
    </row>
    <row r="24" spans="1:9" x14ac:dyDescent="0.25">
      <c r="A24" s="233"/>
      <c r="B24" s="234"/>
      <c r="C24" s="235"/>
      <c r="D24" s="236"/>
      <c r="E24" s="291"/>
      <c r="F24" s="292"/>
      <c r="G24" s="214"/>
      <c r="H24" s="215"/>
      <c r="I24" s="216"/>
    </row>
    <row r="25" spans="1:9" x14ac:dyDescent="0.25">
      <c r="A25" s="233"/>
      <c r="B25" s="234"/>
      <c r="C25" s="235"/>
      <c r="D25" s="236"/>
      <c r="E25" s="388"/>
      <c r="F25" s="292"/>
      <c r="G25" s="214"/>
      <c r="H25" s="215"/>
      <c r="I25" s="216"/>
    </row>
    <row r="26" spans="1:9" x14ac:dyDescent="0.25">
      <c r="A26" s="326"/>
      <c r="B26" s="326"/>
      <c r="D26" s="401"/>
      <c r="E26" s="402"/>
      <c r="F26" s="403"/>
      <c r="G26" s="214"/>
      <c r="H26" s="215"/>
      <c r="I26" s="216"/>
    </row>
    <row r="27" spans="1:9" x14ac:dyDescent="0.25">
      <c r="A27" s="187"/>
      <c r="B27" s="187"/>
      <c r="C27" s="193"/>
      <c r="D27" s="239"/>
      <c r="E27" s="297"/>
      <c r="F27" s="403"/>
      <c r="G27" s="214"/>
      <c r="H27" s="215"/>
      <c r="I27" s="216"/>
    </row>
    <row r="28" spans="1:9" x14ac:dyDescent="0.25">
      <c r="A28" s="187"/>
      <c r="B28" s="187"/>
      <c r="C28" s="193"/>
      <c r="D28" s="239"/>
      <c r="E28" s="240"/>
      <c r="F28" s="241"/>
      <c r="G28" s="214"/>
      <c r="H28" s="215"/>
      <c r="I28" s="216"/>
    </row>
    <row r="29" spans="1:9" ht="15.75" x14ac:dyDescent="0.25">
      <c r="A29" s="242"/>
      <c r="B29" s="243"/>
      <c r="C29" s="108" t="s">
        <v>133</v>
      </c>
      <c r="D29" s="244"/>
      <c r="E29" s="245"/>
      <c r="F29" s="215"/>
      <c r="G29" s="214"/>
      <c r="I29" s="216"/>
    </row>
    <row r="30" spans="1:9" x14ac:dyDescent="0.25">
      <c r="A30" s="404"/>
      <c r="B30" s="404"/>
      <c r="C30" s="296"/>
      <c r="D30" s="405"/>
      <c r="E30" s="406"/>
      <c r="F30" s="407"/>
      <c r="G30" s="252"/>
      <c r="H30" s="215"/>
      <c r="I30" s="216"/>
    </row>
    <row r="31" spans="1:9" x14ac:dyDescent="0.25">
      <c r="A31" s="404"/>
      <c r="B31" s="404"/>
      <c r="C31" s="296"/>
      <c r="D31" s="405"/>
      <c r="E31" s="406"/>
      <c r="F31" s="407"/>
      <c r="G31" s="252"/>
      <c r="H31" s="215"/>
      <c r="I31" s="216"/>
    </row>
    <row r="32" spans="1:9" x14ac:dyDescent="0.25">
      <c r="A32" s="404"/>
      <c r="B32" s="404"/>
      <c r="C32" s="296"/>
      <c r="D32" s="405"/>
      <c r="E32" s="406"/>
      <c r="F32" s="407"/>
      <c r="G32" s="252"/>
      <c r="H32" s="215"/>
      <c r="I32" s="216"/>
    </row>
    <row r="33" spans="1:9" x14ac:dyDescent="0.25">
      <c r="A33" s="408"/>
      <c r="B33" s="408"/>
      <c r="C33" s="409"/>
      <c r="D33" s="249"/>
      <c r="E33" s="410"/>
      <c r="F33" s="411"/>
      <c r="G33" s="214"/>
      <c r="H33" s="215"/>
      <c r="I33" s="216"/>
    </row>
    <row r="34" spans="1:9" x14ac:dyDescent="0.25">
      <c r="A34" s="408"/>
      <c r="B34" s="408"/>
      <c r="C34" s="412"/>
      <c r="D34" s="249"/>
      <c r="E34" s="249"/>
      <c r="F34" s="411"/>
      <c r="G34" s="214"/>
      <c r="H34" s="215"/>
      <c r="I34" s="216"/>
    </row>
    <row r="35" spans="1:9" x14ac:dyDescent="0.25">
      <c r="A35" s="408"/>
      <c r="B35" s="408"/>
      <c r="C35" s="412"/>
      <c r="D35" s="249"/>
      <c r="E35" s="249"/>
      <c r="F35" s="411"/>
      <c r="G35" s="258"/>
      <c r="H35" s="215"/>
      <c r="I35" s="216"/>
    </row>
    <row r="36" spans="1:9" ht="15.75" x14ac:dyDescent="0.25">
      <c r="A36" s="413"/>
      <c r="B36" s="414"/>
      <c r="C36" s="415"/>
      <c r="D36" s="416"/>
      <c r="E36" s="416"/>
      <c r="F36" s="417"/>
      <c r="G36" s="259"/>
      <c r="H36" s="215"/>
      <c r="I36" s="216"/>
    </row>
    <row r="37" spans="1:9" ht="15.75" x14ac:dyDescent="0.25">
      <c r="A37" s="226"/>
      <c r="B37" s="227"/>
      <c r="C37" s="296"/>
      <c r="D37" s="249"/>
      <c r="E37" s="259"/>
      <c r="F37" s="232"/>
      <c r="G37" s="147"/>
      <c r="H37" s="215"/>
      <c r="I37" s="216"/>
    </row>
    <row r="38" spans="1:9" ht="15.75" x14ac:dyDescent="0.25">
      <c r="A38" s="226"/>
      <c r="B38" s="227"/>
      <c r="C38" s="296"/>
      <c r="D38" s="230"/>
      <c r="E38" s="230"/>
      <c r="F38" s="232"/>
      <c r="G38" s="109"/>
      <c r="H38" s="109"/>
      <c r="I38" s="216"/>
    </row>
    <row r="39" spans="1:9" ht="15.75" thickBot="1" x14ac:dyDescent="0.3">
      <c r="A39" s="262"/>
      <c r="B39" s="263"/>
      <c r="C39" s="264"/>
      <c r="D39" s="264"/>
      <c r="E39" s="265"/>
      <c r="F39" s="266"/>
      <c r="G39" s="264"/>
      <c r="H39" s="264"/>
      <c r="I39" s="267"/>
    </row>
    <row r="40" spans="1:9" ht="15.75" thickBot="1" x14ac:dyDescent="0.3">
      <c r="A40" s="268"/>
      <c r="B40" s="269"/>
      <c r="C40" s="270"/>
      <c r="D40" s="271" t="s">
        <v>15</v>
      </c>
      <c r="E40" s="272" t="s">
        <v>33</v>
      </c>
      <c r="F40" s="273"/>
      <c r="G40" s="270"/>
      <c r="H40" s="270"/>
      <c r="I40" s="274"/>
    </row>
    <row r="41" spans="1:9" x14ac:dyDescent="0.25">
      <c r="A41" s="785" t="s">
        <v>34</v>
      </c>
      <c r="B41" s="786"/>
      <c r="C41" s="787"/>
      <c r="D41" s="297">
        <v>1000</v>
      </c>
      <c r="E41" s="276" t="s">
        <v>19</v>
      </c>
      <c r="F41" s="788" t="s">
        <v>35</v>
      </c>
      <c r="G41" s="788"/>
      <c r="H41" s="789"/>
      <c r="I41" s="790"/>
    </row>
    <row r="42" spans="1:9" x14ac:dyDescent="0.25">
      <c r="A42" s="791" t="s">
        <v>36</v>
      </c>
      <c r="B42" s="792"/>
      <c r="C42" s="793"/>
      <c r="D42" s="225">
        <v>2</v>
      </c>
      <c r="E42" s="225" t="s">
        <v>264</v>
      </c>
      <c r="F42" s="794" t="s">
        <v>38</v>
      </c>
      <c r="G42" s="794"/>
      <c r="H42" s="795"/>
      <c r="I42" s="796"/>
    </row>
    <row r="43" spans="1:9" x14ac:dyDescent="0.25">
      <c r="A43" s="791" t="s">
        <v>39</v>
      </c>
      <c r="B43" s="792"/>
      <c r="C43" s="793"/>
      <c r="D43" s="225">
        <v>1</v>
      </c>
      <c r="E43" s="225" t="s">
        <v>184</v>
      </c>
      <c r="F43" s="794" t="s">
        <v>40</v>
      </c>
      <c r="G43" s="794"/>
      <c r="H43" s="795"/>
      <c r="I43" s="796"/>
    </row>
    <row r="44" spans="1:9" x14ac:dyDescent="0.25">
      <c r="A44" s="791" t="s">
        <v>41</v>
      </c>
      <c r="B44" s="792"/>
      <c r="C44" s="793"/>
      <c r="D44" s="240">
        <v>1000</v>
      </c>
      <c r="E44" s="225" t="s">
        <v>19</v>
      </c>
      <c r="F44" s="797" t="s">
        <v>42</v>
      </c>
      <c r="G44" s="798"/>
      <c r="H44" s="799"/>
      <c r="I44" s="800"/>
    </row>
    <row r="45" spans="1:9" ht="15.75" thickBot="1" x14ac:dyDescent="0.3">
      <c r="A45" s="805" t="s">
        <v>43</v>
      </c>
      <c r="B45" s="806"/>
      <c r="C45" s="807"/>
      <c r="D45" s="277">
        <v>20</v>
      </c>
      <c r="E45" s="278" t="s">
        <v>19</v>
      </c>
      <c r="F45" s="808"/>
      <c r="G45" s="808"/>
      <c r="H45" s="795"/>
      <c r="I45" s="796"/>
    </row>
    <row r="46" spans="1:9" ht="15.75" thickBot="1" x14ac:dyDescent="0.3">
      <c r="A46" s="809" t="s">
        <v>44</v>
      </c>
      <c r="B46" s="810"/>
      <c r="C46" s="810"/>
      <c r="D46" s="810"/>
      <c r="E46" s="810"/>
      <c r="F46" s="810"/>
      <c r="G46" s="810"/>
      <c r="H46" s="810"/>
      <c r="I46" s="811"/>
    </row>
    <row r="47" spans="1:9" ht="18.399999999999999" customHeight="1" x14ac:dyDescent="0.25">
      <c r="A47" s="885" t="s">
        <v>265</v>
      </c>
      <c r="B47" s="886"/>
      <c r="C47" s="886"/>
      <c r="D47" s="886"/>
      <c r="E47" s="886"/>
      <c r="F47" s="886"/>
      <c r="G47" s="886"/>
      <c r="H47" s="886"/>
      <c r="I47" s="887"/>
    </row>
    <row r="48" spans="1:9" ht="14.65" customHeight="1" x14ac:dyDescent="0.25">
      <c r="A48" s="885" t="s">
        <v>266</v>
      </c>
      <c r="B48" s="886"/>
      <c r="C48" s="886"/>
      <c r="D48" s="886"/>
      <c r="E48" s="886"/>
      <c r="F48" s="886"/>
      <c r="G48" s="886"/>
      <c r="H48" s="886"/>
      <c r="I48" s="887"/>
    </row>
    <row r="49" spans="1:9" ht="14.65" customHeight="1" x14ac:dyDescent="0.25">
      <c r="A49" s="885"/>
      <c r="B49" s="886"/>
      <c r="C49" s="886"/>
      <c r="D49" s="886"/>
      <c r="E49" s="886"/>
      <c r="F49" s="886"/>
      <c r="G49" s="886"/>
      <c r="H49" s="886"/>
      <c r="I49" s="887"/>
    </row>
    <row r="50" spans="1:9" ht="14.65" customHeight="1" x14ac:dyDescent="0.25">
      <c r="A50" s="885"/>
      <c r="B50" s="886"/>
      <c r="C50" s="886"/>
      <c r="D50" s="886"/>
      <c r="E50" s="886"/>
      <c r="F50" s="886"/>
      <c r="G50" s="886"/>
      <c r="H50" s="886"/>
      <c r="I50" s="887"/>
    </row>
    <row r="51" spans="1:9" ht="14.65" customHeight="1" x14ac:dyDescent="0.25">
      <c r="A51" s="885"/>
      <c r="B51" s="886"/>
      <c r="C51" s="886"/>
      <c r="D51" s="886"/>
      <c r="E51" s="886"/>
      <c r="F51" s="886"/>
      <c r="G51" s="886"/>
      <c r="H51" s="886"/>
      <c r="I51" s="887"/>
    </row>
    <row r="52" spans="1:9" ht="14.65" customHeight="1" thickBot="1" x14ac:dyDescent="0.3">
      <c r="A52" s="832"/>
      <c r="B52" s="833"/>
      <c r="C52" s="834"/>
      <c r="D52" s="834"/>
      <c r="E52" s="834"/>
      <c r="F52" s="834"/>
      <c r="G52" s="834"/>
      <c r="H52" s="834"/>
      <c r="I52" s="835"/>
    </row>
    <row r="53" spans="1:9" ht="18" customHeight="1" x14ac:dyDescent="0.25">
      <c r="A53" s="891"/>
      <c r="B53" s="827"/>
      <c r="C53" s="827"/>
      <c r="D53" s="827"/>
      <c r="E53" s="827"/>
      <c r="F53" s="827"/>
      <c r="G53" s="827"/>
      <c r="H53" s="827"/>
      <c r="I53" s="828"/>
    </row>
    <row r="54" spans="1:9" ht="15.75" thickBot="1" x14ac:dyDescent="0.3">
      <c r="A54" s="892"/>
      <c r="B54" s="893"/>
      <c r="C54" s="893"/>
      <c r="D54" s="893"/>
      <c r="E54" s="893"/>
      <c r="F54" s="893"/>
      <c r="G54" s="893"/>
      <c r="H54" s="893"/>
      <c r="I54" s="894"/>
    </row>
    <row r="55" spans="1:9" ht="15.75" thickBot="1" x14ac:dyDescent="0.3">
      <c r="A55" s="888"/>
      <c r="B55" s="889"/>
      <c r="C55" s="889"/>
      <c r="D55" s="889"/>
      <c r="E55" s="889"/>
      <c r="F55" s="889"/>
      <c r="G55" s="889"/>
      <c r="H55" s="889"/>
      <c r="I55" s="890"/>
    </row>
    <row r="56" spans="1:9" x14ac:dyDescent="0.25">
      <c r="A56" s="590" t="s">
        <v>134</v>
      </c>
      <c r="B56" s="591"/>
      <c r="C56" s="591"/>
      <c r="D56" s="591"/>
      <c r="E56" s="591"/>
      <c r="F56" s="591"/>
      <c r="G56" s="591"/>
      <c r="H56" s="591"/>
      <c r="I56" s="591"/>
    </row>
    <row r="57" spans="1:9" x14ac:dyDescent="0.25">
      <c r="A57" s="575"/>
      <c r="B57" s="576"/>
      <c r="C57" s="576"/>
      <c r="D57" s="576"/>
      <c r="E57" s="576"/>
      <c r="F57" s="576"/>
      <c r="G57" s="576"/>
      <c r="H57" s="576"/>
      <c r="I57" s="576"/>
    </row>
    <row r="58" spans="1:9" x14ac:dyDescent="0.25">
      <c r="A58" s="575"/>
      <c r="B58" s="576"/>
      <c r="C58" s="576"/>
      <c r="D58" s="576"/>
      <c r="E58" s="576"/>
      <c r="F58" s="576"/>
      <c r="G58" s="576"/>
      <c r="H58" s="576"/>
      <c r="I58" s="576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09F9-CEF4-4962-AD2C-07800EED0C49}">
  <dimension ref="A1:I58"/>
  <sheetViews>
    <sheetView workbookViewId="0">
      <selection activeCell="D16" sqref="D16"/>
    </sheetView>
  </sheetViews>
  <sheetFormatPr baseColWidth="10" defaultRowHeight="15" x14ac:dyDescent="0.25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1.85546875" bestFit="1" customWidth="1"/>
  </cols>
  <sheetData>
    <row r="1" spans="1:9" ht="17.25" x14ac:dyDescent="0.3">
      <c r="A1" s="697"/>
      <c r="B1" s="698"/>
      <c r="C1" s="690" t="s">
        <v>0</v>
      </c>
      <c r="D1" s="690"/>
      <c r="E1" s="690"/>
      <c r="F1" s="690"/>
      <c r="G1" s="690"/>
      <c r="H1" s="418" t="s">
        <v>1</v>
      </c>
      <c r="I1" s="419" t="s">
        <v>267</v>
      </c>
    </row>
    <row r="2" spans="1:9" ht="18" customHeight="1" thickBot="1" x14ac:dyDescent="0.35">
      <c r="A2" s="699"/>
      <c r="B2" s="700"/>
      <c r="C2" s="767" t="s">
        <v>2</v>
      </c>
      <c r="D2" s="768"/>
      <c r="E2" s="768"/>
      <c r="F2" s="768"/>
      <c r="G2" s="769"/>
      <c r="H2" s="420" t="s">
        <v>3</v>
      </c>
      <c r="I2" s="421" t="s">
        <v>154</v>
      </c>
    </row>
    <row r="3" spans="1:9" ht="31.5" customHeight="1" thickBot="1" x14ac:dyDescent="0.3">
      <c r="A3" s="699"/>
      <c r="B3" s="700"/>
      <c r="C3" s="895" t="s">
        <v>268</v>
      </c>
      <c r="D3" s="692"/>
      <c r="E3" s="692"/>
      <c r="F3" s="692"/>
      <c r="G3" s="693"/>
      <c r="H3" s="694" t="s">
        <v>4</v>
      </c>
      <c r="I3" s="681">
        <v>45613</v>
      </c>
    </row>
    <row r="4" spans="1:9" ht="18" customHeight="1" x14ac:dyDescent="0.3">
      <c r="A4" s="699"/>
      <c r="B4" s="700"/>
      <c r="C4" s="422" t="s">
        <v>5</v>
      </c>
      <c r="D4" s="684" t="s">
        <v>156</v>
      </c>
      <c r="E4" s="685"/>
      <c r="F4" s="685"/>
      <c r="G4" s="686"/>
      <c r="H4" s="695"/>
      <c r="I4" s="682"/>
    </row>
    <row r="5" spans="1:9" ht="18" thickBot="1" x14ac:dyDescent="0.35">
      <c r="A5" s="701"/>
      <c r="B5" s="702"/>
      <c r="C5" s="423" t="s">
        <v>6</v>
      </c>
      <c r="D5" s="687" t="s">
        <v>127</v>
      </c>
      <c r="E5" s="688"/>
      <c r="F5" s="688"/>
      <c r="G5" s="689"/>
      <c r="H5" s="696"/>
      <c r="I5" s="683"/>
    </row>
    <row r="6" spans="1:9" ht="16.5" thickBot="1" x14ac:dyDescent="0.3">
      <c r="A6" s="619" t="s">
        <v>7</v>
      </c>
      <c r="B6" s="619"/>
      <c r="C6" s="619"/>
      <c r="D6" s="620" t="s">
        <v>131</v>
      </c>
      <c r="E6" s="620"/>
      <c r="F6" s="620"/>
      <c r="G6" s="621" t="s">
        <v>8</v>
      </c>
      <c r="H6" s="621"/>
      <c r="I6" s="116" t="s">
        <v>256</v>
      </c>
    </row>
    <row r="7" spans="1:9" x14ac:dyDescent="0.25">
      <c r="A7" s="622" t="s">
        <v>9</v>
      </c>
      <c r="B7" s="624" t="s">
        <v>129</v>
      </c>
      <c r="C7" s="626" t="s">
        <v>10</v>
      </c>
      <c r="D7" s="626" t="s">
        <v>11</v>
      </c>
      <c r="E7" s="626" t="s">
        <v>12</v>
      </c>
      <c r="F7" s="626"/>
      <c r="G7" s="626" t="s">
        <v>13</v>
      </c>
      <c r="H7" s="626"/>
      <c r="I7" s="117" t="s">
        <v>14</v>
      </c>
    </row>
    <row r="8" spans="1:9" ht="31.5" thickBot="1" x14ac:dyDescent="0.3">
      <c r="A8" s="623"/>
      <c r="B8" s="625"/>
      <c r="C8" s="627"/>
      <c r="D8" s="627"/>
      <c r="E8" s="118" t="s">
        <v>15</v>
      </c>
      <c r="F8" s="119" t="s">
        <v>16</v>
      </c>
      <c r="G8" s="118" t="s">
        <v>15</v>
      </c>
      <c r="H8" s="119" t="s">
        <v>16</v>
      </c>
      <c r="I8" s="120" t="s">
        <v>17</v>
      </c>
    </row>
    <row r="9" spans="1:9" ht="15.75" x14ac:dyDescent="0.25">
      <c r="A9" s="121"/>
      <c r="B9" s="122"/>
      <c r="C9" s="123" t="s">
        <v>130</v>
      </c>
      <c r="D9" s="124"/>
      <c r="E9" s="125"/>
      <c r="F9" s="126"/>
      <c r="G9" s="125"/>
      <c r="H9" s="126"/>
      <c r="I9" s="127"/>
    </row>
    <row r="10" spans="1:9" ht="18" customHeight="1" x14ac:dyDescent="0.3">
      <c r="A10" s="424">
        <v>310148</v>
      </c>
      <c r="B10" s="425" t="s">
        <v>269</v>
      </c>
      <c r="C10" s="426" t="s">
        <v>270</v>
      </c>
      <c r="D10" s="427" t="s">
        <v>271</v>
      </c>
      <c r="E10" s="428">
        <v>12800</v>
      </c>
      <c r="F10" s="429" t="s">
        <v>19</v>
      </c>
      <c r="G10" s="430"/>
      <c r="H10" s="431"/>
      <c r="I10" s="127"/>
    </row>
    <row r="11" spans="1:9" ht="17.25" x14ac:dyDescent="0.3">
      <c r="A11" s="424">
        <v>11400031</v>
      </c>
      <c r="B11" s="432" t="s">
        <v>272</v>
      </c>
      <c r="C11" s="433" t="s">
        <v>273</v>
      </c>
      <c r="D11" s="427" t="s">
        <v>271</v>
      </c>
      <c r="E11" s="434">
        <v>3200</v>
      </c>
      <c r="F11" s="435" t="s">
        <v>19</v>
      </c>
      <c r="G11" s="430"/>
      <c r="H11" s="431"/>
      <c r="I11" s="127"/>
    </row>
    <row r="12" spans="1:9" ht="17.25" x14ac:dyDescent="0.3">
      <c r="A12" s="424" t="s">
        <v>182</v>
      </c>
      <c r="B12" s="432"/>
      <c r="C12" s="433" t="s">
        <v>183</v>
      </c>
      <c r="D12" s="427" t="s">
        <v>274</v>
      </c>
      <c r="E12" s="434">
        <v>800</v>
      </c>
      <c r="F12" s="435" t="s">
        <v>19</v>
      </c>
      <c r="G12" s="436"/>
      <c r="H12" s="431"/>
      <c r="I12" s="127"/>
    </row>
    <row r="13" spans="1:9" ht="17.25" x14ac:dyDescent="0.3">
      <c r="A13" s="424">
        <v>1212410</v>
      </c>
      <c r="B13" s="432" t="s">
        <v>203</v>
      </c>
      <c r="C13" s="433" t="s">
        <v>204</v>
      </c>
      <c r="D13" s="427" t="s">
        <v>205</v>
      </c>
      <c r="E13" s="434">
        <v>12</v>
      </c>
      <c r="F13" s="435" t="s">
        <v>19</v>
      </c>
      <c r="G13" s="436"/>
      <c r="H13" s="431"/>
      <c r="I13" s="127"/>
    </row>
    <row r="14" spans="1:9" ht="17.25" x14ac:dyDescent="0.3">
      <c r="A14" s="437"/>
      <c r="B14" s="438"/>
      <c r="C14" s="439"/>
      <c r="D14" s="436"/>
      <c r="E14" s="436"/>
      <c r="F14" s="440"/>
      <c r="G14" s="436"/>
      <c r="H14" s="431"/>
      <c r="I14" s="127"/>
    </row>
    <row r="15" spans="1:9" ht="17.25" x14ac:dyDescent="0.3">
      <c r="A15" s="441"/>
      <c r="B15" s="438"/>
      <c r="C15" s="442"/>
      <c r="D15" s="436"/>
      <c r="E15" s="436"/>
      <c r="F15" s="440"/>
      <c r="G15" s="436"/>
      <c r="H15" s="431"/>
      <c r="I15" s="127"/>
    </row>
    <row r="16" spans="1:9" ht="17.25" x14ac:dyDescent="0.3">
      <c r="A16" s="436"/>
      <c r="B16" s="436"/>
      <c r="C16" s="443"/>
      <c r="D16" s="444"/>
      <c r="E16" s="444"/>
      <c r="F16" s="430"/>
      <c r="G16" s="436"/>
      <c r="H16" s="431"/>
      <c r="I16" s="127"/>
    </row>
    <row r="17" spans="1:9" ht="17.25" x14ac:dyDescent="0.3">
      <c r="A17" s="438"/>
      <c r="B17" s="438"/>
      <c r="C17" s="445"/>
      <c r="D17" s="436"/>
      <c r="E17" s="436"/>
      <c r="F17" s="440"/>
      <c r="G17" s="436"/>
      <c r="H17" s="431"/>
      <c r="I17" s="127"/>
    </row>
    <row r="18" spans="1:9" ht="17.25" x14ac:dyDescent="0.3">
      <c r="A18" s="437"/>
      <c r="B18" s="438"/>
      <c r="C18" s="439"/>
      <c r="D18" s="436"/>
      <c r="E18" s="436"/>
      <c r="F18" s="440"/>
      <c r="G18" s="436"/>
      <c r="H18" s="431"/>
      <c r="I18" s="127"/>
    </row>
    <row r="19" spans="1:9" ht="17.25" x14ac:dyDescent="0.3">
      <c r="A19" s="181"/>
      <c r="B19" s="181"/>
      <c r="C19" s="374"/>
      <c r="D19" s="400"/>
      <c r="E19" s="2"/>
      <c r="F19" s="5"/>
      <c r="G19" s="125"/>
      <c r="H19" s="431"/>
      <c r="I19" s="127"/>
    </row>
    <row r="20" spans="1:9" ht="15.75" x14ac:dyDescent="0.25">
      <c r="A20" s="149"/>
      <c r="B20" s="150"/>
      <c r="C20" s="107" t="s">
        <v>131</v>
      </c>
      <c r="D20" s="109"/>
      <c r="E20" s="151"/>
      <c r="F20" s="148"/>
      <c r="G20" s="125"/>
      <c r="H20" s="126"/>
      <c r="I20" s="127"/>
    </row>
    <row r="21" spans="1:9" ht="17.25" x14ac:dyDescent="0.3">
      <c r="A21" s="424"/>
      <c r="B21" s="446"/>
      <c r="C21" s="426"/>
      <c r="D21" s="427"/>
      <c r="E21" s="434"/>
      <c r="F21" s="435"/>
      <c r="G21" s="125"/>
      <c r="H21" s="126"/>
      <c r="I21" s="127"/>
    </row>
    <row r="22" spans="1:9" ht="17.25" x14ac:dyDescent="0.3">
      <c r="A22" s="424"/>
      <c r="B22" s="446"/>
      <c r="C22" s="426"/>
      <c r="D22" s="427"/>
      <c r="E22" s="133"/>
      <c r="F22" s="435"/>
      <c r="G22" s="125"/>
      <c r="H22" s="126"/>
      <c r="I22" s="127"/>
    </row>
    <row r="23" spans="1:9" ht="17.25" x14ac:dyDescent="0.3">
      <c r="A23" s="424"/>
      <c r="B23" s="446"/>
      <c r="C23" s="426"/>
      <c r="D23" s="427"/>
      <c r="E23" s="434"/>
      <c r="F23" s="435"/>
      <c r="G23" s="125"/>
      <c r="H23" s="126"/>
      <c r="I23" s="127"/>
    </row>
    <row r="24" spans="1:9" ht="17.25" x14ac:dyDescent="0.3">
      <c r="A24" s="424"/>
      <c r="B24" s="446"/>
      <c r="C24" s="426"/>
      <c r="D24" s="427"/>
      <c r="E24" s="447"/>
      <c r="F24" s="448"/>
      <c r="G24" s="125"/>
      <c r="H24" s="126"/>
      <c r="I24" s="127"/>
    </row>
    <row r="25" spans="1:9" ht="17.25" x14ac:dyDescent="0.3">
      <c r="A25" s="424"/>
      <c r="B25" s="446"/>
      <c r="C25" s="426"/>
      <c r="D25" s="427"/>
      <c r="E25" s="428"/>
      <c r="F25" s="448"/>
      <c r="G25" s="125"/>
      <c r="H25" s="126"/>
      <c r="I25" s="127"/>
    </row>
    <row r="26" spans="1:9" ht="17.25" x14ac:dyDescent="0.3">
      <c r="A26" s="449"/>
      <c r="B26" s="449"/>
      <c r="C26" s="450"/>
      <c r="D26" s="451"/>
      <c r="E26" s="452"/>
      <c r="F26" s="453"/>
      <c r="G26" s="125"/>
      <c r="H26" s="126"/>
      <c r="I26" s="127"/>
    </row>
    <row r="27" spans="1:9" ht="17.25" x14ac:dyDescent="0.3">
      <c r="A27" s="181"/>
      <c r="B27" s="181"/>
      <c r="C27" s="374"/>
      <c r="D27" s="454"/>
      <c r="E27" s="455"/>
      <c r="F27" s="453"/>
      <c r="G27" s="125"/>
      <c r="H27" s="126"/>
      <c r="I27" s="127"/>
    </row>
    <row r="28" spans="1:9" ht="17.25" x14ac:dyDescent="0.3">
      <c r="A28" s="181"/>
      <c r="B28" s="181"/>
      <c r="C28" s="374"/>
      <c r="D28" s="454"/>
      <c r="E28" s="133"/>
      <c r="F28" s="139"/>
      <c r="G28" s="125"/>
      <c r="H28" s="126"/>
      <c r="I28" s="127"/>
    </row>
    <row r="29" spans="1:9" ht="15.75" x14ac:dyDescent="0.25">
      <c r="A29" s="456"/>
      <c r="B29" s="457"/>
      <c r="C29" s="108" t="s">
        <v>133</v>
      </c>
      <c r="D29" s="458"/>
      <c r="E29" s="459"/>
      <c r="F29" s="126"/>
      <c r="G29" s="125"/>
      <c r="H29" s="450"/>
      <c r="I29" s="127"/>
    </row>
    <row r="30" spans="1:9" ht="17.25" x14ac:dyDescent="0.3">
      <c r="A30" s="6">
        <v>702123</v>
      </c>
      <c r="B30" s="6" t="s">
        <v>57</v>
      </c>
      <c r="C30" s="164" t="s">
        <v>27</v>
      </c>
      <c r="D30" s="301" t="s">
        <v>275</v>
      </c>
      <c r="E30" s="460">
        <v>1</v>
      </c>
      <c r="F30" s="461" t="s">
        <v>22</v>
      </c>
      <c r="G30" s="462"/>
      <c r="H30" s="126"/>
      <c r="I30" s="127"/>
    </row>
    <row r="31" spans="1:9" ht="17.25" x14ac:dyDescent="0.3">
      <c r="A31" s="6"/>
      <c r="B31" s="6"/>
      <c r="C31" s="164"/>
      <c r="D31" s="301"/>
      <c r="E31" s="460"/>
      <c r="F31" s="461"/>
      <c r="G31" s="462"/>
      <c r="H31" s="126"/>
      <c r="I31" s="127"/>
    </row>
    <row r="32" spans="1:9" ht="17.25" x14ac:dyDescent="0.3">
      <c r="A32" s="6"/>
      <c r="B32" s="6"/>
      <c r="C32" s="164"/>
      <c r="D32" s="301"/>
      <c r="E32" s="460"/>
      <c r="F32" s="461"/>
      <c r="G32" s="462"/>
      <c r="H32" s="126"/>
      <c r="I32" s="127"/>
    </row>
    <row r="33" spans="1:9" ht="15.75" x14ac:dyDescent="0.25">
      <c r="A33" s="463"/>
      <c r="B33" s="463"/>
      <c r="C33" s="464"/>
      <c r="D33" s="3"/>
      <c r="E33" s="465"/>
      <c r="F33" s="466"/>
      <c r="G33" s="125"/>
      <c r="H33" s="126"/>
      <c r="I33" s="127"/>
    </row>
    <row r="34" spans="1:9" ht="15.75" x14ac:dyDescent="0.25">
      <c r="A34" s="463"/>
      <c r="B34" s="463"/>
      <c r="C34" s="467"/>
      <c r="D34" s="3"/>
      <c r="E34" s="3"/>
      <c r="F34" s="466"/>
      <c r="G34" s="125"/>
      <c r="H34" s="126"/>
      <c r="I34" s="127"/>
    </row>
    <row r="35" spans="1:9" ht="15.75" x14ac:dyDescent="0.25">
      <c r="A35" s="463"/>
      <c r="B35" s="463"/>
      <c r="C35" s="467"/>
      <c r="D35" s="3"/>
      <c r="E35" s="3"/>
      <c r="F35" s="466"/>
      <c r="G35" s="161"/>
      <c r="H35" s="126"/>
      <c r="I35" s="127"/>
    </row>
    <row r="36" spans="1:9" ht="15.75" x14ac:dyDescent="0.25">
      <c r="A36" s="468"/>
      <c r="B36" s="469"/>
      <c r="C36" s="470"/>
      <c r="D36" s="105"/>
      <c r="E36" s="105"/>
      <c r="F36" s="417"/>
      <c r="G36" s="147"/>
      <c r="H36" s="126"/>
      <c r="I36" s="127"/>
    </row>
    <row r="37" spans="1:9" ht="15.75" x14ac:dyDescent="0.25">
      <c r="A37" s="149"/>
      <c r="B37" s="150"/>
      <c r="C37" s="164"/>
      <c r="D37" s="3"/>
      <c r="E37" s="147"/>
      <c r="F37" s="148"/>
      <c r="G37" s="147"/>
      <c r="H37" s="126"/>
      <c r="I37" s="127"/>
    </row>
    <row r="38" spans="1:9" ht="15.75" x14ac:dyDescent="0.25">
      <c r="A38" s="149"/>
      <c r="B38" s="150"/>
      <c r="C38" s="164"/>
      <c r="D38" s="109"/>
      <c r="E38" s="109"/>
      <c r="F38" s="148"/>
      <c r="G38" s="109"/>
      <c r="H38" s="109"/>
      <c r="I38" s="127"/>
    </row>
    <row r="39" spans="1:9" ht="18" thickBot="1" x14ac:dyDescent="0.35">
      <c r="A39" s="165"/>
      <c r="B39" s="166"/>
      <c r="C39" s="167"/>
      <c r="D39" s="167"/>
      <c r="E39" s="168"/>
      <c r="F39" s="169"/>
      <c r="G39" s="167"/>
      <c r="H39" s="167"/>
      <c r="I39" s="170"/>
    </row>
    <row r="40" spans="1:9" ht="18" thickBot="1" x14ac:dyDescent="0.35">
      <c r="A40" s="171"/>
      <c r="B40" s="172"/>
      <c r="C40" s="173"/>
      <c r="D40" s="174" t="s">
        <v>15</v>
      </c>
      <c r="E40" s="175" t="s">
        <v>33</v>
      </c>
      <c r="F40" s="176"/>
      <c r="G40" s="173"/>
      <c r="H40" s="173"/>
      <c r="I40" s="177"/>
    </row>
    <row r="41" spans="1:9" ht="17.25" x14ac:dyDescent="0.3">
      <c r="A41" s="613" t="s">
        <v>34</v>
      </c>
      <c r="B41" s="614"/>
      <c r="C41" s="615"/>
      <c r="D41" s="455">
        <v>16597</v>
      </c>
      <c r="E41" s="471" t="s">
        <v>19</v>
      </c>
      <c r="F41" s="616" t="s">
        <v>35</v>
      </c>
      <c r="G41" s="616"/>
      <c r="H41" s="617"/>
      <c r="I41" s="618"/>
    </row>
    <row r="42" spans="1:9" ht="17.25" x14ac:dyDescent="0.3">
      <c r="A42" s="596" t="s">
        <v>36</v>
      </c>
      <c r="B42" s="597"/>
      <c r="C42" s="598"/>
      <c r="D42" s="436">
        <v>17</v>
      </c>
      <c r="E42" s="436" t="s">
        <v>37</v>
      </c>
      <c r="F42" s="599" t="s">
        <v>38</v>
      </c>
      <c r="G42" s="599"/>
      <c r="H42" s="600"/>
      <c r="I42" s="601"/>
    </row>
    <row r="43" spans="1:9" ht="17.25" x14ac:dyDescent="0.3">
      <c r="A43" s="596" t="s">
        <v>39</v>
      </c>
      <c r="B43" s="597"/>
      <c r="C43" s="598"/>
      <c r="D43" s="436">
        <v>1</v>
      </c>
      <c r="E43" s="436" t="s">
        <v>184</v>
      </c>
      <c r="F43" s="599" t="s">
        <v>40</v>
      </c>
      <c r="G43" s="599"/>
      <c r="H43" s="600"/>
      <c r="I43" s="601"/>
    </row>
    <row r="44" spans="1:9" ht="17.25" x14ac:dyDescent="0.3">
      <c r="A44" s="596" t="s">
        <v>41</v>
      </c>
      <c r="B44" s="597"/>
      <c r="C44" s="598"/>
      <c r="D44" s="133">
        <v>16597</v>
      </c>
      <c r="E44" s="436" t="s">
        <v>19</v>
      </c>
      <c r="F44" s="602" t="s">
        <v>42</v>
      </c>
      <c r="G44" s="603"/>
      <c r="H44" s="899"/>
      <c r="I44" s="900"/>
    </row>
    <row r="45" spans="1:9" ht="18" thickBot="1" x14ac:dyDescent="0.35">
      <c r="A45" s="604" t="s">
        <v>43</v>
      </c>
      <c r="B45" s="605"/>
      <c r="C45" s="606"/>
      <c r="D45" s="472">
        <v>215</v>
      </c>
      <c r="E45" s="473" t="s">
        <v>19</v>
      </c>
      <c r="F45" s="607"/>
      <c r="G45" s="607"/>
      <c r="H45" s="600"/>
      <c r="I45" s="601"/>
    </row>
    <row r="46" spans="1:9" ht="16.5" thickBot="1" x14ac:dyDescent="0.3">
      <c r="A46" s="610" t="s">
        <v>44</v>
      </c>
      <c r="B46" s="611"/>
      <c r="C46" s="611"/>
      <c r="D46" s="611"/>
      <c r="E46" s="611"/>
      <c r="F46" s="611"/>
      <c r="G46" s="611"/>
      <c r="H46" s="611"/>
      <c r="I46" s="612"/>
    </row>
    <row r="47" spans="1:9" ht="18.399999999999999" customHeight="1" x14ac:dyDescent="0.25">
      <c r="A47" s="896" t="s">
        <v>276</v>
      </c>
      <c r="B47" s="897"/>
      <c r="C47" s="897"/>
      <c r="D47" s="897"/>
      <c r="E47" s="897"/>
      <c r="F47" s="897"/>
      <c r="G47" s="897"/>
      <c r="H47" s="897"/>
      <c r="I47" s="898"/>
    </row>
    <row r="48" spans="1:9" ht="14.65" customHeight="1" x14ac:dyDescent="0.25">
      <c r="A48" s="896" t="s">
        <v>277</v>
      </c>
      <c r="B48" s="897"/>
      <c r="C48" s="897"/>
      <c r="D48" s="897"/>
      <c r="E48" s="897"/>
      <c r="F48" s="897"/>
      <c r="G48" s="897"/>
      <c r="H48" s="897"/>
      <c r="I48" s="898"/>
    </row>
    <row r="49" spans="1:9" ht="14.65" customHeight="1" x14ac:dyDescent="0.25">
      <c r="A49" s="896" t="s">
        <v>278</v>
      </c>
      <c r="B49" s="897"/>
      <c r="C49" s="897"/>
      <c r="D49" s="897"/>
      <c r="E49" s="897"/>
      <c r="F49" s="897"/>
      <c r="G49" s="897"/>
      <c r="H49" s="897"/>
      <c r="I49" s="898"/>
    </row>
    <row r="50" spans="1:9" ht="14.65" customHeight="1" x14ac:dyDescent="0.25">
      <c r="A50" s="896" t="s">
        <v>279</v>
      </c>
      <c r="B50" s="897"/>
      <c r="C50" s="897"/>
      <c r="D50" s="897"/>
      <c r="E50" s="897"/>
      <c r="F50" s="897"/>
      <c r="G50" s="897"/>
      <c r="H50" s="897"/>
      <c r="I50" s="898"/>
    </row>
    <row r="51" spans="1:9" ht="14.65" customHeight="1" x14ac:dyDescent="0.25">
      <c r="A51" s="896" t="s">
        <v>280</v>
      </c>
      <c r="B51" s="897"/>
      <c r="C51" s="897"/>
      <c r="D51" s="897"/>
      <c r="E51" s="897"/>
      <c r="F51" s="897"/>
      <c r="G51" s="897"/>
      <c r="H51" s="897"/>
      <c r="I51" s="898"/>
    </row>
    <row r="52" spans="1:9" ht="14.65" customHeight="1" x14ac:dyDescent="0.3">
      <c r="A52" s="908"/>
      <c r="B52" s="909"/>
      <c r="C52" s="910"/>
      <c r="D52" s="910"/>
      <c r="E52" s="910"/>
      <c r="F52" s="910"/>
      <c r="G52" s="910"/>
      <c r="H52" s="910"/>
      <c r="I52" s="911"/>
    </row>
    <row r="53" spans="1:9" ht="18" customHeight="1" x14ac:dyDescent="0.3">
      <c r="A53" s="581"/>
      <c r="B53" s="582"/>
      <c r="C53" s="582"/>
      <c r="D53" s="582"/>
      <c r="E53" s="582"/>
      <c r="F53" s="582"/>
      <c r="G53" s="582"/>
      <c r="H53" s="582"/>
      <c r="I53" s="912"/>
    </row>
    <row r="54" spans="1:9" ht="18" thickBot="1" x14ac:dyDescent="0.35">
      <c r="A54" s="913"/>
      <c r="B54" s="914"/>
      <c r="C54" s="914"/>
      <c r="D54" s="914"/>
      <c r="E54" s="914"/>
      <c r="F54" s="914"/>
      <c r="G54" s="914"/>
      <c r="H54" s="914"/>
      <c r="I54" s="915"/>
    </row>
    <row r="55" spans="1:9" ht="16.5" thickBot="1" x14ac:dyDescent="0.3">
      <c r="A55" s="901"/>
      <c r="B55" s="902"/>
      <c r="C55" s="902"/>
      <c r="D55" s="902"/>
      <c r="E55" s="902"/>
      <c r="F55" s="902"/>
      <c r="G55" s="902"/>
      <c r="H55" s="902"/>
      <c r="I55" s="903"/>
    </row>
    <row r="56" spans="1:9" ht="15.75" x14ac:dyDescent="0.25">
      <c r="A56" s="904" t="s">
        <v>134</v>
      </c>
      <c r="B56" s="905"/>
      <c r="C56" s="905"/>
      <c r="D56" s="905"/>
      <c r="E56" s="905"/>
      <c r="F56" s="905"/>
      <c r="G56" s="905"/>
      <c r="H56" s="905"/>
      <c r="I56" s="905"/>
    </row>
    <row r="57" spans="1:9" ht="17.25" x14ac:dyDescent="0.3">
      <c r="A57" s="687" t="s">
        <v>281</v>
      </c>
      <c r="B57" s="688"/>
      <c r="C57" s="688"/>
      <c r="D57" s="688"/>
      <c r="E57" s="688"/>
      <c r="F57" s="688"/>
      <c r="G57" s="688"/>
      <c r="H57" s="688"/>
      <c r="I57" s="689"/>
    </row>
    <row r="58" spans="1:9" ht="17.25" x14ac:dyDescent="0.3">
      <c r="A58" s="906"/>
      <c r="B58" s="907"/>
      <c r="C58" s="907"/>
      <c r="D58" s="907"/>
      <c r="E58" s="907"/>
      <c r="F58" s="907"/>
      <c r="G58" s="907"/>
      <c r="H58" s="907"/>
      <c r="I58" s="907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C66B-DB27-4652-8F3F-4A4ED7BC4333}">
  <dimension ref="A1:M64"/>
  <sheetViews>
    <sheetView workbookViewId="0">
      <selection activeCell="C17" sqref="C17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761"/>
      <c r="B1" s="762"/>
      <c r="C1" s="690" t="s">
        <v>0</v>
      </c>
      <c r="D1" s="690"/>
      <c r="E1" s="690"/>
      <c r="F1" s="690"/>
      <c r="G1" s="690"/>
      <c r="H1" s="199" t="s">
        <v>1</v>
      </c>
      <c r="I1" s="200" t="s">
        <v>282</v>
      </c>
    </row>
    <row r="2" spans="1:9" ht="16.5" thickBot="1" x14ac:dyDescent="0.3">
      <c r="A2" s="763"/>
      <c r="B2" s="764"/>
      <c r="C2" s="691" t="s">
        <v>2</v>
      </c>
      <c r="D2" s="691"/>
      <c r="E2" s="691"/>
      <c r="F2" s="691"/>
      <c r="G2" s="691"/>
      <c r="H2" s="201" t="s">
        <v>3</v>
      </c>
      <c r="I2" s="202" t="s">
        <v>172</v>
      </c>
    </row>
    <row r="3" spans="1:9" ht="18.75" thickBot="1" x14ac:dyDescent="0.3">
      <c r="A3" s="763"/>
      <c r="B3" s="764"/>
      <c r="C3" s="770" t="s">
        <v>283</v>
      </c>
      <c r="D3" s="771"/>
      <c r="E3" s="771"/>
      <c r="F3" s="771"/>
      <c r="G3" s="772"/>
      <c r="H3" s="773" t="s">
        <v>4</v>
      </c>
      <c r="I3" s="752">
        <v>45608</v>
      </c>
    </row>
    <row r="4" spans="1:9" x14ac:dyDescent="0.25">
      <c r="A4" s="763"/>
      <c r="B4" s="764"/>
      <c r="C4" s="203" t="s">
        <v>5</v>
      </c>
      <c r="D4" s="755" t="s">
        <v>156</v>
      </c>
      <c r="E4" s="756"/>
      <c r="F4" s="756"/>
      <c r="G4" s="757"/>
      <c r="H4" s="774"/>
      <c r="I4" s="753"/>
    </row>
    <row r="5" spans="1:9" ht="15.75" thickBot="1" x14ac:dyDescent="0.3">
      <c r="A5" s="765"/>
      <c r="B5" s="766"/>
      <c r="C5" s="204" t="s">
        <v>6</v>
      </c>
      <c r="D5" s="758" t="s">
        <v>127</v>
      </c>
      <c r="E5" s="759"/>
      <c r="F5" s="759"/>
      <c r="G5" s="760"/>
      <c r="H5" s="775"/>
      <c r="I5" s="754"/>
    </row>
    <row r="6" spans="1:9" ht="18.75" thickBot="1" x14ac:dyDescent="0.3">
      <c r="A6" s="776" t="s">
        <v>7</v>
      </c>
      <c r="B6" s="776"/>
      <c r="C6" s="776"/>
      <c r="D6" s="777" t="s">
        <v>230</v>
      </c>
      <c r="E6" s="777"/>
      <c r="F6" s="777"/>
      <c r="G6" s="778" t="s">
        <v>8</v>
      </c>
      <c r="H6" s="778"/>
      <c r="I6" s="205" t="s">
        <v>230</v>
      </c>
    </row>
    <row r="7" spans="1:9" ht="25.5" x14ac:dyDescent="0.25">
      <c r="A7" s="779" t="s">
        <v>9</v>
      </c>
      <c r="B7" s="781" t="s">
        <v>129</v>
      </c>
      <c r="C7" s="783" t="s">
        <v>10</v>
      </c>
      <c r="D7" s="783" t="s">
        <v>11</v>
      </c>
      <c r="E7" s="783" t="s">
        <v>12</v>
      </c>
      <c r="F7" s="783"/>
      <c r="G7" s="783" t="s">
        <v>13</v>
      </c>
      <c r="H7" s="783"/>
      <c r="I7" s="206" t="s">
        <v>14</v>
      </c>
    </row>
    <row r="8" spans="1:9" ht="27" thickBot="1" x14ac:dyDescent="0.3">
      <c r="A8" s="780"/>
      <c r="B8" s="782"/>
      <c r="C8" s="784"/>
      <c r="D8" s="784"/>
      <c r="E8" s="207" t="s">
        <v>15</v>
      </c>
      <c r="F8" s="208" t="s">
        <v>16</v>
      </c>
      <c r="G8" s="207" t="s">
        <v>15</v>
      </c>
      <c r="H8" s="208" t="s">
        <v>16</v>
      </c>
      <c r="I8" s="209" t="s">
        <v>17</v>
      </c>
    </row>
    <row r="9" spans="1:9" x14ac:dyDescent="0.25">
      <c r="A9" s="210"/>
      <c r="B9" s="211"/>
      <c r="C9" s="212" t="s">
        <v>130</v>
      </c>
      <c r="D9" s="213"/>
      <c r="E9" s="214"/>
      <c r="F9" s="215"/>
      <c r="G9" s="214"/>
      <c r="H9" s="215"/>
      <c r="I9" s="216"/>
    </row>
    <row r="10" spans="1:9" x14ac:dyDescent="0.25">
      <c r="A10" s="474" t="s">
        <v>284</v>
      </c>
      <c r="B10" s="474" t="s">
        <v>285</v>
      </c>
      <c r="C10" s="475" t="s">
        <v>286</v>
      </c>
      <c r="D10" s="476" t="s">
        <v>287</v>
      </c>
      <c r="E10" s="477">
        <v>22000</v>
      </c>
      <c r="F10" s="478" t="s">
        <v>19</v>
      </c>
      <c r="G10" s="479"/>
      <c r="H10" s="215"/>
      <c r="I10" s="216"/>
    </row>
    <row r="11" spans="1:9" x14ac:dyDescent="0.25">
      <c r="A11" s="256" t="s">
        <v>288</v>
      </c>
      <c r="B11" s="256" t="s">
        <v>289</v>
      </c>
      <c r="C11" s="257" t="s">
        <v>290</v>
      </c>
      <c r="D11" s="480" t="s">
        <v>291</v>
      </c>
      <c r="E11" s="481">
        <v>20000</v>
      </c>
      <c r="F11" s="251" t="s">
        <v>19</v>
      </c>
      <c r="G11" s="479"/>
      <c r="H11" s="215"/>
      <c r="I11" s="216"/>
    </row>
    <row r="12" spans="1:9" x14ac:dyDescent="0.25">
      <c r="A12" s="256"/>
      <c r="B12" s="256"/>
      <c r="C12" s="257"/>
      <c r="D12" s="480"/>
      <c r="E12" s="481"/>
      <c r="F12" s="251"/>
      <c r="G12" s="479"/>
      <c r="H12" s="215"/>
      <c r="I12" s="216"/>
    </row>
    <row r="13" spans="1:9" x14ac:dyDescent="0.25">
      <c r="A13" s="256"/>
      <c r="B13" s="256"/>
      <c r="C13" s="257"/>
      <c r="D13" s="480"/>
      <c r="E13" s="481"/>
      <c r="F13" s="251"/>
      <c r="G13" s="479"/>
      <c r="H13" s="215"/>
      <c r="I13" s="216"/>
    </row>
    <row r="14" spans="1:9" x14ac:dyDescent="0.25">
      <c r="A14" s="256"/>
      <c r="B14" s="256"/>
      <c r="C14" s="257"/>
      <c r="D14" s="480"/>
      <c r="E14" s="481"/>
      <c r="F14" s="251"/>
      <c r="G14" s="479"/>
      <c r="H14" s="215"/>
      <c r="I14" s="216"/>
    </row>
    <row r="15" spans="1:9" x14ac:dyDescent="0.25">
      <c r="A15" s="256"/>
      <c r="B15" s="256"/>
      <c r="C15" s="257"/>
      <c r="D15" s="480"/>
      <c r="E15" s="481"/>
      <c r="F15" s="251"/>
      <c r="G15" s="479"/>
      <c r="H15" s="215"/>
      <c r="I15" s="216"/>
    </row>
    <row r="16" spans="1:9" x14ac:dyDescent="0.25">
      <c r="A16" s="256"/>
      <c r="B16" s="256"/>
      <c r="C16" s="257"/>
      <c r="D16" s="480"/>
      <c r="E16" s="481"/>
      <c r="F16" s="251"/>
      <c r="G16" s="479"/>
      <c r="H16" s="215"/>
      <c r="I16" s="216"/>
    </row>
    <row r="17" spans="1:9" x14ac:dyDescent="0.25">
      <c r="A17" s="187"/>
      <c r="B17" s="187"/>
      <c r="C17" s="193"/>
      <c r="D17" s="480"/>
      <c r="E17" s="481"/>
      <c r="F17" s="251"/>
      <c r="G17" s="479"/>
      <c r="H17" s="215"/>
      <c r="I17" s="216"/>
    </row>
    <row r="18" spans="1:9" x14ac:dyDescent="0.25">
      <c r="A18" s="187"/>
      <c r="B18" s="187"/>
      <c r="C18" s="193"/>
      <c r="D18" s="480"/>
      <c r="E18" s="481"/>
      <c r="F18" s="251"/>
      <c r="G18" s="479"/>
      <c r="H18" s="215"/>
      <c r="I18" s="216"/>
    </row>
    <row r="19" spans="1:9" x14ac:dyDescent="0.25">
      <c r="A19" s="187"/>
      <c r="B19" s="187"/>
      <c r="C19" s="193"/>
      <c r="D19" s="480"/>
      <c r="E19" s="481"/>
      <c r="F19" s="251"/>
      <c r="G19" s="479"/>
      <c r="H19" s="215"/>
      <c r="I19" s="216"/>
    </row>
    <row r="20" spans="1:9" x14ac:dyDescent="0.25">
      <c r="A20" s="187"/>
      <c r="B20" s="187"/>
      <c r="C20" s="193"/>
      <c r="D20" s="480"/>
      <c r="E20" s="481"/>
      <c r="F20" s="251"/>
      <c r="G20" s="479"/>
      <c r="H20" s="215"/>
      <c r="I20" s="216"/>
    </row>
    <row r="21" spans="1:9" x14ac:dyDescent="0.25">
      <c r="A21" s="187"/>
      <c r="B21" s="187"/>
      <c r="C21" s="193"/>
      <c r="D21" s="480"/>
      <c r="E21" s="481"/>
      <c r="F21" s="251"/>
      <c r="G21" s="479"/>
      <c r="H21" s="215"/>
      <c r="I21" s="216"/>
    </row>
    <row r="22" spans="1:9" x14ac:dyDescent="0.25">
      <c r="A22" s="187"/>
      <c r="B22" s="187"/>
      <c r="C22" s="193"/>
      <c r="D22" s="480"/>
      <c r="E22" s="481"/>
      <c r="F22" s="251"/>
      <c r="G22" s="479"/>
      <c r="H22" s="215"/>
      <c r="I22" s="216"/>
    </row>
    <row r="23" spans="1:9" x14ac:dyDescent="0.25">
      <c r="A23" s="256"/>
      <c r="B23" s="256"/>
      <c r="C23" s="257"/>
      <c r="D23" s="482"/>
      <c r="E23" s="481"/>
      <c r="F23" s="483"/>
      <c r="G23" s="479"/>
      <c r="H23" s="215"/>
      <c r="I23" s="216"/>
    </row>
    <row r="24" spans="1:9" x14ac:dyDescent="0.25">
      <c r="A24" s="256"/>
      <c r="B24" s="256"/>
      <c r="C24" s="257"/>
      <c r="D24" s="480"/>
      <c r="E24" s="481"/>
      <c r="F24" s="251"/>
      <c r="G24" s="214"/>
      <c r="H24" s="215"/>
      <c r="I24" s="216"/>
    </row>
    <row r="25" spans="1:9" x14ac:dyDescent="0.25">
      <c r="A25" s="260"/>
      <c r="B25" s="187"/>
      <c r="C25" s="261"/>
      <c r="D25" s="295"/>
      <c r="E25" s="250"/>
      <c r="F25" s="251"/>
      <c r="G25" s="214"/>
      <c r="H25" s="215"/>
      <c r="I25" s="216"/>
    </row>
    <row r="26" spans="1:9" x14ac:dyDescent="0.25">
      <c r="A26" s="260"/>
      <c r="B26" s="187"/>
      <c r="C26" s="261"/>
      <c r="D26" s="295"/>
      <c r="E26" s="250"/>
      <c r="F26" s="251"/>
      <c r="G26" s="214"/>
      <c r="H26" s="215"/>
      <c r="I26" s="216"/>
    </row>
    <row r="27" spans="1:9" x14ac:dyDescent="0.25">
      <c r="A27" s="260"/>
      <c r="B27" s="187"/>
      <c r="C27" s="261"/>
      <c r="D27" s="295"/>
      <c r="E27" s="250"/>
      <c r="F27" s="251"/>
      <c r="G27" s="214"/>
      <c r="H27" s="215"/>
      <c r="I27" s="216"/>
    </row>
    <row r="28" spans="1:9" x14ac:dyDescent="0.25">
      <c r="A28" s="187"/>
      <c r="B28" s="187"/>
      <c r="C28" s="327"/>
      <c r="D28" s="259"/>
      <c r="E28" s="259"/>
      <c r="F28" s="232"/>
      <c r="G28" s="214"/>
      <c r="H28" s="215"/>
      <c r="I28" s="216"/>
    </row>
    <row r="29" spans="1:9" ht="15.75" x14ac:dyDescent="0.25">
      <c r="A29" s="226"/>
      <c r="B29" s="227"/>
      <c r="C29" s="107" t="s">
        <v>131</v>
      </c>
      <c r="D29" s="230"/>
      <c r="E29" s="231"/>
      <c r="F29" s="232"/>
      <c r="G29" s="214"/>
      <c r="H29" s="215"/>
      <c r="I29" s="216"/>
    </row>
    <row r="30" spans="1:9" x14ac:dyDescent="0.25">
      <c r="A30" s="328"/>
      <c r="B30" s="329"/>
      <c r="C30" s="330"/>
      <c r="D30" s="331"/>
      <c r="E30" s="259"/>
      <c r="F30" s="232"/>
      <c r="G30" s="214"/>
      <c r="H30" s="215"/>
      <c r="I30" s="216"/>
    </row>
    <row r="31" spans="1:9" x14ac:dyDescent="0.25">
      <c r="A31" s="187"/>
      <c r="B31" s="187"/>
      <c r="C31" s="327"/>
      <c r="D31" s="331"/>
      <c r="E31" s="259"/>
      <c r="F31" s="232"/>
      <c r="G31" s="214"/>
      <c r="H31" s="215"/>
      <c r="I31" s="216"/>
    </row>
    <row r="32" spans="1:9" x14ac:dyDescent="0.25">
      <c r="A32" s="332"/>
      <c r="B32" s="332"/>
      <c r="C32" s="330"/>
      <c r="D32" s="331"/>
      <c r="E32" s="259"/>
      <c r="F32" s="232"/>
      <c r="G32" s="214"/>
      <c r="H32" s="215"/>
      <c r="I32" s="216"/>
    </row>
    <row r="33" spans="1:13" x14ac:dyDescent="0.25">
      <c r="A33" s="187"/>
      <c r="B33" s="187"/>
      <c r="C33" s="327"/>
      <c r="D33" s="259"/>
      <c r="E33" s="230"/>
      <c r="F33" s="232"/>
      <c r="G33" s="214"/>
      <c r="H33" s="215"/>
      <c r="I33" s="216"/>
    </row>
    <row r="34" spans="1:13" x14ac:dyDescent="0.25">
      <c r="A34" s="187"/>
      <c r="B34" s="187"/>
      <c r="C34" s="327"/>
      <c r="D34" s="295"/>
      <c r="E34" s="333"/>
      <c r="F34" s="334"/>
      <c r="G34" s="214"/>
      <c r="H34" s="215"/>
      <c r="I34" s="216"/>
    </row>
    <row r="35" spans="1:13" ht="15.75" x14ac:dyDescent="0.25">
      <c r="A35" s="242"/>
      <c r="B35" s="243"/>
      <c r="C35" s="108" t="s">
        <v>133</v>
      </c>
      <c r="D35" s="244"/>
      <c r="E35" s="214"/>
      <c r="F35" s="215"/>
      <c r="G35" s="214"/>
      <c r="H35" s="215"/>
      <c r="I35" s="216"/>
    </row>
    <row r="36" spans="1:13" x14ac:dyDescent="0.25">
      <c r="A36" s="484" t="s">
        <v>292</v>
      </c>
      <c r="B36" s="187" t="s">
        <v>245</v>
      </c>
      <c r="C36" s="193" t="s">
        <v>293</v>
      </c>
      <c r="D36" s="295" t="s">
        <v>294</v>
      </c>
      <c r="E36" s="293">
        <v>1</v>
      </c>
      <c r="F36" s="251" t="s">
        <v>22</v>
      </c>
      <c r="G36" s="479"/>
      <c r="H36" s="215"/>
      <c r="I36" s="216"/>
    </row>
    <row r="37" spans="1:13" x14ac:dyDescent="0.25">
      <c r="A37" s="187"/>
      <c r="B37" s="187"/>
      <c r="C37" s="193"/>
      <c r="D37" s="295"/>
      <c r="E37" s="250"/>
      <c r="F37" s="251"/>
      <c r="G37" s="214"/>
      <c r="H37" s="215"/>
      <c r="I37" s="216"/>
    </row>
    <row r="38" spans="1:13" x14ac:dyDescent="0.25">
      <c r="A38" s="341"/>
      <c r="B38" s="342"/>
      <c r="C38" s="343"/>
      <c r="D38" s="230"/>
      <c r="E38" s="259"/>
      <c r="F38" s="232"/>
      <c r="G38" s="214"/>
      <c r="H38" s="215"/>
      <c r="I38" s="216"/>
    </row>
    <row r="39" spans="1:13" x14ac:dyDescent="0.25">
      <c r="A39" s="340"/>
      <c r="B39" s="340"/>
      <c r="C39" s="327"/>
      <c r="D39" s="230"/>
      <c r="E39" s="259"/>
      <c r="F39" s="232"/>
      <c r="G39" s="214"/>
      <c r="H39" s="215"/>
      <c r="I39" s="216"/>
    </row>
    <row r="40" spans="1:13" x14ac:dyDescent="0.25">
      <c r="A40" s="341"/>
      <c r="B40" s="342"/>
      <c r="C40" s="343"/>
      <c r="D40" s="230"/>
      <c r="E40" s="259"/>
      <c r="F40" s="232"/>
      <c r="G40" s="214"/>
      <c r="H40" s="215"/>
      <c r="I40" s="216"/>
    </row>
    <row r="41" spans="1:13" ht="15.75" x14ac:dyDescent="0.25">
      <c r="A41" s="341"/>
      <c r="B41" s="342"/>
      <c r="C41" s="343"/>
      <c r="D41" s="109"/>
      <c r="E41" s="259"/>
      <c r="F41" s="232"/>
      <c r="G41" s="258"/>
      <c r="H41" s="230"/>
      <c r="I41" s="216"/>
    </row>
    <row r="42" spans="1:13" ht="15.75" x14ac:dyDescent="0.25">
      <c r="A42" s="226"/>
      <c r="B42" s="227"/>
      <c r="C42" s="296"/>
      <c r="D42" s="109"/>
      <c r="E42" s="259"/>
      <c r="F42" s="232"/>
      <c r="G42" s="259"/>
      <c r="H42" s="230"/>
      <c r="I42" s="216"/>
    </row>
    <row r="43" spans="1:13" ht="15.75" x14ac:dyDescent="0.25">
      <c r="A43" s="226"/>
      <c r="B43" s="227"/>
      <c r="C43" s="296"/>
      <c r="D43" s="109"/>
      <c r="E43" s="259"/>
      <c r="F43" s="232"/>
      <c r="G43" s="147"/>
      <c r="H43" s="232"/>
      <c r="I43" s="216"/>
    </row>
    <row r="44" spans="1:13" ht="15.75" x14ac:dyDescent="0.25">
      <c r="A44" s="226"/>
      <c r="B44" s="227"/>
      <c r="C44" s="296"/>
      <c r="D44" s="230"/>
      <c r="E44" s="230"/>
      <c r="F44" s="232"/>
      <c r="G44" s="109"/>
      <c r="H44" s="109"/>
      <c r="I44" s="216"/>
    </row>
    <row r="45" spans="1:13" ht="15.75" thickBot="1" x14ac:dyDescent="0.3">
      <c r="A45" s="262"/>
      <c r="B45" s="263"/>
      <c r="C45" s="264"/>
      <c r="D45" s="264"/>
      <c r="E45" s="265"/>
      <c r="F45" s="266"/>
      <c r="G45" s="264"/>
      <c r="H45" s="264"/>
      <c r="I45" s="267"/>
      <c r="J45" s="485"/>
      <c r="K45" s="485"/>
      <c r="L45" s="486"/>
      <c r="M45" s="485"/>
    </row>
    <row r="46" spans="1:13" ht="15.75" thickBot="1" x14ac:dyDescent="0.3">
      <c r="A46" s="268"/>
      <c r="B46" s="269"/>
      <c r="C46" s="270"/>
      <c r="D46" s="271" t="s">
        <v>15</v>
      </c>
      <c r="E46" s="272" t="s">
        <v>33</v>
      </c>
      <c r="F46" s="273"/>
      <c r="G46" s="270"/>
      <c r="H46" s="270"/>
      <c r="I46" s="274"/>
      <c r="J46" s="485"/>
      <c r="K46" s="485"/>
      <c r="L46" s="486"/>
      <c r="M46" s="485"/>
    </row>
    <row r="47" spans="1:13" x14ac:dyDescent="0.25">
      <c r="A47" s="785" t="s">
        <v>34</v>
      </c>
      <c r="B47" s="786"/>
      <c r="C47" s="787"/>
      <c r="D47" s="344">
        <v>40700</v>
      </c>
      <c r="E47" s="345" t="s">
        <v>19</v>
      </c>
      <c r="F47" s="788" t="s">
        <v>35</v>
      </c>
      <c r="G47" s="788"/>
      <c r="H47" s="789"/>
      <c r="I47" s="790"/>
      <c r="J47" s="485"/>
      <c r="K47" s="485"/>
      <c r="L47" s="486"/>
      <c r="M47" s="485"/>
    </row>
    <row r="48" spans="1:13" x14ac:dyDescent="0.25">
      <c r="A48" s="791" t="s">
        <v>36</v>
      </c>
      <c r="B48" s="792"/>
      <c r="C48" s="793"/>
      <c r="D48" s="346">
        <v>30</v>
      </c>
      <c r="E48" s="347" t="s">
        <v>264</v>
      </c>
      <c r="F48" s="794" t="s">
        <v>38</v>
      </c>
      <c r="G48" s="794"/>
      <c r="H48" s="795"/>
      <c r="I48" s="796"/>
      <c r="J48" s="485"/>
      <c r="K48" s="485"/>
      <c r="L48" s="486"/>
      <c r="M48" s="485"/>
    </row>
    <row r="49" spans="1:13" x14ac:dyDescent="0.25">
      <c r="A49" s="791" t="s">
        <v>39</v>
      </c>
      <c r="B49" s="792"/>
      <c r="C49" s="793"/>
      <c r="D49" s="347">
        <v>1</v>
      </c>
      <c r="E49" s="347" t="s">
        <v>184</v>
      </c>
      <c r="F49" s="794" t="s">
        <v>40</v>
      </c>
      <c r="G49" s="794"/>
      <c r="H49" s="795"/>
      <c r="I49" s="796"/>
      <c r="J49" s="485"/>
      <c r="K49" s="485"/>
      <c r="L49" s="486"/>
      <c r="M49" s="485"/>
    </row>
    <row r="50" spans="1:13" x14ac:dyDescent="0.25">
      <c r="A50" s="791" t="s">
        <v>41</v>
      </c>
      <c r="B50" s="792"/>
      <c r="C50" s="793"/>
      <c r="D50" s="344">
        <v>40700</v>
      </c>
      <c r="E50" s="347" t="s">
        <v>19</v>
      </c>
      <c r="F50" s="797" t="s">
        <v>42</v>
      </c>
      <c r="G50" s="798"/>
      <c r="H50" s="795"/>
      <c r="I50" s="796"/>
      <c r="J50" s="485"/>
      <c r="K50" s="485"/>
      <c r="L50" s="486"/>
      <c r="M50" s="487"/>
    </row>
    <row r="51" spans="1:13" ht="15.75" thickBot="1" x14ac:dyDescent="0.3">
      <c r="A51" s="805" t="s">
        <v>43</v>
      </c>
      <c r="B51" s="806"/>
      <c r="C51" s="807"/>
      <c r="D51" s="348">
        <v>1300</v>
      </c>
      <c r="E51" s="349" t="s">
        <v>19</v>
      </c>
      <c r="F51" s="808"/>
      <c r="G51" s="808"/>
      <c r="H51" s="842"/>
      <c r="I51" s="843"/>
      <c r="J51" s="264"/>
      <c r="K51" s="264"/>
      <c r="L51" s="486"/>
      <c r="M51" s="264"/>
    </row>
    <row r="52" spans="1:13" ht="15.75" thickBot="1" x14ac:dyDescent="0.3">
      <c r="A52" s="809" t="s">
        <v>44</v>
      </c>
      <c r="B52" s="810"/>
      <c r="C52" s="810"/>
      <c r="D52" s="810"/>
      <c r="E52" s="810"/>
      <c r="F52" s="810"/>
      <c r="G52" s="810"/>
      <c r="H52" s="810"/>
      <c r="I52" s="811"/>
      <c r="J52" s="485"/>
      <c r="K52" s="485"/>
      <c r="L52" s="485"/>
      <c r="M52" s="485"/>
    </row>
    <row r="53" spans="1:13" ht="18.399999999999999" customHeight="1" x14ac:dyDescent="0.25">
      <c r="A53" s="919" t="s">
        <v>295</v>
      </c>
      <c r="B53" s="920"/>
      <c r="C53" s="920"/>
      <c r="D53" s="920"/>
      <c r="E53" s="920"/>
      <c r="F53" s="920"/>
      <c r="G53" s="920"/>
      <c r="H53" s="920"/>
      <c r="I53" s="921"/>
      <c r="J53" s="485"/>
      <c r="K53" s="485"/>
      <c r="L53" s="485"/>
      <c r="M53" s="485"/>
    </row>
    <row r="54" spans="1:13" x14ac:dyDescent="0.25">
      <c r="A54" s="916" t="s">
        <v>296</v>
      </c>
      <c r="B54" s="917"/>
      <c r="C54" s="917"/>
      <c r="D54" s="917"/>
      <c r="E54" s="917"/>
      <c r="F54" s="917"/>
      <c r="G54" s="917"/>
      <c r="H54" s="917"/>
      <c r="I54" s="918"/>
      <c r="J54" s="485"/>
      <c r="K54" s="485"/>
      <c r="L54" s="485"/>
      <c r="M54" s="485"/>
    </row>
    <row r="55" spans="1:13" ht="15.75" x14ac:dyDescent="0.25">
      <c r="A55" s="922" t="s">
        <v>297</v>
      </c>
      <c r="B55" s="923"/>
      <c r="C55" s="923"/>
      <c r="D55" s="923"/>
      <c r="E55" s="923"/>
      <c r="F55" s="923"/>
      <c r="G55" s="923"/>
      <c r="H55" s="923"/>
      <c r="I55" s="924"/>
      <c r="J55" s="485"/>
      <c r="K55" s="485"/>
      <c r="L55" s="485"/>
      <c r="M55" s="485"/>
    </row>
    <row r="56" spans="1:13" ht="16.5" thickBot="1" x14ac:dyDescent="0.3">
      <c r="A56" s="925" t="s">
        <v>298</v>
      </c>
      <c r="B56" s="926"/>
      <c r="C56" s="926"/>
      <c r="D56" s="926"/>
      <c r="E56" s="926"/>
      <c r="F56" s="926"/>
      <c r="G56" s="926"/>
      <c r="H56" s="926"/>
      <c r="I56" s="927"/>
      <c r="J56" s="485"/>
      <c r="K56" s="485"/>
      <c r="L56" s="485"/>
      <c r="M56" s="485"/>
    </row>
    <row r="57" spans="1:13" x14ac:dyDescent="0.25">
      <c r="A57" s="928"/>
      <c r="B57" s="929"/>
      <c r="C57" s="930"/>
      <c r="D57" s="930"/>
      <c r="E57" s="930"/>
      <c r="F57" s="930"/>
      <c r="G57" s="930"/>
      <c r="H57" s="930"/>
      <c r="I57" s="931"/>
      <c r="J57" s="485"/>
      <c r="K57" s="485"/>
      <c r="L57" s="485"/>
      <c r="M57" s="485"/>
    </row>
    <row r="58" spans="1:13" x14ac:dyDescent="0.25">
      <c r="A58" s="932"/>
      <c r="B58" s="933"/>
      <c r="C58" s="933"/>
      <c r="D58" s="933"/>
      <c r="E58" s="933"/>
      <c r="F58" s="933"/>
      <c r="G58" s="933"/>
      <c r="H58" s="933"/>
      <c r="I58" s="934"/>
      <c r="J58" s="485"/>
      <c r="K58" s="485"/>
      <c r="L58" s="485"/>
      <c r="M58" s="485"/>
    </row>
    <row r="59" spans="1:13" ht="18" customHeight="1" x14ac:dyDescent="0.25">
      <c r="A59" s="932"/>
      <c r="B59" s="933"/>
      <c r="C59" s="933"/>
      <c r="D59" s="933"/>
      <c r="E59" s="933"/>
      <c r="F59" s="933"/>
      <c r="G59" s="933"/>
      <c r="H59" s="933"/>
      <c r="I59" s="934"/>
      <c r="J59" s="485"/>
      <c r="K59" s="485"/>
      <c r="L59" s="485"/>
      <c r="M59" s="485"/>
    </row>
    <row r="60" spans="1:13" x14ac:dyDescent="0.25">
      <c r="A60" s="848"/>
      <c r="B60" s="849"/>
      <c r="C60" s="849"/>
      <c r="D60" s="849"/>
      <c r="E60" s="849"/>
      <c r="F60" s="849"/>
      <c r="G60" s="849"/>
      <c r="H60" s="849"/>
      <c r="I60" s="850"/>
      <c r="J60" s="485"/>
      <c r="K60" s="485"/>
      <c r="L60" s="485"/>
      <c r="M60" s="485"/>
    </row>
    <row r="61" spans="1:13" ht="15.75" thickBot="1" x14ac:dyDescent="0.3">
      <c r="A61" s="858"/>
      <c r="B61" s="859"/>
      <c r="C61" s="859"/>
      <c r="D61" s="859"/>
      <c r="E61" s="859"/>
      <c r="F61" s="859"/>
      <c r="G61" s="859"/>
      <c r="H61" s="859"/>
      <c r="I61" s="860"/>
      <c r="J61" s="485"/>
      <c r="K61" s="485"/>
      <c r="L61" s="485"/>
      <c r="M61" s="485"/>
    </row>
    <row r="62" spans="1:13" x14ac:dyDescent="0.25">
      <c r="A62" s="705" t="s">
        <v>134</v>
      </c>
      <c r="B62" s="706"/>
      <c r="C62" s="706"/>
      <c r="D62" s="706"/>
      <c r="E62" s="706"/>
      <c r="F62" s="706"/>
      <c r="G62" s="706"/>
      <c r="H62" s="706"/>
      <c r="I62" s="706"/>
      <c r="J62" s="485"/>
      <c r="K62" s="485"/>
      <c r="L62" s="485"/>
      <c r="M62" s="485"/>
    </row>
    <row r="63" spans="1:13" x14ac:dyDescent="0.25">
      <c r="A63" s="703"/>
      <c r="B63" s="704"/>
      <c r="C63" s="704"/>
      <c r="D63" s="704"/>
      <c r="E63" s="704"/>
      <c r="F63" s="704"/>
      <c r="G63" s="704"/>
      <c r="H63" s="704"/>
      <c r="I63" s="704"/>
      <c r="J63" s="485"/>
      <c r="K63" s="485"/>
      <c r="L63" s="485"/>
      <c r="M63" s="485"/>
    </row>
    <row r="64" spans="1:13" x14ac:dyDescent="0.25">
      <c r="A64" s="703"/>
      <c r="B64" s="704"/>
      <c r="C64" s="704"/>
      <c r="D64" s="704"/>
      <c r="E64" s="704"/>
      <c r="F64" s="704"/>
      <c r="G64" s="704"/>
      <c r="H64" s="704"/>
      <c r="I64" s="704"/>
    </row>
  </sheetData>
  <mergeCells count="45"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47:C47"/>
    <mergeCell ref="F47:G47"/>
    <mergeCell ref="H47:I47"/>
    <mergeCell ref="A48:C48"/>
    <mergeCell ref="F48:G48"/>
    <mergeCell ref="H48:I4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FFE3-ABC2-4D6E-AEB6-DBE1AAC7A722}">
  <dimension ref="A1:Q94"/>
  <sheetViews>
    <sheetView topLeftCell="A40" workbookViewId="0">
      <selection activeCell="A27" sqref="A27:H33"/>
    </sheetView>
  </sheetViews>
  <sheetFormatPr baseColWidth="10" defaultColWidth="8.42578125" defaultRowHeight="12.75" x14ac:dyDescent="0.25"/>
  <cols>
    <col min="1" max="1" width="10" style="12" bestFit="1" customWidth="1"/>
    <col min="2" max="2" width="44.140625" style="12" bestFit="1" customWidth="1"/>
    <col min="3" max="3" width="10.42578125" style="12" bestFit="1" customWidth="1"/>
    <col min="4" max="4" width="10.42578125" style="12" customWidth="1"/>
    <col min="5" max="5" width="9.85546875" style="12" bestFit="1" customWidth="1"/>
    <col min="6" max="6" width="9.5703125" style="12" bestFit="1" customWidth="1"/>
    <col min="7" max="7" width="9.5703125" style="94" bestFit="1" customWidth="1"/>
    <col min="8" max="8" width="10.42578125" style="85" bestFit="1" customWidth="1"/>
    <col min="9" max="9" width="4.5703125" style="85" customWidth="1"/>
    <col min="10" max="10" width="1.85546875" style="11" customWidth="1"/>
    <col min="11" max="11" width="7" style="12" bestFit="1" customWidth="1"/>
    <col min="12" max="12" width="6.140625" style="12" customWidth="1"/>
    <col min="13" max="13" width="20.42578125" style="12" customWidth="1"/>
    <col min="14" max="14" width="6.42578125" style="12" bestFit="1" customWidth="1"/>
    <col min="15" max="16" width="8.42578125" style="12"/>
    <col min="17" max="17" width="3.140625" style="12" customWidth="1"/>
    <col min="18" max="256" width="8.42578125" style="12"/>
    <col min="257" max="257" width="10" style="12" bestFit="1" customWidth="1"/>
    <col min="258" max="258" width="44.140625" style="12" bestFit="1" customWidth="1"/>
    <col min="259" max="259" width="10.42578125" style="12" bestFit="1" customWidth="1"/>
    <col min="260" max="260" width="10.42578125" style="12" customWidth="1"/>
    <col min="261" max="261" width="9.85546875" style="12" bestFit="1" customWidth="1"/>
    <col min="262" max="263" width="9.5703125" style="12" bestFit="1" customWidth="1"/>
    <col min="264" max="264" width="10.42578125" style="12" bestFit="1" customWidth="1"/>
    <col min="265" max="265" width="4.5703125" style="12" customWidth="1"/>
    <col min="266" max="266" width="1.85546875" style="12" customWidth="1"/>
    <col min="267" max="267" width="7" style="12" bestFit="1" customWidth="1"/>
    <col min="268" max="268" width="6.140625" style="12" customWidth="1"/>
    <col min="269" max="269" width="20.42578125" style="12" customWidth="1"/>
    <col min="270" max="270" width="6.42578125" style="12" bestFit="1" customWidth="1"/>
    <col min="271" max="272" width="8.42578125" style="12"/>
    <col min="273" max="273" width="3.140625" style="12" customWidth="1"/>
    <col min="274" max="512" width="8.42578125" style="12"/>
    <col min="513" max="513" width="10" style="12" bestFit="1" customWidth="1"/>
    <col min="514" max="514" width="44.140625" style="12" bestFit="1" customWidth="1"/>
    <col min="515" max="515" width="10.42578125" style="12" bestFit="1" customWidth="1"/>
    <col min="516" max="516" width="10.42578125" style="12" customWidth="1"/>
    <col min="517" max="517" width="9.85546875" style="12" bestFit="1" customWidth="1"/>
    <col min="518" max="519" width="9.5703125" style="12" bestFit="1" customWidth="1"/>
    <col min="520" max="520" width="10.42578125" style="12" bestFit="1" customWidth="1"/>
    <col min="521" max="521" width="4.5703125" style="12" customWidth="1"/>
    <col min="522" max="522" width="1.85546875" style="12" customWidth="1"/>
    <col min="523" max="523" width="7" style="12" bestFit="1" customWidth="1"/>
    <col min="524" max="524" width="6.140625" style="12" customWidth="1"/>
    <col min="525" max="525" width="20.42578125" style="12" customWidth="1"/>
    <col min="526" max="526" width="6.42578125" style="12" bestFit="1" customWidth="1"/>
    <col min="527" max="528" width="8.42578125" style="12"/>
    <col min="529" max="529" width="3.140625" style="12" customWidth="1"/>
    <col min="530" max="768" width="8.42578125" style="12"/>
    <col min="769" max="769" width="10" style="12" bestFit="1" customWidth="1"/>
    <col min="770" max="770" width="44.140625" style="12" bestFit="1" customWidth="1"/>
    <col min="771" max="771" width="10.42578125" style="12" bestFit="1" customWidth="1"/>
    <col min="772" max="772" width="10.42578125" style="12" customWidth="1"/>
    <col min="773" max="773" width="9.85546875" style="12" bestFit="1" customWidth="1"/>
    <col min="774" max="775" width="9.5703125" style="12" bestFit="1" customWidth="1"/>
    <col min="776" max="776" width="10.42578125" style="12" bestFit="1" customWidth="1"/>
    <col min="777" max="777" width="4.5703125" style="12" customWidth="1"/>
    <col min="778" max="778" width="1.85546875" style="12" customWidth="1"/>
    <col min="779" max="779" width="7" style="12" bestFit="1" customWidth="1"/>
    <col min="780" max="780" width="6.140625" style="12" customWidth="1"/>
    <col min="781" max="781" width="20.42578125" style="12" customWidth="1"/>
    <col min="782" max="782" width="6.42578125" style="12" bestFit="1" customWidth="1"/>
    <col min="783" max="784" width="8.42578125" style="12"/>
    <col min="785" max="785" width="3.140625" style="12" customWidth="1"/>
    <col min="786" max="1024" width="8.42578125" style="12"/>
    <col min="1025" max="1025" width="10" style="12" bestFit="1" customWidth="1"/>
    <col min="1026" max="1026" width="44.140625" style="12" bestFit="1" customWidth="1"/>
    <col min="1027" max="1027" width="10.42578125" style="12" bestFit="1" customWidth="1"/>
    <col min="1028" max="1028" width="10.42578125" style="12" customWidth="1"/>
    <col min="1029" max="1029" width="9.85546875" style="12" bestFit="1" customWidth="1"/>
    <col min="1030" max="1031" width="9.5703125" style="12" bestFit="1" customWidth="1"/>
    <col min="1032" max="1032" width="10.42578125" style="12" bestFit="1" customWidth="1"/>
    <col min="1033" max="1033" width="4.5703125" style="12" customWidth="1"/>
    <col min="1034" max="1034" width="1.85546875" style="12" customWidth="1"/>
    <col min="1035" max="1035" width="7" style="12" bestFit="1" customWidth="1"/>
    <col min="1036" max="1036" width="6.140625" style="12" customWidth="1"/>
    <col min="1037" max="1037" width="20.42578125" style="12" customWidth="1"/>
    <col min="1038" max="1038" width="6.42578125" style="12" bestFit="1" customWidth="1"/>
    <col min="1039" max="1040" width="8.42578125" style="12"/>
    <col min="1041" max="1041" width="3.140625" style="12" customWidth="1"/>
    <col min="1042" max="1280" width="8.42578125" style="12"/>
    <col min="1281" max="1281" width="10" style="12" bestFit="1" customWidth="1"/>
    <col min="1282" max="1282" width="44.140625" style="12" bestFit="1" customWidth="1"/>
    <col min="1283" max="1283" width="10.42578125" style="12" bestFit="1" customWidth="1"/>
    <col min="1284" max="1284" width="10.42578125" style="12" customWidth="1"/>
    <col min="1285" max="1285" width="9.85546875" style="12" bestFit="1" customWidth="1"/>
    <col min="1286" max="1287" width="9.5703125" style="12" bestFit="1" customWidth="1"/>
    <col min="1288" max="1288" width="10.42578125" style="12" bestFit="1" customWidth="1"/>
    <col min="1289" max="1289" width="4.5703125" style="12" customWidth="1"/>
    <col min="1290" max="1290" width="1.85546875" style="12" customWidth="1"/>
    <col min="1291" max="1291" width="7" style="12" bestFit="1" customWidth="1"/>
    <col min="1292" max="1292" width="6.140625" style="12" customWidth="1"/>
    <col min="1293" max="1293" width="20.42578125" style="12" customWidth="1"/>
    <col min="1294" max="1294" width="6.42578125" style="12" bestFit="1" customWidth="1"/>
    <col min="1295" max="1296" width="8.42578125" style="12"/>
    <col min="1297" max="1297" width="3.140625" style="12" customWidth="1"/>
    <col min="1298" max="1536" width="8.42578125" style="12"/>
    <col min="1537" max="1537" width="10" style="12" bestFit="1" customWidth="1"/>
    <col min="1538" max="1538" width="44.140625" style="12" bestFit="1" customWidth="1"/>
    <col min="1539" max="1539" width="10.42578125" style="12" bestFit="1" customWidth="1"/>
    <col min="1540" max="1540" width="10.42578125" style="12" customWidth="1"/>
    <col min="1541" max="1541" width="9.85546875" style="12" bestFit="1" customWidth="1"/>
    <col min="1542" max="1543" width="9.5703125" style="12" bestFit="1" customWidth="1"/>
    <col min="1544" max="1544" width="10.42578125" style="12" bestFit="1" customWidth="1"/>
    <col min="1545" max="1545" width="4.5703125" style="12" customWidth="1"/>
    <col min="1546" max="1546" width="1.85546875" style="12" customWidth="1"/>
    <col min="1547" max="1547" width="7" style="12" bestFit="1" customWidth="1"/>
    <col min="1548" max="1548" width="6.140625" style="12" customWidth="1"/>
    <col min="1549" max="1549" width="20.42578125" style="12" customWidth="1"/>
    <col min="1550" max="1550" width="6.42578125" style="12" bestFit="1" customWidth="1"/>
    <col min="1551" max="1552" width="8.42578125" style="12"/>
    <col min="1553" max="1553" width="3.140625" style="12" customWidth="1"/>
    <col min="1554" max="1792" width="8.42578125" style="12"/>
    <col min="1793" max="1793" width="10" style="12" bestFit="1" customWidth="1"/>
    <col min="1794" max="1794" width="44.140625" style="12" bestFit="1" customWidth="1"/>
    <col min="1795" max="1795" width="10.42578125" style="12" bestFit="1" customWidth="1"/>
    <col min="1796" max="1796" width="10.42578125" style="12" customWidth="1"/>
    <col min="1797" max="1797" width="9.85546875" style="12" bestFit="1" customWidth="1"/>
    <col min="1798" max="1799" width="9.5703125" style="12" bestFit="1" customWidth="1"/>
    <col min="1800" max="1800" width="10.42578125" style="12" bestFit="1" customWidth="1"/>
    <col min="1801" max="1801" width="4.5703125" style="12" customWidth="1"/>
    <col min="1802" max="1802" width="1.85546875" style="12" customWidth="1"/>
    <col min="1803" max="1803" width="7" style="12" bestFit="1" customWidth="1"/>
    <col min="1804" max="1804" width="6.140625" style="12" customWidth="1"/>
    <col min="1805" max="1805" width="20.42578125" style="12" customWidth="1"/>
    <col min="1806" max="1806" width="6.42578125" style="12" bestFit="1" customWidth="1"/>
    <col min="1807" max="1808" width="8.42578125" style="12"/>
    <col min="1809" max="1809" width="3.140625" style="12" customWidth="1"/>
    <col min="1810" max="2048" width="8.42578125" style="12"/>
    <col min="2049" max="2049" width="10" style="12" bestFit="1" customWidth="1"/>
    <col min="2050" max="2050" width="44.140625" style="12" bestFit="1" customWidth="1"/>
    <col min="2051" max="2051" width="10.42578125" style="12" bestFit="1" customWidth="1"/>
    <col min="2052" max="2052" width="10.42578125" style="12" customWidth="1"/>
    <col min="2053" max="2053" width="9.85546875" style="12" bestFit="1" customWidth="1"/>
    <col min="2054" max="2055" width="9.5703125" style="12" bestFit="1" customWidth="1"/>
    <col min="2056" max="2056" width="10.42578125" style="12" bestFit="1" customWidth="1"/>
    <col min="2057" max="2057" width="4.5703125" style="12" customWidth="1"/>
    <col min="2058" max="2058" width="1.85546875" style="12" customWidth="1"/>
    <col min="2059" max="2059" width="7" style="12" bestFit="1" customWidth="1"/>
    <col min="2060" max="2060" width="6.140625" style="12" customWidth="1"/>
    <col min="2061" max="2061" width="20.42578125" style="12" customWidth="1"/>
    <col min="2062" max="2062" width="6.42578125" style="12" bestFit="1" customWidth="1"/>
    <col min="2063" max="2064" width="8.42578125" style="12"/>
    <col min="2065" max="2065" width="3.140625" style="12" customWidth="1"/>
    <col min="2066" max="2304" width="8.42578125" style="12"/>
    <col min="2305" max="2305" width="10" style="12" bestFit="1" customWidth="1"/>
    <col min="2306" max="2306" width="44.140625" style="12" bestFit="1" customWidth="1"/>
    <col min="2307" max="2307" width="10.42578125" style="12" bestFit="1" customWidth="1"/>
    <col min="2308" max="2308" width="10.42578125" style="12" customWidth="1"/>
    <col min="2309" max="2309" width="9.85546875" style="12" bestFit="1" customWidth="1"/>
    <col min="2310" max="2311" width="9.5703125" style="12" bestFit="1" customWidth="1"/>
    <col min="2312" max="2312" width="10.42578125" style="12" bestFit="1" customWidth="1"/>
    <col min="2313" max="2313" width="4.5703125" style="12" customWidth="1"/>
    <col min="2314" max="2314" width="1.85546875" style="12" customWidth="1"/>
    <col min="2315" max="2315" width="7" style="12" bestFit="1" customWidth="1"/>
    <col min="2316" max="2316" width="6.140625" style="12" customWidth="1"/>
    <col min="2317" max="2317" width="20.42578125" style="12" customWidth="1"/>
    <col min="2318" max="2318" width="6.42578125" style="12" bestFit="1" customWidth="1"/>
    <col min="2319" max="2320" width="8.42578125" style="12"/>
    <col min="2321" max="2321" width="3.140625" style="12" customWidth="1"/>
    <col min="2322" max="2560" width="8.42578125" style="12"/>
    <col min="2561" max="2561" width="10" style="12" bestFit="1" customWidth="1"/>
    <col min="2562" max="2562" width="44.140625" style="12" bestFit="1" customWidth="1"/>
    <col min="2563" max="2563" width="10.42578125" style="12" bestFit="1" customWidth="1"/>
    <col min="2564" max="2564" width="10.42578125" style="12" customWidth="1"/>
    <col min="2565" max="2565" width="9.85546875" style="12" bestFit="1" customWidth="1"/>
    <col min="2566" max="2567" width="9.5703125" style="12" bestFit="1" customWidth="1"/>
    <col min="2568" max="2568" width="10.42578125" style="12" bestFit="1" customWidth="1"/>
    <col min="2569" max="2569" width="4.5703125" style="12" customWidth="1"/>
    <col min="2570" max="2570" width="1.85546875" style="12" customWidth="1"/>
    <col min="2571" max="2571" width="7" style="12" bestFit="1" customWidth="1"/>
    <col min="2572" max="2572" width="6.140625" style="12" customWidth="1"/>
    <col min="2573" max="2573" width="20.42578125" style="12" customWidth="1"/>
    <col min="2574" max="2574" width="6.42578125" style="12" bestFit="1" customWidth="1"/>
    <col min="2575" max="2576" width="8.42578125" style="12"/>
    <col min="2577" max="2577" width="3.140625" style="12" customWidth="1"/>
    <col min="2578" max="2816" width="8.42578125" style="12"/>
    <col min="2817" max="2817" width="10" style="12" bestFit="1" customWidth="1"/>
    <col min="2818" max="2818" width="44.140625" style="12" bestFit="1" customWidth="1"/>
    <col min="2819" max="2819" width="10.42578125" style="12" bestFit="1" customWidth="1"/>
    <col min="2820" max="2820" width="10.42578125" style="12" customWidth="1"/>
    <col min="2821" max="2821" width="9.85546875" style="12" bestFit="1" customWidth="1"/>
    <col min="2822" max="2823" width="9.5703125" style="12" bestFit="1" customWidth="1"/>
    <col min="2824" max="2824" width="10.42578125" style="12" bestFit="1" customWidth="1"/>
    <col min="2825" max="2825" width="4.5703125" style="12" customWidth="1"/>
    <col min="2826" max="2826" width="1.85546875" style="12" customWidth="1"/>
    <col min="2827" max="2827" width="7" style="12" bestFit="1" customWidth="1"/>
    <col min="2828" max="2828" width="6.140625" style="12" customWidth="1"/>
    <col min="2829" max="2829" width="20.42578125" style="12" customWidth="1"/>
    <col min="2830" max="2830" width="6.42578125" style="12" bestFit="1" customWidth="1"/>
    <col min="2831" max="2832" width="8.42578125" style="12"/>
    <col min="2833" max="2833" width="3.140625" style="12" customWidth="1"/>
    <col min="2834" max="3072" width="8.42578125" style="12"/>
    <col min="3073" max="3073" width="10" style="12" bestFit="1" customWidth="1"/>
    <col min="3074" max="3074" width="44.140625" style="12" bestFit="1" customWidth="1"/>
    <col min="3075" max="3075" width="10.42578125" style="12" bestFit="1" customWidth="1"/>
    <col min="3076" max="3076" width="10.42578125" style="12" customWidth="1"/>
    <col min="3077" max="3077" width="9.85546875" style="12" bestFit="1" customWidth="1"/>
    <col min="3078" max="3079" width="9.5703125" style="12" bestFit="1" customWidth="1"/>
    <col min="3080" max="3080" width="10.42578125" style="12" bestFit="1" customWidth="1"/>
    <col min="3081" max="3081" width="4.5703125" style="12" customWidth="1"/>
    <col min="3082" max="3082" width="1.85546875" style="12" customWidth="1"/>
    <col min="3083" max="3083" width="7" style="12" bestFit="1" customWidth="1"/>
    <col min="3084" max="3084" width="6.140625" style="12" customWidth="1"/>
    <col min="3085" max="3085" width="20.42578125" style="12" customWidth="1"/>
    <col min="3086" max="3086" width="6.42578125" style="12" bestFit="1" customWidth="1"/>
    <col min="3087" max="3088" width="8.42578125" style="12"/>
    <col min="3089" max="3089" width="3.140625" style="12" customWidth="1"/>
    <col min="3090" max="3328" width="8.42578125" style="12"/>
    <col min="3329" max="3329" width="10" style="12" bestFit="1" customWidth="1"/>
    <col min="3330" max="3330" width="44.140625" style="12" bestFit="1" customWidth="1"/>
    <col min="3331" max="3331" width="10.42578125" style="12" bestFit="1" customWidth="1"/>
    <col min="3332" max="3332" width="10.42578125" style="12" customWidth="1"/>
    <col min="3333" max="3333" width="9.85546875" style="12" bestFit="1" customWidth="1"/>
    <col min="3334" max="3335" width="9.5703125" style="12" bestFit="1" customWidth="1"/>
    <col min="3336" max="3336" width="10.42578125" style="12" bestFit="1" customWidth="1"/>
    <col min="3337" max="3337" width="4.5703125" style="12" customWidth="1"/>
    <col min="3338" max="3338" width="1.85546875" style="12" customWidth="1"/>
    <col min="3339" max="3339" width="7" style="12" bestFit="1" customWidth="1"/>
    <col min="3340" max="3340" width="6.140625" style="12" customWidth="1"/>
    <col min="3341" max="3341" width="20.42578125" style="12" customWidth="1"/>
    <col min="3342" max="3342" width="6.42578125" style="12" bestFit="1" customWidth="1"/>
    <col min="3343" max="3344" width="8.42578125" style="12"/>
    <col min="3345" max="3345" width="3.140625" style="12" customWidth="1"/>
    <col min="3346" max="3584" width="8.42578125" style="12"/>
    <col min="3585" max="3585" width="10" style="12" bestFit="1" customWidth="1"/>
    <col min="3586" max="3586" width="44.140625" style="12" bestFit="1" customWidth="1"/>
    <col min="3587" max="3587" width="10.42578125" style="12" bestFit="1" customWidth="1"/>
    <col min="3588" max="3588" width="10.42578125" style="12" customWidth="1"/>
    <col min="3589" max="3589" width="9.85546875" style="12" bestFit="1" customWidth="1"/>
    <col min="3590" max="3591" width="9.5703125" style="12" bestFit="1" customWidth="1"/>
    <col min="3592" max="3592" width="10.42578125" style="12" bestFit="1" customWidth="1"/>
    <col min="3593" max="3593" width="4.5703125" style="12" customWidth="1"/>
    <col min="3594" max="3594" width="1.85546875" style="12" customWidth="1"/>
    <col min="3595" max="3595" width="7" style="12" bestFit="1" customWidth="1"/>
    <col min="3596" max="3596" width="6.140625" style="12" customWidth="1"/>
    <col min="3597" max="3597" width="20.42578125" style="12" customWidth="1"/>
    <col min="3598" max="3598" width="6.42578125" style="12" bestFit="1" customWidth="1"/>
    <col min="3599" max="3600" width="8.42578125" style="12"/>
    <col min="3601" max="3601" width="3.140625" style="12" customWidth="1"/>
    <col min="3602" max="3840" width="8.42578125" style="12"/>
    <col min="3841" max="3841" width="10" style="12" bestFit="1" customWidth="1"/>
    <col min="3842" max="3842" width="44.140625" style="12" bestFit="1" customWidth="1"/>
    <col min="3843" max="3843" width="10.42578125" style="12" bestFit="1" customWidth="1"/>
    <col min="3844" max="3844" width="10.42578125" style="12" customWidth="1"/>
    <col min="3845" max="3845" width="9.85546875" style="12" bestFit="1" customWidth="1"/>
    <col min="3846" max="3847" width="9.5703125" style="12" bestFit="1" customWidth="1"/>
    <col min="3848" max="3848" width="10.42578125" style="12" bestFit="1" customWidth="1"/>
    <col min="3849" max="3849" width="4.5703125" style="12" customWidth="1"/>
    <col min="3850" max="3850" width="1.85546875" style="12" customWidth="1"/>
    <col min="3851" max="3851" width="7" style="12" bestFit="1" customWidth="1"/>
    <col min="3852" max="3852" width="6.140625" style="12" customWidth="1"/>
    <col min="3853" max="3853" width="20.42578125" style="12" customWidth="1"/>
    <col min="3854" max="3854" width="6.42578125" style="12" bestFit="1" customWidth="1"/>
    <col min="3855" max="3856" width="8.42578125" style="12"/>
    <col min="3857" max="3857" width="3.140625" style="12" customWidth="1"/>
    <col min="3858" max="4096" width="8.42578125" style="12"/>
    <col min="4097" max="4097" width="10" style="12" bestFit="1" customWidth="1"/>
    <col min="4098" max="4098" width="44.140625" style="12" bestFit="1" customWidth="1"/>
    <col min="4099" max="4099" width="10.42578125" style="12" bestFit="1" customWidth="1"/>
    <col min="4100" max="4100" width="10.42578125" style="12" customWidth="1"/>
    <col min="4101" max="4101" width="9.85546875" style="12" bestFit="1" customWidth="1"/>
    <col min="4102" max="4103" width="9.5703125" style="12" bestFit="1" customWidth="1"/>
    <col min="4104" max="4104" width="10.42578125" style="12" bestFit="1" customWidth="1"/>
    <col min="4105" max="4105" width="4.5703125" style="12" customWidth="1"/>
    <col min="4106" max="4106" width="1.85546875" style="12" customWidth="1"/>
    <col min="4107" max="4107" width="7" style="12" bestFit="1" customWidth="1"/>
    <col min="4108" max="4108" width="6.140625" style="12" customWidth="1"/>
    <col min="4109" max="4109" width="20.42578125" style="12" customWidth="1"/>
    <col min="4110" max="4110" width="6.42578125" style="12" bestFit="1" customWidth="1"/>
    <col min="4111" max="4112" width="8.42578125" style="12"/>
    <col min="4113" max="4113" width="3.140625" style="12" customWidth="1"/>
    <col min="4114" max="4352" width="8.42578125" style="12"/>
    <col min="4353" max="4353" width="10" style="12" bestFit="1" customWidth="1"/>
    <col min="4354" max="4354" width="44.140625" style="12" bestFit="1" customWidth="1"/>
    <col min="4355" max="4355" width="10.42578125" style="12" bestFit="1" customWidth="1"/>
    <col min="4356" max="4356" width="10.42578125" style="12" customWidth="1"/>
    <col min="4357" max="4357" width="9.85546875" style="12" bestFit="1" customWidth="1"/>
    <col min="4358" max="4359" width="9.5703125" style="12" bestFit="1" customWidth="1"/>
    <col min="4360" max="4360" width="10.42578125" style="12" bestFit="1" customWidth="1"/>
    <col min="4361" max="4361" width="4.5703125" style="12" customWidth="1"/>
    <col min="4362" max="4362" width="1.85546875" style="12" customWidth="1"/>
    <col min="4363" max="4363" width="7" style="12" bestFit="1" customWidth="1"/>
    <col min="4364" max="4364" width="6.140625" style="12" customWidth="1"/>
    <col min="4365" max="4365" width="20.42578125" style="12" customWidth="1"/>
    <col min="4366" max="4366" width="6.42578125" style="12" bestFit="1" customWidth="1"/>
    <col min="4367" max="4368" width="8.42578125" style="12"/>
    <col min="4369" max="4369" width="3.140625" style="12" customWidth="1"/>
    <col min="4370" max="4608" width="8.42578125" style="12"/>
    <col min="4609" max="4609" width="10" style="12" bestFit="1" customWidth="1"/>
    <col min="4610" max="4610" width="44.140625" style="12" bestFit="1" customWidth="1"/>
    <col min="4611" max="4611" width="10.42578125" style="12" bestFit="1" customWidth="1"/>
    <col min="4612" max="4612" width="10.42578125" style="12" customWidth="1"/>
    <col min="4613" max="4613" width="9.85546875" style="12" bestFit="1" customWidth="1"/>
    <col min="4614" max="4615" width="9.5703125" style="12" bestFit="1" customWidth="1"/>
    <col min="4616" max="4616" width="10.42578125" style="12" bestFit="1" customWidth="1"/>
    <col min="4617" max="4617" width="4.5703125" style="12" customWidth="1"/>
    <col min="4618" max="4618" width="1.85546875" style="12" customWidth="1"/>
    <col min="4619" max="4619" width="7" style="12" bestFit="1" customWidth="1"/>
    <col min="4620" max="4620" width="6.140625" style="12" customWidth="1"/>
    <col min="4621" max="4621" width="20.42578125" style="12" customWidth="1"/>
    <col min="4622" max="4622" width="6.42578125" style="12" bestFit="1" customWidth="1"/>
    <col min="4623" max="4624" width="8.42578125" style="12"/>
    <col min="4625" max="4625" width="3.140625" style="12" customWidth="1"/>
    <col min="4626" max="4864" width="8.42578125" style="12"/>
    <col min="4865" max="4865" width="10" style="12" bestFit="1" customWidth="1"/>
    <col min="4866" max="4866" width="44.140625" style="12" bestFit="1" customWidth="1"/>
    <col min="4867" max="4867" width="10.42578125" style="12" bestFit="1" customWidth="1"/>
    <col min="4868" max="4868" width="10.42578125" style="12" customWidth="1"/>
    <col min="4869" max="4869" width="9.85546875" style="12" bestFit="1" customWidth="1"/>
    <col min="4870" max="4871" width="9.5703125" style="12" bestFit="1" customWidth="1"/>
    <col min="4872" max="4872" width="10.42578125" style="12" bestFit="1" customWidth="1"/>
    <col min="4873" max="4873" width="4.5703125" style="12" customWidth="1"/>
    <col min="4874" max="4874" width="1.85546875" style="12" customWidth="1"/>
    <col min="4875" max="4875" width="7" style="12" bestFit="1" customWidth="1"/>
    <col min="4876" max="4876" width="6.140625" style="12" customWidth="1"/>
    <col min="4877" max="4877" width="20.42578125" style="12" customWidth="1"/>
    <col min="4878" max="4878" width="6.42578125" style="12" bestFit="1" customWidth="1"/>
    <col min="4879" max="4880" width="8.42578125" style="12"/>
    <col min="4881" max="4881" width="3.140625" style="12" customWidth="1"/>
    <col min="4882" max="5120" width="8.42578125" style="12"/>
    <col min="5121" max="5121" width="10" style="12" bestFit="1" customWidth="1"/>
    <col min="5122" max="5122" width="44.140625" style="12" bestFit="1" customWidth="1"/>
    <col min="5123" max="5123" width="10.42578125" style="12" bestFit="1" customWidth="1"/>
    <col min="5124" max="5124" width="10.42578125" style="12" customWidth="1"/>
    <col min="5125" max="5125" width="9.85546875" style="12" bestFit="1" customWidth="1"/>
    <col min="5126" max="5127" width="9.5703125" style="12" bestFit="1" customWidth="1"/>
    <col min="5128" max="5128" width="10.42578125" style="12" bestFit="1" customWidth="1"/>
    <col min="5129" max="5129" width="4.5703125" style="12" customWidth="1"/>
    <col min="5130" max="5130" width="1.85546875" style="12" customWidth="1"/>
    <col min="5131" max="5131" width="7" style="12" bestFit="1" customWidth="1"/>
    <col min="5132" max="5132" width="6.140625" style="12" customWidth="1"/>
    <col min="5133" max="5133" width="20.42578125" style="12" customWidth="1"/>
    <col min="5134" max="5134" width="6.42578125" style="12" bestFit="1" customWidth="1"/>
    <col min="5135" max="5136" width="8.42578125" style="12"/>
    <col min="5137" max="5137" width="3.140625" style="12" customWidth="1"/>
    <col min="5138" max="5376" width="8.42578125" style="12"/>
    <col min="5377" max="5377" width="10" style="12" bestFit="1" customWidth="1"/>
    <col min="5378" max="5378" width="44.140625" style="12" bestFit="1" customWidth="1"/>
    <col min="5379" max="5379" width="10.42578125" style="12" bestFit="1" customWidth="1"/>
    <col min="5380" max="5380" width="10.42578125" style="12" customWidth="1"/>
    <col min="5381" max="5381" width="9.85546875" style="12" bestFit="1" customWidth="1"/>
    <col min="5382" max="5383" width="9.5703125" style="12" bestFit="1" customWidth="1"/>
    <col min="5384" max="5384" width="10.42578125" style="12" bestFit="1" customWidth="1"/>
    <col min="5385" max="5385" width="4.5703125" style="12" customWidth="1"/>
    <col min="5386" max="5386" width="1.85546875" style="12" customWidth="1"/>
    <col min="5387" max="5387" width="7" style="12" bestFit="1" customWidth="1"/>
    <col min="5388" max="5388" width="6.140625" style="12" customWidth="1"/>
    <col min="5389" max="5389" width="20.42578125" style="12" customWidth="1"/>
    <col min="5390" max="5390" width="6.42578125" style="12" bestFit="1" customWidth="1"/>
    <col min="5391" max="5392" width="8.42578125" style="12"/>
    <col min="5393" max="5393" width="3.140625" style="12" customWidth="1"/>
    <col min="5394" max="5632" width="8.42578125" style="12"/>
    <col min="5633" max="5633" width="10" style="12" bestFit="1" customWidth="1"/>
    <col min="5634" max="5634" width="44.140625" style="12" bestFit="1" customWidth="1"/>
    <col min="5635" max="5635" width="10.42578125" style="12" bestFit="1" customWidth="1"/>
    <col min="5636" max="5636" width="10.42578125" style="12" customWidth="1"/>
    <col min="5637" max="5637" width="9.85546875" style="12" bestFit="1" customWidth="1"/>
    <col min="5638" max="5639" width="9.5703125" style="12" bestFit="1" customWidth="1"/>
    <col min="5640" max="5640" width="10.42578125" style="12" bestFit="1" customWidth="1"/>
    <col min="5641" max="5641" width="4.5703125" style="12" customWidth="1"/>
    <col min="5642" max="5642" width="1.85546875" style="12" customWidth="1"/>
    <col min="5643" max="5643" width="7" style="12" bestFit="1" customWidth="1"/>
    <col min="5644" max="5644" width="6.140625" style="12" customWidth="1"/>
    <col min="5645" max="5645" width="20.42578125" style="12" customWidth="1"/>
    <col min="5646" max="5646" width="6.42578125" style="12" bestFit="1" customWidth="1"/>
    <col min="5647" max="5648" width="8.42578125" style="12"/>
    <col min="5649" max="5649" width="3.140625" style="12" customWidth="1"/>
    <col min="5650" max="5888" width="8.42578125" style="12"/>
    <col min="5889" max="5889" width="10" style="12" bestFit="1" customWidth="1"/>
    <col min="5890" max="5890" width="44.140625" style="12" bestFit="1" customWidth="1"/>
    <col min="5891" max="5891" width="10.42578125" style="12" bestFit="1" customWidth="1"/>
    <col min="5892" max="5892" width="10.42578125" style="12" customWidth="1"/>
    <col min="5893" max="5893" width="9.85546875" style="12" bestFit="1" customWidth="1"/>
    <col min="5894" max="5895" width="9.5703125" style="12" bestFit="1" customWidth="1"/>
    <col min="5896" max="5896" width="10.42578125" style="12" bestFit="1" customWidth="1"/>
    <col min="5897" max="5897" width="4.5703125" style="12" customWidth="1"/>
    <col min="5898" max="5898" width="1.85546875" style="12" customWidth="1"/>
    <col min="5899" max="5899" width="7" style="12" bestFit="1" customWidth="1"/>
    <col min="5900" max="5900" width="6.140625" style="12" customWidth="1"/>
    <col min="5901" max="5901" width="20.42578125" style="12" customWidth="1"/>
    <col min="5902" max="5902" width="6.42578125" style="12" bestFit="1" customWidth="1"/>
    <col min="5903" max="5904" width="8.42578125" style="12"/>
    <col min="5905" max="5905" width="3.140625" style="12" customWidth="1"/>
    <col min="5906" max="6144" width="8.42578125" style="12"/>
    <col min="6145" max="6145" width="10" style="12" bestFit="1" customWidth="1"/>
    <col min="6146" max="6146" width="44.140625" style="12" bestFit="1" customWidth="1"/>
    <col min="6147" max="6147" width="10.42578125" style="12" bestFit="1" customWidth="1"/>
    <col min="6148" max="6148" width="10.42578125" style="12" customWidth="1"/>
    <col min="6149" max="6149" width="9.85546875" style="12" bestFit="1" customWidth="1"/>
    <col min="6150" max="6151" width="9.5703125" style="12" bestFit="1" customWidth="1"/>
    <col min="6152" max="6152" width="10.42578125" style="12" bestFit="1" customWidth="1"/>
    <col min="6153" max="6153" width="4.5703125" style="12" customWidth="1"/>
    <col min="6154" max="6154" width="1.85546875" style="12" customWidth="1"/>
    <col min="6155" max="6155" width="7" style="12" bestFit="1" customWidth="1"/>
    <col min="6156" max="6156" width="6.140625" style="12" customWidth="1"/>
    <col min="6157" max="6157" width="20.42578125" style="12" customWidth="1"/>
    <col min="6158" max="6158" width="6.42578125" style="12" bestFit="1" customWidth="1"/>
    <col min="6159" max="6160" width="8.42578125" style="12"/>
    <col min="6161" max="6161" width="3.140625" style="12" customWidth="1"/>
    <col min="6162" max="6400" width="8.42578125" style="12"/>
    <col min="6401" max="6401" width="10" style="12" bestFit="1" customWidth="1"/>
    <col min="6402" max="6402" width="44.140625" style="12" bestFit="1" customWidth="1"/>
    <col min="6403" max="6403" width="10.42578125" style="12" bestFit="1" customWidth="1"/>
    <col min="6404" max="6404" width="10.42578125" style="12" customWidth="1"/>
    <col min="6405" max="6405" width="9.85546875" style="12" bestFit="1" customWidth="1"/>
    <col min="6406" max="6407" width="9.5703125" style="12" bestFit="1" customWidth="1"/>
    <col min="6408" max="6408" width="10.42578125" style="12" bestFit="1" customWidth="1"/>
    <col min="6409" max="6409" width="4.5703125" style="12" customWidth="1"/>
    <col min="6410" max="6410" width="1.85546875" style="12" customWidth="1"/>
    <col min="6411" max="6411" width="7" style="12" bestFit="1" customWidth="1"/>
    <col min="6412" max="6412" width="6.140625" style="12" customWidth="1"/>
    <col min="6413" max="6413" width="20.42578125" style="12" customWidth="1"/>
    <col min="6414" max="6414" width="6.42578125" style="12" bestFit="1" customWidth="1"/>
    <col min="6415" max="6416" width="8.42578125" style="12"/>
    <col min="6417" max="6417" width="3.140625" style="12" customWidth="1"/>
    <col min="6418" max="6656" width="8.42578125" style="12"/>
    <col min="6657" max="6657" width="10" style="12" bestFit="1" customWidth="1"/>
    <col min="6658" max="6658" width="44.140625" style="12" bestFit="1" customWidth="1"/>
    <col min="6659" max="6659" width="10.42578125" style="12" bestFit="1" customWidth="1"/>
    <col min="6660" max="6660" width="10.42578125" style="12" customWidth="1"/>
    <col min="6661" max="6661" width="9.85546875" style="12" bestFit="1" customWidth="1"/>
    <col min="6662" max="6663" width="9.5703125" style="12" bestFit="1" customWidth="1"/>
    <col min="6664" max="6664" width="10.42578125" style="12" bestFit="1" customWidth="1"/>
    <col min="6665" max="6665" width="4.5703125" style="12" customWidth="1"/>
    <col min="6666" max="6666" width="1.85546875" style="12" customWidth="1"/>
    <col min="6667" max="6667" width="7" style="12" bestFit="1" customWidth="1"/>
    <col min="6668" max="6668" width="6.140625" style="12" customWidth="1"/>
    <col min="6669" max="6669" width="20.42578125" style="12" customWidth="1"/>
    <col min="6670" max="6670" width="6.42578125" style="12" bestFit="1" customWidth="1"/>
    <col min="6671" max="6672" width="8.42578125" style="12"/>
    <col min="6673" max="6673" width="3.140625" style="12" customWidth="1"/>
    <col min="6674" max="6912" width="8.42578125" style="12"/>
    <col min="6913" max="6913" width="10" style="12" bestFit="1" customWidth="1"/>
    <col min="6914" max="6914" width="44.140625" style="12" bestFit="1" customWidth="1"/>
    <col min="6915" max="6915" width="10.42578125" style="12" bestFit="1" customWidth="1"/>
    <col min="6916" max="6916" width="10.42578125" style="12" customWidth="1"/>
    <col min="6917" max="6917" width="9.85546875" style="12" bestFit="1" customWidth="1"/>
    <col min="6918" max="6919" width="9.5703125" style="12" bestFit="1" customWidth="1"/>
    <col min="6920" max="6920" width="10.42578125" style="12" bestFit="1" customWidth="1"/>
    <col min="6921" max="6921" width="4.5703125" style="12" customWidth="1"/>
    <col min="6922" max="6922" width="1.85546875" style="12" customWidth="1"/>
    <col min="6923" max="6923" width="7" style="12" bestFit="1" customWidth="1"/>
    <col min="6924" max="6924" width="6.140625" style="12" customWidth="1"/>
    <col min="6925" max="6925" width="20.42578125" style="12" customWidth="1"/>
    <col min="6926" max="6926" width="6.42578125" style="12" bestFit="1" customWidth="1"/>
    <col min="6927" max="6928" width="8.42578125" style="12"/>
    <col min="6929" max="6929" width="3.140625" style="12" customWidth="1"/>
    <col min="6930" max="7168" width="8.42578125" style="12"/>
    <col min="7169" max="7169" width="10" style="12" bestFit="1" customWidth="1"/>
    <col min="7170" max="7170" width="44.140625" style="12" bestFit="1" customWidth="1"/>
    <col min="7171" max="7171" width="10.42578125" style="12" bestFit="1" customWidth="1"/>
    <col min="7172" max="7172" width="10.42578125" style="12" customWidth="1"/>
    <col min="7173" max="7173" width="9.85546875" style="12" bestFit="1" customWidth="1"/>
    <col min="7174" max="7175" width="9.5703125" style="12" bestFit="1" customWidth="1"/>
    <col min="7176" max="7176" width="10.42578125" style="12" bestFit="1" customWidth="1"/>
    <col min="7177" max="7177" width="4.5703125" style="12" customWidth="1"/>
    <col min="7178" max="7178" width="1.85546875" style="12" customWidth="1"/>
    <col min="7179" max="7179" width="7" style="12" bestFit="1" customWidth="1"/>
    <col min="7180" max="7180" width="6.140625" style="12" customWidth="1"/>
    <col min="7181" max="7181" width="20.42578125" style="12" customWidth="1"/>
    <col min="7182" max="7182" width="6.42578125" style="12" bestFit="1" customWidth="1"/>
    <col min="7183" max="7184" width="8.42578125" style="12"/>
    <col min="7185" max="7185" width="3.140625" style="12" customWidth="1"/>
    <col min="7186" max="7424" width="8.42578125" style="12"/>
    <col min="7425" max="7425" width="10" style="12" bestFit="1" customWidth="1"/>
    <col min="7426" max="7426" width="44.140625" style="12" bestFit="1" customWidth="1"/>
    <col min="7427" max="7427" width="10.42578125" style="12" bestFit="1" customWidth="1"/>
    <col min="7428" max="7428" width="10.42578125" style="12" customWidth="1"/>
    <col min="7429" max="7429" width="9.85546875" style="12" bestFit="1" customWidth="1"/>
    <col min="7430" max="7431" width="9.5703125" style="12" bestFit="1" customWidth="1"/>
    <col min="7432" max="7432" width="10.42578125" style="12" bestFit="1" customWidth="1"/>
    <col min="7433" max="7433" width="4.5703125" style="12" customWidth="1"/>
    <col min="7434" max="7434" width="1.85546875" style="12" customWidth="1"/>
    <col min="7435" max="7435" width="7" style="12" bestFit="1" customWidth="1"/>
    <col min="7436" max="7436" width="6.140625" style="12" customWidth="1"/>
    <col min="7437" max="7437" width="20.42578125" style="12" customWidth="1"/>
    <col min="7438" max="7438" width="6.42578125" style="12" bestFit="1" customWidth="1"/>
    <col min="7439" max="7440" width="8.42578125" style="12"/>
    <col min="7441" max="7441" width="3.140625" style="12" customWidth="1"/>
    <col min="7442" max="7680" width="8.42578125" style="12"/>
    <col min="7681" max="7681" width="10" style="12" bestFit="1" customWidth="1"/>
    <col min="7682" max="7682" width="44.140625" style="12" bestFit="1" customWidth="1"/>
    <col min="7683" max="7683" width="10.42578125" style="12" bestFit="1" customWidth="1"/>
    <col min="7684" max="7684" width="10.42578125" style="12" customWidth="1"/>
    <col min="7685" max="7685" width="9.85546875" style="12" bestFit="1" customWidth="1"/>
    <col min="7686" max="7687" width="9.5703125" style="12" bestFit="1" customWidth="1"/>
    <col min="7688" max="7688" width="10.42578125" style="12" bestFit="1" customWidth="1"/>
    <col min="7689" max="7689" width="4.5703125" style="12" customWidth="1"/>
    <col min="7690" max="7690" width="1.85546875" style="12" customWidth="1"/>
    <col min="7691" max="7691" width="7" style="12" bestFit="1" customWidth="1"/>
    <col min="7692" max="7692" width="6.140625" style="12" customWidth="1"/>
    <col min="7693" max="7693" width="20.42578125" style="12" customWidth="1"/>
    <col min="7694" max="7694" width="6.42578125" style="12" bestFit="1" customWidth="1"/>
    <col min="7695" max="7696" width="8.42578125" style="12"/>
    <col min="7697" max="7697" width="3.140625" style="12" customWidth="1"/>
    <col min="7698" max="7936" width="8.42578125" style="12"/>
    <col min="7937" max="7937" width="10" style="12" bestFit="1" customWidth="1"/>
    <col min="7938" max="7938" width="44.140625" style="12" bestFit="1" customWidth="1"/>
    <col min="7939" max="7939" width="10.42578125" style="12" bestFit="1" customWidth="1"/>
    <col min="7940" max="7940" width="10.42578125" style="12" customWidth="1"/>
    <col min="7941" max="7941" width="9.85546875" style="12" bestFit="1" customWidth="1"/>
    <col min="7942" max="7943" width="9.5703125" style="12" bestFit="1" customWidth="1"/>
    <col min="7944" max="7944" width="10.42578125" style="12" bestFit="1" customWidth="1"/>
    <col min="7945" max="7945" width="4.5703125" style="12" customWidth="1"/>
    <col min="7946" max="7946" width="1.85546875" style="12" customWidth="1"/>
    <col min="7947" max="7947" width="7" style="12" bestFit="1" customWidth="1"/>
    <col min="7948" max="7948" width="6.140625" style="12" customWidth="1"/>
    <col min="7949" max="7949" width="20.42578125" style="12" customWidth="1"/>
    <col min="7950" max="7950" width="6.42578125" style="12" bestFit="1" customWidth="1"/>
    <col min="7951" max="7952" width="8.42578125" style="12"/>
    <col min="7953" max="7953" width="3.140625" style="12" customWidth="1"/>
    <col min="7954" max="8192" width="8.42578125" style="12"/>
    <col min="8193" max="8193" width="10" style="12" bestFit="1" customWidth="1"/>
    <col min="8194" max="8194" width="44.140625" style="12" bestFit="1" customWidth="1"/>
    <col min="8195" max="8195" width="10.42578125" style="12" bestFit="1" customWidth="1"/>
    <col min="8196" max="8196" width="10.42578125" style="12" customWidth="1"/>
    <col min="8197" max="8197" width="9.85546875" style="12" bestFit="1" customWidth="1"/>
    <col min="8198" max="8199" width="9.5703125" style="12" bestFit="1" customWidth="1"/>
    <col min="8200" max="8200" width="10.42578125" style="12" bestFit="1" customWidth="1"/>
    <col min="8201" max="8201" width="4.5703125" style="12" customWidth="1"/>
    <col min="8202" max="8202" width="1.85546875" style="12" customWidth="1"/>
    <col min="8203" max="8203" width="7" style="12" bestFit="1" customWidth="1"/>
    <col min="8204" max="8204" width="6.140625" style="12" customWidth="1"/>
    <col min="8205" max="8205" width="20.42578125" style="12" customWidth="1"/>
    <col min="8206" max="8206" width="6.42578125" style="12" bestFit="1" customWidth="1"/>
    <col min="8207" max="8208" width="8.42578125" style="12"/>
    <col min="8209" max="8209" width="3.140625" style="12" customWidth="1"/>
    <col min="8210" max="8448" width="8.42578125" style="12"/>
    <col min="8449" max="8449" width="10" style="12" bestFit="1" customWidth="1"/>
    <col min="8450" max="8450" width="44.140625" style="12" bestFit="1" customWidth="1"/>
    <col min="8451" max="8451" width="10.42578125" style="12" bestFit="1" customWidth="1"/>
    <col min="8452" max="8452" width="10.42578125" style="12" customWidth="1"/>
    <col min="8453" max="8453" width="9.85546875" style="12" bestFit="1" customWidth="1"/>
    <col min="8454" max="8455" width="9.5703125" style="12" bestFit="1" customWidth="1"/>
    <col min="8456" max="8456" width="10.42578125" style="12" bestFit="1" customWidth="1"/>
    <col min="8457" max="8457" width="4.5703125" style="12" customWidth="1"/>
    <col min="8458" max="8458" width="1.85546875" style="12" customWidth="1"/>
    <col min="8459" max="8459" width="7" style="12" bestFit="1" customWidth="1"/>
    <col min="8460" max="8460" width="6.140625" style="12" customWidth="1"/>
    <col min="8461" max="8461" width="20.42578125" style="12" customWidth="1"/>
    <col min="8462" max="8462" width="6.42578125" style="12" bestFit="1" customWidth="1"/>
    <col min="8463" max="8464" width="8.42578125" style="12"/>
    <col min="8465" max="8465" width="3.140625" style="12" customWidth="1"/>
    <col min="8466" max="8704" width="8.42578125" style="12"/>
    <col min="8705" max="8705" width="10" style="12" bestFit="1" customWidth="1"/>
    <col min="8706" max="8706" width="44.140625" style="12" bestFit="1" customWidth="1"/>
    <col min="8707" max="8707" width="10.42578125" style="12" bestFit="1" customWidth="1"/>
    <col min="8708" max="8708" width="10.42578125" style="12" customWidth="1"/>
    <col min="8709" max="8709" width="9.85546875" style="12" bestFit="1" customWidth="1"/>
    <col min="8710" max="8711" width="9.5703125" style="12" bestFit="1" customWidth="1"/>
    <col min="8712" max="8712" width="10.42578125" style="12" bestFit="1" customWidth="1"/>
    <col min="8713" max="8713" width="4.5703125" style="12" customWidth="1"/>
    <col min="8714" max="8714" width="1.85546875" style="12" customWidth="1"/>
    <col min="8715" max="8715" width="7" style="12" bestFit="1" customWidth="1"/>
    <col min="8716" max="8716" width="6.140625" style="12" customWidth="1"/>
    <col min="8717" max="8717" width="20.42578125" style="12" customWidth="1"/>
    <col min="8718" max="8718" width="6.42578125" style="12" bestFit="1" customWidth="1"/>
    <col min="8719" max="8720" width="8.42578125" style="12"/>
    <col min="8721" max="8721" width="3.140625" style="12" customWidth="1"/>
    <col min="8722" max="8960" width="8.42578125" style="12"/>
    <col min="8961" max="8961" width="10" style="12" bestFit="1" customWidth="1"/>
    <col min="8962" max="8962" width="44.140625" style="12" bestFit="1" customWidth="1"/>
    <col min="8963" max="8963" width="10.42578125" style="12" bestFit="1" customWidth="1"/>
    <col min="8964" max="8964" width="10.42578125" style="12" customWidth="1"/>
    <col min="8965" max="8965" width="9.85546875" style="12" bestFit="1" customWidth="1"/>
    <col min="8966" max="8967" width="9.5703125" style="12" bestFit="1" customWidth="1"/>
    <col min="8968" max="8968" width="10.42578125" style="12" bestFit="1" customWidth="1"/>
    <col min="8969" max="8969" width="4.5703125" style="12" customWidth="1"/>
    <col min="8970" max="8970" width="1.85546875" style="12" customWidth="1"/>
    <col min="8971" max="8971" width="7" style="12" bestFit="1" customWidth="1"/>
    <col min="8972" max="8972" width="6.140625" style="12" customWidth="1"/>
    <col min="8973" max="8973" width="20.42578125" style="12" customWidth="1"/>
    <col min="8974" max="8974" width="6.42578125" style="12" bestFit="1" customWidth="1"/>
    <col min="8975" max="8976" width="8.42578125" style="12"/>
    <col min="8977" max="8977" width="3.140625" style="12" customWidth="1"/>
    <col min="8978" max="9216" width="8.42578125" style="12"/>
    <col min="9217" max="9217" width="10" style="12" bestFit="1" customWidth="1"/>
    <col min="9218" max="9218" width="44.140625" style="12" bestFit="1" customWidth="1"/>
    <col min="9219" max="9219" width="10.42578125" style="12" bestFit="1" customWidth="1"/>
    <col min="9220" max="9220" width="10.42578125" style="12" customWidth="1"/>
    <col min="9221" max="9221" width="9.85546875" style="12" bestFit="1" customWidth="1"/>
    <col min="9222" max="9223" width="9.5703125" style="12" bestFit="1" customWidth="1"/>
    <col min="9224" max="9224" width="10.42578125" style="12" bestFit="1" customWidth="1"/>
    <col min="9225" max="9225" width="4.5703125" style="12" customWidth="1"/>
    <col min="9226" max="9226" width="1.85546875" style="12" customWidth="1"/>
    <col min="9227" max="9227" width="7" style="12" bestFit="1" customWidth="1"/>
    <col min="9228" max="9228" width="6.140625" style="12" customWidth="1"/>
    <col min="9229" max="9229" width="20.42578125" style="12" customWidth="1"/>
    <col min="9230" max="9230" width="6.42578125" style="12" bestFit="1" customWidth="1"/>
    <col min="9231" max="9232" width="8.42578125" style="12"/>
    <col min="9233" max="9233" width="3.140625" style="12" customWidth="1"/>
    <col min="9234" max="9472" width="8.42578125" style="12"/>
    <col min="9473" max="9473" width="10" style="12" bestFit="1" customWidth="1"/>
    <col min="9474" max="9474" width="44.140625" style="12" bestFit="1" customWidth="1"/>
    <col min="9475" max="9475" width="10.42578125" style="12" bestFit="1" customWidth="1"/>
    <col min="9476" max="9476" width="10.42578125" style="12" customWidth="1"/>
    <col min="9477" max="9477" width="9.85546875" style="12" bestFit="1" customWidth="1"/>
    <col min="9478" max="9479" width="9.5703125" style="12" bestFit="1" customWidth="1"/>
    <col min="9480" max="9480" width="10.42578125" style="12" bestFit="1" customWidth="1"/>
    <col min="9481" max="9481" width="4.5703125" style="12" customWidth="1"/>
    <col min="9482" max="9482" width="1.85546875" style="12" customWidth="1"/>
    <col min="9483" max="9483" width="7" style="12" bestFit="1" customWidth="1"/>
    <col min="9484" max="9484" width="6.140625" style="12" customWidth="1"/>
    <col min="9485" max="9485" width="20.42578125" style="12" customWidth="1"/>
    <col min="9486" max="9486" width="6.42578125" style="12" bestFit="1" customWidth="1"/>
    <col min="9487" max="9488" width="8.42578125" style="12"/>
    <col min="9489" max="9489" width="3.140625" style="12" customWidth="1"/>
    <col min="9490" max="9728" width="8.42578125" style="12"/>
    <col min="9729" max="9729" width="10" style="12" bestFit="1" customWidth="1"/>
    <col min="9730" max="9730" width="44.140625" style="12" bestFit="1" customWidth="1"/>
    <col min="9731" max="9731" width="10.42578125" style="12" bestFit="1" customWidth="1"/>
    <col min="9732" max="9732" width="10.42578125" style="12" customWidth="1"/>
    <col min="9733" max="9733" width="9.85546875" style="12" bestFit="1" customWidth="1"/>
    <col min="9734" max="9735" width="9.5703125" style="12" bestFit="1" customWidth="1"/>
    <col min="9736" max="9736" width="10.42578125" style="12" bestFit="1" customWidth="1"/>
    <col min="9737" max="9737" width="4.5703125" style="12" customWidth="1"/>
    <col min="9738" max="9738" width="1.85546875" style="12" customWidth="1"/>
    <col min="9739" max="9739" width="7" style="12" bestFit="1" customWidth="1"/>
    <col min="9740" max="9740" width="6.140625" style="12" customWidth="1"/>
    <col min="9741" max="9741" width="20.42578125" style="12" customWidth="1"/>
    <col min="9742" max="9742" width="6.42578125" style="12" bestFit="1" customWidth="1"/>
    <col min="9743" max="9744" width="8.42578125" style="12"/>
    <col min="9745" max="9745" width="3.140625" style="12" customWidth="1"/>
    <col min="9746" max="9984" width="8.42578125" style="12"/>
    <col min="9985" max="9985" width="10" style="12" bestFit="1" customWidth="1"/>
    <col min="9986" max="9986" width="44.140625" style="12" bestFit="1" customWidth="1"/>
    <col min="9987" max="9987" width="10.42578125" style="12" bestFit="1" customWidth="1"/>
    <col min="9988" max="9988" width="10.42578125" style="12" customWidth="1"/>
    <col min="9989" max="9989" width="9.85546875" style="12" bestFit="1" customWidth="1"/>
    <col min="9990" max="9991" width="9.5703125" style="12" bestFit="1" customWidth="1"/>
    <col min="9992" max="9992" width="10.42578125" style="12" bestFit="1" customWidth="1"/>
    <col min="9993" max="9993" width="4.5703125" style="12" customWidth="1"/>
    <col min="9994" max="9994" width="1.85546875" style="12" customWidth="1"/>
    <col min="9995" max="9995" width="7" style="12" bestFit="1" customWidth="1"/>
    <col min="9996" max="9996" width="6.140625" style="12" customWidth="1"/>
    <col min="9997" max="9997" width="20.42578125" style="12" customWidth="1"/>
    <col min="9998" max="9998" width="6.42578125" style="12" bestFit="1" customWidth="1"/>
    <col min="9999" max="10000" width="8.42578125" style="12"/>
    <col min="10001" max="10001" width="3.140625" style="12" customWidth="1"/>
    <col min="10002" max="10240" width="8.42578125" style="12"/>
    <col min="10241" max="10241" width="10" style="12" bestFit="1" customWidth="1"/>
    <col min="10242" max="10242" width="44.140625" style="12" bestFit="1" customWidth="1"/>
    <col min="10243" max="10243" width="10.42578125" style="12" bestFit="1" customWidth="1"/>
    <col min="10244" max="10244" width="10.42578125" style="12" customWidth="1"/>
    <col min="10245" max="10245" width="9.85546875" style="12" bestFit="1" customWidth="1"/>
    <col min="10246" max="10247" width="9.5703125" style="12" bestFit="1" customWidth="1"/>
    <col min="10248" max="10248" width="10.42578125" style="12" bestFit="1" customWidth="1"/>
    <col min="10249" max="10249" width="4.5703125" style="12" customWidth="1"/>
    <col min="10250" max="10250" width="1.85546875" style="12" customWidth="1"/>
    <col min="10251" max="10251" width="7" style="12" bestFit="1" customWidth="1"/>
    <col min="10252" max="10252" width="6.140625" style="12" customWidth="1"/>
    <col min="10253" max="10253" width="20.42578125" style="12" customWidth="1"/>
    <col min="10254" max="10254" width="6.42578125" style="12" bestFit="1" customWidth="1"/>
    <col min="10255" max="10256" width="8.42578125" style="12"/>
    <col min="10257" max="10257" width="3.140625" style="12" customWidth="1"/>
    <col min="10258" max="10496" width="8.42578125" style="12"/>
    <col min="10497" max="10497" width="10" style="12" bestFit="1" customWidth="1"/>
    <col min="10498" max="10498" width="44.140625" style="12" bestFit="1" customWidth="1"/>
    <col min="10499" max="10499" width="10.42578125" style="12" bestFit="1" customWidth="1"/>
    <col min="10500" max="10500" width="10.42578125" style="12" customWidth="1"/>
    <col min="10501" max="10501" width="9.85546875" style="12" bestFit="1" customWidth="1"/>
    <col min="10502" max="10503" width="9.5703125" style="12" bestFit="1" customWidth="1"/>
    <col min="10504" max="10504" width="10.42578125" style="12" bestFit="1" customWidth="1"/>
    <col min="10505" max="10505" width="4.5703125" style="12" customWidth="1"/>
    <col min="10506" max="10506" width="1.85546875" style="12" customWidth="1"/>
    <col min="10507" max="10507" width="7" style="12" bestFit="1" customWidth="1"/>
    <col min="10508" max="10508" width="6.140625" style="12" customWidth="1"/>
    <col min="10509" max="10509" width="20.42578125" style="12" customWidth="1"/>
    <col min="10510" max="10510" width="6.42578125" style="12" bestFit="1" customWidth="1"/>
    <col min="10511" max="10512" width="8.42578125" style="12"/>
    <col min="10513" max="10513" width="3.140625" style="12" customWidth="1"/>
    <col min="10514" max="10752" width="8.42578125" style="12"/>
    <col min="10753" max="10753" width="10" style="12" bestFit="1" customWidth="1"/>
    <col min="10754" max="10754" width="44.140625" style="12" bestFit="1" customWidth="1"/>
    <col min="10755" max="10755" width="10.42578125" style="12" bestFit="1" customWidth="1"/>
    <col min="10756" max="10756" width="10.42578125" style="12" customWidth="1"/>
    <col min="10757" max="10757" width="9.85546875" style="12" bestFit="1" customWidth="1"/>
    <col min="10758" max="10759" width="9.5703125" style="12" bestFit="1" customWidth="1"/>
    <col min="10760" max="10760" width="10.42578125" style="12" bestFit="1" customWidth="1"/>
    <col min="10761" max="10761" width="4.5703125" style="12" customWidth="1"/>
    <col min="10762" max="10762" width="1.85546875" style="12" customWidth="1"/>
    <col min="10763" max="10763" width="7" style="12" bestFit="1" customWidth="1"/>
    <col min="10764" max="10764" width="6.140625" style="12" customWidth="1"/>
    <col min="10765" max="10765" width="20.42578125" style="12" customWidth="1"/>
    <col min="10766" max="10766" width="6.42578125" style="12" bestFit="1" customWidth="1"/>
    <col min="10767" max="10768" width="8.42578125" style="12"/>
    <col min="10769" max="10769" width="3.140625" style="12" customWidth="1"/>
    <col min="10770" max="11008" width="8.42578125" style="12"/>
    <col min="11009" max="11009" width="10" style="12" bestFit="1" customWidth="1"/>
    <col min="11010" max="11010" width="44.140625" style="12" bestFit="1" customWidth="1"/>
    <col min="11011" max="11011" width="10.42578125" style="12" bestFit="1" customWidth="1"/>
    <col min="11012" max="11012" width="10.42578125" style="12" customWidth="1"/>
    <col min="11013" max="11013" width="9.85546875" style="12" bestFit="1" customWidth="1"/>
    <col min="11014" max="11015" width="9.5703125" style="12" bestFit="1" customWidth="1"/>
    <col min="11016" max="11016" width="10.42578125" style="12" bestFit="1" customWidth="1"/>
    <col min="11017" max="11017" width="4.5703125" style="12" customWidth="1"/>
    <col min="11018" max="11018" width="1.85546875" style="12" customWidth="1"/>
    <col min="11019" max="11019" width="7" style="12" bestFit="1" customWidth="1"/>
    <col min="11020" max="11020" width="6.140625" style="12" customWidth="1"/>
    <col min="11021" max="11021" width="20.42578125" style="12" customWidth="1"/>
    <col min="11022" max="11022" width="6.42578125" style="12" bestFit="1" customWidth="1"/>
    <col min="11023" max="11024" width="8.42578125" style="12"/>
    <col min="11025" max="11025" width="3.140625" style="12" customWidth="1"/>
    <col min="11026" max="11264" width="8.42578125" style="12"/>
    <col min="11265" max="11265" width="10" style="12" bestFit="1" customWidth="1"/>
    <col min="11266" max="11266" width="44.140625" style="12" bestFit="1" customWidth="1"/>
    <col min="11267" max="11267" width="10.42578125" style="12" bestFit="1" customWidth="1"/>
    <col min="11268" max="11268" width="10.42578125" style="12" customWidth="1"/>
    <col min="11269" max="11269" width="9.85546875" style="12" bestFit="1" customWidth="1"/>
    <col min="11270" max="11271" width="9.5703125" style="12" bestFit="1" customWidth="1"/>
    <col min="11272" max="11272" width="10.42578125" style="12" bestFit="1" customWidth="1"/>
    <col min="11273" max="11273" width="4.5703125" style="12" customWidth="1"/>
    <col min="11274" max="11274" width="1.85546875" style="12" customWidth="1"/>
    <col min="11275" max="11275" width="7" style="12" bestFit="1" customWidth="1"/>
    <col min="11276" max="11276" width="6.140625" style="12" customWidth="1"/>
    <col min="11277" max="11277" width="20.42578125" style="12" customWidth="1"/>
    <col min="11278" max="11278" width="6.42578125" style="12" bestFit="1" customWidth="1"/>
    <col min="11279" max="11280" width="8.42578125" style="12"/>
    <col min="11281" max="11281" width="3.140625" style="12" customWidth="1"/>
    <col min="11282" max="11520" width="8.42578125" style="12"/>
    <col min="11521" max="11521" width="10" style="12" bestFit="1" customWidth="1"/>
    <col min="11522" max="11522" width="44.140625" style="12" bestFit="1" customWidth="1"/>
    <col min="11523" max="11523" width="10.42578125" style="12" bestFit="1" customWidth="1"/>
    <col min="11524" max="11524" width="10.42578125" style="12" customWidth="1"/>
    <col min="11525" max="11525" width="9.85546875" style="12" bestFit="1" customWidth="1"/>
    <col min="11526" max="11527" width="9.5703125" style="12" bestFit="1" customWidth="1"/>
    <col min="11528" max="11528" width="10.42578125" style="12" bestFit="1" customWidth="1"/>
    <col min="11529" max="11529" width="4.5703125" style="12" customWidth="1"/>
    <col min="11530" max="11530" width="1.85546875" style="12" customWidth="1"/>
    <col min="11531" max="11531" width="7" style="12" bestFit="1" customWidth="1"/>
    <col min="11532" max="11532" width="6.140625" style="12" customWidth="1"/>
    <col min="11533" max="11533" width="20.42578125" style="12" customWidth="1"/>
    <col min="11534" max="11534" width="6.42578125" style="12" bestFit="1" customWidth="1"/>
    <col min="11535" max="11536" width="8.42578125" style="12"/>
    <col min="11537" max="11537" width="3.140625" style="12" customWidth="1"/>
    <col min="11538" max="11776" width="8.42578125" style="12"/>
    <col min="11777" max="11777" width="10" style="12" bestFit="1" customWidth="1"/>
    <col min="11778" max="11778" width="44.140625" style="12" bestFit="1" customWidth="1"/>
    <col min="11779" max="11779" width="10.42578125" style="12" bestFit="1" customWidth="1"/>
    <col min="11780" max="11780" width="10.42578125" style="12" customWidth="1"/>
    <col min="11781" max="11781" width="9.85546875" style="12" bestFit="1" customWidth="1"/>
    <col min="11782" max="11783" width="9.5703125" style="12" bestFit="1" customWidth="1"/>
    <col min="11784" max="11784" width="10.42578125" style="12" bestFit="1" customWidth="1"/>
    <col min="11785" max="11785" width="4.5703125" style="12" customWidth="1"/>
    <col min="11786" max="11786" width="1.85546875" style="12" customWidth="1"/>
    <col min="11787" max="11787" width="7" style="12" bestFit="1" customWidth="1"/>
    <col min="11788" max="11788" width="6.140625" style="12" customWidth="1"/>
    <col min="11789" max="11789" width="20.42578125" style="12" customWidth="1"/>
    <col min="11790" max="11790" width="6.42578125" style="12" bestFit="1" customWidth="1"/>
    <col min="11791" max="11792" width="8.42578125" style="12"/>
    <col min="11793" max="11793" width="3.140625" style="12" customWidth="1"/>
    <col min="11794" max="12032" width="8.42578125" style="12"/>
    <col min="12033" max="12033" width="10" style="12" bestFit="1" customWidth="1"/>
    <col min="12034" max="12034" width="44.140625" style="12" bestFit="1" customWidth="1"/>
    <col min="12035" max="12035" width="10.42578125" style="12" bestFit="1" customWidth="1"/>
    <col min="12036" max="12036" width="10.42578125" style="12" customWidth="1"/>
    <col min="12037" max="12037" width="9.85546875" style="12" bestFit="1" customWidth="1"/>
    <col min="12038" max="12039" width="9.5703125" style="12" bestFit="1" customWidth="1"/>
    <col min="12040" max="12040" width="10.42578125" style="12" bestFit="1" customWidth="1"/>
    <col min="12041" max="12041" width="4.5703125" style="12" customWidth="1"/>
    <col min="12042" max="12042" width="1.85546875" style="12" customWidth="1"/>
    <col min="12043" max="12043" width="7" style="12" bestFit="1" customWidth="1"/>
    <col min="12044" max="12044" width="6.140625" style="12" customWidth="1"/>
    <col min="12045" max="12045" width="20.42578125" style="12" customWidth="1"/>
    <col min="12046" max="12046" width="6.42578125" style="12" bestFit="1" customWidth="1"/>
    <col min="12047" max="12048" width="8.42578125" style="12"/>
    <col min="12049" max="12049" width="3.140625" style="12" customWidth="1"/>
    <col min="12050" max="12288" width="8.42578125" style="12"/>
    <col min="12289" max="12289" width="10" style="12" bestFit="1" customWidth="1"/>
    <col min="12290" max="12290" width="44.140625" style="12" bestFit="1" customWidth="1"/>
    <col min="12291" max="12291" width="10.42578125" style="12" bestFit="1" customWidth="1"/>
    <col min="12292" max="12292" width="10.42578125" style="12" customWidth="1"/>
    <col min="12293" max="12293" width="9.85546875" style="12" bestFit="1" customWidth="1"/>
    <col min="12294" max="12295" width="9.5703125" style="12" bestFit="1" customWidth="1"/>
    <col min="12296" max="12296" width="10.42578125" style="12" bestFit="1" customWidth="1"/>
    <col min="12297" max="12297" width="4.5703125" style="12" customWidth="1"/>
    <col min="12298" max="12298" width="1.85546875" style="12" customWidth="1"/>
    <col min="12299" max="12299" width="7" style="12" bestFit="1" customWidth="1"/>
    <col min="12300" max="12300" width="6.140625" style="12" customWidth="1"/>
    <col min="12301" max="12301" width="20.42578125" style="12" customWidth="1"/>
    <col min="12302" max="12302" width="6.42578125" style="12" bestFit="1" customWidth="1"/>
    <col min="12303" max="12304" width="8.42578125" style="12"/>
    <col min="12305" max="12305" width="3.140625" style="12" customWidth="1"/>
    <col min="12306" max="12544" width="8.42578125" style="12"/>
    <col min="12545" max="12545" width="10" style="12" bestFit="1" customWidth="1"/>
    <col min="12546" max="12546" width="44.140625" style="12" bestFit="1" customWidth="1"/>
    <col min="12547" max="12547" width="10.42578125" style="12" bestFit="1" customWidth="1"/>
    <col min="12548" max="12548" width="10.42578125" style="12" customWidth="1"/>
    <col min="12549" max="12549" width="9.85546875" style="12" bestFit="1" customWidth="1"/>
    <col min="12550" max="12551" width="9.5703125" style="12" bestFit="1" customWidth="1"/>
    <col min="12552" max="12552" width="10.42578125" style="12" bestFit="1" customWidth="1"/>
    <col min="12553" max="12553" width="4.5703125" style="12" customWidth="1"/>
    <col min="12554" max="12554" width="1.85546875" style="12" customWidth="1"/>
    <col min="12555" max="12555" width="7" style="12" bestFit="1" customWidth="1"/>
    <col min="12556" max="12556" width="6.140625" style="12" customWidth="1"/>
    <col min="12557" max="12557" width="20.42578125" style="12" customWidth="1"/>
    <col min="12558" max="12558" width="6.42578125" style="12" bestFit="1" customWidth="1"/>
    <col min="12559" max="12560" width="8.42578125" style="12"/>
    <col min="12561" max="12561" width="3.140625" style="12" customWidth="1"/>
    <col min="12562" max="12800" width="8.42578125" style="12"/>
    <col min="12801" max="12801" width="10" style="12" bestFit="1" customWidth="1"/>
    <col min="12802" max="12802" width="44.140625" style="12" bestFit="1" customWidth="1"/>
    <col min="12803" max="12803" width="10.42578125" style="12" bestFit="1" customWidth="1"/>
    <col min="12804" max="12804" width="10.42578125" style="12" customWidth="1"/>
    <col min="12805" max="12805" width="9.85546875" style="12" bestFit="1" customWidth="1"/>
    <col min="12806" max="12807" width="9.5703125" style="12" bestFit="1" customWidth="1"/>
    <col min="12808" max="12808" width="10.42578125" style="12" bestFit="1" customWidth="1"/>
    <col min="12809" max="12809" width="4.5703125" style="12" customWidth="1"/>
    <col min="12810" max="12810" width="1.85546875" style="12" customWidth="1"/>
    <col min="12811" max="12811" width="7" style="12" bestFit="1" customWidth="1"/>
    <col min="12812" max="12812" width="6.140625" style="12" customWidth="1"/>
    <col min="12813" max="12813" width="20.42578125" style="12" customWidth="1"/>
    <col min="12814" max="12814" width="6.42578125" style="12" bestFit="1" customWidth="1"/>
    <col min="12815" max="12816" width="8.42578125" style="12"/>
    <col min="12817" max="12817" width="3.140625" style="12" customWidth="1"/>
    <col min="12818" max="13056" width="8.42578125" style="12"/>
    <col min="13057" max="13057" width="10" style="12" bestFit="1" customWidth="1"/>
    <col min="13058" max="13058" width="44.140625" style="12" bestFit="1" customWidth="1"/>
    <col min="13059" max="13059" width="10.42578125" style="12" bestFit="1" customWidth="1"/>
    <col min="13060" max="13060" width="10.42578125" style="12" customWidth="1"/>
    <col min="13061" max="13061" width="9.85546875" style="12" bestFit="1" customWidth="1"/>
    <col min="13062" max="13063" width="9.5703125" style="12" bestFit="1" customWidth="1"/>
    <col min="13064" max="13064" width="10.42578125" style="12" bestFit="1" customWidth="1"/>
    <col min="13065" max="13065" width="4.5703125" style="12" customWidth="1"/>
    <col min="13066" max="13066" width="1.85546875" style="12" customWidth="1"/>
    <col min="13067" max="13067" width="7" style="12" bestFit="1" customWidth="1"/>
    <col min="13068" max="13068" width="6.140625" style="12" customWidth="1"/>
    <col min="13069" max="13069" width="20.42578125" style="12" customWidth="1"/>
    <col min="13070" max="13070" width="6.42578125" style="12" bestFit="1" customWidth="1"/>
    <col min="13071" max="13072" width="8.42578125" style="12"/>
    <col min="13073" max="13073" width="3.140625" style="12" customWidth="1"/>
    <col min="13074" max="13312" width="8.42578125" style="12"/>
    <col min="13313" max="13313" width="10" style="12" bestFit="1" customWidth="1"/>
    <col min="13314" max="13314" width="44.140625" style="12" bestFit="1" customWidth="1"/>
    <col min="13315" max="13315" width="10.42578125" style="12" bestFit="1" customWidth="1"/>
    <col min="13316" max="13316" width="10.42578125" style="12" customWidth="1"/>
    <col min="13317" max="13317" width="9.85546875" style="12" bestFit="1" customWidth="1"/>
    <col min="13318" max="13319" width="9.5703125" style="12" bestFit="1" customWidth="1"/>
    <col min="13320" max="13320" width="10.42578125" style="12" bestFit="1" customWidth="1"/>
    <col min="13321" max="13321" width="4.5703125" style="12" customWidth="1"/>
    <col min="13322" max="13322" width="1.85546875" style="12" customWidth="1"/>
    <col min="13323" max="13323" width="7" style="12" bestFit="1" customWidth="1"/>
    <col min="13324" max="13324" width="6.140625" style="12" customWidth="1"/>
    <col min="13325" max="13325" width="20.42578125" style="12" customWidth="1"/>
    <col min="13326" max="13326" width="6.42578125" style="12" bestFit="1" customWidth="1"/>
    <col min="13327" max="13328" width="8.42578125" style="12"/>
    <col min="13329" max="13329" width="3.140625" style="12" customWidth="1"/>
    <col min="13330" max="13568" width="8.42578125" style="12"/>
    <col min="13569" max="13569" width="10" style="12" bestFit="1" customWidth="1"/>
    <col min="13570" max="13570" width="44.140625" style="12" bestFit="1" customWidth="1"/>
    <col min="13571" max="13571" width="10.42578125" style="12" bestFit="1" customWidth="1"/>
    <col min="13572" max="13572" width="10.42578125" style="12" customWidth="1"/>
    <col min="13573" max="13573" width="9.85546875" style="12" bestFit="1" customWidth="1"/>
    <col min="13574" max="13575" width="9.5703125" style="12" bestFit="1" customWidth="1"/>
    <col min="13576" max="13576" width="10.42578125" style="12" bestFit="1" customWidth="1"/>
    <col min="13577" max="13577" width="4.5703125" style="12" customWidth="1"/>
    <col min="13578" max="13578" width="1.85546875" style="12" customWidth="1"/>
    <col min="13579" max="13579" width="7" style="12" bestFit="1" customWidth="1"/>
    <col min="13580" max="13580" width="6.140625" style="12" customWidth="1"/>
    <col min="13581" max="13581" width="20.42578125" style="12" customWidth="1"/>
    <col min="13582" max="13582" width="6.42578125" style="12" bestFit="1" customWidth="1"/>
    <col min="13583" max="13584" width="8.42578125" style="12"/>
    <col min="13585" max="13585" width="3.140625" style="12" customWidth="1"/>
    <col min="13586" max="13824" width="8.42578125" style="12"/>
    <col min="13825" max="13825" width="10" style="12" bestFit="1" customWidth="1"/>
    <col min="13826" max="13826" width="44.140625" style="12" bestFit="1" customWidth="1"/>
    <col min="13827" max="13827" width="10.42578125" style="12" bestFit="1" customWidth="1"/>
    <col min="13828" max="13828" width="10.42578125" style="12" customWidth="1"/>
    <col min="13829" max="13829" width="9.85546875" style="12" bestFit="1" customWidth="1"/>
    <col min="13830" max="13831" width="9.5703125" style="12" bestFit="1" customWidth="1"/>
    <col min="13832" max="13832" width="10.42578125" style="12" bestFit="1" customWidth="1"/>
    <col min="13833" max="13833" width="4.5703125" style="12" customWidth="1"/>
    <col min="13834" max="13834" width="1.85546875" style="12" customWidth="1"/>
    <col min="13835" max="13835" width="7" style="12" bestFit="1" customWidth="1"/>
    <col min="13836" max="13836" width="6.140625" style="12" customWidth="1"/>
    <col min="13837" max="13837" width="20.42578125" style="12" customWidth="1"/>
    <col min="13838" max="13838" width="6.42578125" style="12" bestFit="1" customWidth="1"/>
    <col min="13839" max="13840" width="8.42578125" style="12"/>
    <col min="13841" max="13841" width="3.140625" style="12" customWidth="1"/>
    <col min="13842" max="14080" width="8.42578125" style="12"/>
    <col min="14081" max="14081" width="10" style="12" bestFit="1" customWidth="1"/>
    <col min="14082" max="14082" width="44.140625" style="12" bestFit="1" customWidth="1"/>
    <col min="14083" max="14083" width="10.42578125" style="12" bestFit="1" customWidth="1"/>
    <col min="14084" max="14084" width="10.42578125" style="12" customWidth="1"/>
    <col min="14085" max="14085" width="9.85546875" style="12" bestFit="1" customWidth="1"/>
    <col min="14086" max="14087" width="9.5703125" style="12" bestFit="1" customWidth="1"/>
    <col min="14088" max="14088" width="10.42578125" style="12" bestFit="1" customWidth="1"/>
    <col min="14089" max="14089" width="4.5703125" style="12" customWidth="1"/>
    <col min="14090" max="14090" width="1.85546875" style="12" customWidth="1"/>
    <col min="14091" max="14091" width="7" style="12" bestFit="1" customWidth="1"/>
    <col min="14092" max="14092" width="6.140625" style="12" customWidth="1"/>
    <col min="14093" max="14093" width="20.42578125" style="12" customWidth="1"/>
    <col min="14094" max="14094" width="6.42578125" style="12" bestFit="1" customWidth="1"/>
    <col min="14095" max="14096" width="8.42578125" style="12"/>
    <col min="14097" max="14097" width="3.140625" style="12" customWidth="1"/>
    <col min="14098" max="14336" width="8.42578125" style="12"/>
    <col min="14337" max="14337" width="10" style="12" bestFit="1" customWidth="1"/>
    <col min="14338" max="14338" width="44.140625" style="12" bestFit="1" customWidth="1"/>
    <col min="14339" max="14339" width="10.42578125" style="12" bestFit="1" customWidth="1"/>
    <col min="14340" max="14340" width="10.42578125" style="12" customWidth="1"/>
    <col min="14341" max="14341" width="9.85546875" style="12" bestFit="1" customWidth="1"/>
    <col min="14342" max="14343" width="9.5703125" style="12" bestFit="1" customWidth="1"/>
    <col min="14344" max="14344" width="10.42578125" style="12" bestFit="1" customWidth="1"/>
    <col min="14345" max="14345" width="4.5703125" style="12" customWidth="1"/>
    <col min="14346" max="14346" width="1.85546875" style="12" customWidth="1"/>
    <col min="14347" max="14347" width="7" style="12" bestFit="1" customWidth="1"/>
    <col min="14348" max="14348" width="6.140625" style="12" customWidth="1"/>
    <col min="14349" max="14349" width="20.42578125" style="12" customWidth="1"/>
    <col min="14350" max="14350" width="6.42578125" style="12" bestFit="1" customWidth="1"/>
    <col min="14351" max="14352" width="8.42578125" style="12"/>
    <col min="14353" max="14353" width="3.140625" style="12" customWidth="1"/>
    <col min="14354" max="14592" width="8.42578125" style="12"/>
    <col min="14593" max="14593" width="10" style="12" bestFit="1" customWidth="1"/>
    <col min="14594" max="14594" width="44.140625" style="12" bestFit="1" customWidth="1"/>
    <col min="14595" max="14595" width="10.42578125" style="12" bestFit="1" customWidth="1"/>
    <col min="14596" max="14596" width="10.42578125" style="12" customWidth="1"/>
    <col min="14597" max="14597" width="9.85546875" style="12" bestFit="1" customWidth="1"/>
    <col min="14598" max="14599" width="9.5703125" style="12" bestFit="1" customWidth="1"/>
    <col min="14600" max="14600" width="10.42578125" style="12" bestFit="1" customWidth="1"/>
    <col min="14601" max="14601" width="4.5703125" style="12" customWidth="1"/>
    <col min="14602" max="14602" width="1.85546875" style="12" customWidth="1"/>
    <col min="14603" max="14603" width="7" style="12" bestFit="1" customWidth="1"/>
    <col min="14604" max="14604" width="6.140625" style="12" customWidth="1"/>
    <col min="14605" max="14605" width="20.42578125" style="12" customWidth="1"/>
    <col min="14606" max="14606" width="6.42578125" style="12" bestFit="1" customWidth="1"/>
    <col min="14607" max="14608" width="8.42578125" style="12"/>
    <col min="14609" max="14609" width="3.140625" style="12" customWidth="1"/>
    <col min="14610" max="14848" width="8.42578125" style="12"/>
    <col min="14849" max="14849" width="10" style="12" bestFit="1" customWidth="1"/>
    <col min="14850" max="14850" width="44.140625" style="12" bestFit="1" customWidth="1"/>
    <col min="14851" max="14851" width="10.42578125" style="12" bestFit="1" customWidth="1"/>
    <col min="14852" max="14852" width="10.42578125" style="12" customWidth="1"/>
    <col min="14853" max="14853" width="9.85546875" style="12" bestFit="1" customWidth="1"/>
    <col min="14854" max="14855" width="9.5703125" style="12" bestFit="1" customWidth="1"/>
    <col min="14856" max="14856" width="10.42578125" style="12" bestFit="1" customWidth="1"/>
    <col min="14857" max="14857" width="4.5703125" style="12" customWidth="1"/>
    <col min="14858" max="14858" width="1.85546875" style="12" customWidth="1"/>
    <col min="14859" max="14859" width="7" style="12" bestFit="1" customWidth="1"/>
    <col min="14860" max="14860" width="6.140625" style="12" customWidth="1"/>
    <col min="14861" max="14861" width="20.42578125" style="12" customWidth="1"/>
    <col min="14862" max="14862" width="6.42578125" style="12" bestFit="1" customWidth="1"/>
    <col min="14863" max="14864" width="8.42578125" style="12"/>
    <col min="14865" max="14865" width="3.140625" style="12" customWidth="1"/>
    <col min="14866" max="15104" width="8.42578125" style="12"/>
    <col min="15105" max="15105" width="10" style="12" bestFit="1" customWidth="1"/>
    <col min="15106" max="15106" width="44.140625" style="12" bestFit="1" customWidth="1"/>
    <col min="15107" max="15107" width="10.42578125" style="12" bestFit="1" customWidth="1"/>
    <col min="15108" max="15108" width="10.42578125" style="12" customWidth="1"/>
    <col min="15109" max="15109" width="9.85546875" style="12" bestFit="1" customWidth="1"/>
    <col min="15110" max="15111" width="9.5703125" style="12" bestFit="1" customWidth="1"/>
    <col min="15112" max="15112" width="10.42578125" style="12" bestFit="1" customWidth="1"/>
    <col min="15113" max="15113" width="4.5703125" style="12" customWidth="1"/>
    <col min="15114" max="15114" width="1.85546875" style="12" customWidth="1"/>
    <col min="15115" max="15115" width="7" style="12" bestFit="1" customWidth="1"/>
    <col min="15116" max="15116" width="6.140625" style="12" customWidth="1"/>
    <col min="15117" max="15117" width="20.42578125" style="12" customWidth="1"/>
    <col min="15118" max="15118" width="6.42578125" style="12" bestFit="1" customWidth="1"/>
    <col min="15119" max="15120" width="8.42578125" style="12"/>
    <col min="15121" max="15121" width="3.140625" style="12" customWidth="1"/>
    <col min="15122" max="15360" width="8.42578125" style="12"/>
    <col min="15361" max="15361" width="10" style="12" bestFit="1" customWidth="1"/>
    <col min="15362" max="15362" width="44.140625" style="12" bestFit="1" customWidth="1"/>
    <col min="15363" max="15363" width="10.42578125" style="12" bestFit="1" customWidth="1"/>
    <col min="15364" max="15364" width="10.42578125" style="12" customWidth="1"/>
    <col min="15365" max="15365" width="9.85546875" style="12" bestFit="1" customWidth="1"/>
    <col min="15366" max="15367" width="9.5703125" style="12" bestFit="1" customWidth="1"/>
    <col min="15368" max="15368" width="10.42578125" style="12" bestFit="1" customWidth="1"/>
    <col min="15369" max="15369" width="4.5703125" style="12" customWidth="1"/>
    <col min="15370" max="15370" width="1.85546875" style="12" customWidth="1"/>
    <col min="15371" max="15371" width="7" style="12" bestFit="1" customWidth="1"/>
    <col min="15372" max="15372" width="6.140625" style="12" customWidth="1"/>
    <col min="15373" max="15373" width="20.42578125" style="12" customWidth="1"/>
    <col min="15374" max="15374" width="6.42578125" style="12" bestFit="1" customWidth="1"/>
    <col min="15375" max="15376" width="8.42578125" style="12"/>
    <col min="15377" max="15377" width="3.140625" style="12" customWidth="1"/>
    <col min="15378" max="15616" width="8.42578125" style="12"/>
    <col min="15617" max="15617" width="10" style="12" bestFit="1" customWidth="1"/>
    <col min="15618" max="15618" width="44.140625" style="12" bestFit="1" customWidth="1"/>
    <col min="15619" max="15619" width="10.42578125" style="12" bestFit="1" customWidth="1"/>
    <col min="15620" max="15620" width="10.42578125" style="12" customWidth="1"/>
    <col min="15621" max="15621" width="9.85546875" style="12" bestFit="1" customWidth="1"/>
    <col min="15622" max="15623" width="9.5703125" style="12" bestFit="1" customWidth="1"/>
    <col min="15624" max="15624" width="10.42578125" style="12" bestFit="1" customWidth="1"/>
    <col min="15625" max="15625" width="4.5703125" style="12" customWidth="1"/>
    <col min="15626" max="15626" width="1.85546875" style="12" customWidth="1"/>
    <col min="15627" max="15627" width="7" style="12" bestFit="1" customWidth="1"/>
    <col min="15628" max="15628" width="6.140625" style="12" customWidth="1"/>
    <col min="15629" max="15629" width="20.42578125" style="12" customWidth="1"/>
    <col min="15630" max="15630" width="6.42578125" style="12" bestFit="1" customWidth="1"/>
    <col min="15631" max="15632" width="8.42578125" style="12"/>
    <col min="15633" max="15633" width="3.140625" style="12" customWidth="1"/>
    <col min="15634" max="15872" width="8.42578125" style="12"/>
    <col min="15873" max="15873" width="10" style="12" bestFit="1" customWidth="1"/>
    <col min="15874" max="15874" width="44.140625" style="12" bestFit="1" customWidth="1"/>
    <col min="15875" max="15875" width="10.42578125" style="12" bestFit="1" customWidth="1"/>
    <col min="15876" max="15876" width="10.42578125" style="12" customWidth="1"/>
    <col min="15877" max="15877" width="9.85546875" style="12" bestFit="1" customWidth="1"/>
    <col min="15878" max="15879" width="9.5703125" style="12" bestFit="1" customWidth="1"/>
    <col min="15880" max="15880" width="10.42578125" style="12" bestFit="1" customWidth="1"/>
    <col min="15881" max="15881" width="4.5703125" style="12" customWidth="1"/>
    <col min="15882" max="15882" width="1.85546875" style="12" customWidth="1"/>
    <col min="15883" max="15883" width="7" style="12" bestFit="1" customWidth="1"/>
    <col min="15884" max="15884" width="6.140625" style="12" customWidth="1"/>
    <col min="15885" max="15885" width="20.42578125" style="12" customWidth="1"/>
    <col min="15886" max="15886" width="6.42578125" style="12" bestFit="1" customWidth="1"/>
    <col min="15887" max="15888" width="8.42578125" style="12"/>
    <col min="15889" max="15889" width="3.140625" style="12" customWidth="1"/>
    <col min="15890" max="16128" width="8.42578125" style="12"/>
    <col min="16129" max="16129" width="10" style="12" bestFit="1" customWidth="1"/>
    <col min="16130" max="16130" width="44.140625" style="12" bestFit="1" customWidth="1"/>
    <col min="16131" max="16131" width="10.42578125" style="12" bestFit="1" customWidth="1"/>
    <col min="16132" max="16132" width="10.42578125" style="12" customWidth="1"/>
    <col min="16133" max="16133" width="9.85546875" style="12" bestFit="1" customWidth="1"/>
    <col min="16134" max="16135" width="9.5703125" style="12" bestFit="1" customWidth="1"/>
    <col min="16136" max="16136" width="10.42578125" style="12" bestFit="1" customWidth="1"/>
    <col min="16137" max="16137" width="4.5703125" style="12" customWidth="1"/>
    <col min="16138" max="16138" width="1.85546875" style="12" customWidth="1"/>
    <col min="16139" max="16139" width="7" style="12" bestFit="1" customWidth="1"/>
    <col min="16140" max="16140" width="6.140625" style="12" customWidth="1"/>
    <col min="16141" max="16141" width="20.42578125" style="12" customWidth="1"/>
    <col min="16142" max="16142" width="6.42578125" style="12" bestFit="1" customWidth="1"/>
    <col min="16143" max="16144" width="8.42578125" style="12"/>
    <col min="16145" max="16145" width="3.140625" style="12" customWidth="1"/>
    <col min="16146" max="16384" width="8.42578125" style="12"/>
  </cols>
  <sheetData>
    <row r="1" spans="1:10" ht="27.75" customHeight="1" x14ac:dyDescent="0.25">
      <c r="A1" s="7"/>
      <c r="B1" s="7"/>
      <c r="C1" s="7"/>
      <c r="D1" s="7"/>
      <c r="E1" s="8" t="s">
        <v>67</v>
      </c>
      <c r="F1" s="9" t="s">
        <v>68</v>
      </c>
      <c r="G1" s="9" t="s">
        <v>69</v>
      </c>
      <c r="H1" s="9" t="s">
        <v>70</v>
      </c>
      <c r="I1" s="10"/>
    </row>
    <row r="2" spans="1:10" ht="30.75" customHeight="1" x14ac:dyDescent="0.25">
      <c r="A2" s="7"/>
      <c r="B2" s="7"/>
      <c r="C2" s="7"/>
      <c r="D2" s="7"/>
      <c r="E2" s="13">
        <f>IFERROR(O65,"")</f>
        <v>1366.2964578188451</v>
      </c>
      <c r="F2" s="13">
        <f>IFERROR(H56,"")</f>
        <v>586.03119004873054</v>
      </c>
      <c r="G2" s="13">
        <f>IFERROR(H57,"")</f>
        <v>158.51197745607851</v>
      </c>
      <c r="H2" s="13">
        <f>IFERROR(H59,"")</f>
        <v>318.71387150551425</v>
      </c>
      <c r="I2" s="14"/>
    </row>
    <row r="3" spans="1:10" ht="15" customHeight="1" x14ac:dyDescent="0.25">
      <c r="A3" s="7"/>
      <c r="B3" s="7"/>
      <c r="C3" s="7"/>
      <c r="D3" s="7"/>
      <c r="E3" s="7"/>
      <c r="F3" s="15"/>
      <c r="G3" s="15"/>
      <c r="H3" s="15"/>
      <c r="I3" s="15"/>
    </row>
    <row r="4" spans="1:10" ht="24.75" customHeight="1" thickBot="1" x14ac:dyDescent="0.3">
      <c r="A4" s="676"/>
      <c r="B4" s="676"/>
      <c r="C4" s="676"/>
      <c r="D4" s="676"/>
      <c r="E4" s="676"/>
      <c r="F4" s="676"/>
      <c r="G4" s="676"/>
      <c r="H4" s="676"/>
      <c r="I4" s="16"/>
    </row>
    <row r="5" spans="1:10" ht="19.5" customHeight="1" thickBot="1" x14ac:dyDescent="0.3">
      <c r="A5" s="677" t="s">
        <v>71</v>
      </c>
      <c r="B5" s="678"/>
      <c r="C5" s="678"/>
      <c r="D5" s="678"/>
      <c r="E5" s="678"/>
      <c r="F5" s="678"/>
      <c r="G5" s="678"/>
      <c r="H5" s="679"/>
      <c r="I5" s="17"/>
    </row>
    <row r="6" spans="1:10" ht="19.5" thickBot="1" x14ac:dyDescent="0.3">
      <c r="A6" s="17"/>
      <c r="B6" s="17"/>
      <c r="C6" s="17"/>
      <c r="D6" s="17"/>
      <c r="E6" s="17"/>
      <c r="F6" s="680" t="s">
        <v>72</v>
      </c>
      <c r="G6" s="680"/>
      <c r="H6" s="18">
        <f ca="1">TODAY()</f>
        <v>45887</v>
      </c>
      <c r="I6" s="18"/>
    </row>
    <row r="7" spans="1:10" ht="26.25" thickBot="1" x14ac:dyDescent="0.3">
      <c r="A7" s="19" t="s">
        <v>73</v>
      </c>
      <c r="B7" s="20" t="s">
        <v>74</v>
      </c>
      <c r="C7" s="20" t="s">
        <v>73</v>
      </c>
      <c r="D7" s="21" t="s">
        <v>75</v>
      </c>
      <c r="E7" s="21" t="s">
        <v>76</v>
      </c>
      <c r="F7" s="21" t="s">
        <v>77</v>
      </c>
      <c r="G7" s="21" t="s">
        <v>78</v>
      </c>
      <c r="H7" s="22" t="s">
        <v>79</v>
      </c>
      <c r="I7" s="23"/>
    </row>
    <row r="8" spans="1:10" ht="13.5" x14ac:dyDescent="0.25">
      <c r="A8" s="24">
        <v>20</v>
      </c>
      <c r="B8" s="12" t="s">
        <v>47</v>
      </c>
      <c r="C8" s="25">
        <f>+A8</f>
        <v>20</v>
      </c>
      <c r="D8" s="26" t="s">
        <v>118</v>
      </c>
      <c r="E8" s="26">
        <v>2.56</v>
      </c>
      <c r="F8" s="26">
        <f>IFERROR(C8*E8,"")</f>
        <v>51.2</v>
      </c>
      <c r="G8" s="27">
        <f t="shared" ref="G8:G14" si="0">IFERROR(F8/$F$69,"")</f>
        <v>4.824436715870923E-2</v>
      </c>
      <c r="H8" s="28" t="s">
        <v>46</v>
      </c>
      <c r="I8" s="28"/>
      <c r="J8" s="29"/>
    </row>
    <row r="9" spans="1:10" ht="13.5" x14ac:dyDescent="0.25">
      <c r="A9" s="24">
        <v>1</v>
      </c>
      <c r="B9" s="12" t="str">
        <f>IFERROR(VLOOKUP(H9,'[3]Jamón y Queso Suizo'!$A$2:$M$823,3,0),"")</f>
        <v/>
      </c>
      <c r="C9" s="25">
        <f t="shared" ref="C9:C14" si="1">+A9</f>
        <v>1</v>
      </c>
      <c r="D9" s="26" t="str">
        <f>IFERROR(VLOOKUP(H9,'[3]Jamón y Queso Suizo'!$A$2:$M$823,13,0),"")</f>
        <v/>
      </c>
      <c r="E9" s="26">
        <v>120</v>
      </c>
      <c r="F9" s="26">
        <f t="shared" ref="F9:F14" si="2">IFERROR(C9*E9,"")</f>
        <v>120</v>
      </c>
      <c r="G9" s="27">
        <f t="shared" si="0"/>
        <v>0.11307273552822475</v>
      </c>
      <c r="H9" s="28" t="s">
        <v>21</v>
      </c>
      <c r="I9" s="28"/>
      <c r="J9" s="29"/>
    </row>
    <row r="10" spans="1:10" ht="13.5" hidden="1" x14ac:dyDescent="0.25">
      <c r="A10" s="24"/>
      <c r="B10" s="12" t="str">
        <f>IFERROR(VLOOKUP(H10,'[3]Jamón y Queso Suizo'!$A$2:$M$823,3,0),"")</f>
        <v/>
      </c>
      <c r="C10" s="25">
        <f t="shared" si="1"/>
        <v>0</v>
      </c>
      <c r="D10" s="26" t="str">
        <f>IFERROR(VLOOKUP(H10,'[3]Jamón y Queso Suizo'!$A$2:$M$823,13,0),"")</f>
        <v/>
      </c>
      <c r="E10" s="26" t="str">
        <f>IFERROR(VLOOKUP(H10,'[3]Jamón y Queso Suizo'!$A$2:$M$823,12,0),"")</f>
        <v/>
      </c>
      <c r="F10" s="26" t="str">
        <f t="shared" si="2"/>
        <v/>
      </c>
      <c r="G10" s="27" t="str">
        <f t="shared" si="0"/>
        <v/>
      </c>
      <c r="H10" s="28"/>
      <c r="I10" s="28"/>
      <c r="J10" s="29"/>
    </row>
    <row r="11" spans="1:10" ht="13.5" hidden="1" x14ac:dyDescent="0.25">
      <c r="A11" s="24"/>
      <c r="B11" s="12" t="str">
        <f>IFERROR(VLOOKUP(H11,'[3]Jamón y Queso Suizo'!$A$2:$M$823,3,0),"")</f>
        <v/>
      </c>
      <c r="C11" s="25">
        <f t="shared" si="1"/>
        <v>0</v>
      </c>
      <c r="D11" s="26" t="str">
        <f>IFERROR(VLOOKUP(H11,'[3]Jamón y Queso Suizo'!$A$2:$M$823,13,0),"")</f>
        <v/>
      </c>
      <c r="E11" s="26" t="str">
        <f>IFERROR(VLOOKUP(H11,'[3]Jamón y Queso Suizo'!$A$2:$M$823,12,0),"")</f>
        <v/>
      </c>
      <c r="F11" s="26" t="str">
        <f t="shared" si="2"/>
        <v/>
      </c>
      <c r="G11" s="27" t="str">
        <f t="shared" si="0"/>
        <v/>
      </c>
      <c r="H11" s="28"/>
      <c r="I11" s="28"/>
      <c r="J11" s="29"/>
    </row>
    <row r="12" spans="1:10" ht="13.5" hidden="1" x14ac:dyDescent="0.25">
      <c r="A12" s="24"/>
      <c r="B12" s="12" t="str">
        <f>IFERROR(VLOOKUP(H12,'[3]Jamón y Queso Suizo'!$A$2:$M$823,3,0),"")</f>
        <v/>
      </c>
      <c r="C12" s="25">
        <f t="shared" si="1"/>
        <v>0</v>
      </c>
      <c r="D12" s="26" t="str">
        <f>IFERROR(VLOOKUP(H12,'[3]Jamón y Queso Suizo'!$A$2:$M$823,13,0),"")</f>
        <v/>
      </c>
      <c r="E12" s="26" t="str">
        <f>IFERROR(VLOOKUP(H12,'[3]Jamón y Queso Suizo'!$A$2:$M$823,12,0),"")</f>
        <v/>
      </c>
      <c r="F12" s="26" t="str">
        <f t="shared" si="2"/>
        <v/>
      </c>
      <c r="G12" s="27" t="str">
        <f t="shared" si="0"/>
        <v/>
      </c>
      <c r="H12" s="28"/>
      <c r="I12" s="28"/>
      <c r="J12" s="29"/>
    </row>
    <row r="13" spans="1:10" ht="13.5" hidden="1" x14ac:dyDescent="0.25">
      <c r="A13" s="24"/>
      <c r="B13" s="12" t="str">
        <f>IFERROR(VLOOKUP(H13,'[3]Jamón y Queso Suizo'!$A$2:$M$823,3,0),"")</f>
        <v/>
      </c>
      <c r="C13" s="25">
        <f t="shared" si="1"/>
        <v>0</v>
      </c>
      <c r="D13" s="26" t="str">
        <f>IFERROR(VLOOKUP(H13,'[3]Jamón y Queso Suizo'!$A$2:$M$823,13,0),"")</f>
        <v/>
      </c>
      <c r="E13" s="26" t="str">
        <f>IFERROR(VLOOKUP(H13,'[3]Jamón y Queso Suizo'!$A$2:$M$823,12,0),"")</f>
        <v/>
      </c>
      <c r="F13" s="26" t="str">
        <f t="shared" si="2"/>
        <v/>
      </c>
      <c r="G13" s="27" t="str">
        <f t="shared" si="0"/>
        <v/>
      </c>
      <c r="H13" s="28"/>
      <c r="I13" s="28"/>
      <c r="J13" s="29"/>
    </row>
    <row r="14" spans="1:10" ht="13.5" hidden="1" x14ac:dyDescent="0.25">
      <c r="A14" s="24"/>
      <c r="B14" s="12" t="str">
        <f>IFERROR(VLOOKUP(H14,'[3]Jamón y Queso Suizo'!$A$2:$M$823,3,0),"")</f>
        <v/>
      </c>
      <c r="C14" s="25">
        <f t="shared" si="1"/>
        <v>0</v>
      </c>
      <c r="D14" s="26" t="str">
        <f>IFERROR(VLOOKUP(H14,'[3]Jamón y Queso Suizo'!$A$2:$M$823,13,0),"")</f>
        <v/>
      </c>
      <c r="E14" s="26" t="str">
        <f>IFERROR(VLOOKUP(H14,'[3]Jamón y Queso Suizo'!$A$2:$M$823,12,0),"")</f>
        <v/>
      </c>
      <c r="F14" s="26" t="str">
        <f t="shared" si="2"/>
        <v/>
      </c>
      <c r="G14" s="27" t="str">
        <f t="shared" si="0"/>
        <v/>
      </c>
      <c r="H14" s="28"/>
      <c r="I14" s="28"/>
      <c r="J14" s="29"/>
    </row>
    <row r="15" spans="1:10" ht="14.25" thickBot="1" x14ac:dyDescent="0.3">
      <c r="A15" s="24"/>
      <c r="B15" s="12" t="str">
        <f>IFERROR(VLOOKUP(H15,'[4]ARTICULOS MP PLANTA'!$A$2:$G$589,2,0),"")</f>
        <v/>
      </c>
      <c r="C15" s="25"/>
      <c r="D15" s="26"/>
      <c r="E15" s="26"/>
      <c r="F15" s="26"/>
      <c r="G15" s="27"/>
      <c r="H15" s="28"/>
      <c r="I15" s="28"/>
      <c r="J15" s="29"/>
    </row>
    <row r="16" spans="1:10" ht="26.25" thickBot="1" x14ac:dyDescent="0.3">
      <c r="A16" s="19" t="s">
        <v>73</v>
      </c>
      <c r="B16" s="20" t="s">
        <v>80</v>
      </c>
      <c r="C16" s="20" t="s">
        <v>73</v>
      </c>
      <c r="D16" s="21" t="s">
        <v>75</v>
      </c>
      <c r="E16" s="21" t="s">
        <v>76</v>
      </c>
      <c r="F16" s="21" t="s">
        <v>77</v>
      </c>
      <c r="G16" s="21" t="s">
        <v>78</v>
      </c>
      <c r="H16" s="22" t="s">
        <v>79</v>
      </c>
      <c r="I16" s="23"/>
      <c r="J16" s="29"/>
    </row>
    <row r="17" spans="1:12" ht="13.5" x14ac:dyDescent="0.25">
      <c r="A17" s="24">
        <v>1</v>
      </c>
      <c r="B17" s="12" t="s">
        <v>65</v>
      </c>
      <c r="C17" s="25">
        <f>+A17</f>
        <v>1</v>
      </c>
      <c r="D17" s="25" t="s">
        <v>119</v>
      </c>
      <c r="E17" s="26">
        <f>+'[5]COSTO ROSQUETE'!$H$52</f>
        <v>136.64119004873046</v>
      </c>
      <c r="F17" s="26">
        <f>IFERROR(E17*C17,"")</f>
        <v>136.64119004873046</v>
      </c>
      <c r="G17" s="27">
        <f t="shared" ref="G17:G24" si="3">IFERROR(F17/$F$69,"")</f>
        <v>0.12875327620534996</v>
      </c>
      <c r="H17" s="28" t="s">
        <v>120</v>
      </c>
      <c r="I17" s="28"/>
      <c r="J17" s="29"/>
    </row>
    <row r="18" spans="1:12" ht="13.5" x14ac:dyDescent="0.25">
      <c r="A18" s="24">
        <v>30</v>
      </c>
      <c r="B18" s="12" t="s">
        <v>64</v>
      </c>
      <c r="C18" s="25">
        <f t="shared" ref="C18:C24" si="4">+A18</f>
        <v>30</v>
      </c>
      <c r="D18" s="25" t="s">
        <v>118</v>
      </c>
      <c r="E18" s="26">
        <v>2.3199999999999998</v>
      </c>
      <c r="F18" s="26">
        <f t="shared" ref="F18:F24" si="5">IFERROR(E18*C18,"")</f>
        <v>69.599999999999994</v>
      </c>
      <c r="G18" s="27">
        <f t="shared" si="3"/>
        <v>6.5582186606370357E-2</v>
      </c>
      <c r="H18" s="28" t="s">
        <v>62</v>
      </c>
      <c r="I18" s="28"/>
      <c r="J18" s="29"/>
    </row>
    <row r="19" spans="1:12" ht="13.5" x14ac:dyDescent="0.25">
      <c r="A19" s="24">
        <v>80</v>
      </c>
      <c r="B19" s="12" t="s">
        <v>49</v>
      </c>
      <c r="C19" s="25">
        <f>+A19</f>
        <v>80</v>
      </c>
      <c r="D19" s="25" t="s">
        <v>118</v>
      </c>
      <c r="E19" s="26">
        <v>2.4300000000000002</v>
      </c>
      <c r="F19" s="26">
        <f>IFERROR(E19*C19,"")</f>
        <v>194.4</v>
      </c>
      <c r="G19" s="27">
        <f t="shared" si="3"/>
        <v>0.18317783155572412</v>
      </c>
      <c r="H19" s="28" t="s">
        <v>48</v>
      </c>
      <c r="I19" s="28"/>
      <c r="J19" s="29"/>
    </row>
    <row r="20" spans="1:12" ht="13.5" x14ac:dyDescent="0.25">
      <c r="A20" s="24">
        <v>3</v>
      </c>
      <c r="B20" s="12" t="s">
        <v>66</v>
      </c>
      <c r="C20" s="25">
        <f>+A20</f>
        <v>3</v>
      </c>
      <c r="D20" s="25" t="s">
        <v>118</v>
      </c>
      <c r="E20" s="26">
        <v>4.7300000000000004</v>
      </c>
      <c r="F20" s="26">
        <f>IFERROR(E20*C20,"")</f>
        <v>14.190000000000001</v>
      </c>
      <c r="G20" s="27">
        <f t="shared" si="3"/>
        <v>1.3370850976212578E-2</v>
      </c>
      <c r="H20" s="28" t="s">
        <v>61</v>
      </c>
      <c r="I20" s="28"/>
      <c r="J20" s="29"/>
    </row>
    <row r="21" spans="1:12" ht="13.5" hidden="1" x14ac:dyDescent="0.25">
      <c r="A21" s="24"/>
      <c r="B21" s="12" t="str">
        <f>IFERROR(VLOOKUP(H21,'[3]Jamón y Queso Suizo'!$A$2:$M$6000,2,0),"")</f>
        <v/>
      </c>
      <c r="C21" s="25">
        <f>+A21</f>
        <v>0</v>
      </c>
      <c r="D21" s="25" t="str">
        <f>IFERROR(VLOOKUP(H21,'[3]Jamón y Queso Suizo'!$A$2:$M$6000,6,0),"")</f>
        <v/>
      </c>
      <c r="E21" s="26" t="str">
        <f>IFERROR(VLOOKUP(H21,'[3]Jamón y Queso Suizo'!$A$2:$H$65536,8,0),"")</f>
        <v/>
      </c>
      <c r="F21" s="26" t="str">
        <f>IFERROR(E21*C21,"")</f>
        <v/>
      </c>
      <c r="G21" s="27" t="str">
        <f t="shared" si="3"/>
        <v/>
      </c>
      <c r="H21" s="28"/>
      <c r="I21" s="28"/>
      <c r="J21" s="29"/>
    </row>
    <row r="22" spans="1:12" ht="13.5" hidden="1" x14ac:dyDescent="0.25">
      <c r="A22" s="24"/>
      <c r="B22" s="12" t="str">
        <f>IFERROR(VLOOKUP(H22,'[3]Jamón y Queso Suizo'!$A$2:$M$6000,2,0),"")</f>
        <v/>
      </c>
      <c r="C22" s="25">
        <f t="shared" si="4"/>
        <v>0</v>
      </c>
      <c r="D22" s="25" t="str">
        <f>IFERROR(VLOOKUP(H22,'[3]Jamón y Queso Suizo'!$A$2:$M$6000,6,0),"")</f>
        <v/>
      </c>
      <c r="E22" s="26" t="str">
        <f>IFERROR(VLOOKUP(H22,'[3]Jamón y Queso Suizo'!$A$2:$H$65536,8,0),"")</f>
        <v/>
      </c>
      <c r="F22" s="26" t="str">
        <f t="shared" si="5"/>
        <v/>
      </c>
      <c r="G22" s="27" t="str">
        <f t="shared" si="3"/>
        <v/>
      </c>
      <c r="H22" s="28"/>
      <c r="I22" s="28"/>
      <c r="J22" s="29"/>
    </row>
    <row r="23" spans="1:12" ht="13.5" hidden="1" x14ac:dyDescent="0.25">
      <c r="A23" s="24"/>
      <c r="B23" s="12" t="str">
        <f>IFERROR(VLOOKUP(H23,'[3]Jamón y Queso Suizo'!$A$2:$M$6000,2,0),"")</f>
        <v/>
      </c>
      <c r="C23" s="25">
        <f t="shared" si="4"/>
        <v>0</v>
      </c>
      <c r="D23" s="25" t="str">
        <f>IFERROR(VLOOKUP(H23,'[3]Jamón y Queso Suizo'!$A$2:$M$6000,6,0),"")</f>
        <v/>
      </c>
      <c r="E23" s="26" t="str">
        <f>IFERROR(VLOOKUP(H23,'[3]Jamón y Queso Suizo'!$A$2:$H$65536,8,0),"")</f>
        <v/>
      </c>
      <c r="F23" s="26" t="str">
        <f t="shared" si="5"/>
        <v/>
      </c>
      <c r="G23" s="27" t="str">
        <f t="shared" si="3"/>
        <v/>
      </c>
      <c r="H23" s="28"/>
      <c r="I23" s="28"/>
      <c r="J23" s="29"/>
    </row>
    <row r="24" spans="1:12" ht="13.5" hidden="1" x14ac:dyDescent="0.25">
      <c r="A24" s="24"/>
      <c r="B24" s="12" t="str">
        <f>IFERROR(VLOOKUP(H24,'[3]Jamón y Queso Suizo'!$A$2:$M$6000,2,0),"")</f>
        <v/>
      </c>
      <c r="C24" s="25">
        <f t="shared" si="4"/>
        <v>0</v>
      </c>
      <c r="D24" s="25" t="str">
        <f>IFERROR(VLOOKUP(H24,'[3]Jamón y Queso Suizo'!$A$2:$M$6000,6,0),"")</f>
        <v/>
      </c>
      <c r="E24" s="26" t="str">
        <f>IFERROR(VLOOKUP(H24,'[3]Jamón y Queso Suizo'!$A$2:$H$65536,8,0),"")</f>
        <v/>
      </c>
      <c r="F24" s="26" t="str">
        <f t="shared" si="5"/>
        <v/>
      </c>
      <c r="G24" s="27" t="str">
        <f t="shared" si="3"/>
        <v/>
      </c>
      <c r="H24" s="28"/>
      <c r="I24" s="28"/>
      <c r="J24" s="29"/>
    </row>
    <row r="25" spans="1:12" ht="14.25" thickBot="1" x14ac:dyDescent="0.3">
      <c r="A25" s="24"/>
      <c r="C25" s="25"/>
      <c r="D25" s="25"/>
      <c r="E25" s="26"/>
      <c r="F25" s="26"/>
      <c r="G25" s="27"/>
      <c r="H25" s="28"/>
      <c r="I25" s="28"/>
      <c r="J25" s="29"/>
    </row>
    <row r="26" spans="1:12" ht="26.25" thickBot="1" x14ac:dyDescent="0.3">
      <c r="A26" s="19" t="s">
        <v>73</v>
      </c>
      <c r="B26" s="20" t="s">
        <v>23</v>
      </c>
      <c r="C26" s="20" t="s">
        <v>73</v>
      </c>
      <c r="D26" s="21" t="s">
        <v>75</v>
      </c>
      <c r="E26" s="21" t="s">
        <v>76</v>
      </c>
      <c r="F26" s="21" t="s">
        <v>77</v>
      </c>
      <c r="G26" s="21" t="s">
        <v>78</v>
      </c>
      <c r="H26" s="22" t="s">
        <v>79</v>
      </c>
      <c r="I26" s="23"/>
    </row>
    <row r="27" spans="1:12" ht="13.5" x14ac:dyDescent="0.25">
      <c r="A27" s="24">
        <v>1</v>
      </c>
      <c r="B27" s="30" t="s">
        <v>51</v>
      </c>
      <c r="C27" s="25">
        <f t="shared" ref="C27:C35" si="6">+A27</f>
        <v>1</v>
      </c>
      <c r="D27" s="26" t="s">
        <v>126</v>
      </c>
      <c r="E27" s="26">
        <v>129</v>
      </c>
      <c r="F27" s="26">
        <f t="shared" ref="F27:F35" si="7">IFERROR(C27*E27,"")</f>
        <v>129</v>
      </c>
      <c r="G27" s="27">
        <f>IFERROR(F27/$F$69,"")</f>
        <v>0.12155319069284161</v>
      </c>
      <c r="H27" s="31" t="s">
        <v>50</v>
      </c>
      <c r="I27" s="31"/>
      <c r="J27" s="29"/>
      <c r="K27" s="670"/>
      <c r="L27" s="670"/>
    </row>
    <row r="28" spans="1:12" ht="13.5" x14ac:dyDescent="0.25">
      <c r="A28" s="24">
        <v>1</v>
      </c>
      <c r="B28" s="30" t="str">
        <f>IFERROR(VLOOKUP(H28,'[3]Jamón y Queso Suizo'!$A$2:$M$823,3,0),"")</f>
        <v/>
      </c>
      <c r="C28" s="25">
        <f t="shared" ref="C28:C30" si="8">+A28</f>
        <v>1</v>
      </c>
      <c r="D28" s="26" t="str">
        <f>IFERROR(VLOOKUP(H28,'[3]Jamón y Queso Suizo'!$A$2:$M$823,13,0),"")</f>
        <v/>
      </c>
      <c r="E28" s="26">
        <v>13.45</v>
      </c>
      <c r="F28" s="26">
        <f t="shared" ref="F28:F30" si="9">IFERROR(C28*E28,"")</f>
        <v>13.45</v>
      </c>
      <c r="G28" s="27">
        <f t="shared" ref="G28:G30" si="10">IFERROR(F28/$F$69,"")</f>
        <v>1.2673569107121857E-2</v>
      </c>
      <c r="H28" s="31" t="s">
        <v>121</v>
      </c>
      <c r="I28" s="31"/>
      <c r="J28" s="29"/>
      <c r="K28" s="10"/>
      <c r="L28" s="10"/>
    </row>
    <row r="29" spans="1:12" ht="13.5" x14ac:dyDescent="0.25">
      <c r="A29" s="24">
        <v>1</v>
      </c>
      <c r="B29" s="30" t="s">
        <v>25</v>
      </c>
      <c r="C29" s="25">
        <f t="shared" si="8"/>
        <v>1</v>
      </c>
      <c r="D29" s="26" t="s">
        <v>126</v>
      </c>
      <c r="E29" s="26">
        <v>0.36</v>
      </c>
      <c r="F29" s="26">
        <f t="shared" si="9"/>
        <v>0.36</v>
      </c>
      <c r="G29" s="27">
        <f t="shared" si="10"/>
        <v>3.3921820658467424E-4</v>
      </c>
      <c r="H29" s="31" t="s">
        <v>122</v>
      </c>
      <c r="I29" s="31"/>
      <c r="J29" s="29"/>
      <c r="K29" s="10"/>
      <c r="L29" s="10"/>
    </row>
    <row r="30" spans="1:12" ht="13.5" x14ac:dyDescent="0.25">
      <c r="A30" s="24" t="s">
        <v>28</v>
      </c>
      <c r="B30" s="30" t="str">
        <f>IFERROR(VLOOKUP(H30,'[3]Jamón y Queso Suizo'!$A$2:$M$823,3,0),"")</f>
        <v/>
      </c>
      <c r="C30" s="25" t="str">
        <f t="shared" si="8"/>
        <v>1</v>
      </c>
      <c r="D30" s="26" t="str">
        <f>IFERROR(VLOOKUP(H30,'[3]Jamón y Queso Suizo'!$A$2:$M$823,13,0),"")</f>
        <v/>
      </c>
      <c r="E30" s="26" t="str">
        <f>IFERROR(VLOOKUP(H30,'[3]Jamón y Queso Suizo'!$A$2:$M$823,12,0),"")</f>
        <v/>
      </c>
      <c r="F30" s="26" t="str">
        <f t="shared" si="9"/>
        <v/>
      </c>
      <c r="G30" s="27" t="str">
        <f t="shared" si="10"/>
        <v/>
      </c>
      <c r="H30" s="31" t="s">
        <v>123</v>
      </c>
      <c r="I30" s="31"/>
      <c r="J30" s="29"/>
      <c r="K30" s="10"/>
      <c r="L30" s="10"/>
    </row>
    <row r="31" spans="1:12" ht="13.5" x14ac:dyDescent="0.25">
      <c r="A31" s="24" t="s">
        <v>45</v>
      </c>
      <c r="B31" s="30" t="str">
        <f>IFERROR(VLOOKUP(H31,'[3]Jamón y Queso Suizo'!$A$2:$M$823,3,0),"")</f>
        <v/>
      </c>
      <c r="C31" s="25" t="str">
        <f t="shared" si="6"/>
        <v>2</v>
      </c>
      <c r="D31" s="26" t="str">
        <f>IFERROR(VLOOKUP(H31,'[3]Jamón y Queso Suizo'!$A$2:$M$823,13,0),"")</f>
        <v/>
      </c>
      <c r="E31" s="26" t="str">
        <f>IFERROR(VLOOKUP(H31,'[3]Jamón y Queso Suizo'!$A$2:$M$823,12,0),"")</f>
        <v/>
      </c>
      <c r="F31" s="26" t="str">
        <f t="shared" si="7"/>
        <v/>
      </c>
      <c r="G31" s="27" t="str">
        <f>IFERROR(F31/$F$69,"")</f>
        <v/>
      </c>
      <c r="H31" s="31" t="s">
        <v>124</v>
      </c>
      <c r="I31" s="31"/>
      <c r="J31" s="29"/>
      <c r="K31" s="670"/>
      <c r="L31" s="670"/>
    </row>
    <row r="32" spans="1:12" ht="13.5" x14ac:dyDescent="0.25">
      <c r="A32" s="24">
        <v>0.1</v>
      </c>
      <c r="B32" s="30" t="str">
        <f>IFERROR(VLOOKUP(H32,'[3]Jamón y Queso Suizo'!$A$2:$M$823,3,0),"")</f>
        <v/>
      </c>
      <c r="C32" s="25">
        <f t="shared" si="6"/>
        <v>0.1</v>
      </c>
      <c r="D32" s="26" t="str">
        <f>IFERROR(VLOOKUP(H32,'[3]Jamón y Queso Suizo'!$A$2:$M$823,13,0),"")</f>
        <v/>
      </c>
      <c r="E32" s="26">
        <v>128</v>
      </c>
      <c r="F32" s="26">
        <f t="shared" si="7"/>
        <v>12.8</v>
      </c>
      <c r="G32" s="27">
        <f>IFERROR(F32/$F$69,"")</f>
        <v>1.2061091789677307E-2</v>
      </c>
      <c r="H32" s="31" t="s">
        <v>30</v>
      </c>
      <c r="I32" s="31"/>
      <c r="J32" s="29"/>
      <c r="K32" s="670"/>
      <c r="L32" s="670"/>
    </row>
    <row r="33" spans="1:13" ht="13.5" x14ac:dyDescent="0.25">
      <c r="A33" s="24">
        <v>1</v>
      </c>
      <c r="B33" s="30" t="str">
        <f>IFERROR(VLOOKUP(H33,'[3]Jamón y Queso Suizo'!$A$2:$M$823,3,0),"")</f>
        <v/>
      </c>
      <c r="C33" s="25">
        <f t="shared" si="6"/>
        <v>1</v>
      </c>
      <c r="D33" s="26" t="str">
        <f>IFERROR(VLOOKUP(H33,'[3]Jamón y Queso Suizo'!$A$2:$M$823,13,0),"")</f>
        <v/>
      </c>
      <c r="E33" s="26" t="str">
        <f>IFERROR(VLOOKUP(H33,'[3]Jamón y Queso Suizo'!$A$2:$M$823,12,0),"")</f>
        <v/>
      </c>
      <c r="F33" s="26" t="str">
        <f t="shared" si="7"/>
        <v/>
      </c>
      <c r="G33" s="27" t="str">
        <f>IFERROR(F33/$F$69,"")</f>
        <v/>
      </c>
      <c r="H33" s="31" t="s">
        <v>125</v>
      </c>
      <c r="I33" s="31"/>
      <c r="J33" s="29"/>
      <c r="K33" s="670"/>
      <c r="L33" s="670"/>
    </row>
    <row r="34" spans="1:13" ht="13.5" hidden="1" x14ac:dyDescent="0.25">
      <c r="A34" s="24"/>
      <c r="B34" s="30" t="str">
        <f>IFERROR(VLOOKUP(H34,'[3]Jamón y Queso Suizo'!$A$2:$M$823,3,0),"")</f>
        <v/>
      </c>
      <c r="C34" s="25">
        <f t="shared" si="6"/>
        <v>0</v>
      </c>
      <c r="D34" s="26" t="str">
        <f>IFERROR(VLOOKUP(H34,'[3]Jamón y Queso Suizo'!$A$2:$M$823,13,0),"")</f>
        <v/>
      </c>
      <c r="E34" s="26" t="str">
        <f>IFERROR(VLOOKUP(H34,'[3]Jamón y Queso Suizo'!$A$2:$M$823,12,0),"")</f>
        <v/>
      </c>
      <c r="F34" s="26" t="str">
        <f t="shared" si="7"/>
        <v/>
      </c>
      <c r="G34" s="27" t="str">
        <f>IFERROR(F34/$F$69,"")</f>
        <v/>
      </c>
      <c r="H34" s="31"/>
      <c r="I34" s="31"/>
      <c r="J34" s="29"/>
      <c r="K34" s="32"/>
      <c r="L34" s="33"/>
    </row>
    <row r="35" spans="1:13" ht="13.5" hidden="1" x14ac:dyDescent="0.25">
      <c r="A35" s="24"/>
      <c r="B35" s="30" t="str">
        <f>IFERROR(VLOOKUP(H35,'[3]Jamón y Queso Suizo'!$A$2:$M$823,3,0),"")</f>
        <v/>
      </c>
      <c r="C35" s="25">
        <f t="shared" si="6"/>
        <v>0</v>
      </c>
      <c r="D35" s="26" t="str">
        <f>IFERROR(VLOOKUP(H35,'[3]Jamón y Queso Suizo'!$A$2:$M$823,13,0),"")</f>
        <v/>
      </c>
      <c r="E35" s="26" t="str">
        <f>IFERROR(VLOOKUP(H35,'[3]Jamón y Queso Suizo'!$A$2:$M$823,12,0),"")</f>
        <v/>
      </c>
      <c r="F35" s="26" t="str">
        <f t="shared" si="7"/>
        <v/>
      </c>
      <c r="G35" s="27" t="str">
        <f>IFERROR(F35/$F$69,"")</f>
        <v/>
      </c>
      <c r="H35" s="31"/>
      <c r="I35" s="31"/>
      <c r="J35" s="29"/>
    </row>
    <row r="36" spans="1:13" ht="14.25" thickBot="1" x14ac:dyDescent="0.3">
      <c r="A36" s="24"/>
      <c r="B36" s="30"/>
      <c r="C36" s="25"/>
      <c r="D36" s="26"/>
      <c r="E36" s="26"/>
      <c r="F36" s="26"/>
      <c r="G36" s="27"/>
      <c r="H36" s="31"/>
      <c r="I36" s="31"/>
      <c r="J36" s="29"/>
    </row>
    <row r="37" spans="1:13" ht="26.25" thickBot="1" x14ac:dyDescent="0.25">
      <c r="A37" s="19" t="s">
        <v>73</v>
      </c>
      <c r="B37" s="20" t="s">
        <v>81</v>
      </c>
      <c r="C37" s="20" t="s">
        <v>73</v>
      </c>
      <c r="D37" s="21" t="s">
        <v>75</v>
      </c>
      <c r="E37" s="21" t="s">
        <v>76</v>
      </c>
      <c r="F37" s="21" t="s">
        <v>77</v>
      </c>
      <c r="G37" s="21" t="s">
        <v>78</v>
      </c>
      <c r="H37" s="22" t="s">
        <v>79</v>
      </c>
      <c r="I37" s="31"/>
      <c r="J37" s="29"/>
    </row>
    <row r="38" spans="1:13" ht="13.5" x14ac:dyDescent="0.25">
      <c r="A38" s="24">
        <f t="shared" ref="A38:A44" si="11">+A17</f>
        <v>1</v>
      </c>
      <c r="B38" s="30" t="s">
        <v>65</v>
      </c>
      <c r="C38" s="25">
        <f>+A38</f>
        <v>1</v>
      </c>
      <c r="D38" s="26" t="s">
        <v>119</v>
      </c>
      <c r="E38" s="26">
        <f>+'[5]COSTO ROSQUETE'!$H$53</f>
        <v>2.1019774560784814</v>
      </c>
      <c r="F38" s="26">
        <f>IFERROR(E38*C38,"")</f>
        <v>2.1019774560784814</v>
      </c>
      <c r="G38" s="27">
        <f t="shared" ref="G38:G44" si="12">IFERROR(F38/$F$69,"")</f>
        <v>1.9806361748121067E-3</v>
      </c>
      <c r="H38" s="31" t="s">
        <v>120</v>
      </c>
      <c r="I38" s="31"/>
      <c r="J38" s="29"/>
    </row>
    <row r="39" spans="1:13" ht="13.5" x14ac:dyDescent="0.25">
      <c r="A39" s="24">
        <f t="shared" si="11"/>
        <v>30</v>
      </c>
      <c r="B39" s="30" t="s">
        <v>64</v>
      </c>
      <c r="C39" s="25">
        <f t="shared" ref="C39:C44" si="13">+A39</f>
        <v>30</v>
      </c>
      <c r="D39" s="26" t="s">
        <v>118</v>
      </c>
      <c r="E39" s="26">
        <v>0</v>
      </c>
      <c r="F39" s="26">
        <f t="shared" ref="F39:F44" si="14">IFERROR(E39*C39,"")</f>
        <v>0</v>
      </c>
      <c r="G39" s="27">
        <f t="shared" si="12"/>
        <v>0</v>
      </c>
      <c r="H39" s="31" t="s">
        <v>62</v>
      </c>
      <c r="I39" s="31"/>
      <c r="J39" s="29"/>
    </row>
    <row r="40" spans="1:13" ht="13.5" x14ac:dyDescent="0.25">
      <c r="A40" s="24">
        <f t="shared" si="11"/>
        <v>80</v>
      </c>
      <c r="B40" s="30" t="s">
        <v>49</v>
      </c>
      <c r="C40" s="25">
        <f t="shared" si="13"/>
        <v>80</v>
      </c>
      <c r="D40" s="26" t="s">
        <v>118</v>
      </c>
      <c r="E40" s="26">
        <v>0.01</v>
      </c>
      <c r="F40" s="26">
        <f t="shared" si="14"/>
        <v>0.8</v>
      </c>
      <c r="G40" s="27">
        <f t="shared" si="12"/>
        <v>7.5381823685483171E-4</v>
      </c>
      <c r="H40" s="31" t="s">
        <v>48</v>
      </c>
      <c r="I40" s="31"/>
      <c r="J40" s="29"/>
    </row>
    <row r="41" spans="1:13" ht="13.5" x14ac:dyDescent="0.25">
      <c r="A41" s="24">
        <f t="shared" si="11"/>
        <v>3</v>
      </c>
      <c r="B41" s="30" t="s">
        <v>66</v>
      </c>
      <c r="C41" s="25">
        <f>+A41</f>
        <v>3</v>
      </c>
      <c r="D41" s="25" t="s">
        <v>118</v>
      </c>
      <c r="E41" s="26">
        <v>0</v>
      </c>
      <c r="F41" s="26">
        <f>IFERROR(E41*C41,"")</f>
        <v>0</v>
      </c>
      <c r="G41" s="27">
        <f t="shared" si="12"/>
        <v>0</v>
      </c>
      <c r="H41" s="31" t="s">
        <v>61</v>
      </c>
      <c r="I41" s="31"/>
      <c r="J41" s="29"/>
    </row>
    <row r="42" spans="1:13" ht="13.5" hidden="1" x14ac:dyDescent="0.25">
      <c r="A42" s="24">
        <f t="shared" si="11"/>
        <v>0</v>
      </c>
      <c r="B42" s="30" t="str">
        <f>IFERROR(VLOOKUP(H42,'[3]Jamón y Queso Suizo'!$A$2:$M$6000,2,0),"")</f>
        <v/>
      </c>
      <c r="C42" s="25">
        <f>+A42</f>
        <v>0</v>
      </c>
      <c r="D42" s="26" t="str">
        <f>IFERROR(VLOOKUP(H42,'[3]Jamón y Queso Suizo'!$A$2:$M$6000,6,0),"")</f>
        <v/>
      </c>
      <c r="E42" s="26" t="str">
        <f>IFERROR(VLOOKUP(H42,'[3]Jamón y Queso Suizo'!$A$2:$M$65536,10,0),"")</f>
        <v/>
      </c>
      <c r="F42" s="26" t="str">
        <f>IFERROR(E42*C42,"")</f>
        <v/>
      </c>
      <c r="G42" s="27" t="str">
        <f t="shared" si="12"/>
        <v/>
      </c>
      <c r="H42" s="31"/>
      <c r="I42" s="31"/>
      <c r="J42" s="29"/>
    </row>
    <row r="43" spans="1:13" ht="13.5" hidden="1" x14ac:dyDescent="0.25">
      <c r="A43" s="24">
        <f t="shared" si="11"/>
        <v>0</v>
      </c>
      <c r="B43" s="30" t="str">
        <f>IFERROR(VLOOKUP(H43,'[3]Jamón y Queso Suizo'!$A$2:$M$6000,2,0),"")</f>
        <v/>
      </c>
      <c r="C43" s="25">
        <f t="shared" si="13"/>
        <v>0</v>
      </c>
      <c r="D43" s="26" t="str">
        <f>IFERROR(VLOOKUP(H43,'[3]Jamón y Queso Suizo'!$A$2:$M$6000,6,0),"")</f>
        <v/>
      </c>
      <c r="E43" s="26" t="str">
        <f>IFERROR(VLOOKUP(H43,'[3]Jamón y Queso Suizo'!$A$2:$M$65536,10,0),"")</f>
        <v/>
      </c>
      <c r="F43" s="26" t="str">
        <f t="shared" si="14"/>
        <v/>
      </c>
      <c r="G43" s="27" t="str">
        <f t="shared" si="12"/>
        <v/>
      </c>
      <c r="H43" s="31"/>
      <c r="I43" s="31"/>
      <c r="J43" s="29"/>
    </row>
    <row r="44" spans="1:13" ht="13.5" hidden="1" x14ac:dyDescent="0.25">
      <c r="A44" s="24">
        <f t="shared" si="11"/>
        <v>0</v>
      </c>
      <c r="B44" s="30" t="str">
        <f>IFERROR(VLOOKUP(H44,'[3]Jamón y Queso Suizo'!$A$2:$M$6000,2,0),"")</f>
        <v/>
      </c>
      <c r="C44" s="25">
        <f t="shared" si="13"/>
        <v>0</v>
      </c>
      <c r="D44" s="26" t="str">
        <f>IFERROR(VLOOKUP(H44,'[3]Jamón y Queso Suizo'!$A$2:$M$6000,6,0),"")</f>
        <v/>
      </c>
      <c r="E44" s="26" t="str">
        <f>IFERROR(VLOOKUP(H44,'[3]Jamón y Queso Suizo'!$A$2:$M$65536,10,0),"")</f>
        <v/>
      </c>
      <c r="F44" s="26" t="str">
        <f t="shared" si="14"/>
        <v/>
      </c>
      <c r="G44" s="27" t="str">
        <f t="shared" si="12"/>
        <v/>
      </c>
      <c r="H44" s="31"/>
      <c r="I44" s="31"/>
      <c r="J44" s="29"/>
    </row>
    <row r="45" spans="1:13" ht="14.25" thickBot="1" x14ac:dyDescent="0.3">
      <c r="A45" s="24"/>
      <c r="B45" s="30"/>
      <c r="C45" s="25"/>
      <c r="D45" s="26"/>
      <c r="E45" s="26"/>
      <c r="F45" s="26"/>
      <c r="G45" s="27"/>
      <c r="H45" s="31"/>
      <c r="I45" s="31"/>
      <c r="J45" s="29"/>
    </row>
    <row r="46" spans="1:13" ht="26.25" thickBot="1" x14ac:dyDescent="0.3">
      <c r="A46" s="19" t="s">
        <v>73</v>
      </c>
      <c r="B46" s="20" t="s">
        <v>82</v>
      </c>
      <c r="C46" s="20" t="s">
        <v>73</v>
      </c>
      <c r="D46" s="21" t="s">
        <v>75</v>
      </c>
      <c r="E46" s="21" t="s">
        <v>76</v>
      </c>
      <c r="F46" s="21" t="s">
        <v>77</v>
      </c>
      <c r="G46" s="21" t="s">
        <v>78</v>
      </c>
      <c r="H46" s="22" t="s">
        <v>79</v>
      </c>
      <c r="I46" s="23"/>
      <c r="J46" s="29"/>
    </row>
    <row r="47" spans="1:13" ht="13.5" x14ac:dyDescent="0.25">
      <c r="A47" s="24">
        <f>+A38</f>
        <v>1</v>
      </c>
      <c r="B47" s="30" t="s">
        <v>65</v>
      </c>
      <c r="C47" s="25">
        <f>+A47</f>
        <v>1</v>
      </c>
      <c r="D47" s="26" t="s">
        <v>119</v>
      </c>
      <c r="E47" s="26">
        <f>+'[5]COSTO ROSQUETE'!$H$55</f>
        <v>2.3438715055142345</v>
      </c>
      <c r="F47" s="26">
        <f>IFERROR(E47*C47,"")</f>
        <v>2.3438715055142345</v>
      </c>
      <c r="G47" s="27">
        <f>IFERROR(F47/$F$69,"")</f>
        <v>2.2085663571262751E-3</v>
      </c>
      <c r="H47" s="31" t="s">
        <v>120</v>
      </c>
      <c r="I47" s="23"/>
      <c r="J47" s="29"/>
    </row>
    <row r="48" spans="1:13" ht="13.5" x14ac:dyDescent="0.25">
      <c r="A48" s="24">
        <f t="shared" ref="A48:A53" si="15">+A39</f>
        <v>30</v>
      </c>
      <c r="B48" s="30" t="s">
        <v>64</v>
      </c>
      <c r="C48" s="25">
        <f t="shared" ref="C48:C53" si="16">+A48</f>
        <v>30</v>
      </c>
      <c r="D48" s="26" t="s">
        <v>118</v>
      </c>
      <c r="E48" s="26">
        <v>0.13</v>
      </c>
      <c r="F48" s="26">
        <f t="shared" ref="F48:F53" si="17">IFERROR(E48*C48,"")</f>
        <v>3.9000000000000004</v>
      </c>
      <c r="G48" s="27">
        <f t="shared" ref="G48:G53" si="18">IFERROR(F48/$F$69,"")</f>
        <v>3.6748639046673046E-3</v>
      </c>
      <c r="H48" s="31" t="s">
        <v>62</v>
      </c>
      <c r="I48" s="23"/>
      <c r="J48" s="29"/>
      <c r="M48" s="34"/>
    </row>
    <row r="49" spans="1:17" ht="13.5" x14ac:dyDescent="0.25">
      <c r="A49" s="24">
        <f t="shared" si="15"/>
        <v>80</v>
      </c>
      <c r="B49" s="30" t="s">
        <v>49</v>
      </c>
      <c r="C49" s="25">
        <f t="shared" si="16"/>
        <v>80</v>
      </c>
      <c r="D49" s="26" t="s">
        <v>118</v>
      </c>
      <c r="E49" s="26">
        <v>0.09</v>
      </c>
      <c r="F49" s="26">
        <f t="shared" si="17"/>
        <v>7.1999999999999993</v>
      </c>
      <c r="G49" s="27">
        <f t="shared" si="18"/>
        <v>6.7843641316934844E-3</v>
      </c>
      <c r="H49" s="31" t="s">
        <v>48</v>
      </c>
      <c r="I49" s="23"/>
      <c r="J49" s="29"/>
    </row>
    <row r="50" spans="1:17" ht="13.5" x14ac:dyDescent="0.25">
      <c r="A50" s="24">
        <f t="shared" si="15"/>
        <v>3</v>
      </c>
      <c r="B50" s="30" t="s">
        <v>66</v>
      </c>
      <c r="C50" s="25">
        <f t="shared" si="16"/>
        <v>3</v>
      </c>
      <c r="D50" s="25" t="s">
        <v>118</v>
      </c>
      <c r="E50" s="26">
        <v>0.09</v>
      </c>
      <c r="F50" s="26">
        <f t="shared" si="17"/>
        <v>0.27</v>
      </c>
      <c r="G50" s="27">
        <f t="shared" si="18"/>
        <v>2.5441365493850571E-4</v>
      </c>
      <c r="H50" s="31" t="s">
        <v>61</v>
      </c>
      <c r="I50" s="23"/>
      <c r="J50" s="29"/>
    </row>
    <row r="51" spans="1:17" ht="13.5" hidden="1" x14ac:dyDescent="0.25">
      <c r="A51" s="24">
        <f t="shared" si="15"/>
        <v>0</v>
      </c>
      <c r="B51" s="30" t="str">
        <f>IFERROR(VLOOKUP(H51,'[3]Jamón y Queso Suizo'!$A$2:$M$6000,2,0),"")</f>
        <v/>
      </c>
      <c r="C51" s="25">
        <f t="shared" si="16"/>
        <v>0</v>
      </c>
      <c r="D51" s="26" t="str">
        <f>IFERROR(VLOOKUP(H51,'[3]Jamón y Queso Suizo'!$A$2:$M$6000,6,0),"")</f>
        <v/>
      </c>
      <c r="E51" s="26" t="str">
        <f>IFERROR(VLOOKUP(H51,'[3]Jamón y Queso Suizo'!$A$2:$M$65536,12,0),"")</f>
        <v/>
      </c>
      <c r="F51" s="26" t="str">
        <f t="shared" si="17"/>
        <v/>
      </c>
      <c r="G51" s="27" t="str">
        <f t="shared" si="18"/>
        <v/>
      </c>
      <c r="H51" s="31"/>
      <c r="I51" s="23"/>
      <c r="J51" s="29"/>
    </row>
    <row r="52" spans="1:17" ht="13.5" hidden="1" x14ac:dyDescent="0.25">
      <c r="A52" s="24">
        <f t="shared" si="15"/>
        <v>0</v>
      </c>
      <c r="B52" s="30" t="str">
        <f>IFERROR(VLOOKUP(H52,'[3]Jamón y Queso Suizo'!$A$2:$M$6000,2,0),"")</f>
        <v/>
      </c>
      <c r="C52" s="25">
        <f t="shared" si="16"/>
        <v>0</v>
      </c>
      <c r="D52" s="26" t="str">
        <f>IFERROR(VLOOKUP(H52,'[3]Jamón y Queso Suizo'!$A$2:$M$6000,6,0),"")</f>
        <v/>
      </c>
      <c r="E52" s="26" t="str">
        <f>IFERROR(VLOOKUP(H52,'[3]Jamón y Queso Suizo'!$A$2:$M$65536,12,0),"")</f>
        <v/>
      </c>
      <c r="F52" s="26" t="str">
        <f t="shared" si="17"/>
        <v/>
      </c>
      <c r="G52" s="27" t="str">
        <f t="shared" si="18"/>
        <v/>
      </c>
      <c r="H52" s="31"/>
      <c r="I52" s="23"/>
      <c r="J52" s="29"/>
    </row>
    <row r="53" spans="1:17" ht="13.5" hidden="1" x14ac:dyDescent="0.25">
      <c r="A53" s="24">
        <f t="shared" si="15"/>
        <v>0</v>
      </c>
      <c r="B53" s="30" t="str">
        <f>IFERROR(VLOOKUP(H53,'[3]Jamón y Queso Suizo'!$A$2:$M$6000,2,0),"")</f>
        <v/>
      </c>
      <c r="C53" s="25">
        <f t="shared" si="16"/>
        <v>0</v>
      </c>
      <c r="D53" s="26" t="str">
        <f>IFERROR(VLOOKUP(H53,'[3]Jamón y Queso Suizo'!$A$2:$M$6000,6,0),"")</f>
        <v/>
      </c>
      <c r="E53" s="26" t="str">
        <f>IFERROR(VLOOKUP(H53,'[3]Jamón y Queso Suizo'!$A$2:$M$65536,12,0),"")</f>
        <v/>
      </c>
      <c r="F53" s="26" t="str">
        <f t="shared" si="17"/>
        <v/>
      </c>
      <c r="G53" s="27" t="str">
        <f t="shared" si="18"/>
        <v/>
      </c>
      <c r="H53" s="30"/>
      <c r="I53" s="23"/>
      <c r="J53" s="29"/>
    </row>
    <row r="54" spans="1:17" ht="13.5" x14ac:dyDescent="0.25">
      <c r="A54" s="24">
        <v>1</v>
      </c>
      <c r="B54" s="30" t="s">
        <v>83</v>
      </c>
      <c r="C54" s="25">
        <f>+A54</f>
        <v>1</v>
      </c>
      <c r="D54" s="25" t="s">
        <v>84</v>
      </c>
      <c r="E54" s="26">
        <f>+F68</f>
        <v>305</v>
      </c>
      <c r="F54" s="26">
        <f>IFERROR(C54*E54,"")</f>
        <v>305</v>
      </c>
      <c r="G54" s="27">
        <f>IFERROR(F54/$F$69,"")</f>
        <v>0.28739320280090458</v>
      </c>
      <c r="H54" s="35"/>
      <c r="I54" s="35"/>
      <c r="J54" s="29"/>
    </row>
    <row r="55" spans="1:17" ht="14.25" thickBot="1" x14ac:dyDescent="0.3">
      <c r="A55" s="24"/>
      <c r="B55" s="30"/>
      <c r="C55" s="25"/>
      <c r="D55" s="25"/>
      <c r="E55" s="26"/>
      <c r="F55" s="26"/>
      <c r="G55" s="27"/>
      <c r="H55" s="35"/>
      <c r="I55" s="35"/>
      <c r="J55" s="29"/>
    </row>
    <row r="56" spans="1:17" ht="13.5" thickBot="1" x14ac:dyDescent="0.3">
      <c r="A56" s="36"/>
      <c r="B56" s="671" t="s">
        <v>85</v>
      </c>
      <c r="C56" s="671"/>
      <c r="D56" s="671"/>
      <c r="E56" s="671"/>
      <c r="F56" s="38">
        <f>SUM(F8:F14,F17:F24)</f>
        <v>586.03119004873054</v>
      </c>
      <c r="G56" s="27">
        <f>+F56/$F$69</f>
        <v>0.55220124803059101</v>
      </c>
      <c r="H56" s="39">
        <f>+F56/$D$63</f>
        <v>586.03119004873054</v>
      </c>
      <c r="I56" s="39"/>
      <c r="J56" s="40"/>
      <c r="K56" s="41"/>
      <c r="L56" s="41"/>
      <c r="M56" s="41"/>
      <c r="N56" s="41"/>
      <c r="O56" s="41"/>
      <c r="P56" s="41"/>
      <c r="Q56" s="42"/>
    </row>
    <row r="57" spans="1:17" x14ac:dyDescent="0.2">
      <c r="A57" s="36"/>
      <c r="B57" s="671" t="s">
        <v>86</v>
      </c>
      <c r="C57" s="671"/>
      <c r="D57" s="671"/>
      <c r="E57" s="671"/>
      <c r="F57" s="38">
        <f>SUM(F27:F35,F38:F44)</f>
        <v>158.51197745607851</v>
      </c>
      <c r="G57" s="27">
        <f>+F57/$F$69</f>
        <v>0.14936152420789242</v>
      </c>
      <c r="H57" s="39">
        <f>+F57/$D$63</f>
        <v>158.51197745607851</v>
      </c>
      <c r="I57" s="39"/>
      <c r="J57" s="43"/>
      <c r="K57" s="672" t="s">
        <v>87</v>
      </c>
      <c r="L57" s="673"/>
      <c r="M57" s="673"/>
      <c r="N57" s="673"/>
      <c r="O57" s="44">
        <f>+F58</f>
        <v>744.54316750480905</v>
      </c>
      <c r="P57" s="44"/>
      <c r="Q57" s="45"/>
    </row>
    <row r="58" spans="1:17" x14ac:dyDescent="0.2">
      <c r="A58" s="36"/>
      <c r="B58" s="671" t="s">
        <v>88</v>
      </c>
      <c r="C58" s="671"/>
      <c r="D58" s="671"/>
      <c r="E58" s="671"/>
      <c r="F58" s="38">
        <f>+F56+F57</f>
        <v>744.54316750480905</v>
      </c>
      <c r="G58" s="27">
        <f>+F58/$F$69</f>
        <v>0.70156277223848351</v>
      </c>
      <c r="H58" s="39">
        <f>+F58/$D$63</f>
        <v>744.54316750480905</v>
      </c>
      <c r="I58" s="39"/>
      <c r="J58" s="46"/>
      <c r="K58" s="47"/>
      <c r="M58" s="48" t="s">
        <v>89</v>
      </c>
      <c r="N58" s="49"/>
      <c r="O58" s="44">
        <f>+H59</f>
        <v>318.71387150551425</v>
      </c>
      <c r="P58" s="44"/>
      <c r="Q58" s="45"/>
    </row>
    <row r="59" spans="1:17" ht="13.5" thickBot="1" x14ac:dyDescent="0.25">
      <c r="A59" s="36"/>
      <c r="B59" s="37"/>
      <c r="C59" s="671" t="s">
        <v>90</v>
      </c>
      <c r="D59" s="671"/>
      <c r="E59" s="671"/>
      <c r="F59" s="38">
        <f>SUM(F47:F54)</f>
        <v>318.71387150551425</v>
      </c>
      <c r="G59" s="27">
        <f>+F59/$F$69</f>
        <v>0.30031541084933017</v>
      </c>
      <c r="H59" s="39">
        <f>+F59/$D$63</f>
        <v>318.71387150551425</v>
      </c>
      <c r="I59" s="39"/>
      <c r="J59" s="46"/>
      <c r="K59" s="47"/>
      <c r="L59" s="47"/>
      <c r="M59" s="47" t="s">
        <v>91</v>
      </c>
      <c r="N59" s="50"/>
      <c r="O59" s="44">
        <f>O57*N59</f>
        <v>0</v>
      </c>
      <c r="P59" s="44"/>
      <c r="Q59" s="45"/>
    </row>
    <row r="60" spans="1:17" ht="13.5" thickBot="1" x14ac:dyDescent="0.25">
      <c r="A60" s="36"/>
      <c r="B60" s="51"/>
      <c r="C60" s="51"/>
      <c r="D60" s="51"/>
      <c r="E60" s="51"/>
      <c r="F60" s="52"/>
      <c r="G60" s="27"/>
      <c r="H60" s="53"/>
      <c r="I60" s="39"/>
      <c r="J60" s="46"/>
      <c r="K60" s="54"/>
      <c r="M60" s="55" t="s">
        <v>92</v>
      </c>
      <c r="N60" s="56"/>
      <c r="O60" s="57">
        <f>SUM(O57:O59)</f>
        <v>1063.2570390103233</v>
      </c>
      <c r="P60" s="58"/>
      <c r="Q60" s="45"/>
    </row>
    <row r="61" spans="1:17" x14ac:dyDescent="0.2">
      <c r="B61" s="674" t="s">
        <v>93</v>
      </c>
      <c r="C61" s="674"/>
      <c r="D61" s="59">
        <v>190</v>
      </c>
      <c r="E61" s="60"/>
      <c r="G61" s="27"/>
      <c r="H61" s="53">
        <f>+H59/61</f>
        <v>5.2248175656641678</v>
      </c>
      <c r="I61" s="61"/>
      <c r="J61" s="46"/>
      <c r="K61" s="54"/>
      <c r="L61" s="47"/>
      <c r="M61" s="47" t="s">
        <v>94</v>
      </c>
      <c r="N61" s="62"/>
      <c r="O61" s="44">
        <f>+H62</f>
        <v>303.03941880852176</v>
      </c>
      <c r="P61" s="44"/>
      <c r="Q61" s="45"/>
    </row>
    <row r="62" spans="1:17" x14ac:dyDescent="0.2">
      <c r="B62" s="674" t="s">
        <v>95</v>
      </c>
      <c r="C62" s="674"/>
      <c r="D62" s="63">
        <v>190</v>
      </c>
      <c r="E62" s="60"/>
      <c r="G62" s="27"/>
      <c r="H62" s="53">
        <f>+H61*58</f>
        <v>303.03941880852176</v>
      </c>
      <c r="I62" s="61"/>
      <c r="J62" s="46"/>
      <c r="K62" s="54"/>
      <c r="L62" s="47"/>
      <c r="M62" s="675" t="s">
        <v>92</v>
      </c>
      <c r="N62" s="675"/>
      <c r="O62" s="44">
        <f>SUM(O60:O61)</f>
        <v>1366.2964578188451</v>
      </c>
      <c r="P62" s="44"/>
      <c r="Q62" s="45"/>
    </row>
    <row r="63" spans="1:17" ht="13.5" thickBot="1" x14ac:dyDescent="0.25">
      <c r="B63" s="666" t="s">
        <v>96</v>
      </c>
      <c r="C63" s="666"/>
      <c r="D63" s="59">
        <f>+D61/D62</f>
        <v>1</v>
      </c>
      <c r="E63" s="60"/>
      <c r="F63" s="64"/>
      <c r="G63" s="27"/>
      <c r="H63" s="53"/>
      <c r="I63" s="61"/>
      <c r="J63" s="46"/>
      <c r="K63" s="54"/>
      <c r="L63" s="675"/>
      <c r="M63" s="675"/>
      <c r="N63" s="62"/>
      <c r="O63" s="44">
        <f>+O62*N63</f>
        <v>0</v>
      </c>
      <c r="P63" s="44"/>
      <c r="Q63" s="45"/>
    </row>
    <row r="64" spans="1:17" ht="13.5" thickBot="1" x14ac:dyDescent="0.25">
      <c r="B64" s="666" t="s">
        <v>97</v>
      </c>
      <c r="C64" s="666"/>
      <c r="D64" s="65"/>
      <c r="E64" s="60"/>
      <c r="F64" s="64"/>
      <c r="G64" s="27"/>
      <c r="H64" s="53"/>
      <c r="I64" s="61"/>
      <c r="J64" s="46"/>
      <c r="K64" s="667" t="s">
        <v>98</v>
      </c>
      <c r="L64" s="668"/>
      <c r="M64" s="668"/>
      <c r="N64" s="669"/>
      <c r="O64" s="57">
        <f>SUM(O62:O63)</f>
        <v>1366.2964578188451</v>
      </c>
      <c r="P64" s="66" t="s">
        <v>99</v>
      </c>
      <c r="Q64" s="45"/>
    </row>
    <row r="65" spans="2:17" ht="13.5" thickBot="1" x14ac:dyDescent="0.25">
      <c r="C65" s="36" t="s">
        <v>100</v>
      </c>
      <c r="D65" s="67"/>
      <c r="E65" s="10" t="s">
        <v>101</v>
      </c>
      <c r="F65" s="68" t="s">
        <v>102</v>
      </c>
      <c r="G65" s="27"/>
      <c r="H65" s="53"/>
      <c r="I65" s="61"/>
      <c r="J65" s="69"/>
      <c r="K65" s="70"/>
      <c r="L65" s="655" t="s">
        <v>103</v>
      </c>
      <c r="M65" s="655"/>
      <c r="N65" s="655"/>
      <c r="O65" s="71">
        <f>+O64/D63</f>
        <v>1366.2964578188451</v>
      </c>
      <c r="P65" s="72">
        <f>+O65/D62</f>
        <v>7.1910339885202372</v>
      </c>
      <c r="Q65" s="73"/>
    </row>
    <row r="66" spans="2:17" ht="13.5" thickBot="1" x14ac:dyDescent="0.25">
      <c r="B66" s="656" t="s">
        <v>88</v>
      </c>
      <c r="C66" s="656"/>
      <c r="D66" s="656"/>
      <c r="E66" s="74">
        <f>+F66/F66</f>
        <v>1</v>
      </c>
      <c r="F66" s="75">
        <f>SUM(F58)</f>
        <v>744.54316750480905</v>
      </c>
      <c r="G66" s="27">
        <f>+F66/$F$69</f>
        <v>0.70156277223848351</v>
      </c>
      <c r="H66" s="53"/>
      <c r="I66" s="61"/>
      <c r="K66" s="657"/>
      <c r="L66" s="658"/>
      <c r="M66" s="658"/>
      <c r="N66" s="658"/>
      <c r="O66" s="76"/>
      <c r="P66" s="77"/>
    </row>
    <row r="67" spans="2:17" ht="13.5" thickBot="1" x14ac:dyDescent="0.3">
      <c r="B67" s="659" t="s">
        <v>104</v>
      </c>
      <c r="C67" s="659"/>
      <c r="D67" s="659"/>
      <c r="E67" s="78">
        <v>0.02</v>
      </c>
      <c r="F67" s="75">
        <f>+F56*E67</f>
        <v>11.720623800974611</v>
      </c>
      <c r="G67" s="27">
        <f>+F67/$F$69</f>
        <v>1.104402496061182E-2</v>
      </c>
      <c r="H67" s="39"/>
      <c r="I67" s="61"/>
      <c r="J67" s="79"/>
      <c r="O67" s="80"/>
      <c r="P67" s="37"/>
    </row>
    <row r="68" spans="2:17" ht="13.5" thickBot="1" x14ac:dyDescent="0.3">
      <c r="B68" s="660" t="s">
        <v>105</v>
      </c>
      <c r="C68" s="661"/>
      <c r="D68" s="81">
        <v>5</v>
      </c>
      <c r="E68" s="82">
        <v>61</v>
      </c>
      <c r="F68" s="75">
        <f>+E68*D68</f>
        <v>305</v>
      </c>
      <c r="G68" s="27">
        <f>+F68/$F$69</f>
        <v>0.28739320280090458</v>
      </c>
      <c r="H68" s="39"/>
      <c r="I68" s="39"/>
      <c r="J68" s="29"/>
    </row>
    <row r="69" spans="2:17" ht="13.5" thickBot="1" x14ac:dyDescent="0.3">
      <c r="B69" s="662" t="s">
        <v>106</v>
      </c>
      <c r="C69" s="663"/>
      <c r="D69" s="663"/>
      <c r="E69" s="664"/>
      <c r="F69" s="52">
        <f>SUM(F66:F68)</f>
        <v>1061.2637913057838</v>
      </c>
      <c r="G69" s="27">
        <f>+F69/$F$69</f>
        <v>1</v>
      </c>
      <c r="H69" s="665"/>
      <c r="I69" s="39"/>
      <c r="J69" s="29"/>
      <c r="M69" s="12" t="s">
        <v>107</v>
      </c>
    </row>
    <row r="70" spans="2:17" x14ac:dyDescent="0.25">
      <c r="C70" s="34"/>
      <c r="D70" s="34"/>
      <c r="E70" s="84"/>
      <c r="F70" s="75"/>
      <c r="G70" s="27"/>
      <c r="H70" s="665"/>
      <c r="I70" s="83"/>
      <c r="J70" s="12"/>
      <c r="M70" s="12" t="s">
        <v>108</v>
      </c>
    </row>
    <row r="71" spans="2:17" ht="13.5" thickBot="1" x14ac:dyDescent="0.3">
      <c r="B71" s="650" t="s">
        <v>109</v>
      </c>
      <c r="C71" s="650"/>
      <c r="D71" s="650"/>
      <c r="E71" s="650"/>
      <c r="F71" s="650"/>
      <c r="G71" s="27"/>
      <c r="H71" s="86"/>
      <c r="I71" s="83"/>
      <c r="J71" s="12"/>
      <c r="M71" s="12" t="s">
        <v>110</v>
      </c>
    </row>
    <row r="72" spans="2:17" ht="13.5" thickBot="1" x14ac:dyDescent="0.3">
      <c r="B72" s="87" t="s">
        <v>111</v>
      </c>
      <c r="C72" s="88">
        <f>+F56</f>
        <v>586.03119004873054</v>
      </c>
      <c r="D72" s="88">
        <f>+D61</f>
        <v>190</v>
      </c>
      <c r="E72" s="89">
        <f>+C72/D72</f>
        <v>3.084374684467003</v>
      </c>
      <c r="F72" s="27"/>
      <c r="G72" s="86"/>
      <c r="H72" s="29"/>
      <c r="I72" s="86"/>
      <c r="J72" s="12"/>
    </row>
    <row r="73" spans="2:17" x14ac:dyDescent="0.25">
      <c r="B73" s="90"/>
      <c r="C73" s="91"/>
      <c r="D73" s="92"/>
      <c r="E73" s="75"/>
      <c r="F73" s="27"/>
      <c r="G73" s="86"/>
      <c r="H73" s="29"/>
      <c r="I73" s="29"/>
      <c r="J73" s="12"/>
    </row>
    <row r="74" spans="2:17" x14ac:dyDescent="0.25">
      <c r="B74" s="87" t="s">
        <v>112</v>
      </c>
      <c r="C74" s="88">
        <f>SUM(F66:F67)</f>
        <v>756.26379130578368</v>
      </c>
      <c r="D74" s="88">
        <f>+D61</f>
        <v>190</v>
      </c>
      <c r="E74" s="93">
        <f>+C74/D74</f>
        <v>3.9803357437146509</v>
      </c>
      <c r="F74" s="27"/>
      <c r="G74" s="86"/>
      <c r="H74" s="29"/>
      <c r="I74" s="29"/>
      <c r="J74" s="12"/>
    </row>
    <row r="75" spans="2:17" x14ac:dyDescent="0.25">
      <c r="B75" s="87"/>
      <c r="C75" s="88"/>
      <c r="D75" s="88"/>
      <c r="E75" s="93"/>
      <c r="F75" s="27"/>
      <c r="G75" s="86"/>
      <c r="H75" s="29"/>
      <c r="I75" s="29"/>
      <c r="J75" s="12"/>
    </row>
    <row r="76" spans="2:17" ht="13.5" thickBot="1" x14ac:dyDescent="0.3">
      <c r="B76" s="87" t="s">
        <v>113</v>
      </c>
      <c r="C76" s="88">
        <f>+F68</f>
        <v>305</v>
      </c>
      <c r="D76" s="88">
        <f>+D61</f>
        <v>190</v>
      </c>
      <c r="E76" s="93">
        <f>+C76/D76</f>
        <v>1.6052631578947369</v>
      </c>
      <c r="F76" s="27"/>
      <c r="G76" s="86"/>
      <c r="H76" s="29"/>
      <c r="I76" s="29"/>
      <c r="J76" s="12"/>
    </row>
    <row r="77" spans="2:17" ht="13.5" thickBot="1" x14ac:dyDescent="0.3">
      <c r="B77" s="87" t="s">
        <v>114</v>
      </c>
      <c r="C77" s="88">
        <f>+F59</f>
        <v>318.71387150551425</v>
      </c>
      <c r="D77" s="88">
        <f>+D76</f>
        <v>190</v>
      </c>
      <c r="E77" s="89">
        <f>+C77/D77</f>
        <v>1.6774414289763908</v>
      </c>
      <c r="F77" s="27"/>
      <c r="G77" s="86"/>
      <c r="H77" s="29"/>
      <c r="I77" s="29"/>
      <c r="J77" s="12"/>
    </row>
    <row r="78" spans="2:17" ht="13.5" thickBot="1" x14ac:dyDescent="0.3">
      <c r="B78" s="51"/>
      <c r="C78" s="52"/>
      <c r="D78" s="52"/>
      <c r="E78" s="93"/>
      <c r="F78" s="27"/>
      <c r="G78" s="86"/>
      <c r="H78" s="29"/>
      <c r="I78" s="29"/>
      <c r="J78" s="12"/>
    </row>
    <row r="79" spans="2:17" ht="13.5" thickBot="1" x14ac:dyDescent="0.3">
      <c r="B79" s="87" t="s">
        <v>115</v>
      </c>
      <c r="C79" s="88">
        <f>+F57</f>
        <v>158.51197745607851</v>
      </c>
      <c r="D79" s="88">
        <f>+D77</f>
        <v>190</v>
      </c>
      <c r="E79" s="89">
        <f>+C79/D79</f>
        <v>0.83427356555830801</v>
      </c>
      <c r="F79" s="27"/>
      <c r="G79" s="86"/>
      <c r="H79" s="29"/>
      <c r="I79" s="29"/>
      <c r="J79" s="29"/>
    </row>
    <row r="80" spans="2:17" ht="13.5" thickBot="1" x14ac:dyDescent="0.3">
      <c r="B80" s="51"/>
      <c r="C80" s="52"/>
      <c r="D80" s="52"/>
      <c r="E80" s="93"/>
      <c r="F80" s="27"/>
      <c r="G80" s="86"/>
      <c r="H80" s="29"/>
      <c r="I80" s="29"/>
    </row>
    <row r="81" spans="1:10" ht="13.5" thickBot="1" x14ac:dyDescent="0.3">
      <c r="B81" s="651" t="s">
        <v>116</v>
      </c>
      <c r="C81" s="652"/>
      <c r="D81" s="653"/>
      <c r="E81" s="89">
        <f>+E72+E77</f>
        <v>4.7618161134433938</v>
      </c>
      <c r="G81" s="27"/>
      <c r="H81" s="86"/>
      <c r="I81" s="29"/>
      <c r="J81" s="93"/>
    </row>
    <row r="82" spans="1:10" x14ac:dyDescent="0.25">
      <c r="I82" s="86"/>
      <c r="J82" s="12"/>
    </row>
    <row r="83" spans="1:10" ht="13.5" thickBot="1" x14ac:dyDescent="0.3">
      <c r="B83" s="650" t="s">
        <v>117</v>
      </c>
      <c r="C83" s="650"/>
      <c r="D83" s="650"/>
      <c r="E83" s="650"/>
      <c r="F83" s="650"/>
      <c r="G83" s="27"/>
      <c r="H83" s="86"/>
      <c r="J83" s="12"/>
    </row>
    <row r="84" spans="1:10" ht="13.5" thickBot="1" x14ac:dyDescent="0.3">
      <c r="B84" s="87" t="s">
        <v>111</v>
      </c>
      <c r="C84" s="88">
        <f>+C72</f>
        <v>586.03119004873054</v>
      </c>
      <c r="D84" s="88">
        <f>+D63</f>
        <v>1</v>
      </c>
      <c r="E84" s="89">
        <f>+C84/D84</f>
        <v>586.03119004873054</v>
      </c>
      <c r="F84" s="27"/>
      <c r="G84" s="86"/>
      <c r="H84" s="29"/>
      <c r="I84" s="86"/>
      <c r="J84" s="12"/>
    </row>
    <row r="85" spans="1:10" x14ac:dyDescent="0.25">
      <c r="B85" s="90"/>
      <c r="C85" s="91"/>
      <c r="D85" s="92"/>
      <c r="E85" s="75"/>
      <c r="F85" s="27"/>
      <c r="G85" s="86"/>
      <c r="H85" s="29"/>
      <c r="I85" s="29"/>
      <c r="J85" s="12"/>
    </row>
    <row r="86" spans="1:10" x14ac:dyDescent="0.25">
      <c r="B86" s="87" t="s">
        <v>112</v>
      </c>
      <c r="C86" s="88">
        <f>+C74</f>
        <v>756.26379130578368</v>
      </c>
      <c r="D86" s="88">
        <f>+D63</f>
        <v>1</v>
      </c>
      <c r="E86" s="93">
        <f>+C86/D86</f>
        <v>756.26379130578368</v>
      </c>
      <c r="F86" s="27"/>
      <c r="G86" s="86"/>
      <c r="H86" s="29"/>
      <c r="I86" s="29"/>
      <c r="J86" s="12"/>
    </row>
    <row r="87" spans="1:10" x14ac:dyDescent="0.25">
      <c r="B87" s="87"/>
      <c r="C87" s="88"/>
      <c r="D87" s="88"/>
      <c r="E87" s="93"/>
      <c r="F87" s="27"/>
      <c r="G87" s="86"/>
      <c r="H87" s="29"/>
      <c r="I87" s="29"/>
      <c r="J87" s="12"/>
    </row>
    <row r="88" spans="1:10" ht="13.5" thickBot="1" x14ac:dyDescent="0.3">
      <c r="B88" s="87" t="s">
        <v>114</v>
      </c>
      <c r="C88" s="88">
        <f>+C76</f>
        <v>305</v>
      </c>
      <c r="D88" s="88">
        <f>+D63</f>
        <v>1</v>
      </c>
      <c r="E88" s="93">
        <f>+C88/D88</f>
        <v>305</v>
      </c>
      <c r="F88" s="95"/>
      <c r="G88" s="85"/>
      <c r="H88" s="11"/>
      <c r="I88" s="29"/>
    </row>
    <row r="89" spans="1:10" ht="13.5" thickBot="1" x14ac:dyDescent="0.3">
      <c r="B89" s="87" t="s">
        <v>114</v>
      </c>
      <c r="C89" s="88">
        <f>+C77</f>
        <v>318.71387150551425</v>
      </c>
      <c r="D89" s="88">
        <f>+D88</f>
        <v>1</v>
      </c>
      <c r="E89" s="89">
        <f>+C89/D89</f>
        <v>318.71387150551425</v>
      </c>
      <c r="F89" s="94"/>
      <c r="G89" s="85"/>
      <c r="H89" s="11"/>
      <c r="I89" s="11"/>
    </row>
    <row r="90" spans="1:10" x14ac:dyDescent="0.25">
      <c r="I90" s="11"/>
    </row>
    <row r="91" spans="1:10" x14ac:dyDescent="0.2">
      <c r="A91" s="654"/>
      <c r="B91" s="654"/>
      <c r="C91" s="96"/>
      <c r="D91" s="96"/>
      <c r="E91" s="97"/>
      <c r="G91" s="98"/>
    </row>
    <row r="92" spans="1:10" x14ac:dyDescent="0.2">
      <c r="A92" s="30"/>
      <c r="B92" s="99"/>
      <c r="C92" s="100"/>
      <c r="D92" s="100"/>
      <c r="E92" s="101"/>
      <c r="G92" s="98"/>
    </row>
    <row r="93" spans="1:10" x14ac:dyDescent="0.2">
      <c r="A93" s="30"/>
      <c r="B93" s="99"/>
      <c r="C93" s="102"/>
      <c r="D93" s="102"/>
      <c r="E93" s="30"/>
      <c r="G93" s="98"/>
    </row>
    <row r="94" spans="1:10" x14ac:dyDescent="0.2">
      <c r="A94" s="30"/>
      <c r="B94" s="99"/>
      <c r="C94" s="103"/>
      <c r="D94" s="103"/>
      <c r="E94" s="30"/>
      <c r="G94" s="98"/>
    </row>
  </sheetData>
  <mergeCells count="30">
    <mergeCell ref="K57:N57"/>
    <mergeCell ref="H69:H70"/>
    <mergeCell ref="C59:E59"/>
    <mergeCell ref="K64:N64"/>
    <mergeCell ref="B62:C62"/>
    <mergeCell ref="B61:C61"/>
    <mergeCell ref="B63:C63"/>
    <mergeCell ref="B67:D67"/>
    <mergeCell ref="A4:H4"/>
    <mergeCell ref="K33:L33"/>
    <mergeCell ref="K66:N66"/>
    <mergeCell ref="B56:E56"/>
    <mergeCell ref="L65:N65"/>
    <mergeCell ref="A5:H5"/>
    <mergeCell ref="B57:E57"/>
    <mergeCell ref="F6:G6"/>
    <mergeCell ref="B58:E58"/>
    <mergeCell ref="B64:C64"/>
    <mergeCell ref="B66:D66"/>
    <mergeCell ref="K27:L27"/>
    <mergeCell ref="L63:M63"/>
    <mergeCell ref="M62:N62"/>
    <mergeCell ref="K31:L31"/>
    <mergeCell ref="K32:L32"/>
    <mergeCell ref="A91:B91"/>
    <mergeCell ref="B71:F71"/>
    <mergeCell ref="B83:F83"/>
    <mergeCell ref="B69:E69"/>
    <mergeCell ref="B68:C68"/>
    <mergeCell ref="B81:D8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4E85046-AB7E-4745-8EA0-2EA4AA82FF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36A06E-B5B8-459B-9507-4DE2C0E70B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45A58E-CA68-488A-AB6C-8A3EC5EB58C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Ensamble Industria </vt:lpstr>
      <vt:lpstr>cOSTO</vt:lpstr>
      <vt:lpstr>Ensamble Locales</vt:lpstr>
      <vt:lpstr>Ensamble Locales 2</vt:lpstr>
      <vt:lpstr>Rosquete Chocolate </vt:lpstr>
      <vt:lpstr>Batido</vt:lpstr>
      <vt:lpstr>Premezcla </vt:lpstr>
      <vt:lpstr>Trasvasado leche condensada coc</vt:lpstr>
      <vt:lpstr>Leche cond coci Dura</vt:lpstr>
      <vt:lpstr>Crema Chant Verde</vt:lpstr>
      <vt:lpstr>Crema Chant Blanca</vt:lpstr>
      <vt:lpstr>Ganache choco oscuro</vt:lpstr>
      <vt:lpstr>COSTO </vt:lpstr>
      <vt:lpstr>'Ensamble Industria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2025-08-01T21:10:34Z</cp:lastPrinted>
  <dcterms:created xsi:type="dcterms:W3CDTF">2021-04-23T17:37:26Z</dcterms:created>
  <dcterms:modified xsi:type="dcterms:W3CDTF">2025-08-18T15:39:08Z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897600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
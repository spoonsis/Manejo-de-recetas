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FFBA2B48-FF40-43FB-9E85-AAB0793346C6}" xr6:coauthVersionLast="47" xr6:coauthVersionMax="47" xr10:uidLastSave="{088A3797-6318-48F9-96D8-F148D9C8F433}"/>
  <bookViews>
    <workbookView xWindow="-120" yWindow="-120" windowWidth="20730" windowHeight="11040" tabRatio="915" firstSheet="9" activeTab="9" xr2:uid="{E5949FD1-6807-4392-BB63-0043C2F7C153}"/>
  </bookViews>
  <sheets>
    <sheet name="Costo Ensamble local" sheetId="10" state="hidden" r:id="rId1"/>
    <sheet name="Costo ensamble Industria " sheetId="12" state="hidden" r:id="rId2"/>
    <sheet name="Corte Galleta Chilena Gde" sheetId="14" state="hidden" r:id="rId3"/>
    <sheet name="Pasta torta Chilena " sheetId="15" state="hidden" r:id="rId4"/>
    <sheet name="Premezcla Pasta Chilena " sheetId="16" state="hidden" r:id="rId5"/>
    <sheet name="Costo Base Galleta Feullitine" sheetId="9" state="hidden" r:id="rId6"/>
    <sheet name="Costo Feuilletine" sheetId="8" state="hidden" r:id="rId7"/>
    <sheet name="Empaque Almidon Modificado" sheetId="13" state="hidden" r:id="rId8"/>
    <sheet name="Costo Salsa Arandanos " sheetId="6" state="hidden" r:id="rId9"/>
    <sheet name="Salsa arandanos" sheetId="4" r:id="rId10"/>
    <sheet name="Relleno Pie de Limon" sheetId="17" state="hidden" r:id="rId11"/>
    <sheet name="Crema Beidge" sheetId="18" state="hidden" r:id="rId12"/>
    <sheet name="Crema Blanca Supremo" sheetId="19" state="hidden" r:id="rId13"/>
    <sheet name="Costo Salsa Arand Licuad" sheetId="7" state="hidden" r:id="rId14"/>
  </sheets>
  <externalReferences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9" l="1"/>
  <c r="D43" i="19" s="1"/>
  <c r="L17" i="19"/>
  <c r="J12" i="19"/>
  <c r="K12" i="19" s="1"/>
  <c r="L11" i="19"/>
  <c r="L12" i="19" s="1"/>
  <c r="J11" i="19"/>
  <c r="K11" i="19" s="1"/>
  <c r="D45" i="18"/>
  <c r="E10" i="18"/>
  <c r="J12" i="16"/>
  <c r="K12" i="16" s="1"/>
  <c r="D30" i="14"/>
  <c r="D31" i="10"/>
  <c r="C31" i="10"/>
  <c r="B31" i="10"/>
  <c r="D30" i="10"/>
  <c r="C30" i="10"/>
  <c r="B30" i="10"/>
  <c r="D29" i="10"/>
  <c r="C29" i="10"/>
  <c r="B29" i="10"/>
  <c r="E51" i="6"/>
  <c r="J13" i="19" l="1"/>
  <c r="K13" i="19" s="1"/>
  <c r="J10" i="19"/>
  <c r="K10" i="19" s="1"/>
  <c r="F29" i="10"/>
  <c r="F30" i="10"/>
  <c r="F31" i="10"/>
  <c r="D85" i="12" l="1"/>
  <c r="D86" i="12" s="1"/>
  <c r="D83" i="12"/>
  <c r="D81" i="12"/>
  <c r="D73" i="12"/>
  <c r="D74" i="12" s="1"/>
  <c r="D76" i="12" s="1"/>
  <c r="C73" i="12"/>
  <c r="E73" i="12" s="1"/>
  <c r="D71" i="12"/>
  <c r="D69" i="12"/>
  <c r="F65" i="12"/>
  <c r="E51" i="12" s="1"/>
  <c r="D60" i="12"/>
  <c r="C51" i="12"/>
  <c r="F51" i="12" s="1"/>
  <c r="E50" i="12"/>
  <c r="F50" i="12" s="1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A46" i="12"/>
  <c r="C46" i="12" s="1"/>
  <c r="E41" i="12"/>
  <c r="F41" i="12" s="1"/>
  <c r="D41" i="12"/>
  <c r="C41" i="12"/>
  <c r="B41" i="12"/>
  <c r="A41" i="12"/>
  <c r="A50" i="12" s="1"/>
  <c r="C50" i="12" s="1"/>
  <c r="E40" i="12"/>
  <c r="D40" i="12"/>
  <c r="B40" i="12"/>
  <c r="A40" i="12"/>
  <c r="A49" i="12" s="1"/>
  <c r="C49" i="12" s="1"/>
  <c r="E39" i="12"/>
  <c r="D39" i="12"/>
  <c r="B39" i="12"/>
  <c r="A39" i="12"/>
  <c r="C39" i="12" s="1"/>
  <c r="E38" i="12"/>
  <c r="F38" i="12" s="1"/>
  <c r="D38" i="12"/>
  <c r="B38" i="12"/>
  <c r="A38" i="12"/>
  <c r="C38" i="12" s="1"/>
  <c r="E37" i="12"/>
  <c r="D37" i="12"/>
  <c r="A37" i="12"/>
  <c r="C37" i="12" s="1"/>
  <c r="A36" i="12"/>
  <c r="A45" i="12" s="1"/>
  <c r="C45" i="12" s="1"/>
  <c r="A35" i="12"/>
  <c r="C35" i="12" s="1"/>
  <c r="E32" i="12"/>
  <c r="F32" i="12" s="1"/>
  <c r="D32" i="12"/>
  <c r="C32" i="12"/>
  <c r="B32" i="12"/>
  <c r="E31" i="12"/>
  <c r="D31" i="12"/>
  <c r="C31" i="12"/>
  <c r="B31" i="12"/>
  <c r="E30" i="12"/>
  <c r="F30" i="12" s="1"/>
  <c r="D30" i="12"/>
  <c r="C30" i="12"/>
  <c r="B30" i="12"/>
  <c r="E29" i="12"/>
  <c r="D29" i="12"/>
  <c r="C29" i="12"/>
  <c r="B29" i="12"/>
  <c r="E28" i="12"/>
  <c r="F28" i="12" s="1"/>
  <c r="D28" i="12"/>
  <c r="C28" i="12"/>
  <c r="B28" i="12"/>
  <c r="E27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C19" i="12"/>
  <c r="F18" i="12"/>
  <c r="C18" i="12"/>
  <c r="C17" i="12"/>
  <c r="B15" i="12"/>
  <c r="E14" i="12"/>
  <c r="F14" i="12" s="1"/>
  <c r="D14" i="12"/>
  <c r="C14" i="12"/>
  <c r="B14" i="12"/>
  <c r="E13" i="12"/>
  <c r="D13" i="12"/>
  <c r="C13" i="12"/>
  <c r="B13" i="12"/>
  <c r="E12" i="12"/>
  <c r="F12" i="12" s="1"/>
  <c r="D12" i="12"/>
  <c r="C12" i="12"/>
  <c r="B12" i="12"/>
  <c r="E11" i="12"/>
  <c r="D11" i="12"/>
  <c r="C11" i="12"/>
  <c r="B11" i="12"/>
  <c r="E10" i="12"/>
  <c r="F10" i="12" s="1"/>
  <c r="D10" i="12"/>
  <c r="C10" i="12"/>
  <c r="B10" i="12"/>
  <c r="C9" i="12"/>
  <c r="F8" i="12"/>
  <c r="C8" i="12"/>
  <c r="H6" i="12"/>
  <c r="O17" i="9"/>
  <c r="D60" i="7"/>
  <c r="D75" i="10"/>
  <c r="D76" i="10" s="1"/>
  <c r="D78" i="10" s="1"/>
  <c r="D73" i="10"/>
  <c r="D71" i="10"/>
  <c r="F67" i="10"/>
  <c r="C75" i="10" s="1"/>
  <c r="C87" i="10" s="1"/>
  <c r="D62" i="10"/>
  <c r="D87" i="10" s="1"/>
  <c r="C53" i="10"/>
  <c r="E52" i="10"/>
  <c r="D52" i="10"/>
  <c r="B52" i="10"/>
  <c r="E51" i="10"/>
  <c r="D51" i="10"/>
  <c r="B51" i="10"/>
  <c r="E43" i="10"/>
  <c r="D43" i="10"/>
  <c r="B43" i="10"/>
  <c r="A43" i="10"/>
  <c r="A52" i="10" s="1"/>
  <c r="C52" i="10" s="1"/>
  <c r="E42" i="10"/>
  <c r="D42" i="10"/>
  <c r="B42" i="10"/>
  <c r="A42" i="10"/>
  <c r="C42" i="10" s="1"/>
  <c r="A41" i="10"/>
  <c r="A50" i="10" s="1"/>
  <c r="C50" i="10" s="1"/>
  <c r="A40" i="10"/>
  <c r="A49" i="10" s="1"/>
  <c r="C49" i="10" s="1"/>
  <c r="A39" i="10"/>
  <c r="A48" i="10" s="1"/>
  <c r="C48" i="10" s="1"/>
  <c r="A38" i="10"/>
  <c r="C38" i="10" s="1"/>
  <c r="A37" i="10"/>
  <c r="A46" i="10" s="1"/>
  <c r="C46" i="10" s="1"/>
  <c r="E34" i="10"/>
  <c r="D34" i="10"/>
  <c r="C34" i="10"/>
  <c r="B34" i="10"/>
  <c r="D33" i="10"/>
  <c r="C33" i="10"/>
  <c r="B33" i="10"/>
  <c r="C32" i="10"/>
  <c r="D28" i="10"/>
  <c r="C28" i="10"/>
  <c r="B28" i="10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C21" i="10"/>
  <c r="C20" i="10"/>
  <c r="C19" i="10"/>
  <c r="C18" i="10"/>
  <c r="F18" i="10" s="1"/>
  <c r="C17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C9" i="10"/>
  <c r="C8" i="10"/>
  <c r="F8" i="10" s="1"/>
  <c r="H6" i="10"/>
  <c r="D83" i="9"/>
  <c r="D81" i="9"/>
  <c r="D73" i="9"/>
  <c r="D74" i="9" s="1"/>
  <c r="D76" i="9" s="1"/>
  <c r="D71" i="9"/>
  <c r="D69" i="9"/>
  <c r="F65" i="9"/>
  <c r="E51" i="9" s="1"/>
  <c r="F51" i="9" s="1"/>
  <c r="D60" i="9"/>
  <c r="D85" i="9" s="1"/>
  <c r="D86" i="9" s="1"/>
  <c r="C51" i="9"/>
  <c r="E50" i="9"/>
  <c r="D50" i="9"/>
  <c r="B50" i="9"/>
  <c r="E49" i="9"/>
  <c r="D49" i="9"/>
  <c r="B49" i="9"/>
  <c r="E48" i="9"/>
  <c r="D48" i="9"/>
  <c r="B48" i="9"/>
  <c r="E47" i="9"/>
  <c r="F47" i="9" s="1"/>
  <c r="D47" i="9"/>
  <c r="B47" i="9"/>
  <c r="A45" i="9"/>
  <c r="C45" i="9" s="1"/>
  <c r="F44" i="9"/>
  <c r="E41" i="9"/>
  <c r="D41" i="9"/>
  <c r="B41" i="9"/>
  <c r="A41" i="9"/>
  <c r="A50" i="9" s="1"/>
  <c r="C50" i="9" s="1"/>
  <c r="E40" i="9"/>
  <c r="D40" i="9"/>
  <c r="B40" i="9"/>
  <c r="A40" i="9"/>
  <c r="C40" i="9" s="1"/>
  <c r="E39" i="9"/>
  <c r="D39" i="9"/>
  <c r="B39" i="9"/>
  <c r="A39" i="9"/>
  <c r="C39" i="9" s="1"/>
  <c r="E38" i="9"/>
  <c r="D38" i="9"/>
  <c r="B38" i="9"/>
  <c r="A38" i="9"/>
  <c r="A47" i="9" s="1"/>
  <c r="C47" i="9" s="1"/>
  <c r="A37" i="9"/>
  <c r="C37" i="9" s="1"/>
  <c r="C36" i="9"/>
  <c r="A36" i="9"/>
  <c r="A35" i="9"/>
  <c r="A44" i="9" s="1"/>
  <c r="C44" i="9" s="1"/>
  <c r="E32" i="9"/>
  <c r="F32" i="9" s="1"/>
  <c r="D32" i="9"/>
  <c r="C32" i="9"/>
  <c r="B32" i="9"/>
  <c r="E31" i="9"/>
  <c r="D31" i="9"/>
  <c r="C31" i="9"/>
  <c r="B31" i="9"/>
  <c r="E30" i="9"/>
  <c r="F30" i="9" s="1"/>
  <c r="D30" i="9"/>
  <c r="C30" i="9"/>
  <c r="B30" i="9"/>
  <c r="E29" i="9"/>
  <c r="F29" i="9" s="1"/>
  <c r="D29" i="9"/>
  <c r="C29" i="9"/>
  <c r="B29" i="9"/>
  <c r="E28" i="9"/>
  <c r="D28" i="9"/>
  <c r="C28" i="9"/>
  <c r="B28" i="9"/>
  <c r="E27" i="9"/>
  <c r="F27" i="9" s="1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C19" i="9"/>
  <c r="D18" i="9"/>
  <c r="C18" i="9"/>
  <c r="B18" i="9"/>
  <c r="D17" i="9"/>
  <c r="C17" i="9"/>
  <c r="B17" i="9"/>
  <c r="B15" i="9"/>
  <c r="E14" i="9"/>
  <c r="F14" i="9" s="1"/>
  <c r="D14" i="9"/>
  <c r="C14" i="9"/>
  <c r="B14" i="9"/>
  <c r="E13" i="9"/>
  <c r="F13" i="9" s="1"/>
  <c r="D13" i="9"/>
  <c r="C13" i="9"/>
  <c r="B13" i="9"/>
  <c r="E12" i="9"/>
  <c r="D12" i="9"/>
  <c r="C12" i="9"/>
  <c r="B12" i="9"/>
  <c r="E11" i="9"/>
  <c r="F11" i="9" s="1"/>
  <c r="D11" i="9"/>
  <c r="C11" i="9"/>
  <c r="B11" i="9"/>
  <c r="D10" i="9"/>
  <c r="C10" i="9"/>
  <c r="B10" i="9"/>
  <c r="D9" i="9"/>
  <c r="C9" i="9"/>
  <c r="B9" i="9"/>
  <c r="C8" i="9"/>
  <c r="H6" i="9"/>
  <c r="D73" i="8"/>
  <c r="D74" i="8" s="1"/>
  <c r="D76" i="8" s="1"/>
  <c r="D71" i="8"/>
  <c r="D69" i="8"/>
  <c r="F65" i="8"/>
  <c r="E51" i="8" s="1"/>
  <c r="D60" i="8"/>
  <c r="D85" i="8" s="1"/>
  <c r="D86" i="8" s="1"/>
  <c r="C51" i="8"/>
  <c r="F51" i="8" s="1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4" i="8"/>
  <c r="D44" i="8"/>
  <c r="B44" i="8"/>
  <c r="E41" i="8"/>
  <c r="D41" i="8"/>
  <c r="B41" i="8"/>
  <c r="A41" i="8"/>
  <c r="A50" i="8" s="1"/>
  <c r="C50" i="8" s="1"/>
  <c r="E40" i="8"/>
  <c r="D40" i="8"/>
  <c r="B40" i="8"/>
  <c r="A40" i="8"/>
  <c r="A49" i="8" s="1"/>
  <c r="C49" i="8" s="1"/>
  <c r="E39" i="8"/>
  <c r="D39" i="8"/>
  <c r="B39" i="8"/>
  <c r="A39" i="8"/>
  <c r="C39" i="8" s="1"/>
  <c r="E38" i="8"/>
  <c r="F38" i="8" s="1"/>
  <c r="D38" i="8"/>
  <c r="B38" i="8"/>
  <c r="A38" i="8"/>
  <c r="C38" i="8" s="1"/>
  <c r="E37" i="8"/>
  <c r="D37" i="8"/>
  <c r="B37" i="8"/>
  <c r="A37" i="8"/>
  <c r="C37" i="8" s="1"/>
  <c r="E36" i="8"/>
  <c r="D36" i="8"/>
  <c r="B36" i="8"/>
  <c r="A36" i="8"/>
  <c r="A45" i="8" s="1"/>
  <c r="C45" i="8" s="1"/>
  <c r="E35" i="8"/>
  <c r="D35" i="8"/>
  <c r="B35" i="8"/>
  <c r="A35" i="8"/>
  <c r="C35" i="8" s="1"/>
  <c r="E32" i="8"/>
  <c r="D32" i="8"/>
  <c r="C32" i="8"/>
  <c r="B32" i="8"/>
  <c r="E31" i="8"/>
  <c r="D31" i="8"/>
  <c r="C31" i="8"/>
  <c r="B31" i="8"/>
  <c r="E30" i="8"/>
  <c r="F30" i="8" s="1"/>
  <c r="D30" i="8"/>
  <c r="C30" i="8"/>
  <c r="B30" i="8"/>
  <c r="E29" i="8"/>
  <c r="D29" i="8"/>
  <c r="C29" i="8"/>
  <c r="B29" i="8"/>
  <c r="E28" i="8"/>
  <c r="F28" i="8" s="1"/>
  <c r="D28" i="8"/>
  <c r="C28" i="8"/>
  <c r="B28" i="8"/>
  <c r="C27" i="8"/>
  <c r="E24" i="8"/>
  <c r="F24" i="8" s="1"/>
  <c r="D24" i="8"/>
  <c r="C24" i="8"/>
  <c r="B24" i="8"/>
  <c r="E23" i="8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E17" i="8"/>
  <c r="F17" i="8" s="1"/>
  <c r="D17" i="8"/>
  <c r="C17" i="8"/>
  <c r="B17" i="8"/>
  <c r="B15" i="8"/>
  <c r="E14" i="8"/>
  <c r="F14" i="8" s="1"/>
  <c r="D14" i="8"/>
  <c r="C14" i="8"/>
  <c r="B14" i="8"/>
  <c r="E13" i="8"/>
  <c r="D13" i="8"/>
  <c r="C13" i="8"/>
  <c r="B13" i="8"/>
  <c r="E12" i="8"/>
  <c r="D12" i="8"/>
  <c r="C12" i="8"/>
  <c r="B12" i="8"/>
  <c r="C11" i="8"/>
  <c r="C10" i="8"/>
  <c r="C9" i="8"/>
  <c r="F8" i="8"/>
  <c r="C8" i="8"/>
  <c r="H6" i="8"/>
  <c r="D73" i="6"/>
  <c r="D74" i="6" s="1"/>
  <c r="D76" i="6" s="1"/>
  <c r="C73" i="6"/>
  <c r="C85" i="6" s="1"/>
  <c r="D71" i="6"/>
  <c r="D69" i="6"/>
  <c r="F65" i="6"/>
  <c r="D60" i="6"/>
  <c r="D85" i="6" s="1"/>
  <c r="D86" i="6" s="1"/>
  <c r="F51" i="6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F44" i="6"/>
  <c r="E41" i="6"/>
  <c r="D41" i="6"/>
  <c r="B41" i="6"/>
  <c r="A41" i="6"/>
  <c r="A50" i="6" s="1"/>
  <c r="C50" i="6" s="1"/>
  <c r="E40" i="6"/>
  <c r="D40" i="6"/>
  <c r="B40" i="6"/>
  <c r="A40" i="6"/>
  <c r="C40" i="6" s="1"/>
  <c r="E39" i="6"/>
  <c r="D39" i="6"/>
  <c r="B39" i="6"/>
  <c r="A39" i="6"/>
  <c r="C39" i="6" s="1"/>
  <c r="E38" i="6"/>
  <c r="D38" i="6"/>
  <c r="B38" i="6"/>
  <c r="A38" i="6"/>
  <c r="A47" i="6" s="1"/>
  <c r="C47" i="6" s="1"/>
  <c r="E37" i="6"/>
  <c r="D37" i="6"/>
  <c r="B37" i="6"/>
  <c r="A37" i="6"/>
  <c r="C37" i="6" s="1"/>
  <c r="E36" i="6"/>
  <c r="D36" i="6"/>
  <c r="B36" i="6"/>
  <c r="A36" i="6"/>
  <c r="A45" i="6" s="1"/>
  <c r="C45" i="6" s="1"/>
  <c r="A35" i="6"/>
  <c r="A44" i="6" s="1"/>
  <c r="C44" i="6" s="1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F28" i="6" s="1"/>
  <c r="D28" i="6"/>
  <c r="C28" i="6"/>
  <c r="B28" i="6"/>
  <c r="E27" i="6"/>
  <c r="D27" i="6"/>
  <c r="C27" i="6"/>
  <c r="B27" i="6"/>
  <c r="E24" i="6"/>
  <c r="F24" i="6" s="1"/>
  <c r="D24" i="6"/>
  <c r="C24" i="6"/>
  <c r="B24" i="6"/>
  <c r="E23" i="6"/>
  <c r="F23" i="6" s="1"/>
  <c r="D23" i="6"/>
  <c r="C23" i="6"/>
  <c r="B23" i="6"/>
  <c r="E22" i="6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F18" i="6" s="1"/>
  <c r="D18" i="6"/>
  <c r="C18" i="6"/>
  <c r="B18" i="6"/>
  <c r="F17" i="6"/>
  <c r="C17" i="6"/>
  <c r="B15" i="6"/>
  <c r="E14" i="6"/>
  <c r="F14" i="6" s="1"/>
  <c r="D14" i="6"/>
  <c r="C14" i="6"/>
  <c r="B14" i="6"/>
  <c r="E13" i="6"/>
  <c r="D13" i="6"/>
  <c r="C13" i="6"/>
  <c r="B13" i="6"/>
  <c r="E12" i="6"/>
  <c r="F12" i="6" s="1"/>
  <c r="D12" i="6"/>
  <c r="C12" i="6"/>
  <c r="B12" i="6"/>
  <c r="E11" i="6"/>
  <c r="F11" i="6" s="1"/>
  <c r="D11" i="6"/>
  <c r="C11" i="6"/>
  <c r="B11" i="6"/>
  <c r="E10" i="6"/>
  <c r="F10" i="6" s="1"/>
  <c r="D10" i="6"/>
  <c r="C10" i="6"/>
  <c r="B10" i="6"/>
  <c r="F9" i="6"/>
  <c r="C9" i="6"/>
  <c r="C8" i="6"/>
  <c r="H6" i="6"/>
  <c r="D73" i="7"/>
  <c r="D74" i="7" s="1"/>
  <c r="D76" i="7" s="1"/>
  <c r="D71" i="7"/>
  <c r="D69" i="7"/>
  <c r="F65" i="7"/>
  <c r="E51" i="7" s="1"/>
  <c r="D85" i="7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F46" i="7" s="1"/>
  <c r="D46" i="7"/>
  <c r="B46" i="7"/>
  <c r="E45" i="7"/>
  <c r="D45" i="7"/>
  <c r="B45" i="7"/>
  <c r="E41" i="7"/>
  <c r="D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A48" i="7" s="1"/>
  <c r="C48" i="7" s="1"/>
  <c r="E38" i="7"/>
  <c r="D38" i="7"/>
  <c r="B38" i="7"/>
  <c r="A38" i="7"/>
  <c r="C38" i="7" s="1"/>
  <c r="E37" i="7"/>
  <c r="D37" i="7"/>
  <c r="C37" i="7"/>
  <c r="B37" i="7"/>
  <c r="A37" i="7"/>
  <c r="A46" i="7" s="1"/>
  <c r="C46" i="7" s="1"/>
  <c r="E36" i="7"/>
  <c r="D36" i="7"/>
  <c r="B36" i="7"/>
  <c r="A36" i="7"/>
  <c r="C36" i="7" s="1"/>
  <c r="A35" i="7"/>
  <c r="C35" i="7" s="1"/>
  <c r="E32" i="7"/>
  <c r="D32" i="7"/>
  <c r="C32" i="7"/>
  <c r="B32" i="7"/>
  <c r="E31" i="7"/>
  <c r="F31" i="7" s="1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E18" i="7"/>
  <c r="F18" i="7" s="1"/>
  <c r="D18" i="7"/>
  <c r="C18" i="7"/>
  <c r="B18" i="7"/>
  <c r="C17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C8" i="7"/>
  <c r="H6" i="7"/>
  <c r="D22" i="4"/>
  <c r="F34" i="10" l="1"/>
  <c r="C43" i="10"/>
  <c r="F43" i="10"/>
  <c r="F10" i="10"/>
  <c r="F32" i="10"/>
  <c r="F13" i="10"/>
  <c r="A47" i="10"/>
  <c r="C47" i="10" s="1"/>
  <c r="F47" i="10" s="1"/>
  <c r="A51" i="10"/>
  <c r="C51" i="10" s="1"/>
  <c r="F51" i="10" s="1"/>
  <c r="D83" i="10"/>
  <c r="F27" i="10"/>
  <c r="F11" i="10"/>
  <c r="F14" i="10"/>
  <c r="F28" i="10"/>
  <c r="D85" i="10"/>
  <c r="F42" i="10"/>
  <c r="F33" i="10"/>
  <c r="F12" i="10"/>
  <c r="E53" i="10"/>
  <c r="F53" i="10" s="1"/>
  <c r="E87" i="10"/>
  <c r="E75" i="10"/>
  <c r="C41" i="10"/>
  <c r="C40" i="10"/>
  <c r="F31" i="12"/>
  <c r="F19" i="12"/>
  <c r="F45" i="12"/>
  <c r="C36" i="12"/>
  <c r="F36" i="12"/>
  <c r="F9" i="12"/>
  <c r="F13" i="12"/>
  <c r="F11" i="12"/>
  <c r="F29" i="12"/>
  <c r="F31" i="9"/>
  <c r="F52" i="10"/>
  <c r="F19" i="10"/>
  <c r="C39" i="10"/>
  <c r="F39" i="10" s="1"/>
  <c r="F9" i="10"/>
  <c r="F37" i="12"/>
  <c r="F48" i="10"/>
  <c r="F27" i="12"/>
  <c r="F32" i="7"/>
  <c r="F38" i="10"/>
  <c r="F46" i="12"/>
  <c r="F29" i="8"/>
  <c r="F10" i="7"/>
  <c r="F13" i="7"/>
  <c r="F13" i="8"/>
  <c r="F30" i="7"/>
  <c r="C37" i="10"/>
  <c r="F40" i="9"/>
  <c r="F28" i="9"/>
  <c r="C41" i="9"/>
  <c r="F41" i="9" s="1"/>
  <c r="C73" i="9"/>
  <c r="C85" i="9" s="1"/>
  <c r="F39" i="12"/>
  <c r="F40" i="12"/>
  <c r="F49" i="12"/>
  <c r="F48" i="12"/>
  <c r="C40" i="12"/>
  <c r="A44" i="12"/>
  <c r="C44" i="12" s="1"/>
  <c r="C85" i="12"/>
  <c r="E85" i="12" s="1"/>
  <c r="A47" i="12"/>
  <c r="C47" i="12" s="1"/>
  <c r="F47" i="12" s="1"/>
  <c r="A48" i="12"/>
  <c r="C48" i="12" s="1"/>
  <c r="F12" i="9"/>
  <c r="F10" i="9"/>
  <c r="F18" i="9"/>
  <c r="F36" i="9"/>
  <c r="F9" i="9"/>
  <c r="C35" i="9"/>
  <c r="F17" i="9"/>
  <c r="F35" i="9"/>
  <c r="F8" i="9"/>
  <c r="C73" i="8"/>
  <c r="E73" i="8" s="1"/>
  <c r="D81" i="8"/>
  <c r="D83" i="8"/>
  <c r="F37" i="8"/>
  <c r="F35" i="8"/>
  <c r="F31" i="8"/>
  <c r="F32" i="8"/>
  <c r="F23" i="8"/>
  <c r="C36" i="8"/>
  <c r="F36" i="8" s="1"/>
  <c r="F12" i="8"/>
  <c r="C41" i="8"/>
  <c r="F41" i="8" s="1"/>
  <c r="F50" i="8"/>
  <c r="F27" i="8"/>
  <c r="F10" i="8"/>
  <c r="F9" i="8"/>
  <c r="F11" i="8"/>
  <c r="F37" i="7"/>
  <c r="F11" i="7"/>
  <c r="F14" i="7"/>
  <c r="F9" i="7"/>
  <c r="F12" i="7"/>
  <c r="F38" i="7"/>
  <c r="A47" i="7"/>
  <c r="C47" i="7" s="1"/>
  <c r="F47" i="7" s="1"/>
  <c r="F27" i="7"/>
  <c r="F48" i="7"/>
  <c r="F29" i="7"/>
  <c r="F28" i="7"/>
  <c r="C39" i="7"/>
  <c r="F39" i="7" s="1"/>
  <c r="F40" i="7"/>
  <c r="F8" i="7"/>
  <c r="A44" i="7"/>
  <c r="C44" i="7" s="1"/>
  <c r="F37" i="6"/>
  <c r="F29" i="6"/>
  <c r="F32" i="6"/>
  <c r="F30" i="6"/>
  <c r="F27" i="6"/>
  <c r="F31" i="6"/>
  <c r="C41" i="6"/>
  <c r="F41" i="6" s="1"/>
  <c r="F47" i="6"/>
  <c r="F22" i="6"/>
  <c r="C36" i="6"/>
  <c r="F50" i="6"/>
  <c r="F36" i="6"/>
  <c r="F13" i="6"/>
  <c r="E85" i="6"/>
  <c r="D81" i="6"/>
  <c r="D83" i="6"/>
  <c r="C35" i="6"/>
  <c r="F35" i="6"/>
  <c r="F8" i="6"/>
  <c r="D88" i="10"/>
  <c r="F50" i="9"/>
  <c r="F39" i="9"/>
  <c r="E85" i="9"/>
  <c r="F45" i="9"/>
  <c r="A49" i="9"/>
  <c r="C49" i="9" s="1"/>
  <c r="F49" i="9" s="1"/>
  <c r="E73" i="9"/>
  <c r="C38" i="9"/>
  <c r="F38" i="9" s="1"/>
  <c r="A46" i="9"/>
  <c r="C46" i="9" s="1"/>
  <c r="A48" i="9"/>
  <c r="C48" i="9" s="1"/>
  <c r="F48" i="9" s="1"/>
  <c r="F44" i="8"/>
  <c r="F39" i="8"/>
  <c r="F45" i="8"/>
  <c r="F49" i="8"/>
  <c r="A47" i="8"/>
  <c r="C47" i="8" s="1"/>
  <c r="F47" i="8" s="1"/>
  <c r="C40" i="8"/>
  <c r="F40" i="8" s="1"/>
  <c r="A44" i="8"/>
  <c r="C44" i="8" s="1"/>
  <c r="A46" i="8"/>
  <c r="C46" i="8" s="1"/>
  <c r="F46" i="8" s="1"/>
  <c r="A48" i="8"/>
  <c r="C48" i="8" s="1"/>
  <c r="F48" i="8" s="1"/>
  <c r="F39" i="6"/>
  <c r="F40" i="6"/>
  <c r="F45" i="6"/>
  <c r="C38" i="6"/>
  <c r="F38" i="6" s="1"/>
  <c r="A49" i="6"/>
  <c r="C49" i="6" s="1"/>
  <c r="F49" i="6" s="1"/>
  <c r="E73" i="6"/>
  <c r="A46" i="6"/>
  <c r="C46" i="6" s="1"/>
  <c r="F46" i="6" s="1"/>
  <c r="A48" i="6"/>
  <c r="C48" i="6" s="1"/>
  <c r="F48" i="6" s="1"/>
  <c r="F50" i="7"/>
  <c r="F51" i="7"/>
  <c r="F36" i="7"/>
  <c r="C41" i="7"/>
  <c r="F41" i="7" s="1"/>
  <c r="A45" i="7"/>
  <c r="C45" i="7" s="1"/>
  <c r="F45" i="7" s="1"/>
  <c r="D81" i="7"/>
  <c r="C73" i="7"/>
  <c r="A49" i="7"/>
  <c r="C49" i="7" s="1"/>
  <c r="F49" i="7" s="1"/>
  <c r="D83" i="7"/>
  <c r="F56" i="6" l="1"/>
  <c r="F53" i="6"/>
  <c r="F64" i="6" s="1"/>
  <c r="C85" i="8"/>
  <c r="E85" i="8" s="1"/>
  <c r="F54" i="8"/>
  <c r="C76" i="8" s="1"/>
  <c r="E76" i="8" s="1"/>
  <c r="E37" i="9" s="1"/>
  <c r="F37" i="9" s="1"/>
  <c r="F54" i="9" s="1"/>
  <c r="F53" i="8"/>
  <c r="H53" i="8" s="1"/>
  <c r="F2" i="8" s="1"/>
  <c r="F56" i="8"/>
  <c r="F54" i="6"/>
  <c r="C85" i="7"/>
  <c r="E85" i="7" s="1"/>
  <c r="E73" i="7"/>
  <c r="C69" i="6" l="1"/>
  <c r="C81" i="6" s="1"/>
  <c r="E81" i="6" s="1"/>
  <c r="H53" i="6"/>
  <c r="F2" i="6" s="1"/>
  <c r="F55" i="6"/>
  <c r="H55" i="6" s="1"/>
  <c r="C69" i="8"/>
  <c r="C81" i="8" s="1"/>
  <c r="E81" i="8" s="1"/>
  <c r="H54" i="8"/>
  <c r="G2" i="8" s="1"/>
  <c r="F55" i="8"/>
  <c r="H55" i="8" s="1"/>
  <c r="F64" i="8"/>
  <c r="C76" i="9"/>
  <c r="E76" i="9" s="1"/>
  <c r="H54" i="9"/>
  <c r="G2" i="9" s="1"/>
  <c r="H56" i="8"/>
  <c r="C74" i="8"/>
  <c r="C76" i="6"/>
  <c r="E76" i="6" s="1"/>
  <c r="H54" i="6"/>
  <c r="G2" i="6" s="1"/>
  <c r="H56" i="6"/>
  <c r="C74" i="6"/>
  <c r="E74" i="6" s="1"/>
  <c r="F63" i="6" l="1"/>
  <c r="C71" i="6" s="1"/>
  <c r="E35" i="7"/>
  <c r="F35" i="7" s="1"/>
  <c r="F54" i="7" s="1"/>
  <c r="C76" i="7" s="1"/>
  <c r="E76" i="7" s="1"/>
  <c r="E41" i="10" s="1"/>
  <c r="F41" i="10" s="1"/>
  <c r="E40" i="10"/>
  <c r="F40" i="10" s="1"/>
  <c r="E69" i="6"/>
  <c r="O54" i="6"/>
  <c r="E37" i="10"/>
  <c r="F37" i="10" s="1"/>
  <c r="E35" i="12"/>
  <c r="F35" i="12" s="1"/>
  <c r="F54" i="12" s="1"/>
  <c r="E69" i="8"/>
  <c r="E19" i="9" s="1"/>
  <c r="F19" i="9" s="1"/>
  <c r="F53" i="9" s="1"/>
  <c r="C69" i="9" s="1"/>
  <c r="E69" i="9" s="1"/>
  <c r="F63" i="8"/>
  <c r="E63" i="8" s="1"/>
  <c r="O54" i="8"/>
  <c r="O56" i="8" s="1"/>
  <c r="H58" i="8"/>
  <c r="H59" i="8" s="1"/>
  <c r="O58" i="8" s="1"/>
  <c r="O55" i="8"/>
  <c r="H2" i="8"/>
  <c r="C86" i="8"/>
  <c r="E86" i="8" s="1"/>
  <c r="E74" i="8"/>
  <c r="H2" i="6"/>
  <c r="O55" i="6"/>
  <c r="H58" i="6"/>
  <c r="H59" i="6" s="1"/>
  <c r="O58" i="6" s="1"/>
  <c r="C86" i="6"/>
  <c r="E86" i="6" s="1"/>
  <c r="E49" i="10"/>
  <c r="F49" i="10" s="1"/>
  <c r="O56" i="6"/>
  <c r="E63" i="6" l="1"/>
  <c r="F66" i="6"/>
  <c r="G63" i="6" s="1"/>
  <c r="H54" i="7"/>
  <c r="G2" i="7" s="1"/>
  <c r="F56" i="10"/>
  <c r="C78" i="10" s="1"/>
  <c r="E78" i="10" s="1"/>
  <c r="E17" i="7"/>
  <c r="F17" i="7" s="1"/>
  <c r="F53" i="7" s="1"/>
  <c r="F55" i="7" s="1"/>
  <c r="H55" i="7" s="1"/>
  <c r="E20" i="10"/>
  <c r="F20" i="10" s="1"/>
  <c r="H56" i="10"/>
  <c r="G2" i="10" s="1"/>
  <c r="H53" i="9"/>
  <c r="F2" i="9" s="1"/>
  <c r="F64" i="9"/>
  <c r="C81" i="9"/>
  <c r="E81" i="9" s="1"/>
  <c r="F55" i="9"/>
  <c r="H55" i="9" s="1"/>
  <c r="E17" i="10"/>
  <c r="F17" i="10" s="1"/>
  <c r="E17" i="12"/>
  <c r="F17" i="12" s="1"/>
  <c r="F53" i="12" s="1"/>
  <c r="C76" i="12"/>
  <c r="E76" i="12" s="1"/>
  <c r="H54" i="12"/>
  <c r="G2" i="12" s="1"/>
  <c r="C71" i="8"/>
  <c r="E71" i="8" s="1"/>
  <c r="O57" i="6"/>
  <c r="O59" i="6" s="1"/>
  <c r="O60" i="6" s="1"/>
  <c r="O61" i="6" s="1"/>
  <c r="O62" i="6" s="1"/>
  <c r="F66" i="8"/>
  <c r="G63" i="8" s="1"/>
  <c r="E78" i="6"/>
  <c r="E44" i="7"/>
  <c r="F44" i="7" s="1"/>
  <c r="F56" i="7" s="1"/>
  <c r="O57" i="8"/>
  <c r="O59" i="8" s="1"/>
  <c r="O60" i="8" s="1"/>
  <c r="O61" i="8" s="1"/>
  <c r="O62" i="8" s="1"/>
  <c r="E78" i="8"/>
  <c r="E46" i="9"/>
  <c r="F46" i="9" s="1"/>
  <c r="F56" i="9" s="1"/>
  <c r="G54" i="6"/>
  <c r="E71" i="6"/>
  <c r="C83" i="6"/>
  <c r="E83" i="6" s="1"/>
  <c r="G10" i="6" l="1"/>
  <c r="G41" i="6"/>
  <c r="G44" i="6"/>
  <c r="G27" i="6"/>
  <c r="G24" i="6"/>
  <c r="G48" i="6"/>
  <c r="G19" i="6"/>
  <c r="G38" i="6"/>
  <c r="G37" i="6"/>
  <c r="G45" i="6"/>
  <c r="G29" i="6"/>
  <c r="G40" i="6"/>
  <c r="G8" i="6"/>
  <c r="G17" i="6"/>
  <c r="G46" i="6"/>
  <c r="G12" i="6"/>
  <c r="G53" i="6"/>
  <c r="G28" i="6"/>
  <c r="G32" i="6"/>
  <c r="G49" i="6"/>
  <c r="G50" i="6"/>
  <c r="G36" i="6"/>
  <c r="G39" i="6"/>
  <c r="G9" i="6"/>
  <c r="G30" i="6"/>
  <c r="G51" i="6"/>
  <c r="G20" i="6"/>
  <c r="G55" i="6"/>
  <c r="G13" i="6"/>
  <c r="G23" i="6"/>
  <c r="G64" i="6"/>
  <c r="G65" i="6"/>
  <c r="G11" i="6"/>
  <c r="G21" i="6"/>
  <c r="G56" i="6"/>
  <c r="G14" i="6"/>
  <c r="G31" i="6"/>
  <c r="G47" i="6"/>
  <c r="G22" i="6"/>
  <c r="G66" i="6"/>
  <c r="G18" i="6"/>
  <c r="G35" i="6"/>
  <c r="F63" i="7"/>
  <c r="E63" i="7" s="1"/>
  <c r="O54" i="7"/>
  <c r="O56" i="7" s="1"/>
  <c r="H53" i="7"/>
  <c r="F2" i="7" s="1"/>
  <c r="F64" i="7"/>
  <c r="C69" i="7"/>
  <c r="E69" i="7" s="1"/>
  <c r="E21" i="10" s="1"/>
  <c r="F21" i="10" s="1"/>
  <c r="F55" i="10" s="1"/>
  <c r="G56" i="8"/>
  <c r="G47" i="8"/>
  <c r="G41" i="8"/>
  <c r="G32" i="8"/>
  <c r="G53" i="8"/>
  <c r="G24" i="8"/>
  <c r="G12" i="8"/>
  <c r="G23" i="8"/>
  <c r="G46" i="8"/>
  <c r="G30" i="8"/>
  <c r="G44" i="8"/>
  <c r="G35" i="8"/>
  <c r="G20" i="8"/>
  <c r="G49" i="8"/>
  <c r="G18" i="8"/>
  <c r="F63" i="9"/>
  <c r="C71" i="9" s="1"/>
  <c r="E71" i="9" s="1"/>
  <c r="G45" i="8"/>
  <c r="G17" i="8"/>
  <c r="G31" i="8"/>
  <c r="G55" i="8"/>
  <c r="G39" i="8"/>
  <c r="G13" i="8"/>
  <c r="G36" i="8"/>
  <c r="O54" i="9"/>
  <c r="O56" i="9" s="1"/>
  <c r="G65" i="8"/>
  <c r="G40" i="8"/>
  <c r="G11" i="8"/>
  <c r="G29" i="8"/>
  <c r="G48" i="8"/>
  <c r="G51" i="8"/>
  <c r="G50" i="8"/>
  <c r="G14" i="8"/>
  <c r="G10" i="8"/>
  <c r="G27" i="8"/>
  <c r="G64" i="8"/>
  <c r="G37" i="8"/>
  <c r="G21" i="8"/>
  <c r="G9" i="8"/>
  <c r="G54" i="8"/>
  <c r="G28" i="8"/>
  <c r="G38" i="8"/>
  <c r="G22" i="8"/>
  <c r="C69" i="12"/>
  <c r="F64" i="12"/>
  <c r="H53" i="12"/>
  <c r="F2" i="12" s="1"/>
  <c r="F55" i="12"/>
  <c r="G19" i="8"/>
  <c r="G8" i="8"/>
  <c r="G66" i="8"/>
  <c r="C83" i="8"/>
  <c r="E83" i="8" s="1"/>
  <c r="H56" i="9"/>
  <c r="C74" i="9"/>
  <c r="C74" i="7"/>
  <c r="H56" i="7"/>
  <c r="E2" i="8"/>
  <c r="P62" i="8"/>
  <c r="P62" i="6"/>
  <c r="E2" i="6"/>
  <c r="F66" i="7" l="1"/>
  <c r="G28" i="7" s="1"/>
  <c r="C81" i="7"/>
  <c r="E81" i="7" s="1"/>
  <c r="C71" i="7"/>
  <c r="C83" i="7" s="1"/>
  <c r="E83" i="7" s="1"/>
  <c r="F57" i="10"/>
  <c r="O56" i="10" s="1"/>
  <c r="O58" i="10" s="1"/>
  <c r="H55" i="10"/>
  <c r="F2" i="10" s="1"/>
  <c r="F66" i="10"/>
  <c r="C71" i="10"/>
  <c r="C83" i="9"/>
  <c r="E83" i="9" s="1"/>
  <c r="G46" i="7"/>
  <c r="G13" i="7"/>
  <c r="G36" i="7"/>
  <c r="G54" i="7"/>
  <c r="G64" i="7"/>
  <c r="G12" i="7"/>
  <c r="G32" i="7"/>
  <c r="G19" i="7"/>
  <c r="G48" i="7"/>
  <c r="G31" i="7"/>
  <c r="G55" i="7"/>
  <c r="F66" i="9"/>
  <c r="G63" i="9" s="1"/>
  <c r="G49" i="7"/>
  <c r="G9" i="7"/>
  <c r="G10" i="7"/>
  <c r="G27" i="7"/>
  <c r="G56" i="7"/>
  <c r="G40" i="7"/>
  <c r="E63" i="9"/>
  <c r="G23" i="7"/>
  <c r="G66" i="7"/>
  <c r="G8" i="7"/>
  <c r="G35" i="7"/>
  <c r="F65" i="10"/>
  <c r="E65" i="10" s="1"/>
  <c r="G44" i="7"/>
  <c r="H57" i="10"/>
  <c r="G63" i="7"/>
  <c r="G38" i="7"/>
  <c r="G29" i="7"/>
  <c r="G53" i="7"/>
  <c r="G51" i="7"/>
  <c r="G50" i="7"/>
  <c r="G11" i="7"/>
  <c r="G22" i="7"/>
  <c r="G17" i="7"/>
  <c r="G30" i="7"/>
  <c r="G24" i="7"/>
  <c r="G39" i="7"/>
  <c r="G47" i="7"/>
  <c r="O54" i="12"/>
  <c r="O56" i="12" s="1"/>
  <c r="F63" i="12"/>
  <c r="H55" i="12"/>
  <c r="G18" i="7"/>
  <c r="G65" i="7"/>
  <c r="G14" i="7"/>
  <c r="G37" i="7"/>
  <c r="E69" i="12"/>
  <c r="C81" i="12"/>
  <c r="E81" i="12" s="1"/>
  <c r="G41" i="7"/>
  <c r="G20" i="7"/>
  <c r="G45" i="7"/>
  <c r="G21" i="7"/>
  <c r="H2" i="7"/>
  <c r="O55" i="7"/>
  <c r="O57" i="7" s="1"/>
  <c r="H58" i="7"/>
  <c r="H59" i="7" s="1"/>
  <c r="O58" i="7" s="1"/>
  <c r="C86" i="9"/>
  <c r="E86" i="9" s="1"/>
  <c r="E74" i="9"/>
  <c r="E44" i="12" s="1"/>
  <c r="F44" i="12" s="1"/>
  <c r="O55" i="9"/>
  <c r="O57" i="9" s="1"/>
  <c r="H2" i="9"/>
  <c r="H58" i="9"/>
  <c r="H59" i="9" s="1"/>
  <c r="O58" i="9" s="1"/>
  <c r="E74" i="7"/>
  <c r="C86" i="7"/>
  <c r="E86" i="7" s="1"/>
  <c r="E71" i="7" l="1"/>
  <c r="G31" i="9"/>
  <c r="E71" i="10"/>
  <c r="C83" i="10"/>
  <c r="E83" i="10" s="1"/>
  <c r="G36" i="9"/>
  <c r="G54" i="9"/>
  <c r="G29" i="9"/>
  <c r="G45" i="9"/>
  <c r="G28" i="9"/>
  <c r="G48" i="9"/>
  <c r="E78" i="7"/>
  <c r="E50" i="10"/>
  <c r="F50" i="10" s="1"/>
  <c r="G51" i="9"/>
  <c r="G23" i="9"/>
  <c r="G8" i="9"/>
  <c r="G9" i="9"/>
  <c r="G32" i="9"/>
  <c r="G50" i="9"/>
  <c r="G13" i="9"/>
  <c r="G14" i="9"/>
  <c r="G39" i="9"/>
  <c r="G64" i="9"/>
  <c r="G66" i="9"/>
  <c r="G18" i="9"/>
  <c r="G46" i="9"/>
  <c r="G56" i="9"/>
  <c r="G20" i="9"/>
  <c r="G40" i="9"/>
  <c r="G27" i="9"/>
  <c r="G38" i="9"/>
  <c r="G17" i="9"/>
  <c r="G41" i="9"/>
  <c r="G30" i="9"/>
  <c r="G65" i="9"/>
  <c r="G47" i="9"/>
  <c r="G55" i="9"/>
  <c r="G21" i="9"/>
  <c r="G35" i="9"/>
  <c r="G19" i="9"/>
  <c r="G10" i="9"/>
  <c r="G11" i="9"/>
  <c r="G49" i="9"/>
  <c r="G53" i="9"/>
  <c r="G24" i="9"/>
  <c r="G12" i="9"/>
  <c r="G44" i="9"/>
  <c r="G22" i="9"/>
  <c r="G37" i="9"/>
  <c r="F68" i="10"/>
  <c r="C73" i="10"/>
  <c r="F56" i="12"/>
  <c r="C71" i="12"/>
  <c r="F66" i="12"/>
  <c r="G44" i="12" s="1"/>
  <c r="E63" i="12"/>
  <c r="O59" i="9"/>
  <c r="O60" i="9" s="1"/>
  <c r="O61" i="9" s="1"/>
  <c r="O62" i="9" s="1"/>
  <c r="E78" i="9"/>
  <c r="E46" i="10"/>
  <c r="F46" i="10" s="1"/>
  <c r="O59" i="7"/>
  <c r="O60" i="7" s="1"/>
  <c r="O61" i="7" s="1"/>
  <c r="O62" i="7" s="1"/>
  <c r="G66" i="10" l="1"/>
  <c r="G30" i="10"/>
  <c r="G31" i="10"/>
  <c r="G29" i="10"/>
  <c r="G11" i="10"/>
  <c r="G48" i="10"/>
  <c r="G20" i="10"/>
  <c r="G38" i="10"/>
  <c r="G12" i="10"/>
  <c r="G50" i="10"/>
  <c r="G47" i="10"/>
  <c r="E73" i="10"/>
  <c r="C85" i="10"/>
  <c r="E85" i="10" s="1"/>
  <c r="G51" i="10"/>
  <c r="G28" i="10"/>
  <c r="G9" i="10"/>
  <c r="G57" i="10"/>
  <c r="G55" i="10"/>
  <c r="G43" i="10"/>
  <c r="G40" i="10"/>
  <c r="G24" i="10"/>
  <c r="G65" i="10"/>
  <c r="G18" i="10"/>
  <c r="G41" i="10"/>
  <c r="G10" i="10"/>
  <c r="G67" i="10"/>
  <c r="G14" i="10"/>
  <c r="G27" i="10"/>
  <c r="G68" i="10"/>
  <c r="G56" i="10"/>
  <c r="G52" i="10"/>
  <c r="G53" i="10"/>
  <c r="G13" i="10"/>
  <c r="G42" i="10"/>
  <c r="G39" i="10"/>
  <c r="G22" i="10"/>
  <c r="G19" i="10"/>
  <c r="G49" i="10"/>
  <c r="G32" i="10"/>
  <c r="G21" i="10"/>
  <c r="G33" i="10"/>
  <c r="G34" i="10"/>
  <c r="G17" i="10"/>
  <c r="G23" i="10"/>
  <c r="G8" i="10"/>
  <c r="G37" i="10"/>
  <c r="G63" i="12"/>
  <c r="G19" i="12"/>
  <c r="G35" i="12"/>
  <c r="G46" i="12"/>
  <c r="G24" i="12"/>
  <c r="G66" i="12"/>
  <c r="G38" i="12"/>
  <c r="G64" i="12"/>
  <c r="G48" i="12"/>
  <c r="G31" i="12"/>
  <c r="G29" i="12"/>
  <c r="G27" i="12"/>
  <c r="G37" i="12"/>
  <c r="G23" i="12"/>
  <c r="G39" i="12"/>
  <c r="G12" i="12"/>
  <c r="G53" i="12"/>
  <c r="G54" i="12"/>
  <c r="G21" i="12"/>
  <c r="G14" i="12"/>
  <c r="G20" i="12"/>
  <c r="G8" i="12"/>
  <c r="G41" i="12"/>
  <c r="G18" i="12"/>
  <c r="G45" i="12"/>
  <c r="G47" i="12"/>
  <c r="G11" i="12"/>
  <c r="G40" i="12"/>
  <c r="G36" i="12"/>
  <c r="G9" i="12"/>
  <c r="G50" i="12"/>
  <c r="G17" i="12"/>
  <c r="G30" i="12"/>
  <c r="G65" i="12"/>
  <c r="G28" i="12"/>
  <c r="G32" i="12"/>
  <c r="G55" i="12"/>
  <c r="G49" i="12"/>
  <c r="G13" i="12"/>
  <c r="G22" i="12"/>
  <c r="G10" i="12"/>
  <c r="G51" i="12"/>
  <c r="C83" i="12"/>
  <c r="E83" i="12" s="1"/>
  <c r="E71" i="12"/>
  <c r="H56" i="12"/>
  <c r="C74" i="12"/>
  <c r="G56" i="12"/>
  <c r="P62" i="7"/>
  <c r="E2" i="7"/>
  <c r="F58" i="10"/>
  <c r="G46" i="10"/>
  <c r="P62" i="9"/>
  <c r="E2" i="9"/>
  <c r="C86" i="12" l="1"/>
  <c r="E86" i="12" s="1"/>
  <c r="E74" i="12"/>
  <c r="E78" i="12" s="1"/>
  <c r="H58" i="12"/>
  <c r="H59" i="12" s="1"/>
  <c r="O58" i="12" s="1"/>
  <c r="O55" i="12"/>
  <c r="O57" i="12" s="1"/>
  <c r="O59" i="12" s="1"/>
  <c r="H2" i="12"/>
  <c r="H58" i="10"/>
  <c r="C76" i="10"/>
  <c r="G58" i="10"/>
  <c r="O61" i="12" l="1"/>
  <c r="O62" i="12" s="1"/>
  <c r="O60" i="12"/>
  <c r="E76" i="10"/>
  <c r="E80" i="10" s="1"/>
  <c r="C88" i="10"/>
  <c r="E88" i="10" s="1"/>
  <c r="H2" i="10"/>
  <c r="O57" i="10"/>
  <c r="O59" i="10" s="1"/>
  <c r="H60" i="10"/>
  <c r="H61" i="10" s="1"/>
  <c r="O60" i="10" s="1"/>
  <c r="O61" i="10" l="1"/>
  <c r="O62" i="10" s="1"/>
  <c r="O63" i="10" s="1"/>
  <c r="O64" i="10" s="1"/>
  <c r="P62" i="12"/>
  <c r="E2" i="12"/>
  <c r="P64" i="10" l="1"/>
  <c r="E2" i="10"/>
</calcChain>
</file>

<file path=xl/sharedStrings.xml><?xml version="1.0" encoding="utf-8"?>
<sst xmlns="http://schemas.openxmlformats.org/spreadsheetml/2006/main" count="1252" uniqueCount="280">
  <si>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</si>
  <si>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</si>
  <si>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</si>
  <si>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</si>
  <si>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</si>
  <si>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</si>
  <si>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Juan Pablo Brenes, Chef</t>
  </si>
  <si>
    <t>Aprobado</t>
  </si>
  <si>
    <t>Esteban Cartin, Gte Manufactura</t>
  </si>
  <si>
    <t>AREA QUE PRODUCE:</t>
  </si>
  <si>
    <t>Postres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</si>
  <si>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</si>
  <si>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</si>
  <si>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</si>
  <si>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</si>
  <si>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</si>
  <si>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</si>
  <si>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</si>
  <si>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</si>
  <si>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</si>
  <si>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</si>
  <si>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</si>
  <si>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</si>
  <si>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MP10002</t>
  </si>
  <si>
    <t>ACEITE CAPULLO RBD (UND:17 L)</t>
  </si>
  <si>
    <t>g</t>
  </si>
  <si>
    <t>FAS</t>
  </si>
  <si>
    <t>Decoración</t>
  </si>
  <si>
    <t>Empaque</t>
  </si>
  <si>
    <t>MAYCA</t>
  </si>
  <si>
    <t>ud</t>
  </si>
  <si>
    <t>EM10011</t>
  </si>
  <si>
    <t>ETIQUETA BLANCA 2 5/8X1 15/16 (UND)</t>
  </si>
  <si>
    <t>Nuevo</t>
  </si>
  <si>
    <t>ETIQUETA TEMPORADA</t>
  </si>
  <si>
    <t>Unidad</t>
  </si>
  <si>
    <t>EM10002</t>
  </si>
  <si>
    <t>ETIQ.BLANCA 1 1/4 * 3/4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</si>
  <si>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</si>
  <si>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</si>
  <si>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</si>
  <si>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</si>
  <si>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</si>
  <si>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</si>
  <si>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</si>
  <si>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</si>
  <si>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</si>
  <si>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</si>
  <si>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</si>
  <si>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</si>
  <si>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NUEVO</t>
  </si>
  <si>
    <t>BASE GALLETA FEUILLETINE</t>
  </si>
  <si>
    <t>SE00278</t>
  </si>
  <si>
    <t>RELLENO P/PIE LIMON SPOON</t>
  </si>
  <si>
    <t>ARANDANOS AZULES CONGELADOS</t>
  </si>
  <si>
    <t>SE00069</t>
  </si>
  <si>
    <t>Crema Beidge</t>
  </si>
  <si>
    <t>SALSA ARANDANOS AZULES</t>
  </si>
  <si>
    <t>SALSA ARANDANOS LICUADA</t>
  </si>
  <si>
    <t>MP10555</t>
  </si>
  <si>
    <t>GALLETA YEMITA (KILO)</t>
  </si>
  <si>
    <t>MP10022</t>
  </si>
  <si>
    <t>MP10008</t>
  </si>
  <si>
    <t>PRESERVANTE 1047S (PAQ=5 KILO)</t>
  </si>
  <si>
    <t>FEUILLETINE</t>
  </si>
  <si>
    <t>MP10478</t>
  </si>
  <si>
    <t>Harina Silver Cake</t>
  </si>
  <si>
    <t>MP10074</t>
  </si>
  <si>
    <t>Azucar Blanco Industrial</t>
  </si>
  <si>
    <t>Lactocrema Granel</t>
  </si>
  <si>
    <t>MP10141</t>
  </si>
  <si>
    <t>Clara De Huevo</t>
  </si>
  <si>
    <t>EM10018</t>
  </si>
  <si>
    <t>Papel Mantequilla</t>
  </si>
  <si>
    <t>Cocina</t>
  </si>
  <si>
    <t>LAICA</t>
  </si>
  <si>
    <t>AGUA POTABLE (PLANTA)</t>
  </si>
  <si>
    <t>SE00014</t>
  </si>
  <si>
    <t>Empaque Almidon Modificado</t>
  </si>
  <si>
    <t>1.- Colocar en la olla los arandanos congelados junto con el azucar y el agua y llevar a hervor.</t>
  </si>
  <si>
    <t xml:space="preserve">2.- Diluir el almidon en el agua y agregar a la mezcla anterior hasta espesar. </t>
  </si>
  <si>
    <t xml:space="preserve">3.- Sacar en bandejas y llevar a enfriamiento. </t>
  </si>
  <si>
    <t>Preservante 1047S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</si>
  <si>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</si>
  <si>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</si>
  <si>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</si>
  <si>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</si>
  <si>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</si>
  <si>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</si>
  <si>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</si>
  <si>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</si>
  <si>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</si>
  <si>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</si>
  <si>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</si>
  <si>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</si>
  <si>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</si>
  <si>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</si>
  <si>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</si>
  <si>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</si>
  <si>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</si>
  <si>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</si>
  <si>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</si>
  <si>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</si>
  <si>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</si>
  <si>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</si>
  <si>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</si>
  <si>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</si>
  <si>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</si>
  <si>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</si>
  <si>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</si>
  <si>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</si>
  <si>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</si>
  <si>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</si>
  <si>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</si>
  <si>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</si>
  <si>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</si>
  <si>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</si>
  <si>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</si>
  <si>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</si>
  <si>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</si>
  <si>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</si>
  <si>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</si>
  <si>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</si>
  <si>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</si>
  <si>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</si>
  <si>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</si>
  <si>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</si>
  <si>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</si>
  <si>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</si>
  <si>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</si>
  <si>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</si>
  <si>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</si>
  <si>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</si>
  <si>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</si>
  <si>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</si>
  <si>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MP10548</t>
  </si>
  <si>
    <t>Gramos</t>
  </si>
  <si>
    <t>UND</t>
  </si>
  <si>
    <t>906000002</t>
  </si>
  <si>
    <t>0310107</t>
  </si>
  <si>
    <t>90100132</t>
  </si>
  <si>
    <t>CORTE GALLETA CHILENA GRANDE (UND)</t>
  </si>
  <si>
    <t xml:space="preserve">AZUCAR REFINADA (BOLSA:1500g) </t>
  </si>
  <si>
    <t>1212410</t>
  </si>
  <si>
    <t>1950693</t>
  </si>
  <si>
    <t>51400021</t>
  </si>
  <si>
    <t>0702123</t>
  </si>
  <si>
    <t>701096</t>
  </si>
  <si>
    <t>0702007</t>
  </si>
  <si>
    <t>0702069</t>
  </si>
  <si>
    <t>Und</t>
  </si>
  <si>
    <t>ESP-RE-PRES-017</t>
  </si>
  <si>
    <t>01</t>
  </si>
  <si>
    <t>90100129(SE00014)-Almidon modificado 5000g</t>
  </si>
  <si>
    <t>Javier Tong, Chef</t>
  </si>
  <si>
    <t>Premezclas</t>
  </si>
  <si>
    <t>MP10026</t>
  </si>
  <si>
    <t xml:space="preserve">ALMIDON MODIFICADO (SACO:25 K) </t>
  </si>
  <si>
    <t>ALSERRO</t>
  </si>
  <si>
    <t>1950708</t>
  </si>
  <si>
    <t>EM10013</t>
  </si>
  <si>
    <t>BOLSA 17x25 TRANSP KILO</t>
  </si>
  <si>
    <t>PLASTICOS P</t>
  </si>
  <si>
    <t>ETIQUETA BLANCA 2 5/8X1 15/16</t>
  </si>
  <si>
    <t>ETIPLAST</t>
  </si>
  <si>
    <t>60100010</t>
  </si>
  <si>
    <t>EM10133</t>
  </si>
  <si>
    <t>ETIQUETA ROJA LETRA ALERJENO (UND)</t>
  </si>
  <si>
    <t>1, Pesar 5000g de almidon modificado en una bolsa 17*25. Cerrrar con nudo.</t>
  </si>
  <si>
    <t>2, Etiquetar con nombre y fecha de vencimiento y etiqueta alerjeno</t>
  </si>
  <si>
    <t>ESP-RE-PAPS-002</t>
  </si>
  <si>
    <t>02</t>
  </si>
  <si>
    <t>Corte Galleta Chilena Grande 143g 906000002(SE00204)</t>
  </si>
  <si>
    <t>Pastas</t>
  </si>
  <si>
    <t>906000035</t>
  </si>
  <si>
    <t>SE00177</t>
  </si>
  <si>
    <t>PASTA TORTA CHILENA SPOON KILO</t>
  </si>
  <si>
    <t>90100137</t>
  </si>
  <si>
    <t>SE00183</t>
  </si>
  <si>
    <t>EMPAQUE HARINA ESTANDAR (KILO)</t>
  </si>
  <si>
    <t>Galletas</t>
  </si>
  <si>
    <r>
      <rPr>
        <b/>
        <sz val="16"/>
        <rFont val="Arial"/>
        <family val="2"/>
      </rPr>
      <t>1-.</t>
    </r>
    <r>
      <rPr>
        <sz val="16"/>
        <rFont val="Arial"/>
        <family val="2"/>
      </rPr>
      <t xml:space="preserve"> Laminar la masa hasta 4 mm con ayuda e la maquina, hacer huecos con el zorro. En la laminadora Rondo a 2.8, en la laminadora Kemplex 3.</t>
    </r>
  </si>
  <si>
    <r>
      <rPr>
        <b/>
        <sz val="16"/>
        <rFont val="Arial"/>
        <family val="2"/>
      </rPr>
      <t>2-.</t>
    </r>
    <r>
      <rPr>
        <sz val="16"/>
        <rFont val="Arial"/>
        <family val="2"/>
      </rPr>
      <t xml:space="preserve"> Cortar con cortador redondo de 21,5 cm diametro y colocar los 7 circulos en la bandeja</t>
    </r>
  </si>
  <si>
    <r>
      <rPr>
        <b/>
        <sz val="16"/>
        <rFont val="Arial"/>
        <family val="2"/>
      </rPr>
      <t>3-.</t>
    </r>
    <r>
      <rPr>
        <sz val="16"/>
        <rFont val="Arial"/>
        <family val="2"/>
      </rPr>
      <t xml:space="preserve"> Llevar al horno en Dicte 1 por 23 min a 170°C o Dicte 2 por 22 a 24 min a 170°C.</t>
    </r>
  </si>
  <si>
    <r>
      <rPr>
        <b/>
        <sz val="16"/>
        <rFont val="Arial"/>
        <family val="2"/>
      </rPr>
      <t>4-.</t>
    </r>
    <r>
      <rPr>
        <sz val="16"/>
        <rFont val="Arial"/>
        <family val="2"/>
      </rPr>
      <t xml:space="preserve"> Enfriar.</t>
    </r>
  </si>
  <si>
    <t>2, Se actualiza diametro del corte y peso</t>
  </si>
  <si>
    <t>ESP-RE-PAPS-011</t>
  </si>
  <si>
    <t>PASTA TORTA CHILENA SPOON KILO SE00177</t>
  </si>
  <si>
    <t>SE00178</t>
  </si>
  <si>
    <t>PREMEZCLA P/PASTA CHILENA SPOON</t>
  </si>
  <si>
    <t>Spoon</t>
  </si>
  <si>
    <t>60 min</t>
  </si>
  <si>
    <t>Dicte 1,2,3</t>
  </si>
  <si>
    <t>Tanda</t>
  </si>
  <si>
    <t>185 C</t>
  </si>
  <si>
    <t>1.- Colocar la margarina, azucar y harina y preservante. Batir en velocidad 1 por 3 minutos, con ayuda de la paleta.</t>
  </si>
  <si>
    <t>2.- Utilizar de inmediato.</t>
  </si>
  <si>
    <t>ESP-RE-PRES-008</t>
  </si>
  <si>
    <t>PREMEZCLA P/PASTA CHILENA SPOON 901000014(SE00178)</t>
  </si>
  <si>
    <t>MP10040</t>
  </si>
  <si>
    <t>MARGARINA BAKER TABLETA (CAJA: 25 K)</t>
  </si>
  <si>
    <t>NUMAR</t>
  </si>
  <si>
    <t>MP10049</t>
  </si>
  <si>
    <t>AZUCAR POLVO P.REAL (PAQ:2.5 Kg)</t>
  </si>
  <si>
    <t>PASTELERO REAL</t>
  </si>
  <si>
    <t>Bolsa</t>
  </si>
  <si>
    <t>MP10051</t>
  </si>
  <si>
    <t>HARINA TRIGO NACARINA (SACO: 25 K)</t>
  </si>
  <si>
    <t>NACARINA</t>
  </si>
  <si>
    <t>ASEAL</t>
  </si>
  <si>
    <t>BOLSA 17x25 TRANSP</t>
  </si>
  <si>
    <t>AS00020</t>
  </si>
  <si>
    <t>GUANTE LATEX CORRIENTE (CAJA:100 UND)</t>
  </si>
  <si>
    <t>Minutos</t>
  </si>
  <si>
    <t>1.- Colocar en 1  bolsa 17*25 la margarina. Etiquetar con nombre y alerjeno</t>
  </si>
  <si>
    <t>2.- Colocar la harina, preservante en otra bolsa 17*25, enviar 1 bolsa de azucar en polvo entera.</t>
  </si>
  <si>
    <t>3.- Etiquetar ambas bolsas con nombre y alerjeno.</t>
  </si>
  <si>
    <t>ESP-RE-POF-001</t>
  </si>
  <si>
    <t xml:space="preserve"> Relleno  de Pie Limon 21000g 905000026(SE00278)</t>
  </si>
  <si>
    <t>11400046</t>
  </si>
  <si>
    <t>MP10050</t>
  </si>
  <si>
    <t xml:space="preserve">LECHE CONDENSADA </t>
  </si>
  <si>
    <t>NESTLE</t>
  </si>
  <si>
    <t>0101132</t>
  </si>
  <si>
    <t>MP10239</t>
  </si>
  <si>
    <t xml:space="preserve">LIMON EN POLVO </t>
  </si>
  <si>
    <t>RESOCO</t>
  </si>
  <si>
    <t>0512334</t>
  </si>
  <si>
    <t>MP10083</t>
  </si>
  <si>
    <t xml:space="preserve">BENZOATO SODIO </t>
  </si>
  <si>
    <t/>
  </si>
  <si>
    <t>10415</t>
  </si>
  <si>
    <t>AGUA POTABLE</t>
  </si>
  <si>
    <t>MP10037</t>
  </si>
  <si>
    <t>YEMA DE HUEVO PASTEURIZADA</t>
  </si>
  <si>
    <t>INNOVO</t>
  </si>
  <si>
    <t>MP10240</t>
  </si>
  <si>
    <t>LIMONES MAYA</t>
  </si>
  <si>
    <t>FRESQUITA</t>
  </si>
  <si>
    <t>1.- Colocar en la batidora la leche condensada, el limón en polvo, batir con el globo a velocidad 2 por 2 minutos.</t>
  </si>
  <si>
    <t xml:space="preserve">2.- Limpiar los bordes, bajar la velocidad 1 y y agregar el benzoato disuelto en agua caliente, mezclar por 30 segundos. </t>
  </si>
  <si>
    <t xml:space="preserve">3.- Añadir de ultimo las yemas a velocidad 1 y luego subir a velocidad 2 y mezclar por 1 minuto. Usar de inmediato. </t>
  </si>
  <si>
    <t>ESP-RE-DES-021</t>
  </si>
  <si>
    <t>03</t>
  </si>
  <si>
    <t xml:space="preserve"> Crema Beidge SE00069</t>
  </si>
  <si>
    <t>Decoracion</t>
  </si>
  <si>
    <t>SE00670</t>
  </si>
  <si>
    <t>CREMA BLANCA SUPREMO</t>
  </si>
  <si>
    <t>MP10150</t>
  </si>
  <si>
    <t>COLORANTE GEL EGG YELLOW  (UND= 130 ML)</t>
  </si>
  <si>
    <t>MASTER PACK</t>
  </si>
  <si>
    <t>0.2</t>
  </si>
  <si>
    <t>Min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</si>
  <si>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</si>
  <si>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</si>
  <si>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</si>
  <si>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</si>
  <si>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 procedimiento y tiempo de preparación </t>
  </si>
  <si>
    <t>3, Se actualizan datos de receta y pesos finales</t>
  </si>
  <si>
    <t>ESP-RE-DES-059</t>
  </si>
  <si>
    <t>04</t>
  </si>
  <si>
    <t>SE00670 Crema Blanca Supremo</t>
  </si>
  <si>
    <t>Decoracoración</t>
  </si>
  <si>
    <t>MP10047</t>
  </si>
  <si>
    <t>BETTERCREME SUPREMO (UND:4 K)</t>
  </si>
  <si>
    <t>RICHS</t>
  </si>
  <si>
    <t>AYA</t>
  </si>
  <si>
    <t>Etiplas</t>
  </si>
  <si>
    <t xml:space="preserve">1.- Abrir los galones de bettercreme supremo y verter dentro de la top cream, reservando un poco. </t>
  </si>
  <si>
    <t>2.- Disolver el preservante con el colorante en el  agua, mezclando bien, dejandolo sin grumos (Si hace falta disolver, agregar un poco del bettercream supremo para terminar de disolver)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</si>
  <si>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</si>
  <si>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</si>
  <si>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</si>
  <si>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</si>
  <si>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 xml:space="preserve">2, Se sustituye la crema prestige por crema supremo y procedimiento </t>
  </si>
  <si>
    <t xml:space="preserve">3, Se actualiza tiempo de preparación, se agrega colorante y se actualiza procedimiento. </t>
  </si>
  <si>
    <t>4, Se actualiza cantidad de colorante</t>
  </si>
  <si>
    <t>SE00791 Salsa arandanos azules</t>
  </si>
  <si>
    <t>ESP-RE-COCS-126</t>
  </si>
  <si>
    <t>Revision #2: Actualizacion de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</si>
</sst>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&quot;$&quot;#,##0_);[Red]\(&quot;$&quot;#,##0\)"/>
    <numFmt numFmtId="167" formatCode="_-* #,##0.0\ _€_-;\-* #,##0.0\ _€_-;_-* &quot;-&quot;??\ _€_-;_-@_-"/>
    <numFmt numFmtId="168" formatCode="0.0"/>
    <numFmt numFmtId="169" formatCode="_(* #,##0.000_);_(* \(#,##0.000\);_(* &quot;-&quot;??_);_(@_)"/>
    <numFmt numFmtId="170" formatCode="0.000"/>
    <numFmt numFmtId="171" formatCode="[$-F400]h:mm:ss\ AM/PM"/>
  </numFmts>
  <fonts count="82" x14ac:knownFonts="1">
    <font>
      <sz val="11"/>
      <color theme="1"/>
      <name val="Aptos Narrow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8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sz val="11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ptos Narrow"/>
      <family val="2"/>
      <scheme val="minor"/>
    </font>
    <font>
      <sz val="12"/>
      <color indexed="8"/>
      <name val="Century Gothic"/>
      <family val="2"/>
    </font>
    <font>
      <b/>
      <i/>
      <sz val="14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2" fillId="0" borderId="0"/>
    <xf numFmtId="0" fontId="48" fillId="0" borderId="0"/>
    <xf numFmtId="0" fontId="48" fillId="0" borderId="0"/>
    <xf numFmtId="0" fontId="11" fillId="0" borderId="0"/>
  </cellStyleXfs>
  <cellXfs count="942">
    <xf numFmtId="0" fontId="0" fillId="0" borderId="0" xfId="0"/>
    <xf numFmtId="0" fontId="2" fillId="2" borderId="6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1" fillId="2" borderId="19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 wrapText="1"/>
    </xf>
    <xf numFmtId="0" fontId="2" fillId="4" borderId="33" xfId="0" applyFont="1" applyFill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13" xfId="0" applyFont="1" applyBorder="1" applyAlignment="1">
      <alignment horizontal="center"/>
    </xf>
    <xf numFmtId="0" fontId="8" fillId="0" borderId="19" xfId="0" applyFont="1" applyBorder="1" applyAlignment="1">
      <alignment horizontal="center" wrapText="1"/>
    </xf>
    <xf numFmtId="0" fontId="8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wrapText="1"/>
    </xf>
    <xf numFmtId="0" fontId="9" fillId="2" borderId="34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 wrapText="1"/>
    </xf>
    <xf numFmtId="0" fontId="9" fillId="2" borderId="19" xfId="0" applyFont="1" applyFill="1" applyBorder="1"/>
    <xf numFmtId="0" fontId="8" fillId="2" borderId="13" xfId="0" applyFont="1" applyFill="1" applyBorder="1" applyAlignment="1">
      <alignment horizontal="center"/>
    </xf>
    <xf numFmtId="0" fontId="8" fillId="0" borderId="13" xfId="0" applyFont="1" applyBorder="1"/>
    <xf numFmtId="0" fontId="6" fillId="2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39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8" fillId="4" borderId="41" xfId="0" applyFont="1" applyFill="1" applyBorder="1" applyAlignment="1">
      <alignment horizontal="center"/>
    </xf>
    <xf numFmtId="0" fontId="8" fillId="4" borderId="41" xfId="0" applyFont="1" applyFill="1" applyBorder="1"/>
    <xf numFmtId="0" fontId="6" fillId="4" borderId="41" xfId="0" applyFont="1" applyFill="1" applyBorder="1" applyAlignment="1">
      <alignment horizontal="center"/>
    </xf>
    <xf numFmtId="0" fontId="8" fillId="4" borderId="41" xfId="0" applyFont="1" applyFill="1" applyBorder="1" applyAlignment="1">
      <alignment horizontal="center" wrapText="1"/>
    </xf>
    <xf numFmtId="0" fontId="8" fillId="4" borderId="16" xfId="0" applyFont="1" applyFill="1" applyBorder="1"/>
    <xf numFmtId="0" fontId="8" fillId="4" borderId="42" xfId="0" applyFont="1" applyFill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0" fillId="0" borderId="0" xfId="0" applyFont="1"/>
    <xf numFmtId="0" fontId="6" fillId="5" borderId="35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vertical="center"/>
    </xf>
    <xf numFmtId="0" fontId="12" fillId="7" borderId="0" xfId="0" applyFont="1" applyFill="1" applyAlignment="1">
      <alignment vertical="center"/>
    </xf>
    <xf numFmtId="0" fontId="13" fillId="8" borderId="13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3" fillId="0" borderId="13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0" fontId="13" fillId="9" borderId="47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2" applyNumberFormat="1" applyFont="1" applyFill="1" applyAlignment="1">
      <alignment horizontal="center" vertical="center"/>
    </xf>
    <xf numFmtId="4" fontId="13" fillId="0" borderId="0" xfId="2" applyNumberFormat="1" applyFont="1" applyFill="1" applyAlignment="1">
      <alignment horizontal="center" vertical="center"/>
    </xf>
    <xf numFmtId="10" fontId="13" fillId="0" borderId="0" xfId="3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4" fillId="0" borderId="0" xfId="3" applyNumberFormat="1" applyFont="1" applyFill="1" applyAlignment="1">
      <alignment vertical="center"/>
    </xf>
    <xf numFmtId="0" fontId="12" fillId="0" borderId="0" xfId="0" applyFont="1"/>
    <xf numFmtId="49" fontId="13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3" fontId="12" fillId="0" borderId="0" xfId="1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43" fontId="21" fillId="0" borderId="0" xfId="1" applyFont="1" applyFill="1" applyAlignment="1">
      <alignment horizontal="center" vertical="center"/>
    </xf>
    <xf numFmtId="10" fontId="14" fillId="9" borderId="50" xfId="3" applyNumberFormat="1" applyFont="1" applyFill="1" applyBorder="1" applyAlignment="1">
      <alignment vertical="center"/>
    </xf>
    <xf numFmtId="0" fontId="12" fillId="9" borderId="41" xfId="0" applyFont="1" applyFill="1" applyBorder="1" applyAlignment="1">
      <alignment vertical="center"/>
    </xf>
    <xf numFmtId="0" fontId="12" fillId="9" borderId="50" xfId="0" applyFont="1" applyFill="1" applyBorder="1" applyAlignment="1">
      <alignment vertical="center"/>
    </xf>
    <xf numFmtId="43" fontId="21" fillId="9" borderId="24" xfId="1" applyFont="1" applyFill="1" applyBorder="1" applyAlignment="1">
      <alignment horizontal="center" vertical="center"/>
    </xf>
    <xf numFmtId="43" fontId="23" fillId="0" borderId="0" xfId="1" applyFont="1" applyFill="1" applyBorder="1" applyAlignment="1">
      <alignment horizontal="right"/>
    </xf>
    <xf numFmtId="0" fontId="12" fillId="9" borderId="24" xfId="0" applyFont="1" applyFill="1" applyBorder="1" applyAlignment="1">
      <alignment vertical="center"/>
    </xf>
    <xf numFmtId="10" fontId="14" fillId="9" borderId="24" xfId="3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0" fontId="22" fillId="0" borderId="0" xfId="0" applyFont="1"/>
    <xf numFmtId="9" fontId="22" fillId="0" borderId="0" xfId="0" applyNumberFormat="1" applyFont="1"/>
    <xf numFmtId="9" fontId="24" fillId="0" borderId="0" xfId="3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39" xfId="0" applyFont="1" applyBorder="1" applyAlignment="1">
      <alignment horizontal="right"/>
    </xf>
    <xf numFmtId="43" fontId="27" fillId="10" borderId="51" xfId="1" applyFont="1" applyFill="1" applyBorder="1" applyAlignment="1">
      <alignment horizontal="right"/>
    </xf>
    <xf numFmtId="43" fontId="27" fillId="0" borderId="0" xfId="1" applyFont="1" applyFill="1" applyBorder="1" applyAlignment="1">
      <alignment horizontal="right"/>
    </xf>
    <xf numFmtId="43" fontId="13" fillId="0" borderId="13" xfId="1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0" fontId="29" fillId="0" borderId="0" xfId="3" applyNumberFormat="1" applyFont="1" applyFill="1" applyAlignment="1">
      <alignment horizontal="right"/>
    </xf>
    <xf numFmtId="167" fontId="13" fillId="9" borderId="13" xfId="1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3" fillId="11" borderId="13" xfId="1" applyFont="1" applyFill="1" applyBorder="1" applyAlignment="1">
      <alignment vertical="center"/>
    </xf>
    <xf numFmtId="164" fontId="30" fillId="0" borderId="0" xfId="0" applyNumberFormat="1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4" fillId="9" borderId="52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12" fillId="9" borderId="52" xfId="0" applyFont="1" applyFill="1" applyBorder="1" applyAlignment="1">
      <alignment vertical="center"/>
    </xf>
    <xf numFmtId="10" fontId="12" fillId="0" borderId="0" xfId="3" applyNumberFormat="1" applyFont="1" applyFill="1" applyAlignment="1">
      <alignment vertical="center"/>
    </xf>
    <xf numFmtId="4" fontId="12" fillId="0" borderId="0" xfId="1" applyNumberFormat="1" applyFont="1" applyFill="1" applyAlignment="1">
      <alignment vertical="center"/>
    </xf>
    <xf numFmtId="43" fontId="27" fillId="9" borderId="41" xfId="1" applyFont="1" applyFill="1" applyBorder="1" applyAlignment="1">
      <alignment horizontal="right"/>
    </xf>
    <xf numFmtId="0" fontId="13" fillId="9" borderId="46" xfId="0" applyFont="1" applyFill="1" applyBorder="1" applyAlignment="1">
      <alignment horizontal="right" vertical="center"/>
    </xf>
    <xf numFmtId="10" fontId="33" fillId="0" borderId="0" xfId="1" applyNumberFormat="1" applyFont="1" applyFill="1" applyAlignment="1">
      <alignment vertical="center"/>
    </xf>
    <xf numFmtId="10" fontId="14" fillId="0" borderId="0" xfId="3" applyNumberFormat="1" applyFont="1" applyFill="1" applyBorder="1" applyAlignment="1">
      <alignment vertical="center"/>
    </xf>
    <xf numFmtId="164" fontId="34" fillId="0" borderId="0" xfId="0" applyNumberFormat="1" applyFont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43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9" fontId="12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13" fillId="13" borderId="51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43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3" fillId="0" borderId="0" xfId="1" applyNumberFormat="1" applyFont="1" applyFill="1" applyAlignment="1">
      <alignment horizontal="center" vertical="center"/>
    </xf>
    <xf numFmtId="10" fontId="30" fillId="0" borderId="0" xfId="3" applyNumberFormat="1" applyFont="1" applyFill="1" applyAlignment="1">
      <alignment vertical="center"/>
    </xf>
    <xf numFmtId="43" fontId="30" fillId="0" borderId="0" xfId="1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1" applyFont="1" applyFill="1" applyBorder="1"/>
    <xf numFmtId="10" fontId="30" fillId="0" borderId="0" xfId="3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43" fontId="12" fillId="0" borderId="0" xfId="1" applyFont="1" applyFill="1" applyBorder="1" applyAlignment="1">
      <alignment horizontal="center"/>
    </xf>
    <xf numFmtId="9" fontId="40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4" fontId="13" fillId="0" borderId="0" xfId="0" applyNumberFormat="1" applyFont="1"/>
    <xf numFmtId="0" fontId="45" fillId="14" borderId="6" xfId="4" applyFont="1" applyFill="1" applyBorder="1" applyAlignment="1">
      <alignment horizontal="right"/>
    </xf>
    <xf numFmtId="0" fontId="43" fillId="14" borderId="7" xfId="4" applyFont="1" applyFill="1" applyBorder="1" applyAlignment="1">
      <alignment horizontal="center"/>
    </xf>
    <xf numFmtId="0" fontId="45" fillId="14" borderId="13" xfId="4" applyFont="1" applyFill="1" applyBorder="1" applyAlignment="1">
      <alignment horizontal="right"/>
    </xf>
    <xf numFmtId="49" fontId="43" fillId="14" borderId="14" xfId="4" applyNumberFormat="1" applyFont="1" applyFill="1" applyBorder="1" applyAlignment="1">
      <alignment horizontal="center"/>
    </xf>
    <xf numFmtId="0" fontId="43" fillId="14" borderId="19" xfId="4" applyFont="1" applyFill="1" applyBorder="1" applyAlignment="1">
      <alignment horizontal="right"/>
    </xf>
    <xf numFmtId="0" fontId="43" fillId="14" borderId="13" xfId="4" applyFont="1" applyFill="1" applyBorder="1" applyAlignment="1">
      <alignment horizontal="right"/>
    </xf>
    <xf numFmtId="14" fontId="47" fillId="14" borderId="0" xfId="4" applyNumberFormat="1" applyFont="1" applyFill="1" applyAlignment="1">
      <alignment horizontal="center" vertical="center" wrapText="1"/>
    </xf>
    <xf numFmtId="0" fontId="45" fillId="15" borderId="7" xfId="5" applyFont="1" applyFill="1" applyBorder="1" applyAlignment="1">
      <alignment horizontal="center" vertical="center" wrapText="1"/>
    </xf>
    <xf numFmtId="1" fontId="45" fillId="15" borderId="32" xfId="5" applyNumberFormat="1" applyFont="1" applyFill="1" applyBorder="1" applyAlignment="1">
      <alignment horizontal="center"/>
    </xf>
    <xf numFmtId="1" fontId="45" fillId="15" borderId="32" xfId="5" applyNumberFormat="1" applyFont="1" applyFill="1" applyBorder="1" applyAlignment="1">
      <alignment horizontal="center" wrapText="1"/>
    </xf>
    <xf numFmtId="0" fontId="45" fillId="15" borderId="33" xfId="5" applyFont="1" applyFill="1" applyBorder="1" applyAlignment="1">
      <alignment horizontal="center"/>
    </xf>
    <xf numFmtId="0" fontId="49" fillId="0" borderId="34" xfId="5" applyFont="1" applyBorder="1" applyAlignment="1">
      <alignment horizontal="center" vertical="center"/>
    </xf>
    <xf numFmtId="0" fontId="49" fillId="0" borderId="35" xfId="5" applyFont="1" applyBorder="1" applyAlignment="1">
      <alignment horizontal="center" vertical="center"/>
    </xf>
    <xf numFmtId="0" fontId="50" fillId="0" borderId="13" xfId="5" applyFont="1" applyBorder="1" applyAlignment="1">
      <alignment vertical="center"/>
    </xf>
    <xf numFmtId="0" fontId="49" fillId="0" borderId="13" xfId="5" applyFont="1" applyBorder="1" applyAlignment="1">
      <alignment horizontal="center" vertical="center"/>
    </xf>
    <xf numFmtId="1" fontId="49" fillId="0" borderId="13" xfId="5" applyNumberFormat="1" applyFont="1" applyBorder="1" applyAlignment="1">
      <alignment horizontal="center"/>
    </xf>
    <xf numFmtId="1" fontId="49" fillId="0" borderId="13" xfId="5" applyNumberFormat="1" applyFont="1" applyBorder="1" applyAlignment="1">
      <alignment horizontal="center" wrapText="1"/>
    </xf>
    <xf numFmtId="0" fontId="51" fillId="0" borderId="14" xfId="5" applyFont="1" applyBorder="1" applyAlignment="1">
      <alignment horizontal="center"/>
    </xf>
    <xf numFmtId="0" fontId="48" fillId="0" borderId="59" xfId="5" applyBorder="1" applyAlignment="1">
      <alignment horizontal="center" vertical="center"/>
    </xf>
    <xf numFmtId="0" fontId="48" fillId="0" borderId="13" xfId="5" applyBorder="1" applyAlignment="1">
      <alignment horizontal="center" vertical="center"/>
    </xf>
    <xf numFmtId="0" fontId="48" fillId="0" borderId="60" xfId="5" applyBorder="1" applyAlignment="1">
      <alignment horizontal="left" vertical="center"/>
    </xf>
    <xf numFmtId="16" fontId="43" fillId="0" borderId="19" xfId="5" applyNumberFormat="1" applyFont="1" applyBorder="1" applyAlignment="1">
      <alignment horizontal="center"/>
    </xf>
    <xf numFmtId="1" fontId="43" fillId="0" borderId="13" xfId="5" applyNumberFormat="1" applyFont="1" applyBorder="1" applyAlignment="1">
      <alignment horizontal="center"/>
    </xf>
    <xf numFmtId="1" fontId="43" fillId="0" borderId="13" xfId="5" applyNumberFormat="1" applyFont="1" applyBorder="1" applyAlignment="1">
      <alignment horizontal="center" wrapText="1"/>
    </xf>
    <xf numFmtId="0" fontId="43" fillId="0" borderId="19" xfId="0" applyFont="1" applyBorder="1" applyAlignment="1">
      <alignment horizontal="center" wrapText="1"/>
    </xf>
    <xf numFmtId="12" fontId="43" fillId="0" borderId="19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3" fillId="0" borderId="36" xfId="5" quotePrefix="1" applyFont="1" applyBorder="1" applyAlignment="1">
      <alignment horizontal="center"/>
    </xf>
    <xf numFmtId="0" fontId="43" fillId="0" borderId="13" xfId="5" quotePrefix="1" applyFont="1" applyBorder="1" applyAlignment="1">
      <alignment horizontal="center"/>
    </xf>
    <xf numFmtId="0" fontId="43" fillId="0" borderId="35" xfId="5" quotePrefix="1" applyFont="1" applyBorder="1"/>
    <xf numFmtId="16" fontId="43" fillId="0" borderId="13" xfId="5" applyNumberFormat="1" applyFont="1" applyBorder="1" applyAlignment="1">
      <alignment horizontal="center"/>
    </xf>
    <xf numFmtId="0" fontId="43" fillId="0" borderId="13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52" fillId="0" borderId="13" xfId="0" applyFont="1" applyBorder="1" applyAlignment="1">
      <alignment horizontal="center"/>
    </xf>
    <xf numFmtId="0" fontId="53" fillId="0" borderId="13" xfId="0" applyFont="1" applyBorder="1" applyAlignment="1">
      <alignment horizontal="center" vertical="center"/>
    </xf>
    <xf numFmtId="0" fontId="54" fillId="0" borderId="13" xfId="0" applyFont="1" applyBorder="1"/>
    <xf numFmtId="0" fontId="0" fillId="0" borderId="13" xfId="0" applyBorder="1"/>
    <xf numFmtId="49" fontId="51" fillId="0" borderId="34" xfId="5" applyNumberFormat="1" applyFont="1" applyBorder="1" applyAlignment="1">
      <alignment horizontal="center"/>
    </xf>
    <xf numFmtId="49" fontId="51" fillId="0" borderId="35" xfId="5" applyNumberFormat="1" applyFont="1" applyBorder="1" applyAlignment="1">
      <alignment horizontal="center"/>
    </xf>
    <xf numFmtId="0" fontId="54" fillId="7" borderId="13" xfId="5" applyFont="1" applyFill="1" applyBorder="1" applyAlignment="1">
      <alignment horizontal="left"/>
    </xf>
    <xf numFmtId="1" fontId="0" fillId="0" borderId="13" xfId="0" applyNumberFormat="1" applyBorder="1"/>
    <xf numFmtId="0" fontId="43" fillId="7" borderId="13" xfId="5" applyFont="1" applyFill="1" applyBorder="1" applyAlignment="1">
      <alignment horizontal="center"/>
    </xf>
    <xf numFmtId="0" fontId="51" fillId="0" borderId="13" xfId="5" applyFont="1" applyBorder="1" applyAlignment="1">
      <alignment horizontal="center"/>
    </xf>
    <xf numFmtId="168" fontId="51" fillId="0" borderId="13" xfId="5" applyNumberFormat="1" applyFont="1" applyBorder="1" applyAlignment="1">
      <alignment horizontal="center"/>
    </xf>
    <xf numFmtId="1" fontId="51" fillId="0" borderId="13" xfId="5" applyNumberFormat="1" applyFont="1" applyBorder="1" applyAlignment="1">
      <alignment horizontal="center" wrapText="1"/>
    </xf>
    <xf numFmtId="0" fontId="55" fillId="7" borderId="34" xfId="0" applyFont="1" applyFill="1" applyBorder="1" applyAlignment="1">
      <alignment horizontal="center"/>
    </xf>
    <xf numFmtId="0" fontId="55" fillId="7" borderId="28" xfId="0" applyFont="1" applyFill="1" applyBorder="1" applyAlignment="1">
      <alignment horizontal="center"/>
    </xf>
    <xf numFmtId="0" fontId="55" fillId="7" borderId="19" xfId="0" applyFont="1" applyFill="1" applyBorder="1"/>
    <xf numFmtId="0" fontId="43" fillId="7" borderId="35" xfId="0" applyFont="1" applyFill="1" applyBorder="1" applyAlignment="1">
      <alignment horizontal="center"/>
    </xf>
    <xf numFmtId="1" fontId="43" fillId="7" borderId="19" xfId="0" applyNumberFormat="1" applyFont="1" applyFill="1" applyBorder="1" applyAlignment="1">
      <alignment horizontal="center"/>
    </xf>
    <xf numFmtId="1" fontId="43" fillId="7" borderId="19" xfId="0" applyNumberFormat="1" applyFont="1" applyFill="1" applyBorder="1" applyAlignment="1">
      <alignment horizontal="center" wrapText="1"/>
    </xf>
    <xf numFmtId="49" fontId="43" fillId="7" borderId="19" xfId="0" applyNumberFormat="1" applyFont="1" applyFill="1" applyBorder="1" applyAlignment="1">
      <alignment horizontal="center"/>
    </xf>
    <xf numFmtId="1" fontId="43" fillId="7" borderId="13" xfId="5" applyNumberFormat="1" applyFont="1" applyFill="1" applyBorder="1" applyAlignment="1">
      <alignment horizontal="center"/>
    </xf>
    <xf numFmtId="1" fontId="43" fillId="7" borderId="13" xfId="5" applyNumberFormat="1" applyFont="1" applyFill="1" applyBorder="1" applyAlignment="1">
      <alignment horizontal="center" wrapText="1"/>
    </xf>
    <xf numFmtId="16" fontId="43" fillId="0" borderId="13" xfId="0" applyNumberFormat="1" applyFont="1" applyBorder="1" applyAlignment="1">
      <alignment horizontal="center"/>
    </xf>
    <xf numFmtId="1" fontId="43" fillId="0" borderId="13" xfId="0" applyNumberFormat="1" applyFont="1" applyBorder="1" applyAlignment="1">
      <alignment horizontal="center"/>
    </xf>
    <xf numFmtId="1" fontId="43" fillId="0" borderId="13" xfId="0" applyNumberFormat="1" applyFont="1" applyBorder="1" applyAlignment="1">
      <alignment horizontal="center" wrapText="1"/>
    </xf>
    <xf numFmtId="49" fontId="49" fillId="0" borderId="37" xfId="5" applyNumberFormat="1" applyFont="1" applyBorder="1" applyAlignment="1">
      <alignment horizontal="center"/>
    </xf>
    <xf numFmtId="49" fontId="49" fillId="0" borderId="38" xfId="5" applyNumberFormat="1" applyFont="1" applyBorder="1" applyAlignment="1">
      <alignment horizontal="center"/>
    </xf>
    <xf numFmtId="0" fontId="56" fillId="7" borderId="13" xfId="5" applyFont="1" applyFill="1" applyBorder="1" applyAlignment="1">
      <alignment vertical="center"/>
    </xf>
    <xf numFmtId="0" fontId="49" fillId="0" borderId="35" xfId="5" applyFont="1" applyBorder="1" applyAlignment="1">
      <alignment horizontal="center"/>
    </xf>
    <xf numFmtId="168" fontId="49" fillId="0" borderId="13" xfId="5" applyNumberFormat="1" applyFont="1" applyBorder="1" applyAlignment="1">
      <alignment horizontal="center"/>
    </xf>
    <xf numFmtId="49" fontId="51" fillId="0" borderId="34" xfId="0" applyNumberFormat="1" applyFont="1" applyBorder="1" applyAlignment="1">
      <alignment horizontal="center"/>
    </xf>
    <xf numFmtId="49" fontId="51" fillId="0" borderId="35" xfId="0" applyNumberFormat="1" applyFont="1" applyBorder="1" applyAlignment="1">
      <alignment horizontal="center"/>
    </xf>
    <xf numFmtId="49" fontId="13" fillId="0" borderId="13" xfId="0" applyNumberFormat="1" applyFont="1" applyBorder="1"/>
    <xf numFmtId="0" fontId="51" fillId="0" borderId="13" xfId="0" applyFont="1" applyBorder="1" applyAlignment="1">
      <alignment horizontal="center"/>
    </xf>
    <xf numFmtId="1" fontId="51" fillId="0" borderId="13" xfId="0" applyNumberFormat="1" applyFont="1" applyBorder="1" applyAlignment="1">
      <alignment horizontal="center"/>
    </xf>
    <xf numFmtId="1" fontId="51" fillId="0" borderId="13" xfId="0" applyNumberFormat="1" applyFont="1" applyBorder="1" applyAlignment="1">
      <alignment horizontal="center" wrapText="1"/>
    </xf>
    <xf numFmtId="169" fontId="45" fillId="7" borderId="13" xfId="1" applyNumberFormat="1" applyFont="1" applyFill="1" applyBorder="1" applyAlignment="1">
      <alignment horizontal="center"/>
    </xf>
    <xf numFmtId="0" fontId="57" fillId="0" borderId="34" xfId="0" applyFont="1" applyBorder="1" applyAlignment="1">
      <alignment horizontal="center"/>
    </xf>
    <xf numFmtId="0" fontId="57" fillId="0" borderId="35" xfId="0" applyFont="1" applyBorder="1" applyAlignment="1">
      <alignment horizontal="center"/>
    </xf>
    <xf numFmtId="0" fontId="37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51" fillId="0" borderId="13" xfId="5" applyNumberFormat="1" applyFont="1" applyBorder="1" applyAlignment="1">
      <alignment horizontal="center"/>
    </xf>
    <xf numFmtId="1" fontId="51" fillId="0" borderId="13" xfId="5" applyNumberFormat="1" applyFont="1" applyBorder="1" applyAlignment="1">
      <alignment horizontal="center"/>
    </xf>
    <xf numFmtId="0" fontId="43" fillId="0" borderId="13" xfId="0" quotePrefix="1" applyFont="1" applyBorder="1" applyAlignment="1">
      <alignment horizontal="center"/>
    </xf>
    <xf numFmtId="0" fontId="43" fillId="0" borderId="13" xfId="0" quotePrefix="1" applyFont="1" applyBorder="1"/>
    <xf numFmtId="49" fontId="51" fillId="0" borderId="13" xfId="0" applyNumberFormat="1" applyFont="1" applyBorder="1" applyAlignment="1">
      <alignment horizontal="center"/>
    </xf>
    <xf numFmtId="49" fontId="12" fillId="0" borderId="13" xfId="0" applyNumberFormat="1" applyFont="1" applyBorder="1"/>
    <xf numFmtId="16" fontId="51" fillId="0" borderId="13" xfId="0" applyNumberFormat="1" applyFont="1" applyBorder="1" applyAlignment="1">
      <alignment horizontal="center"/>
    </xf>
    <xf numFmtId="1" fontId="52" fillId="0" borderId="13" xfId="5" applyNumberFormat="1" applyFont="1" applyBorder="1" applyAlignment="1">
      <alignment horizontal="center"/>
    </xf>
    <xf numFmtId="49" fontId="12" fillId="0" borderId="13" xfId="5" applyNumberFormat="1" applyFont="1" applyBorder="1"/>
    <xf numFmtId="0" fontId="52" fillId="0" borderId="13" xfId="5" applyFont="1" applyBorder="1" applyAlignment="1">
      <alignment horizontal="center"/>
    </xf>
    <xf numFmtId="49" fontId="58" fillId="14" borderId="8" xfId="5" applyNumberFormat="1" applyFont="1" applyFill="1" applyBorder="1" applyAlignment="1">
      <alignment horizontal="center" vertical="center"/>
    </xf>
    <xf numFmtId="49" fontId="58" fillId="14" borderId="0" xfId="5" applyNumberFormat="1" applyFont="1" applyFill="1" applyAlignment="1">
      <alignment horizontal="center" vertical="center"/>
    </xf>
    <xf numFmtId="0" fontId="43" fillId="14" borderId="0" xfId="5" applyFont="1" applyFill="1"/>
    <xf numFmtId="1" fontId="43" fillId="14" borderId="0" xfId="5" applyNumberFormat="1" applyFont="1" applyFill="1" applyAlignment="1">
      <alignment horizontal="center"/>
    </xf>
    <xf numFmtId="170" fontId="43" fillId="14" borderId="0" xfId="5" applyNumberFormat="1" applyFont="1" applyFill="1" applyAlignment="1">
      <alignment horizontal="center" wrapText="1"/>
    </xf>
    <xf numFmtId="0" fontId="43" fillId="14" borderId="39" xfId="5" applyFont="1" applyFill="1" applyBorder="1" applyAlignment="1">
      <alignment horizontal="center"/>
    </xf>
    <xf numFmtId="0" fontId="43" fillId="15" borderId="40" xfId="5" applyFont="1" applyFill="1" applyBorder="1" applyAlignment="1">
      <alignment horizontal="center"/>
    </xf>
    <xf numFmtId="0" fontId="43" fillId="15" borderId="41" xfId="5" applyFont="1" applyFill="1" applyBorder="1" applyAlignment="1">
      <alignment horizontal="center"/>
    </xf>
    <xf numFmtId="0" fontId="43" fillId="15" borderId="41" xfId="5" applyFont="1" applyFill="1" applyBorder="1"/>
    <xf numFmtId="0" fontId="45" fillId="15" borderId="41" xfId="5" applyFont="1" applyFill="1" applyBorder="1" applyAlignment="1">
      <alignment horizontal="center"/>
    </xf>
    <xf numFmtId="1" fontId="45" fillId="15" borderId="41" xfId="5" applyNumberFormat="1" applyFont="1" applyFill="1" applyBorder="1" applyAlignment="1">
      <alignment horizontal="center"/>
    </xf>
    <xf numFmtId="170" fontId="43" fillId="15" borderId="41" xfId="5" applyNumberFormat="1" applyFont="1" applyFill="1" applyBorder="1" applyAlignment="1">
      <alignment horizontal="center" wrapText="1"/>
    </xf>
    <xf numFmtId="0" fontId="43" fillId="15" borderId="46" xfId="5" applyFont="1" applyFill="1" applyBorder="1" applyAlignment="1">
      <alignment horizontal="center"/>
    </xf>
    <xf numFmtId="1" fontId="43" fillId="0" borderId="19" xfId="0" applyNumberFormat="1" applyFont="1" applyBorder="1" applyAlignment="1">
      <alignment horizontal="center"/>
    </xf>
    <xf numFmtId="0" fontId="43" fillId="0" borderId="27" xfId="0" applyFont="1" applyBorder="1" applyAlignment="1">
      <alignment horizontal="center"/>
    </xf>
    <xf numFmtId="1" fontId="43" fillId="0" borderId="32" xfId="0" applyNumberFormat="1" applyFont="1" applyBorder="1" applyAlignment="1">
      <alignment horizontal="center"/>
    </xf>
    <xf numFmtId="0" fontId="43" fillId="0" borderId="32" xfId="0" applyFont="1" applyBorder="1" applyAlignment="1">
      <alignment horizontal="center"/>
    </xf>
    <xf numFmtId="14" fontId="62" fillId="14" borderId="0" xfId="4" applyNumberFormat="1" applyFont="1" applyFill="1" applyAlignment="1">
      <alignment horizontal="center" vertical="center" wrapText="1"/>
    </xf>
    <xf numFmtId="0" fontId="6" fillId="0" borderId="13" xfId="5" applyFont="1" applyBorder="1" applyAlignment="1">
      <alignment horizontal="center" vertical="center"/>
    </xf>
    <xf numFmtId="0" fontId="63" fillId="0" borderId="13" xfId="5" applyFont="1" applyBorder="1" applyAlignment="1">
      <alignment vertical="center"/>
    </xf>
    <xf numFmtId="1" fontId="6" fillId="0" borderId="13" xfId="5" applyNumberFormat="1" applyFont="1" applyBorder="1" applyAlignment="1">
      <alignment horizontal="center"/>
    </xf>
    <xf numFmtId="1" fontId="6" fillId="0" borderId="13" xfId="5" applyNumberFormat="1" applyFont="1" applyBorder="1" applyAlignment="1">
      <alignment horizontal="center" wrapText="1"/>
    </xf>
    <xf numFmtId="0" fontId="8" fillId="0" borderId="14" xfId="5" applyFont="1" applyBorder="1" applyAlignment="1">
      <alignment horizontal="center"/>
    </xf>
    <xf numFmtId="1" fontId="8" fillId="0" borderId="19" xfId="0" applyNumberFormat="1" applyFont="1" applyBorder="1" applyAlignment="1">
      <alignment horizontal="center"/>
    </xf>
    <xf numFmtId="2" fontId="6" fillId="0" borderId="13" xfId="5" applyNumberFormat="1" applyFont="1" applyBorder="1" applyAlignment="1">
      <alignment horizontal="center"/>
    </xf>
    <xf numFmtId="1" fontId="6" fillId="7" borderId="26" xfId="5" applyNumberFormat="1" applyFont="1" applyFill="1" applyBorder="1" applyAlignment="1">
      <alignment horizontal="center" wrapText="1"/>
    </xf>
    <xf numFmtId="1" fontId="8" fillId="0" borderId="13" xfId="0" applyNumberFormat="1" applyFont="1" applyBorder="1" applyAlignment="1">
      <alignment horizontal="center"/>
    </xf>
    <xf numFmtId="0" fontId="8" fillId="0" borderId="13" xfId="5" applyFont="1" applyBorder="1" applyAlignment="1">
      <alignment horizontal="center"/>
    </xf>
    <xf numFmtId="2" fontId="6" fillId="0" borderId="13" xfId="5" applyNumberFormat="1" applyFont="1" applyBorder="1" applyAlignment="1">
      <alignment horizontal="center" wrapText="1"/>
    </xf>
    <xf numFmtId="0" fontId="8" fillId="7" borderId="13" xfId="0" applyFont="1" applyFill="1" applyBorder="1"/>
    <xf numFmtId="1" fontId="8" fillId="0" borderId="13" xfId="5" applyNumberFormat="1" applyFont="1" applyBorder="1" applyAlignment="1">
      <alignment horizontal="center"/>
    </xf>
    <xf numFmtId="1" fontId="8" fillId="0" borderId="13" xfId="5" applyNumberFormat="1" applyFont="1" applyBorder="1" applyAlignment="1">
      <alignment horizontal="center" wrapText="1"/>
    </xf>
    <xf numFmtId="49" fontId="8" fillId="0" borderId="13" xfId="5" applyNumberFormat="1" applyFont="1" applyBorder="1" applyAlignment="1">
      <alignment horizontal="center"/>
    </xf>
    <xf numFmtId="0" fontId="6" fillId="7" borderId="13" xfId="5" applyFont="1" applyFill="1" applyBorder="1" applyAlignment="1">
      <alignment horizontal="left"/>
    </xf>
    <xf numFmtId="168" fontId="8" fillId="0" borderId="13" xfId="5" applyNumberFormat="1" applyFont="1" applyBorder="1" applyAlignment="1">
      <alignment horizontal="center"/>
    </xf>
    <xf numFmtId="0" fontId="8" fillId="0" borderId="13" xfId="6" applyFont="1" applyBorder="1" applyAlignment="1">
      <alignment horizontal="center"/>
    </xf>
    <xf numFmtId="0" fontId="8" fillId="7" borderId="13" xfId="6" applyFont="1" applyFill="1" applyBorder="1"/>
    <xf numFmtId="16" fontId="8" fillId="0" borderId="13" xfId="6" applyNumberFormat="1" applyFont="1" applyBorder="1" applyAlignment="1">
      <alignment horizontal="center"/>
    </xf>
    <xf numFmtId="16" fontId="8" fillId="0" borderId="13" xfId="0" applyNumberFormat="1" applyFont="1" applyBorder="1" applyAlignment="1">
      <alignment horizontal="center"/>
    </xf>
    <xf numFmtId="1" fontId="8" fillId="0" borderId="13" xfId="6" applyNumberFormat="1" applyFont="1" applyBorder="1" applyAlignment="1">
      <alignment horizontal="center"/>
    </xf>
    <xf numFmtId="1" fontId="8" fillId="0" borderId="13" xfId="6" applyNumberFormat="1" applyFont="1" applyBorder="1" applyAlignment="1">
      <alignment horizontal="center" wrapText="1"/>
    </xf>
    <xf numFmtId="49" fontId="6" fillId="0" borderId="13" xfId="5" applyNumberFormat="1" applyFont="1" applyBorder="1" applyAlignment="1">
      <alignment horizontal="center"/>
    </xf>
    <xf numFmtId="0" fontId="63" fillId="7" borderId="13" xfId="5" applyFont="1" applyFill="1" applyBorder="1" applyAlignment="1">
      <alignment vertical="center"/>
    </xf>
    <xf numFmtId="0" fontId="6" fillId="0" borderId="13" xfId="5" applyFont="1" applyBorder="1" applyAlignment="1">
      <alignment horizontal="center"/>
    </xf>
    <xf numFmtId="168" fontId="6" fillId="0" borderId="13" xfId="5" applyNumberFormat="1" applyFont="1" applyBorder="1" applyAlignment="1">
      <alignment horizontal="center"/>
    </xf>
    <xf numFmtId="0" fontId="8" fillId="0" borderId="0" xfId="0" applyFont="1"/>
    <xf numFmtId="169" fontId="6" fillId="7" borderId="13" xfId="1" applyNumberFormat="1" applyFont="1" applyFill="1" applyBorder="1" applyAlignment="1">
      <alignment horizontal="center"/>
    </xf>
    <xf numFmtId="49" fontId="8" fillId="0" borderId="34" xfId="5" applyNumberFormat="1" applyFont="1" applyBorder="1" applyAlignment="1">
      <alignment horizontal="center"/>
    </xf>
    <xf numFmtId="49" fontId="8" fillId="0" borderId="35" xfId="5" applyNumberFormat="1" applyFont="1" applyBorder="1" applyAlignment="1">
      <alignment horizontal="center"/>
    </xf>
    <xf numFmtId="49" fontId="8" fillId="0" borderId="13" xfId="5" applyNumberFormat="1" applyFont="1" applyBorder="1"/>
    <xf numFmtId="49" fontId="64" fillId="14" borderId="8" xfId="5" applyNumberFormat="1" applyFont="1" applyFill="1" applyBorder="1" applyAlignment="1">
      <alignment horizontal="center" vertical="center"/>
    </xf>
    <xf numFmtId="49" fontId="64" fillId="14" borderId="0" xfId="5" applyNumberFormat="1" applyFont="1" applyFill="1" applyAlignment="1">
      <alignment horizontal="center" vertical="center"/>
    </xf>
    <xf numFmtId="0" fontId="8" fillId="14" borderId="0" xfId="5" applyFont="1" applyFill="1"/>
    <xf numFmtId="1" fontId="8" fillId="14" borderId="0" xfId="5" applyNumberFormat="1" applyFont="1" applyFill="1" applyAlignment="1">
      <alignment horizontal="center"/>
    </xf>
    <xf numFmtId="170" fontId="8" fillId="14" borderId="0" xfId="5" applyNumberFormat="1" applyFont="1" applyFill="1" applyAlignment="1">
      <alignment horizontal="center" wrapText="1"/>
    </xf>
    <xf numFmtId="0" fontId="8" fillId="14" borderId="39" xfId="5" applyFont="1" applyFill="1" applyBorder="1" applyAlignment="1">
      <alignment horizontal="center"/>
    </xf>
    <xf numFmtId="0" fontId="8" fillId="15" borderId="40" xfId="5" applyFont="1" applyFill="1" applyBorder="1" applyAlignment="1">
      <alignment horizontal="center"/>
    </xf>
    <xf numFmtId="0" fontId="8" fillId="15" borderId="41" xfId="5" applyFont="1" applyFill="1" applyBorder="1" applyAlignment="1">
      <alignment horizontal="center"/>
    </xf>
    <xf numFmtId="0" fontId="8" fillId="15" borderId="41" xfId="5" applyFont="1" applyFill="1" applyBorder="1"/>
    <xf numFmtId="0" fontId="6" fillId="15" borderId="41" xfId="5" applyFont="1" applyFill="1" applyBorder="1" applyAlignment="1">
      <alignment horizontal="center"/>
    </xf>
    <xf numFmtId="1" fontId="6" fillId="15" borderId="41" xfId="5" applyNumberFormat="1" applyFont="1" applyFill="1" applyBorder="1" applyAlignment="1">
      <alignment horizontal="center"/>
    </xf>
    <xf numFmtId="170" fontId="8" fillId="15" borderId="41" xfId="5" applyNumberFormat="1" applyFont="1" applyFill="1" applyBorder="1" applyAlignment="1">
      <alignment horizontal="center" wrapText="1"/>
    </xf>
    <xf numFmtId="0" fontId="8" fillId="15" borderId="46" xfId="5" applyFont="1" applyFill="1" applyBorder="1" applyAlignment="1">
      <alignment horizontal="center"/>
    </xf>
    <xf numFmtId="1" fontId="8" fillId="0" borderId="3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8" fillId="0" borderId="0" xfId="0" applyFont="1" applyAlignment="1">
      <alignment horizontal="center"/>
    </xf>
    <xf numFmtId="0" fontId="48" fillId="0" borderId="0" xfId="0" applyFont="1"/>
    <xf numFmtId="0" fontId="51" fillId="0" borderId="13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5" fillId="0" borderId="0" xfId="0" applyFont="1"/>
    <xf numFmtId="0" fontId="12" fillId="0" borderId="13" xfId="0" applyFont="1" applyBorder="1" applyAlignment="1">
      <alignment horizontal="center"/>
    </xf>
    <xf numFmtId="2" fontId="49" fillId="0" borderId="13" xfId="5" applyNumberFormat="1" applyFont="1" applyBorder="1" applyAlignment="1">
      <alignment horizontal="center"/>
    </xf>
    <xf numFmtId="1" fontId="45" fillId="7" borderId="26" xfId="5" applyNumberFormat="1" applyFont="1" applyFill="1" applyBorder="1" applyAlignment="1">
      <alignment horizontal="center" wrapText="1"/>
    </xf>
    <xf numFmtId="0" fontId="65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wrapText="1"/>
    </xf>
    <xf numFmtId="2" fontId="49" fillId="0" borderId="13" xfId="5" applyNumberFormat="1" applyFont="1" applyBorder="1" applyAlignment="1">
      <alignment horizontal="center" wrapText="1"/>
    </xf>
    <xf numFmtId="0" fontId="65" fillId="0" borderId="13" xfId="0" applyFont="1" applyBorder="1" applyAlignment="1">
      <alignment horizontal="center"/>
    </xf>
    <xf numFmtId="0" fontId="65" fillId="0" borderId="13" xfId="0" applyFont="1" applyBorder="1"/>
    <xf numFmtId="0" fontId="51" fillId="0" borderId="13" xfId="0" applyFont="1" applyBorder="1" applyAlignment="1">
      <alignment horizontal="center" wrapText="1"/>
    </xf>
    <xf numFmtId="0" fontId="0" fillId="7" borderId="13" xfId="0" applyFill="1" applyBorder="1"/>
    <xf numFmtId="0" fontId="48" fillId="0" borderId="34" xfId="6" applyBorder="1" applyAlignment="1">
      <alignment horizontal="center"/>
    </xf>
    <xf numFmtId="0" fontId="48" fillId="0" borderId="13" xfId="5" applyBorder="1" applyAlignment="1">
      <alignment horizontal="center"/>
    </xf>
    <xf numFmtId="0" fontId="48" fillId="7" borderId="13" xfId="6" applyFill="1" applyBorder="1"/>
    <xf numFmtId="16" fontId="51" fillId="0" borderId="13" xfId="6" applyNumberFormat="1" applyFont="1" applyBorder="1" applyAlignment="1">
      <alignment horizontal="center"/>
    </xf>
    <xf numFmtId="0" fontId="48" fillId="0" borderId="13" xfId="6" applyBorder="1" applyAlignment="1">
      <alignment horizontal="center"/>
    </xf>
    <xf numFmtId="1" fontId="51" fillId="0" borderId="13" xfId="6" applyNumberFormat="1" applyFont="1" applyBorder="1" applyAlignment="1">
      <alignment horizontal="center"/>
    </xf>
    <xf numFmtId="1" fontId="51" fillId="0" borderId="13" xfId="6" applyNumberFormat="1" applyFont="1" applyBorder="1" applyAlignment="1">
      <alignment horizontal="center" wrapText="1"/>
    </xf>
    <xf numFmtId="0" fontId="65" fillId="0" borderId="13" xfId="0" applyFont="1" applyBorder="1" applyAlignment="1">
      <alignment horizontal="center" vertical="center"/>
    </xf>
    <xf numFmtId="49" fontId="43" fillId="0" borderId="13" xfId="0" applyNumberFormat="1" applyFont="1" applyBorder="1" applyAlignment="1">
      <alignment horizontal="center" wrapText="1"/>
    </xf>
    <xf numFmtId="0" fontId="66" fillId="0" borderId="34" xfId="0" quotePrefix="1" applyFont="1" applyBorder="1" applyAlignment="1">
      <alignment horizontal="center"/>
    </xf>
    <xf numFmtId="0" fontId="66" fillId="0" borderId="35" xfId="0" quotePrefix="1" applyFont="1" applyBorder="1" applyAlignment="1">
      <alignment horizontal="center"/>
    </xf>
    <xf numFmtId="0" fontId="67" fillId="0" borderId="13" xfId="0" quotePrefix="1" applyFont="1" applyBorder="1"/>
    <xf numFmtId="1" fontId="43" fillId="7" borderId="13" xfId="0" applyNumberFormat="1" applyFont="1" applyFill="1" applyBorder="1" applyAlignment="1">
      <alignment horizontal="center"/>
    </xf>
    <xf numFmtId="1" fontId="43" fillId="7" borderId="13" xfId="0" applyNumberFormat="1" applyFont="1" applyFill="1" applyBorder="1" applyAlignment="1">
      <alignment horizontal="center" wrapText="1"/>
    </xf>
    <xf numFmtId="49" fontId="51" fillId="7" borderId="34" xfId="5" applyNumberFormat="1" applyFont="1" applyFill="1" applyBorder="1" applyAlignment="1">
      <alignment horizontal="center"/>
    </xf>
    <xf numFmtId="49" fontId="51" fillId="7" borderId="35" xfId="5" applyNumberFormat="1" applyFont="1" applyFill="1" applyBorder="1" applyAlignment="1">
      <alignment horizontal="center"/>
    </xf>
    <xf numFmtId="49" fontId="12" fillId="7" borderId="13" xfId="5" applyNumberFormat="1" applyFont="1" applyFill="1" applyBorder="1"/>
    <xf numFmtId="0" fontId="45" fillId="0" borderId="13" xfId="0" applyFont="1" applyBorder="1" applyAlignment="1">
      <alignment horizontal="center"/>
    </xf>
    <xf numFmtId="0" fontId="53" fillId="0" borderId="13" xfId="0" applyFont="1" applyBorder="1" applyAlignment="1">
      <alignment horizontal="left" vertical="center"/>
    </xf>
    <xf numFmtId="0" fontId="51" fillId="0" borderId="19" xfId="0" applyFont="1" applyBorder="1" applyAlignment="1">
      <alignment horizontal="center"/>
    </xf>
    <xf numFmtId="1" fontId="51" fillId="0" borderId="19" xfId="0" applyNumberFormat="1" applyFont="1" applyBorder="1" applyAlignment="1">
      <alignment horizontal="center"/>
    </xf>
    <xf numFmtId="1" fontId="51" fillId="0" borderId="19" xfId="0" applyNumberFormat="1" applyFont="1" applyBorder="1" applyAlignment="1">
      <alignment horizontal="center" wrapText="1"/>
    </xf>
    <xf numFmtId="171" fontId="43" fillId="0" borderId="13" xfId="0" applyNumberFormat="1" applyFont="1" applyBorder="1" applyAlignment="1">
      <alignment horizontal="center"/>
    </xf>
    <xf numFmtId="49" fontId="37" fillId="7" borderId="13" xfId="5" applyNumberFormat="1" applyFont="1" applyFill="1" applyBorder="1" applyAlignment="1">
      <alignment horizontal="center"/>
    </xf>
    <xf numFmtId="0" fontId="37" fillId="0" borderId="13" xfId="5" applyFont="1" applyBorder="1" applyAlignment="1">
      <alignment horizontal="left" wrapText="1"/>
    </xf>
    <xf numFmtId="16" fontId="12" fillId="0" borderId="13" xfId="5" applyNumberFormat="1" applyFont="1" applyBorder="1" applyAlignment="1">
      <alignment horizontal="center"/>
    </xf>
    <xf numFmtId="1" fontId="12" fillId="0" borderId="13" xfId="5" applyNumberFormat="1" applyFont="1" applyBorder="1" applyAlignment="1">
      <alignment horizontal="center"/>
    </xf>
    <xf numFmtId="1" fontId="12" fillId="0" borderId="13" xfId="5" applyNumberFormat="1" applyFont="1" applyBorder="1" applyAlignment="1">
      <alignment horizontal="center" wrapText="1"/>
    </xf>
    <xf numFmtId="0" fontId="0" fillId="0" borderId="13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16" fontId="51" fillId="14" borderId="13" xfId="0" applyNumberFormat="1" applyFont="1" applyFill="1" applyBorder="1" applyAlignment="1">
      <alignment horizontal="center"/>
    </xf>
    <xf numFmtId="1" fontId="52" fillId="14" borderId="13" xfId="0" applyNumberFormat="1" applyFont="1" applyFill="1" applyBorder="1" applyAlignment="1">
      <alignment horizontal="center"/>
    </xf>
    <xf numFmtId="1" fontId="51" fillId="14" borderId="13" xfId="0" applyNumberFormat="1" applyFont="1" applyFill="1" applyBorder="1" applyAlignment="1">
      <alignment horizontal="center" wrapText="1"/>
    </xf>
    <xf numFmtId="0" fontId="41" fillId="0" borderId="0" xfId="0" applyFont="1"/>
    <xf numFmtId="16" fontId="43" fillId="7" borderId="13" xfId="0" applyNumberFormat="1" applyFont="1" applyFill="1" applyBorder="1" applyAlignment="1">
      <alignment horizontal="center"/>
    </xf>
    <xf numFmtId="0" fontId="43" fillId="14" borderId="13" xfId="0" applyFont="1" applyFill="1" applyBorder="1" applyAlignment="1">
      <alignment horizontal="center"/>
    </xf>
    <xf numFmtId="1" fontId="43" fillId="0" borderId="19" xfId="0" applyNumberFormat="1" applyFont="1" applyBorder="1" applyAlignment="1">
      <alignment horizontal="center" wrapText="1"/>
    </xf>
    <xf numFmtId="0" fontId="11" fillId="0" borderId="13" xfId="7" applyBorder="1" applyAlignment="1">
      <alignment horizontal="center"/>
    </xf>
    <xf numFmtId="0" fontId="11" fillId="0" borderId="13" xfId="7" applyBorder="1" applyAlignment="1">
      <alignment horizontal="left"/>
    </xf>
    <xf numFmtId="0" fontId="44" fillId="14" borderId="6" xfId="4" applyFont="1" applyFill="1" applyBorder="1" applyAlignment="1">
      <alignment horizontal="right"/>
    </xf>
    <xf numFmtId="0" fontId="68" fillId="14" borderId="7" xfId="4" applyFont="1" applyFill="1" applyBorder="1" applyAlignment="1">
      <alignment horizontal="center"/>
    </xf>
    <xf numFmtId="0" fontId="44" fillId="14" borderId="13" xfId="4" applyFont="1" applyFill="1" applyBorder="1" applyAlignment="1">
      <alignment horizontal="right"/>
    </xf>
    <xf numFmtId="49" fontId="68" fillId="14" borderId="14" xfId="4" applyNumberFormat="1" applyFont="1" applyFill="1" applyBorder="1" applyAlignment="1">
      <alignment horizontal="center"/>
    </xf>
    <xf numFmtId="0" fontId="68" fillId="14" borderId="19" xfId="4" applyFont="1" applyFill="1" applyBorder="1" applyAlignment="1">
      <alignment horizontal="right"/>
    </xf>
    <xf numFmtId="0" fontId="68" fillId="14" borderId="13" xfId="4" applyFont="1" applyFill="1" applyBorder="1" applyAlignment="1">
      <alignment horizontal="right"/>
    </xf>
    <xf numFmtId="0" fontId="44" fillId="15" borderId="7" xfId="5" applyFont="1" applyFill="1" applyBorder="1" applyAlignment="1">
      <alignment horizontal="center" vertical="center" wrapText="1"/>
    </xf>
    <xf numFmtId="1" fontId="44" fillId="15" borderId="32" xfId="5" applyNumberFormat="1" applyFont="1" applyFill="1" applyBorder="1" applyAlignment="1">
      <alignment horizontal="center"/>
    </xf>
    <xf numFmtId="1" fontId="44" fillId="15" borderId="32" xfId="5" applyNumberFormat="1" applyFont="1" applyFill="1" applyBorder="1" applyAlignment="1">
      <alignment horizontal="center" wrapText="1"/>
    </xf>
    <xf numFmtId="0" fontId="44" fillId="15" borderId="33" xfId="5" applyFont="1" applyFill="1" applyBorder="1" applyAlignment="1">
      <alignment horizontal="center"/>
    </xf>
    <xf numFmtId="0" fontId="54" fillId="0" borderId="34" xfId="5" applyFont="1" applyBorder="1" applyAlignment="1">
      <alignment horizontal="center" vertical="center"/>
    </xf>
    <xf numFmtId="0" fontId="54" fillId="0" borderId="35" xfId="5" applyFont="1" applyBorder="1" applyAlignment="1">
      <alignment horizontal="center" vertical="center"/>
    </xf>
    <xf numFmtId="0" fontId="56" fillId="0" borderId="13" xfId="5" applyFont="1" applyBorder="1" applyAlignment="1">
      <alignment vertical="center"/>
    </xf>
    <xf numFmtId="0" fontId="54" fillId="0" borderId="13" xfId="5" applyFont="1" applyBorder="1" applyAlignment="1">
      <alignment horizontal="center" vertical="center"/>
    </xf>
    <xf numFmtId="1" fontId="54" fillId="0" borderId="13" xfId="5" applyNumberFormat="1" applyFont="1" applyBorder="1" applyAlignment="1">
      <alignment horizontal="center"/>
    </xf>
    <xf numFmtId="1" fontId="54" fillId="0" borderId="13" xfId="5" applyNumberFormat="1" applyFont="1" applyBorder="1" applyAlignment="1">
      <alignment horizontal="center" wrapText="1"/>
    </xf>
    <xf numFmtId="0" fontId="52" fillId="0" borderId="14" xfId="5" applyFont="1" applyBorder="1" applyAlignment="1">
      <alignment horizontal="center"/>
    </xf>
    <xf numFmtId="0" fontId="70" fillId="7" borderId="34" xfId="0" applyFont="1" applyFill="1" applyBorder="1" applyAlignment="1">
      <alignment horizontal="center"/>
    </xf>
    <xf numFmtId="0" fontId="70" fillId="7" borderId="13" xfId="0" applyFont="1" applyFill="1" applyBorder="1" applyAlignment="1">
      <alignment horizontal="center"/>
    </xf>
    <xf numFmtId="0" fontId="70" fillId="7" borderId="19" xfId="0" applyFont="1" applyFill="1" applyBorder="1"/>
    <xf numFmtId="0" fontId="68" fillId="7" borderId="35" xfId="0" applyFont="1" applyFill="1" applyBorder="1" applyAlignment="1">
      <alignment horizontal="center"/>
    </xf>
    <xf numFmtId="1" fontId="68" fillId="7" borderId="13" xfId="0" applyNumberFormat="1" applyFont="1" applyFill="1" applyBorder="1" applyAlignment="1">
      <alignment horizontal="center"/>
    </xf>
    <xf numFmtId="1" fontId="68" fillId="7" borderId="13" xfId="0" applyNumberFormat="1" applyFont="1" applyFill="1" applyBorder="1" applyAlignment="1">
      <alignment horizontal="center" wrapText="1"/>
    </xf>
    <xf numFmtId="0" fontId="68" fillId="0" borderId="19" xfId="0" applyFont="1" applyBorder="1" applyAlignment="1">
      <alignment horizontal="center" wrapText="1"/>
    </xf>
    <xf numFmtId="12" fontId="68" fillId="0" borderId="19" xfId="0" applyNumberFormat="1" applyFont="1" applyBorder="1" applyAlignment="1">
      <alignment horizontal="center"/>
    </xf>
    <xf numFmtId="0" fontId="70" fillId="7" borderId="35" xfId="0" applyFont="1" applyFill="1" applyBorder="1" applyAlignment="1">
      <alignment horizontal="center"/>
    </xf>
    <xf numFmtId="0" fontId="70" fillId="7" borderId="13" xfId="0" applyFont="1" applyFill="1" applyBorder="1"/>
    <xf numFmtId="1" fontId="68" fillId="7" borderId="19" xfId="0" applyNumberFormat="1" applyFont="1" applyFill="1" applyBorder="1" applyAlignment="1">
      <alignment horizontal="center"/>
    </xf>
    <xf numFmtId="1" fontId="68" fillId="7" borderId="19" xfId="0" applyNumberFormat="1" applyFont="1" applyFill="1" applyBorder="1" applyAlignment="1">
      <alignment horizontal="center" wrapText="1"/>
    </xf>
    <xf numFmtId="0" fontId="68" fillId="0" borderId="13" xfId="0" applyFont="1" applyBorder="1" applyAlignment="1">
      <alignment horizontal="center"/>
    </xf>
    <xf numFmtId="0" fontId="68" fillId="7" borderId="13" xfId="0" applyFont="1" applyFill="1" applyBorder="1" applyAlignment="1">
      <alignment horizontal="center"/>
    </xf>
    <xf numFmtId="0" fontId="71" fillId="0" borderId="13" xfId="0" applyFont="1" applyBorder="1" applyAlignment="1">
      <alignment horizontal="center"/>
    </xf>
    <xf numFmtId="0" fontId="71" fillId="0" borderId="13" xfId="0" applyFont="1" applyBorder="1" applyAlignment="1">
      <alignment horizontal="center" vertical="center"/>
    </xf>
    <xf numFmtId="0" fontId="71" fillId="2" borderId="13" xfId="0" applyFont="1" applyFill="1" applyBorder="1"/>
    <xf numFmtId="0" fontId="68" fillId="0" borderId="13" xfId="0" applyFont="1" applyBorder="1" applyAlignment="1">
      <alignment horizontal="center" wrapText="1"/>
    </xf>
    <xf numFmtId="0" fontId="71" fillId="2" borderId="0" xfId="0" applyFont="1" applyFill="1" applyAlignment="1">
      <alignment horizontal="center"/>
    </xf>
    <xf numFmtId="0" fontId="71" fillId="2" borderId="0" xfId="0" applyFont="1" applyFill="1"/>
    <xf numFmtId="0" fontId="44" fillId="2" borderId="13" xfId="0" applyFont="1" applyFill="1" applyBorder="1" applyAlignment="1">
      <alignment horizontal="left"/>
    </xf>
    <xf numFmtId="0" fontId="68" fillId="0" borderId="19" xfId="0" applyFont="1" applyBorder="1" applyAlignment="1">
      <alignment horizontal="center"/>
    </xf>
    <xf numFmtId="0" fontId="71" fillId="2" borderId="13" xfId="0" applyFont="1" applyFill="1" applyBorder="1" applyAlignment="1">
      <alignment horizontal="left" vertical="center"/>
    </xf>
    <xf numFmtId="0" fontId="42" fillId="0" borderId="13" xfId="0" applyFont="1" applyBorder="1" applyAlignment="1">
      <alignment horizontal="center"/>
    </xf>
    <xf numFmtId="0" fontId="42" fillId="0" borderId="13" xfId="0" applyFont="1" applyBorder="1"/>
    <xf numFmtId="16" fontId="52" fillId="0" borderId="35" xfId="0" applyNumberFormat="1" applyFont="1" applyBorder="1" applyAlignment="1">
      <alignment horizontal="center"/>
    </xf>
    <xf numFmtId="1" fontId="52" fillId="0" borderId="13" xfId="0" applyNumberFormat="1" applyFont="1" applyBorder="1" applyAlignment="1">
      <alignment horizontal="center"/>
    </xf>
    <xf numFmtId="1" fontId="52" fillId="0" borderId="13" xfId="0" applyNumberFormat="1" applyFont="1" applyBorder="1" applyAlignment="1">
      <alignment horizontal="center" wrapText="1"/>
    </xf>
    <xf numFmtId="49" fontId="52" fillId="0" borderId="34" xfId="5" applyNumberFormat="1" applyFont="1" applyBorder="1" applyAlignment="1">
      <alignment horizontal="center"/>
    </xf>
    <xf numFmtId="49" fontId="52" fillId="0" borderId="35" xfId="5" applyNumberFormat="1" applyFont="1" applyBorder="1" applyAlignment="1">
      <alignment horizontal="center"/>
    </xf>
    <xf numFmtId="168" fontId="52" fillId="0" borderId="13" xfId="5" applyNumberFormat="1" applyFont="1" applyBorder="1" applyAlignment="1">
      <alignment horizontal="center"/>
    </xf>
    <xf numFmtId="1" fontId="52" fillId="0" borderId="13" xfId="5" applyNumberFormat="1" applyFont="1" applyBorder="1" applyAlignment="1">
      <alignment horizontal="center" wrapText="1"/>
    </xf>
    <xf numFmtId="0" fontId="70" fillId="7" borderId="28" xfId="0" applyFont="1" applyFill="1" applyBorder="1" applyAlignment="1">
      <alignment horizontal="center"/>
    </xf>
    <xf numFmtId="1" fontId="68" fillId="0" borderId="13" xfId="0" applyNumberFormat="1" applyFont="1" applyBorder="1" applyAlignment="1">
      <alignment horizontal="center"/>
    </xf>
    <xf numFmtId="1" fontId="68" fillId="7" borderId="13" xfId="5" applyNumberFormat="1" applyFont="1" applyFill="1" applyBorder="1" applyAlignment="1">
      <alignment horizontal="center"/>
    </xf>
    <xf numFmtId="1" fontId="68" fillId="7" borderId="13" xfId="5" applyNumberFormat="1" applyFont="1" applyFill="1" applyBorder="1" applyAlignment="1">
      <alignment horizontal="center" wrapText="1"/>
    </xf>
    <xf numFmtId="0" fontId="42" fillId="0" borderId="0" xfId="0" applyFont="1" applyAlignment="1">
      <alignment horizontal="center"/>
    </xf>
    <xf numFmtId="0" fontId="42" fillId="0" borderId="0" xfId="0" applyFont="1"/>
    <xf numFmtId="16" fontId="68" fillId="7" borderId="13" xfId="0" applyNumberFormat="1" applyFont="1" applyFill="1" applyBorder="1" applyAlignment="1">
      <alignment horizontal="center"/>
    </xf>
    <xf numFmtId="0" fontId="68" fillId="14" borderId="13" xfId="0" applyFont="1" applyFill="1" applyBorder="1" applyAlignment="1">
      <alignment horizontal="center"/>
    </xf>
    <xf numFmtId="1" fontId="68" fillId="0" borderId="19" xfId="0" applyNumberFormat="1" applyFont="1" applyBorder="1" applyAlignment="1">
      <alignment horizontal="center" wrapText="1"/>
    </xf>
    <xf numFmtId="16" fontId="68" fillId="0" borderId="13" xfId="0" applyNumberFormat="1" applyFont="1" applyBorder="1" applyAlignment="1">
      <alignment horizontal="center"/>
    </xf>
    <xf numFmtId="1" fontId="68" fillId="0" borderId="19" xfId="0" applyNumberFormat="1" applyFont="1" applyBorder="1" applyAlignment="1">
      <alignment horizontal="center"/>
    </xf>
    <xf numFmtId="1" fontId="68" fillId="0" borderId="13" xfId="0" applyNumberFormat="1" applyFont="1" applyBorder="1" applyAlignment="1">
      <alignment horizontal="center" wrapText="1"/>
    </xf>
    <xf numFmtId="49" fontId="54" fillId="0" borderId="37" xfId="5" applyNumberFormat="1" applyFont="1" applyBorder="1" applyAlignment="1">
      <alignment horizontal="center"/>
    </xf>
    <xf numFmtId="49" fontId="54" fillId="0" borderId="38" xfId="5" applyNumberFormat="1" applyFont="1" applyBorder="1" applyAlignment="1">
      <alignment horizontal="center"/>
    </xf>
    <xf numFmtId="0" fontId="54" fillId="0" borderId="35" xfId="5" applyFont="1" applyBorder="1" applyAlignment="1">
      <alignment horizontal="center"/>
    </xf>
    <xf numFmtId="168" fontId="54" fillId="0" borderId="13" xfId="5" applyNumberFormat="1" applyFont="1" applyBorder="1" applyAlignment="1">
      <alignment horizontal="center"/>
    </xf>
    <xf numFmtId="169" fontId="44" fillId="7" borderId="13" xfId="1" applyNumberFormat="1" applyFont="1" applyFill="1" applyBorder="1" applyAlignment="1">
      <alignment horizontal="center"/>
    </xf>
    <xf numFmtId="49" fontId="52" fillId="0" borderId="13" xfId="5" applyNumberFormat="1" applyFont="1" applyBorder="1" applyAlignment="1">
      <alignment horizontal="center"/>
    </xf>
    <xf numFmtId="49" fontId="52" fillId="0" borderId="13" xfId="5" applyNumberFormat="1" applyFont="1" applyBorder="1"/>
    <xf numFmtId="16" fontId="52" fillId="0" borderId="13" xfId="5" applyNumberFormat="1" applyFont="1" applyBorder="1" applyAlignment="1">
      <alignment horizontal="center"/>
    </xf>
    <xf numFmtId="1" fontId="68" fillId="0" borderId="19" xfId="5" applyNumberFormat="1" applyFont="1" applyBorder="1" applyAlignment="1">
      <alignment horizontal="center"/>
    </xf>
    <xf numFmtId="0" fontId="68" fillId="0" borderId="19" xfId="5" applyFont="1" applyBorder="1" applyAlignment="1">
      <alignment horizontal="center"/>
    </xf>
    <xf numFmtId="0" fontId="42" fillId="0" borderId="13" xfId="0" applyFont="1" applyBorder="1" applyAlignment="1">
      <alignment horizontal="center" vertical="center"/>
    </xf>
    <xf numFmtId="0" fontId="42" fillId="0" borderId="13" xfId="0" applyFont="1" applyBorder="1" applyAlignment="1">
      <alignment horizontal="left" vertical="center"/>
    </xf>
    <xf numFmtId="0" fontId="52" fillId="0" borderId="21" xfId="0" applyFont="1" applyBorder="1" applyAlignment="1">
      <alignment horizontal="center"/>
    </xf>
    <xf numFmtId="0" fontId="52" fillId="0" borderId="13" xfId="0" applyFont="1" applyBorder="1" applyAlignment="1">
      <alignment horizontal="center" wrapText="1"/>
    </xf>
    <xf numFmtId="1" fontId="42" fillId="0" borderId="13" xfId="0" applyNumberFormat="1" applyFont="1" applyBorder="1" applyAlignment="1">
      <alignment horizontal="left" vertical="center"/>
    </xf>
    <xf numFmtId="12" fontId="52" fillId="0" borderId="13" xfId="5" applyNumberFormat="1" applyFont="1" applyBorder="1" applyAlignment="1">
      <alignment horizontal="center"/>
    </xf>
    <xf numFmtId="0" fontId="52" fillId="7" borderId="34" xfId="0" applyFont="1" applyFill="1" applyBorder="1" applyAlignment="1">
      <alignment horizontal="center"/>
    </xf>
    <xf numFmtId="0" fontId="72" fillId="7" borderId="0" xfId="0" applyFont="1" applyFill="1" applyAlignment="1">
      <alignment horizontal="center"/>
    </xf>
    <xf numFmtId="1" fontId="52" fillId="7" borderId="13" xfId="0" applyNumberFormat="1" applyFont="1" applyFill="1" applyBorder="1"/>
    <xf numFmtId="0" fontId="52" fillId="7" borderId="13" xfId="0" applyFont="1" applyFill="1" applyBorder="1" applyAlignment="1">
      <alignment horizontal="center"/>
    </xf>
    <xf numFmtId="0" fontId="52" fillId="7" borderId="13" xfId="0" applyFont="1" applyFill="1" applyBorder="1" applyAlignment="1">
      <alignment horizontal="center" wrapText="1"/>
    </xf>
    <xf numFmtId="49" fontId="73" fillId="14" borderId="8" xfId="5" applyNumberFormat="1" applyFont="1" applyFill="1" applyBorder="1" applyAlignment="1">
      <alignment horizontal="center" vertical="center"/>
    </xf>
    <xf numFmtId="49" fontId="73" fillId="14" borderId="0" xfId="5" applyNumberFormat="1" applyFont="1" applyFill="1" applyAlignment="1">
      <alignment horizontal="center" vertical="center"/>
    </xf>
    <xf numFmtId="0" fontId="68" fillId="14" borderId="0" xfId="5" applyFont="1" applyFill="1"/>
    <xf numFmtId="1" fontId="68" fillId="14" borderId="0" xfId="5" applyNumberFormat="1" applyFont="1" applyFill="1" applyAlignment="1">
      <alignment horizontal="center"/>
    </xf>
    <xf numFmtId="170" fontId="68" fillId="14" borderId="0" xfId="5" applyNumberFormat="1" applyFont="1" applyFill="1" applyAlignment="1">
      <alignment horizontal="center" wrapText="1"/>
    </xf>
    <xf numFmtId="0" fontId="68" fillId="14" borderId="39" xfId="5" applyFont="1" applyFill="1" applyBorder="1" applyAlignment="1">
      <alignment horizontal="center"/>
    </xf>
    <xf numFmtId="0" fontId="68" fillId="15" borderId="40" xfId="5" applyFont="1" applyFill="1" applyBorder="1" applyAlignment="1">
      <alignment horizontal="center"/>
    </xf>
    <xf numFmtId="0" fontId="68" fillId="15" borderId="41" xfId="5" applyFont="1" applyFill="1" applyBorder="1" applyAlignment="1">
      <alignment horizontal="center"/>
    </xf>
    <xf numFmtId="0" fontId="68" fillId="15" borderId="41" xfId="5" applyFont="1" applyFill="1" applyBorder="1"/>
    <xf numFmtId="0" fontId="44" fillId="15" borderId="41" xfId="5" applyFont="1" applyFill="1" applyBorder="1" applyAlignment="1">
      <alignment horizontal="center"/>
    </xf>
    <xf numFmtId="1" fontId="44" fillId="15" borderId="41" xfId="5" applyNumberFormat="1" applyFont="1" applyFill="1" applyBorder="1" applyAlignment="1">
      <alignment horizontal="center"/>
    </xf>
    <xf numFmtId="170" fontId="68" fillId="15" borderId="41" xfId="5" applyNumberFormat="1" applyFont="1" applyFill="1" applyBorder="1" applyAlignment="1">
      <alignment horizontal="center" wrapText="1"/>
    </xf>
    <xf numFmtId="0" fontId="68" fillId="15" borderId="46" xfId="5" applyFont="1" applyFill="1" applyBorder="1" applyAlignment="1">
      <alignment horizontal="center"/>
    </xf>
    <xf numFmtId="0" fontId="68" fillId="0" borderId="27" xfId="0" applyFont="1" applyBorder="1" applyAlignment="1">
      <alignment horizontal="center"/>
    </xf>
    <xf numFmtId="1" fontId="68" fillId="0" borderId="32" xfId="0" applyNumberFormat="1" applyFont="1" applyBorder="1" applyAlignment="1">
      <alignment horizontal="center"/>
    </xf>
    <xf numFmtId="0" fontId="68" fillId="0" borderId="32" xfId="0" applyFont="1" applyBorder="1" applyAlignment="1">
      <alignment horizontal="center"/>
    </xf>
    <xf numFmtId="0" fontId="2" fillId="14" borderId="6" xfId="4" applyFont="1" applyFill="1" applyBorder="1" applyAlignment="1">
      <alignment horizontal="right"/>
    </xf>
    <xf numFmtId="0" fontId="1" fillId="14" borderId="7" xfId="4" applyFont="1" applyFill="1" applyBorder="1" applyAlignment="1">
      <alignment horizontal="center"/>
    </xf>
    <xf numFmtId="0" fontId="2" fillId="14" borderId="13" xfId="4" applyFont="1" applyFill="1" applyBorder="1" applyAlignment="1">
      <alignment horizontal="right"/>
    </xf>
    <xf numFmtId="49" fontId="1" fillId="14" borderId="14" xfId="4" applyNumberFormat="1" applyFont="1" applyFill="1" applyBorder="1" applyAlignment="1">
      <alignment horizontal="center"/>
    </xf>
    <xf numFmtId="0" fontId="1" fillId="14" borderId="19" xfId="4" applyFont="1" applyFill="1" applyBorder="1" applyAlignment="1">
      <alignment horizontal="right"/>
    </xf>
    <xf numFmtId="0" fontId="1" fillId="14" borderId="13" xfId="4" applyFont="1" applyFill="1" applyBorder="1" applyAlignment="1">
      <alignment horizontal="right"/>
    </xf>
    <xf numFmtId="14" fontId="5" fillId="14" borderId="0" xfId="4" applyNumberFormat="1" applyFont="1" applyFill="1" applyAlignment="1">
      <alignment horizontal="center" vertical="center" wrapText="1"/>
    </xf>
    <xf numFmtId="0" fontId="2" fillId="15" borderId="7" xfId="5" applyFont="1" applyFill="1" applyBorder="1" applyAlignment="1">
      <alignment horizontal="center" vertical="center" wrapText="1"/>
    </xf>
    <xf numFmtId="1" fontId="2" fillId="15" borderId="32" xfId="5" applyNumberFormat="1" applyFont="1" applyFill="1" applyBorder="1" applyAlignment="1">
      <alignment horizontal="center"/>
    </xf>
    <xf numFmtId="1" fontId="2" fillId="15" borderId="32" xfId="5" applyNumberFormat="1" applyFont="1" applyFill="1" applyBorder="1" applyAlignment="1">
      <alignment horizontal="center" wrapText="1"/>
    </xf>
    <xf numFmtId="0" fontId="2" fillId="15" borderId="33" xfId="5" applyFont="1" applyFill="1" applyBorder="1" applyAlignment="1">
      <alignment horizontal="center"/>
    </xf>
    <xf numFmtId="1" fontId="0" fillId="0" borderId="0" xfId="0" applyNumberFormat="1"/>
    <xf numFmtId="0" fontId="75" fillId="0" borderId="34" xfId="5" applyFont="1" applyBorder="1" applyAlignment="1">
      <alignment horizontal="center" vertical="center"/>
    </xf>
    <xf numFmtId="0" fontId="75" fillId="0" borderId="35" xfId="5" applyFont="1" applyBorder="1" applyAlignment="1">
      <alignment horizontal="center" vertical="center"/>
    </xf>
    <xf numFmtId="0" fontId="76" fillId="0" borderId="13" xfId="5" applyFont="1" applyBorder="1" applyAlignment="1">
      <alignment vertical="center"/>
    </xf>
    <xf numFmtId="0" fontId="75" fillId="0" borderId="13" xfId="5" applyFont="1" applyBorder="1" applyAlignment="1">
      <alignment horizontal="center" vertical="center"/>
    </xf>
    <xf numFmtId="1" fontId="75" fillId="0" borderId="13" xfId="5" applyNumberFormat="1" applyFont="1" applyBorder="1" applyAlignment="1">
      <alignment horizontal="center"/>
    </xf>
    <xf numFmtId="1" fontId="75" fillId="0" borderId="13" xfId="5" applyNumberFormat="1" applyFont="1" applyBorder="1" applyAlignment="1">
      <alignment horizontal="center" wrapText="1"/>
    </xf>
    <xf numFmtId="0" fontId="77" fillId="0" borderId="14" xfId="5" applyFont="1" applyBorder="1" applyAlignment="1">
      <alignment horizontal="center"/>
    </xf>
    <xf numFmtId="1" fontId="78" fillId="0" borderId="13" xfId="0" applyNumberFormat="1" applyFont="1" applyBorder="1"/>
    <xf numFmtId="0" fontId="78" fillId="0" borderId="13" xfId="0" applyFont="1" applyBorder="1" applyAlignment="1">
      <alignment horizontal="center"/>
    </xf>
    <xf numFmtId="0" fontId="78" fillId="0" borderId="13" xfId="0" applyFont="1" applyBorder="1"/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2" fontId="1" fillId="0" borderId="19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78" fillId="0" borderId="35" xfId="0" applyFont="1" applyBorder="1" applyAlignment="1">
      <alignment horizontal="center"/>
    </xf>
    <xf numFmtId="0" fontId="77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77" fillId="0" borderId="34" xfId="5" applyNumberFormat="1" applyFont="1" applyBorder="1" applyAlignment="1">
      <alignment horizontal="center"/>
    </xf>
    <xf numFmtId="49" fontId="77" fillId="0" borderId="35" xfId="5" applyNumberFormat="1" applyFont="1" applyBorder="1" applyAlignment="1">
      <alignment horizontal="center"/>
    </xf>
    <xf numFmtId="0" fontId="75" fillId="7" borderId="13" xfId="5" applyFont="1" applyFill="1" applyBorder="1" applyAlignment="1">
      <alignment horizontal="left"/>
    </xf>
    <xf numFmtId="0" fontId="1" fillId="7" borderId="13" xfId="5" applyFont="1" applyFill="1" applyBorder="1" applyAlignment="1">
      <alignment horizontal="center"/>
    </xf>
    <xf numFmtId="1" fontId="78" fillId="0" borderId="35" xfId="0" applyNumberFormat="1" applyFont="1" applyBorder="1"/>
    <xf numFmtId="0" fontId="77" fillId="0" borderId="13" xfId="5" applyFont="1" applyBorder="1" applyAlignment="1">
      <alignment horizontal="center"/>
    </xf>
    <xf numFmtId="168" fontId="77" fillId="0" borderId="13" xfId="5" applyNumberFormat="1" applyFont="1" applyBorder="1" applyAlignment="1">
      <alignment horizontal="center"/>
    </xf>
    <xf numFmtId="1" fontId="77" fillId="0" borderId="13" xfId="5" applyNumberFormat="1" applyFont="1" applyBorder="1" applyAlignment="1">
      <alignment horizontal="center" wrapText="1"/>
    </xf>
    <xf numFmtId="0" fontId="79" fillId="7" borderId="34" xfId="0" applyFont="1" applyFill="1" applyBorder="1" applyAlignment="1">
      <alignment horizontal="center"/>
    </xf>
    <xf numFmtId="0" fontId="79" fillId="7" borderId="28" xfId="0" applyFont="1" applyFill="1" applyBorder="1" applyAlignment="1">
      <alignment horizontal="center"/>
    </xf>
    <xf numFmtId="0" fontId="79" fillId="7" borderId="19" xfId="0" applyFont="1" applyFill="1" applyBorder="1"/>
    <xf numFmtId="0" fontId="1" fillId="7" borderId="35" xfId="0" applyFont="1" applyFill="1" applyBorder="1" applyAlignment="1">
      <alignment horizontal="center"/>
    </xf>
    <xf numFmtId="1" fontId="1" fillId="7" borderId="19" xfId="0" applyNumberFormat="1" applyFont="1" applyFill="1" applyBorder="1" applyAlignment="1">
      <alignment horizontal="center"/>
    </xf>
    <xf numFmtId="1" fontId="1" fillId="7" borderId="19" xfId="0" applyNumberFormat="1" applyFont="1" applyFill="1" applyBorder="1" applyAlignment="1">
      <alignment horizontal="center" wrapText="1"/>
    </xf>
    <xf numFmtId="16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 wrapText="1"/>
    </xf>
    <xf numFmtId="49" fontId="75" fillId="0" borderId="37" xfId="5" applyNumberFormat="1" applyFont="1" applyBorder="1" applyAlignment="1">
      <alignment horizontal="center"/>
    </xf>
    <xf numFmtId="49" fontId="75" fillId="0" borderId="38" xfId="5" applyNumberFormat="1" applyFont="1" applyBorder="1" applyAlignment="1">
      <alignment horizontal="center"/>
    </xf>
    <xf numFmtId="0" fontId="76" fillId="7" borderId="13" xfId="5" applyFont="1" applyFill="1" applyBorder="1" applyAlignment="1">
      <alignment vertical="center"/>
    </xf>
    <xf numFmtId="0" fontId="75" fillId="0" borderId="35" xfId="5" applyFont="1" applyBorder="1" applyAlignment="1">
      <alignment horizontal="center"/>
    </xf>
    <xf numFmtId="168" fontId="75" fillId="0" borderId="13" xfId="5" applyNumberFormat="1" applyFont="1" applyBorder="1" applyAlignment="1">
      <alignment horizontal="center"/>
    </xf>
    <xf numFmtId="49" fontId="77" fillId="0" borderId="34" xfId="0" applyNumberFormat="1" applyFont="1" applyBorder="1" applyAlignment="1">
      <alignment horizontal="center"/>
    </xf>
    <xf numFmtId="49" fontId="77" fillId="0" borderId="35" xfId="0" applyNumberFormat="1" applyFont="1" applyBorder="1" applyAlignment="1">
      <alignment horizontal="center"/>
    </xf>
    <xf numFmtId="49" fontId="75" fillId="0" borderId="13" xfId="0" applyNumberFormat="1" applyFont="1" applyBorder="1"/>
    <xf numFmtId="1" fontId="77" fillId="0" borderId="13" xfId="0" applyNumberFormat="1" applyFont="1" applyBorder="1" applyAlignment="1">
      <alignment horizontal="center"/>
    </xf>
    <xf numFmtId="1" fontId="77" fillId="0" borderId="13" xfId="0" applyNumberFormat="1" applyFont="1" applyBorder="1" applyAlignment="1">
      <alignment horizontal="center" wrapText="1"/>
    </xf>
    <xf numFmtId="169" fontId="2" fillId="7" borderId="13" xfId="1" applyNumberFormat="1" applyFont="1" applyFill="1" applyBorder="1" applyAlignment="1">
      <alignment horizontal="center"/>
    </xf>
    <xf numFmtId="0" fontId="80" fillId="0" borderId="34" xfId="0" applyFont="1" applyBorder="1" applyAlignment="1">
      <alignment horizontal="center"/>
    </xf>
    <xf numFmtId="0" fontId="80" fillId="0" borderId="35" xfId="0" applyFont="1" applyBorder="1" applyAlignment="1">
      <alignment horizontal="center"/>
    </xf>
    <xf numFmtId="0" fontId="80" fillId="0" borderId="13" xfId="0" applyFont="1" applyBorder="1"/>
    <xf numFmtId="0" fontId="78" fillId="0" borderId="13" xfId="0" applyFont="1" applyBorder="1" applyAlignment="1">
      <alignment horizontal="center" vertical="center"/>
    </xf>
    <xf numFmtId="0" fontId="78" fillId="0" borderId="13" xfId="0" applyFont="1" applyBorder="1" applyAlignment="1">
      <alignment horizontal="left" vertical="center"/>
    </xf>
    <xf numFmtId="12" fontId="77" fillId="0" borderId="13" xfId="5" applyNumberFormat="1" applyFont="1" applyBorder="1" applyAlignment="1">
      <alignment horizontal="center"/>
    </xf>
    <xf numFmtId="1" fontId="77" fillId="0" borderId="13" xfId="5" applyNumberFormat="1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0" fontId="1" fillId="0" borderId="13" xfId="0" quotePrefix="1" applyFont="1" applyBorder="1"/>
    <xf numFmtId="49" fontId="81" fillId="14" borderId="8" xfId="5" applyNumberFormat="1" applyFont="1" applyFill="1" applyBorder="1" applyAlignment="1">
      <alignment horizontal="center" vertical="center"/>
    </xf>
    <xf numFmtId="49" fontId="81" fillId="14" borderId="0" xfId="5" applyNumberFormat="1" applyFont="1" applyFill="1" applyAlignment="1">
      <alignment horizontal="center" vertical="center"/>
    </xf>
    <xf numFmtId="0" fontId="1" fillId="14" borderId="0" xfId="5" applyFont="1" applyFill="1"/>
    <xf numFmtId="1" fontId="1" fillId="14" borderId="0" xfId="5" applyNumberFormat="1" applyFont="1" applyFill="1" applyAlignment="1">
      <alignment horizontal="center"/>
    </xf>
    <xf numFmtId="170" fontId="1" fillId="14" borderId="0" xfId="5" applyNumberFormat="1" applyFont="1" applyFill="1" applyAlignment="1">
      <alignment horizontal="center" wrapText="1"/>
    </xf>
    <xf numFmtId="0" fontId="1" fillId="14" borderId="39" xfId="5" applyFont="1" applyFill="1" applyBorder="1" applyAlignment="1">
      <alignment horizontal="center"/>
    </xf>
    <xf numFmtId="0" fontId="1" fillId="15" borderId="40" xfId="5" applyFont="1" applyFill="1" applyBorder="1" applyAlignment="1">
      <alignment horizontal="center"/>
    </xf>
    <xf numFmtId="0" fontId="1" fillId="15" borderId="41" xfId="5" applyFont="1" applyFill="1" applyBorder="1" applyAlignment="1">
      <alignment horizontal="center"/>
    </xf>
    <xf numFmtId="0" fontId="1" fillId="15" borderId="41" xfId="5" applyFont="1" applyFill="1" applyBorder="1"/>
    <xf numFmtId="0" fontId="2" fillId="15" borderId="41" xfId="5" applyFont="1" applyFill="1" applyBorder="1" applyAlignment="1">
      <alignment horizontal="center"/>
    </xf>
    <xf numFmtId="1" fontId="2" fillId="15" borderId="41" xfId="5" applyNumberFormat="1" applyFont="1" applyFill="1" applyBorder="1" applyAlignment="1">
      <alignment horizontal="center"/>
    </xf>
    <xf numFmtId="170" fontId="1" fillId="15" borderId="41" xfId="5" applyNumberFormat="1" applyFont="1" applyFill="1" applyBorder="1" applyAlignment="1">
      <alignment horizontal="center" wrapText="1"/>
    </xf>
    <xf numFmtId="0" fontId="1" fillId="15" borderId="46" xfId="5" applyFont="1" applyFill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" fontId="1" fillId="0" borderId="32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0" fillId="0" borderId="13" xfId="0" applyFont="1" applyBorder="1"/>
    <xf numFmtId="0" fontId="1" fillId="2" borderId="13" xfId="0" applyFont="1" applyFill="1" applyBorder="1" applyAlignment="1">
      <alignment horizontal="center"/>
    </xf>
    <xf numFmtId="14" fontId="1" fillId="2" borderId="1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0" fontId="6" fillId="0" borderId="36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4" fillId="2" borderId="13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/>
    </xf>
    <xf numFmtId="0" fontId="4" fillId="2" borderId="13" xfId="0" applyFont="1" applyFill="1" applyBorder="1"/>
    <xf numFmtId="0" fontId="2" fillId="4" borderId="24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8" fillId="2" borderId="13" xfId="0" applyFont="1" applyFill="1" applyBorder="1" applyAlignment="1">
      <alignment horizontal="center"/>
    </xf>
    <xf numFmtId="0" fontId="6" fillId="0" borderId="37" xfId="0" applyFont="1" applyBorder="1" applyAlignment="1">
      <alignment horizontal="right"/>
    </xf>
    <xf numFmtId="0" fontId="6" fillId="0" borderId="38" xfId="0" applyFont="1" applyBorder="1" applyAlignment="1">
      <alignment horizontal="right"/>
    </xf>
    <xf numFmtId="0" fontId="6" fillId="0" borderId="35" xfId="0" applyFont="1" applyBorder="1" applyAlignment="1">
      <alignment horizontal="right"/>
    </xf>
    <xf numFmtId="0" fontId="8" fillId="0" borderId="36" xfId="0" applyFont="1" applyBorder="1" applyAlignment="1">
      <alignment horizontal="right"/>
    </xf>
    <xf numFmtId="0" fontId="8" fillId="0" borderId="35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8" fillId="0" borderId="36" xfId="0" applyFont="1" applyBorder="1" applyAlignment="1">
      <alignment horizontal="right" wrapText="1"/>
    </xf>
    <xf numFmtId="0" fontId="8" fillId="0" borderId="35" xfId="0" applyFont="1" applyBorder="1" applyAlignment="1">
      <alignment horizontal="right" wrapText="1"/>
    </xf>
    <xf numFmtId="0" fontId="8" fillId="0" borderId="13" xfId="0" applyFont="1" applyBorder="1" applyAlignment="1">
      <alignment horizontal="center" wrapText="1"/>
    </xf>
    <xf numFmtId="0" fontId="6" fillId="0" borderId="44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8" fillId="0" borderId="22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0" fontId="8" fillId="0" borderId="21" xfId="0" applyFont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21" fillId="0" borderId="0" xfId="0" applyFont="1" applyAlignment="1">
      <alignment horizontal="center" vertical="center"/>
    </xf>
    <xf numFmtId="0" fontId="38" fillId="0" borderId="40" xfId="0" applyFont="1" applyBorder="1" applyAlignment="1">
      <alignment horizontal="right" vertical="center"/>
    </xf>
    <xf numFmtId="0" fontId="38" fillId="0" borderId="41" xfId="0" applyFont="1" applyBorder="1" applyAlignment="1">
      <alignment horizontal="right" vertical="center"/>
    </xf>
    <xf numFmtId="0" fontId="38" fillId="0" borderId="46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29" fillId="0" borderId="45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7" fillId="9" borderId="40" xfId="0" applyFont="1" applyFill="1" applyBorder="1" applyAlignment="1">
      <alignment horizontal="right"/>
    </xf>
    <xf numFmtId="0" fontId="27" fillId="9" borderId="41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3" fillId="0" borderId="45" xfId="0" applyFont="1" applyBorder="1" applyAlignment="1">
      <alignment horizontal="right" vertical="center"/>
    </xf>
    <xf numFmtId="0" fontId="13" fillId="0" borderId="53" xfId="0" applyFont="1" applyBorder="1" applyAlignment="1">
      <alignment horizontal="right" vertical="center"/>
    </xf>
    <xf numFmtId="0" fontId="13" fillId="12" borderId="40" xfId="0" applyFont="1" applyFill="1" applyBorder="1" applyAlignment="1">
      <alignment horizontal="right" vertical="center"/>
    </xf>
    <xf numFmtId="0" fontId="13" fillId="12" borderId="41" xfId="0" applyFont="1" applyFill="1" applyBorder="1" applyAlignment="1">
      <alignment horizontal="right" vertical="center"/>
    </xf>
    <xf numFmtId="0" fontId="13" fillId="12" borderId="46" xfId="0" applyFont="1" applyFill="1" applyBorder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  <xf numFmtId="0" fontId="30" fillId="0" borderId="13" xfId="0" applyFont="1" applyBorder="1" applyAlignment="1">
      <alignment horizontal="right" vertical="center"/>
    </xf>
    <xf numFmtId="0" fontId="31" fillId="0" borderId="8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39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2" fillId="0" borderId="1" xfId="0" applyFont="1" applyBorder="1" applyAlignment="1">
      <alignment horizontal="right"/>
    </xf>
    <xf numFmtId="0" fontId="22" fillId="0" borderId="16" xfId="0" applyFont="1" applyBorder="1" applyAlignment="1">
      <alignment horizontal="right"/>
    </xf>
    <xf numFmtId="0" fontId="12" fillId="0" borderId="13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16" fillId="0" borderId="45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right" vertical="center" wrapText="1"/>
    </xf>
    <xf numFmtId="14" fontId="43" fillId="14" borderId="18" xfId="4" applyNumberFormat="1" applyFont="1" applyFill="1" applyBorder="1" applyAlignment="1">
      <alignment horizontal="center" vertical="center" wrapText="1"/>
    </xf>
    <xf numFmtId="14" fontId="43" fillId="14" borderId="20" xfId="4" applyNumberFormat="1" applyFont="1" applyFill="1" applyBorder="1" applyAlignment="1">
      <alignment horizontal="center" vertical="center" wrapText="1"/>
    </xf>
    <xf numFmtId="14" fontId="43" fillId="14" borderId="29" xfId="4" applyNumberFormat="1" applyFont="1" applyFill="1" applyBorder="1" applyAlignment="1">
      <alignment horizontal="center" vertical="center" wrapText="1"/>
    </xf>
    <xf numFmtId="0" fontId="43" fillId="14" borderId="3" xfId="4" applyFont="1" applyFill="1" applyBorder="1" applyAlignment="1">
      <alignment horizontal="left"/>
    </xf>
    <xf numFmtId="0" fontId="43" fillId="14" borderId="4" xfId="4" applyFont="1" applyFill="1" applyBorder="1" applyAlignment="1">
      <alignment horizontal="left"/>
    </xf>
    <xf numFmtId="0" fontId="43" fillId="14" borderId="5" xfId="4" applyFont="1" applyFill="1" applyBorder="1" applyAlignment="1">
      <alignment horizontal="left"/>
    </xf>
    <xf numFmtId="0" fontId="43" fillId="14" borderId="36" xfId="4" applyFont="1" applyFill="1" applyBorder="1" applyAlignment="1">
      <alignment horizontal="left"/>
    </xf>
    <xf numFmtId="0" fontId="43" fillId="14" borderId="38" xfId="4" applyFont="1" applyFill="1" applyBorder="1" applyAlignment="1">
      <alignment horizontal="left"/>
    </xf>
    <xf numFmtId="0" fontId="43" fillId="14" borderId="35" xfId="4" applyFont="1" applyFill="1" applyBorder="1" applyAlignment="1">
      <alignment horizontal="left"/>
    </xf>
    <xf numFmtId="0" fontId="43" fillId="14" borderId="1" xfId="4" applyFont="1" applyFill="1" applyBorder="1" applyAlignment="1">
      <alignment horizontal="center"/>
    </xf>
    <xf numFmtId="0" fontId="43" fillId="14" borderId="16" xfId="4" applyFont="1" applyFill="1" applyBorder="1" applyAlignment="1">
      <alignment horizontal="center"/>
    </xf>
    <xf numFmtId="0" fontId="43" fillId="14" borderId="8" xfId="4" applyFont="1" applyFill="1" applyBorder="1" applyAlignment="1">
      <alignment horizontal="center"/>
    </xf>
    <xf numFmtId="0" fontId="43" fillId="14" borderId="0" xfId="4" applyFont="1" applyFill="1" applyAlignment="1">
      <alignment horizontal="center"/>
    </xf>
    <xf numFmtId="0" fontId="43" fillId="14" borderId="54" xfId="4" applyFont="1" applyFill="1" applyBorder="1" applyAlignment="1">
      <alignment horizontal="center"/>
    </xf>
    <xf numFmtId="0" fontId="43" fillId="14" borderId="55" xfId="4" applyFont="1" applyFill="1" applyBorder="1" applyAlignment="1">
      <alignment horizontal="center"/>
    </xf>
    <xf numFmtId="0" fontId="44" fillId="14" borderId="6" xfId="4" applyFont="1" applyFill="1" applyBorder="1" applyAlignment="1">
      <alignment horizontal="center"/>
    </xf>
    <xf numFmtId="0" fontId="44" fillId="14" borderId="10" xfId="4" applyFont="1" applyFill="1" applyBorder="1" applyAlignment="1">
      <alignment horizontal="center"/>
    </xf>
    <xf numFmtId="0" fontId="44" fillId="14" borderId="11" xfId="4" applyFont="1" applyFill="1" applyBorder="1" applyAlignment="1">
      <alignment horizontal="center"/>
    </xf>
    <xf numFmtId="0" fontId="44" fillId="14" borderId="12" xfId="4" applyFont="1" applyFill="1" applyBorder="1" applyAlignment="1">
      <alignment horizontal="center"/>
    </xf>
    <xf numFmtId="0" fontId="61" fillId="10" borderId="40" xfId="4" applyFont="1" applyFill="1" applyBorder="1" applyAlignment="1">
      <alignment horizontal="center" vertical="center" wrapText="1"/>
    </xf>
    <xf numFmtId="0" fontId="61" fillId="10" borderId="41" xfId="4" applyFont="1" applyFill="1" applyBorder="1" applyAlignment="1">
      <alignment horizontal="center" vertical="center" wrapText="1"/>
    </xf>
    <xf numFmtId="0" fontId="61" fillId="10" borderId="46" xfId="4" applyFont="1" applyFill="1" applyBorder="1" applyAlignment="1">
      <alignment horizontal="center" vertical="center" wrapText="1"/>
    </xf>
    <xf numFmtId="0" fontId="45" fillId="14" borderId="17" xfId="4" applyFont="1" applyFill="1" applyBorder="1" applyAlignment="1">
      <alignment horizontal="right" vertical="top" wrapText="1"/>
    </xf>
    <xf numFmtId="0" fontId="45" fillId="14" borderId="9" xfId="4" applyFont="1" applyFill="1" applyBorder="1" applyAlignment="1">
      <alignment horizontal="right" vertical="top" wrapText="1"/>
    </xf>
    <xf numFmtId="0" fontId="45" fillId="14" borderId="56" xfId="4" applyFont="1" applyFill="1" applyBorder="1" applyAlignment="1">
      <alignment horizontal="right" vertical="top" wrapText="1"/>
    </xf>
    <xf numFmtId="0" fontId="4" fillId="14" borderId="0" xfId="4" applyFont="1" applyFill="1" applyAlignment="1">
      <alignment horizontal="right"/>
    </xf>
    <xf numFmtId="0" fontId="62" fillId="14" borderId="45" xfId="4" applyFont="1" applyFill="1" applyBorder="1" applyAlignment="1">
      <alignment horizontal="center"/>
    </xf>
    <xf numFmtId="0" fontId="4" fillId="14" borderId="0" xfId="4" applyFont="1" applyFill="1"/>
    <xf numFmtId="0" fontId="45" fillId="15" borderId="57" xfId="5" applyFont="1" applyFill="1" applyBorder="1" applyAlignment="1">
      <alignment horizontal="center" vertical="center"/>
    </xf>
    <xf numFmtId="0" fontId="45" fillId="15" borderId="64" xfId="5" applyFont="1" applyFill="1" applyBorder="1" applyAlignment="1">
      <alignment horizontal="center" vertical="center"/>
    </xf>
    <xf numFmtId="0" fontId="45" fillId="15" borderId="57" xfId="5" applyFont="1" applyFill="1" applyBorder="1" applyAlignment="1">
      <alignment horizontal="center" vertical="center" wrapText="1"/>
    </xf>
    <xf numFmtId="0" fontId="45" fillId="15" borderId="64" xfId="5" applyFont="1" applyFill="1" applyBorder="1" applyAlignment="1">
      <alignment horizontal="center" vertical="center" wrapText="1"/>
    </xf>
    <xf numFmtId="0" fontId="45" fillId="15" borderId="6" xfId="5" applyFont="1" applyFill="1" applyBorder="1" applyAlignment="1">
      <alignment horizontal="center" vertical="center"/>
    </xf>
    <xf numFmtId="0" fontId="45" fillId="15" borderId="21" xfId="5" applyFont="1" applyFill="1" applyBorder="1" applyAlignment="1">
      <alignment horizontal="center" vertical="center"/>
    </xf>
    <xf numFmtId="0" fontId="6" fillId="0" borderId="54" xfId="5" applyFont="1" applyBorder="1" applyAlignment="1">
      <alignment horizontal="right"/>
    </xf>
    <xf numFmtId="0" fontId="6" fillId="0" borderId="55" xfId="5" applyFont="1" applyBorder="1" applyAlignment="1">
      <alignment horizontal="right"/>
    </xf>
    <xf numFmtId="0" fontId="6" fillId="0" borderId="28" xfId="5" applyFont="1" applyBorder="1" applyAlignment="1">
      <alignment horizontal="right"/>
    </xf>
    <xf numFmtId="170" fontId="8" fillId="0" borderId="19" xfId="5" applyNumberFormat="1" applyFont="1" applyBorder="1" applyAlignment="1">
      <alignment horizontal="right"/>
    </xf>
    <xf numFmtId="0" fontId="8" fillId="14" borderId="27" xfId="5" applyFont="1" applyFill="1" applyBorder="1" applyAlignment="1">
      <alignment horizontal="center"/>
    </xf>
    <xf numFmtId="0" fontId="8" fillId="14" borderId="61" xfId="5" applyFont="1" applyFill="1" applyBorder="1" applyAlignment="1">
      <alignment horizontal="center"/>
    </xf>
    <xf numFmtId="0" fontId="6" fillId="0" borderId="37" xfId="5" applyFont="1" applyBorder="1" applyAlignment="1">
      <alignment horizontal="right"/>
    </xf>
    <xf numFmtId="0" fontId="6" fillId="0" borderId="38" xfId="5" applyFont="1" applyBorder="1" applyAlignment="1">
      <alignment horizontal="right"/>
    </xf>
    <xf numFmtId="0" fontId="6" fillId="0" borderId="35" xfId="5" applyFont="1" applyBorder="1" applyAlignment="1">
      <alignment horizontal="right"/>
    </xf>
    <xf numFmtId="0" fontId="8" fillId="0" borderId="13" xfId="5" applyFont="1" applyBorder="1" applyAlignment="1">
      <alignment horizontal="right"/>
    </xf>
    <xf numFmtId="170" fontId="8" fillId="0" borderId="36" xfId="5" applyNumberFormat="1" applyFont="1" applyBorder="1" applyAlignment="1">
      <alignment horizontal="center"/>
    </xf>
    <xf numFmtId="170" fontId="8" fillId="0" borderId="62" xfId="5" applyNumberFormat="1" applyFont="1" applyBorder="1" applyAlignment="1">
      <alignment horizontal="center"/>
    </xf>
    <xf numFmtId="0" fontId="8" fillId="0" borderId="54" xfId="0" applyFont="1" applyBorder="1" applyAlignment="1">
      <alignment horizontal="left"/>
    </xf>
    <xf numFmtId="0" fontId="8" fillId="0" borderId="55" xfId="0" applyFont="1" applyBorder="1" applyAlignment="1">
      <alignment horizontal="left"/>
    </xf>
    <xf numFmtId="0" fontId="8" fillId="0" borderId="61" xfId="0" applyFont="1" applyBorder="1" applyAlignment="1">
      <alignment horizontal="left"/>
    </xf>
    <xf numFmtId="170" fontId="8" fillId="0" borderId="36" xfId="5" applyNumberFormat="1" applyFont="1" applyBorder="1" applyAlignment="1">
      <alignment horizontal="right" wrapText="1"/>
    </xf>
    <xf numFmtId="170" fontId="8" fillId="0" borderId="35" xfId="5" applyNumberFormat="1" applyFont="1" applyBorder="1" applyAlignment="1">
      <alignment horizontal="right" wrapText="1"/>
    </xf>
    <xf numFmtId="0" fontId="6" fillId="0" borderId="58" xfId="5" applyFont="1" applyBorder="1" applyAlignment="1">
      <alignment horizontal="right"/>
    </xf>
    <xf numFmtId="0" fontId="6" fillId="0" borderId="12" xfId="5" applyFont="1" applyBorder="1" applyAlignment="1">
      <alignment horizontal="right"/>
    </xf>
    <xf numFmtId="0" fontId="6" fillId="0" borderId="32" xfId="5" applyFont="1" applyBorder="1" applyAlignment="1">
      <alignment horizontal="right"/>
    </xf>
    <xf numFmtId="0" fontId="8" fillId="0" borderId="32" xfId="5" applyFont="1" applyBorder="1" applyAlignment="1">
      <alignment horizontal="right"/>
    </xf>
    <xf numFmtId="170" fontId="8" fillId="0" borderId="10" xfId="5" applyNumberFormat="1" applyFont="1" applyBorder="1" applyAlignment="1">
      <alignment horizontal="center"/>
    </xf>
    <xf numFmtId="170" fontId="8" fillId="0" borderId="65" xfId="5" applyNumberFormat="1" applyFont="1" applyBorder="1" applyAlignment="1">
      <alignment horizontal="center"/>
    </xf>
    <xf numFmtId="0" fontId="6" fillId="15" borderId="40" xfId="5" applyFont="1" applyFill="1" applyBorder="1" applyAlignment="1">
      <alignment horizontal="center"/>
    </xf>
    <xf numFmtId="0" fontId="6" fillId="15" borderId="41" xfId="5" applyFont="1" applyFill="1" applyBorder="1" applyAlignment="1">
      <alignment horizontal="center"/>
    </xf>
    <xf numFmtId="0" fontId="6" fillId="15" borderId="46" xfId="5" applyFont="1" applyFill="1" applyBorder="1" applyAlignment="1">
      <alignment horizontal="center"/>
    </xf>
    <xf numFmtId="0" fontId="8" fillId="0" borderId="43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66" xfId="0" applyFont="1" applyBorder="1" applyAlignment="1">
      <alignment horizontal="left" wrapText="1"/>
    </xf>
    <xf numFmtId="0" fontId="8" fillId="0" borderId="44" xfId="5" applyFont="1" applyBorder="1" applyAlignment="1">
      <alignment horizontal="left"/>
    </xf>
    <xf numFmtId="0" fontId="8" fillId="0" borderId="23" xfId="5" applyFont="1" applyBorder="1" applyAlignment="1">
      <alignment horizontal="left"/>
    </xf>
    <xf numFmtId="0" fontId="8" fillId="0" borderId="67" xfId="5" applyFont="1" applyBorder="1" applyAlignment="1">
      <alignment horizontal="left"/>
    </xf>
    <xf numFmtId="0" fontId="6" fillId="16" borderId="13" xfId="4" applyFont="1" applyFill="1" applyBorder="1" applyAlignment="1">
      <alignment horizontal="center"/>
    </xf>
    <xf numFmtId="0" fontId="8" fillId="14" borderId="13" xfId="4" applyFont="1" applyFill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38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6" fillId="0" borderId="54" xfId="5" applyFont="1" applyBorder="1" applyAlignment="1">
      <alignment horizontal="left" wrapText="1"/>
    </xf>
    <xf numFmtId="0" fontId="6" fillId="0" borderId="55" xfId="5" applyFont="1" applyBorder="1" applyAlignment="1">
      <alignment horizontal="left" wrapText="1"/>
    </xf>
    <xf numFmtId="0" fontId="6" fillId="0" borderId="61" xfId="5" applyFont="1" applyBorder="1" applyAlignment="1">
      <alignment horizontal="left" wrapText="1"/>
    </xf>
    <xf numFmtId="0" fontId="8" fillId="0" borderId="37" xfId="5" applyFont="1" applyBorder="1" applyAlignment="1">
      <alignment horizontal="left" wrapText="1"/>
    </xf>
    <xf numFmtId="0" fontId="8" fillId="0" borderId="38" xfId="5" applyFont="1" applyBorder="1" applyAlignment="1">
      <alignment horizontal="left" wrapText="1"/>
    </xf>
    <xf numFmtId="0" fontId="8" fillId="0" borderId="62" xfId="5" applyFont="1" applyBorder="1" applyAlignment="1">
      <alignment horizontal="left" wrapText="1"/>
    </xf>
    <xf numFmtId="0" fontId="2" fillId="10" borderId="40" xfId="4" applyFont="1" applyFill="1" applyBorder="1" applyAlignment="1">
      <alignment horizontal="center" vertical="center" wrapText="1"/>
    </xf>
    <xf numFmtId="0" fontId="2" fillId="10" borderId="41" xfId="4" applyFont="1" applyFill="1" applyBorder="1" applyAlignment="1">
      <alignment horizontal="center" vertical="center" wrapText="1"/>
    </xf>
    <xf numFmtId="0" fontId="2" fillId="10" borderId="46" xfId="4" applyFont="1" applyFill="1" applyBorder="1" applyAlignment="1">
      <alignment horizontal="center" vertical="center" wrapText="1"/>
    </xf>
    <xf numFmtId="0" fontId="47" fillId="14" borderId="45" xfId="4" applyFont="1" applyFill="1" applyBorder="1" applyAlignment="1">
      <alignment horizontal="center"/>
    </xf>
    <xf numFmtId="0" fontId="45" fillId="15" borderId="58" xfId="5" applyFont="1" applyFill="1" applyBorder="1" applyAlignment="1">
      <alignment horizontal="center" vertical="center"/>
    </xf>
    <xf numFmtId="0" fontId="45" fillId="15" borderId="58" xfId="5" applyFont="1" applyFill="1" applyBorder="1" applyAlignment="1">
      <alignment horizontal="center" vertical="center" wrapText="1"/>
    </xf>
    <xf numFmtId="0" fontId="45" fillId="15" borderId="32" xfId="5" applyFont="1" applyFill="1" applyBorder="1" applyAlignment="1">
      <alignment horizontal="center" vertical="center"/>
    </xf>
    <xf numFmtId="0" fontId="45" fillId="0" borderId="54" xfId="5" applyFont="1" applyBorder="1" applyAlignment="1">
      <alignment horizontal="right"/>
    </xf>
    <xf numFmtId="0" fontId="45" fillId="0" borderId="55" xfId="5" applyFont="1" applyBorder="1" applyAlignment="1">
      <alignment horizontal="right"/>
    </xf>
    <xf numFmtId="0" fontId="45" fillId="0" borderId="28" xfId="5" applyFont="1" applyBorder="1" applyAlignment="1">
      <alignment horizontal="right"/>
    </xf>
    <xf numFmtId="170" fontId="43" fillId="0" borderId="19" xfId="5" applyNumberFormat="1" applyFont="1" applyBorder="1" applyAlignment="1">
      <alignment horizontal="right"/>
    </xf>
    <xf numFmtId="0" fontId="43" fillId="14" borderId="27" xfId="5" applyFont="1" applyFill="1" applyBorder="1" applyAlignment="1">
      <alignment horizontal="center"/>
    </xf>
    <xf numFmtId="0" fontId="43" fillId="14" borderId="61" xfId="5" applyFont="1" applyFill="1" applyBorder="1" applyAlignment="1">
      <alignment horizontal="center"/>
    </xf>
    <xf numFmtId="0" fontId="45" fillId="0" borderId="37" xfId="5" applyFont="1" applyBorder="1" applyAlignment="1">
      <alignment horizontal="right"/>
    </xf>
    <xf numFmtId="0" fontId="45" fillId="0" borderId="38" xfId="5" applyFont="1" applyBorder="1" applyAlignment="1">
      <alignment horizontal="right"/>
    </xf>
    <xf numFmtId="0" fontId="45" fillId="0" borderId="35" xfId="5" applyFont="1" applyBorder="1" applyAlignment="1">
      <alignment horizontal="right"/>
    </xf>
    <xf numFmtId="0" fontId="43" fillId="0" borderId="13" xfId="5" applyFont="1" applyBorder="1" applyAlignment="1">
      <alignment horizontal="right"/>
    </xf>
    <xf numFmtId="170" fontId="43" fillId="0" borderId="36" xfId="5" applyNumberFormat="1" applyFont="1" applyBorder="1" applyAlignment="1">
      <alignment horizontal="center"/>
    </xf>
    <xf numFmtId="170" fontId="43" fillId="0" borderId="62" xfId="5" applyNumberFormat="1" applyFont="1" applyBorder="1" applyAlignment="1">
      <alignment horizontal="center"/>
    </xf>
    <xf numFmtId="0" fontId="52" fillId="0" borderId="37" xfId="0" applyFont="1" applyBorder="1" applyAlignment="1">
      <alignment horizontal="left"/>
    </xf>
    <xf numFmtId="0" fontId="52" fillId="0" borderId="38" xfId="0" applyFont="1" applyBorder="1" applyAlignment="1">
      <alignment horizontal="left"/>
    </xf>
    <xf numFmtId="0" fontId="52" fillId="0" borderId="62" xfId="0" applyFont="1" applyBorder="1" applyAlignment="1">
      <alignment horizontal="left"/>
    </xf>
    <xf numFmtId="170" fontId="43" fillId="0" borderId="36" xfId="5" applyNumberFormat="1" applyFont="1" applyBorder="1" applyAlignment="1">
      <alignment horizontal="right" wrapText="1"/>
    </xf>
    <xf numFmtId="170" fontId="43" fillId="0" borderId="35" xfId="5" applyNumberFormat="1" applyFont="1" applyBorder="1" applyAlignment="1">
      <alignment horizontal="right" wrapText="1"/>
    </xf>
    <xf numFmtId="0" fontId="45" fillId="0" borderId="58" xfId="5" applyFont="1" applyBorder="1" applyAlignment="1">
      <alignment horizontal="right"/>
    </xf>
    <xf numFmtId="0" fontId="45" fillId="0" borderId="12" xfId="5" applyFont="1" applyBorder="1" applyAlignment="1">
      <alignment horizontal="right"/>
    </xf>
    <xf numFmtId="0" fontId="45" fillId="0" borderId="32" xfId="5" applyFont="1" applyBorder="1" applyAlignment="1">
      <alignment horizontal="right"/>
    </xf>
    <xf numFmtId="0" fontId="43" fillId="0" borderId="32" xfId="5" applyFont="1" applyBorder="1" applyAlignment="1">
      <alignment horizontal="right"/>
    </xf>
    <xf numFmtId="170" fontId="43" fillId="0" borderId="10" xfId="5" applyNumberFormat="1" applyFont="1" applyBorder="1" applyAlignment="1">
      <alignment horizontal="center"/>
    </xf>
    <xf numFmtId="170" fontId="43" fillId="0" borderId="65" xfId="5" applyNumberFormat="1" applyFont="1" applyBorder="1" applyAlignment="1">
      <alignment horizontal="center"/>
    </xf>
    <xf numFmtId="0" fontId="45" fillId="15" borderId="40" xfId="5" applyFont="1" applyFill="1" applyBorder="1" applyAlignment="1">
      <alignment horizontal="left"/>
    </xf>
    <xf numFmtId="0" fontId="45" fillId="15" borderId="41" xfId="5" applyFont="1" applyFill="1" applyBorder="1" applyAlignment="1">
      <alignment horizontal="left"/>
    </xf>
    <xf numFmtId="0" fontId="45" fillId="15" borderId="46" xfId="5" applyFont="1" applyFill="1" applyBorder="1" applyAlignment="1">
      <alignment horizontal="left"/>
    </xf>
    <xf numFmtId="0" fontId="49" fillId="0" borderId="37" xfId="0" applyFont="1" applyBorder="1" applyAlignment="1">
      <alignment horizontal="left"/>
    </xf>
    <xf numFmtId="0" fontId="49" fillId="0" borderId="38" xfId="0" applyFont="1" applyBorder="1" applyAlignment="1">
      <alignment horizontal="left"/>
    </xf>
    <xf numFmtId="0" fontId="49" fillId="0" borderId="62" xfId="0" applyFont="1" applyBorder="1" applyAlignment="1">
      <alignment horizontal="left"/>
    </xf>
    <xf numFmtId="0" fontId="45" fillId="16" borderId="15" xfId="4" applyFont="1" applyFill="1" applyBorder="1" applyAlignment="1">
      <alignment horizontal="center"/>
    </xf>
    <xf numFmtId="0" fontId="45" fillId="16" borderId="16" xfId="4" applyFont="1" applyFill="1" applyBorder="1" applyAlignment="1">
      <alignment horizontal="center"/>
    </xf>
    <xf numFmtId="0" fontId="43" fillId="14" borderId="63" xfId="4" applyFont="1" applyFill="1" applyBorder="1" applyAlignment="1">
      <alignment horizontal="left"/>
    </xf>
    <xf numFmtId="0" fontId="43" fillId="14" borderId="0" xfId="4" applyFont="1" applyFill="1" applyAlignment="1">
      <alignment horizontal="left"/>
    </xf>
    <xf numFmtId="0" fontId="51" fillId="0" borderId="37" xfId="0" applyFont="1" applyBorder="1" applyAlignment="1">
      <alignment horizontal="left" vertical="center" wrapText="1"/>
    </xf>
    <xf numFmtId="0" fontId="51" fillId="0" borderId="38" xfId="0" applyFont="1" applyBorder="1" applyAlignment="1">
      <alignment horizontal="left" vertical="center" wrapText="1"/>
    </xf>
    <xf numFmtId="0" fontId="51" fillId="0" borderId="62" xfId="0" applyFont="1" applyBorder="1" applyAlignment="1">
      <alignment horizontal="left" vertical="center" wrapText="1"/>
    </xf>
    <xf numFmtId="0" fontId="49" fillId="0" borderId="34" xfId="0" applyFont="1" applyBorder="1" applyAlignment="1">
      <alignment horizontal="left" vertical="center"/>
    </xf>
    <xf numFmtId="0" fontId="49" fillId="0" borderId="35" xfId="0" applyFont="1" applyBorder="1" applyAlignment="1">
      <alignment horizontal="left" vertical="center"/>
    </xf>
    <xf numFmtId="0" fontId="49" fillId="0" borderId="13" xfId="0" applyFont="1" applyBorder="1" applyAlignment="1">
      <alignment horizontal="left" vertical="center"/>
    </xf>
    <xf numFmtId="0" fontId="49" fillId="0" borderId="14" xfId="0" applyFont="1" applyBorder="1" applyAlignment="1">
      <alignment horizontal="left" vertical="center"/>
    </xf>
    <xf numFmtId="0" fontId="49" fillId="0" borderId="8" xfId="0" applyFont="1" applyBorder="1" applyAlignment="1">
      <alignment horizontal="left"/>
    </xf>
    <xf numFmtId="0" fontId="49" fillId="0" borderId="0" xfId="0" applyFont="1" applyAlignment="1">
      <alignment horizontal="left"/>
    </xf>
    <xf numFmtId="0" fontId="49" fillId="0" borderId="39" xfId="0" applyFont="1" applyBorder="1" applyAlignment="1">
      <alignment horizontal="left"/>
    </xf>
    <xf numFmtId="0" fontId="52" fillId="0" borderId="34" xfId="0" applyFont="1" applyBorder="1" applyAlignment="1">
      <alignment horizontal="left"/>
    </xf>
    <xf numFmtId="0" fontId="52" fillId="0" borderId="35" xfId="0" applyFont="1" applyBorder="1" applyAlignment="1">
      <alignment horizontal="left"/>
    </xf>
    <xf numFmtId="0" fontId="52" fillId="0" borderId="13" xfId="0" applyFont="1" applyBorder="1" applyAlignment="1">
      <alignment horizontal="left"/>
    </xf>
    <xf numFmtId="0" fontId="52" fillId="0" borderId="14" xfId="0" applyFont="1" applyBorder="1" applyAlignment="1">
      <alignment horizontal="left"/>
    </xf>
    <xf numFmtId="170" fontId="43" fillId="0" borderId="36" xfId="0" applyNumberFormat="1" applyFont="1" applyBorder="1" applyAlignment="1">
      <alignment horizontal="center" wrapText="1"/>
    </xf>
    <xf numFmtId="170" fontId="43" fillId="0" borderId="62" xfId="0" applyNumberFormat="1" applyFont="1" applyBorder="1" applyAlignment="1">
      <alignment horizontal="center" wrapText="1"/>
    </xf>
    <xf numFmtId="0" fontId="52" fillId="0" borderId="1" xfId="0" applyFont="1" applyBorder="1" applyAlignment="1">
      <alignment horizontal="left"/>
    </xf>
    <xf numFmtId="0" fontId="52" fillId="0" borderId="16" xfId="0" applyFont="1" applyBorder="1" applyAlignment="1">
      <alignment horizontal="left"/>
    </xf>
    <xf numFmtId="0" fontId="52" fillId="0" borderId="42" xfId="0" applyFont="1" applyBorder="1" applyAlignment="1">
      <alignment horizontal="left"/>
    </xf>
    <xf numFmtId="0" fontId="52" fillId="0" borderId="68" xfId="0" applyFont="1" applyBorder="1" applyAlignment="1">
      <alignment horizontal="left"/>
    </xf>
    <xf numFmtId="0" fontId="52" fillId="0" borderId="45" xfId="0" applyFont="1" applyBorder="1" applyAlignment="1">
      <alignment horizontal="left"/>
    </xf>
    <xf numFmtId="0" fontId="52" fillId="0" borderId="53" xfId="0" applyFont="1" applyBorder="1" applyAlignment="1">
      <alignment horizontal="left"/>
    </xf>
    <xf numFmtId="0" fontId="43" fillId="0" borderId="58" xfId="0" applyFont="1" applyBorder="1" applyAlignment="1">
      <alignment horizontal="left"/>
    </xf>
    <xf numFmtId="0" fontId="43" fillId="0" borderId="12" xfId="0" applyFont="1" applyBorder="1" applyAlignment="1">
      <alignment horizontal="left"/>
    </xf>
    <xf numFmtId="0" fontId="43" fillId="0" borderId="32" xfId="0" applyFont="1" applyBorder="1" applyAlignment="1">
      <alignment horizontal="left"/>
    </xf>
    <xf numFmtId="0" fontId="43" fillId="0" borderId="33" xfId="0" applyFont="1" applyBorder="1" applyAlignment="1">
      <alignment horizontal="left"/>
    </xf>
    <xf numFmtId="0" fontId="52" fillId="0" borderId="37" xfId="5" applyFont="1" applyBorder="1" applyAlignment="1">
      <alignment horizontal="left" wrapText="1"/>
    </xf>
    <xf numFmtId="0" fontId="52" fillId="0" borderId="38" xfId="5" applyFont="1" applyBorder="1" applyAlignment="1">
      <alignment horizontal="left" wrapText="1"/>
    </xf>
    <xf numFmtId="0" fontId="52" fillId="0" borderId="62" xfId="5" applyFont="1" applyBorder="1" applyAlignment="1">
      <alignment horizontal="left" wrapText="1"/>
    </xf>
    <xf numFmtId="0" fontId="60" fillId="0" borderId="54" xfId="5" applyFont="1" applyBorder="1" applyAlignment="1">
      <alignment horizontal="left"/>
    </xf>
    <xf numFmtId="0" fontId="60" fillId="0" borderId="55" xfId="5" applyFont="1" applyBorder="1" applyAlignment="1">
      <alignment horizontal="left"/>
    </xf>
    <xf numFmtId="0" fontId="60" fillId="0" borderId="61" xfId="5" applyFont="1" applyBorder="1" applyAlignment="1">
      <alignment horizontal="left"/>
    </xf>
    <xf numFmtId="0" fontId="46" fillId="10" borderId="36" xfId="4" applyFont="1" applyFill="1" applyBorder="1" applyAlignment="1">
      <alignment horizontal="center" vertical="center" wrapText="1"/>
    </xf>
    <xf numFmtId="0" fontId="46" fillId="10" borderId="38" xfId="4" applyFont="1" applyFill="1" applyBorder="1" applyAlignment="1">
      <alignment horizontal="center" vertical="center" wrapText="1"/>
    </xf>
    <xf numFmtId="0" fontId="46" fillId="10" borderId="35" xfId="4" applyFont="1" applyFill="1" applyBorder="1" applyAlignment="1">
      <alignment horizontal="center" vertical="center" wrapText="1"/>
    </xf>
    <xf numFmtId="0" fontId="59" fillId="0" borderId="54" xfId="5" applyFont="1" applyBorder="1" applyAlignment="1">
      <alignment horizontal="left" wrapText="1"/>
    </xf>
    <xf numFmtId="0" fontId="59" fillId="0" borderId="55" xfId="5" applyFont="1" applyBorder="1" applyAlignment="1">
      <alignment horizontal="left" wrapText="1"/>
    </xf>
    <xf numFmtId="0" fontId="59" fillId="0" borderId="61" xfId="5" applyFont="1" applyBorder="1" applyAlignment="1">
      <alignment horizontal="left" wrapText="1"/>
    </xf>
    <xf numFmtId="0" fontId="2" fillId="10" borderId="69" xfId="4" applyFont="1" applyFill="1" applyBorder="1" applyAlignment="1">
      <alignment horizontal="center"/>
    </xf>
    <xf numFmtId="0" fontId="2" fillId="10" borderId="48" xfId="4" applyFont="1" applyFill="1" applyBorder="1" applyAlignment="1">
      <alignment horizontal="center"/>
    </xf>
    <xf numFmtId="0" fontId="2" fillId="10" borderId="49" xfId="4" applyFont="1" applyFill="1" applyBorder="1" applyAlignment="1">
      <alignment horizontal="center"/>
    </xf>
    <xf numFmtId="0" fontId="52" fillId="0" borderId="37" xfId="5" applyFont="1" applyBorder="1" applyAlignment="1">
      <alignment horizontal="left"/>
    </xf>
    <xf numFmtId="0" fontId="52" fillId="0" borderId="38" xfId="5" applyFont="1" applyBorder="1" applyAlignment="1">
      <alignment horizontal="left"/>
    </xf>
    <xf numFmtId="0" fontId="52" fillId="0" borderId="62" xfId="5" applyFont="1" applyBorder="1" applyAlignment="1">
      <alignment horizontal="left"/>
    </xf>
    <xf numFmtId="0" fontId="43" fillId="0" borderId="37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43" fillId="0" borderId="62" xfId="0" applyFont="1" applyBorder="1" applyAlignment="1">
      <alignment horizontal="left" vertical="center" wrapText="1"/>
    </xf>
    <xf numFmtId="0" fontId="60" fillId="0" borderId="54" xfId="5" applyFont="1" applyBorder="1" applyAlignment="1">
      <alignment horizontal="left" wrapText="1"/>
    </xf>
    <xf numFmtId="0" fontId="60" fillId="0" borderId="55" xfId="5" applyFont="1" applyBorder="1" applyAlignment="1">
      <alignment horizontal="left" wrapText="1"/>
    </xf>
    <xf numFmtId="0" fontId="60" fillId="0" borderId="61" xfId="5" applyFont="1" applyBorder="1" applyAlignment="1">
      <alignment horizontal="left" wrapText="1"/>
    </xf>
    <xf numFmtId="0" fontId="52" fillId="0" borderId="37" xfId="0" applyFont="1" applyBorder="1" applyAlignment="1">
      <alignment horizontal="left" wrapText="1"/>
    </xf>
    <xf numFmtId="0" fontId="52" fillId="0" borderId="38" xfId="0" applyFont="1" applyBorder="1" applyAlignment="1">
      <alignment horizontal="left" wrapText="1"/>
    </xf>
    <xf numFmtId="0" fontId="52" fillId="0" borderId="62" xfId="0" applyFont="1" applyBorder="1" applyAlignment="1">
      <alignment horizontal="left" wrapText="1"/>
    </xf>
    <xf numFmtId="0" fontId="52" fillId="0" borderId="34" xfId="0" applyFont="1" applyBorder="1" applyAlignment="1">
      <alignment horizontal="left" wrapText="1"/>
    </xf>
    <xf numFmtId="0" fontId="52" fillId="0" borderId="35" xfId="0" applyFont="1" applyBorder="1" applyAlignment="1">
      <alignment horizontal="left" wrapText="1"/>
    </xf>
    <xf numFmtId="0" fontId="52" fillId="0" borderId="13" xfId="0" applyFont="1" applyBorder="1" applyAlignment="1">
      <alignment horizontal="left" wrapText="1"/>
    </xf>
    <xf numFmtId="0" fontId="52" fillId="0" borderId="14" xfId="0" applyFont="1" applyBorder="1" applyAlignment="1">
      <alignment horizontal="left" wrapText="1"/>
    </xf>
    <xf numFmtId="0" fontId="45" fillId="0" borderId="54" xfId="5" applyFont="1" applyBorder="1" applyAlignment="1">
      <alignment horizontal="left" wrapText="1"/>
    </xf>
    <xf numFmtId="0" fontId="45" fillId="0" borderId="55" xfId="5" applyFont="1" applyBorder="1" applyAlignment="1">
      <alignment horizontal="left" wrapText="1"/>
    </xf>
    <xf numFmtId="0" fontId="45" fillId="0" borderId="61" xfId="5" applyFont="1" applyBorder="1" applyAlignment="1">
      <alignment horizontal="left" wrapText="1"/>
    </xf>
    <xf numFmtId="14" fontId="68" fillId="14" borderId="18" xfId="4" applyNumberFormat="1" applyFont="1" applyFill="1" applyBorder="1" applyAlignment="1">
      <alignment horizontal="center" vertical="center" wrapText="1"/>
    </xf>
    <xf numFmtId="14" fontId="68" fillId="14" borderId="20" xfId="4" applyNumberFormat="1" applyFont="1" applyFill="1" applyBorder="1" applyAlignment="1">
      <alignment horizontal="center" vertical="center" wrapText="1"/>
    </xf>
    <xf numFmtId="14" fontId="68" fillId="14" borderId="29" xfId="4" applyNumberFormat="1" applyFont="1" applyFill="1" applyBorder="1" applyAlignment="1">
      <alignment horizontal="center" vertical="center" wrapText="1"/>
    </xf>
    <xf numFmtId="0" fontId="68" fillId="14" borderId="3" xfId="4" applyFont="1" applyFill="1" applyBorder="1" applyAlignment="1">
      <alignment horizontal="left"/>
    </xf>
    <xf numFmtId="0" fontId="68" fillId="14" borderId="4" xfId="4" applyFont="1" applyFill="1" applyBorder="1" applyAlignment="1">
      <alignment horizontal="left"/>
    </xf>
    <xf numFmtId="0" fontId="68" fillId="14" borderId="5" xfId="4" applyFont="1" applyFill="1" applyBorder="1" applyAlignment="1">
      <alignment horizontal="left"/>
    </xf>
    <xf numFmtId="0" fontId="68" fillId="14" borderId="36" xfId="4" applyFont="1" applyFill="1" applyBorder="1" applyAlignment="1">
      <alignment horizontal="left"/>
    </xf>
    <xf numFmtId="0" fontId="68" fillId="14" borderId="38" xfId="4" applyFont="1" applyFill="1" applyBorder="1" applyAlignment="1">
      <alignment horizontal="left"/>
    </xf>
    <xf numFmtId="0" fontId="68" fillId="14" borderId="35" xfId="4" applyFont="1" applyFill="1" applyBorder="1" applyAlignment="1">
      <alignment horizontal="left"/>
    </xf>
    <xf numFmtId="0" fontId="68" fillId="14" borderId="1" xfId="4" applyFont="1" applyFill="1" applyBorder="1" applyAlignment="1">
      <alignment horizontal="center"/>
    </xf>
    <xf numFmtId="0" fontId="68" fillId="14" borderId="16" xfId="4" applyFont="1" applyFill="1" applyBorder="1" applyAlignment="1">
      <alignment horizontal="center"/>
    </xf>
    <xf numFmtId="0" fontId="68" fillId="14" borderId="8" xfId="4" applyFont="1" applyFill="1" applyBorder="1" applyAlignment="1">
      <alignment horizontal="center"/>
    </xf>
    <xf numFmtId="0" fontId="68" fillId="14" borderId="0" xfId="4" applyFont="1" applyFill="1" applyAlignment="1">
      <alignment horizontal="center"/>
    </xf>
    <xf numFmtId="0" fontId="68" fillId="14" borderId="54" xfId="4" applyFont="1" applyFill="1" applyBorder="1" applyAlignment="1">
      <alignment horizontal="center"/>
    </xf>
    <xf numFmtId="0" fontId="68" fillId="14" borderId="55" xfId="4" applyFont="1" applyFill="1" applyBorder="1" applyAlignment="1">
      <alignment horizontal="center"/>
    </xf>
    <xf numFmtId="0" fontId="44" fillId="10" borderId="40" xfId="4" applyFont="1" applyFill="1" applyBorder="1" applyAlignment="1">
      <alignment horizontal="center" vertical="center" wrapText="1"/>
    </xf>
    <xf numFmtId="0" fontId="44" fillId="10" borderId="41" xfId="4" applyFont="1" applyFill="1" applyBorder="1" applyAlignment="1">
      <alignment horizontal="center" vertical="center" wrapText="1"/>
    </xf>
    <xf numFmtId="0" fontId="44" fillId="10" borderId="46" xfId="4" applyFont="1" applyFill="1" applyBorder="1" applyAlignment="1">
      <alignment horizontal="center" vertical="center" wrapText="1"/>
    </xf>
    <xf numFmtId="0" fontId="44" fillId="14" borderId="17" xfId="4" applyFont="1" applyFill="1" applyBorder="1" applyAlignment="1">
      <alignment horizontal="right" vertical="top" wrapText="1"/>
    </xf>
    <xf numFmtId="0" fontId="44" fillId="14" borderId="9" xfId="4" applyFont="1" applyFill="1" applyBorder="1" applyAlignment="1">
      <alignment horizontal="right" vertical="top" wrapText="1"/>
    </xf>
    <xf numFmtId="0" fontId="44" fillId="14" borderId="56" xfId="4" applyFont="1" applyFill="1" applyBorder="1" applyAlignment="1">
      <alignment horizontal="right" vertical="top" wrapText="1"/>
    </xf>
    <xf numFmtId="0" fontId="69" fillId="14" borderId="0" xfId="4" applyFont="1" applyFill="1" applyAlignment="1">
      <alignment horizontal="right"/>
    </xf>
    <xf numFmtId="0" fontId="69" fillId="14" borderId="0" xfId="4" applyFont="1" applyFill="1"/>
    <xf numFmtId="0" fontId="44" fillId="15" borderId="57" xfId="5" applyFont="1" applyFill="1" applyBorder="1" applyAlignment="1">
      <alignment horizontal="center" vertical="center"/>
    </xf>
    <xf numFmtId="0" fontId="44" fillId="15" borderId="58" xfId="5" applyFont="1" applyFill="1" applyBorder="1" applyAlignment="1">
      <alignment horizontal="center" vertical="center"/>
    </xf>
    <xf numFmtId="0" fontId="44" fillId="15" borderId="57" xfId="5" applyFont="1" applyFill="1" applyBorder="1" applyAlignment="1">
      <alignment horizontal="center" vertical="center" wrapText="1"/>
    </xf>
    <xf numFmtId="0" fontId="44" fillId="15" borderId="58" xfId="5" applyFont="1" applyFill="1" applyBorder="1" applyAlignment="1">
      <alignment horizontal="center" vertical="center" wrapText="1"/>
    </xf>
    <xf numFmtId="0" fontId="44" fillId="15" borderId="6" xfId="5" applyFont="1" applyFill="1" applyBorder="1" applyAlignment="1">
      <alignment horizontal="center" vertical="center"/>
    </xf>
    <xf numFmtId="0" fontId="44" fillId="15" borderId="32" xfId="5" applyFont="1" applyFill="1" applyBorder="1" applyAlignment="1">
      <alignment horizontal="center" vertical="center"/>
    </xf>
    <xf numFmtId="0" fontId="44" fillId="0" borderId="54" xfId="5" applyFont="1" applyBorder="1" applyAlignment="1">
      <alignment horizontal="right"/>
    </xf>
    <xf numFmtId="0" fontId="44" fillId="0" borderId="55" xfId="5" applyFont="1" applyBorder="1" applyAlignment="1">
      <alignment horizontal="right"/>
    </xf>
    <xf numFmtId="0" fontId="44" fillId="0" borderId="28" xfId="5" applyFont="1" applyBorder="1" applyAlignment="1">
      <alignment horizontal="right"/>
    </xf>
    <xf numFmtId="170" fontId="68" fillId="0" borderId="19" xfId="5" applyNumberFormat="1" applyFont="1" applyBorder="1" applyAlignment="1">
      <alignment horizontal="right"/>
    </xf>
    <xf numFmtId="0" fontId="68" fillId="14" borderId="27" xfId="5" applyFont="1" applyFill="1" applyBorder="1" applyAlignment="1">
      <alignment horizontal="center"/>
    </xf>
    <xf numFmtId="0" fontId="68" fillId="14" borderId="61" xfId="5" applyFont="1" applyFill="1" applyBorder="1" applyAlignment="1">
      <alignment horizontal="center"/>
    </xf>
    <xf numFmtId="0" fontId="44" fillId="0" borderId="37" xfId="5" applyFont="1" applyBorder="1" applyAlignment="1">
      <alignment horizontal="right"/>
    </xf>
    <xf numFmtId="0" fontId="44" fillId="0" borderId="38" xfId="5" applyFont="1" applyBorder="1" applyAlignment="1">
      <alignment horizontal="right"/>
    </xf>
    <xf numFmtId="0" fontId="44" fillId="0" borderId="35" xfId="5" applyFont="1" applyBorder="1" applyAlignment="1">
      <alignment horizontal="right"/>
    </xf>
    <xf numFmtId="0" fontId="68" fillId="0" borderId="13" xfId="5" applyFont="1" applyBorder="1" applyAlignment="1">
      <alignment horizontal="right"/>
    </xf>
    <xf numFmtId="170" fontId="68" fillId="0" borderId="36" xfId="5" applyNumberFormat="1" applyFont="1" applyBorder="1" applyAlignment="1">
      <alignment horizontal="center"/>
    </xf>
    <xf numFmtId="170" fontId="68" fillId="0" borderId="62" xfId="5" applyNumberFormat="1" applyFont="1" applyBorder="1" applyAlignment="1">
      <alignment horizontal="center"/>
    </xf>
    <xf numFmtId="0" fontId="52" fillId="0" borderId="54" xfId="0" applyFont="1" applyBorder="1" applyAlignment="1">
      <alignment horizontal="left"/>
    </xf>
    <xf numFmtId="0" fontId="52" fillId="0" borderId="55" xfId="0" applyFont="1" applyBorder="1" applyAlignment="1">
      <alignment horizontal="left"/>
    </xf>
    <xf numFmtId="0" fontId="52" fillId="0" borderId="61" xfId="0" applyFont="1" applyBorder="1" applyAlignment="1">
      <alignment horizontal="left"/>
    </xf>
    <xf numFmtId="170" fontId="68" fillId="0" borderId="36" xfId="5" applyNumberFormat="1" applyFont="1" applyBorder="1" applyAlignment="1">
      <alignment horizontal="right" wrapText="1"/>
    </xf>
    <xf numFmtId="170" fontId="68" fillId="0" borderId="35" xfId="5" applyNumberFormat="1" applyFont="1" applyBorder="1" applyAlignment="1">
      <alignment horizontal="right" wrapText="1"/>
    </xf>
    <xf numFmtId="170" fontId="68" fillId="0" borderId="36" xfId="0" applyNumberFormat="1" applyFont="1" applyBorder="1" applyAlignment="1">
      <alignment horizontal="center" wrapText="1"/>
    </xf>
    <xf numFmtId="170" fontId="68" fillId="0" borderId="62" xfId="0" applyNumberFormat="1" applyFont="1" applyBorder="1" applyAlignment="1">
      <alignment horizontal="center" wrapText="1"/>
    </xf>
    <xf numFmtId="0" fontId="44" fillId="0" borderId="58" xfId="5" applyFont="1" applyBorder="1" applyAlignment="1">
      <alignment horizontal="right"/>
    </xf>
    <xf numFmtId="0" fontId="44" fillId="0" borderId="12" xfId="5" applyFont="1" applyBorder="1" applyAlignment="1">
      <alignment horizontal="right"/>
    </xf>
    <xf numFmtId="0" fontId="44" fillId="0" borderId="32" xfId="5" applyFont="1" applyBorder="1" applyAlignment="1">
      <alignment horizontal="right"/>
    </xf>
    <xf numFmtId="0" fontId="68" fillId="0" borderId="32" xfId="5" applyFont="1" applyBorder="1" applyAlignment="1">
      <alignment horizontal="right"/>
    </xf>
    <xf numFmtId="0" fontId="44" fillId="15" borderId="40" xfId="5" applyFont="1" applyFill="1" applyBorder="1" applyAlignment="1">
      <alignment horizontal="left"/>
    </xf>
    <xf numFmtId="0" fontId="44" fillId="15" borderId="41" xfId="5" applyFont="1" applyFill="1" applyBorder="1" applyAlignment="1">
      <alignment horizontal="left"/>
    </xf>
    <xf numFmtId="0" fontId="44" fillId="15" borderId="46" xfId="5" applyFont="1" applyFill="1" applyBorder="1" applyAlignment="1">
      <alignment horizontal="left"/>
    </xf>
    <xf numFmtId="0" fontId="54" fillId="0" borderId="37" xfId="0" applyFont="1" applyBorder="1" applyAlignment="1">
      <alignment horizontal="left"/>
    </xf>
    <xf numFmtId="0" fontId="54" fillId="0" borderId="38" xfId="0" applyFont="1" applyBorder="1" applyAlignment="1">
      <alignment horizontal="left"/>
    </xf>
    <xf numFmtId="0" fontId="54" fillId="0" borderId="62" xfId="0" applyFont="1" applyBorder="1" applyAlignment="1">
      <alignment horizontal="left"/>
    </xf>
    <xf numFmtId="0" fontId="44" fillId="16" borderId="15" xfId="4" applyFont="1" applyFill="1" applyBorder="1" applyAlignment="1">
      <alignment horizontal="center"/>
    </xf>
    <xf numFmtId="0" fontId="44" fillId="16" borderId="16" xfId="4" applyFont="1" applyFill="1" applyBorder="1" applyAlignment="1">
      <alignment horizontal="center"/>
    </xf>
    <xf numFmtId="0" fontId="68" fillId="0" borderId="34" xfId="0" applyFont="1" applyBorder="1" applyAlignment="1">
      <alignment horizontal="left"/>
    </xf>
    <xf numFmtId="0" fontId="68" fillId="0" borderId="35" xfId="0" applyFont="1" applyBorder="1" applyAlignment="1">
      <alignment horizontal="left"/>
    </xf>
    <xf numFmtId="0" fontId="68" fillId="0" borderId="13" xfId="0" applyFont="1" applyBorder="1" applyAlignment="1">
      <alignment horizontal="left"/>
    </xf>
    <xf numFmtId="0" fontId="68" fillId="0" borderId="14" xfId="0" applyFont="1" applyBorder="1" applyAlignment="1">
      <alignment horizontal="left"/>
    </xf>
    <xf numFmtId="0" fontId="68" fillId="0" borderId="37" xfId="0" applyFont="1" applyBorder="1" applyAlignment="1">
      <alignment horizontal="left" wrapText="1"/>
    </xf>
    <xf numFmtId="0" fontId="68" fillId="0" borderId="38" xfId="0" applyFont="1" applyBorder="1" applyAlignment="1">
      <alignment horizontal="left" wrapText="1"/>
    </xf>
    <xf numFmtId="0" fontId="68" fillId="0" borderId="35" xfId="0" applyFont="1" applyBorder="1" applyAlignment="1">
      <alignment horizontal="left" wrapText="1"/>
    </xf>
    <xf numFmtId="0" fontId="68" fillId="0" borderId="70" xfId="0" applyFont="1" applyBorder="1" applyAlignment="1">
      <alignment horizontal="left"/>
    </xf>
    <xf numFmtId="0" fontId="68" fillId="0" borderId="11" xfId="0" applyFont="1" applyBorder="1" applyAlignment="1">
      <alignment horizontal="left"/>
    </xf>
    <xf numFmtId="0" fontId="68" fillId="0" borderId="65" xfId="0" applyFont="1" applyBorder="1" applyAlignment="1">
      <alignment horizontal="left"/>
    </xf>
    <xf numFmtId="14" fontId="1" fillId="14" borderId="18" xfId="4" applyNumberFormat="1" applyFont="1" applyFill="1" applyBorder="1" applyAlignment="1">
      <alignment horizontal="center" vertical="center" wrapText="1"/>
    </xf>
    <xf numFmtId="14" fontId="1" fillId="14" borderId="20" xfId="4" applyNumberFormat="1" applyFont="1" applyFill="1" applyBorder="1" applyAlignment="1">
      <alignment horizontal="center" vertical="center" wrapText="1"/>
    </xf>
    <xf numFmtId="14" fontId="1" fillId="14" borderId="29" xfId="4" applyNumberFormat="1" applyFont="1" applyFill="1" applyBorder="1" applyAlignment="1">
      <alignment horizontal="center" vertical="center" wrapText="1"/>
    </xf>
    <xf numFmtId="0" fontId="1" fillId="14" borderId="3" xfId="4" applyFont="1" applyFill="1" applyBorder="1" applyAlignment="1">
      <alignment horizontal="left"/>
    </xf>
    <xf numFmtId="0" fontId="1" fillId="14" borderId="4" xfId="4" applyFont="1" applyFill="1" applyBorder="1" applyAlignment="1">
      <alignment horizontal="left"/>
    </xf>
    <xf numFmtId="0" fontId="1" fillId="14" borderId="5" xfId="4" applyFont="1" applyFill="1" applyBorder="1" applyAlignment="1">
      <alignment horizontal="left"/>
    </xf>
    <xf numFmtId="0" fontId="1" fillId="14" borderId="36" xfId="4" applyFont="1" applyFill="1" applyBorder="1" applyAlignment="1">
      <alignment horizontal="left"/>
    </xf>
    <xf numFmtId="0" fontId="1" fillId="14" borderId="38" xfId="4" applyFont="1" applyFill="1" applyBorder="1" applyAlignment="1">
      <alignment horizontal="left"/>
    </xf>
    <xf numFmtId="0" fontId="1" fillId="14" borderId="35" xfId="4" applyFont="1" applyFill="1" applyBorder="1" applyAlignment="1">
      <alignment horizontal="left"/>
    </xf>
    <xf numFmtId="0" fontId="1" fillId="14" borderId="1" xfId="4" applyFont="1" applyFill="1" applyBorder="1" applyAlignment="1">
      <alignment horizontal="center"/>
    </xf>
    <xf numFmtId="0" fontId="1" fillId="14" borderId="16" xfId="4" applyFont="1" applyFill="1" applyBorder="1" applyAlignment="1">
      <alignment horizontal="center"/>
    </xf>
    <xf numFmtId="0" fontId="1" fillId="14" borderId="8" xfId="4" applyFont="1" applyFill="1" applyBorder="1" applyAlignment="1">
      <alignment horizontal="center"/>
    </xf>
    <xf numFmtId="0" fontId="1" fillId="14" borderId="0" xfId="4" applyFont="1" applyFill="1" applyAlignment="1">
      <alignment horizontal="center"/>
    </xf>
    <xf numFmtId="0" fontId="1" fillId="14" borderId="54" xfId="4" applyFont="1" applyFill="1" applyBorder="1" applyAlignment="1">
      <alignment horizontal="center"/>
    </xf>
    <xf numFmtId="0" fontId="1" fillId="14" borderId="55" xfId="4" applyFont="1" applyFill="1" applyBorder="1" applyAlignment="1">
      <alignment horizontal="center"/>
    </xf>
    <xf numFmtId="0" fontId="2" fillId="14" borderId="6" xfId="4" applyFont="1" applyFill="1" applyBorder="1" applyAlignment="1">
      <alignment horizontal="center"/>
    </xf>
    <xf numFmtId="0" fontId="2" fillId="14" borderId="10" xfId="4" applyFont="1" applyFill="1" applyBorder="1" applyAlignment="1">
      <alignment horizontal="center"/>
    </xf>
    <xf numFmtId="0" fontId="2" fillId="14" borderId="11" xfId="4" applyFont="1" applyFill="1" applyBorder="1" applyAlignment="1">
      <alignment horizontal="center"/>
    </xf>
    <xf numFmtId="0" fontId="2" fillId="14" borderId="12" xfId="4" applyFont="1" applyFill="1" applyBorder="1" applyAlignment="1">
      <alignment horizontal="center"/>
    </xf>
    <xf numFmtId="0" fontId="74" fillId="10" borderId="13" xfId="4" applyFont="1" applyFill="1" applyBorder="1" applyAlignment="1">
      <alignment horizontal="center" vertical="center" wrapText="1"/>
    </xf>
    <xf numFmtId="0" fontId="2" fillId="14" borderId="17" xfId="4" applyFont="1" applyFill="1" applyBorder="1" applyAlignment="1">
      <alignment horizontal="right" vertical="top" wrapText="1"/>
    </xf>
    <xf numFmtId="0" fontId="2" fillId="14" borderId="9" xfId="4" applyFont="1" applyFill="1" applyBorder="1" applyAlignment="1">
      <alignment horizontal="right" vertical="top" wrapText="1"/>
    </xf>
    <xf numFmtId="0" fontId="2" fillId="14" borderId="56" xfId="4" applyFont="1" applyFill="1" applyBorder="1" applyAlignment="1">
      <alignment horizontal="right" vertical="top" wrapText="1"/>
    </xf>
    <xf numFmtId="0" fontId="5" fillId="14" borderId="45" xfId="4" applyFont="1" applyFill="1" applyBorder="1" applyAlignment="1">
      <alignment horizontal="center"/>
    </xf>
    <xf numFmtId="0" fontId="2" fillId="15" borderId="57" xfId="5" applyFont="1" applyFill="1" applyBorder="1" applyAlignment="1">
      <alignment horizontal="center" vertical="center"/>
    </xf>
    <xf numFmtId="0" fontId="2" fillId="15" borderId="58" xfId="5" applyFont="1" applyFill="1" applyBorder="1" applyAlignment="1">
      <alignment horizontal="center" vertical="center"/>
    </xf>
    <xf numFmtId="0" fontId="2" fillId="15" borderId="57" xfId="5" applyFont="1" applyFill="1" applyBorder="1" applyAlignment="1">
      <alignment horizontal="center" vertical="center" wrapText="1"/>
    </xf>
    <xf numFmtId="0" fontId="2" fillId="15" borderId="58" xfId="5" applyFont="1" applyFill="1" applyBorder="1" applyAlignment="1">
      <alignment horizontal="center" vertical="center" wrapText="1"/>
    </xf>
    <xf numFmtId="0" fontId="2" fillId="15" borderId="6" xfId="5" applyFont="1" applyFill="1" applyBorder="1" applyAlignment="1">
      <alignment horizontal="center" vertical="center"/>
    </xf>
    <xf numFmtId="0" fontId="2" fillId="15" borderId="32" xfId="5" applyFont="1" applyFill="1" applyBorder="1" applyAlignment="1">
      <alignment horizontal="center" vertical="center"/>
    </xf>
    <xf numFmtId="0" fontId="2" fillId="0" borderId="54" xfId="5" applyFont="1" applyBorder="1" applyAlignment="1">
      <alignment horizontal="right"/>
    </xf>
    <xf numFmtId="0" fontId="2" fillId="0" borderId="55" xfId="5" applyFont="1" applyBorder="1" applyAlignment="1">
      <alignment horizontal="right"/>
    </xf>
    <xf numFmtId="0" fontId="2" fillId="0" borderId="28" xfId="5" applyFont="1" applyBorder="1" applyAlignment="1">
      <alignment horizontal="right"/>
    </xf>
    <xf numFmtId="170" fontId="1" fillId="0" borderId="19" xfId="5" applyNumberFormat="1" applyFont="1" applyBorder="1" applyAlignment="1">
      <alignment horizontal="right"/>
    </xf>
    <xf numFmtId="0" fontId="1" fillId="14" borderId="27" xfId="5" applyFont="1" applyFill="1" applyBorder="1" applyAlignment="1">
      <alignment horizontal="center"/>
    </xf>
    <xf numFmtId="0" fontId="1" fillId="14" borderId="61" xfId="5" applyFont="1" applyFill="1" applyBorder="1" applyAlignment="1">
      <alignment horizontal="center"/>
    </xf>
    <xf numFmtId="0" fontId="2" fillId="0" borderId="37" xfId="5" applyFont="1" applyBorder="1" applyAlignment="1">
      <alignment horizontal="right"/>
    </xf>
    <xf numFmtId="0" fontId="2" fillId="0" borderId="38" xfId="5" applyFont="1" applyBorder="1" applyAlignment="1">
      <alignment horizontal="right"/>
    </xf>
    <xf numFmtId="0" fontId="2" fillId="0" borderId="35" xfId="5" applyFont="1" applyBorder="1" applyAlignment="1">
      <alignment horizontal="right"/>
    </xf>
    <xf numFmtId="0" fontId="1" fillId="0" borderId="13" xfId="5" applyFont="1" applyBorder="1" applyAlignment="1">
      <alignment horizontal="right"/>
    </xf>
    <xf numFmtId="170" fontId="1" fillId="0" borderId="36" xfId="5" applyNumberFormat="1" applyFont="1" applyBorder="1" applyAlignment="1">
      <alignment horizontal="center"/>
    </xf>
    <xf numFmtId="170" fontId="1" fillId="0" borderId="62" xfId="5" applyNumberFormat="1" applyFont="1" applyBorder="1" applyAlignment="1">
      <alignment horizontal="center"/>
    </xf>
    <xf numFmtId="170" fontId="1" fillId="0" borderId="36" xfId="5" applyNumberFormat="1" applyFont="1" applyBorder="1" applyAlignment="1">
      <alignment horizontal="right" wrapText="1"/>
    </xf>
    <xf numFmtId="170" fontId="1" fillId="0" borderId="35" xfId="5" applyNumberFormat="1" applyFont="1" applyBorder="1" applyAlignment="1">
      <alignment horizontal="right" wrapText="1"/>
    </xf>
    <xf numFmtId="170" fontId="1" fillId="0" borderId="36" xfId="0" applyNumberFormat="1" applyFont="1" applyBorder="1" applyAlignment="1">
      <alignment horizontal="center" wrapText="1"/>
    </xf>
    <xf numFmtId="170" fontId="1" fillId="0" borderId="62" xfId="0" applyNumberFormat="1" applyFont="1" applyBorder="1" applyAlignment="1">
      <alignment horizontal="center" wrapText="1"/>
    </xf>
    <xf numFmtId="0" fontId="1" fillId="0" borderId="13" xfId="5" applyFont="1" applyBorder="1" applyAlignment="1">
      <alignment horizontal="left"/>
    </xf>
    <xf numFmtId="0" fontId="2" fillId="0" borderId="58" xfId="5" applyFont="1" applyBorder="1" applyAlignment="1">
      <alignment horizontal="right"/>
    </xf>
    <xf numFmtId="0" fontId="2" fillId="0" borderId="12" xfId="5" applyFont="1" applyBorder="1" applyAlignment="1">
      <alignment horizontal="right"/>
    </xf>
    <xf numFmtId="0" fontId="2" fillId="0" borderId="32" xfId="5" applyFont="1" applyBorder="1" applyAlignment="1">
      <alignment horizontal="right"/>
    </xf>
    <xf numFmtId="0" fontId="1" fillId="0" borderId="32" xfId="5" applyFont="1" applyBorder="1" applyAlignment="1">
      <alignment horizontal="right"/>
    </xf>
    <xf numFmtId="0" fontId="2" fillId="15" borderId="40" xfId="5" applyFont="1" applyFill="1" applyBorder="1" applyAlignment="1">
      <alignment horizontal="left"/>
    </xf>
    <xf numFmtId="0" fontId="2" fillId="15" borderId="41" xfId="5" applyFont="1" applyFill="1" applyBorder="1" applyAlignment="1">
      <alignment horizontal="left"/>
    </xf>
    <xf numFmtId="0" fontId="2" fillId="15" borderId="46" xfId="5" applyFont="1" applyFill="1" applyBorder="1" applyAlignment="1">
      <alignment horizontal="left"/>
    </xf>
    <xf numFmtId="0" fontId="77" fillId="0" borderId="54" xfId="0" applyFont="1" applyBorder="1" applyAlignment="1">
      <alignment horizontal="left"/>
    </xf>
    <xf numFmtId="0" fontId="77" fillId="0" borderId="55" xfId="0" applyFont="1" applyBorder="1" applyAlignment="1">
      <alignment horizontal="left"/>
    </xf>
    <xf numFmtId="0" fontId="77" fillId="0" borderId="61" xfId="0" applyFont="1" applyBorder="1" applyAlignment="1">
      <alignment horizontal="left"/>
    </xf>
    <xf numFmtId="0" fontId="77" fillId="0" borderId="37" xfId="0" applyFont="1" applyBorder="1" applyAlignment="1">
      <alignment horizontal="left"/>
    </xf>
    <xf numFmtId="0" fontId="77" fillId="0" borderId="38" xfId="0" applyFont="1" applyBorder="1" applyAlignment="1">
      <alignment horizontal="left"/>
    </xf>
    <xf numFmtId="0" fontId="77" fillId="0" borderId="62" xfId="0" applyFont="1" applyBorder="1" applyAlignment="1">
      <alignment horizontal="left"/>
    </xf>
    <xf numFmtId="0" fontId="1" fillId="0" borderId="36" xfId="0" applyFont="1" applyBorder="1" applyAlignment="1">
      <alignment horizontal="left" wrapText="1"/>
    </xf>
    <xf numFmtId="0" fontId="1" fillId="0" borderId="38" xfId="0" applyFont="1" applyBorder="1" applyAlignment="1">
      <alignment horizontal="left" wrapText="1"/>
    </xf>
    <xf numFmtId="0" fontId="1" fillId="0" borderId="35" xfId="0" applyFont="1" applyBorder="1" applyAlignment="1">
      <alignment horizontal="left" wrapText="1"/>
    </xf>
    <xf numFmtId="0" fontId="2" fillId="16" borderId="15" xfId="4" applyFont="1" applyFill="1" applyBorder="1" applyAlignment="1">
      <alignment horizontal="center"/>
    </xf>
    <xf numFmtId="0" fontId="2" fillId="16" borderId="16" xfId="4" applyFont="1" applyFill="1" applyBorder="1" applyAlignment="1">
      <alignment horizontal="center"/>
    </xf>
    <xf numFmtId="0" fontId="1" fillId="14" borderId="13" xfId="4" applyFont="1" applyFill="1" applyBorder="1" applyAlignment="1">
      <alignment horizontal="left"/>
    </xf>
  </cellXfs>
  <cellStyles count="8">
    <cellStyle name="Millares" xfId="1" builtinId="3"/>
    <cellStyle name="Millares [0]" xfId="2" builtinId="6"/>
    <cellStyle name="Normal" xfId="0" builtinId="0"/>
    <cellStyle name="Normal 2" xfId="5" xr:uid="{46328FD3-8E73-427B-86A7-1D605E478ACE}"/>
    <cellStyle name="Normal 3" xfId="7" xr:uid="{6AD69F62-17C6-45B9-BE1A-14376A89339D}"/>
    <cellStyle name="Normal 3 2" xfId="6" xr:uid="{DBB82907-9658-4227-A566-C4998D918A4C}"/>
    <cellStyle name="Normal_CRITERIOS DE EVALUACION PT DE GB 2" xfId="4" xr:uid="{75298F83-F651-49CF-8B72-186519F4FF07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</xdr:colOff>
      <xdr:row>0</xdr:row>
      <xdr:rowOff>76032</xdr:rowOff>
    </xdr:from>
    <xdr:to>
      <xdr:col>1</xdr:col>
      <xdr:colOff>940593</xdr:colOff>
      <xdr:row>6</xdr:row>
      <xdr:rowOff>26057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596DBF46-68D1-4A70-A4FD-FC9F8748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76032"/>
          <a:ext cx="1844516" cy="1070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198668</xdr:rowOff>
    </xdr:from>
    <xdr:to>
      <xdr:col>1</xdr:col>
      <xdr:colOff>1017884</xdr:colOff>
      <xdr:row>4</xdr:row>
      <xdr:rowOff>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D1B4C80-3945-4E3D-868D-9EE2A539B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98668"/>
          <a:ext cx="1744165" cy="801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416458</xdr:colOff>
      <xdr:row>1</xdr:row>
      <xdr:rowOff>26895</xdr:rowOff>
    </xdr:from>
    <xdr:to>
      <xdr:col>1</xdr:col>
      <xdr:colOff>340659</xdr:colOff>
      <xdr:row>6</xdr:row>
      <xdr:rowOff>89116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D8C4EBC-2D4C-4385-852D-BF1483C2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458" y="247875"/>
          <a:ext cx="770021" cy="984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4FAD-AF00-41F6-B005-9EDFB2CD2CDF}">
  <dimension ref="A1:Q93"/>
  <sheetViews>
    <sheetView workbookViewId="0">
      <selection activeCell="O60" sqref="O60"/>
    </sheetView>
  </sheetViews>
  <sheetFormatPr baseColWidth="10" defaultColWidth="8.42578125" defaultRowHeight="12.75" x14ac:dyDescent="0.25"/>
  <cols>
    <col min="1" max="1" width="10" style="59" bestFit="1" customWidth="1"/>
    <col min="2" max="2" width="44.28515625" style="59" bestFit="1" customWidth="1"/>
    <col min="3" max="3" width="10.42578125" style="59" bestFit="1" customWidth="1"/>
    <col min="4" max="4" width="10.42578125" style="59" customWidth="1"/>
    <col min="5" max="5" width="11" style="59" customWidth="1"/>
    <col min="6" max="6" width="9.5703125" style="59" bestFit="1" customWidth="1"/>
    <col min="7" max="7" width="10.7109375" style="141" customWidth="1"/>
    <col min="8" max="8" width="10.42578125" style="132" bestFit="1" customWidth="1"/>
    <col min="9" max="9" width="4.5703125" style="132" customWidth="1"/>
    <col min="10" max="10" width="1.7109375" style="58" customWidth="1"/>
    <col min="11" max="11" width="7" style="59" bestFit="1" customWidth="1"/>
    <col min="12" max="12" width="6.28515625" style="59" customWidth="1"/>
    <col min="13" max="13" width="20.42578125" style="59" customWidth="1"/>
    <col min="14" max="14" width="6.42578125" style="59" bestFit="1" customWidth="1"/>
    <col min="15" max="16" width="8.42578125" style="59"/>
    <col min="17" max="17" width="3.28515625" style="59" customWidth="1"/>
    <col min="18" max="16384" width="8.42578125" style="59"/>
  </cols>
  <sheetData>
    <row r="1" spans="1:10" ht="27.75" customHeight="1" x14ac:dyDescent="0.25">
      <c r="A1" s="54"/>
      <c r="B1" s="54"/>
      <c r="C1" s="54"/>
      <c r="D1" s="54"/>
      <c r="E1" s="55" t="s">
        <v>83</v>
      </c>
      <c r="F1" s="56" t="s">
        <v>84</v>
      </c>
      <c r="G1" s="56" t="s">
        <v>85</v>
      </c>
      <c r="H1" s="56" t="s">
        <v>86</v>
      </c>
      <c r="I1" s="57"/>
    </row>
    <row r="2" spans="1:10" ht="30.75" customHeight="1" x14ac:dyDescent="0.25">
      <c r="A2" s="54"/>
      <c r="B2" s="54"/>
      <c r="C2" s="54"/>
      <c r="D2" s="54"/>
      <c r="E2" s="60">
        <f>IFERROR(O64,"")</f>
        <v>5149.029805954684</v>
      </c>
      <c r="F2" s="60">
        <f>IFERROR(H55,"")</f>
        <v>3618.6115397536391</v>
      </c>
      <c r="G2" s="60">
        <f>IFERROR(H56,"")</f>
        <v>754.57970800671899</v>
      </c>
      <c r="H2" s="60">
        <f>IFERROR(H58,"")</f>
        <v>373.37230613101906</v>
      </c>
      <c r="I2" s="61"/>
    </row>
    <row r="3" spans="1:10" ht="15" customHeight="1" x14ac:dyDescent="0.25">
      <c r="A3" s="54"/>
      <c r="B3" s="54"/>
      <c r="C3" s="54"/>
      <c r="D3" s="54"/>
      <c r="E3" s="54"/>
      <c r="F3" s="62"/>
      <c r="G3" s="62"/>
      <c r="H3" s="62"/>
      <c r="I3" s="62"/>
    </row>
    <row r="4" spans="1:10" ht="24.75" customHeight="1" thickBot="1" x14ac:dyDescent="0.3">
      <c r="A4" s="624"/>
      <c r="B4" s="624"/>
      <c r="C4" s="624"/>
      <c r="D4" s="624"/>
      <c r="E4" s="624"/>
      <c r="F4" s="624"/>
      <c r="G4" s="624"/>
      <c r="H4" s="624"/>
      <c r="I4" s="63"/>
    </row>
    <row r="5" spans="1:10" ht="19.5" customHeight="1" thickBot="1" x14ac:dyDescent="0.3">
      <c r="A5" s="625" t="s">
        <v>87</v>
      </c>
      <c r="B5" s="626"/>
      <c r="C5" s="626"/>
      <c r="D5" s="626"/>
      <c r="E5" s="626"/>
      <c r="F5" s="626"/>
      <c r="G5" s="626"/>
      <c r="H5" s="627"/>
      <c r="I5" s="64"/>
    </row>
    <row r="6" spans="1:10" ht="19.5" thickBot="1" x14ac:dyDescent="0.3">
      <c r="A6" s="64"/>
      <c r="B6" s="64"/>
      <c r="C6" s="64"/>
      <c r="D6" s="64"/>
      <c r="E6" s="64"/>
      <c r="F6" s="628" t="s">
        <v>88</v>
      </c>
      <c r="G6" s="628"/>
      <c r="H6" s="65">
        <f ca="1">TODAY()</f>
        <v>46141</v>
      </c>
      <c r="I6" s="65"/>
    </row>
    <row r="7" spans="1:10" ht="26.25" thickBot="1" x14ac:dyDescent="0.3">
      <c r="A7" s="66" t="s">
        <v>89</v>
      </c>
      <c r="B7" s="67" t="s">
        <v>90</v>
      </c>
      <c r="C7" s="67" t="s">
        <v>89</v>
      </c>
      <c r="D7" s="68" t="s">
        <v>91</v>
      </c>
      <c r="E7" s="68" t="s">
        <v>92</v>
      </c>
      <c r="F7" s="68" t="s">
        <v>93</v>
      </c>
      <c r="G7" s="68" t="s">
        <v>94</v>
      </c>
      <c r="H7" s="69" t="s">
        <v>95</v>
      </c>
      <c r="I7" s="70"/>
    </row>
    <row r="8" spans="1:10" ht="13.5" x14ac:dyDescent="0.25">
      <c r="A8" s="71">
        <v>10</v>
      </c>
      <c r="B8" s="59" t="s">
        <v>24</v>
      </c>
      <c r="C8" s="72">
        <f>+A8</f>
        <v>10</v>
      </c>
      <c r="D8" s="73" t="s">
        <v>136</v>
      </c>
      <c r="E8" s="73">
        <v>0.98</v>
      </c>
      <c r="F8" s="73">
        <f>IFERROR(C8*E8,"")</f>
        <v>9.8000000000000007</v>
      </c>
      <c r="G8" s="74">
        <f t="shared" ref="G8:G14" si="0">IFERROR(F8/$F$68,"")</f>
        <v>2.061611261574683E-3</v>
      </c>
      <c r="H8" s="75" t="s">
        <v>23</v>
      </c>
      <c r="I8" s="75"/>
      <c r="J8" s="76"/>
    </row>
    <row r="9" spans="1:10" ht="13.5" x14ac:dyDescent="0.25">
      <c r="A9" s="71">
        <v>120</v>
      </c>
      <c r="B9" s="59" t="s">
        <v>54</v>
      </c>
      <c r="C9" s="72">
        <f t="shared" ref="C9:C14" si="1">+A9</f>
        <v>120</v>
      </c>
      <c r="D9" s="73" t="s">
        <v>136</v>
      </c>
      <c r="E9" s="73">
        <v>4.25</v>
      </c>
      <c r="F9" s="73">
        <f t="shared" ref="F9:F14" si="2">IFERROR(C9*E9,"")</f>
        <v>510</v>
      </c>
      <c r="G9" s="74">
        <f t="shared" si="0"/>
        <v>0.10728793300031512</v>
      </c>
      <c r="H9" s="75" t="s">
        <v>135</v>
      </c>
      <c r="I9" s="75"/>
      <c r="J9" s="76"/>
    </row>
    <row r="10" spans="1:10" ht="13.5" hidden="1" x14ac:dyDescent="0.25">
      <c r="A10" s="71"/>
      <c r="B10" s="59" t="str">
        <f>IFERROR(VLOOKUP(H10,'[1]Consolidado MP Planta'!$A$2:$M$823,3,0),"")</f>
        <v/>
      </c>
      <c r="C10" s="72">
        <f t="shared" si="1"/>
        <v>0</v>
      </c>
      <c r="D10" s="73" t="str">
        <f>IFERROR(VLOOKUP(H10,'[1]Consolidado MP Planta'!$A$2:$M$823,13,0),"")</f>
        <v/>
      </c>
      <c r="E10" s="73" t="str">
        <f>IFERROR(VLOOKUP(H10,'[1]Consolidado MP Planta'!$A$2:$M$823,12,0),"")</f>
        <v/>
      </c>
      <c r="F10" s="73" t="str">
        <f t="shared" si="2"/>
        <v/>
      </c>
      <c r="G10" s="74" t="str">
        <f t="shared" si="0"/>
        <v/>
      </c>
      <c r="H10" s="75"/>
      <c r="I10" s="75"/>
      <c r="J10" s="76"/>
    </row>
    <row r="11" spans="1:10" ht="13.5" hidden="1" x14ac:dyDescent="0.25">
      <c r="A11" s="71"/>
      <c r="B11" s="59" t="str">
        <f>IFERROR(VLOOKUP(H11,'[1]Consolidado MP Planta'!$A$2:$M$823,3,0),"")</f>
        <v/>
      </c>
      <c r="C11" s="72">
        <f t="shared" si="1"/>
        <v>0</v>
      </c>
      <c r="D11" s="73" t="str">
        <f>IFERROR(VLOOKUP(H11,'[1]Consolidado MP Planta'!$A$2:$M$823,13,0),"")</f>
        <v/>
      </c>
      <c r="E11" s="73" t="str">
        <f>IFERROR(VLOOKUP(H11,'[1]Consolidado MP Planta'!$A$2:$M$823,12,0),"")</f>
        <v/>
      </c>
      <c r="F11" s="73" t="str">
        <f t="shared" si="2"/>
        <v/>
      </c>
      <c r="G11" s="74" t="str">
        <f t="shared" si="0"/>
        <v/>
      </c>
      <c r="H11" s="75"/>
      <c r="I11" s="75"/>
      <c r="J11" s="76"/>
    </row>
    <row r="12" spans="1:10" ht="13.5" hidden="1" x14ac:dyDescent="0.25">
      <c r="A12" s="71"/>
      <c r="B12" s="59" t="str">
        <f>IFERROR(VLOOKUP(H12,'[1]Consolidado MP Planta'!$A$2:$M$823,3,0),"")</f>
        <v/>
      </c>
      <c r="C12" s="72">
        <f t="shared" si="1"/>
        <v>0</v>
      </c>
      <c r="D12" s="73" t="str">
        <f>IFERROR(VLOOKUP(H12,'[1]Consolidado MP Planta'!$A$2:$M$823,13,0),"")</f>
        <v/>
      </c>
      <c r="E12" s="73" t="str">
        <f>IFERROR(VLOOKUP(H12,'[1]Consolidado MP Planta'!$A$2:$M$823,12,0),"")</f>
        <v/>
      </c>
      <c r="F12" s="73" t="str">
        <f t="shared" si="2"/>
        <v/>
      </c>
      <c r="G12" s="74" t="str">
        <f t="shared" si="0"/>
        <v/>
      </c>
      <c r="H12" s="75"/>
      <c r="I12" s="75"/>
      <c r="J12" s="76"/>
    </row>
    <row r="13" spans="1:10" ht="13.5" hidden="1" x14ac:dyDescent="0.25">
      <c r="A13" s="71"/>
      <c r="B13" s="59" t="str">
        <f>IFERROR(VLOOKUP(H13,'[1]Consolidado MP Planta'!$A$2:$M$823,3,0),"")</f>
        <v/>
      </c>
      <c r="C13" s="72">
        <f t="shared" si="1"/>
        <v>0</v>
      </c>
      <c r="D13" s="73" t="str">
        <f>IFERROR(VLOOKUP(H13,'[1]Consolidado MP Planta'!$A$2:$M$823,13,0),"")</f>
        <v/>
      </c>
      <c r="E13" s="73" t="str">
        <f>IFERROR(VLOOKUP(H13,'[1]Consolidado MP Planta'!$A$2:$M$823,12,0),"")</f>
        <v/>
      </c>
      <c r="F13" s="73" t="str">
        <f t="shared" si="2"/>
        <v/>
      </c>
      <c r="G13" s="74" t="str">
        <f t="shared" si="0"/>
        <v/>
      </c>
      <c r="H13" s="75"/>
      <c r="I13" s="75"/>
      <c r="J13" s="76"/>
    </row>
    <row r="14" spans="1:10" ht="13.5" hidden="1" x14ac:dyDescent="0.25">
      <c r="A14" s="71"/>
      <c r="B14" s="59" t="str">
        <f>IFERROR(VLOOKUP(H14,'[1]Consolidado MP Planta'!$A$2:$M$823,3,0),"")</f>
        <v/>
      </c>
      <c r="C14" s="72">
        <f t="shared" si="1"/>
        <v>0</v>
      </c>
      <c r="D14" s="73" t="str">
        <f>IFERROR(VLOOKUP(H14,'[1]Consolidado MP Planta'!$A$2:$M$823,13,0),"")</f>
        <v/>
      </c>
      <c r="E14" s="73" t="str">
        <f>IFERROR(VLOOKUP(H14,'[1]Consolidado MP Planta'!$A$2:$M$823,12,0),"")</f>
        <v/>
      </c>
      <c r="F14" s="73" t="str">
        <f t="shared" si="2"/>
        <v/>
      </c>
      <c r="G14" s="74" t="str">
        <f t="shared" si="0"/>
        <v/>
      </c>
      <c r="H14" s="75"/>
      <c r="I14" s="75"/>
      <c r="J14" s="76"/>
    </row>
    <row r="15" spans="1:10" ht="14.25" thickBot="1" x14ac:dyDescent="0.3">
      <c r="A15" s="71"/>
      <c r="B15" s="59" t="str">
        <f>IFERROR(VLOOKUP(H15,[2]Hoja2!$A$2:$G$589,2,0),"")</f>
        <v/>
      </c>
      <c r="C15" s="72"/>
      <c r="D15" s="73"/>
      <c r="E15" s="73"/>
      <c r="F15" s="73"/>
      <c r="G15" s="74"/>
      <c r="H15" s="75"/>
      <c r="I15" s="75"/>
      <c r="J15" s="76"/>
    </row>
    <row r="16" spans="1:10" ht="26.25" thickBot="1" x14ac:dyDescent="0.3">
      <c r="A16" s="66" t="s">
        <v>89</v>
      </c>
      <c r="B16" s="67" t="s">
        <v>96</v>
      </c>
      <c r="C16" s="67" t="s">
        <v>89</v>
      </c>
      <c r="D16" s="68" t="s">
        <v>91</v>
      </c>
      <c r="E16" s="68" t="s">
        <v>92</v>
      </c>
      <c r="F16" s="68" t="s">
        <v>93</v>
      </c>
      <c r="G16" s="68" t="s">
        <v>94</v>
      </c>
      <c r="H16" s="69" t="s">
        <v>95</v>
      </c>
      <c r="I16" s="70"/>
      <c r="J16" s="76"/>
    </row>
    <row r="17" spans="1:12" ht="13.5" x14ac:dyDescent="0.25">
      <c r="A17" s="71">
        <v>300</v>
      </c>
      <c r="B17" s="59" t="s">
        <v>51</v>
      </c>
      <c r="C17" s="72">
        <f>+A17</f>
        <v>300</v>
      </c>
      <c r="D17" s="72" t="s">
        <v>136</v>
      </c>
      <c r="E17" s="73">
        <f>+'Costo Base Galleta Feullitine'!E69</f>
        <v>2.2643542553191489</v>
      </c>
      <c r="F17" s="73">
        <f>IFERROR(E17*C17,"")</f>
        <v>679.30627659574463</v>
      </c>
      <c r="G17" s="74">
        <f t="shared" ref="G17:G24" si="3">IFERROR(F17/$F$68,"")</f>
        <v>0.14290463978450546</v>
      </c>
      <c r="H17" s="75" t="s">
        <v>33</v>
      </c>
      <c r="I17" s="75"/>
      <c r="J17" s="76"/>
    </row>
    <row r="18" spans="1:12" ht="13.5" x14ac:dyDescent="0.25">
      <c r="A18" s="71">
        <v>900</v>
      </c>
      <c r="B18" s="59" t="s">
        <v>53</v>
      </c>
      <c r="C18" s="72">
        <f t="shared" ref="C18:C24" si="4">+A18</f>
        <v>900</v>
      </c>
      <c r="D18" s="72" t="s">
        <v>136</v>
      </c>
      <c r="E18" s="73">
        <v>1.95</v>
      </c>
      <c r="F18" s="73">
        <f t="shared" ref="F18:F24" si="5">IFERROR(E18*C18,"")</f>
        <v>1755</v>
      </c>
      <c r="G18" s="74">
        <f t="shared" si="3"/>
        <v>0.36919671061873144</v>
      </c>
      <c r="H18" s="75" t="s">
        <v>52</v>
      </c>
      <c r="I18" s="75"/>
      <c r="J18" s="76"/>
    </row>
    <row r="19" spans="1:12" ht="13.5" x14ac:dyDescent="0.25">
      <c r="A19" s="71">
        <v>80</v>
      </c>
      <c r="B19" s="59" t="s">
        <v>56</v>
      </c>
      <c r="C19" s="72">
        <f>+A19</f>
        <v>80</v>
      </c>
      <c r="D19" s="72" t="s">
        <v>136</v>
      </c>
      <c r="E19" s="73">
        <v>2.2999999999999998</v>
      </c>
      <c r="F19" s="73">
        <f>IFERROR(E19*C19,"")</f>
        <v>184</v>
      </c>
      <c r="G19" s="74">
        <f t="shared" si="3"/>
        <v>3.8707803278545068E-2</v>
      </c>
      <c r="H19" s="75" t="s">
        <v>55</v>
      </c>
      <c r="I19" s="75"/>
      <c r="J19" s="76"/>
    </row>
    <row r="20" spans="1:12" ht="13.5" x14ac:dyDescent="0.25">
      <c r="A20" s="71">
        <v>135</v>
      </c>
      <c r="B20" s="59" t="s">
        <v>57</v>
      </c>
      <c r="C20" s="72">
        <f>+A20</f>
        <v>135</v>
      </c>
      <c r="D20" s="72" t="s">
        <v>136</v>
      </c>
      <c r="E20" s="73">
        <f>+'Costo Salsa Arandanos '!E69</f>
        <v>2.5011111111111113</v>
      </c>
      <c r="F20" s="73">
        <f>IFERROR(E20*C20,"")</f>
        <v>337.65000000000003</v>
      </c>
      <c r="G20" s="74">
        <f t="shared" si="3"/>
        <v>7.1030922701090987E-2</v>
      </c>
      <c r="H20" s="75" t="s">
        <v>33</v>
      </c>
      <c r="I20" s="75"/>
      <c r="J20" s="76"/>
    </row>
    <row r="21" spans="1:12" ht="13.5" x14ac:dyDescent="0.25">
      <c r="A21" s="71">
        <v>60</v>
      </c>
      <c r="B21" s="59" t="s">
        <v>58</v>
      </c>
      <c r="C21" s="72">
        <f>+A21</f>
        <v>60</v>
      </c>
      <c r="D21" s="72" t="s">
        <v>136</v>
      </c>
      <c r="E21" s="73">
        <f>+'Costo Salsa Arand Licuad'!E69</f>
        <v>2.3809210526315789</v>
      </c>
      <c r="F21" s="73">
        <f>IFERROR(E21*C21,"")</f>
        <v>142.85526315789474</v>
      </c>
      <c r="G21" s="74">
        <f t="shared" si="3"/>
        <v>3.005224686750313E-2</v>
      </c>
      <c r="H21" s="75" t="s">
        <v>33</v>
      </c>
      <c r="I21" s="75"/>
      <c r="J21" s="76"/>
    </row>
    <row r="22" spans="1:12" ht="13.5" hidden="1" x14ac:dyDescent="0.25">
      <c r="A22" s="71"/>
      <c r="B22" s="59" t="str">
        <f>IFERROR(VLOOKUP(H22,[1]SEMIELABORADOS!$A$2:$M$6000,2,0),"")</f>
        <v/>
      </c>
      <c r="C22" s="72">
        <f t="shared" si="4"/>
        <v>0</v>
      </c>
      <c r="D22" s="72" t="str">
        <f>IFERROR(VLOOKUP(H22,[1]SEMIELABORADOS!$A$2:$M$6000,6,0),"")</f>
        <v/>
      </c>
      <c r="E22" s="73" t="str">
        <f>IFERROR(VLOOKUP(H22,[1]SEMIELABORADOS!$A$2:$H$65536,8,0),"")</f>
        <v/>
      </c>
      <c r="F22" s="73" t="str">
        <f t="shared" si="5"/>
        <v/>
      </c>
      <c r="G22" s="74" t="str">
        <f t="shared" si="3"/>
        <v/>
      </c>
      <c r="H22" s="75"/>
      <c r="I22" s="75"/>
      <c r="J22" s="76"/>
    </row>
    <row r="23" spans="1:12" ht="13.5" hidden="1" x14ac:dyDescent="0.25">
      <c r="A23" s="71"/>
      <c r="B23" s="59" t="str">
        <f>IFERROR(VLOOKUP(H23,[1]SEMIELABORADOS!$A$2:$M$6000,2,0),"")</f>
        <v/>
      </c>
      <c r="C23" s="72">
        <f t="shared" si="4"/>
        <v>0</v>
      </c>
      <c r="D23" s="72" t="str">
        <f>IFERROR(VLOOKUP(H23,[1]SEMIELABORADOS!$A$2:$M$6000,6,0),"")</f>
        <v/>
      </c>
      <c r="E23" s="73" t="str">
        <f>IFERROR(VLOOKUP(H23,[1]SEMIELABORADOS!$A$2:$H$65536,8,0),"")</f>
        <v/>
      </c>
      <c r="F23" s="73" t="str">
        <f t="shared" si="5"/>
        <v/>
      </c>
      <c r="G23" s="74" t="str">
        <f t="shared" si="3"/>
        <v/>
      </c>
      <c r="H23" s="75"/>
      <c r="I23" s="75"/>
      <c r="J23" s="76"/>
    </row>
    <row r="24" spans="1:12" ht="13.5" hidden="1" x14ac:dyDescent="0.25">
      <c r="A24" s="71"/>
      <c r="B24" s="59" t="str">
        <f>IFERROR(VLOOKUP(H24,[1]SEMIELABORADOS!$A$2:$M$6000,2,0),"")</f>
        <v/>
      </c>
      <c r="C24" s="72">
        <f t="shared" si="4"/>
        <v>0</v>
      </c>
      <c r="D24" s="72" t="str">
        <f>IFERROR(VLOOKUP(H24,[1]SEMIELABORADOS!$A$2:$M$6000,6,0),"")</f>
        <v/>
      </c>
      <c r="E24" s="73" t="str">
        <f>IFERROR(VLOOKUP(H24,[1]SEMIELABORADOS!$A$2:$H$65536,8,0),"")</f>
        <v/>
      </c>
      <c r="F24" s="73" t="str">
        <f t="shared" si="5"/>
        <v/>
      </c>
      <c r="G24" s="74" t="str">
        <f t="shared" si="3"/>
        <v/>
      </c>
      <c r="H24" s="75"/>
      <c r="I24" s="75"/>
      <c r="J24" s="76"/>
    </row>
    <row r="25" spans="1:12" ht="14.25" thickBot="1" x14ac:dyDescent="0.3">
      <c r="A25" s="71"/>
      <c r="C25" s="72"/>
      <c r="D25" s="72"/>
      <c r="E25" s="73"/>
      <c r="F25" s="73"/>
      <c r="G25" s="74"/>
      <c r="H25" s="75"/>
      <c r="I25" s="75"/>
      <c r="J25" s="76"/>
    </row>
    <row r="26" spans="1:12" ht="26.25" thickBot="1" x14ac:dyDescent="0.3">
      <c r="A26" s="66" t="s">
        <v>89</v>
      </c>
      <c r="B26" s="67" t="s">
        <v>97</v>
      </c>
      <c r="C26" s="67" t="s">
        <v>89</v>
      </c>
      <c r="D26" s="68" t="s">
        <v>91</v>
      </c>
      <c r="E26" s="68" t="s">
        <v>92</v>
      </c>
      <c r="F26" s="68" t="s">
        <v>93</v>
      </c>
      <c r="G26" s="68" t="s">
        <v>94</v>
      </c>
      <c r="H26" s="69" t="s">
        <v>95</v>
      </c>
      <c r="I26" s="70"/>
    </row>
    <row r="27" spans="1:12" ht="13.5" x14ac:dyDescent="0.25">
      <c r="A27" s="71">
        <v>1</v>
      </c>
      <c r="B27" s="77" t="str">
        <f>IFERROR(VLOOKUP(H27,'[1]Consolidado MP Planta'!$A$2:$M$823,3,0),"")</f>
        <v>ORLA #9  DORADA (UND)</v>
      </c>
      <c r="C27" s="72">
        <f t="shared" ref="C27:C34" si="6">+A27</f>
        <v>1</v>
      </c>
      <c r="D27" s="73" t="str">
        <f>IFERROR(VLOOKUP(H27,'[1]Consolidado MP Planta'!$A$2:$M$823,13,0),"")</f>
        <v>Und</v>
      </c>
      <c r="E27" s="73">
        <v>135</v>
      </c>
      <c r="F27" s="73">
        <f t="shared" ref="F27:F34" si="7">IFERROR(C27*E27,"")</f>
        <v>135</v>
      </c>
      <c r="G27" s="74">
        <f>IFERROR(F27/$F$68,"")</f>
        <v>2.8399746970671651E-2</v>
      </c>
      <c r="H27" s="78" t="s">
        <v>144</v>
      </c>
      <c r="I27" s="78"/>
      <c r="J27" s="76"/>
      <c r="K27" s="618"/>
      <c r="L27" s="618"/>
    </row>
    <row r="28" spans="1:12" ht="13.5" x14ac:dyDescent="0.25">
      <c r="A28" s="71">
        <v>1</v>
      </c>
      <c r="B28" s="77" t="str">
        <f>IFERROR(VLOOKUP(H28,'[1]Consolidado MP Planta'!$A$2:$M$823,3,0),"")</f>
        <v>QUEQUERA RED C/BASE ALTA 9" (CAJA:100 U)</v>
      </c>
      <c r="C28" s="72">
        <f t="shared" si="6"/>
        <v>1</v>
      </c>
      <c r="D28" s="73" t="str">
        <f>IFERROR(VLOOKUP(H28,'[1]Consolidado MP Planta'!$A$2:$M$823,13,0),"")</f>
        <v>Und</v>
      </c>
      <c r="E28" s="73">
        <v>525</v>
      </c>
      <c r="F28" s="73">
        <f t="shared" si="7"/>
        <v>525</v>
      </c>
      <c r="G28" s="74">
        <f>IFERROR(F28/$F$68,"")</f>
        <v>0.11044346044150086</v>
      </c>
      <c r="H28" s="78" t="s">
        <v>145</v>
      </c>
      <c r="I28" s="78"/>
      <c r="J28" s="76"/>
      <c r="K28" s="618"/>
      <c r="L28" s="618"/>
    </row>
    <row r="29" spans="1:12" ht="13.5" x14ac:dyDescent="0.25">
      <c r="A29" s="71">
        <v>1</v>
      </c>
      <c r="B29" s="77" t="str">
        <f>IFERROR(VLOOKUP(H29,'[1]Consolidado MP Planta'!$A$2:$M$823,3,0),"")</f>
        <v>ETIQUETA BLANCA 2 5/8X1 15/16 (UND)</v>
      </c>
      <c r="C29" s="72">
        <f t="shared" ref="C29:C31" si="8">+A29</f>
        <v>1</v>
      </c>
      <c r="D29" s="73" t="str">
        <f>IFERROR(VLOOKUP(H29,'[1]Consolidado MP Planta'!$A$2:$M$823,13,0),"")</f>
        <v>Und</v>
      </c>
      <c r="E29" s="73">
        <v>2.13</v>
      </c>
      <c r="F29" s="73">
        <f t="shared" ref="F29:F31" si="9">IFERROR(C29*E29,"")</f>
        <v>2.13</v>
      </c>
      <c r="G29" s="74">
        <f t="shared" ref="G29:G31" si="10">IFERROR(F29/$F$68,"")</f>
        <v>4.4808489664837492E-4</v>
      </c>
      <c r="H29" s="78" t="s">
        <v>146</v>
      </c>
      <c r="I29" s="78"/>
      <c r="J29" s="76"/>
      <c r="K29" s="57"/>
      <c r="L29" s="57"/>
    </row>
    <row r="30" spans="1:12" ht="13.5" x14ac:dyDescent="0.25">
      <c r="A30" s="71">
        <v>1</v>
      </c>
      <c r="B30" s="77" t="str">
        <f>IFERROR(VLOOKUP(H30,'[1]Consolidado MP Planta'!$A$2:$M$823,3,0),"")</f>
        <v>ETIQUETA BLANCA R-153 (UND)</v>
      </c>
      <c r="C30" s="72">
        <f t="shared" si="8"/>
        <v>1</v>
      </c>
      <c r="D30" s="73" t="str">
        <f>IFERROR(VLOOKUP(H30,'[1]Consolidado MP Planta'!$A$2:$M$823,13,0),"")</f>
        <v>Und</v>
      </c>
      <c r="E30" s="73">
        <v>0.39</v>
      </c>
      <c r="F30" s="73">
        <f t="shared" si="9"/>
        <v>0.39</v>
      </c>
      <c r="G30" s="74">
        <f t="shared" si="10"/>
        <v>8.2043713470829211E-5</v>
      </c>
      <c r="H30" s="78" t="s">
        <v>147</v>
      </c>
      <c r="I30" s="78"/>
      <c r="J30" s="76"/>
      <c r="K30" s="57"/>
      <c r="L30" s="57"/>
    </row>
    <row r="31" spans="1:12" ht="13.5" x14ac:dyDescent="0.25">
      <c r="A31" s="71">
        <v>1</v>
      </c>
      <c r="B31" s="77" t="str">
        <f>IFERROR(VLOOKUP(H31,'[1]Consolidado MP Planta'!$A$2:$M$823,3,0),"")</f>
        <v>ETIQ.FECHA VENCIMIENTO BLANCO (ROLLO)</v>
      </c>
      <c r="C31" s="72">
        <f t="shared" si="8"/>
        <v>1</v>
      </c>
      <c r="D31" s="73" t="str">
        <f>IFERROR(VLOOKUP(H31,'[1]Consolidado MP Planta'!$A$2:$M$823,13,0),"")</f>
        <v>Gramos</v>
      </c>
      <c r="E31" s="73">
        <v>0.33</v>
      </c>
      <c r="F31" s="73">
        <f t="shared" si="9"/>
        <v>0.33</v>
      </c>
      <c r="G31" s="74">
        <f t="shared" si="10"/>
        <v>6.9421603706086259E-5</v>
      </c>
      <c r="H31" s="78" t="s">
        <v>148</v>
      </c>
      <c r="I31" s="78"/>
      <c r="J31" s="76"/>
      <c r="K31" s="57"/>
      <c r="L31" s="57"/>
    </row>
    <row r="32" spans="1:12" ht="13.5" x14ac:dyDescent="0.25">
      <c r="A32" s="71">
        <v>1</v>
      </c>
      <c r="B32" s="77" t="s">
        <v>34</v>
      </c>
      <c r="C32" s="72">
        <f t="shared" si="6"/>
        <v>1</v>
      </c>
      <c r="D32" s="73" t="s">
        <v>150</v>
      </c>
      <c r="E32" s="73">
        <v>85</v>
      </c>
      <c r="F32" s="73">
        <f t="shared" si="7"/>
        <v>85</v>
      </c>
      <c r="G32" s="74">
        <f>IFERROR(F32/$F$68,"")</f>
        <v>1.7881322166719189E-2</v>
      </c>
      <c r="H32" s="78" t="s">
        <v>33</v>
      </c>
      <c r="I32" s="78"/>
      <c r="J32" s="76"/>
      <c r="K32" s="618"/>
      <c r="L32" s="618"/>
    </row>
    <row r="33" spans="1:13" ht="13.5" x14ac:dyDescent="0.25">
      <c r="A33" s="71">
        <v>1</v>
      </c>
      <c r="B33" s="77" t="str">
        <f>IFERROR(VLOOKUP(H33,'[1]Consolidado MP Planta'!$A$2:$M$823,3,0),"")</f>
        <v>ETIQ.BLANCA 1 1/4 * 3/4 (UND)</v>
      </c>
      <c r="C33" s="72">
        <f t="shared" si="6"/>
        <v>1</v>
      </c>
      <c r="D33" s="73" t="str">
        <f>IFERROR(VLOOKUP(H33,'[1]Consolidado MP Planta'!$A$2:$M$823,13,0),"")</f>
        <v>Und</v>
      </c>
      <c r="E33" s="73">
        <v>0.57999999999999996</v>
      </c>
      <c r="F33" s="73">
        <f t="shared" si="7"/>
        <v>0.57999999999999996</v>
      </c>
      <c r="G33" s="74">
        <f>IFERROR(F33/$F$68,"")</f>
        <v>1.2201372772584856E-4</v>
      </c>
      <c r="H33" s="78" t="s">
        <v>149</v>
      </c>
      <c r="I33" s="78"/>
      <c r="J33" s="76"/>
      <c r="K33" s="79"/>
      <c r="L33" s="80"/>
    </row>
    <row r="34" spans="1:13" ht="13.5" x14ac:dyDescent="0.25">
      <c r="A34" s="71"/>
      <c r="B34" s="77" t="str">
        <f>IFERROR(VLOOKUP(H34,'[1]Consolidado MP Planta'!$A$2:$M$823,3,0),"")</f>
        <v/>
      </c>
      <c r="C34" s="72">
        <f t="shared" si="6"/>
        <v>0</v>
      </c>
      <c r="D34" s="73" t="str">
        <f>IFERROR(VLOOKUP(H34,'[1]Consolidado MP Planta'!$A$2:$M$823,13,0),"")</f>
        <v/>
      </c>
      <c r="E34" s="73" t="str">
        <f>IFERROR(VLOOKUP(H34,'[1]Consolidado MP Planta'!$A$2:$M$823,12,0),"")</f>
        <v/>
      </c>
      <c r="F34" s="73" t="str">
        <f t="shared" si="7"/>
        <v/>
      </c>
      <c r="G34" s="74" t="str">
        <f>IFERROR(F34/$F$68,"")</f>
        <v/>
      </c>
      <c r="H34" s="78"/>
      <c r="I34" s="78"/>
      <c r="J34" s="76"/>
    </row>
    <row r="35" spans="1:13" ht="14.25" thickBot="1" x14ac:dyDescent="0.3">
      <c r="A35" s="71"/>
      <c r="B35" s="77"/>
      <c r="C35" s="72"/>
      <c r="D35" s="73"/>
      <c r="E35" s="73"/>
      <c r="F35" s="73"/>
      <c r="G35" s="74"/>
      <c r="H35" s="78"/>
      <c r="I35" s="78"/>
      <c r="J35" s="76"/>
    </row>
    <row r="36" spans="1:13" ht="26.25" thickBot="1" x14ac:dyDescent="0.25">
      <c r="A36" s="66" t="s">
        <v>89</v>
      </c>
      <c r="B36" s="67" t="s">
        <v>98</v>
      </c>
      <c r="C36" s="67" t="s">
        <v>89</v>
      </c>
      <c r="D36" s="68" t="s">
        <v>91</v>
      </c>
      <c r="E36" s="68" t="s">
        <v>92</v>
      </c>
      <c r="F36" s="68" t="s">
        <v>93</v>
      </c>
      <c r="G36" s="68" t="s">
        <v>94</v>
      </c>
      <c r="H36" s="69" t="s">
        <v>95</v>
      </c>
      <c r="I36" s="78"/>
      <c r="J36" s="76"/>
    </row>
    <row r="37" spans="1:13" ht="13.5" x14ac:dyDescent="0.25">
      <c r="A37" s="71">
        <f t="shared" ref="A37:A43" si="11">+A17</f>
        <v>300</v>
      </c>
      <c r="B37" s="77" t="s">
        <v>51</v>
      </c>
      <c r="C37" s="72">
        <f>+A37</f>
        <v>300</v>
      </c>
      <c r="D37" s="73" t="s">
        <v>136</v>
      </c>
      <c r="E37" s="73">
        <f>+'Costo Base Galleta Feullitine'!E76</f>
        <v>1.4952535460992908E-2</v>
      </c>
      <c r="F37" s="73">
        <f>IFERROR(E37*C37,"")</f>
        <v>4.4857606382978723</v>
      </c>
      <c r="G37" s="74">
        <f t="shared" ref="G37:G43" si="12">IFERROR(F37/$F$68,"")</f>
        <v>9.4366271924931945E-4</v>
      </c>
      <c r="H37" s="78" t="s">
        <v>33</v>
      </c>
      <c r="I37" s="78"/>
      <c r="J37" s="76"/>
    </row>
    <row r="38" spans="1:13" ht="13.5" x14ac:dyDescent="0.25">
      <c r="A38" s="71">
        <f t="shared" si="11"/>
        <v>900</v>
      </c>
      <c r="B38" s="77" t="s">
        <v>53</v>
      </c>
      <c r="C38" s="72">
        <f t="shared" ref="C38:C43" si="13">+A38</f>
        <v>900</v>
      </c>
      <c r="D38" s="73" t="s">
        <v>136</v>
      </c>
      <c r="E38" s="73">
        <v>0</v>
      </c>
      <c r="F38" s="73">
        <f t="shared" ref="F38:F43" si="14">IFERROR(E38*C38,"")</f>
        <v>0</v>
      </c>
      <c r="G38" s="74">
        <f t="shared" si="12"/>
        <v>0</v>
      </c>
      <c r="H38" s="78" t="s">
        <v>52</v>
      </c>
      <c r="I38" s="78"/>
      <c r="J38" s="76"/>
    </row>
    <row r="39" spans="1:13" ht="13.5" x14ac:dyDescent="0.25">
      <c r="A39" s="71">
        <f t="shared" si="11"/>
        <v>80</v>
      </c>
      <c r="B39" s="77" t="s">
        <v>56</v>
      </c>
      <c r="C39" s="72">
        <f t="shared" si="13"/>
        <v>80</v>
      </c>
      <c r="D39" s="73" t="s">
        <v>136</v>
      </c>
      <c r="E39" s="73">
        <v>0.02</v>
      </c>
      <c r="F39" s="73">
        <f t="shared" si="14"/>
        <v>1.6</v>
      </c>
      <c r="G39" s="74">
        <f t="shared" si="12"/>
        <v>3.3658959372647883E-4</v>
      </c>
      <c r="H39" s="78" t="s">
        <v>33</v>
      </c>
      <c r="I39" s="78"/>
      <c r="J39" s="76"/>
    </row>
    <row r="40" spans="1:13" ht="13.5" x14ac:dyDescent="0.25">
      <c r="A40" s="71">
        <f t="shared" si="11"/>
        <v>135</v>
      </c>
      <c r="B40" s="77" t="s">
        <v>57</v>
      </c>
      <c r="C40" s="72">
        <f>+A40</f>
        <v>135</v>
      </c>
      <c r="D40" s="73" t="s">
        <v>136</v>
      </c>
      <c r="E40" s="73">
        <f>+'Costo Salsa Arandanos '!E76</f>
        <v>3.3333333333333332E-4</v>
      </c>
      <c r="F40" s="73">
        <f>IFERROR(E40*C40,"")</f>
        <v>4.4999999999999998E-2</v>
      </c>
      <c r="G40" s="74">
        <f t="shared" si="12"/>
        <v>9.4665823235572169E-6</v>
      </c>
      <c r="H40" s="78" t="s">
        <v>33</v>
      </c>
      <c r="I40" s="78"/>
      <c r="J40" s="76"/>
    </row>
    <row r="41" spans="1:13" ht="13.5" x14ac:dyDescent="0.25">
      <c r="A41" s="71">
        <f t="shared" si="11"/>
        <v>60</v>
      </c>
      <c r="B41" s="77" t="s">
        <v>58</v>
      </c>
      <c r="C41" s="72">
        <f>+A41</f>
        <v>60</v>
      </c>
      <c r="D41" s="73" t="s">
        <v>136</v>
      </c>
      <c r="E41" s="73">
        <f>+'Costo Salsa Arand Licuad'!E76</f>
        <v>3.1578947368421053E-4</v>
      </c>
      <c r="F41" s="73">
        <f>IFERROR(E41*C41,"")</f>
        <v>1.8947368421052633E-2</v>
      </c>
      <c r="G41" s="74">
        <f t="shared" si="12"/>
        <v>3.9859293993925124E-6</v>
      </c>
      <c r="H41" s="78" t="s">
        <v>33</v>
      </c>
      <c r="I41" s="78"/>
      <c r="J41" s="76"/>
    </row>
    <row r="42" spans="1:13" ht="13.5" hidden="1" x14ac:dyDescent="0.25">
      <c r="A42" s="71">
        <f t="shared" si="11"/>
        <v>0</v>
      </c>
      <c r="B42" s="77" t="str">
        <f>IFERROR(VLOOKUP(H42,[1]SEMIELABORADOS!$A$2:$M$6000,2,0),"")</f>
        <v/>
      </c>
      <c r="C42" s="72">
        <f t="shared" si="13"/>
        <v>0</v>
      </c>
      <c r="D42" s="73" t="str">
        <f>IFERROR(VLOOKUP(H42,[1]SEMIELABORADOS!$A$2:$M$6000,6,0),"")</f>
        <v/>
      </c>
      <c r="E42" s="73" t="str">
        <f>IFERROR(VLOOKUP(H42,[1]SEMIELABORADOS!$A$2:$M$65536,10,0),"")</f>
        <v/>
      </c>
      <c r="F42" s="73" t="str">
        <f t="shared" si="14"/>
        <v/>
      </c>
      <c r="G42" s="74" t="str">
        <f t="shared" si="12"/>
        <v/>
      </c>
      <c r="H42" s="78"/>
      <c r="I42" s="78"/>
      <c r="J42" s="76"/>
    </row>
    <row r="43" spans="1:13" ht="13.5" hidden="1" x14ac:dyDescent="0.25">
      <c r="A43" s="71">
        <f t="shared" si="11"/>
        <v>0</v>
      </c>
      <c r="B43" s="77" t="str">
        <f>IFERROR(VLOOKUP(H43,[1]SEMIELABORADOS!$A$2:$M$6000,2,0),"")</f>
        <v/>
      </c>
      <c r="C43" s="72">
        <f t="shared" si="13"/>
        <v>0</v>
      </c>
      <c r="D43" s="73" t="str">
        <f>IFERROR(VLOOKUP(H43,[1]SEMIELABORADOS!$A$2:$M$6000,6,0),"")</f>
        <v/>
      </c>
      <c r="E43" s="73" t="str">
        <f>IFERROR(VLOOKUP(H43,[1]SEMIELABORADOS!$A$2:$M$65536,10,0),"")</f>
        <v/>
      </c>
      <c r="F43" s="73" t="str">
        <f t="shared" si="14"/>
        <v/>
      </c>
      <c r="G43" s="74" t="str">
        <f t="shared" si="12"/>
        <v/>
      </c>
      <c r="H43" s="78"/>
      <c r="I43" s="78"/>
      <c r="J43" s="76"/>
    </row>
    <row r="44" spans="1:13" ht="14.25" thickBot="1" x14ac:dyDescent="0.3">
      <c r="A44" s="71"/>
      <c r="B44" s="77"/>
      <c r="C44" s="72"/>
      <c r="D44" s="73"/>
      <c r="E44" s="73"/>
      <c r="F44" s="73"/>
      <c r="G44" s="74"/>
      <c r="H44" s="78"/>
      <c r="I44" s="78"/>
      <c r="J44" s="76"/>
    </row>
    <row r="45" spans="1:13" ht="26.25" thickBot="1" x14ac:dyDescent="0.3">
      <c r="A45" s="66" t="s">
        <v>89</v>
      </c>
      <c r="B45" s="67" t="s">
        <v>99</v>
      </c>
      <c r="C45" s="67" t="s">
        <v>89</v>
      </c>
      <c r="D45" s="68" t="s">
        <v>91</v>
      </c>
      <c r="E45" s="68" t="s">
        <v>92</v>
      </c>
      <c r="F45" s="68" t="s">
        <v>93</v>
      </c>
      <c r="G45" s="68" t="s">
        <v>94</v>
      </c>
      <c r="H45" s="69" t="s">
        <v>95</v>
      </c>
      <c r="I45" s="70"/>
      <c r="J45" s="76"/>
    </row>
    <row r="46" spans="1:13" ht="13.5" x14ac:dyDescent="0.25">
      <c r="A46" s="71">
        <f>+A37</f>
        <v>300</v>
      </c>
      <c r="B46" s="77" t="s">
        <v>51</v>
      </c>
      <c r="C46" s="72">
        <f>+A46</f>
        <v>300</v>
      </c>
      <c r="D46" s="73" t="s">
        <v>136</v>
      </c>
      <c r="E46" s="73">
        <f>+'Costo Base Galleta Feullitine'!E74</f>
        <v>7.4809441489361708E-2</v>
      </c>
      <c r="F46" s="73">
        <f>IFERROR(E46*C46,"")</f>
        <v>22.442832446808513</v>
      </c>
      <c r="G46" s="74">
        <f>IFERROR(F46/$F$68,"")</f>
        <v>4.7212649095891958E-3</v>
      </c>
      <c r="H46" s="78" t="s">
        <v>33</v>
      </c>
      <c r="I46" s="70"/>
      <c r="J46" s="76"/>
    </row>
    <row r="47" spans="1:13" ht="13.5" x14ac:dyDescent="0.25">
      <c r="A47" s="71">
        <f t="shared" ref="A47:A52" si="15">+A38</f>
        <v>900</v>
      </c>
      <c r="B47" s="77" t="s">
        <v>53</v>
      </c>
      <c r="C47" s="72">
        <f t="shared" ref="C47:C52" si="16">+A47</f>
        <v>900</v>
      </c>
      <c r="D47" s="73" t="s">
        <v>136</v>
      </c>
      <c r="E47" s="73">
        <v>0.02</v>
      </c>
      <c r="F47" s="73">
        <f t="shared" ref="F47:F52" si="17">IFERROR(E47*C47,"")</f>
        <v>18</v>
      </c>
      <c r="G47" s="74">
        <f t="shared" ref="G47:G52" si="18">IFERROR(F47/$F$68,"")</f>
        <v>3.7866329294228866E-3</v>
      </c>
      <c r="H47" s="78" t="s">
        <v>52</v>
      </c>
      <c r="I47" s="70"/>
      <c r="J47" s="76"/>
      <c r="M47" s="81"/>
    </row>
    <row r="48" spans="1:13" ht="13.5" x14ac:dyDescent="0.25">
      <c r="A48" s="71">
        <f t="shared" si="15"/>
        <v>80</v>
      </c>
      <c r="B48" s="77" t="s">
        <v>56</v>
      </c>
      <c r="C48" s="72">
        <f t="shared" si="16"/>
        <v>80</v>
      </c>
      <c r="D48" s="73" t="s">
        <v>136</v>
      </c>
      <c r="E48" s="73">
        <v>0.19</v>
      </c>
      <c r="F48" s="73">
        <f t="shared" si="17"/>
        <v>15.2</v>
      </c>
      <c r="G48" s="74">
        <f t="shared" si="18"/>
        <v>3.1976011404015485E-3</v>
      </c>
      <c r="H48" s="78" t="s">
        <v>33</v>
      </c>
      <c r="I48" s="70"/>
      <c r="J48" s="76"/>
    </row>
    <row r="49" spans="1:17" ht="13.5" x14ac:dyDescent="0.25">
      <c r="A49" s="71">
        <f t="shared" si="15"/>
        <v>135</v>
      </c>
      <c r="B49" s="77" t="s">
        <v>57</v>
      </c>
      <c r="C49" s="72">
        <f t="shared" si="16"/>
        <v>135</v>
      </c>
      <c r="D49" s="73" t="s">
        <v>136</v>
      </c>
      <c r="E49" s="73">
        <f>+'Costo Salsa Arandanos '!E74</f>
        <v>4.3111111111111114E-2</v>
      </c>
      <c r="F49" s="73">
        <f t="shared" si="17"/>
        <v>5.82</v>
      </c>
      <c r="G49" s="74">
        <f t="shared" si="18"/>
        <v>1.2243446471800667E-3</v>
      </c>
      <c r="H49" s="78" t="s">
        <v>33</v>
      </c>
      <c r="I49" s="70"/>
      <c r="J49" s="76"/>
    </row>
    <row r="50" spans="1:17" ht="13.5" x14ac:dyDescent="0.25">
      <c r="A50" s="71">
        <f t="shared" si="15"/>
        <v>60</v>
      </c>
      <c r="B50" s="77" t="s">
        <v>58</v>
      </c>
      <c r="C50" s="72">
        <f t="shared" si="16"/>
        <v>60</v>
      </c>
      <c r="D50" s="73" t="s">
        <v>136</v>
      </c>
      <c r="E50" s="73">
        <f>+'Costo Salsa Arand Licuad'!E74</f>
        <v>6.5157894736842109E-2</v>
      </c>
      <c r="F50" s="73">
        <f t="shared" si="17"/>
        <v>3.9094736842105267</v>
      </c>
      <c r="G50" s="74">
        <f t="shared" si="18"/>
        <v>8.2243009940798843E-4</v>
      </c>
      <c r="H50" s="78" t="s">
        <v>33</v>
      </c>
      <c r="I50" s="70"/>
      <c r="J50" s="76"/>
    </row>
    <row r="51" spans="1:17" ht="13.5" hidden="1" x14ac:dyDescent="0.25">
      <c r="A51" s="71">
        <f t="shared" si="15"/>
        <v>0</v>
      </c>
      <c r="B51" s="77" t="str">
        <f>IFERROR(VLOOKUP(H51,[1]SEMIELABORADOS!$A$2:$M$6000,2,0),"")</f>
        <v/>
      </c>
      <c r="C51" s="72">
        <f t="shared" si="16"/>
        <v>0</v>
      </c>
      <c r="D51" s="73" t="str">
        <f>IFERROR(VLOOKUP(H51,[1]SEMIELABORADOS!$A$2:$M$6000,6,0),"")</f>
        <v/>
      </c>
      <c r="E51" s="73" t="str">
        <f>IFERROR(VLOOKUP(H51,[1]SEMIELABORADOS!$A$2:$M$65536,12,0),"")</f>
        <v/>
      </c>
      <c r="F51" s="73" t="str">
        <f t="shared" si="17"/>
        <v/>
      </c>
      <c r="G51" s="74" t="str">
        <f t="shared" si="18"/>
        <v/>
      </c>
      <c r="H51" s="78"/>
      <c r="I51" s="70"/>
      <c r="J51" s="76"/>
    </row>
    <row r="52" spans="1:17" ht="13.5" hidden="1" x14ac:dyDescent="0.25">
      <c r="A52" s="71">
        <f t="shared" si="15"/>
        <v>0</v>
      </c>
      <c r="B52" s="77" t="str">
        <f>IFERROR(VLOOKUP(H52,[1]SEMIELABORADOS!$A$2:$M$6000,2,0),"")</f>
        <v/>
      </c>
      <c r="C52" s="72">
        <f t="shared" si="16"/>
        <v>0</v>
      </c>
      <c r="D52" s="73" t="str">
        <f>IFERROR(VLOOKUP(H52,[1]SEMIELABORADOS!$A$2:$M$6000,6,0),"")</f>
        <v/>
      </c>
      <c r="E52" s="73" t="str">
        <f>IFERROR(VLOOKUP(H52,[1]SEMIELABORADOS!$A$2:$M$65536,12,0),"")</f>
        <v/>
      </c>
      <c r="F52" s="73" t="str">
        <f t="shared" si="17"/>
        <v/>
      </c>
      <c r="G52" s="74" t="str">
        <f t="shared" si="18"/>
        <v/>
      </c>
      <c r="H52" s="77"/>
      <c r="I52" s="70"/>
      <c r="J52" s="76"/>
    </row>
    <row r="53" spans="1:17" ht="13.5" x14ac:dyDescent="0.25">
      <c r="A53" s="71">
        <v>1</v>
      </c>
      <c r="B53" s="77" t="s">
        <v>100</v>
      </c>
      <c r="C53" s="72">
        <f>+A53</f>
        <v>1</v>
      </c>
      <c r="D53" s="72" t="s">
        <v>101</v>
      </c>
      <c r="E53" s="73">
        <f>+F67</f>
        <v>308</v>
      </c>
      <c r="F53" s="73">
        <f>IFERROR(C53*E53,"")</f>
        <v>308</v>
      </c>
      <c r="G53" s="74">
        <f>IFERROR(F53/$F$68,"")</f>
        <v>6.479349679234718E-2</v>
      </c>
      <c r="H53" s="82"/>
      <c r="I53" s="82"/>
      <c r="J53" s="76"/>
    </row>
    <row r="54" spans="1:17" ht="14.25" thickBot="1" x14ac:dyDescent="0.3">
      <c r="A54" s="71"/>
      <c r="B54" s="77"/>
      <c r="C54" s="72"/>
      <c r="D54" s="72"/>
      <c r="E54" s="73"/>
      <c r="F54" s="73"/>
      <c r="G54" s="74"/>
      <c r="H54" s="82"/>
      <c r="I54" s="82"/>
      <c r="J54" s="76"/>
    </row>
    <row r="55" spans="1:17" ht="13.5" thickBot="1" x14ac:dyDescent="0.3">
      <c r="A55" s="83"/>
      <c r="B55" s="619" t="s">
        <v>102</v>
      </c>
      <c r="C55" s="619"/>
      <c r="D55" s="619"/>
      <c r="E55" s="619"/>
      <c r="F55" s="85">
        <f>SUM(F8:F14,F17:F24)</f>
        <v>3618.6115397536391</v>
      </c>
      <c r="G55" s="74">
        <f>+F55/$F$68</f>
        <v>0.76124186751226586</v>
      </c>
      <c r="H55" s="86">
        <f>+F55/$D$62</f>
        <v>3618.6115397536391</v>
      </c>
      <c r="I55" s="86"/>
      <c r="J55" s="87"/>
      <c r="K55" s="88"/>
      <c r="L55" s="88"/>
      <c r="M55" s="88"/>
      <c r="N55" s="88"/>
      <c r="O55" s="88"/>
      <c r="P55" s="88"/>
      <c r="Q55" s="89"/>
    </row>
    <row r="56" spans="1:17" x14ac:dyDescent="0.2">
      <c r="A56" s="83"/>
      <c r="B56" s="619" t="s">
        <v>103</v>
      </c>
      <c r="C56" s="619"/>
      <c r="D56" s="619"/>
      <c r="E56" s="619"/>
      <c r="F56" s="85">
        <f>SUM(F27:F34,F37:F43)</f>
        <v>754.57970800671899</v>
      </c>
      <c r="G56" s="74">
        <f>+F56/$F$68</f>
        <v>0.1587397983451416</v>
      </c>
      <c r="H56" s="86">
        <f>+F56/$D$62</f>
        <v>754.57970800671899</v>
      </c>
      <c r="I56" s="86"/>
      <c r="J56" s="90"/>
      <c r="K56" s="620" t="s">
        <v>104</v>
      </c>
      <c r="L56" s="621"/>
      <c r="M56" s="621"/>
      <c r="N56" s="621"/>
      <c r="O56" s="91">
        <f>+F57</f>
        <v>4373.1912477603582</v>
      </c>
      <c r="P56" s="91"/>
      <c r="Q56" s="92"/>
    </row>
    <row r="57" spans="1:17" x14ac:dyDescent="0.2">
      <c r="A57" s="83"/>
      <c r="B57" s="619" t="s">
        <v>105</v>
      </c>
      <c r="C57" s="619"/>
      <c r="D57" s="619"/>
      <c r="E57" s="619"/>
      <c r="F57" s="85">
        <f>+F55+F56</f>
        <v>4373.1912477603582</v>
      </c>
      <c r="G57" s="74">
        <f>+F57/$F$68</f>
        <v>0.91998166585740748</v>
      </c>
      <c r="H57" s="86">
        <f>+F57/$D$62</f>
        <v>4373.1912477603582</v>
      </c>
      <c r="I57" s="86"/>
      <c r="J57" s="93"/>
      <c r="K57" s="94"/>
      <c r="M57" s="95" t="s">
        <v>106</v>
      </c>
      <c r="N57" s="96"/>
      <c r="O57" s="91">
        <f>+H58</f>
        <v>373.37230613101906</v>
      </c>
      <c r="P57" s="91"/>
      <c r="Q57" s="92"/>
    </row>
    <row r="58" spans="1:17" ht="13.5" thickBot="1" x14ac:dyDescent="0.25">
      <c r="A58" s="83"/>
      <c r="B58" s="84"/>
      <c r="C58" s="619" t="s">
        <v>107</v>
      </c>
      <c r="D58" s="619"/>
      <c r="E58" s="619"/>
      <c r="F58" s="85">
        <f>SUM(F46:F53)</f>
        <v>373.37230613101906</v>
      </c>
      <c r="G58" s="74">
        <f>+F58/$F$68</f>
        <v>7.8545770518348865E-2</v>
      </c>
      <c r="H58" s="86">
        <f>+F58/$D$62</f>
        <v>373.37230613101906</v>
      </c>
      <c r="I58" s="86"/>
      <c r="J58" s="93"/>
      <c r="K58" s="94"/>
      <c r="L58" s="94"/>
      <c r="M58" s="94" t="s">
        <v>108</v>
      </c>
      <c r="N58" s="97"/>
      <c r="O58" s="91">
        <f>O56*N58</f>
        <v>0</v>
      </c>
      <c r="P58" s="91"/>
      <c r="Q58" s="92"/>
    </row>
    <row r="59" spans="1:17" ht="13.5" thickBot="1" x14ac:dyDescent="0.25">
      <c r="A59" s="83"/>
      <c r="B59" s="98"/>
      <c r="C59" s="98"/>
      <c r="D59" s="98"/>
      <c r="E59" s="98"/>
      <c r="F59" s="99"/>
      <c r="G59" s="74"/>
      <c r="H59" s="100"/>
      <c r="I59" s="86"/>
      <c r="J59" s="93"/>
      <c r="K59" s="101"/>
      <c r="M59" s="102" t="s">
        <v>109</v>
      </c>
      <c r="N59" s="103"/>
      <c r="O59" s="104">
        <f>SUM(O56:O58)</f>
        <v>4746.5635538913775</v>
      </c>
      <c r="P59" s="105"/>
      <c r="Q59" s="92"/>
    </row>
    <row r="60" spans="1:17" x14ac:dyDescent="0.2">
      <c r="B60" s="622" t="s">
        <v>110</v>
      </c>
      <c r="C60" s="622"/>
      <c r="D60" s="106">
        <v>1600</v>
      </c>
      <c r="E60" s="107"/>
      <c r="G60" s="74"/>
      <c r="H60" s="100">
        <f>+H58/77</f>
        <v>4.848990988714533</v>
      </c>
      <c r="I60" s="108"/>
      <c r="J60" s="93"/>
      <c r="K60" s="101"/>
      <c r="L60" s="94"/>
      <c r="M60" s="94" t="s">
        <v>111</v>
      </c>
      <c r="N60" s="109"/>
      <c r="O60" s="91">
        <f>+H61</f>
        <v>402.46625206330623</v>
      </c>
      <c r="P60" s="91"/>
      <c r="Q60" s="92"/>
    </row>
    <row r="61" spans="1:17" x14ac:dyDescent="0.2">
      <c r="B61" s="622" t="s">
        <v>112</v>
      </c>
      <c r="C61" s="622"/>
      <c r="D61" s="110">
        <v>1600</v>
      </c>
      <c r="E61" s="107"/>
      <c r="G61" s="74"/>
      <c r="H61" s="100">
        <f>+H60*83</f>
        <v>402.46625206330623</v>
      </c>
      <c r="I61" s="108"/>
      <c r="J61" s="93"/>
      <c r="K61" s="101"/>
      <c r="L61" s="94"/>
      <c r="M61" s="623" t="s">
        <v>109</v>
      </c>
      <c r="N61" s="623"/>
      <c r="O61" s="91">
        <f>SUM(O59:O60)</f>
        <v>5149.029805954684</v>
      </c>
      <c r="P61" s="91"/>
      <c r="Q61" s="92"/>
    </row>
    <row r="62" spans="1:17" ht="13.5" thickBot="1" x14ac:dyDescent="0.25">
      <c r="B62" s="614" t="s">
        <v>113</v>
      </c>
      <c r="C62" s="614"/>
      <c r="D62" s="106">
        <f>+D60/D61</f>
        <v>1</v>
      </c>
      <c r="E62" s="107"/>
      <c r="F62" s="111"/>
      <c r="G62" s="74"/>
      <c r="H62" s="100"/>
      <c r="I62" s="108"/>
      <c r="J62" s="93"/>
      <c r="K62" s="101"/>
      <c r="L62" s="623"/>
      <c r="M62" s="623"/>
      <c r="N62" s="109"/>
      <c r="O62" s="91">
        <f>+O61*N62</f>
        <v>0</v>
      </c>
      <c r="P62" s="91"/>
      <c r="Q62" s="92"/>
    </row>
    <row r="63" spans="1:17" ht="13.5" thickBot="1" x14ac:dyDescent="0.25">
      <c r="B63" s="614" t="s">
        <v>114</v>
      </c>
      <c r="C63" s="614"/>
      <c r="D63" s="112"/>
      <c r="E63" s="107"/>
      <c r="F63" s="111"/>
      <c r="G63" s="74"/>
      <c r="H63" s="100"/>
      <c r="I63" s="108"/>
      <c r="J63" s="93"/>
      <c r="K63" s="615" t="s">
        <v>115</v>
      </c>
      <c r="L63" s="616"/>
      <c r="M63" s="616"/>
      <c r="N63" s="617"/>
      <c r="O63" s="104">
        <f>SUM(O61:O62)</f>
        <v>5149.029805954684</v>
      </c>
      <c r="P63" s="113" t="s">
        <v>116</v>
      </c>
      <c r="Q63" s="92"/>
    </row>
    <row r="64" spans="1:17" ht="13.5" thickBot="1" x14ac:dyDescent="0.25">
      <c r="C64" s="83" t="s">
        <v>117</v>
      </c>
      <c r="D64" s="114"/>
      <c r="E64" s="57" t="s">
        <v>118</v>
      </c>
      <c r="F64" s="115" t="s">
        <v>119</v>
      </c>
      <c r="G64" s="74"/>
      <c r="H64" s="100"/>
      <c r="I64" s="108"/>
      <c r="J64" s="116"/>
      <c r="K64" s="117"/>
      <c r="L64" s="603" t="s">
        <v>120</v>
      </c>
      <c r="M64" s="603"/>
      <c r="N64" s="603"/>
      <c r="O64" s="118">
        <f>+O63/D62</f>
        <v>5149.029805954684</v>
      </c>
      <c r="P64" s="119">
        <f>+O64/D61</f>
        <v>3.2181436287216774</v>
      </c>
      <c r="Q64" s="120"/>
    </row>
    <row r="65" spans="2:16" ht="13.5" thickBot="1" x14ac:dyDescent="0.25">
      <c r="B65" s="604" t="s">
        <v>105</v>
      </c>
      <c r="C65" s="604"/>
      <c r="D65" s="604"/>
      <c r="E65" s="121">
        <f>+F65/F65</f>
        <v>1</v>
      </c>
      <c r="F65" s="122">
        <f>SUM(F57)</f>
        <v>4373.1912477603582</v>
      </c>
      <c r="G65" s="74">
        <f>+F65/$F$68</f>
        <v>0.91998166585740748</v>
      </c>
      <c r="H65" s="100"/>
      <c r="I65" s="108"/>
      <c r="K65" s="605"/>
      <c r="L65" s="606"/>
      <c r="M65" s="606"/>
      <c r="N65" s="606"/>
      <c r="O65" s="123"/>
      <c r="P65" s="124"/>
    </row>
    <row r="66" spans="2:16" ht="13.5" thickBot="1" x14ac:dyDescent="0.3">
      <c r="B66" s="607" t="s">
        <v>121</v>
      </c>
      <c r="C66" s="607"/>
      <c r="D66" s="607"/>
      <c r="E66" s="125">
        <v>0.02</v>
      </c>
      <c r="F66" s="122">
        <f>+F55*E66</f>
        <v>72.372230795072781</v>
      </c>
      <c r="G66" s="74">
        <f>+F66/$F$68</f>
        <v>1.5224837350245317E-2</v>
      </c>
      <c r="H66" s="86"/>
      <c r="I66" s="108"/>
      <c r="J66" s="126"/>
      <c r="O66" s="127"/>
      <c r="P66" s="84"/>
    </row>
    <row r="67" spans="2:16" ht="13.5" thickBot="1" x14ac:dyDescent="0.3">
      <c r="B67" s="608" t="s">
        <v>122</v>
      </c>
      <c r="C67" s="609"/>
      <c r="D67" s="128">
        <v>4</v>
      </c>
      <c r="E67" s="129">
        <v>77</v>
      </c>
      <c r="F67" s="122">
        <f>+E67*D67</f>
        <v>308</v>
      </c>
      <c r="G67" s="74">
        <f>+F67/$F$68</f>
        <v>6.479349679234718E-2</v>
      </c>
      <c r="H67" s="86"/>
      <c r="I67" s="86"/>
      <c r="J67" s="76"/>
    </row>
    <row r="68" spans="2:16" ht="13.5" thickBot="1" x14ac:dyDescent="0.3">
      <c r="B68" s="610" t="s">
        <v>123</v>
      </c>
      <c r="C68" s="611"/>
      <c r="D68" s="611"/>
      <c r="E68" s="612"/>
      <c r="F68" s="99">
        <f>SUM(F65:F67)</f>
        <v>4753.5634785554312</v>
      </c>
      <c r="G68" s="74">
        <f>+F68/$F$68</f>
        <v>1</v>
      </c>
      <c r="H68" s="613"/>
      <c r="I68" s="86"/>
      <c r="J68" s="76"/>
      <c r="M68" s="59" t="s">
        <v>124</v>
      </c>
    </row>
    <row r="69" spans="2:16" x14ac:dyDescent="0.25">
      <c r="C69" s="81"/>
      <c r="D69" s="81"/>
      <c r="E69" s="131"/>
      <c r="F69" s="122"/>
      <c r="G69" s="74"/>
      <c r="H69" s="613"/>
      <c r="I69" s="130"/>
      <c r="J69" s="59"/>
      <c r="M69" s="59" t="s">
        <v>125</v>
      </c>
    </row>
    <row r="70" spans="2:16" ht="13.5" thickBot="1" x14ac:dyDescent="0.3">
      <c r="B70" s="598" t="s">
        <v>126</v>
      </c>
      <c r="C70" s="598"/>
      <c r="D70" s="598"/>
      <c r="E70" s="598"/>
      <c r="F70" s="598"/>
      <c r="G70" s="74"/>
      <c r="H70" s="133"/>
      <c r="I70" s="130"/>
      <c r="J70" s="59"/>
      <c r="M70" s="59" t="s">
        <v>127</v>
      </c>
    </row>
    <row r="71" spans="2:16" ht="13.5" thickBot="1" x14ac:dyDescent="0.3">
      <c r="B71" s="134" t="s">
        <v>128</v>
      </c>
      <c r="C71" s="135">
        <f>+F55</f>
        <v>3618.6115397536391</v>
      </c>
      <c r="D71" s="135">
        <f>+D60</f>
        <v>1600</v>
      </c>
      <c r="E71" s="136">
        <f>+C71/D71</f>
        <v>2.2616322123460244</v>
      </c>
      <c r="F71" s="74"/>
      <c r="G71" s="133"/>
      <c r="H71" s="76"/>
      <c r="I71" s="133"/>
      <c r="J71" s="59"/>
    </row>
    <row r="72" spans="2:16" x14ac:dyDescent="0.25">
      <c r="B72" s="137"/>
      <c r="C72" s="138"/>
      <c r="D72" s="139"/>
      <c r="E72" s="122"/>
      <c r="F72" s="74"/>
      <c r="G72" s="133"/>
      <c r="H72" s="76"/>
      <c r="I72" s="76"/>
      <c r="J72" s="59"/>
    </row>
    <row r="73" spans="2:16" x14ac:dyDescent="0.25">
      <c r="B73" s="134" t="s">
        <v>129</v>
      </c>
      <c r="C73" s="135">
        <f>SUM(F65:F66)</f>
        <v>4445.5634785554312</v>
      </c>
      <c r="D73" s="135">
        <f>+D60</f>
        <v>1600</v>
      </c>
      <c r="E73" s="140">
        <f>+C73/D73</f>
        <v>2.7784771740971443</v>
      </c>
      <c r="F73" s="74"/>
      <c r="G73" s="133"/>
      <c r="H73" s="76"/>
      <c r="I73" s="76"/>
      <c r="J73" s="59"/>
    </row>
    <row r="74" spans="2:16" x14ac:dyDescent="0.25">
      <c r="B74" s="134"/>
      <c r="C74" s="135"/>
      <c r="D74" s="135"/>
      <c r="E74" s="140"/>
      <c r="F74" s="74"/>
      <c r="G74" s="133"/>
      <c r="H74" s="76"/>
      <c r="I74" s="76"/>
      <c r="J74" s="59"/>
    </row>
    <row r="75" spans="2:16" ht="13.5" thickBot="1" x14ac:dyDescent="0.3">
      <c r="B75" s="134" t="s">
        <v>130</v>
      </c>
      <c r="C75" s="135">
        <f>+F67</f>
        <v>308</v>
      </c>
      <c r="D75" s="135">
        <f>+D60</f>
        <v>1600</v>
      </c>
      <c r="E75" s="140">
        <f>+C75/D75</f>
        <v>0.1925</v>
      </c>
      <c r="F75" s="74"/>
      <c r="G75" s="133"/>
      <c r="H75" s="76"/>
      <c r="I75" s="76"/>
      <c r="J75" s="59"/>
    </row>
    <row r="76" spans="2:16" ht="13.5" thickBot="1" x14ac:dyDescent="0.3">
      <c r="B76" s="134" t="s">
        <v>131</v>
      </c>
      <c r="C76" s="135">
        <f>+F58</f>
        <v>373.37230613101906</v>
      </c>
      <c r="D76" s="135">
        <f>+D75</f>
        <v>1600</v>
      </c>
      <c r="E76" s="136">
        <f>+C76/D76</f>
        <v>0.23335769133188691</v>
      </c>
      <c r="F76" s="74"/>
      <c r="G76" s="133"/>
      <c r="H76" s="76"/>
      <c r="I76" s="76"/>
      <c r="J76" s="59"/>
    </row>
    <row r="77" spans="2:16" ht="13.5" thickBot="1" x14ac:dyDescent="0.3">
      <c r="B77" s="98"/>
      <c r="C77" s="99"/>
      <c r="D77" s="99"/>
      <c r="E77" s="140"/>
      <c r="F77" s="74"/>
      <c r="G77" s="133"/>
      <c r="H77" s="76"/>
      <c r="I77" s="76"/>
      <c r="J77" s="59"/>
    </row>
    <row r="78" spans="2:16" ht="13.5" thickBot="1" x14ac:dyDescent="0.3">
      <c r="B78" s="134" t="s">
        <v>132</v>
      </c>
      <c r="C78" s="135">
        <f>+F56</f>
        <v>754.57970800671899</v>
      </c>
      <c r="D78" s="135">
        <f>+D76</f>
        <v>1600</v>
      </c>
      <c r="E78" s="136">
        <f>+C78/D78</f>
        <v>0.47161231750419935</v>
      </c>
      <c r="F78" s="74"/>
      <c r="G78" s="133"/>
      <c r="H78" s="76"/>
      <c r="I78" s="76"/>
      <c r="J78" s="76"/>
    </row>
    <row r="79" spans="2:16" ht="13.5" thickBot="1" x14ac:dyDescent="0.3">
      <c r="B79" s="98"/>
      <c r="C79" s="99"/>
      <c r="D79" s="99"/>
      <c r="E79" s="140"/>
      <c r="F79" s="74"/>
      <c r="G79" s="133"/>
      <c r="H79" s="76"/>
      <c r="I79" s="76"/>
    </row>
    <row r="80" spans="2:16" ht="13.5" thickBot="1" x14ac:dyDescent="0.3">
      <c r="B80" s="599" t="s">
        <v>133</v>
      </c>
      <c r="C80" s="600"/>
      <c r="D80" s="601"/>
      <c r="E80" s="136">
        <f>+E71+E76</f>
        <v>2.4949899036779115</v>
      </c>
      <c r="G80" s="74"/>
      <c r="H80" s="133"/>
      <c r="I80" s="76"/>
      <c r="J80" s="140"/>
    </row>
    <row r="81" spans="1:10" x14ac:dyDescent="0.25">
      <c r="I81" s="133"/>
      <c r="J81" s="59"/>
    </row>
    <row r="82" spans="1:10" ht="13.5" thickBot="1" x14ac:dyDescent="0.3">
      <c r="B82" s="598" t="s">
        <v>134</v>
      </c>
      <c r="C82" s="598"/>
      <c r="D82" s="598"/>
      <c r="E82" s="598"/>
      <c r="F82" s="598"/>
      <c r="G82" s="74"/>
      <c r="H82" s="133"/>
      <c r="J82" s="59"/>
    </row>
    <row r="83" spans="1:10" ht="13.5" thickBot="1" x14ac:dyDescent="0.3">
      <c r="B83" s="134" t="s">
        <v>128</v>
      </c>
      <c r="C83" s="135">
        <f>+C71</f>
        <v>3618.6115397536391</v>
      </c>
      <c r="D83" s="135">
        <f>+D62</f>
        <v>1</v>
      </c>
      <c r="E83" s="136">
        <f>+C83/D83</f>
        <v>3618.6115397536391</v>
      </c>
      <c r="F83" s="74"/>
      <c r="G83" s="133"/>
      <c r="H83" s="76"/>
      <c r="I83" s="133"/>
      <c r="J83" s="59"/>
    </row>
    <row r="84" spans="1:10" x14ac:dyDescent="0.25">
      <c r="B84" s="137"/>
      <c r="C84" s="138"/>
      <c r="D84" s="139"/>
      <c r="E84" s="122"/>
      <c r="F84" s="74"/>
      <c r="G84" s="133"/>
      <c r="H84" s="76"/>
      <c r="I84" s="76"/>
      <c r="J84" s="59"/>
    </row>
    <row r="85" spans="1:10" x14ac:dyDescent="0.25">
      <c r="B85" s="134" t="s">
        <v>129</v>
      </c>
      <c r="C85" s="135">
        <f>+C73</f>
        <v>4445.5634785554312</v>
      </c>
      <c r="D85" s="135">
        <f>+D62</f>
        <v>1</v>
      </c>
      <c r="E85" s="140">
        <f>+C85/D85</f>
        <v>4445.5634785554312</v>
      </c>
      <c r="F85" s="74"/>
      <c r="G85" s="133"/>
      <c r="H85" s="76"/>
      <c r="I85" s="76"/>
      <c r="J85" s="59"/>
    </row>
    <row r="86" spans="1:10" x14ac:dyDescent="0.25">
      <c r="B86" s="134"/>
      <c r="C86" s="135"/>
      <c r="D86" s="135"/>
      <c r="E86" s="140"/>
      <c r="F86" s="74"/>
      <c r="G86" s="133"/>
      <c r="H86" s="76"/>
      <c r="I86" s="76"/>
      <c r="J86" s="59"/>
    </row>
    <row r="87" spans="1:10" ht="13.5" thickBot="1" x14ac:dyDescent="0.3">
      <c r="B87" s="134" t="s">
        <v>131</v>
      </c>
      <c r="C87" s="135">
        <f>+C75</f>
        <v>308</v>
      </c>
      <c r="D87" s="135">
        <f>+D62</f>
        <v>1</v>
      </c>
      <c r="E87" s="140">
        <f>+C87/D87</f>
        <v>308</v>
      </c>
      <c r="F87" s="142"/>
      <c r="G87" s="132"/>
      <c r="H87" s="58"/>
      <c r="I87" s="76"/>
    </row>
    <row r="88" spans="1:10" ht="13.5" thickBot="1" x14ac:dyDescent="0.3">
      <c r="B88" s="134" t="s">
        <v>131</v>
      </c>
      <c r="C88" s="135">
        <f>+C76</f>
        <v>373.37230613101906</v>
      </c>
      <c r="D88" s="135">
        <f>+D87</f>
        <v>1</v>
      </c>
      <c r="E88" s="136">
        <f>+C88/D88</f>
        <v>373.37230613101906</v>
      </c>
      <c r="F88" s="141"/>
      <c r="G88" s="132"/>
      <c r="H88" s="58"/>
      <c r="I88" s="58"/>
    </row>
    <row r="89" spans="1:10" x14ac:dyDescent="0.25">
      <c r="I89" s="58"/>
    </row>
    <row r="90" spans="1:10" x14ac:dyDescent="0.2">
      <c r="A90" s="602"/>
      <c r="B90" s="602"/>
      <c r="C90" s="143"/>
      <c r="D90" s="143"/>
      <c r="E90" s="144"/>
      <c r="G90" s="145"/>
    </row>
    <row r="91" spans="1:10" x14ac:dyDescent="0.2">
      <c r="A91" s="77"/>
      <c r="B91" s="146"/>
      <c r="C91" s="147"/>
      <c r="D91" s="147"/>
      <c r="E91" s="148"/>
      <c r="G91" s="145"/>
    </row>
    <row r="92" spans="1:10" x14ac:dyDescent="0.2">
      <c r="A92" s="77"/>
      <c r="B92" s="146"/>
      <c r="C92" s="149"/>
      <c r="D92" s="149"/>
      <c r="E92" s="77"/>
      <c r="G92" s="145"/>
    </row>
    <row r="93" spans="1:10" x14ac:dyDescent="0.2">
      <c r="A93" s="77"/>
      <c r="B93" s="146"/>
      <c r="C93" s="150"/>
      <c r="D93" s="150"/>
      <c r="E93" s="77"/>
      <c r="G93" s="145"/>
    </row>
  </sheetData>
  <mergeCells count="29">
    <mergeCell ref="A4:H4"/>
    <mergeCell ref="A5:H5"/>
    <mergeCell ref="F6:G6"/>
    <mergeCell ref="K27:L27"/>
    <mergeCell ref="K28:L28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7B07-A44A-408A-808C-EFE83039C153}">
  <dimension ref="A1:Q91"/>
  <sheetViews>
    <sheetView topLeftCell="A48" workbookViewId="0">
      <selection activeCell="M16" sqref="M16"/>
    </sheetView>
  </sheetViews>
  <sheetFormatPr baseColWidth="10" defaultColWidth="8.42578125" defaultRowHeight="12.75" x14ac:dyDescent="0.25"/>
  <cols>
    <col min="1" max="1" width="10" style="59" bestFit="1" customWidth="1"/>
    <col min="2" max="2" width="44.28515625" style="59" bestFit="1" customWidth="1"/>
    <col min="3" max="3" width="10.42578125" style="59" bestFit="1" customWidth="1"/>
    <col min="4" max="4" width="10.42578125" style="59" customWidth="1"/>
    <col min="5" max="5" width="11" style="59" customWidth="1"/>
    <col min="6" max="6" width="9.5703125" style="59" bestFit="1" customWidth="1"/>
    <col min="7" max="7" width="10.7109375" style="141" customWidth="1"/>
    <col min="8" max="8" width="10.42578125" style="132" bestFit="1" customWidth="1"/>
    <col min="9" max="9" width="4.5703125" style="132" customWidth="1"/>
    <col min="10" max="10" width="1.7109375" style="58" customWidth="1"/>
    <col min="11" max="11" width="7" style="59" bestFit="1" customWidth="1"/>
    <col min="12" max="12" width="6.28515625" style="59" customWidth="1"/>
    <col min="13" max="13" width="20.42578125" style="59" customWidth="1"/>
    <col min="14" max="14" width="6.42578125" style="59" bestFit="1" customWidth="1"/>
    <col min="15" max="16" width="8.42578125" style="59"/>
    <col min="17" max="17" width="3.28515625" style="59" customWidth="1"/>
    <col min="18" max="16384" width="8.42578125" style="59"/>
  </cols>
  <sheetData>
    <row r="1" spans="1:10" ht="27.75" customHeight="1" x14ac:dyDescent="0.25">
      <c r="A1" s="54"/>
      <c r="B1" s="54"/>
      <c r="C1" s="54"/>
      <c r="D1" s="54"/>
      <c r="E1" s="55" t="s">
        <v>83</v>
      </c>
      <c r="F1" s="56" t="s">
        <v>84</v>
      </c>
      <c r="G1" s="56" t="s">
        <v>85</v>
      </c>
      <c r="H1" s="56" t="s">
        <v>86</v>
      </c>
      <c r="I1" s="57"/>
    </row>
    <row r="2" spans="1:10" ht="30.75" customHeight="1" x14ac:dyDescent="0.25">
      <c r="A2" s="54"/>
      <c r="B2" s="54"/>
      <c r="C2" s="54"/>
      <c r="D2" s="54"/>
      <c r="E2" s="60" t="str">
        <f>IFERROR(O62,"")</f>
        <v/>
      </c>
      <c r="F2" s="60" t="str">
        <f>IFERROR(H53,"")</f>
        <v/>
      </c>
      <c r="G2" s="60" t="str">
        <f>IFERROR(H54,"")</f>
        <v/>
      </c>
      <c r="H2" s="60" t="str">
        <f>IFERROR(H56,"")</f>
        <v/>
      </c>
      <c r="I2" s="61"/>
    </row>
    <row r="3" spans="1:10" ht="15" customHeight="1" x14ac:dyDescent="0.25">
      <c r="A3" s="54"/>
      <c r="B3" s="54"/>
      <c r="C3" s="54"/>
      <c r="D3" s="54"/>
      <c r="E3" s="54"/>
      <c r="F3" s="62"/>
      <c r="G3" s="62"/>
      <c r="H3" s="62"/>
      <c r="I3" s="62"/>
    </row>
    <row r="4" spans="1:10" ht="24.75" customHeight="1" thickBot="1" x14ac:dyDescent="0.3">
      <c r="A4" s="624"/>
      <c r="B4" s="624"/>
      <c r="C4" s="624"/>
      <c r="D4" s="624"/>
      <c r="E4" s="624"/>
      <c r="F4" s="624"/>
      <c r="G4" s="624"/>
      <c r="H4" s="624"/>
      <c r="I4" s="63"/>
    </row>
    <row r="5" spans="1:10" ht="19.5" customHeight="1" thickBot="1" x14ac:dyDescent="0.3">
      <c r="A5" s="625" t="s">
        <v>87</v>
      </c>
      <c r="B5" s="626"/>
      <c r="C5" s="626"/>
      <c r="D5" s="626"/>
      <c r="E5" s="626"/>
      <c r="F5" s="626"/>
      <c r="G5" s="626"/>
      <c r="H5" s="627"/>
      <c r="I5" s="64"/>
    </row>
    <row r="6" spans="1:10" ht="19.5" thickBot="1" x14ac:dyDescent="0.3">
      <c r="A6" s="64"/>
      <c r="B6" s="64"/>
      <c r="C6" s="64"/>
      <c r="D6" s="64"/>
      <c r="E6" s="64"/>
      <c r="F6" s="628" t="s">
        <v>88</v>
      </c>
      <c r="G6" s="628"/>
      <c r="H6" s="65">
        <f ca="1">TODAY()</f>
        <v>46141</v>
      </c>
      <c r="I6" s="65"/>
    </row>
    <row r="7" spans="1:10" ht="26.25" thickBot="1" x14ac:dyDescent="0.3">
      <c r="A7" s="66" t="s">
        <v>89</v>
      </c>
      <c r="B7" s="67" t="s">
        <v>90</v>
      </c>
      <c r="C7" s="67" t="s">
        <v>89</v>
      </c>
      <c r="D7" s="68" t="s">
        <v>91</v>
      </c>
      <c r="E7" s="68" t="s">
        <v>92</v>
      </c>
      <c r="F7" s="68" t="s">
        <v>93</v>
      </c>
      <c r="G7" s="68" t="s">
        <v>94</v>
      </c>
      <c r="H7" s="69" t="s">
        <v>95</v>
      </c>
      <c r="I7" s="70"/>
    </row>
    <row r="8" spans="1:10" ht="13.5" x14ac:dyDescent="0.25">
      <c r="A8" s="71">
        <v>10</v>
      </c>
      <c r="B8" s="59" t="s">
        <v>24</v>
      </c>
      <c r="C8" s="72">
        <f>+A8</f>
        <v>10</v>
      </c>
      <c r="D8" s="73" t="s">
        <v>136</v>
      </c>
      <c r="E8" s="73">
        <v>0.98</v>
      </c>
      <c r="F8" s="73">
        <f>IFERROR(C8*E8,"")</f>
        <v>9.8000000000000007</v>
      </c>
      <c r="G8" s="74">
        <f t="shared" ref="G8:G14" si="0">IFERROR(F8/$F$66,"")</f>
        <v>2.9310040193435282E-3</v>
      </c>
      <c r="H8" s="75" t="s">
        <v>23</v>
      </c>
      <c r="I8" s="75"/>
      <c r="J8" s="76"/>
    </row>
    <row r="9" spans="1:10" ht="13.5" x14ac:dyDescent="0.25">
      <c r="A9" s="71">
        <v>150</v>
      </c>
      <c r="B9" s="59" t="s">
        <v>54</v>
      </c>
      <c r="C9" s="72">
        <f t="shared" ref="C9:C14" si="1">+A9</f>
        <v>150</v>
      </c>
      <c r="D9" s="73" t="s">
        <v>136</v>
      </c>
      <c r="E9" s="73">
        <v>4.2300000000000004</v>
      </c>
      <c r="F9" s="73">
        <f t="shared" ref="F9:F14" si="2">IFERROR(C9*E9,"")</f>
        <v>634.50000000000011</v>
      </c>
      <c r="G9" s="74">
        <f t="shared" si="0"/>
        <v>0.18976755615035396</v>
      </c>
      <c r="H9" s="75" t="s">
        <v>135</v>
      </c>
      <c r="I9" s="75"/>
      <c r="J9" s="76"/>
    </row>
    <row r="10" spans="1:10" ht="13.5" x14ac:dyDescent="0.25">
      <c r="A10" s="71"/>
      <c r="B10" s="59" t="str">
        <f>IFERROR(VLOOKUP(H10,'[1]Consolidado MP Planta'!$A$2:$M$823,3,0),"")</f>
        <v/>
      </c>
      <c r="C10" s="72">
        <f t="shared" si="1"/>
        <v>0</v>
      </c>
      <c r="D10" s="73" t="str">
        <f>IFERROR(VLOOKUP(H10,'[1]Consolidado MP Planta'!$A$2:$M$823,13,0),"")</f>
        <v/>
      </c>
      <c r="E10" s="73" t="str">
        <f>IFERROR(VLOOKUP(H10,'[1]Consolidado MP Planta'!$A$2:$M$823,12,0),"")</f>
        <v/>
      </c>
      <c r="F10" s="73" t="str">
        <f t="shared" si="2"/>
        <v/>
      </c>
      <c r="G10" s="74" t="str">
        <f t="shared" si="0"/>
        <v/>
      </c>
      <c r="H10" s="75"/>
      <c r="I10" s="75"/>
      <c r="J10" s="76"/>
    </row>
    <row r="11" spans="1:10" ht="13.5" x14ac:dyDescent="0.25">
      <c r="A11" s="71"/>
      <c r="B11" s="59" t="str">
        <f>IFERROR(VLOOKUP(H11,'[1]Consolidado MP Planta'!$A$2:$M$823,3,0),"")</f>
        <v/>
      </c>
      <c r="C11" s="72">
        <f t="shared" si="1"/>
        <v>0</v>
      </c>
      <c r="D11" s="73" t="str">
        <f>IFERROR(VLOOKUP(H11,'[1]Consolidado MP Planta'!$A$2:$M$823,13,0),"")</f>
        <v/>
      </c>
      <c r="E11" s="73" t="str">
        <f>IFERROR(VLOOKUP(H11,'[1]Consolidado MP Planta'!$A$2:$M$823,12,0),"")</f>
        <v/>
      </c>
      <c r="F11" s="73" t="str">
        <f t="shared" si="2"/>
        <v/>
      </c>
      <c r="G11" s="74" t="str">
        <f t="shared" si="0"/>
        <v/>
      </c>
      <c r="H11" s="75"/>
      <c r="I11" s="75"/>
      <c r="J11" s="76"/>
    </row>
    <row r="12" spans="1:10" ht="13.5" x14ac:dyDescent="0.25">
      <c r="A12" s="71"/>
      <c r="B12" s="59" t="str">
        <f>IFERROR(VLOOKUP(H12,'[1]Consolidado MP Planta'!$A$2:$M$823,3,0),"")</f>
        <v/>
      </c>
      <c r="C12" s="72">
        <f t="shared" si="1"/>
        <v>0</v>
      </c>
      <c r="D12" s="73" t="str">
        <f>IFERROR(VLOOKUP(H12,'[1]Consolidado MP Planta'!$A$2:$M$823,13,0),"")</f>
        <v/>
      </c>
      <c r="E12" s="73" t="str">
        <f>IFERROR(VLOOKUP(H12,'[1]Consolidado MP Planta'!$A$2:$M$823,12,0),"")</f>
        <v/>
      </c>
      <c r="F12" s="73" t="str">
        <f t="shared" si="2"/>
        <v/>
      </c>
      <c r="G12" s="74" t="str">
        <f t="shared" si="0"/>
        <v/>
      </c>
      <c r="H12" s="75"/>
      <c r="I12" s="75"/>
      <c r="J12" s="76"/>
    </row>
    <row r="13" spans="1:10" ht="13.5" x14ac:dyDescent="0.25">
      <c r="A13" s="71"/>
      <c r="B13" s="59" t="str">
        <f>IFERROR(VLOOKUP(H13,'[1]Consolidado MP Planta'!$A$2:$M$823,3,0),"")</f>
        <v/>
      </c>
      <c r="C13" s="72">
        <f t="shared" si="1"/>
        <v>0</v>
      </c>
      <c r="D13" s="73" t="str">
        <f>IFERROR(VLOOKUP(H13,'[1]Consolidado MP Planta'!$A$2:$M$823,13,0),"")</f>
        <v/>
      </c>
      <c r="E13" s="73" t="str">
        <f>IFERROR(VLOOKUP(H13,'[1]Consolidado MP Planta'!$A$2:$M$823,12,0),"")</f>
        <v/>
      </c>
      <c r="F13" s="73" t="str">
        <f t="shared" si="2"/>
        <v/>
      </c>
      <c r="G13" s="74" t="str">
        <f t="shared" si="0"/>
        <v/>
      </c>
      <c r="H13" s="75"/>
      <c r="I13" s="75"/>
      <c r="J13" s="76"/>
    </row>
    <row r="14" spans="1:10" ht="13.5" x14ac:dyDescent="0.25">
      <c r="A14" s="71"/>
      <c r="B14" s="59" t="str">
        <f>IFERROR(VLOOKUP(H14,'[1]Consolidado MP Planta'!$A$2:$M$823,3,0),"")</f>
        <v/>
      </c>
      <c r="C14" s="72">
        <f t="shared" si="1"/>
        <v>0</v>
      </c>
      <c r="D14" s="73" t="str">
        <f>IFERROR(VLOOKUP(H14,'[1]Consolidado MP Planta'!$A$2:$M$823,13,0),"")</f>
        <v/>
      </c>
      <c r="E14" s="73" t="str">
        <f>IFERROR(VLOOKUP(H14,'[1]Consolidado MP Planta'!$A$2:$M$823,12,0),"")</f>
        <v/>
      </c>
      <c r="F14" s="73" t="str">
        <f t="shared" si="2"/>
        <v/>
      </c>
      <c r="G14" s="74" t="str">
        <f t="shared" si="0"/>
        <v/>
      </c>
      <c r="H14" s="75"/>
      <c r="I14" s="75"/>
      <c r="J14" s="76"/>
    </row>
    <row r="15" spans="1:10" ht="14.25" thickBot="1" x14ac:dyDescent="0.3">
      <c r="A15" s="71"/>
      <c r="B15" s="59" t="str">
        <f>IFERROR(VLOOKUP(H15,[2]Hoja2!$A$2:$G$589,2,0),"")</f>
        <v/>
      </c>
      <c r="C15" s="72"/>
      <c r="D15" s="73"/>
      <c r="E15" s="73"/>
      <c r="F15" s="73"/>
      <c r="G15" s="74"/>
      <c r="H15" s="75"/>
      <c r="I15" s="75"/>
      <c r="J15" s="76"/>
    </row>
    <row r="16" spans="1:10" ht="26.25" thickBot="1" x14ac:dyDescent="0.3">
      <c r="A16" s="66" t="s">
        <v>89</v>
      </c>
      <c r="B16" s="67" t="s">
        <v>96</v>
      </c>
      <c r="C16" s="67" t="s">
        <v>89</v>
      </c>
      <c r="D16" s="68" t="s">
        <v>91</v>
      </c>
      <c r="E16" s="68" t="s">
        <v>92</v>
      </c>
      <c r="F16" s="68" t="s">
        <v>93</v>
      </c>
      <c r="G16" s="68" t="s">
        <v>94</v>
      </c>
      <c r="H16" s="69" t="s">
        <v>95</v>
      </c>
      <c r="I16" s="70"/>
      <c r="J16" s="76"/>
    </row>
    <row r="17" spans="1:12" ht="13.5" x14ac:dyDescent="0.25">
      <c r="A17" s="71">
        <v>300</v>
      </c>
      <c r="B17" s="59" t="s">
        <v>51</v>
      </c>
      <c r="C17" s="72">
        <f>+A17</f>
        <v>300</v>
      </c>
      <c r="D17" s="72" t="s">
        <v>136</v>
      </c>
      <c r="E17" s="73">
        <f>+'Costo Base Galleta Feullitine'!E69</f>
        <v>2.2643542553191489</v>
      </c>
      <c r="F17" s="73">
        <f>IFERROR(E17*C17,"")</f>
        <v>679.30627659574463</v>
      </c>
      <c r="G17" s="74">
        <f t="shared" ref="G17:G24" si="3">IFERROR(F17/$F$66,"")</f>
        <v>0.20316830888442997</v>
      </c>
      <c r="H17" s="75" t="s">
        <v>50</v>
      </c>
      <c r="I17" s="75"/>
      <c r="J17" s="76"/>
    </row>
    <row r="18" spans="1:12" ht="13.5" x14ac:dyDescent="0.25">
      <c r="A18" s="71">
        <v>1000</v>
      </c>
      <c r="B18" s="59" t="s">
        <v>53</v>
      </c>
      <c r="C18" s="72">
        <f t="shared" ref="C18:C24" si="4">+A18</f>
        <v>1000</v>
      </c>
      <c r="D18" s="72" t="s">
        <v>136</v>
      </c>
      <c r="E18" s="73">
        <v>1.95</v>
      </c>
      <c r="F18" s="73">
        <f t="shared" ref="F18:F24" si="5">IFERROR(E18*C18,"")</f>
        <v>1950</v>
      </c>
      <c r="G18" s="74">
        <f t="shared" si="3"/>
        <v>0.58320998344080399</v>
      </c>
      <c r="H18" s="75" t="s">
        <v>52</v>
      </c>
      <c r="I18" s="75"/>
      <c r="J18" s="76"/>
    </row>
    <row r="19" spans="1:12" ht="13.5" x14ac:dyDescent="0.25">
      <c r="A19" s="71">
        <v>80</v>
      </c>
      <c r="B19" s="59" t="s">
        <v>56</v>
      </c>
      <c r="C19" s="72">
        <f>+A19</f>
        <v>80</v>
      </c>
      <c r="D19" s="72" t="s">
        <v>136</v>
      </c>
      <c r="E19" s="73" t="str">
        <f>IFERROR(VLOOKUP(H19,[1]SEMIELABORADOS!$A$2:$H$65536,8,0),"")</f>
        <v/>
      </c>
      <c r="F19" s="73" t="str">
        <f>IFERROR(E19*C19,"")</f>
        <v/>
      </c>
      <c r="G19" s="74" t="str">
        <f t="shared" si="3"/>
        <v/>
      </c>
      <c r="H19" s="75" t="s">
        <v>55</v>
      </c>
      <c r="I19" s="75"/>
      <c r="J19" s="76"/>
    </row>
    <row r="20" spans="1:12" ht="13.5" x14ac:dyDescent="0.25">
      <c r="A20" s="71"/>
      <c r="B20" s="59" t="str">
        <f>IFERROR(VLOOKUP(H20,[1]SEMIELABORADOS!$A$2:$M$6000,2,0),"")</f>
        <v/>
      </c>
      <c r="C20" s="72">
        <f>+A20</f>
        <v>0</v>
      </c>
      <c r="D20" s="72" t="str">
        <f>IFERROR(VLOOKUP(H20,[1]SEMIELABORADOS!$A$2:$M$6000,6,0),"")</f>
        <v/>
      </c>
      <c r="E20" s="73" t="str">
        <f>IFERROR(VLOOKUP(H20,[1]SEMIELABORADOS!$A$2:$H$65536,8,0),"")</f>
        <v/>
      </c>
      <c r="F20" s="73" t="str">
        <f>IFERROR(E20*C20,"")</f>
        <v/>
      </c>
      <c r="G20" s="74" t="str">
        <f t="shared" si="3"/>
        <v/>
      </c>
      <c r="H20" s="75"/>
      <c r="I20" s="75"/>
      <c r="J20" s="76"/>
    </row>
    <row r="21" spans="1:12" ht="13.5" x14ac:dyDescent="0.25">
      <c r="A21" s="71"/>
      <c r="B21" s="59" t="str">
        <f>IFERROR(VLOOKUP(H21,[1]SEMIELABORADOS!$A$2:$M$6000,2,0),"")</f>
        <v/>
      </c>
      <c r="C21" s="72">
        <f>+A21</f>
        <v>0</v>
      </c>
      <c r="D21" s="72" t="str">
        <f>IFERROR(VLOOKUP(H21,[1]SEMIELABORADOS!$A$2:$M$6000,6,0),"")</f>
        <v/>
      </c>
      <c r="E21" s="73" t="str">
        <f>IFERROR(VLOOKUP(H21,[1]SEMIELABORADOS!$A$2:$H$65536,8,0),"")</f>
        <v/>
      </c>
      <c r="F21" s="73" t="str">
        <f>IFERROR(E21*C21,"")</f>
        <v/>
      </c>
      <c r="G21" s="74" t="str">
        <f t="shared" si="3"/>
        <v/>
      </c>
      <c r="H21" s="75"/>
      <c r="I21" s="75"/>
      <c r="J21" s="76"/>
    </row>
    <row r="22" spans="1:12" ht="13.5" x14ac:dyDescent="0.25">
      <c r="A22" s="71"/>
      <c r="B22" s="59" t="str">
        <f>IFERROR(VLOOKUP(H22,[1]SEMIELABORADOS!$A$2:$M$6000,2,0),"")</f>
        <v/>
      </c>
      <c r="C22" s="72">
        <f t="shared" si="4"/>
        <v>0</v>
      </c>
      <c r="D22" s="72" t="str">
        <f>IFERROR(VLOOKUP(H22,[1]SEMIELABORADOS!$A$2:$M$6000,6,0),"")</f>
        <v/>
      </c>
      <c r="E22" s="73" t="str">
        <f>IFERROR(VLOOKUP(H22,[1]SEMIELABORADOS!$A$2:$H$65536,8,0),"")</f>
        <v/>
      </c>
      <c r="F22" s="73" t="str">
        <f t="shared" si="5"/>
        <v/>
      </c>
      <c r="G22" s="74" t="str">
        <f t="shared" si="3"/>
        <v/>
      </c>
      <c r="H22" s="75"/>
      <c r="I22" s="75"/>
      <c r="J22" s="76"/>
    </row>
    <row r="23" spans="1:12" ht="13.5" x14ac:dyDescent="0.25">
      <c r="A23" s="71"/>
      <c r="B23" s="59" t="str">
        <f>IFERROR(VLOOKUP(H23,[1]SEMIELABORADOS!$A$2:$M$6000,2,0),"")</f>
        <v/>
      </c>
      <c r="C23" s="72">
        <f t="shared" si="4"/>
        <v>0</v>
      </c>
      <c r="D23" s="72" t="str">
        <f>IFERROR(VLOOKUP(H23,[1]SEMIELABORADOS!$A$2:$M$6000,6,0),"")</f>
        <v/>
      </c>
      <c r="E23" s="73" t="str">
        <f>IFERROR(VLOOKUP(H23,[1]SEMIELABORADOS!$A$2:$H$65536,8,0),"")</f>
        <v/>
      </c>
      <c r="F23" s="73" t="str">
        <f t="shared" si="5"/>
        <v/>
      </c>
      <c r="G23" s="74" t="str">
        <f t="shared" si="3"/>
        <v/>
      </c>
      <c r="H23" s="75"/>
      <c r="I23" s="75"/>
      <c r="J23" s="76"/>
    </row>
    <row r="24" spans="1:12" ht="13.5" x14ac:dyDescent="0.25">
      <c r="A24" s="71"/>
      <c r="B24" s="59" t="str">
        <f>IFERROR(VLOOKUP(H24,[1]SEMIELABORADOS!$A$2:$M$6000,2,0),"")</f>
        <v/>
      </c>
      <c r="C24" s="72">
        <f t="shared" si="4"/>
        <v>0</v>
      </c>
      <c r="D24" s="72" t="str">
        <f>IFERROR(VLOOKUP(H24,[1]SEMIELABORADOS!$A$2:$M$6000,6,0),"")</f>
        <v/>
      </c>
      <c r="E24" s="73" t="str">
        <f>IFERROR(VLOOKUP(H24,[1]SEMIELABORADOS!$A$2:$H$65536,8,0),"")</f>
        <v/>
      </c>
      <c r="F24" s="73" t="str">
        <f t="shared" si="5"/>
        <v/>
      </c>
      <c r="G24" s="74" t="str">
        <f t="shared" si="3"/>
        <v/>
      </c>
      <c r="H24" s="75"/>
      <c r="I24" s="75"/>
      <c r="J24" s="76"/>
    </row>
    <row r="25" spans="1:12" ht="14.25" thickBot="1" x14ac:dyDescent="0.3">
      <c r="A25" s="71"/>
      <c r="C25" s="72"/>
      <c r="D25" s="72"/>
      <c r="E25" s="73"/>
      <c r="F25" s="73"/>
      <c r="G25" s="74"/>
      <c r="H25" s="75"/>
      <c r="I25" s="75"/>
      <c r="J25" s="76"/>
    </row>
    <row r="26" spans="1:12" ht="26.25" thickBot="1" x14ac:dyDescent="0.3">
      <c r="A26" s="66" t="s">
        <v>89</v>
      </c>
      <c r="B26" s="67" t="s">
        <v>97</v>
      </c>
      <c r="C26" s="67" t="s">
        <v>89</v>
      </c>
      <c r="D26" s="68" t="s">
        <v>91</v>
      </c>
      <c r="E26" s="68" t="s">
        <v>92</v>
      </c>
      <c r="F26" s="68" t="s">
        <v>93</v>
      </c>
      <c r="G26" s="68" t="s">
        <v>94</v>
      </c>
      <c r="H26" s="69" t="s">
        <v>95</v>
      </c>
      <c r="I26" s="70"/>
    </row>
    <row r="27" spans="1:12" ht="13.5" x14ac:dyDescent="0.25">
      <c r="A27" s="71">
        <v>0</v>
      </c>
      <c r="B27" s="77" t="str">
        <f>IFERROR(VLOOKUP(H27,'[1]Consolidado MP Planta'!$A$2:$M$823,3,0),"")</f>
        <v/>
      </c>
      <c r="C27" s="72">
        <f t="shared" ref="C27:C32" si="6">+A27</f>
        <v>0</v>
      </c>
      <c r="D27" s="73" t="str">
        <f>IFERROR(VLOOKUP(H27,'[1]Consolidado MP Planta'!$A$2:$M$823,13,0),"")</f>
        <v/>
      </c>
      <c r="E27" s="73" t="str">
        <f>IFERROR(VLOOKUP(H27,'[1]Consolidado MP Planta'!$A$2:$M$823,12,0),"")</f>
        <v/>
      </c>
      <c r="F27" s="73" t="str">
        <f t="shared" ref="F27:F32" si="7">IFERROR(C27*E27,"")</f>
        <v/>
      </c>
      <c r="G27" s="74" t="str">
        <f t="shared" ref="G27:G32" si="8">IFERROR(F27/$F$66,"")</f>
        <v/>
      </c>
      <c r="H27" s="78"/>
      <c r="I27" s="78"/>
      <c r="J27" s="76"/>
      <c r="K27" s="618"/>
      <c r="L27" s="618"/>
    </row>
    <row r="28" spans="1:12" ht="13.5" x14ac:dyDescent="0.25">
      <c r="A28" s="71"/>
      <c r="B28" s="77" t="str">
        <f>IFERROR(VLOOKUP(H28,'[1]Consolidado MP Planta'!$A$2:$M$823,3,0),"")</f>
        <v/>
      </c>
      <c r="C28" s="72">
        <f t="shared" si="6"/>
        <v>0</v>
      </c>
      <c r="D28" s="73" t="str">
        <f>IFERROR(VLOOKUP(H28,'[1]Consolidado MP Planta'!$A$2:$M$823,13,0),"")</f>
        <v/>
      </c>
      <c r="E28" s="73" t="str">
        <f>IFERROR(VLOOKUP(H28,'[1]Consolidado MP Planta'!$A$2:$M$823,12,0),"")</f>
        <v/>
      </c>
      <c r="F28" s="73" t="str">
        <f t="shared" si="7"/>
        <v/>
      </c>
      <c r="G28" s="74" t="str">
        <f t="shared" si="8"/>
        <v/>
      </c>
      <c r="H28" s="78"/>
      <c r="I28" s="78"/>
      <c r="J28" s="76"/>
      <c r="K28" s="618"/>
      <c r="L28" s="618"/>
    </row>
    <row r="29" spans="1:12" ht="13.5" x14ac:dyDescent="0.25">
      <c r="A29" s="71"/>
      <c r="B29" s="77" t="str">
        <f>IFERROR(VLOOKUP(H29,'[1]Consolidado MP Planta'!$A$2:$M$823,3,0),"")</f>
        <v/>
      </c>
      <c r="C29" s="72">
        <f t="shared" si="6"/>
        <v>0</v>
      </c>
      <c r="D29" s="73" t="str">
        <f>IFERROR(VLOOKUP(H29,'[1]Consolidado MP Planta'!$A$2:$M$823,13,0),"")</f>
        <v/>
      </c>
      <c r="E29" s="73" t="str">
        <f>IFERROR(VLOOKUP(H29,'[1]Consolidado MP Planta'!$A$2:$M$823,12,0),"")</f>
        <v/>
      </c>
      <c r="F29" s="73" t="str">
        <f t="shared" si="7"/>
        <v/>
      </c>
      <c r="G29" s="74" t="str">
        <f t="shared" si="8"/>
        <v/>
      </c>
      <c r="H29" s="78"/>
      <c r="I29" s="78"/>
      <c r="J29" s="76"/>
      <c r="K29" s="618"/>
      <c r="L29" s="618"/>
    </row>
    <row r="30" spans="1:12" ht="13.5" x14ac:dyDescent="0.25">
      <c r="A30" s="71"/>
      <c r="B30" s="77" t="str">
        <f>IFERROR(VLOOKUP(H30,'[1]Consolidado MP Planta'!$A$2:$M$823,3,0),"")</f>
        <v/>
      </c>
      <c r="C30" s="72">
        <f t="shared" si="6"/>
        <v>0</v>
      </c>
      <c r="D30" s="73" t="str">
        <f>IFERROR(VLOOKUP(H30,'[1]Consolidado MP Planta'!$A$2:$M$823,13,0),"")</f>
        <v/>
      </c>
      <c r="E30" s="73" t="str">
        <f>IFERROR(VLOOKUP(H30,'[1]Consolidado MP Planta'!$A$2:$M$823,12,0),"")</f>
        <v/>
      </c>
      <c r="F30" s="73" t="str">
        <f t="shared" si="7"/>
        <v/>
      </c>
      <c r="G30" s="74" t="str">
        <f t="shared" si="8"/>
        <v/>
      </c>
      <c r="H30" s="78"/>
      <c r="I30" s="78"/>
      <c r="J30" s="76"/>
      <c r="K30" s="618"/>
      <c r="L30" s="618"/>
    </row>
    <row r="31" spans="1:12" ht="13.5" x14ac:dyDescent="0.25">
      <c r="A31" s="71"/>
      <c r="B31" s="77" t="str">
        <f>IFERROR(VLOOKUP(H31,'[1]Consolidado MP Planta'!$A$2:$M$823,3,0),"")</f>
        <v/>
      </c>
      <c r="C31" s="72">
        <f t="shared" si="6"/>
        <v>0</v>
      </c>
      <c r="D31" s="73" t="str">
        <f>IFERROR(VLOOKUP(H31,'[1]Consolidado MP Planta'!$A$2:$M$823,13,0),"")</f>
        <v/>
      </c>
      <c r="E31" s="73" t="str">
        <f>IFERROR(VLOOKUP(H31,'[1]Consolidado MP Planta'!$A$2:$M$823,12,0),"")</f>
        <v/>
      </c>
      <c r="F31" s="73" t="str">
        <f t="shared" si="7"/>
        <v/>
      </c>
      <c r="G31" s="74" t="str">
        <f t="shared" si="8"/>
        <v/>
      </c>
      <c r="H31" s="78"/>
      <c r="I31" s="78"/>
      <c r="J31" s="76"/>
      <c r="K31" s="79"/>
      <c r="L31" s="80"/>
    </row>
    <row r="32" spans="1:12" ht="13.5" x14ac:dyDescent="0.25">
      <c r="A32" s="71"/>
      <c r="B32" s="77" t="str">
        <f>IFERROR(VLOOKUP(H32,'[1]Consolidado MP Planta'!$A$2:$M$823,3,0),"")</f>
        <v/>
      </c>
      <c r="C32" s="72">
        <f t="shared" si="6"/>
        <v>0</v>
      </c>
      <c r="D32" s="73" t="str">
        <f>IFERROR(VLOOKUP(H32,'[1]Consolidado MP Planta'!$A$2:$M$823,13,0),"")</f>
        <v/>
      </c>
      <c r="E32" s="73" t="str">
        <f>IFERROR(VLOOKUP(H32,'[1]Consolidado MP Planta'!$A$2:$M$823,12,0),"")</f>
        <v/>
      </c>
      <c r="F32" s="73" t="str">
        <f t="shared" si="7"/>
        <v/>
      </c>
      <c r="G32" s="74" t="str">
        <f t="shared" si="8"/>
        <v/>
      </c>
      <c r="H32" s="78"/>
      <c r="I32" s="78"/>
      <c r="J32" s="76"/>
    </row>
    <row r="33" spans="1:13" ht="14.25" thickBot="1" x14ac:dyDescent="0.3">
      <c r="A33" s="71"/>
      <c r="B33" s="77"/>
      <c r="C33" s="72"/>
      <c r="D33" s="73"/>
      <c r="E33" s="73"/>
      <c r="F33" s="73"/>
      <c r="G33" s="74"/>
      <c r="H33" s="78"/>
      <c r="I33" s="78"/>
      <c r="J33" s="76"/>
    </row>
    <row r="34" spans="1:13" ht="26.25" thickBot="1" x14ac:dyDescent="0.25">
      <c r="A34" s="66" t="s">
        <v>89</v>
      </c>
      <c r="B34" s="67" t="s">
        <v>98</v>
      </c>
      <c r="C34" s="67" t="s">
        <v>89</v>
      </c>
      <c r="D34" s="68" t="s">
        <v>91</v>
      </c>
      <c r="E34" s="68" t="s">
        <v>92</v>
      </c>
      <c r="F34" s="68" t="s">
        <v>93</v>
      </c>
      <c r="G34" s="68" t="s">
        <v>94</v>
      </c>
      <c r="H34" s="69" t="s">
        <v>95</v>
      </c>
      <c r="I34" s="78"/>
      <c r="J34" s="76"/>
    </row>
    <row r="35" spans="1:13" ht="13.5" x14ac:dyDescent="0.25">
      <c r="A35" s="71">
        <f>+A17</f>
        <v>300</v>
      </c>
      <c r="B35" s="77" t="s">
        <v>51</v>
      </c>
      <c r="C35" s="72">
        <f>+A35</f>
        <v>300</v>
      </c>
      <c r="D35" s="73" t="s">
        <v>136</v>
      </c>
      <c r="E35" s="73">
        <f>+'Costo Base Galleta Feullitine'!E76</f>
        <v>1.4952535460992908E-2</v>
      </c>
      <c r="F35" s="73">
        <f>IFERROR(E35*C35,"")</f>
        <v>4.4857606382978723</v>
      </c>
      <c r="G35" s="74">
        <f t="shared" ref="G35:G41" si="9">IFERROR(F35/$F$66,"")</f>
        <v>1.3416104551698012E-3</v>
      </c>
      <c r="H35" s="78" t="s">
        <v>50</v>
      </c>
      <c r="I35" s="78"/>
      <c r="J35" s="76"/>
    </row>
    <row r="36" spans="1:13" ht="13.5" x14ac:dyDescent="0.25">
      <c r="A36" s="71">
        <f t="shared" ref="A36:A41" si="10">+A18</f>
        <v>1000</v>
      </c>
      <c r="B36" s="77" t="s">
        <v>53</v>
      </c>
      <c r="C36" s="72">
        <f t="shared" ref="C36:C41" si="11">+A36</f>
        <v>1000</v>
      </c>
      <c r="D36" s="73" t="s">
        <v>136</v>
      </c>
      <c r="E36" s="73">
        <v>0</v>
      </c>
      <c r="F36" s="73">
        <f t="shared" ref="F36:F41" si="12">IFERROR(E36*C36,"")</f>
        <v>0</v>
      </c>
      <c r="G36" s="74">
        <f t="shared" si="9"/>
        <v>0</v>
      </c>
      <c r="H36" s="78" t="s">
        <v>52</v>
      </c>
      <c r="I36" s="78"/>
      <c r="J36" s="76"/>
    </row>
    <row r="37" spans="1:13" ht="13.5" x14ac:dyDescent="0.25">
      <c r="A37" s="71">
        <f t="shared" si="10"/>
        <v>80</v>
      </c>
      <c r="B37" s="77" t="s">
        <v>56</v>
      </c>
      <c r="C37" s="72">
        <f t="shared" si="11"/>
        <v>80</v>
      </c>
      <c r="D37" s="73" t="str">
        <f>IFERROR(VLOOKUP(H37,[1]SEMIELABORADOS!$A$2:$M$6000,6,0),"")</f>
        <v/>
      </c>
      <c r="E37" s="73" t="str">
        <f>IFERROR(VLOOKUP(H37,[1]SEMIELABORADOS!$A$2:$M$65536,10,0),"")</f>
        <v/>
      </c>
      <c r="F37" s="73" t="str">
        <f t="shared" si="12"/>
        <v/>
      </c>
      <c r="G37" s="74" t="str">
        <f t="shared" si="9"/>
        <v/>
      </c>
      <c r="H37" s="78" t="s">
        <v>55</v>
      </c>
      <c r="I37" s="78"/>
      <c r="J37" s="76"/>
    </row>
    <row r="38" spans="1:13" ht="13.5" x14ac:dyDescent="0.25">
      <c r="A38" s="71">
        <f t="shared" si="10"/>
        <v>0</v>
      </c>
      <c r="B38" s="77" t="str">
        <f>IFERROR(VLOOKUP(H38,[1]SEMIELABORADOS!$A$2:$M$6000,2,0),"")</f>
        <v/>
      </c>
      <c r="C38" s="72">
        <f>+A38</f>
        <v>0</v>
      </c>
      <c r="D38" s="73" t="str">
        <f>IFERROR(VLOOKUP(H38,[1]SEMIELABORADOS!$A$2:$M$6000,6,0),"")</f>
        <v/>
      </c>
      <c r="E38" s="73" t="str">
        <f>IFERROR(VLOOKUP(H38,[1]SEMIELABORADOS!$A$2:$M$65536,10,0),"")</f>
        <v/>
      </c>
      <c r="F38" s="73" t="str">
        <f>IFERROR(E38*C38,"")</f>
        <v/>
      </c>
      <c r="G38" s="74" t="str">
        <f t="shared" si="9"/>
        <v/>
      </c>
      <c r="H38" s="78"/>
      <c r="I38" s="78"/>
      <c r="J38" s="76"/>
    </row>
    <row r="39" spans="1:13" ht="13.5" x14ac:dyDescent="0.25">
      <c r="A39" s="71">
        <f t="shared" si="10"/>
        <v>0</v>
      </c>
      <c r="B39" s="77" t="str">
        <f>IFERROR(VLOOKUP(H39,[1]SEMIELABORADOS!$A$2:$M$6000,2,0),"")</f>
        <v/>
      </c>
      <c r="C39" s="72">
        <f>+A39</f>
        <v>0</v>
      </c>
      <c r="D39" s="73" t="str">
        <f>IFERROR(VLOOKUP(H39,[1]SEMIELABORADOS!$A$2:$M$6000,6,0),"")</f>
        <v/>
      </c>
      <c r="E39" s="73" t="str">
        <f>IFERROR(VLOOKUP(H39,[1]SEMIELABORADOS!$A$2:$M$65536,10,0),"")</f>
        <v/>
      </c>
      <c r="F39" s="73" t="str">
        <f>IFERROR(E39*C39,"")</f>
        <v/>
      </c>
      <c r="G39" s="74" t="str">
        <f t="shared" si="9"/>
        <v/>
      </c>
      <c r="H39" s="78"/>
      <c r="I39" s="78"/>
      <c r="J39" s="76"/>
    </row>
    <row r="40" spans="1:13" ht="13.5" x14ac:dyDescent="0.25">
      <c r="A40" s="71">
        <f t="shared" si="10"/>
        <v>0</v>
      </c>
      <c r="B40" s="77" t="str">
        <f>IFERROR(VLOOKUP(H40,[1]SEMIELABORADOS!$A$2:$M$6000,2,0),"")</f>
        <v/>
      </c>
      <c r="C40" s="72">
        <f t="shared" si="11"/>
        <v>0</v>
      </c>
      <c r="D40" s="73" t="str">
        <f>IFERROR(VLOOKUP(H40,[1]SEMIELABORADOS!$A$2:$M$6000,6,0),"")</f>
        <v/>
      </c>
      <c r="E40" s="73" t="str">
        <f>IFERROR(VLOOKUP(H40,[1]SEMIELABORADOS!$A$2:$M$65536,10,0),"")</f>
        <v/>
      </c>
      <c r="F40" s="73" t="str">
        <f t="shared" si="12"/>
        <v/>
      </c>
      <c r="G40" s="74" t="str">
        <f t="shared" si="9"/>
        <v/>
      </c>
      <c r="H40" s="78"/>
      <c r="I40" s="78"/>
      <c r="J40" s="76"/>
    </row>
    <row r="41" spans="1:13" ht="13.5" x14ac:dyDescent="0.25">
      <c r="A41" s="71">
        <f t="shared" si="10"/>
        <v>0</v>
      </c>
      <c r="B41" s="77" t="str">
        <f>IFERROR(VLOOKUP(H41,[1]SEMIELABORADOS!$A$2:$M$6000,2,0),"")</f>
        <v/>
      </c>
      <c r="C41" s="72">
        <f t="shared" si="11"/>
        <v>0</v>
      </c>
      <c r="D41" s="73" t="str">
        <f>IFERROR(VLOOKUP(H41,[1]SEMIELABORADOS!$A$2:$M$6000,6,0),"")</f>
        <v/>
      </c>
      <c r="E41" s="73" t="str">
        <f>IFERROR(VLOOKUP(H41,[1]SEMIELABORADOS!$A$2:$M$65536,10,0),"")</f>
        <v/>
      </c>
      <c r="F41" s="73" t="str">
        <f t="shared" si="12"/>
        <v/>
      </c>
      <c r="G41" s="74" t="str">
        <f t="shared" si="9"/>
        <v/>
      </c>
      <c r="H41" s="78"/>
      <c r="I41" s="78"/>
      <c r="J41" s="76"/>
    </row>
    <row r="42" spans="1:13" ht="14.25" thickBot="1" x14ac:dyDescent="0.3">
      <c r="A42" s="71"/>
      <c r="B42" s="77"/>
      <c r="C42" s="72"/>
      <c r="D42" s="73"/>
      <c r="E42" s="73"/>
      <c r="F42" s="73"/>
      <c r="G42" s="74"/>
      <c r="H42" s="78"/>
      <c r="I42" s="78"/>
      <c r="J42" s="76"/>
    </row>
    <row r="43" spans="1:13" ht="26.25" thickBot="1" x14ac:dyDescent="0.3">
      <c r="A43" s="66" t="s">
        <v>89</v>
      </c>
      <c r="B43" s="67" t="s">
        <v>99</v>
      </c>
      <c r="C43" s="67" t="s">
        <v>89</v>
      </c>
      <c r="D43" s="68" t="s">
        <v>91</v>
      </c>
      <c r="E43" s="68" t="s">
        <v>92</v>
      </c>
      <c r="F43" s="68" t="s">
        <v>93</v>
      </c>
      <c r="G43" s="68" t="s">
        <v>94</v>
      </c>
      <c r="H43" s="69" t="s">
        <v>95</v>
      </c>
      <c r="I43" s="70"/>
      <c r="J43" s="76"/>
    </row>
    <row r="44" spans="1:13" ht="13.5" x14ac:dyDescent="0.25">
      <c r="A44" s="71">
        <f>+A35</f>
        <v>300</v>
      </c>
      <c r="B44" s="77" t="s">
        <v>51</v>
      </c>
      <c r="C44" s="72">
        <f>+A44</f>
        <v>300</v>
      </c>
      <c r="D44" s="73" t="s">
        <v>136</v>
      </c>
      <c r="E44" s="73">
        <f>+'Costo Base Galleta Feullitine'!E74</f>
        <v>7.4809441489361708E-2</v>
      </c>
      <c r="F44" s="73">
        <f>IFERROR(E44*C44,"")</f>
        <v>22.442832446808513</v>
      </c>
      <c r="G44" s="74">
        <f>IFERROR(F44/$F$66,"")</f>
        <v>6.7122481741886831E-3</v>
      </c>
      <c r="H44" s="78" t="s">
        <v>50</v>
      </c>
      <c r="I44" s="70"/>
      <c r="J44" s="76"/>
    </row>
    <row r="45" spans="1:13" ht="13.5" x14ac:dyDescent="0.25">
      <c r="A45" s="71">
        <f t="shared" ref="A45:A50" si="13">+A36</f>
        <v>1000</v>
      </c>
      <c r="B45" s="77" t="s">
        <v>53</v>
      </c>
      <c r="C45" s="72">
        <f t="shared" ref="C45:C50" si="14">+A45</f>
        <v>1000</v>
      </c>
      <c r="D45" s="73" t="s">
        <v>136</v>
      </c>
      <c r="E45" s="73">
        <v>0.02</v>
      </c>
      <c r="F45" s="73">
        <f t="shared" ref="F45:F50" si="15">IFERROR(E45*C45,"")</f>
        <v>20</v>
      </c>
      <c r="G45" s="74">
        <f t="shared" ref="G45:G50" si="16">IFERROR(F45/$F$66,"")</f>
        <v>5.9816408558031183E-3</v>
      </c>
      <c r="H45" s="78" t="s">
        <v>52</v>
      </c>
      <c r="I45" s="70"/>
      <c r="J45" s="76"/>
      <c r="M45" s="81"/>
    </row>
    <row r="46" spans="1:13" ht="13.5" x14ac:dyDescent="0.25">
      <c r="A46" s="71">
        <f t="shared" si="13"/>
        <v>80</v>
      </c>
      <c r="B46" s="77" t="s">
        <v>56</v>
      </c>
      <c r="C46" s="72">
        <f t="shared" si="14"/>
        <v>80</v>
      </c>
      <c r="D46" s="73" t="str">
        <f>IFERROR(VLOOKUP(H46,[1]SEMIELABORADOS!$A$2:$M$6000,6,0),"")</f>
        <v/>
      </c>
      <c r="E46" s="73" t="str">
        <f>IFERROR(VLOOKUP(H46,[1]SEMIELABORADOS!$A$2:$M$65536,12,0),"")</f>
        <v/>
      </c>
      <c r="F46" s="73" t="str">
        <f t="shared" si="15"/>
        <v/>
      </c>
      <c r="G46" s="74" t="str">
        <f t="shared" si="16"/>
        <v/>
      </c>
      <c r="H46" s="78" t="s">
        <v>55</v>
      </c>
      <c r="I46" s="70"/>
      <c r="J46" s="76"/>
    </row>
    <row r="47" spans="1:13" ht="13.5" x14ac:dyDescent="0.25">
      <c r="A47" s="71">
        <f t="shared" si="13"/>
        <v>0</v>
      </c>
      <c r="B47" s="77" t="str">
        <f>IFERROR(VLOOKUP(H47,[1]SEMIELABORADOS!$A$2:$M$6000,2,0),"")</f>
        <v/>
      </c>
      <c r="C47" s="72">
        <f t="shared" si="14"/>
        <v>0</v>
      </c>
      <c r="D47" s="73" t="str">
        <f>IFERROR(VLOOKUP(H47,[1]SEMIELABORADOS!$A$2:$M$6000,6,0),"")</f>
        <v/>
      </c>
      <c r="E47" s="73" t="str">
        <f>IFERROR(VLOOKUP(H47,[1]SEMIELABORADOS!$A$2:$M$65536,12,0),"")</f>
        <v/>
      </c>
      <c r="F47" s="73" t="str">
        <f t="shared" si="15"/>
        <v/>
      </c>
      <c r="G47" s="74" t="str">
        <f t="shared" si="16"/>
        <v/>
      </c>
      <c r="H47" s="78"/>
      <c r="I47" s="70"/>
      <c r="J47" s="76"/>
    </row>
    <row r="48" spans="1:13" ht="13.5" x14ac:dyDescent="0.25">
      <c r="A48" s="71">
        <f t="shared" si="13"/>
        <v>0</v>
      </c>
      <c r="B48" s="77" t="str">
        <f>IFERROR(VLOOKUP(H48,[1]SEMIELABORADOS!$A$2:$M$6000,2,0),"")</f>
        <v/>
      </c>
      <c r="C48" s="72">
        <f t="shared" si="14"/>
        <v>0</v>
      </c>
      <c r="D48" s="73" t="str">
        <f>IFERROR(VLOOKUP(H48,[1]SEMIELABORADOS!$A$2:$M$6000,6,0),"")</f>
        <v/>
      </c>
      <c r="E48" s="73" t="str">
        <f>IFERROR(VLOOKUP(H48,[1]SEMIELABORADOS!$A$2:$M$65536,12,0),"")</f>
        <v/>
      </c>
      <c r="F48" s="73" t="str">
        <f t="shared" si="15"/>
        <v/>
      </c>
      <c r="G48" s="74" t="str">
        <f t="shared" si="16"/>
        <v/>
      </c>
      <c r="H48" s="78"/>
      <c r="I48" s="70"/>
      <c r="J48" s="76"/>
    </row>
    <row r="49" spans="1:17" ht="13.5" x14ac:dyDescent="0.25">
      <c r="A49" s="71">
        <f t="shared" si="13"/>
        <v>0</v>
      </c>
      <c r="B49" s="77" t="str">
        <f>IFERROR(VLOOKUP(H49,[1]SEMIELABORADOS!$A$2:$M$6000,2,0),"")</f>
        <v/>
      </c>
      <c r="C49" s="72">
        <f t="shared" si="14"/>
        <v>0</v>
      </c>
      <c r="D49" s="73" t="str">
        <f>IFERROR(VLOOKUP(H49,[1]SEMIELABORADOS!$A$2:$M$6000,6,0),"")</f>
        <v/>
      </c>
      <c r="E49" s="73" t="str">
        <f>IFERROR(VLOOKUP(H49,[1]SEMIELABORADOS!$A$2:$M$65536,12,0),"")</f>
        <v/>
      </c>
      <c r="F49" s="73" t="str">
        <f t="shared" si="15"/>
        <v/>
      </c>
      <c r="G49" s="74" t="str">
        <f t="shared" si="16"/>
        <v/>
      </c>
      <c r="H49" s="78"/>
      <c r="I49" s="70"/>
      <c r="J49" s="76"/>
    </row>
    <row r="50" spans="1:17" ht="13.5" x14ac:dyDescent="0.25">
      <c r="A50" s="71">
        <f t="shared" si="13"/>
        <v>0</v>
      </c>
      <c r="B50" s="77" t="str">
        <f>IFERROR(VLOOKUP(H50,[1]SEMIELABORADOS!$A$2:$M$6000,2,0),"")</f>
        <v/>
      </c>
      <c r="C50" s="72">
        <f t="shared" si="14"/>
        <v>0</v>
      </c>
      <c r="D50" s="73" t="str">
        <f>IFERROR(VLOOKUP(H50,[1]SEMIELABORADOS!$A$2:$M$6000,6,0),"")</f>
        <v/>
      </c>
      <c r="E50" s="73" t="str">
        <f>IFERROR(VLOOKUP(H50,[1]SEMIELABORADOS!$A$2:$M$65536,12,0),"")</f>
        <v/>
      </c>
      <c r="F50" s="73" t="str">
        <f t="shared" si="15"/>
        <v/>
      </c>
      <c r="G50" s="74" t="str">
        <f t="shared" si="16"/>
        <v/>
      </c>
      <c r="H50" s="77"/>
      <c r="I50" s="70"/>
      <c r="J50" s="76"/>
    </row>
    <row r="51" spans="1:17" ht="13.5" x14ac:dyDescent="0.25">
      <c r="A51" s="71">
        <v>1</v>
      </c>
      <c r="B51" s="77" t="s">
        <v>100</v>
      </c>
      <c r="C51" s="72">
        <f>+A51</f>
        <v>1</v>
      </c>
      <c r="D51" s="72" t="s">
        <v>101</v>
      </c>
      <c r="E51" s="73">
        <f>+F65</f>
        <v>0</v>
      </c>
      <c r="F51" s="73">
        <f>IFERROR(C51*E51,"")</f>
        <v>0</v>
      </c>
      <c r="G51" s="74">
        <f>IFERROR(F51/$F$66,"")</f>
        <v>0</v>
      </c>
      <c r="H51" s="82"/>
      <c r="I51" s="82"/>
      <c r="J51" s="76"/>
    </row>
    <row r="52" spans="1:17" ht="14.25" thickBot="1" x14ac:dyDescent="0.3">
      <c r="A52" s="71"/>
      <c r="B52" s="77"/>
      <c r="C52" s="72"/>
      <c r="D52" s="72"/>
      <c r="E52" s="73"/>
      <c r="F52" s="73"/>
      <c r="G52" s="74"/>
      <c r="H52" s="82"/>
      <c r="I52" s="82"/>
      <c r="J52" s="76"/>
    </row>
    <row r="53" spans="1:17" ht="13.5" thickBot="1" x14ac:dyDescent="0.3">
      <c r="A53" s="83"/>
      <c r="B53" s="619" t="s">
        <v>102</v>
      </c>
      <c r="C53" s="619"/>
      <c r="D53" s="619"/>
      <c r="E53" s="619"/>
      <c r="F53" s="85">
        <f>SUM(F8:F14,F17:F24)</f>
        <v>3273.6062765957449</v>
      </c>
      <c r="G53" s="74">
        <f>+F53/$F$66</f>
        <v>0.97907685249493148</v>
      </c>
      <c r="H53" s="86" t="e">
        <f>+F53/$D$60</f>
        <v>#DIV/0!</v>
      </c>
      <c r="I53" s="86"/>
      <c r="J53" s="87"/>
      <c r="K53" s="88"/>
      <c r="L53" s="88"/>
      <c r="M53" s="88"/>
      <c r="N53" s="88"/>
      <c r="O53" s="88"/>
      <c r="P53" s="88"/>
      <c r="Q53" s="89"/>
    </row>
    <row r="54" spans="1:17" x14ac:dyDescent="0.2">
      <c r="A54" s="83"/>
      <c r="B54" s="619" t="s">
        <v>103</v>
      </c>
      <c r="C54" s="619"/>
      <c r="D54" s="619"/>
      <c r="E54" s="619"/>
      <c r="F54" s="85">
        <f>SUM(F27:F32,F35:F41)</f>
        <v>4.4857606382978723</v>
      </c>
      <c r="G54" s="74">
        <f>+F54/$F$66</f>
        <v>1.3416104551698012E-3</v>
      </c>
      <c r="H54" s="86" t="e">
        <f>+F54/$D$60</f>
        <v>#DIV/0!</v>
      </c>
      <c r="I54" s="86"/>
      <c r="J54" s="90"/>
      <c r="K54" s="620" t="s">
        <v>104</v>
      </c>
      <c r="L54" s="621"/>
      <c r="M54" s="621"/>
      <c r="N54" s="621"/>
      <c r="O54" s="91">
        <f>+F55</f>
        <v>3278.0920372340429</v>
      </c>
      <c r="P54" s="91"/>
      <c r="Q54" s="92"/>
    </row>
    <row r="55" spans="1:17" x14ac:dyDescent="0.2">
      <c r="A55" s="83"/>
      <c r="B55" s="619" t="s">
        <v>105</v>
      </c>
      <c r="C55" s="619"/>
      <c r="D55" s="619"/>
      <c r="E55" s="619"/>
      <c r="F55" s="85">
        <f>+F53+F54</f>
        <v>3278.0920372340429</v>
      </c>
      <c r="G55" s="74">
        <f>+F55/$F$66</f>
        <v>0.98041846295010138</v>
      </c>
      <c r="H55" s="86" t="e">
        <f>+F55/$D$60</f>
        <v>#DIV/0!</v>
      </c>
      <c r="I55" s="86"/>
      <c r="J55" s="93"/>
      <c r="K55" s="94"/>
      <c r="M55" s="95" t="s">
        <v>106</v>
      </c>
      <c r="N55" s="96"/>
      <c r="O55" s="91" t="e">
        <f>+H56</f>
        <v>#DIV/0!</v>
      </c>
      <c r="P55" s="91"/>
      <c r="Q55" s="92"/>
    </row>
    <row r="56" spans="1:17" ht="13.5" thickBot="1" x14ac:dyDescent="0.25">
      <c r="A56" s="83"/>
      <c r="B56" s="84"/>
      <c r="C56" s="619" t="s">
        <v>107</v>
      </c>
      <c r="D56" s="619"/>
      <c r="E56" s="619"/>
      <c r="F56" s="85">
        <f>SUM(F44:F51)</f>
        <v>42.442832446808509</v>
      </c>
      <c r="G56" s="74">
        <f>+F56/$F$66</f>
        <v>1.2693889029991799E-2</v>
      </c>
      <c r="H56" s="86" t="e">
        <f>+F56/$D$60</f>
        <v>#DIV/0!</v>
      </c>
      <c r="I56" s="86"/>
      <c r="J56" s="93"/>
      <c r="K56" s="94"/>
      <c r="L56" s="94"/>
      <c r="M56" s="94" t="s">
        <v>108</v>
      </c>
      <c r="N56" s="97"/>
      <c r="O56" s="91">
        <f>O54*N56</f>
        <v>0</v>
      </c>
      <c r="P56" s="91"/>
      <c r="Q56" s="92"/>
    </row>
    <row r="57" spans="1:17" ht="13.5" thickBot="1" x14ac:dyDescent="0.25">
      <c r="A57" s="83"/>
      <c r="B57" s="98"/>
      <c r="C57" s="98"/>
      <c r="D57" s="98"/>
      <c r="E57" s="98"/>
      <c r="F57" s="99"/>
      <c r="G57" s="74"/>
      <c r="H57" s="100"/>
      <c r="I57" s="86"/>
      <c r="J57" s="93"/>
      <c r="K57" s="101"/>
      <c r="M57" s="102" t="s">
        <v>109</v>
      </c>
      <c r="N57" s="103"/>
      <c r="O57" s="104" t="e">
        <f>SUM(O54:O56)</f>
        <v>#DIV/0!</v>
      </c>
      <c r="P57" s="105"/>
      <c r="Q57" s="92"/>
    </row>
    <row r="58" spans="1:17" x14ac:dyDescent="0.2">
      <c r="B58" s="622" t="s">
        <v>110</v>
      </c>
      <c r="C58" s="622"/>
      <c r="D58" s="106"/>
      <c r="E58" s="107"/>
      <c r="G58" s="74"/>
      <c r="H58" s="100" t="e">
        <f>+H56/77</f>
        <v>#DIV/0!</v>
      </c>
      <c r="I58" s="108"/>
      <c r="J58" s="93"/>
      <c r="K58" s="101"/>
      <c r="L58" s="94"/>
      <c r="M58" s="94" t="s">
        <v>111</v>
      </c>
      <c r="N58" s="109"/>
      <c r="O58" s="91" t="e">
        <f>+H59</f>
        <v>#DIV/0!</v>
      </c>
      <c r="P58" s="91"/>
      <c r="Q58" s="92"/>
    </row>
    <row r="59" spans="1:17" x14ac:dyDescent="0.2">
      <c r="B59" s="622" t="s">
        <v>112</v>
      </c>
      <c r="C59" s="622"/>
      <c r="D59" s="110"/>
      <c r="E59" s="107"/>
      <c r="G59" s="74"/>
      <c r="H59" s="100" t="e">
        <f>+H58*83</f>
        <v>#DIV/0!</v>
      </c>
      <c r="I59" s="108"/>
      <c r="J59" s="93"/>
      <c r="K59" s="101"/>
      <c r="L59" s="94"/>
      <c r="M59" s="623" t="s">
        <v>109</v>
      </c>
      <c r="N59" s="623"/>
      <c r="O59" s="91" t="e">
        <f>SUM(O57:O58)</f>
        <v>#DIV/0!</v>
      </c>
      <c r="P59" s="91"/>
      <c r="Q59" s="92"/>
    </row>
    <row r="60" spans="1:17" ht="13.5" thickBot="1" x14ac:dyDescent="0.25">
      <c r="B60" s="614" t="s">
        <v>113</v>
      </c>
      <c r="C60" s="614"/>
      <c r="D60" s="106" t="e">
        <f>+D58/D59</f>
        <v>#DIV/0!</v>
      </c>
      <c r="E60" s="107"/>
      <c r="F60" s="111"/>
      <c r="G60" s="74"/>
      <c r="H60" s="100"/>
      <c r="I60" s="108"/>
      <c r="J60" s="93"/>
      <c r="K60" s="101"/>
      <c r="L60" s="623"/>
      <c r="M60" s="623"/>
      <c r="N60" s="109"/>
      <c r="O60" s="91" t="e">
        <f>+O59*N60</f>
        <v>#DIV/0!</v>
      </c>
      <c r="P60" s="91"/>
      <c r="Q60" s="92"/>
    </row>
    <row r="61" spans="1:17" ht="13.5" thickBot="1" x14ac:dyDescent="0.25">
      <c r="B61" s="614" t="s">
        <v>114</v>
      </c>
      <c r="C61" s="614"/>
      <c r="D61" s="112"/>
      <c r="E61" s="107"/>
      <c r="F61" s="111"/>
      <c r="G61" s="74"/>
      <c r="H61" s="100"/>
      <c r="I61" s="108"/>
      <c r="J61" s="93"/>
      <c r="K61" s="615" t="s">
        <v>115</v>
      </c>
      <c r="L61" s="616"/>
      <c r="M61" s="616"/>
      <c r="N61" s="617"/>
      <c r="O61" s="104" t="e">
        <f>SUM(O59:O60)</f>
        <v>#DIV/0!</v>
      </c>
      <c r="P61" s="113" t="s">
        <v>116</v>
      </c>
      <c r="Q61" s="92"/>
    </row>
    <row r="62" spans="1:17" ht="13.5" thickBot="1" x14ac:dyDescent="0.25">
      <c r="C62" s="83" t="s">
        <v>117</v>
      </c>
      <c r="D62" s="114"/>
      <c r="E62" s="57" t="s">
        <v>118</v>
      </c>
      <c r="F62" s="115" t="s">
        <v>119</v>
      </c>
      <c r="G62" s="74"/>
      <c r="H62" s="100"/>
      <c r="I62" s="108"/>
      <c r="J62" s="116"/>
      <c r="K62" s="117"/>
      <c r="L62" s="603" t="s">
        <v>120</v>
      </c>
      <c r="M62" s="603"/>
      <c r="N62" s="603"/>
      <c r="O62" s="118" t="e">
        <f>+O61/D60</f>
        <v>#DIV/0!</v>
      </c>
      <c r="P62" s="119" t="e">
        <f>+O62/D59</f>
        <v>#DIV/0!</v>
      </c>
      <c r="Q62" s="120"/>
    </row>
    <row r="63" spans="1:17" ht="13.5" thickBot="1" x14ac:dyDescent="0.25">
      <c r="B63" s="604" t="s">
        <v>105</v>
      </c>
      <c r="C63" s="604"/>
      <c r="D63" s="604"/>
      <c r="E63" s="121">
        <f>+F63/F63</f>
        <v>1</v>
      </c>
      <c r="F63" s="122">
        <f>SUM(F55)</f>
        <v>3278.0920372340429</v>
      </c>
      <c r="G63" s="74">
        <f>+F63/$F$66</f>
        <v>0.98041846295010138</v>
      </c>
      <c r="H63" s="100"/>
      <c r="I63" s="108"/>
      <c r="K63" s="605"/>
      <c r="L63" s="606"/>
      <c r="M63" s="606"/>
      <c r="N63" s="606"/>
      <c r="O63" s="123"/>
      <c r="P63" s="124"/>
    </row>
    <row r="64" spans="1:17" ht="13.5" thickBot="1" x14ac:dyDescent="0.3">
      <c r="B64" s="607" t="s">
        <v>121</v>
      </c>
      <c r="C64" s="607"/>
      <c r="D64" s="607"/>
      <c r="E64" s="125">
        <v>0.02</v>
      </c>
      <c r="F64" s="122">
        <f>+F53*E64</f>
        <v>65.472125531914898</v>
      </c>
      <c r="G64" s="74">
        <f>+F64/$F$66</f>
        <v>1.958153704989863E-2</v>
      </c>
      <c r="H64" s="86"/>
      <c r="I64" s="108"/>
      <c r="J64" s="126"/>
      <c r="O64" s="127"/>
      <c r="P64" s="84"/>
    </row>
    <row r="65" spans="2:13" ht="13.5" thickBot="1" x14ac:dyDescent="0.3">
      <c r="B65" s="608" t="s">
        <v>122</v>
      </c>
      <c r="C65" s="609"/>
      <c r="D65" s="128">
        <v>0</v>
      </c>
      <c r="E65" s="129">
        <v>77</v>
      </c>
      <c r="F65" s="122">
        <f>+E65*D65</f>
        <v>0</v>
      </c>
      <c r="G65" s="74">
        <f>+F65/$F$66</f>
        <v>0</v>
      </c>
      <c r="H65" s="86"/>
      <c r="I65" s="86"/>
      <c r="J65" s="76"/>
    </row>
    <row r="66" spans="2:13" ht="13.5" thickBot="1" x14ac:dyDescent="0.3">
      <c r="B66" s="610" t="s">
        <v>123</v>
      </c>
      <c r="C66" s="611"/>
      <c r="D66" s="611"/>
      <c r="E66" s="612"/>
      <c r="F66" s="99">
        <f>SUM(F63:F65)</f>
        <v>3343.5641627659579</v>
      </c>
      <c r="G66" s="74">
        <f>+F66/$F$66</f>
        <v>1</v>
      </c>
      <c r="H66" s="613"/>
      <c r="I66" s="86"/>
      <c r="J66" s="76"/>
      <c r="M66" s="59" t="s">
        <v>124</v>
      </c>
    </row>
    <row r="67" spans="2:13" x14ac:dyDescent="0.25">
      <c r="C67" s="81"/>
      <c r="D67" s="81"/>
      <c r="E67" s="131"/>
      <c r="F67" s="122"/>
      <c r="G67" s="74"/>
      <c r="H67" s="613"/>
      <c r="I67" s="130"/>
      <c r="J67" s="59"/>
      <c r="M67" s="59" t="s">
        <v>125</v>
      </c>
    </row>
    <row r="68" spans="2:13" ht="13.5" thickBot="1" x14ac:dyDescent="0.3">
      <c r="B68" s="598" t="s">
        <v>126</v>
      </c>
      <c r="C68" s="598"/>
      <c r="D68" s="598"/>
      <c r="E68" s="598"/>
      <c r="F68" s="598"/>
      <c r="G68" s="74"/>
      <c r="H68" s="133"/>
      <c r="I68" s="130"/>
      <c r="J68" s="59"/>
      <c r="M68" s="59" t="s">
        <v>127</v>
      </c>
    </row>
    <row r="69" spans="2:13" ht="13.5" thickBot="1" x14ac:dyDescent="0.3">
      <c r="B69" s="134" t="s">
        <v>128</v>
      </c>
      <c r="C69" s="135">
        <f>+F53</f>
        <v>3273.6062765957449</v>
      </c>
      <c r="D69" s="135">
        <f>+D58</f>
        <v>0</v>
      </c>
      <c r="E69" s="136" t="e">
        <f>+C69/D69</f>
        <v>#DIV/0!</v>
      </c>
      <c r="F69" s="74"/>
      <c r="G69" s="133"/>
      <c r="H69" s="76"/>
      <c r="I69" s="133"/>
      <c r="J69" s="59"/>
    </row>
    <row r="70" spans="2:13" x14ac:dyDescent="0.25">
      <c r="B70" s="137"/>
      <c r="C70" s="138"/>
      <c r="D70" s="139"/>
      <c r="E70" s="122"/>
      <c r="F70" s="74"/>
      <c r="G70" s="133"/>
      <c r="H70" s="76"/>
      <c r="I70" s="76"/>
      <c r="J70" s="59"/>
    </row>
    <row r="71" spans="2:13" x14ac:dyDescent="0.25">
      <c r="B71" s="134" t="s">
        <v>129</v>
      </c>
      <c r="C71" s="135">
        <f>SUM(F63:F64)</f>
        <v>3343.5641627659579</v>
      </c>
      <c r="D71" s="135">
        <f>+D58</f>
        <v>0</v>
      </c>
      <c r="E71" s="140" t="e">
        <f>+C71/D71</f>
        <v>#DIV/0!</v>
      </c>
      <c r="F71" s="74"/>
      <c r="G71" s="133"/>
      <c r="H71" s="76"/>
      <c r="I71" s="76"/>
      <c r="J71" s="59"/>
    </row>
    <row r="72" spans="2:13" x14ac:dyDescent="0.25">
      <c r="B72" s="134"/>
      <c r="C72" s="135"/>
      <c r="D72" s="135"/>
      <c r="E72" s="140"/>
      <c r="F72" s="74"/>
      <c r="G72" s="133"/>
      <c r="H72" s="76"/>
      <c r="I72" s="76"/>
      <c r="J72" s="59"/>
    </row>
    <row r="73" spans="2:13" ht="13.5" thickBot="1" x14ac:dyDescent="0.3">
      <c r="B73" s="134" t="s">
        <v>130</v>
      </c>
      <c r="C73" s="135">
        <f>+F65</f>
        <v>0</v>
      </c>
      <c r="D73" s="135">
        <f>+D58</f>
        <v>0</v>
      </c>
      <c r="E73" s="140" t="e">
        <f>+C73/D73</f>
        <v>#DIV/0!</v>
      </c>
      <c r="F73" s="74"/>
      <c r="G73" s="133"/>
      <c r="H73" s="76"/>
      <c r="I73" s="76"/>
      <c r="J73" s="59"/>
    </row>
    <row r="74" spans="2:13" ht="13.5" thickBot="1" x14ac:dyDescent="0.3">
      <c r="B74" s="134" t="s">
        <v>131</v>
      </c>
      <c r="C74" s="135">
        <f>+F56</f>
        <v>42.442832446808509</v>
      </c>
      <c r="D74" s="135">
        <f>+D73</f>
        <v>0</v>
      </c>
      <c r="E74" s="136" t="e">
        <f>+C74/D74</f>
        <v>#DIV/0!</v>
      </c>
      <c r="F74" s="74"/>
      <c r="G74" s="133"/>
      <c r="H74" s="76"/>
      <c r="I74" s="76"/>
      <c r="J74" s="59"/>
    </row>
    <row r="75" spans="2:13" ht="13.5" thickBot="1" x14ac:dyDescent="0.3">
      <c r="B75" s="98"/>
      <c r="C75" s="99"/>
      <c r="D75" s="99"/>
      <c r="E75" s="140"/>
      <c r="F75" s="74"/>
      <c r="G75" s="133"/>
      <c r="H75" s="76"/>
      <c r="I75" s="76"/>
      <c r="J75" s="59"/>
    </row>
    <row r="76" spans="2:13" ht="13.5" thickBot="1" x14ac:dyDescent="0.3">
      <c r="B76" s="134" t="s">
        <v>132</v>
      </c>
      <c r="C76" s="135">
        <f>+F54</f>
        <v>4.4857606382978723</v>
      </c>
      <c r="D76" s="135">
        <f>+D74</f>
        <v>0</v>
      </c>
      <c r="E76" s="136" t="e">
        <f>+C76/D76</f>
        <v>#DIV/0!</v>
      </c>
      <c r="F76" s="74"/>
      <c r="G76" s="133"/>
      <c r="H76" s="76"/>
      <c r="I76" s="76"/>
      <c r="J76" s="76"/>
    </row>
    <row r="77" spans="2:13" ht="13.5" thickBot="1" x14ac:dyDescent="0.3">
      <c r="B77" s="98"/>
      <c r="C77" s="99"/>
      <c r="D77" s="99"/>
      <c r="E77" s="140"/>
      <c r="F77" s="74"/>
      <c r="G77" s="133"/>
      <c r="H77" s="76"/>
      <c r="I77" s="76"/>
    </row>
    <row r="78" spans="2:13" ht="13.5" thickBot="1" x14ac:dyDescent="0.3">
      <c r="B78" s="599" t="s">
        <v>133</v>
      </c>
      <c r="C78" s="600"/>
      <c r="D78" s="601"/>
      <c r="E78" s="136" t="e">
        <f>+E69+E74</f>
        <v>#DIV/0!</v>
      </c>
      <c r="G78" s="74"/>
      <c r="H78" s="133"/>
      <c r="I78" s="76"/>
      <c r="J78" s="140"/>
    </row>
    <row r="79" spans="2:13" x14ac:dyDescent="0.25">
      <c r="I79" s="133"/>
      <c r="J79" s="59"/>
    </row>
    <row r="80" spans="2:13" ht="13.5" thickBot="1" x14ac:dyDescent="0.3">
      <c r="B80" s="598" t="s">
        <v>134</v>
      </c>
      <c r="C80" s="598"/>
      <c r="D80" s="598"/>
      <c r="E80" s="598"/>
      <c r="F80" s="598"/>
      <c r="G80" s="74"/>
      <c r="H80" s="133"/>
      <c r="J80" s="59"/>
    </row>
    <row r="81" spans="1:10" ht="13.5" thickBot="1" x14ac:dyDescent="0.3">
      <c r="B81" s="134" t="s">
        <v>128</v>
      </c>
      <c r="C81" s="135">
        <f>+C69</f>
        <v>3273.6062765957449</v>
      </c>
      <c r="D81" s="135" t="e">
        <f>+D60</f>
        <v>#DIV/0!</v>
      </c>
      <c r="E81" s="136" t="e">
        <f>+C81/D81</f>
        <v>#DIV/0!</v>
      </c>
      <c r="F81" s="74"/>
      <c r="G81" s="133"/>
      <c r="H81" s="76"/>
      <c r="I81" s="133"/>
      <c r="J81" s="59"/>
    </row>
    <row r="82" spans="1:10" x14ac:dyDescent="0.25">
      <c r="B82" s="137"/>
      <c r="C82" s="138"/>
      <c r="D82" s="139"/>
      <c r="E82" s="122"/>
      <c r="F82" s="74"/>
      <c r="G82" s="133"/>
      <c r="H82" s="76"/>
      <c r="I82" s="76"/>
      <c r="J82" s="59"/>
    </row>
    <row r="83" spans="1:10" x14ac:dyDescent="0.25">
      <c r="B83" s="134" t="s">
        <v>129</v>
      </c>
      <c r="C83" s="135">
        <f>+C71</f>
        <v>3343.5641627659579</v>
      </c>
      <c r="D83" s="135" t="e">
        <f>+D60</f>
        <v>#DIV/0!</v>
      </c>
      <c r="E83" s="140" t="e">
        <f>+C83/D83</f>
        <v>#DIV/0!</v>
      </c>
      <c r="F83" s="74"/>
      <c r="G83" s="133"/>
      <c r="H83" s="76"/>
      <c r="I83" s="76"/>
      <c r="J83" s="59"/>
    </row>
    <row r="84" spans="1:10" x14ac:dyDescent="0.25">
      <c r="B84" s="134"/>
      <c r="C84" s="135"/>
      <c r="D84" s="135"/>
      <c r="E84" s="140"/>
      <c r="F84" s="74"/>
      <c r="G84" s="133"/>
      <c r="H84" s="76"/>
      <c r="I84" s="76"/>
      <c r="J84" s="59"/>
    </row>
    <row r="85" spans="1:10" ht="13.5" thickBot="1" x14ac:dyDescent="0.3">
      <c r="B85" s="134" t="s">
        <v>131</v>
      </c>
      <c r="C85" s="135">
        <f>+C73</f>
        <v>0</v>
      </c>
      <c r="D85" s="135" t="e">
        <f>+D60</f>
        <v>#DIV/0!</v>
      </c>
      <c r="E85" s="140" t="e">
        <f>+C85/D85</f>
        <v>#DIV/0!</v>
      </c>
      <c r="F85" s="142"/>
      <c r="G85" s="132"/>
      <c r="H85" s="58"/>
      <c r="I85" s="76"/>
    </row>
    <row r="86" spans="1:10" ht="13.5" thickBot="1" x14ac:dyDescent="0.3">
      <c r="B86" s="134" t="s">
        <v>131</v>
      </c>
      <c r="C86" s="135">
        <f>+C74</f>
        <v>42.442832446808509</v>
      </c>
      <c r="D86" s="135" t="e">
        <f>+D85</f>
        <v>#DIV/0!</v>
      </c>
      <c r="E86" s="136" t="e">
        <f>+C86/D86</f>
        <v>#DIV/0!</v>
      </c>
      <c r="F86" s="141"/>
      <c r="G86" s="132"/>
      <c r="H86" s="58"/>
      <c r="I86" s="58"/>
    </row>
    <row r="87" spans="1:10" x14ac:dyDescent="0.25">
      <c r="I87" s="58"/>
    </row>
    <row r="88" spans="1:10" x14ac:dyDescent="0.2">
      <c r="A88" s="602"/>
      <c r="B88" s="602"/>
      <c r="C88" s="143"/>
      <c r="D88" s="143"/>
      <c r="E88" s="144"/>
      <c r="G88" s="145"/>
    </row>
    <row r="89" spans="1:10" x14ac:dyDescent="0.2">
      <c r="A89" s="77"/>
      <c r="B89" s="146"/>
      <c r="C89" s="147"/>
      <c r="D89" s="147"/>
      <c r="E89" s="148"/>
      <c r="G89" s="145"/>
    </row>
    <row r="90" spans="1:10" x14ac:dyDescent="0.2">
      <c r="A90" s="77"/>
      <c r="B90" s="146"/>
      <c r="C90" s="149"/>
      <c r="D90" s="149"/>
      <c r="E90" s="77"/>
      <c r="G90" s="145"/>
    </row>
    <row r="91" spans="1:10" x14ac:dyDescent="0.2">
      <c r="A91" s="77"/>
      <c r="B91" s="146"/>
      <c r="C91" s="150"/>
      <c r="D91" s="150"/>
      <c r="E91" s="77"/>
      <c r="G91" s="14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376F-C476-491F-9DA1-6835318C005B}">
  <dimension ref="A1:I45"/>
  <sheetViews>
    <sheetView zoomScale="70" zoomScaleNormal="70" workbookViewId="0">
      <selection activeCell="C16" sqref="C16"/>
    </sheetView>
  </sheetViews>
  <sheetFormatPr baseColWidth="10" defaultRowHeight="15" x14ac:dyDescent="0.25"/>
  <cols>
    <col min="1" max="1" width="17" bestFit="1" customWidth="1"/>
    <col min="2" max="2" width="17.7109375" bestFit="1" customWidth="1"/>
    <col min="3" max="3" width="54.5703125" customWidth="1"/>
    <col min="4" max="4" width="17.5703125" customWidth="1"/>
    <col min="5" max="5" width="15.7109375" customWidth="1"/>
    <col min="6" max="6" width="13" customWidth="1"/>
    <col min="7" max="7" width="20" customWidth="1"/>
    <col min="8" max="8" width="27" customWidth="1"/>
    <col min="9" max="9" width="18.5703125" customWidth="1"/>
  </cols>
  <sheetData>
    <row r="1" spans="1:9" ht="15.75" x14ac:dyDescent="0.25">
      <c r="A1" s="638"/>
      <c r="B1" s="639"/>
      <c r="C1" s="644" t="s">
        <v>0</v>
      </c>
      <c r="D1" s="644"/>
      <c r="E1" s="644"/>
      <c r="F1" s="644"/>
      <c r="G1" s="644"/>
      <c r="H1" s="151" t="s">
        <v>1</v>
      </c>
      <c r="I1" s="152" t="s">
        <v>170</v>
      </c>
    </row>
    <row r="2" spans="1:9" ht="18" customHeight="1" thickBot="1" x14ac:dyDescent="0.3">
      <c r="A2" s="640"/>
      <c r="B2" s="641"/>
      <c r="C2" s="645" t="s">
        <v>2</v>
      </c>
      <c r="D2" s="646"/>
      <c r="E2" s="646"/>
      <c r="F2" s="646"/>
      <c r="G2" s="647"/>
      <c r="H2" s="153" t="s">
        <v>3</v>
      </c>
      <c r="I2" s="154" t="s">
        <v>171</v>
      </c>
    </row>
    <row r="3" spans="1:9" ht="31.5" customHeight="1" thickBot="1" x14ac:dyDescent="0.3">
      <c r="A3" s="640"/>
      <c r="B3" s="641"/>
      <c r="C3" s="648" t="s">
        <v>172</v>
      </c>
      <c r="D3" s="649"/>
      <c r="E3" s="649"/>
      <c r="F3" s="649"/>
      <c r="G3" s="650"/>
      <c r="H3" s="651" t="s">
        <v>4</v>
      </c>
      <c r="I3" s="629">
        <v>45611</v>
      </c>
    </row>
    <row r="4" spans="1:9" ht="18" customHeight="1" x14ac:dyDescent="0.25">
      <c r="A4" s="640"/>
      <c r="B4" s="641"/>
      <c r="C4" s="155" t="s">
        <v>5</v>
      </c>
      <c r="D4" s="632" t="s">
        <v>154</v>
      </c>
      <c r="E4" s="633"/>
      <c r="F4" s="633"/>
      <c r="G4" s="634"/>
      <c r="H4" s="652"/>
      <c r="I4" s="630"/>
    </row>
    <row r="5" spans="1:9" ht="15.75" thickBot="1" x14ac:dyDescent="0.3">
      <c r="A5" s="642"/>
      <c r="B5" s="643"/>
      <c r="C5" s="156" t="s">
        <v>7</v>
      </c>
      <c r="D5" s="635" t="s">
        <v>8</v>
      </c>
      <c r="E5" s="636"/>
      <c r="F5" s="636"/>
      <c r="G5" s="637"/>
      <c r="H5" s="653"/>
      <c r="I5" s="631"/>
    </row>
    <row r="6" spans="1:9" ht="18.75" thickBot="1" x14ac:dyDescent="0.3">
      <c r="A6" s="654" t="s">
        <v>9</v>
      </c>
      <c r="B6" s="654"/>
      <c r="C6" s="654"/>
      <c r="D6" s="655" t="s">
        <v>173</v>
      </c>
      <c r="E6" s="655"/>
      <c r="F6" s="655"/>
      <c r="G6" s="656" t="s">
        <v>11</v>
      </c>
      <c r="H6" s="656"/>
      <c r="I6" s="252" t="s">
        <v>173</v>
      </c>
    </row>
    <row r="7" spans="1:9" ht="35.25" customHeight="1" x14ac:dyDescent="0.25">
      <c r="A7" s="657" t="s">
        <v>12</v>
      </c>
      <c r="B7" s="659" t="s">
        <v>13</v>
      </c>
      <c r="C7" s="661" t="s">
        <v>14</v>
      </c>
      <c r="D7" s="661" t="s">
        <v>15</v>
      </c>
      <c r="E7" s="661" t="s">
        <v>16</v>
      </c>
      <c r="F7" s="661"/>
      <c r="G7" s="661" t="s">
        <v>17</v>
      </c>
      <c r="H7" s="661"/>
      <c r="I7" s="158" t="s">
        <v>18</v>
      </c>
    </row>
    <row r="8" spans="1:9" ht="28.5" customHeight="1" thickBot="1" x14ac:dyDescent="0.3">
      <c r="A8" s="658"/>
      <c r="B8" s="660"/>
      <c r="C8" s="662"/>
      <c r="D8" s="662"/>
      <c r="E8" s="159" t="s">
        <v>19</v>
      </c>
      <c r="F8" s="160" t="s">
        <v>20</v>
      </c>
      <c r="G8" s="159" t="s">
        <v>19</v>
      </c>
      <c r="H8" s="160" t="s">
        <v>20</v>
      </c>
      <c r="I8" s="161" t="s">
        <v>21</v>
      </c>
    </row>
    <row r="9" spans="1:9" ht="20.25" x14ac:dyDescent="0.3">
      <c r="A9" s="253"/>
      <c r="B9" s="253"/>
      <c r="C9" s="254" t="s">
        <v>22</v>
      </c>
      <c r="D9" s="253"/>
      <c r="E9" s="255"/>
      <c r="F9" s="256"/>
      <c r="G9" s="255"/>
      <c r="H9" s="256"/>
      <c r="I9" s="257"/>
    </row>
    <row r="10" spans="1:9" ht="20.25" x14ac:dyDescent="0.3">
      <c r="A10" s="17" t="s">
        <v>174</v>
      </c>
      <c r="B10" s="17" t="s">
        <v>175</v>
      </c>
      <c r="C10" s="32" t="s">
        <v>176</v>
      </c>
      <c r="D10" s="17" t="s">
        <v>26</v>
      </c>
      <c r="E10" s="19">
        <v>1001</v>
      </c>
      <c r="F10" s="19" t="s">
        <v>25</v>
      </c>
      <c r="G10" s="258"/>
      <c r="H10" s="19"/>
      <c r="I10" s="257"/>
    </row>
    <row r="11" spans="1:9" ht="20.25" x14ac:dyDescent="0.3">
      <c r="A11" s="20" t="s">
        <v>177</v>
      </c>
      <c r="B11" s="20" t="s">
        <v>178</v>
      </c>
      <c r="C11" s="21" t="s">
        <v>179</v>
      </c>
      <c r="D11" s="17" t="s">
        <v>26</v>
      </c>
      <c r="E11" s="17">
        <v>20</v>
      </c>
      <c r="F11" s="23" t="s">
        <v>25</v>
      </c>
      <c r="G11" s="259"/>
      <c r="H11" s="260"/>
      <c r="I11" s="257"/>
    </row>
    <row r="12" spans="1:9" ht="20.25" x14ac:dyDescent="0.3">
      <c r="A12" s="17"/>
      <c r="B12" s="17"/>
      <c r="C12" s="34"/>
      <c r="D12" s="17"/>
      <c r="E12" s="17"/>
      <c r="F12" s="17"/>
      <c r="G12" s="259"/>
      <c r="H12" s="260"/>
      <c r="I12" s="257"/>
    </row>
    <row r="13" spans="1:9" ht="20.25" x14ac:dyDescent="0.3">
      <c r="A13" s="261"/>
      <c r="B13" s="17"/>
      <c r="C13" s="32"/>
      <c r="D13" s="262"/>
      <c r="E13" s="262"/>
      <c r="F13" s="262"/>
      <c r="G13" s="259"/>
      <c r="H13" s="263"/>
      <c r="I13" s="257"/>
    </row>
    <row r="14" spans="1:9" ht="20.25" x14ac:dyDescent="0.3">
      <c r="A14" s="17"/>
      <c r="B14" s="17"/>
      <c r="C14" s="264"/>
      <c r="D14" s="265"/>
      <c r="E14" s="265"/>
      <c r="F14" s="266"/>
      <c r="G14" s="255"/>
      <c r="H14" s="256"/>
      <c r="I14" s="257"/>
    </row>
    <row r="15" spans="1:9" ht="20.25" x14ac:dyDescent="0.3">
      <c r="A15" s="267"/>
      <c r="B15" s="267"/>
      <c r="C15" s="268" t="s">
        <v>27</v>
      </c>
      <c r="D15" s="262"/>
      <c r="E15" s="269"/>
      <c r="F15" s="266"/>
      <c r="G15" s="255"/>
      <c r="H15" s="256"/>
      <c r="I15" s="257"/>
    </row>
    <row r="16" spans="1:9" ht="20.25" x14ac:dyDescent="0.3">
      <c r="A16" s="270"/>
      <c r="B16" s="262"/>
      <c r="C16" s="271"/>
      <c r="D16" s="272"/>
      <c r="E16" s="265"/>
      <c r="F16" s="266"/>
      <c r="G16" s="255"/>
      <c r="H16" s="256"/>
      <c r="I16" s="257"/>
    </row>
    <row r="17" spans="1:9" ht="20.25" x14ac:dyDescent="0.3">
      <c r="A17" s="17"/>
      <c r="B17" s="17"/>
      <c r="C17" s="264"/>
      <c r="D17" s="272"/>
      <c r="E17" s="265"/>
      <c r="F17" s="266"/>
      <c r="G17" s="255"/>
      <c r="H17" s="256"/>
      <c r="I17" s="257"/>
    </row>
    <row r="18" spans="1:9" ht="20.25" x14ac:dyDescent="0.3">
      <c r="A18" s="270"/>
      <c r="B18" s="270"/>
      <c r="C18" s="271"/>
      <c r="D18" s="272"/>
      <c r="E18" s="265"/>
      <c r="F18" s="266"/>
      <c r="G18" s="255"/>
      <c r="H18" s="256"/>
      <c r="I18" s="257"/>
    </row>
    <row r="19" spans="1:9" ht="20.25" x14ac:dyDescent="0.3">
      <c r="A19" s="17"/>
      <c r="B19" s="17"/>
      <c r="C19" s="264"/>
      <c r="D19" s="265"/>
      <c r="E19" s="262"/>
      <c r="F19" s="266"/>
      <c r="G19" s="255"/>
      <c r="H19" s="256"/>
      <c r="I19" s="257"/>
    </row>
    <row r="20" spans="1:9" ht="20.25" x14ac:dyDescent="0.3">
      <c r="A20" s="17"/>
      <c r="B20" s="17"/>
      <c r="C20" s="264"/>
      <c r="D20" s="273"/>
      <c r="E20" s="274"/>
      <c r="F20" s="275"/>
      <c r="G20" s="255"/>
      <c r="H20" s="256"/>
      <c r="I20" s="257"/>
    </row>
    <row r="21" spans="1:9" ht="20.25" x14ac:dyDescent="0.3">
      <c r="A21" s="276"/>
      <c r="B21" s="276"/>
      <c r="C21" s="277" t="s">
        <v>28</v>
      </c>
      <c r="D21" s="278"/>
      <c r="E21" s="279"/>
      <c r="F21" s="256"/>
      <c r="G21" s="255"/>
      <c r="H21" s="280"/>
      <c r="I21" s="257"/>
    </row>
    <row r="22" spans="1:9" ht="20.25" x14ac:dyDescent="0.3">
      <c r="A22" s="20"/>
      <c r="B22" s="20"/>
      <c r="C22" s="21"/>
      <c r="D22" s="17"/>
      <c r="E22" s="17"/>
      <c r="F22" s="23"/>
      <c r="G22" s="281"/>
      <c r="H22" s="256"/>
      <c r="I22" s="257"/>
    </row>
    <row r="23" spans="1:9" ht="20.25" x14ac:dyDescent="0.3">
      <c r="A23" s="22"/>
      <c r="B23" s="17"/>
      <c r="C23" s="34"/>
      <c r="D23" s="17"/>
      <c r="E23" s="17"/>
      <c r="F23" s="23"/>
      <c r="G23" s="281"/>
      <c r="H23" s="256"/>
      <c r="I23" s="257"/>
    </row>
    <row r="24" spans="1:9" ht="20.25" x14ac:dyDescent="0.3">
      <c r="A24" s="282"/>
      <c r="B24" s="283"/>
      <c r="C24" s="284"/>
      <c r="D24" s="17"/>
      <c r="E24" s="265"/>
      <c r="F24" s="266"/>
      <c r="G24" s="265"/>
      <c r="H24" s="266"/>
      <c r="I24" s="257"/>
    </row>
    <row r="25" spans="1:9" ht="20.25" x14ac:dyDescent="0.3">
      <c r="A25" s="282"/>
      <c r="B25" s="283"/>
      <c r="C25" s="284"/>
      <c r="D25" s="262"/>
      <c r="E25" s="262"/>
      <c r="F25" s="266"/>
      <c r="G25" s="262"/>
      <c r="H25" s="262"/>
      <c r="I25" s="257"/>
    </row>
    <row r="26" spans="1:9" ht="21" thickBot="1" x14ac:dyDescent="0.35">
      <c r="A26" s="285"/>
      <c r="B26" s="286"/>
      <c r="C26" s="287"/>
      <c r="D26" s="287"/>
      <c r="E26" s="288"/>
      <c r="F26" s="289"/>
      <c r="G26" s="287"/>
      <c r="H26" s="287"/>
      <c r="I26" s="290"/>
    </row>
    <row r="27" spans="1:9" ht="21" thickBot="1" x14ac:dyDescent="0.35">
      <c r="A27" s="291"/>
      <c r="B27" s="292"/>
      <c r="C27" s="293"/>
      <c r="D27" s="294" t="s">
        <v>19</v>
      </c>
      <c r="E27" s="295" t="s">
        <v>35</v>
      </c>
      <c r="F27" s="296"/>
      <c r="G27" s="293"/>
      <c r="H27" s="293"/>
      <c r="I27" s="297"/>
    </row>
    <row r="28" spans="1:9" ht="20.25" x14ac:dyDescent="0.3">
      <c r="A28" s="663" t="s">
        <v>38</v>
      </c>
      <c r="B28" s="664"/>
      <c r="C28" s="665"/>
      <c r="D28" s="258">
        <v>1001</v>
      </c>
      <c r="E28" s="48" t="s">
        <v>25</v>
      </c>
      <c r="F28" s="666" t="s">
        <v>39</v>
      </c>
      <c r="G28" s="666"/>
      <c r="H28" s="667"/>
      <c r="I28" s="668"/>
    </row>
    <row r="29" spans="1:9" ht="20.25" x14ac:dyDescent="0.3">
      <c r="A29" s="669" t="s">
        <v>40</v>
      </c>
      <c r="B29" s="670"/>
      <c r="C29" s="671"/>
      <c r="D29" s="12">
        <v>2</v>
      </c>
      <c r="E29" s="17" t="s">
        <v>41</v>
      </c>
      <c r="F29" s="672" t="s">
        <v>42</v>
      </c>
      <c r="G29" s="672"/>
      <c r="H29" s="673"/>
      <c r="I29" s="674"/>
    </row>
    <row r="30" spans="1:9" ht="20.25" x14ac:dyDescent="0.3">
      <c r="A30" s="669" t="s">
        <v>43</v>
      </c>
      <c r="B30" s="670"/>
      <c r="C30" s="671"/>
      <c r="D30" s="261">
        <f>D28/D31</f>
        <v>7.4148148148148145</v>
      </c>
      <c r="E30" s="17" t="s">
        <v>180</v>
      </c>
      <c r="F30" s="672" t="s">
        <v>44</v>
      </c>
      <c r="G30" s="672"/>
      <c r="H30" s="673"/>
      <c r="I30" s="674"/>
    </row>
    <row r="31" spans="1:9" ht="20.25" x14ac:dyDescent="0.3">
      <c r="A31" s="669" t="s">
        <v>45</v>
      </c>
      <c r="B31" s="670"/>
      <c r="C31" s="671"/>
      <c r="D31" s="261">
        <v>135</v>
      </c>
      <c r="E31" s="17" t="s">
        <v>25</v>
      </c>
      <c r="F31" s="678" t="s">
        <v>46</v>
      </c>
      <c r="G31" s="679"/>
      <c r="H31" s="673"/>
      <c r="I31" s="674"/>
    </row>
    <row r="32" spans="1:9" ht="21" thickBot="1" x14ac:dyDescent="0.35">
      <c r="A32" s="680" t="s">
        <v>47</v>
      </c>
      <c r="B32" s="681"/>
      <c r="C32" s="682"/>
      <c r="D32" s="298">
        <v>0</v>
      </c>
      <c r="E32" s="50" t="s">
        <v>25</v>
      </c>
      <c r="F32" s="683"/>
      <c r="G32" s="683"/>
      <c r="H32" s="684"/>
      <c r="I32" s="685"/>
    </row>
    <row r="33" spans="1:9" ht="21" thickBot="1" x14ac:dyDescent="0.35">
      <c r="A33" s="686" t="s">
        <v>48</v>
      </c>
      <c r="B33" s="687"/>
      <c r="C33" s="687"/>
      <c r="D33" s="687"/>
      <c r="E33" s="687"/>
      <c r="F33" s="687"/>
      <c r="G33" s="687"/>
      <c r="H33" s="687"/>
      <c r="I33" s="688"/>
    </row>
    <row r="34" spans="1:9" ht="20.25" x14ac:dyDescent="0.3">
      <c r="A34" s="689" t="s">
        <v>181</v>
      </c>
      <c r="B34" s="690"/>
      <c r="C34" s="690"/>
      <c r="D34" s="690"/>
      <c r="E34" s="690"/>
      <c r="F34" s="690"/>
      <c r="G34" s="690"/>
      <c r="H34" s="690"/>
      <c r="I34" s="691"/>
    </row>
    <row r="35" spans="1:9" ht="20.25" x14ac:dyDescent="0.3">
      <c r="A35" s="675" t="s">
        <v>182</v>
      </c>
      <c r="B35" s="676"/>
      <c r="C35" s="676"/>
      <c r="D35" s="676"/>
      <c r="E35" s="676"/>
      <c r="F35" s="676"/>
      <c r="G35" s="676"/>
      <c r="H35" s="676"/>
      <c r="I35" s="677"/>
    </row>
    <row r="36" spans="1:9" ht="20.25" x14ac:dyDescent="0.3">
      <c r="A36" s="675" t="s">
        <v>183</v>
      </c>
      <c r="B36" s="676"/>
      <c r="C36" s="676"/>
      <c r="D36" s="676"/>
      <c r="E36" s="676"/>
      <c r="F36" s="676"/>
      <c r="G36" s="676"/>
      <c r="H36" s="676"/>
      <c r="I36" s="677"/>
    </row>
    <row r="37" spans="1:9" ht="20.25" x14ac:dyDescent="0.3">
      <c r="A37" s="697" t="s">
        <v>184</v>
      </c>
      <c r="B37" s="698"/>
      <c r="C37" s="698"/>
      <c r="D37" s="698"/>
      <c r="E37" s="698"/>
      <c r="F37" s="698"/>
      <c r="G37" s="698"/>
      <c r="H37" s="698"/>
      <c r="I37" s="699"/>
    </row>
    <row r="38" spans="1:9" ht="14.65" customHeight="1" x14ac:dyDescent="0.3">
      <c r="A38" s="697"/>
      <c r="B38" s="698"/>
      <c r="C38" s="698"/>
      <c r="D38" s="698"/>
      <c r="E38" s="698"/>
      <c r="F38" s="698"/>
      <c r="G38" s="698"/>
      <c r="H38" s="698"/>
      <c r="I38" s="699"/>
    </row>
    <row r="39" spans="1:9" ht="20.25" x14ac:dyDescent="0.3">
      <c r="A39" s="700"/>
      <c r="B39" s="701"/>
      <c r="C39" s="701"/>
      <c r="D39" s="701"/>
      <c r="E39" s="701"/>
      <c r="F39" s="701"/>
      <c r="G39" s="701"/>
      <c r="H39" s="701"/>
      <c r="I39" s="702"/>
    </row>
    <row r="40" spans="1:9" ht="18" customHeight="1" x14ac:dyDescent="0.3">
      <c r="A40" s="697"/>
      <c r="B40" s="698"/>
      <c r="C40" s="698"/>
      <c r="D40" s="698"/>
      <c r="E40" s="698"/>
      <c r="F40" s="698"/>
      <c r="G40" s="698"/>
      <c r="H40" s="698"/>
      <c r="I40" s="699"/>
    </row>
    <row r="41" spans="1:9" ht="20.25" x14ac:dyDescent="0.3">
      <c r="A41" s="703"/>
      <c r="B41" s="704"/>
      <c r="C41" s="704"/>
      <c r="D41" s="704"/>
      <c r="E41" s="704"/>
      <c r="F41" s="704"/>
      <c r="G41" s="704"/>
      <c r="H41" s="704"/>
      <c r="I41" s="705"/>
    </row>
    <row r="42" spans="1:9" ht="20.25" x14ac:dyDescent="0.3">
      <c r="A42" s="692"/>
      <c r="B42" s="693"/>
      <c r="C42" s="693"/>
      <c r="D42" s="693"/>
      <c r="E42" s="693"/>
      <c r="F42" s="693"/>
      <c r="G42" s="693"/>
      <c r="H42" s="693"/>
      <c r="I42" s="694"/>
    </row>
    <row r="43" spans="1:9" ht="20.25" x14ac:dyDescent="0.3">
      <c r="A43" s="695" t="s">
        <v>49</v>
      </c>
      <c r="B43" s="695"/>
      <c r="C43" s="695"/>
      <c r="D43" s="695"/>
      <c r="E43" s="695"/>
      <c r="F43" s="695"/>
      <c r="G43" s="695"/>
      <c r="H43" s="695"/>
      <c r="I43" s="695"/>
    </row>
    <row r="44" spans="1:9" ht="20.25" x14ac:dyDescent="0.3">
      <c r="A44" s="696" t="s">
        <v>185</v>
      </c>
      <c r="B44" s="696"/>
      <c r="C44" s="696"/>
      <c r="D44" s="696"/>
      <c r="E44" s="696"/>
      <c r="F44" s="696"/>
      <c r="G44" s="696"/>
      <c r="H44" s="696"/>
      <c r="I44" s="696"/>
    </row>
    <row r="45" spans="1:9" ht="20.25" x14ac:dyDescent="0.3">
      <c r="A45" s="696"/>
      <c r="B45" s="696"/>
      <c r="C45" s="696"/>
      <c r="D45" s="696"/>
      <c r="E45" s="696"/>
      <c r="F45" s="696"/>
      <c r="G45" s="696"/>
      <c r="H45" s="696"/>
      <c r="I45" s="696"/>
    </row>
  </sheetData>
  <mergeCells count="45">
    <mergeCell ref="A42:I42"/>
    <mergeCell ref="A43:I43"/>
    <mergeCell ref="A44:I44"/>
    <mergeCell ref="A45:I45"/>
    <mergeCell ref="A36:I36"/>
    <mergeCell ref="A37:I37"/>
    <mergeCell ref="A38:I38"/>
    <mergeCell ref="A39:I39"/>
    <mergeCell ref="A40:I40"/>
    <mergeCell ref="A41:I41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28:C28"/>
    <mergeCell ref="F28:G28"/>
    <mergeCell ref="H28:I28"/>
    <mergeCell ref="A29:C29"/>
    <mergeCell ref="F29:G29"/>
    <mergeCell ref="H29:I2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FD04-2EA2-4309-A484-13D933BAC021}">
  <dimension ref="A1:I51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638"/>
      <c r="B1" s="639"/>
      <c r="C1" s="644" t="s">
        <v>0</v>
      </c>
      <c r="D1" s="644"/>
      <c r="E1" s="644"/>
      <c r="F1" s="644"/>
      <c r="G1" s="644"/>
      <c r="H1" s="151" t="s">
        <v>1</v>
      </c>
      <c r="I1" s="152" t="s">
        <v>186</v>
      </c>
    </row>
    <row r="2" spans="1:9" ht="18" customHeight="1" thickBot="1" x14ac:dyDescent="0.3">
      <c r="A2" s="640"/>
      <c r="B2" s="641"/>
      <c r="C2" s="645" t="s">
        <v>2</v>
      </c>
      <c r="D2" s="646"/>
      <c r="E2" s="646"/>
      <c r="F2" s="646"/>
      <c r="G2" s="647"/>
      <c r="H2" s="153" t="s">
        <v>3</v>
      </c>
      <c r="I2" s="154" t="s">
        <v>152</v>
      </c>
    </row>
    <row r="3" spans="1:9" ht="31.5" customHeight="1" thickBot="1" x14ac:dyDescent="0.3">
      <c r="A3" s="640"/>
      <c r="B3" s="641"/>
      <c r="C3" s="706" t="s">
        <v>187</v>
      </c>
      <c r="D3" s="707"/>
      <c r="E3" s="707"/>
      <c r="F3" s="707"/>
      <c r="G3" s="708"/>
      <c r="H3" s="651" t="s">
        <v>4</v>
      </c>
      <c r="I3" s="629">
        <v>45611</v>
      </c>
    </row>
    <row r="4" spans="1:9" ht="18" customHeight="1" x14ac:dyDescent="0.25">
      <c r="A4" s="640"/>
      <c r="B4" s="641"/>
      <c r="C4" s="155" t="s">
        <v>5</v>
      </c>
      <c r="D4" s="632" t="s">
        <v>154</v>
      </c>
      <c r="E4" s="633"/>
      <c r="F4" s="633"/>
      <c r="G4" s="634"/>
      <c r="H4" s="652"/>
      <c r="I4" s="630"/>
    </row>
    <row r="5" spans="1:9" ht="15.75" thickBot="1" x14ac:dyDescent="0.3">
      <c r="A5" s="642"/>
      <c r="B5" s="643"/>
      <c r="C5" s="156" t="s">
        <v>7</v>
      </c>
      <c r="D5" s="635" t="s">
        <v>8</v>
      </c>
      <c r="E5" s="636"/>
      <c r="F5" s="636"/>
      <c r="G5" s="637"/>
      <c r="H5" s="653"/>
      <c r="I5" s="631"/>
    </row>
    <row r="6" spans="1:9" ht="18.75" thickBot="1" x14ac:dyDescent="0.3">
      <c r="A6" s="654" t="s">
        <v>9</v>
      </c>
      <c r="B6" s="654"/>
      <c r="C6" s="654"/>
      <c r="D6" s="709" t="s">
        <v>173</v>
      </c>
      <c r="E6" s="709"/>
      <c r="F6" s="709"/>
      <c r="G6" s="656" t="s">
        <v>11</v>
      </c>
      <c r="H6" s="656"/>
      <c r="I6" s="157" t="s">
        <v>173</v>
      </c>
    </row>
    <row r="7" spans="1:9" ht="25.5" x14ac:dyDescent="0.25">
      <c r="A7" s="657" t="s">
        <v>12</v>
      </c>
      <c r="B7" s="659" t="s">
        <v>13</v>
      </c>
      <c r="C7" s="661" t="s">
        <v>14</v>
      </c>
      <c r="D7" s="661" t="s">
        <v>15</v>
      </c>
      <c r="E7" s="661" t="s">
        <v>16</v>
      </c>
      <c r="F7" s="661"/>
      <c r="G7" s="661" t="s">
        <v>17</v>
      </c>
      <c r="H7" s="661"/>
      <c r="I7" s="158" t="s">
        <v>18</v>
      </c>
    </row>
    <row r="8" spans="1:9" ht="27" thickBot="1" x14ac:dyDescent="0.3">
      <c r="A8" s="710"/>
      <c r="B8" s="711"/>
      <c r="C8" s="712"/>
      <c r="D8" s="712"/>
      <c r="E8" s="159" t="s">
        <v>19</v>
      </c>
      <c r="F8" s="160" t="s">
        <v>20</v>
      </c>
      <c r="G8" s="159" t="s">
        <v>19</v>
      </c>
      <c r="H8" s="160" t="s">
        <v>20</v>
      </c>
      <c r="I8" s="161" t="s">
        <v>21</v>
      </c>
    </row>
    <row r="9" spans="1:9" x14ac:dyDescent="0.25">
      <c r="A9" s="162"/>
      <c r="B9" s="163"/>
      <c r="C9" s="164" t="s">
        <v>22</v>
      </c>
      <c r="D9" s="165"/>
      <c r="E9" s="166"/>
      <c r="F9" s="167"/>
      <c r="G9" s="166"/>
      <c r="H9" s="167"/>
      <c r="I9" s="168"/>
    </row>
    <row r="10" spans="1:9" ht="18" customHeight="1" x14ac:dyDescent="0.25">
      <c r="A10" s="299">
        <v>901000014</v>
      </c>
      <c r="B10" s="300" t="s">
        <v>188</v>
      </c>
      <c r="C10" s="301" t="s">
        <v>189</v>
      </c>
      <c r="D10" s="302" t="s">
        <v>190</v>
      </c>
      <c r="E10" s="217">
        <v>23524</v>
      </c>
      <c r="F10" s="218" t="s">
        <v>25</v>
      </c>
      <c r="G10" s="248"/>
      <c r="H10" s="303"/>
      <c r="I10" s="168"/>
    </row>
    <row r="11" spans="1:9" x14ac:dyDescent="0.25">
      <c r="A11" s="304"/>
      <c r="B11" s="304"/>
      <c r="C11" s="305"/>
      <c r="D11" s="306"/>
      <c r="E11" s="182"/>
      <c r="F11" s="182"/>
      <c r="G11" s="307"/>
      <c r="H11" s="308"/>
      <c r="I11" s="168"/>
    </row>
    <row r="12" spans="1:9" x14ac:dyDescent="0.25">
      <c r="A12" s="299"/>
      <c r="B12" s="299"/>
      <c r="C12" s="309"/>
      <c r="D12" s="306"/>
      <c r="E12" s="182"/>
      <c r="F12" s="182"/>
      <c r="G12" s="307"/>
      <c r="H12" s="308"/>
      <c r="I12" s="168"/>
    </row>
    <row r="13" spans="1:9" x14ac:dyDescent="0.25">
      <c r="A13" s="299"/>
      <c r="B13" s="299"/>
      <c r="D13" s="306"/>
      <c r="E13" s="306"/>
      <c r="F13" s="310"/>
      <c r="G13" s="307"/>
      <c r="H13" s="311"/>
      <c r="I13" s="168"/>
    </row>
    <row r="14" spans="1:9" x14ac:dyDescent="0.25">
      <c r="A14" s="312"/>
      <c r="B14" s="299"/>
      <c r="C14" s="313"/>
      <c r="D14" s="216"/>
      <c r="E14" s="216"/>
      <c r="F14" s="314"/>
      <c r="G14" s="307"/>
      <c r="H14" s="311"/>
      <c r="I14" s="168"/>
    </row>
    <row r="15" spans="1:9" x14ac:dyDescent="0.25">
      <c r="A15" s="177"/>
      <c r="B15" s="177"/>
      <c r="C15" s="315"/>
      <c r="D15" s="226"/>
      <c r="E15" s="226"/>
      <c r="F15" s="195"/>
      <c r="G15" s="166"/>
      <c r="H15" s="167"/>
      <c r="I15" s="168"/>
    </row>
    <row r="16" spans="1:9" ht="15.75" x14ac:dyDescent="0.25">
      <c r="A16" s="188"/>
      <c r="B16" s="189"/>
      <c r="C16" s="190" t="s">
        <v>27</v>
      </c>
      <c r="D16" s="193"/>
      <c r="E16" s="194"/>
      <c r="F16" s="195"/>
      <c r="G16" s="166"/>
      <c r="H16" s="167"/>
      <c r="I16" s="168"/>
    </row>
    <row r="17" spans="1:9" x14ac:dyDescent="0.25">
      <c r="A17" s="316"/>
      <c r="B17" s="317"/>
      <c r="C17" s="318"/>
      <c r="D17" s="319"/>
      <c r="E17" s="226"/>
      <c r="F17" s="195"/>
      <c r="G17" s="166"/>
      <c r="H17" s="167"/>
      <c r="I17" s="168"/>
    </row>
    <row r="18" spans="1:9" x14ac:dyDescent="0.25">
      <c r="A18" s="177"/>
      <c r="B18" s="177"/>
      <c r="C18" s="315"/>
      <c r="D18" s="319"/>
      <c r="E18" s="226"/>
      <c r="F18" s="195"/>
      <c r="G18" s="166"/>
      <c r="H18" s="167"/>
      <c r="I18" s="168"/>
    </row>
    <row r="19" spans="1:9" x14ac:dyDescent="0.25">
      <c r="A19" s="320"/>
      <c r="B19" s="320"/>
      <c r="C19" s="318"/>
      <c r="D19" s="319"/>
      <c r="E19" s="226"/>
      <c r="F19" s="195"/>
      <c r="G19" s="166"/>
      <c r="H19" s="167"/>
      <c r="I19" s="168"/>
    </row>
    <row r="20" spans="1:9" x14ac:dyDescent="0.25">
      <c r="A20" s="177"/>
      <c r="B20" s="177"/>
      <c r="C20" s="315"/>
      <c r="D20" s="226"/>
      <c r="E20" s="193"/>
      <c r="F20" s="195"/>
      <c r="G20" s="166"/>
      <c r="H20" s="167"/>
      <c r="I20" s="168"/>
    </row>
    <row r="21" spans="1:9" x14ac:dyDescent="0.25">
      <c r="A21" s="177"/>
      <c r="B21" s="177"/>
      <c r="C21" s="315"/>
      <c r="D21" s="231"/>
      <c r="E21" s="321"/>
      <c r="F21" s="322"/>
      <c r="G21" s="166"/>
      <c r="H21" s="167"/>
      <c r="I21" s="168"/>
    </row>
    <row r="22" spans="1:9" ht="15.75" x14ac:dyDescent="0.25">
      <c r="A22" s="208"/>
      <c r="B22" s="209"/>
      <c r="C22" s="210" t="s">
        <v>28</v>
      </c>
      <c r="D22" s="211"/>
      <c r="E22" s="212"/>
      <c r="F22" s="167"/>
      <c r="G22" s="166"/>
      <c r="I22" s="168"/>
    </row>
    <row r="23" spans="1:9" x14ac:dyDescent="0.25">
      <c r="A23" s="304"/>
      <c r="B23" s="304"/>
      <c r="C23" s="305"/>
      <c r="D23" s="216"/>
      <c r="E23" s="216"/>
      <c r="F23" s="314"/>
      <c r="G23" s="219"/>
      <c r="H23" s="167"/>
      <c r="I23" s="168"/>
    </row>
    <row r="24" spans="1:9" x14ac:dyDescent="0.25">
      <c r="A24" s="323"/>
      <c r="B24" s="299"/>
      <c r="C24" s="309"/>
      <c r="D24" s="216"/>
      <c r="E24" s="216"/>
      <c r="F24" s="314"/>
      <c r="G24" s="219"/>
      <c r="H24" s="167"/>
      <c r="I24" s="168"/>
    </row>
    <row r="25" spans="1:9" x14ac:dyDescent="0.25">
      <c r="A25" s="229"/>
      <c r="B25" s="229"/>
      <c r="C25" s="230"/>
      <c r="D25" s="216"/>
      <c r="E25" s="207"/>
      <c r="F25" s="303"/>
      <c r="G25" s="219"/>
      <c r="H25" s="167"/>
      <c r="I25" s="168"/>
    </row>
    <row r="26" spans="1:9" x14ac:dyDescent="0.25">
      <c r="A26" s="229"/>
      <c r="B26" s="299"/>
      <c r="C26" s="230"/>
      <c r="D26" s="216"/>
      <c r="E26" s="324"/>
      <c r="F26" s="303"/>
      <c r="G26" s="166"/>
      <c r="H26" s="167"/>
      <c r="I26" s="168"/>
    </row>
    <row r="27" spans="1:9" x14ac:dyDescent="0.25">
      <c r="A27" s="325"/>
      <c r="B27" s="326"/>
      <c r="C27" s="327"/>
      <c r="D27" s="216"/>
      <c r="E27" s="328"/>
      <c r="F27" s="329"/>
      <c r="G27" s="166"/>
      <c r="H27" s="167"/>
      <c r="I27" s="168"/>
    </row>
    <row r="28" spans="1:9" x14ac:dyDescent="0.25">
      <c r="A28" s="330"/>
      <c r="B28" s="331"/>
      <c r="C28" s="332"/>
      <c r="D28" s="216"/>
      <c r="E28" s="226"/>
      <c r="F28" s="195"/>
      <c r="G28" s="225"/>
      <c r="H28" s="193"/>
      <c r="I28" s="168"/>
    </row>
    <row r="29" spans="1:9" x14ac:dyDescent="0.25">
      <c r="A29" s="188"/>
      <c r="B29" s="189"/>
      <c r="C29" s="233"/>
      <c r="D29" s="216"/>
      <c r="E29" s="226"/>
      <c r="F29" s="195"/>
      <c r="G29" s="226"/>
      <c r="H29" s="193"/>
      <c r="I29" s="168"/>
    </row>
    <row r="30" spans="1:9" ht="15.75" x14ac:dyDescent="0.25">
      <c r="A30" s="188"/>
      <c r="B30" s="189"/>
      <c r="C30" s="233"/>
      <c r="D30" s="216"/>
      <c r="E30" s="226"/>
      <c r="F30" s="195"/>
      <c r="G30" s="232"/>
      <c r="H30" s="195"/>
      <c r="I30" s="168"/>
    </row>
    <row r="31" spans="1:9" ht="15.75" x14ac:dyDescent="0.25">
      <c r="A31" s="188"/>
      <c r="B31" s="189"/>
      <c r="C31" s="233"/>
      <c r="D31" s="193"/>
      <c r="E31" s="193"/>
      <c r="F31" s="195"/>
      <c r="G31" s="234"/>
      <c r="H31" s="234"/>
      <c r="I31" s="168"/>
    </row>
    <row r="32" spans="1:9" ht="15.75" thickBot="1" x14ac:dyDescent="0.3">
      <c r="A32" s="235"/>
      <c r="B32" s="236"/>
      <c r="C32" s="237"/>
      <c r="D32" s="237"/>
      <c r="E32" s="238"/>
      <c r="F32" s="239"/>
      <c r="G32" s="237"/>
      <c r="H32" s="237"/>
      <c r="I32" s="240"/>
    </row>
    <row r="33" spans="1:9" ht="15.75" thickBot="1" x14ac:dyDescent="0.3">
      <c r="A33" s="241"/>
      <c r="B33" s="242"/>
      <c r="C33" s="243"/>
      <c r="D33" s="244" t="s">
        <v>19</v>
      </c>
      <c r="E33" s="245" t="s">
        <v>35</v>
      </c>
      <c r="F33" s="246"/>
      <c r="G33" s="243"/>
      <c r="H33" s="243"/>
      <c r="I33" s="247"/>
    </row>
    <row r="34" spans="1:9" x14ac:dyDescent="0.25">
      <c r="A34" s="713" t="s">
        <v>38</v>
      </c>
      <c r="B34" s="714"/>
      <c r="C34" s="715"/>
      <c r="D34" s="248">
        <v>23300</v>
      </c>
      <c r="E34" s="249" t="s">
        <v>25</v>
      </c>
      <c r="F34" s="716" t="s">
        <v>39</v>
      </c>
      <c r="G34" s="716"/>
      <c r="H34" s="717" t="s">
        <v>191</v>
      </c>
      <c r="I34" s="718"/>
    </row>
    <row r="35" spans="1:9" x14ac:dyDescent="0.25">
      <c r="A35" s="719" t="s">
        <v>40</v>
      </c>
      <c r="B35" s="720"/>
      <c r="C35" s="721"/>
      <c r="D35" s="333">
        <v>8</v>
      </c>
      <c r="E35" s="182" t="s">
        <v>41</v>
      </c>
      <c r="F35" s="722" t="s">
        <v>42</v>
      </c>
      <c r="G35" s="722"/>
      <c r="H35" s="723" t="s">
        <v>192</v>
      </c>
      <c r="I35" s="724"/>
    </row>
    <row r="36" spans="1:9" x14ac:dyDescent="0.25">
      <c r="A36" s="719" t="s">
        <v>43</v>
      </c>
      <c r="B36" s="720"/>
      <c r="C36" s="721"/>
      <c r="D36" s="182">
        <v>1</v>
      </c>
      <c r="E36" s="182" t="s">
        <v>193</v>
      </c>
      <c r="F36" s="722" t="s">
        <v>44</v>
      </c>
      <c r="G36" s="722"/>
      <c r="H36" s="723" t="s">
        <v>194</v>
      </c>
      <c r="I36" s="724"/>
    </row>
    <row r="37" spans="1:9" x14ac:dyDescent="0.25">
      <c r="A37" s="719" t="s">
        <v>45</v>
      </c>
      <c r="B37" s="720"/>
      <c r="C37" s="721"/>
      <c r="D37" s="206">
        <v>23300</v>
      </c>
      <c r="E37" s="182" t="s">
        <v>25</v>
      </c>
      <c r="F37" s="728" t="s">
        <v>46</v>
      </c>
      <c r="G37" s="729"/>
      <c r="H37" s="723"/>
      <c r="I37" s="724"/>
    </row>
    <row r="38" spans="1:9" ht="15.75" thickBot="1" x14ac:dyDescent="0.3">
      <c r="A38" s="730" t="s">
        <v>47</v>
      </c>
      <c r="B38" s="731"/>
      <c r="C38" s="732"/>
      <c r="D38" s="250">
        <v>224</v>
      </c>
      <c r="E38" s="251" t="s">
        <v>25</v>
      </c>
      <c r="F38" s="733"/>
      <c r="G38" s="733"/>
      <c r="H38" s="734"/>
      <c r="I38" s="735"/>
    </row>
    <row r="39" spans="1:9" ht="15.75" thickBot="1" x14ac:dyDescent="0.3">
      <c r="A39" s="736" t="s">
        <v>48</v>
      </c>
      <c r="B39" s="737"/>
      <c r="C39" s="737"/>
      <c r="D39" s="737"/>
      <c r="E39" s="737"/>
      <c r="F39" s="737"/>
      <c r="G39" s="737"/>
      <c r="H39" s="737"/>
      <c r="I39" s="738"/>
    </row>
    <row r="40" spans="1:9" ht="18.600000000000001" customHeight="1" x14ac:dyDescent="0.25">
      <c r="A40" s="725" t="s">
        <v>195</v>
      </c>
      <c r="B40" s="726"/>
      <c r="C40" s="726"/>
      <c r="D40" s="726"/>
      <c r="E40" s="726"/>
      <c r="F40" s="726"/>
      <c r="G40" s="726"/>
      <c r="H40" s="726"/>
      <c r="I40" s="727"/>
    </row>
    <row r="41" spans="1:9" ht="14.65" customHeight="1" x14ac:dyDescent="0.25">
      <c r="A41" s="725" t="s">
        <v>196</v>
      </c>
      <c r="B41" s="726"/>
      <c r="C41" s="726"/>
      <c r="D41" s="726"/>
      <c r="E41" s="726"/>
      <c r="F41" s="726"/>
      <c r="G41" s="726"/>
      <c r="H41" s="726"/>
      <c r="I41" s="727"/>
    </row>
    <row r="42" spans="1:9" ht="14.65" customHeight="1" x14ac:dyDescent="0.25">
      <c r="A42" s="746"/>
      <c r="B42" s="747"/>
      <c r="C42" s="747"/>
      <c r="D42" s="747"/>
      <c r="E42" s="747"/>
      <c r="F42" s="747"/>
      <c r="G42" s="747"/>
      <c r="H42" s="747"/>
      <c r="I42" s="748"/>
    </row>
    <row r="43" spans="1:9" x14ac:dyDescent="0.25">
      <c r="A43" s="749"/>
      <c r="B43" s="750"/>
      <c r="C43" s="751"/>
      <c r="D43" s="751"/>
      <c r="E43" s="751"/>
      <c r="F43" s="751"/>
      <c r="G43" s="751"/>
      <c r="H43" s="751"/>
      <c r="I43" s="752"/>
    </row>
    <row r="44" spans="1:9" ht="14.65" customHeight="1" x14ac:dyDescent="0.25">
      <c r="A44" s="749"/>
      <c r="B44" s="750"/>
      <c r="C44" s="751"/>
      <c r="D44" s="751"/>
      <c r="E44" s="751"/>
      <c r="F44" s="751"/>
      <c r="G44" s="751"/>
      <c r="H44" s="751"/>
      <c r="I44" s="752"/>
    </row>
    <row r="45" spans="1:9" ht="14.65" customHeight="1" x14ac:dyDescent="0.25">
      <c r="A45" s="753"/>
      <c r="B45" s="754"/>
      <c r="C45" s="754"/>
      <c r="D45" s="754"/>
      <c r="E45" s="754"/>
      <c r="F45" s="754"/>
      <c r="G45" s="754"/>
      <c r="H45" s="754"/>
      <c r="I45" s="755"/>
    </row>
    <row r="46" spans="1:9" ht="18" customHeight="1" x14ac:dyDescent="0.25">
      <c r="A46" s="739"/>
      <c r="B46" s="740"/>
      <c r="C46" s="740"/>
      <c r="D46" s="740"/>
      <c r="E46" s="740"/>
      <c r="F46" s="740"/>
      <c r="G46" s="740"/>
      <c r="H46" s="740"/>
      <c r="I46" s="741"/>
    </row>
    <row r="47" spans="1:9" x14ac:dyDescent="0.25">
      <c r="A47" s="739"/>
      <c r="B47" s="740"/>
      <c r="C47" s="740"/>
      <c r="D47" s="740"/>
      <c r="E47" s="740"/>
      <c r="F47" s="740"/>
      <c r="G47" s="740"/>
      <c r="H47" s="740"/>
      <c r="I47" s="741"/>
    </row>
    <row r="48" spans="1:9" ht="15.75" thickBot="1" x14ac:dyDescent="0.3">
      <c r="A48" s="739"/>
      <c r="B48" s="740"/>
      <c r="C48" s="740"/>
      <c r="D48" s="740"/>
      <c r="E48" s="740"/>
      <c r="F48" s="740"/>
      <c r="G48" s="740"/>
      <c r="H48" s="740"/>
      <c r="I48" s="741"/>
    </row>
    <row r="49" spans="1:9" x14ac:dyDescent="0.25">
      <c r="A49" s="742" t="s">
        <v>49</v>
      </c>
      <c r="B49" s="743"/>
      <c r="C49" s="743"/>
      <c r="D49" s="743"/>
      <c r="E49" s="743"/>
      <c r="F49" s="743"/>
      <c r="G49" s="743"/>
      <c r="H49" s="743"/>
      <c r="I49" s="743"/>
    </row>
    <row r="50" spans="1:9" x14ac:dyDescent="0.25">
      <c r="A50" s="744"/>
      <c r="B50" s="745"/>
      <c r="C50" s="745"/>
      <c r="D50" s="745"/>
      <c r="E50" s="745"/>
      <c r="F50" s="745"/>
      <c r="G50" s="745"/>
      <c r="H50" s="745"/>
      <c r="I50" s="745"/>
    </row>
    <row r="51" spans="1:9" x14ac:dyDescent="0.25">
      <c r="A51" s="744"/>
      <c r="B51" s="745"/>
      <c r="C51" s="745"/>
      <c r="D51" s="745"/>
      <c r="E51" s="745"/>
      <c r="F51" s="745"/>
      <c r="G51" s="745"/>
      <c r="H51" s="745"/>
      <c r="I51" s="745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B9A2-6A36-4AF7-BF79-A6318953F548}">
  <dimension ref="A1:K55"/>
  <sheetViews>
    <sheetView zoomScale="85" zoomScaleNormal="85" workbookViewId="0">
      <selection activeCell="C13" sqref="C1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28515625" bestFit="1" customWidth="1"/>
  </cols>
  <sheetData>
    <row r="1" spans="1:11" ht="15.75" x14ac:dyDescent="0.25">
      <c r="A1" s="638"/>
      <c r="B1" s="639"/>
      <c r="C1" s="644" t="s">
        <v>0</v>
      </c>
      <c r="D1" s="644"/>
      <c r="E1" s="644"/>
      <c r="F1" s="644"/>
      <c r="G1" s="644"/>
      <c r="H1" s="151" t="s">
        <v>1</v>
      </c>
      <c r="I1" s="152" t="s">
        <v>197</v>
      </c>
    </row>
    <row r="2" spans="1:11" ht="18" customHeight="1" thickBot="1" x14ac:dyDescent="0.3">
      <c r="A2" s="640"/>
      <c r="B2" s="641"/>
      <c r="C2" s="645" t="s">
        <v>2</v>
      </c>
      <c r="D2" s="646"/>
      <c r="E2" s="646"/>
      <c r="F2" s="646"/>
      <c r="G2" s="647"/>
      <c r="H2" s="153" t="s">
        <v>3</v>
      </c>
      <c r="I2" s="154" t="s">
        <v>152</v>
      </c>
    </row>
    <row r="3" spans="1:11" ht="31.5" customHeight="1" thickBot="1" x14ac:dyDescent="0.3">
      <c r="A3" s="640"/>
      <c r="B3" s="641"/>
      <c r="C3" s="706" t="s">
        <v>198</v>
      </c>
      <c r="D3" s="707"/>
      <c r="E3" s="707"/>
      <c r="F3" s="707"/>
      <c r="G3" s="708"/>
      <c r="H3" s="651" t="s">
        <v>4</v>
      </c>
      <c r="I3" s="629">
        <v>45616</v>
      </c>
    </row>
    <row r="4" spans="1:11" ht="18" customHeight="1" x14ac:dyDescent="0.25">
      <c r="A4" s="640"/>
      <c r="B4" s="641"/>
      <c r="C4" s="155" t="s">
        <v>5</v>
      </c>
      <c r="D4" s="632" t="s">
        <v>154</v>
      </c>
      <c r="E4" s="633"/>
      <c r="F4" s="633"/>
      <c r="G4" s="634"/>
      <c r="H4" s="652"/>
      <c r="I4" s="630"/>
    </row>
    <row r="5" spans="1:11" ht="15.75" thickBot="1" x14ac:dyDescent="0.3">
      <c r="A5" s="642"/>
      <c r="B5" s="643"/>
      <c r="C5" s="156" t="s">
        <v>7</v>
      </c>
      <c r="D5" s="635" t="s">
        <v>8</v>
      </c>
      <c r="E5" s="636"/>
      <c r="F5" s="636"/>
      <c r="G5" s="637"/>
      <c r="H5" s="653"/>
      <c r="I5" s="631"/>
    </row>
    <row r="6" spans="1:11" ht="18.75" thickBot="1" x14ac:dyDescent="0.3">
      <c r="A6" s="654" t="s">
        <v>9</v>
      </c>
      <c r="B6" s="654"/>
      <c r="C6" s="654"/>
      <c r="D6" s="709" t="s">
        <v>155</v>
      </c>
      <c r="E6" s="709"/>
      <c r="F6" s="709"/>
      <c r="G6" s="656" t="s">
        <v>11</v>
      </c>
      <c r="H6" s="656"/>
      <c r="I6" s="157" t="s">
        <v>155</v>
      </c>
    </row>
    <row r="7" spans="1:11" x14ac:dyDescent="0.25">
      <c r="A7" s="657" t="s">
        <v>12</v>
      </c>
      <c r="B7" s="659" t="s">
        <v>13</v>
      </c>
      <c r="C7" s="661" t="s">
        <v>14</v>
      </c>
      <c r="D7" s="661" t="s">
        <v>15</v>
      </c>
      <c r="E7" s="661" t="s">
        <v>16</v>
      </c>
      <c r="F7" s="661"/>
      <c r="G7" s="661" t="s">
        <v>17</v>
      </c>
      <c r="H7" s="661"/>
      <c r="I7" s="158" t="s">
        <v>18</v>
      </c>
    </row>
    <row r="8" spans="1:11" ht="27" thickBot="1" x14ac:dyDescent="0.3">
      <c r="A8" s="710"/>
      <c r="B8" s="711"/>
      <c r="C8" s="712"/>
      <c r="D8" s="712"/>
      <c r="E8" s="159" t="s">
        <v>19</v>
      </c>
      <c r="F8" s="160" t="s">
        <v>20</v>
      </c>
      <c r="G8" s="159" t="s">
        <v>19</v>
      </c>
      <c r="H8" s="160" t="s">
        <v>20</v>
      </c>
      <c r="I8" s="161" t="s">
        <v>21</v>
      </c>
    </row>
    <row r="9" spans="1:11" ht="18.600000000000001" customHeight="1" x14ac:dyDescent="0.25">
      <c r="A9" s="162"/>
      <c r="B9" s="163"/>
      <c r="C9" s="164" t="s">
        <v>22</v>
      </c>
      <c r="D9" s="165"/>
      <c r="E9" s="166"/>
      <c r="F9" s="167"/>
      <c r="G9" s="166"/>
      <c r="H9" s="167"/>
      <c r="I9" s="168"/>
    </row>
    <row r="10" spans="1:11" ht="18" customHeight="1" x14ac:dyDescent="0.25">
      <c r="A10" s="185"/>
      <c r="B10" s="185" t="s">
        <v>199</v>
      </c>
      <c r="C10" s="334" t="s">
        <v>200</v>
      </c>
      <c r="D10" s="335" t="s">
        <v>201</v>
      </c>
      <c r="E10" s="336">
        <v>9000</v>
      </c>
      <c r="F10" s="337" t="s">
        <v>25</v>
      </c>
      <c r="G10" s="175"/>
      <c r="H10" s="176"/>
      <c r="I10" s="168"/>
    </row>
    <row r="11" spans="1:11" x14ac:dyDescent="0.25">
      <c r="A11" s="185"/>
      <c r="B11" s="185" t="s">
        <v>202</v>
      </c>
      <c r="C11" s="334" t="s">
        <v>203</v>
      </c>
      <c r="D11" s="216" t="s">
        <v>204</v>
      </c>
      <c r="E11" s="217">
        <v>1</v>
      </c>
      <c r="F11" s="218" t="s">
        <v>205</v>
      </c>
      <c r="G11" s="175"/>
      <c r="H11" s="176"/>
      <c r="I11" s="168"/>
    </row>
    <row r="12" spans="1:11" ht="15.75" x14ac:dyDescent="0.25">
      <c r="A12" s="185"/>
      <c r="B12" s="185" t="s">
        <v>206</v>
      </c>
      <c r="C12" s="334" t="s">
        <v>207</v>
      </c>
      <c r="D12" s="184" t="s">
        <v>208</v>
      </c>
      <c r="E12" s="184">
        <v>12000</v>
      </c>
      <c r="F12" s="184" t="s">
        <v>25</v>
      </c>
      <c r="G12" s="182"/>
      <c r="H12" s="176"/>
      <c r="I12" s="168"/>
      <c r="J12">
        <f>+E12/D39</f>
        <v>0.51011732698520662</v>
      </c>
      <c r="K12">
        <f>+J12*1000</f>
        <v>510.1173269852066</v>
      </c>
    </row>
    <row r="13" spans="1:11" ht="15.75" x14ac:dyDescent="0.25">
      <c r="A13" s="177"/>
      <c r="B13" s="177" t="s">
        <v>62</v>
      </c>
      <c r="C13" s="183" t="s">
        <v>63</v>
      </c>
      <c r="D13" s="184" t="s">
        <v>209</v>
      </c>
      <c r="E13" s="184">
        <v>24</v>
      </c>
      <c r="F13" s="184" t="s">
        <v>25</v>
      </c>
      <c r="G13" s="182"/>
      <c r="H13" s="176"/>
      <c r="I13" s="168"/>
    </row>
    <row r="14" spans="1:11" ht="15.75" x14ac:dyDescent="0.25">
      <c r="A14" s="185"/>
      <c r="B14" s="185"/>
      <c r="C14" s="186"/>
      <c r="D14" s="184"/>
      <c r="E14" s="184"/>
      <c r="F14" s="184"/>
      <c r="G14" s="182"/>
      <c r="H14" s="176"/>
      <c r="I14" s="168"/>
    </row>
    <row r="15" spans="1:11" ht="15.75" x14ac:dyDescent="0.25">
      <c r="A15" s="177"/>
      <c r="B15" s="177"/>
      <c r="C15" s="187"/>
      <c r="D15" s="184"/>
      <c r="E15" s="184"/>
      <c r="F15" s="184"/>
      <c r="G15" s="182"/>
      <c r="H15" s="176"/>
      <c r="I15" s="168"/>
    </row>
    <row r="16" spans="1:11" ht="15.75" x14ac:dyDescent="0.25">
      <c r="A16" s="177"/>
      <c r="B16" s="177"/>
      <c r="C16" s="187"/>
      <c r="D16" s="184"/>
      <c r="E16" s="184"/>
      <c r="F16" s="184"/>
      <c r="G16" s="182"/>
      <c r="H16" s="176"/>
      <c r="I16" s="168"/>
    </row>
    <row r="17" spans="1:9" ht="15.75" x14ac:dyDescent="0.25">
      <c r="A17" s="177"/>
      <c r="B17" s="177"/>
      <c r="C17" s="187"/>
      <c r="D17" s="184"/>
      <c r="E17" s="184"/>
      <c r="F17" s="184"/>
      <c r="G17" s="182"/>
      <c r="H17" s="176"/>
      <c r="I17" s="168"/>
    </row>
    <row r="18" spans="1:9" ht="15.75" x14ac:dyDescent="0.25">
      <c r="A18" s="188"/>
      <c r="B18" s="189"/>
      <c r="C18" s="190" t="s">
        <v>27</v>
      </c>
      <c r="D18" s="192"/>
      <c r="E18" s="192"/>
      <c r="F18" s="192"/>
      <c r="G18" s="166"/>
      <c r="H18" s="176"/>
      <c r="I18" s="168"/>
    </row>
    <row r="19" spans="1:9" ht="15.75" x14ac:dyDescent="0.25">
      <c r="A19" s="188"/>
      <c r="B19" s="189"/>
      <c r="C19" s="190"/>
      <c r="D19" s="193"/>
      <c r="E19" s="194"/>
      <c r="F19" s="195"/>
      <c r="G19" s="166"/>
      <c r="H19" s="176"/>
      <c r="I19" s="168"/>
    </row>
    <row r="20" spans="1:9" x14ac:dyDescent="0.25">
      <c r="A20" s="196"/>
      <c r="B20" s="197"/>
      <c r="C20" s="198"/>
      <c r="D20" s="199"/>
      <c r="E20" s="200"/>
      <c r="F20" s="201"/>
      <c r="G20" s="166"/>
      <c r="H20" s="176"/>
      <c r="I20" s="168"/>
    </row>
    <row r="21" spans="1:9" x14ac:dyDescent="0.25">
      <c r="A21" s="196"/>
      <c r="B21" s="197"/>
      <c r="C21" s="198"/>
      <c r="D21" s="199"/>
      <c r="E21" s="202"/>
      <c r="F21" s="201"/>
      <c r="G21" s="166"/>
      <c r="H21" s="167"/>
      <c r="I21" s="168"/>
    </row>
    <row r="22" spans="1:9" x14ac:dyDescent="0.25">
      <c r="A22" s="196"/>
      <c r="B22" s="197"/>
      <c r="C22" s="198"/>
      <c r="D22" s="199"/>
      <c r="E22" s="200"/>
      <c r="F22" s="201"/>
      <c r="G22" s="166"/>
      <c r="H22" s="167"/>
      <c r="I22" s="168"/>
    </row>
    <row r="23" spans="1:9" x14ac:dyDescent="0.25">
      <c r="A23" s="196"/>
      <c r="B23" s="197"/>
      <c r="C23" s="198"/>
      <c r="D23" s="199"/>
      <c r="E23" s="203"/>
      <c r="F23" s="204"/>
      <c r="G23" s="166"/>
      <c r="H23" s="167"/>
      <c r="I23" s="168"/>
    </row>
    <row r="24" spans="1:9" x14ac:dyDescent="0.25">
      <c r="A24" s="177"/>
      <c r="B24" s="177"/>
      <c r="C24" s="187"/>
      <c r="D24" s="205"/>
      <c r="E24" s="206"/>
      <c r="F24" s="207"/>
      <c r="G24" s="166"/>
      <c r="H24" s="167"/>
      <c r="I24" s="168"/>
    </row>
    <row r="25" spans="1:9" ht="15.75" x14ac:dyDescent="0.25">
      <c r="A25" s="208"/>
      <c r="B25" s="209"/>
      <c r="C25" s="210" t="s">
        <v>28</v>
      </c>
      <c r="D25" s="211"/>
      <c r="E25" s="212"/>
      <c r="F25" s="167"/>
      <c r="G25" s="166"/>
      <c r="I25" s="168"/>
    </row>
    <row r="26" spans="1:9" x14ac:dyDescent="0.25">
      <c r="A26" s="213"/>
      <c r="B26" s="214" t="s">
        <v>31</v>
      </c>
      <c r="C26" s="215" t="s">
        <v>32</v>
      </c>
      <c r="D26" s="216" t="s">
        <v>164</v>
      </c>
      <c r="E26" s="217">
        <v>2</v>
      </c>
      <c r="F26" s="218" t="s">
        <v>30</v>
      </c>
      <c r="G26" s="219"/>
      <c r="H26" s="167"/>
      <c r="I26" s="168"/>
    </row>
    <row r="27" spans="1:9" x14ac:dyDescent="0.25">
      <c r="A27" s="213"/>
      <c r="B27" s="214" t="s">
        <v>160</v>
      </c>
      <c r="C27" s="215" t="s">
        <v>210</v>
      </c>
      <c r="D27" s="216" t="s">
        <v>162</v>
      </c>
      <c r="E27" s="217">
        <v>2</v>
      </c>
      <c r="F27" s="218" t="s">
        <v>30</v>
      </c>
      <c r="G27" s="219"/>
      <c r="H27" s="167"/>
      <c r="I27" s="168"/>
    </row>
    <row r="28" spans="1:9" x14ac:dyDescent="0.25">
      <c r="A28" s="220"/>
      <c r="B28" s="221" t="s">
        <v>166</v>
      </c>
      <c r="C28" s="222" t="s">
        <v>167</v>
      </c>
      <c r="D28" s="216" t="s">
        <v>164</v>
      </c>
      <c r="E28" s="217">
        <v>1</v>
      </c>
      <c r="F28" s="218" t="s">
        <v>30</v>
      </c>
      <c r="G28" s="219"/>
      <c r="H28" s="167"/>
      <c r="I28" s="168"/>
    </row>
    <row r="29" spans="1:9" x14ac:dyDescent="0.25">
      <c r="A29" s="223"/>
      <c r="B29" s="223" t="s">
        <v>211</v>
      </c>
      <c r="C29" s="224" t="s">
        <v>212</v>
      </c>
      <c r="D29" s="216" t="s">
        <v>29</v>
      </c>
      <c r="E29" s="217">
        <v>2</v>
      </c>
      <c r="F29" s="218" t="s">
        <v>30</v>
      </c>
      <c r="G29" s="166"/>
      <c r="H29" s="167"/>
      <c r="I29" s="168"/>
    </row>
    <row r="30" spans="1:9" x14ac:dyDescent="0.25">
      <c r="A30" s="223"/>
      <c r="B30" s="223"/>
      <c r="C30" s="224"/>
      <c r="D30" s="216"/>
      <c r="E30" s="217"/>
      <c r="F30" s="218"/>
      <c r="G30" s="166"/>
      <c r="H30" s="167"/>
      <c r="I30" s="168"/>
    </row>
    <row r="31" spans="1:9" x14ac:dyDescent="0.25">
      <c r="A31" s="223"/>
      <c r="B31" s="223"/>
      <c r="C31" s="224"/>
      <c r="D31" s="216"/>
      <c r="E31" s="217"/>
      <c r="F31" s="218"/>
      <c r="G31" s="225"/>
      <c r="H31" s="167"/>
      <c r="I31" s="168"/>
    </row>
    <row r="32" spans="1:9" ht="15.75" x14ac:dyDescent="0.25">
      <c r="A32" s="223"/>
      <c r="B32" s="223"/>
      <c r="C32" s="224"/>
      <c r="D32" s="184"/>
      <c r="E32" s="217"/>
      <c r="F32" s="218"/>
      <c r="G32" s="226"/>
      <c r="H32" s="167"/>
      <c r="I32" s="168"/>
    </row>
    <row r="33" spans="1:9" x14ac:dyDescent="0.25">
      <c r="A33" s="227"/>
      <c r="B33" s="227"/>
      <c r="C33" s="228"/>
      <c r="D33" s="216"/>
      <c r="E33" s="207"/>
      <c r="F33" s="207"/>
      <c r="G33" s="226"/>
      <c r="H33" s="167"/>
      <c r="I33" s="168"/>
    </row>
    <row r="34" spans="1:9" x14ac:dyDescent="0.25">
      <c r="A34" s="229"/>
      <c r="B34" s="177"/>
      <c r="C34" s="230"/>
      <c r="D34" s="231"/>
      <c r="E34" s="206"/>
      <c r="F34" s="182"/>
      <c r="G34" s="226"/>
      <c r="H34" s="167"/>
      <c r="I34" s="168"/>
    </row>
    <row r="35" spans="1:9" ht="15.75" x14ac:dyDescent="0.25">
      <c r="A35" s="223"/>
      <c r="B35" s="223"/>
      <c r="C35" s="224"/>
      <c r="D35" s="216"/>
      <c r="E35" s="206"/>
      <c r="F35" s="182"/>
      <c r="G35" s="232"/>
      <c r="H35" s="167"/>
      <c r="I35" s="168"/>
    </row>
    <row r="36" spans="1:9" ht="15.75" x14ac:dyDescent="0.25">
      <c r="A36" s="188"/>
      <c r="B36" s="189"/>
      <c r="C36" s="233"/>
      <c r="D36" s="193"/>
      <c r="E36" s="193"/>
      <c r="F36" s="195"/>
      <c r="G36" s="234"/>
      <c r="H36" s="234"/>
      <c r="I36" s="168"/>
    </row>
    <row r="37" spans="1:9" ht="15.75" thickBot="1" x14ac:dyDescent="0.3">
      <c r="A37" s="235"/>
      <c r="B37" s="236"/>
      <c r="C37" s="237"/>
      <c r="D37" s="237"/>
      <c r="E37" s="238"/>
      <c r="F37" s="239"/>
      <c r="G37" s="237"/>
      <c r="H37" s="237"/>
      <c r="I37" s="240"/>
    </row>
    <row r="38" spans="1:9" ht="15.75" thickBot="1" x14ac:dyDescent="0.3">
      <c r="A38" s="241"/>
      <c r="B38" s="242"/>
      <c r="C38" s="243"/>
      <c r="D38" s="244" t="s">
        <v>19</v>
      </c>
      <c r="E38" s="245" t="s">
        <v>35</v>
      </c>
      <c r="F38" s="246"/>
      <c r="G38" s="243"/>
      <c r="H38" s="243"/>
      <c r="I38" s="247"/>
    </row>
    <row r="39" spans="1:9" x14ac:dyDescent="0.25">
      <c r="A39" s="713" t="s">
        <v>38</v>
      </c>
      <c r="B39" s="714"/>
      <c r="C39" s="715"/>
      <c r="D39" s="248">
        <v>23524</v>
      </c>
      <c r="E39" s="249" t="s">
        <v>25</v>
      </c>
      <c r="F39" s="716" t="s">
        <v>39</v>
      </c>
      <c r="G39" s="716"/>
      <c r="H39" s="717"/>
      <c r="I39" s="718"/>
    </row>
    <row r="40" spans="1:9" x14ac:dyDescent="0.25">
      <c r="A40" s="719" t="s">
        <v>40</v>
      </c>
      <c r="B40" s="720"/>
      <c r="C40" s="721"/>
      <c r="D40" s="338">
        <v>0.14583333333333334</v>
      </c>
      <c r="E40" s="182" t="s">
        <v>213</v>
      </c>
      <c r="F40" s="722" t="s">
        <v>42</v>
      </c>
      <c r="G40" s="722"/>
      <c r="H40" s="723"/>
      <c r="I40" s="724"/>
    </row>
    <row r="41" spans="1:9" x14ac:dyDescent="0.25">
      <c r="A41" s="719" t="s">
        <v>43</v>
      </c>
      <c r="B41" s="720"/>
      <c r="C41" s="721"/>
      <c r="D41" s="206">
        <v>1</v>
      </c>
      <c r="E41" s="182" t="s">
        <v>193</v>
      </c>
      <c r="F41" s="722" t="s">
        <v>44</v>
      </c>
      <c r="G41" s="722"/>
      <c r="H41" s="723"/>
      <c r="I41" s="724"/>
    </row>
    <row r="42" spans="1:9" x14ac:dyDescent="0.25">
      <c r="A42" s="719" t="s">
        <v>45</v>
      </c>
      <c r="B42" s="720"/>
      <c r="C42" s="721"/>
      <c r="D42" s="206">
        <v>23524</v>
      </c>
      <c r="E42" s="182" t="s">
        <v>25</v>
      </c>
      <c r="F42" s="728" t="s">
        <v>46</v>
      </c>
      <c r="G42" s="729"/>
      <c r="H42" s="760"/>
      <c r="I42" s="761"/>
    </row>
    <row r="43" spans="1:9" ht="15.75" thickBot="1" x14ac:dyDescent="0.3">
      <c r="A43" s="730" t="s">
        <v>47</v>
      </c>
      <c r="B43" s="731"/>
      <c r="C43" s="732"/>
      <c r="D43" s="250">
        <v>0</v>
      </c>
      <c r="E43" s="251" t="s">
        <v>25</v>
      </c>
      <c r="F43" s="733"/>
      <c r="G43" s="733"/>
      <c r="H43" s="723"/>
      <c r="I43" s="724"/>
    </row>
    <row r="44" spans="1:9" ht="15.75" thickBot="1" x14ac:dyDescent="0.3">
      <c r="A44" s="736" t="s">
        <v>48</v>
      </c>
      <c r="B44" s="737"/>
      <c r="C44" s="737"/>
      <c r="D44" s="737"/>
      <c r="E44" s="737"/>
      <c r="F44" s="737"/>
      <c r="G44" s="737"/>
      <c r="H44" s="737"/>
      <c r="I44" s="738"/>
    </row>
    <row r="45" spans="1:9" ht="14.65" customHeight="1" x14ac:dyDescent="0.25">
      <c r="A45" s="762" t="s">
        <v>214</v>
      </c>
      <c r="B45" s="763"/>
      <c r="C45" s="763"/>
      <c r="D45" s="763"/>
      <c r="E45" s="763"/>
      <c r="F45" s="763"/>
      <c r="G45" s="763"/>
      <c r="H45" s="763"/>
      <c r="I45" s="764"/>
    </row>
    <row r="46" spans="1:9" ht="15.6" customHeight="1" x14ac:dyDescent="0.25">
      <c r="A46" s="756" t="s">
        <v>215</v>
      </c>
      <c r="B46" s="757"/>
      <c r="C46" s="758"/>
      <c r="D46" s="758"/>
      <c r="E46" s="758"/>
      <c r="F46" s="758"/>
      <c r="G46" s="758"/>
      <c r="H46" s="758"/>
      <c r="I46" s="759"/>
    </row>
    <row r="47" spans="1:9" ht="14.65" customHeight="1" thickBot="1" x14ac:dyDescent="0.3">
      <c r="A47" s="765" t="s">
        <v>216</v>
      </c>
      <c r="B47" s="766"/>
      <c r="C47" s="766"/>
      <c r="D47" s="766"/>
      <c r="E47" s="766"/>
      <c r="F47" s="766"/>
      <c r="G47" s="766"/>
      <c r="H47" s="766"/>
      <c r="I47" s="767"/>
    </row>
    <row r="48" spans="1:9" ht="14.65" customHeight="1" x14ac:dyDescent="0.25">
      <c r="A48" s="756"/>
      <c r="B48" s="757"/>
      <c r="C48" s="758"/>
      <c r="D48" s="758"/>
      <c r="E48" s="758"/>
      <c r="F48" s="758"/>
      <c r="G48" s="758"/>
      <c r="H48" s="758"/>
      <c r="I48" s="759"/>
    </row>
    <row r="49" spans="1:9" ht="14.65" customHeight="1" x14ac:dyDescent="0.25">
      <c r="A49" s="756"/>
      <c r="B49" s="757"/>
      <c r="C49" s="758"/>
      <c r="D49" s="758"/>
      <c r="E49" s="758"/>
      <c r="F49" s="758"/>
      <c r="G49" s="758"/>
      <c r="H49" s="758"/>
      <c r="I49" s="759"/>
    </row>
    <row r="50" spans="1:9" ht="18" customHeight="1" thickBot="1" x14ac:dyDescent="0.3">
      <c r="A50" s="768"/>
      <c r="B50" s="769"/>
      <c r="C50" s="770"/>
      <c r="D50" s="770"/>
      <c r="E50" s="770"/>
      <c r="F50" s="770"/>
      <c r="G50" s="770"/>
      <c r="H50" s="770"/>
      <c r="I50" s="771"/>
    </row>
    <row r="51" spans="1:9" ht="15.75" x14ac:dyDescent="0.25">
      <c r="A51" s="772"/>
      <c r="B51" s="773"/>
      <c r="C51" s="773"/>
      <c r="D51" s="773"/>
      <c r="E51" s="773"/>
      <c r="F51" s="773"/>
      <c r="G51" s="773"/>
      <c r="H51" s="773"/>
      <c r="I51" s="774"/>
    </row>
    <row r="52" spans="1:9" ht="15.75" thickBot="1" x14ac:dyDescent="0.3">
      <c r="A52" s="775"/>
      <c r="B52" s="776"/>
      <c r="C52" s="776"/>
      <c r="D52" s="776"/>
      <c r="E52" s="776"/>
      <c r="F52" s="776"/>
      <c r="G52" s="776"/>
      <c r="H52" s="776"/>
      <c r="I52" s="777"/>
    </row>
    <row r="53" spans="1:9" x14ac:dyDescent="0.25">
      <c r="A53" s="742" t="s">
        <v>49</v>
      </c>
      <c r="B53" s="743"/>
      <c r="C53" s="743"/>
      <c r="D53" s="743"/>
      <c r="E53" s="743"/>
      <c r="F53" s="743"/>
      <c r="G53" s="743"/>
      <c r="H53" s="743"/>
      <c r="I53" s="743"/>
    </row>
    <row r="54" spans="1:9" x14ac:dyDescent="0.25">
      <c r="A54" s="744"/>
      <c r="B54" s="745"/>
      <c r="C54" s="745"/>
      <c r="D54" s="745"/>
      <c r="E54" s="745"/>
      <c r="F54" s="745"/>
      <c r="G54" s="745"/>
      <c r="H54" s="745"/>
      <c r="I54" s="745"/>
    </row>
    <row r="55" spans="1:9" x14ac:dyDescent="0.25">
      <c r="A55" s="744"/>
      <c r="B55" s="745"/>
      <c r="C55" s="745"/>
      <c r="D55" s="745"/>
      <c r="E55" s="745"/>
      <c r="F55" s="745"/>
      <c r="G55" s="745"/>
      <c r="H55" s="745"/>
      <c r="I55" s="745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984B-192D-416B-86E3-FAAE937CC078}">
  <dimension ref="A1:Q91"/>
  <sheetViews>
    <sheetView topLeftCell="A43" workbookViewId="0">
      <selection activeCell="B66" sqref="B66:E66"/>
    </sheetView>
  </sheetViews>
  <sheetFormatPr baseColWidth="10" defaultColWidth="8.42578125" defaultRowHeight="12.75" x14ac:dyDescent="0.25"/>
  <cols>
    <col min="1" max="1" width="10" style="59" bestFit="1" customWidth="1"/>
    <col min="2" max="2" width="44.28515625" style="59" bestFit="1" customWidth="1"/>
    <col min="3" max="3" width="10.42578125" style="59" bestFit="1" customWidth="1"/>
    <col min="4" max="4" width="10.42578125" style="59" customWidth="1"/>
    <col min="5" max="5" width="11" style="59" customWidth="1"/>
    <col min="6" max="6" width="9.5703125" style="59" bestFit="1" customWidth="1"/>
    <col min="7" max="7" width="10.7109375" style="141" customWidth="1"/>
    <col min="8" max="8" width="10.42578125" style="132" bestFit="1" customWidth="1"/>
    <col min="9" max="9" width="4.5703125" style="132" customWidth="1"/>
    <col min="10" max="10" width="1.7109375" style="58" customWidth="1"/>
    <col min="11" max="11" width="7" style="59" bestFit="1" customWidth="1"/>
    <col min="12" max="12" width="6.28515625" style="59" customWidth="1"/>
    <col min="13" max="13" width="20.42578125" style="59" customWidth="1"/>
    <col min="14" max="14" width="6.42578125" style="59" bestFit="1" customWidth="1"/>
    <col min="15" max="16" width="8.42578125" style="59"/>
    <col min="17" max="17" width="3.28515625" style="59" customWidth="1"/>
    <col min="18" max="16384" width="8.42578125" style="59"/>
  </cols>
  <sheetData>
    <row r="1" spans="1:10" ht="27.75" customHeight="1" x14ac:dyDescent="0.25">
      <c r="A1" s="54"/>
      <c r="B1" s="54"/>
      <c r="C1" s="54"/>
      <c r="D1" s="54"/>
      <c r="E1" s="55" t="s">
        <v>83</v>
      </c>
      <c r="F1" s="56" t="s">
        <v>84</v>
      </c>
      <c r="G1" s="56" t="s">
        <v>85</v>
      </c>
      <c r="H1" s="56" t="s">
        <v>86</v>
      </c>
      <c r="I1" s="57"/>
    </row>
    <row r="2" spans="1:10" ht="30.75" customHeight="1" x14ac:dyDescent="0.25">
      <c r="A2" s="54"/>
      <c r="B2" s="54"/>
      <c r="C2" s="54"/>
      <c r="D2" s="54"/>
      <c r="E2" s="60">
        <f>IFERROR(O62,"")</f>
        <v>34330.045230519478</v>
      </c>
      <c r="F2" s="60">
        <f>IFERROR(H53,"")</f>
        <v>31927.395</v>
      </c>
      <c r="G2" s="60">
        <f>IFERROR(H54,"")</f>
        <v>210.83074999999999</v>
      </c>
      <c r="H2" s="60">
        <f>IFERROR(H56,"")</f>
        <v>1054.8131250000001</v>
      </c>
      <c r="I2" s="61"/>
    </row>
    <row r="3" spans="1:10" ht="15" customHeight="1" x14ac:dyDescent="0.25">
      <c r="A3" s="54"/>
      <c r="B3" s="54"/>
      <c r="C3" s="54"/>
      <c r="D3" s="54"/>
      <c r="E3" s="54"/>
      <c r="F3" s="62"/>
      <c r="G3" s="62"/>
      <c r="H3" s="62"/>
      <c r="I3" s="62"/>
    </row>
    <row r="4" spans="1:10" ht="24.75" customHeight="1" thickBot="1" x14ac:dyDescent="0.3">
      <c r="A4" s="624"/>
      <c r="B4" s="624"/>
      <c r="C4" s="624"/>
      <c r="D4" s="624"/>
      <c r="E4" s="624"/>
      <c r="F4" s="624"/>
      <c r="G4" s="624"/>
      <c r="H4" s="624"/>
      <c r="I4" s="63"/>
    </row>
    <row r="5" spans="1:10" ht="19.5" customHeight="1" thickBot="1" x14ac:dyDescent="0.3">
      <c r="A5" s="625" t="s">
        <v>87</v>
      </c>
      <c r="B5" s="626"/>
      <c r="C5" s="626"/>
      <c r="D5" s="626"/>
      <c r="E5" s="626"/>
      <c r="F5" s="626"/>
      <c r="G5" s="626"/>
      <c r="H5" s="627"/>
      <c r="I5" s="64"/>
    </row>
    <row r="6" spans="1:10" ht="19.5" thickBot="1" x14ac:dyDescent="0.3">
      <c r="A6" s="64"/>
      <c r="B6" s="64"/>
      <c r="C6" s="64"/>
      <c r="D6" s="64"/>
      <c r="E6" s="64"/>
      <c r="F6" s="628" t="s">
        <v>88</v>
      </c>
      <c r="G6" s="628"/>
      <c r="H6" s="65">
        <f ca="1">TODAY()</f>
        <v>46141</v>
      </c>
      <c r="I6" s="65"/>
    </row>
    <row r="7" spans="1:10" ht="26.25" thickBot="1" x14ac:dyDescent="0.3">
      <c r="A7" s="66" t="s">
        <v>89</v>
      </c>
      <c r="B7" s="67" t="s">
        <v>90</v>
      </c>
      <c r="C7" s="67" t="s">
        <v>89</v>
      </c>
      <c r="D7" s="68" t="s">
        <v>91</v>
      </c>
      <c r="E7" s="68" t="s">
        <v>92</v>
      </c>
      <c r="F7" s="68" t="s">
        <v>93</v>
      </c>
      <c r="G7" s="68" t="s">
        <v>94</v>
      </c>
      <c r="H7" s="69" t="s">
        <v>95</v>
      </c>
      <c r="I7" s="70"/>
    </row>
    <row r="8" spans="1:10" ht="13.5" x14ac:dyDescent="0.25">
      <c r="A8" s="71">
        <v>4222</v>
      </c>
      <c r="B8" s="59" t="s">
        <v>60</v>
      </c>
      <c r="C8" s="72">
        <f>+A8</f>
        <v>4222</v>
      </c>
      <c r="D8" s="73" t="s">
        <v>136</v>
      </c>
      <c r="E8" s="73">
        <v>2.16</v>
      </c>
      <c r="F8" s="73">
        <f>IFERROR(C8*E8,"")</f>
        <v>9119.52</v>
      </c>
      <c r="G8" s="74">
        <f t="shared" ref="G8:G14" si="0">IFERROR(F8/$F$66,"")</f>
        <v>0.27184492002556554</v>
      </c>
      <c r="H8" s="75" t="s">
        <v>59</v>
      </c>
      <c r="I8" s="75"/>
      <c r="J8" s="76"/>
    </row>
    <row r="9" spans="1:10" ht="13.5" x14ac:dyDescent="0.25">
      <c r="A9" s="71">
        <v>3830</v>
      </c>
      <c r="B9" s="59" t="str">
        <f>IFERROR(VLOOKUP(H9,'[1]Consolidado MP Planta'!$A$2:$M$823,3,0),"")</f>
        <v>LACTOCREMA GRANEL (CAJA:25 KG)</v>
      </c>
      <c r="C9" s="72">
        <f t="shared" ref="C9:C14" si="1">+A9</f>
        <v>3830</v>
      </c>
      <c r="D9" s="73" t="str">
        <f>IFERROR(VLOOKUP(H9,'[1]Consolidado MP Planta'!$A$2:$M$823,13,0),"")</f>
        <v>Gramos</v>
      </c>
      <c r="E9" s="73">
        <v>3.49</v>
      </c>
      <c r="F9" s="73">
        <f t="shared" ref="F9:F14" si="2">IFERROR(C9*E9,"")</f>
        <v>13366.7</v>
      </c>
      <c r="G9" s="74">
        <f t="shared" si="0"/>
        <v>0.39844964345773976</v>
      </c>
      <c r="H9" s="75" t="s">
        <v>139</v>
      </c>
      <c r="I9" s="75"/>
      <c r="J9" s="76"/>
    </row>
    <row r="10" spans="1:10" ht="13.5" x14ac:dyDescent="0.25">
      <c r="A10" s="71">
        <v>10</v>
      </c>
      <c r="B10" s="59" t="str">
        <f>IFERROR(VLOOKUP(H10,'[1]Consolidado MP Planta'!$A$2:$M$823,3,0),"")</f>
        <v>PRESERVANTE 1047S (PAQ=5 KILO)</v>
      </c>
      <c r="C10" s="72">
        <f t="shared" si="1"/>
        <v>10</v>
      </c>
      <c r="D10" s="73" t="str">
        <f>IFERROR(VLOOKUP(H10,'[1]Consolidado MP Planta'!$A$2:$M$823,13,0),"")</f>
        <v>Gramos</v>
      </c>
      <c r="E10" s="73">
        <v>7.25</v>
      </c>
      <c r="F10" s="73">
        <f t="shared" si="2"/>
        <v>72.5</v>
      </c>
      <c r="G10" s="74">
        <f t="shared" si="0"/>
        <v>2.1611616293240763E-3</v>
      </c>
      <c r="H10" s="75" t="s">
        <v>143</v>
      </c>
      <c r="I10" s="75"/>
      <c r="J10" s="76"/>
    </row>
    <row r="11" spans="1:10" ht="13.5" hidden="1" x14ac:dyDescent="0.25">
      <c r="A11" s="71"/>
      <c r="B11" s="59" t="str">
        <f>IFERROR(VLOOKUP(H11,'[1]Consolidado MP Planta'!$A$2:$M$823,3,0),"")</f>
        <v/>
      </c>
      <c r="C11" s="72">
        <f t="shared" si="1"/>
        <v>0</v>
      </c>
      <c r="D11" s="73" t="str">
        <f>IFERROR(VLOOKUP(H11,'[1]Consolidado MP Planta'!$A$2:$M$823,13,0),"")</f>
        <v/>
      </c>
      <c r="E11" s="73" t="str">
        <f>IFERROR(VLOOKUP(H11,'[1]Consolidado MP Planta'!$A$2:$M$823,12,0),"")</f>
        <v/>
      </c>
      <c r="F11" s="73" t="str">
        <f t="shared" si="2"/>
        <v/>
      </c>
      <c r="G11" s="74" t="str">
        <f t="shared" si="0"/>
        <v/>
      </c>
      <c r="H11" s="75"/>
      <c r="I11" s="75"/>
      <c r="J11" s="76"/>
    </row>
    <row r="12" spans="1:10" ht="13.5" hidden="1" x14ac:dyDescent="0.25">
      <c r="A12" s="71"/>
      <c r="B12" s="59" t="str">
        <f>IFERROR(VLOOKUP(H12,'[1]Consolidado MP Planta'!$A$2:$M$823,3,0),"")</f>
        <v/>
      </c>
      <c r="C12" s="72">
        <f t="shared" si="1"/>
        <v>0</v>
      </c>
      <c r="D12" s="73" t="str">
        <f>IFERROR(VLOOKUP(H12,'[1]Consolidado MP Planta'!$A$2:$M$823,13,0),"")</f>
        <v/>
      </c>
      <c r="E12" s="73" t="str">
        <f>IFERROR(VLOOKUP(H12,'[1]Consolidado MP Planta'!$A$2:$M$823,12,0),"")</f>
        <v/>
      </c>
      <c r="F12" s="73" t="str">
        <f t="shared" si="2"/>
        <v/>
      </c>
      <c r="G12" s="74" t="str">
        <f t="shared" si="0"/>
        <v/>
      </c>
      <c r="H12" s="75"/>
      <c r="I12" s="75"/>
      <c r="J12" s="76"/>
    </row>
    <row r="13" spans="1:10" ht="13.5" hidden="1" x14ac:dyDescent="0.25">
      <c r="A13" s="71"/>
      <c r="B13" s="59" t="str">
        <f>IFERROR(VLOOKUP(H13,'[1]Consolidado MP Planta'!$A$2:$M$823,3,0),"")</f>
        <v/>
      </c>
      <c r="C13" s="72">
        <f t="shared" si="1"/>
        <v>0</v>
      </c>
      <c r="D13" s="73" t="str">
        <f>IFERROR(VLOOKUP(H13,'[1]Consolidado MP Planta'!$A$2:$M$823,13,0),"")</f>
        <v/>
      </c>
      <c r="E13" s="73" t="str">
        <f>IFERROR(VLOOKUP(H13,'[1]Consolidado MP Planta'!$A$2:$M$823,12,0),"")</f>
        <v/>
      </c>
      <c r="F13" s="73" t="str">
        <f t="shared" si="2"/>
        <v/>
      </c>
      <c r="G13" s="74" t="str">
        <f t="shared" si="0"/>
        <v/>
      </c>
      <c r="H13" s="75"/>
      <c r="I13" s="75"/>
      <c r="J13" s="76"/>
    </row>
    <row r="14" spans="1:10" ht="13.5" hidden="1" x14ac:dyDescent="0.25">
      <c r="A14" s="71"/>
      <c r="B14" s="59" t="str">
        <f>IFERROR(VLOOKUP(H14,'[1]Consolidado MP Planta'!$A$2:$M$823,3,0),"")</f>
        <v/>
      </c>
      <c r="C14" s="72">
        <f t="shared" si="1"/>
        <v>0</v>
      </c>
      <c r="D14" s="73" t="str">
        <f>IFERROR(VLOOKUP(H14,'[1]Consolidado MP Planta'!$A$2:$M$823,13,0),"")</f>
        <v/>
      </c>
      <c r="E14" s="73" t="str">
        <f>IFERROR(VLOOKUP(H14,'[1]Consolidado MP Planta'!$A$2:$M$823,12,0),"")</f>
        <v/>
      </c>
      <c r="F14" s="73" t="str">
        <f t="shared" si="2"/>
        <v/>
      </c>
      <c r="G14" s="74" t="str">
        <f t="shared" si="0"/>
        <v/>
      </c>
      <c r="H14" s="75"/>
      <c r="I14" s="75"/>
      <c r="J14" s="76"/>
    </row>
    <row r="15" spans="1:10" ht="14.25" thickBot="1" x14ac:dyDescent="0.3">
      <c r="A15" s="71"/>
      <c r="B15" s="59" t="str">
        <f>IFERROR(VLOOKUP(H15,[2]Hoja2!$A$2:$G$589,2,0),"")</f>
        <v/>
      </c>
      <c r="C15" s="72"/>
      <c r="D15" s="73"/>
      <c r="E15" s="73"/>
      <c r="F15" s="73"/>
      <c r="G15" s="74"/>
      <c r="H15" s="75"/>
      <c r="I15" s="75"/>
      <c r="J15" s="76"/>
    </row>
    <row r="16" spans="1:10" ht="26.25" thickBot="1" x14ac:dyDescent="0.3">
      <c r="A16" s="66" t="s">
        <v>89</v>
      </c>
      <c r="B16" s="67" t="s">
        <v>96</v>
      </c>
      <c r="C16" s="67" t="s">
        <v>89</v>
      </c>
      <c r="D16" s="68" t="s">
        <v>91</v>
      </c>
      <c r="E16" s="68" t="s">
        <v>92</v>
      </c>
      <c r="F16" s="68" t="s">
        <v>93</v>
      </c>
      <c r="G16" s="68" t="s">
        <v>94</v>
      </c>
      <c r="H16" s="69" t="s">
        <v>95</v>
      </c>
      <c r="I16" s="70"/>
      <c r="J16" s="76"/>
    </row>
    <row r="17" spans="1:15" ht="13.5" x14ac:dyDescent="0.25">
      <c r="A17" s="71">
        <v>5</v>
      </c>
      <c r="B17" s="59" t="str">
        <f>IFERROR(VLOOKUP(H17,[1]SEMIELABORADOS!$A$2:$M$6000,2,0),"")</f>
        <v>CORTE GALLETA CHILENA GRANDE (UND)</v>
      </c>
      <c r="C17" s="72">
        <f>+A17</f>
        <v>5</v>
      </c>
      <c r="D17" s="72" t="str">
        <f>IFERROR(VLOOKUP(H17,[1]SEMIELABORADOS!$A$2:$M$6000,6,0),"")</f>
        <v>Und</v>
      </c>
      <c r="E17" s="73">
        <v>151.69999999999999</v>
      </c>
      <c r="F17" s="73">
        <f>IFERROR(E17*C17,"")</f>
        <v>758.5</v>
      </c>
      <c r="G17" s="74">
        <f t="shared" ref="G17:G24" si="3">IFERROR(F17/$F$66,"")</f>
        <v>2.2610222011618095E-2</v>
      </c>
      <c r="H17" s="75" t="s">
        <v>138</v>
      </c>
      <c r="I17" s="75"/>
      <c r="J17" s="76"/>
      <c r="M17" s="59">
        <v>1</v>
      </c>
      <c r="O17" s="59">
        <f>745/143</f>
        <v>5.20979020979021</v>
      </c>
    </row>
    <row r="18" spans="1:15" ht="13.5" x14ac:dyDescent="0.25">
      <c r="A18" s="71">
        <v>700</v>
      </c>
      <c r="B18" s="59" t="str">
        <f>IFERROR(VLOOKUP(H18,[1]SEMIELABORADOS!$A$2:$M$6000,2,0),"")</f>
        <v xml:space="preserve">AZUCAR REFINADA (BOLSA:1500g) </v>
      </c>
      <c r="C18" s="72">
        <f t="shared" ref="C18:C24" si="4">+A18</f>
        <v>700</v>
      </c>
      <c r="D18" s="72" t="str">
        <f>IFERROR(VLOOKUP(H18,[1]SEMIELABORADOS!$A$2:$M$6000,6,0),"")</f>
        <v>Gramo</v>
      </c>
      <c r="E18" s="73">
        <v>0.43</v>
      </c>
      <c r="F18" s="73">
        <f t="shared" ref="F18:F24" si="5">IFERROR(E18*C18,"")</f>
        <v>301</v>
      </c>
      <c r="G18" s="74">
        <f t="shared" si="3"/>
        <v>8.9725469024351315E-3</v>
      </c>
      <c r="H18" s="75" t="s">
        <v>140</v>
      </c>
      <c r="I18" s="75"/>
      <c r="J18" s="76"/>
      <c r="M18" s="59">
        <v>143</v>
      </c>
      <c r="N18" s="59">
        <v>745</v>
      </c>
    </row>
    <row r="19" spans="1:15" ht="13.5" x14ac:dyDescent="0.25">
      <c r="A19" s="71">
        <v>4655</v>
      </c>
      <c r="B19" s="59" t="s">
        <v>64</v>
      </c>
      <c r="C19" s="72">
        <f>+A19</f>
        <v>4655</v>
      </c>
      <c r="D19" s="72" t="s">
        <v>136</v>
      </c>
      <c r="E19" s="73">
        <f>+'Costo Feuilletine'!E69</f>
        <v>1.7849999999999999</v>
      </c>
      <c r="F19" s="73">
        <f>IFERROR(E19*C19,"")</f>
        <v>8309.1749999999993</v>
      </c>
      <c r="G19" s="74">
        <f t="shared" si="3"/>
        <v>0.24768924388053629</v>
      </c>
      <c r="H19" s="75"/>
      <c r="I19" s="75"/>
      <c r="J19" s="76"/>
    </row>
    <row r="20" spans="1:15" ht="13.5" hidden="1" x14ac:dyDescent="0.25">
      <c r="A20" s="71"/>
      <c r="B20" s="59" t="str">
        <f>IFERROR(VLOOKUP(H20,[1]SEMIELABORADOS!$A$2:$M$6000,2,0),"")</f>
        <v/>
      </c>
      <c r="C20" s="72">
        <f>+A20</f>
        <v>0</v>
      </c>
      <c r="D20" s="72" t="str">
        <f>IFERROR(VLOOKUP(H20,[1]SEMIELABORADOS!$A$2:$M$6000,6,0),"")</f>
        <v/>
      </c>
      <c r="E20" s="73" t="str">
        <f>IFERROR(VLOOKUP(H20,[1]SEMIELABORADOS!$A$2:$H$65536,8,0),"")</f>
        <v/>
      </c>
      <c r="F20" s="73" t="str">
        <f>IFERROR(E20*C20,"")</f>
        <v/>
      </c>
      <c r="G20" s="74" t="str">
        <f t="shared" si="3"/>
        <v/>
      </c>
      <c r="H20" s="75"/>
      <c r="I20" s="75"/>
      <c r="J20" s="76"/>
    </row>
    <row r="21" spans="1:15" ht="13.5" hidden="1" x14ac:dyDescent="0.25">
      <c r="A21" s="71"/>
      <c r="B21" s="59" t="str">
        <f>IFERROR(VLOOKUP(H21,[1]SEMIELABORADOS!$A$2:$M$6000,2,0),"")</f>
        <v/>
      </c>
      <c r="C21" s="72">
        <f>+A21</f>
        <v>0</v>
      </c>
      <c r="D21" s="72" t="str">
        <f>IFERROR(VLOOKUP(H21,[1]SEMIELABORADOS!$A$2:$M$6000,6,0),"")</f>
        <v/>
      </c>
      <c r="E21" s="73" t="str">
        <f>IFERROR(VLOOKUP(H21,[1]SEMIELABORADOS!$A$2:$H$65536,8,0),"")</f>
        <v/>
      </c>
      <c r="F21" s="73" t="str">
        <f>IFERROR(E21*C21,"")</f>
        <v/>
      </c>
      <c r="G21" s="74" t="str">
        <f t="shared" si="3"/>
        <v/>
      </c>
      <c r="H21" s="75"/>
      <c r="I21" s="75"/>
      <c r="J21" s="76"/>
    </row>
    <row r="22" spans="1:15" ht="13.5" hidden="1" x14ac:dyDescent="0.25">
      <c r="A22" s="71"/>
      <c r="B22" s="59" t="str">
        <f>IFERROR(VLOOKUP(H22,[1]SEMIELABORADOS!$A$2:$M$6000,2,0),"")</f>
        <v/>
      </c>
      <c r="C22" s="72">
        <f t="shared" si="4"/>
        <v>0</v>
      </c>
      <c r="D22" s="72" t="str">
        <f>IFERROR(VLOOKUP(H22,[1]SEMIELABORADOS!$A$2:$M$6000,6,0),"")</f>
        <v/>
      </c>
      <c r="E22" s="73" t="str">
        <f>IFERROR(VLOOKUP(H22,[1]SEMIELABORADOS!$A$2:$H$65536,8,0),"")</f>
        <v/>
      </c>
      <c r="F22" s="73" t="str">
        <f t="shared" si="5"/>
        <v/>
      </c>
      <c r="G22" s="74" t="str">
        <f t="shared" si="3"/>
        <v/>
      </c>
      <c r="H22" s="75"/>
      <c r="I22" s="75"/>
      <c r="J22" s="76"/>
    </row>
    <row r="23" spans="1:15" ht="13.5" hidden="1" x14ac:dyDescent="0.25">
      <c r="A23" s="71"/>
      <c r="B23" s="59" t="str">
        <f>IFERROR(VLOOKUP(H23,[1]SEMIELABORADOS!$A$2:$M$6000,2,0),"")</f>
        <v/>
      </c>
      <c r="C23" s="72">
        <f t="shared" si="4"/>
        <v>0</v>
      </c>
      <c r="D23" s="72" t="str">
        <f>IFERROR(VLOOKUP(H23,[1]SEMIELABORADOS!$A$2:$M$6000,6,0),"")</f>
        <v/>
      </c>
      <c r="E23" s="73" t="str">
        <f>IFERROR(VLOOKUP(H23,[1]SEMIELABORADOS!$A$2:$H$65536,8,0),"")</f>
        <v/>
      </c>
      <c r="F23" s="73" t="str">
        <f t="shared" si="5"/>
        <v/>
      </c>
      <c r="G23" s="74" t="str">
        <f t="shared" si="3"/>
        <v/>
      </c>
      <c r="H23" s="75"/>
      <c r="I23" s="75"/>
      <c r="J23" s="76"/>
    </row>
    <row r="24" spans="1:15" ht="13.5" hidden="1" x14ac:dyDescent="0.25">
      <c r="A24" s="71"/>
      <c r="B24" s="59" t="str">
        <f>IFERROR(VLOOKUP(H24,[1]SEMIELABORADOS!$A$2:$M$6000,2,0),"")</f>
        <v/>
      </c>
      <c r="C24" s="72">
        <f t="shared" si="4"/>
        <v>0</v>
      </c>
      <c r="D24" s="72" t="str">
        <f>IFERROR(VLOOKUP(H24,[1]SEMIELABORADOS!$A$2:$M$6000,6,0),"")</f>
        <v/>
      </c>
      <c r="E24" s="73" t="str">
        <f>IFERROR(VLOOKUP(H24,[1]SEMIELABORADOS!$A$2:$H$65536,8,0),"")</f>
        <v/>
      </c>
      <c r="F24" s="73" t="str">
        <f t="shared" si="5"/>
        <v/>
      </c>
      <c r="G24" s="74" t="str">
        <f t="shared" si="3"/>
        <v/>
      </c>
      <c r="H24" s="75"/>
      <c r="I24" s="75"/>
      <c r="J24" s="76"/>
    </row>
    <row r="25" spans="1:15" ht="14.25" thickBot="1" x14ac:dyDescent="0.3">
      <c r="A25" s="71"/>
      <c r="C25" s="72"/>
      <c r="D25" s="72"/>
      <c r="E25" s="73"/>
      <c r="F25" s="73"/>
      <c r="G25" s="74"/>
      <c r="H25" s="75"/>
      <c r="I25" s="75"/>
      <c r="J25" s="76"/>
    </row>
    <row r="26" spans="1:15" ht="26.25" hidden="1" thickBot="1" x14ac:dyDescent="0.3">
      <c r="A26" s="66" t="s">
        <v>89</v>
      </c>
      <c r="B26" s="67" t="s">
        <v>97</v>
      </c>
      <c r="C26" s="67" t="s">
        <v>89</v>
      </c>
      <c r="D26" s="68" t="s">
        <v>91</v>
      </c>
      <c r="E26" s="68" t="s">
        <v>92</v>
      </c>
      <c r="F26" s="68" t="s">
        <v>93</v>
      </c>
      <c r="G26" s="68" t="s">
        <v>94</v>
      </c>
      <c r="H26" s="69" t="s">
        <v>95</v>
      </c>
      <c r="I26" s="70"/>
    </row>
    <row r="27" spans="1:15" ht="13.5" hidden="1" x14ac:dyDescent="0.25">
      <c r="A27" s="71">
        <v>0</v>
      </c>
      <c r="B27" s="77" t="str">
        <f>IFERROR(VLOOKUP(H27,'[1]Consolidado MP Planta'!$A$2:$M$823,3,0),"")</f>
        <v/>
      </c>
      <c r="C27" s="72">
        <f t="shared" ref="C27:C32" si="6">+A27</f>
        <v>0</v>
      </c>
      <c r="D27" s="73" t="str">
        <f>IFERROR(VLOOKUP(H27,'[1]Consolidado MP Planta'!$A$2:$M$823,13,0),"")</f>
        <v/>
      </c>
      <c r="E27" s="73" t="str">
        <f>IFERROR(VLOOKUP(H27,'[1]Consolidado MP Planta'!$A$2:$M$823,12,0),"")</f>
        <v/>
      </c>
      <c r="F27" s="73" t="str">
        <f t="shared" ref="F27:F32" si="7">IFERROR(C27*E27,"")</f>
        <v/>
      </c>
      <c r="G27" s="74" t="str">
        <f t="shared" ref="G27:G32" si="8">IFERROR(F27/$F$66,"")</f>
        <v/>
      </c>
      <c r="H27" s="78"/>
      <c r="I27" s="78"/>
      <c r="J27" s="76"/>
      <c r="K27" s="618"/>
      <c r="L27" s="618"/>
    </row>
    <row r="28" spans="1:15" ht="13.5" hidden="1" x14ac:dyDescent="0.25">
      <c r="A28" s="71"/>
      <c r="B28" s="77" t="str">
        <f>IFERROR(VLOOKUP(H28,'[1]Consolidado MP Planta'!$A$2:$M$823,3,0),"")</f>
        <v/>
      </c>
      <c r="C28" s="72">
        <f t="shared" si="6"/>
        <v>0</v>
      </c>
      <c r="D28" s="73" t="str">
        <f>IFERROR(VLOOKUP(H28,'[1]Consolidado MP Planta'!$A$2:$M$823,13,0),"")</f>
        <v/>
      </c>
      <c r="E28" s="73" t="str">
        <f>IFERROR(VLOOKUP(H28,'[1]Consolidado MP Planta'!$A$2:$M$823,12,0),"")</f>
        <v/>
      </c>
      <c r="F28" s="73" t="str">
        <f t="shared" si="7"/>
        <v/>
      </c>
      <c r="G28" s="74" t="str">
        <f t="shared" si="8"/>
        <v/>
      </c>
      <c r="H28" s="78"/>
      <c r="I28" s="78"/>
      <c r="J28" s="76"/>
      <c r="K28" s="618"/>
      <c r="L28" s="618"/>
    </row>
    <row r="29" spans="1:15" ht="13.5" hidden="1" x14ac:dyDescent="0.25">
      <c r="A29" s="71"/>
      <c r="B29" s="77" t="str">
        <f>IFERROR(VLOOKUP(H29,'[1]Consolidado MP Planta'!$A$2:$M$823,3,0),"")</f>
        <v/>
      </c>
      <c r="C29" s="72">
        <f t="shared" si="6"/>
        <v>0</v>
      </c>
      <c r="D29" s="73" t="str">
        <f>IFERROR(VLOOKUP(H29,'[1]Consolidado MP Planta'!$A$2:$M$823,13,0),"")</f>
        <v/>
      </c>
      <c r="E29" s="73" t="str">
        <f>IFERROR(VLOOKUP(H29,'[1]Consolidado MP Planta'!$A$2:$M$823,12,0),"")</f>
        <v/>
      </c>
      <c r="F29" s="73" t="str">
        <f t="shared" si="7"/>
        <v/>
      </c>
      <c r="G29" s="74" t="str">
        <f t="shared" si="8"/>
        <v/>
      </c>
      <c r="H29" s="78"/>
      <c r="I29" s="78"/>
      <c r="J29" s="76"/>
      <c r="K29" s="618"/>
      <c r="L29" s="618"/>
    </row>
    <row r="30" spans="1:15" ht="13.5" hidden="1" x14ac:dyDescent="0.25">
      <c r="A30" s="71"/>
      <c r="B30" s="77" t="str">
        <f>IFERROR(VLOOKUP(H30,'[1]Consolidado MP Planta'!$A$2:$M$823,3,0),"")</f>
        <v/>
      </c>
      <c r="C30" s="72">
        <f t="shared" si="6"/>
        <v>0</v>
      </c>
      <c r="D30" s="73" t="str">
        <f>IFERROR(VLOOKUP(H30,'[1]Consolidado MP Planta'!$A$2:$M$823,13,0),"")</f>
        <v/>
      </c>
      <c r="E30" s="73" t="str">
        <f>IFERROR(VLOOKUP(H30,'[1]Consolidado MP Planta'!$A$2:$M$823,12,0),"")</f>
        <v/>
      </c>
      <c r="F30" s="73" t="str">
        <f t="shared" si="7"/>
        <v/>
      </c>
      <c r="G30" s="74" t="str">
        <f t="shared" si="8"/>
        <v/>
      </c>
      <c r="H30" s="78"/>
      <c r="I30" s="78"/>
      <c r="J30" s="76"/>
      <c r="K30" s="618"/>
      <c r="L30" s="618"/>
    </row>
    <row r="31" spans="1:15" ht="13.5" hidden="1" x14ac:dyDescent="0.25">
      <c r="A31" s="71"/>
      <c r="B31" s="77" t="str">
        <f>IFERROR(VLOOKUP(H31,'[1]Consolidado MP Planta'!$A$2:$M$823,3,0),"")</f>
        <v/>
      </c>
      <c r="C31" s="72">
        <f t="shared" si="6"/>
        <v>0</v>
      </c>
      <c r="D31" s="73" t="str">
        <f>IFERROR(VLOOKUP(H31,'[1]Consolidado MP Planta'!$A$2:$M$823,13,0),"")</f>
        <v/>
      </c>
      <c r="E31" s="73" t="str">
        <f>IFERROR(VLOOKUP(H31,'[1]Consolidado MP Planta'!$A$2:$M$823,12,0),"")</f>
        <v/>
      </c>
      <c r="F31" s="73" t="str">
        <f t="shared" si="7"/>
        <v/>
      </c>
      <c r="G31" s="74" t="str">
        <f t="shared" si="8"/>
        <v/>
      </c>
      <c r="H31" s="78"/>
      <c r="I31" s="78"/>
      <c r="J31" s="76"/>
      <c r="K31" s="79"/>
      <c r="L31" s="80"/>
    </row>
    <row r="32" spans="1:15" ht="13.5" hidden="1" x14ac:dyDescent="0.25">
      <c r="A32" s="71"/>
      <c r="B32" s="77" t="str">
        <f>IFERROR(VLOOKUP(H32,'[1]Consolidado MP Planta'!$A$2:$M$823,3,0),"")</f>
        <v/>
      </c>
      <c r="C32" s="72">
        <f t="shared" si="6"/>
        <v>0</v>
      </c>
      <c r="D32" s="73" t="str">
        <f>IFERROR(VLOOKUP(H32,'[1]Consolidado MP Planta'!$A$2:$M$823,13,0),"")</f>
        <v/>
      </c>
      <c r="E32" s="73" t="str">
        <f>IFERROR(VLOOKUP(H32,'[1]Consolidado MP Planta'!$A$2:$M$823,12,0),"")</f>
        <v/>
      </c>
      <c r="F32" s="73" t="str">
        <f t="shared" si="7"/>
        <v/>
      </c>
      <c r="G32" s="74" t="str">
        <f t="shared" si="8"/>
        <v/>
      </c>
      <c r="H32" s="78"/>
      <c r="I32" s="78"/>
      <c r="J32" s="76"/>
    </row>
    <row r="33" spans="1:13" ht="14.25" hidden="1" thickBot="1" x14ac:dyDescent="0.3">
      <c r="A33" s="71"/>
      <c r="B33" s="77"/>
      <c r="C33" s="72"/>
      <c r="D33" s="73"/>
      <c r="E33" s="73"/>
      <c r="F33" s="73"/>
      <c r="G33" s="74"/>
      <c r="H33" s="78"/>
      <c r="I33" s="78"/>
      <c r="J33" s="76"/>
    </row>
    <row r="34" spans="1:13" ht="26.25" thickBot="1" x14ac:dyDescent="0.25">
      <c r="A34" s="66" t="s">
        <v>89</v>
      </c>
      <c r="B34" s="67" t="s">
        <v>98</v>
      </c>
      <c r="C34" s="67" t="s">
        <v>89</v>
      </c>
      <c r="D34" s="68" t="s">
        <v>91</v>
      </c>
      <c r="E34" s="68" t="s">
        <v>92</v>
      </c>
      <c r="F34" s="68" t="s">
        <v>93</v>
      </c>
      <c r="G34" s="68" t="s">
        <v>94</v>
      </c>
      <c r="H34" s="69" t="s">
        <v>95</v>
      </c>
      <c r="I34" s="78"/>
      <c r="J34" s="76"/>
    </row>
    <row r="35" spans="1:13" ht="13.5" x14ac:dyDescent="0.25">
      <c r="A35" s="71">
        <f>+A17</f>
        <v>5</v>
      </c>
      <c r="B35" s="77" t="s">
        <v>141</v>
      </c>
      <c r="C35" s="72">
        <f>+A35</f>
        <v>5</v>
      </c>
      <c r="D35" s="73" t="s">
        <v>137</v>
      </c>
      <c r="E35" s="73">
        <v>0.59</v>
      </c>
      <c r="F35" s="73">
        <f>IFERROR(E35*C35,"")</f>
        <v>2.9499999999999997</v>
      </c>
      <c r="G35" s="74">
        <f t="shared" ref="G35:G41" si="9">IFERROR(F35/$F$66,"")</f>
        <v>8.7936921469048614E-5</v>
      </c>
      <c r="H35" s="78" t="s">
        <v>138</v>
      </c>
      <c r="I35" s="78"/>
      <c r="J35" s="76"/>
    </row>
    <row r="36" spans="1:13" ht="13.5" x14ac:dyDescent="0.25">
      <c r="A36" s="71">
        <f t="shared" ref="A36:A41" si="10">+A18</f>
        <v>700</v>
      </c>
      <c r="B36" s="77" t="s">
        <v>142</v>
      </c>
      <c r="C36" s="72">
        <f t="shared" ref="C36:C41" si="11">+A36</f>
        <v>700</v>
      </c>
      <c r="D36" s="73" t="s">
        <v>136</v>
      </c>
      <c r="E36" s="73">
        <v>0.02</v>
      </c>
      <c r="F36" s="73">
        <f t="shared" ref="F36:F41" si="12">IFERROR(E36*C36,"")</f>
        <v>14</v>
      </c>
      <c r="G36" s="74">
        <f t="shared" si="9"/>
        <v>4.1732776290395957E-4</v>
      </c>
      <c r="H36" s="78" t="s">
        <v>140</v>
      </c>
      <c r="I36" s="78"/>
      <c r="J36" s="76"/>
    </row>
    <row r="37" spans="1:13" ht="13.5" x14ac:dyDescent="0.25">
      <c r="A37" s="71">
        <f t="shared" si="10"/>
        <v>4655</v>
      </c>
      <c r="B37" s="77" t="s">
        <v>64</v>
      </c>
      <c r="C37" s="72">
        <f t="shared" si="11"/>
        <v>4655</v>
      </c>
      <c r="D37" s="73" t="s">
        <v>136</v>
      </c>
      <c r="E37" s="73">
        <f>+'Costo Feuilletine'!E76</f>
        <v>4.165E-2</v>
      </c>
      <c r="F37" s="73">
        <f t="shared" si="12"/>
        <v>193.88075000000001</v>
      </c>
      <c r="G37" s="74">
        <f t="shared" si="9"/>
        <v>5.7794156905458475E-3</v>
      </c>
      <c r="H37" s="78"/>
      <c r="I37" s="78"/>
      <c r="J37" s="76"/>
    </row>
    <row r="38" spans="1:13" ht="13.5" hidden="1" x14ac:dyDescent="0.25">
      <c r="A38" s="71">
        <f t="shared" si="10"/>
        <v>0</v>
      </c>
      <c r="B38" s="77" t="str">
        <f>IFERROR(VLOOKUP(H38,[1]SEMIELABORADOS!$A$2:$M$6000,2,0),"")</f>
        <v/>
      </c>
      <c r="C38" s="72">
        <f>+A38</f>
        <v>0</v>
      </c>
      <c r="D38" s="73" t="str">
        <f>IFERROR(VLOOKUP(H38,[1]SEMIELABORADOS!$A$2:$M$6000,6,0),"")</f>
        <v/>
      </c>
      <c r="E38" s="73" t="str">
        <f>IFERROR(VLOOKUP(H38,[1]SEMIELABORADOS!$A$2:$M$65536,10,0),"")</f>
        <v/>
      </c>
      <c r="F38" s="73" t="str">
        <f>IFERROR(E38*C38,"")</f>
        <v/>
      </c>
      <c r="G38" s="74" t="str">
        <f t="shared" si="9"/>
        <v/>
      </c>
      <c r="H38" s="78"/>
      <c r="I38" s="78"/>
      <c r="J38" s="76"/>
    </row>
    <row r="39" spans="1:13" ht="13.5" hidden="1" x14ac:dyDescent="0.25">
      <c r="A39" s="71">
        <f t="shared" si="10"/>
        <v>0</v>
      </c>
      <c r="B39" s="77" t="str">
        <f>IFERROR(VLOOKUP(H39,[1]SEMIELABORADOS!$A$2:$M$6000,2,0),"")</f>
        <v/>
      </c>
      <c r="C39" s="72">
        <f>+A39</f>
        <v>0</v>
      </c>
      <c r="D39" s="73" t="str">
        <f>IFERROR(VLOOKUP(H39,[1]SEMIELABORADOS!$A$2:$M$6000,6,0),"")</f>
        <v/>
      </c>
      <c r="E39" s="73" t="str">
        <f>IFERROR(VLOOKUP(H39,[1]SEMIELABORADOS!$A$2:$M$65536,10,0),"")</f>
        <v/>
      </c>
      <c r="F39" s="73" t="str">
        <f>IFERROR(E39*C39,"")</f>
        <v/>
      </c>
      <c r="G39" s="74" t="str">
        <f t="shared" si="9"/>
        <v/>
      </c>
      <c r="H39" s="78"/>
      <c r="I39" s="78"/>
      <c r="J39" s="76"/>
    </row>
    <row r="40" spans="1:13" ht="13.5" hidden="1" x14ac:dyDescent="0.25">
      <c r="A40" s="71">
        <f t="shared" si="10"/>
        <v>0</v>
      </c>
      <c r="B40" s="77" t="str">
        <f>IFERROR(VLOOKUP(H40,[1]SEMIELABORADOS!$A$2:$M$6000,2,0),"")</f>
        <v/>
      </c>
      <c r="C40" s="72">
        <f t="shared" si="11"/>
        <v>0</v>
      </c>
      <c r="D40" s="73" t="str">
        <f>IFERROR(VLOOKUP(H40,[1]SEMIELABORADOS!$A$2:$M$6000,6,0),"")</f>
        <v/>
      </c>
      <c r="E40" s="73" t="str">
        <f>IFERROR(VLOOKUP(H40,[1]SEMIELABORADOS!$A$2:$M$65536,10,0),"")</f>
        <v/>
      </c>
      <c r="F40" s="73" t="str">
        <f t="shared" si="12"/>
        <v/>
      </c>
      <c r="G40" s="74" t="str">
        <f t="shared" si="9"/>
        <v/>
      </c>
      <c r="H40" s="78"/>
      <c r="I40" s="78"/>
      <c r="J40" s="76"/>
    </row>
    <row r="41" spans="1:13" ht="13.5" hidden="1" x14ac:dyDescent="0.25">
      <c r="A41" s="71">
        <f t="shared" si="10"/>
        <v>0</v>
      </c>
      <c r="B41" s="77" t="str">
        <f>IFERROR(VLOOKUP(H41,[1]SEMIELABORADOS!$A$2:$M$6000,2,0),"")</f>
        <v/>
      </c>
      <c r="C41" s="72">
        <f t="shared" si="11"/>
        <v>0</v>
      </c>
      <c r="D41" s="73" t="str">
        <f>IFERROR(VLOOKUP(H41,[1]SEMIELABORADOS!$A$2:$M$6000,6,0),"")</f>
        <v/>
      </c>
      <c r="E41" s="73" t="str">
        <f>IFERROR(VLOOKUP(H41,[1]SEMIELABORADOS!$A$2:$M$65536,10,0),"")</f>
        <v/>
      </c>
      <c r="F41" s="73" t="str">
        <f t="shared" si="12"/>
        <v/>
      </c>
      <c r="G41" s="74" t="str">
        <f t="shared" si="9"/>
        <v/>
      </c>
      <c r="H41" s="78"/>
      <c r="I41" s="78"/>
      <c r="J41" s="76"/>
    </row>
    <row r="42" spans="1:13" ht="14.25" thickBot="1" x14ac:dyDescent="0.3">
      <c r="A42" s="71"/>
      <c r="B42" s="77"/>
      <c r="C42" s="72"/>
      <c r="D42" s="73"/>
      <c r="E42" s="73"/>
      <c r="F42" s="73"/>
      <c r="G42" s="74"/>
      <c r="H42" s="78"/>
      <c r="I42" s="78"/>
      <c r="J42" s="76"/>
    </row>
    <row r="43" spans="1:13" ht="26.25" thickBot="1" x14ac:dyDescent="0.3">
      <c r="A43" s="66" t="s">
        <v>89</v>
      </c>
      <c r="B43" s="67" t="s">
        <v>99</v>
      </c>
      <c r="C43" s="67" t="s">
        <v>89</v>
      </c>
      <c r="D43" s="68" t="s">
        <v>91</v>
      </c>
      <c r="E43" s="68" t="s">
        <v>92</v>
      </c>
      <c r="F43" s="68" t="s">
        <v>93</v>
      </c>
      <c r="G43" s="68" t="s">
        <v>94</v>
      </c>
      <c r="H43" s="69" t="s">
        <v>95</v>
      </c>
      <c r="I43" s="70"/>
      <c r="J43" s="76"/>
    </row>
    <row r="44" spans="1:13" ht="13.5" x14ac:dyDescent="0.25">
      <c r="A44" s="71">
        <f>+A35</f>
        <v>5</v>
      </c>
      <c r="B44" s="77" t="s">
        <v>141</v>
      </c>
      <c r="C44" s="72">
        <f>+A44</f>
        <v>5</v>
      </c>
      <c r="D44" s="73" t="s">
        <v>137</v>
      </c>
      <c r="E44" s="73">
        <v>21.68</v>
      </c>
      <c r="F44" s="73">
        <f>IFERROR(E44*C44,"")</f>
        <v>108.4</v>
      </c>
      <c r="G44" s="74">
        <f>IFERROR(F44/$F$66,"")</f>
        <v>3.231309249913516E-3</v>
      </c>
      <c r="H44" s="78" t="s">
        <v>138</v>
      </c>
      <c r="I44" s="70"/>
      <c r="J44" s="76"/>
    </row>
    <row r="45" spans="1:13" ht="13.5" x14ac:dyDescent="0.25">
      <c r="A45" s="71">
        <f t="shared" ref="A45:A50" si="13">+A36</f>
        <v>700</v>
      </c>
      <c r="B45" s="77" t="s">
        <v>142</v>
      </c>
      <c r="C45" s="72">
        <f t="shared" ref="C45:C50" si="14">+A45</f>
        <v>700</v>
      </c>
      <c r="D45" s="73" t="s">
        <v>136</v>
      </c>
      <c r="E45" s="73">
        <v>0.06</v>
      </c>
      <c r="F45" s="73">
        <f t="shared" ref="F45:F50" si="15">IFERROR(E45*C45,"")</f>
        <v>42</v>
      </c>
      <c r="G45" s="74">
        <f t="shared" ref="G45:G50" si="16">IFERROR(F45/$F$66,"")</f>
        <v>1.2519832887118788E-3</v>
      </c>
      <c r="H45" s="78" t="s">
        <v>140</v>
      </c>
      <c r="I45" s="70"/>
      <c r="J45" s="76"/>
      <c r="M45" s="81"/>
    </row>
    <row r="46" spans="1:13" ht="13.5" x14ac:dyDescent="0.25">
      <c r="A46" s="71">
        <f t="shared" si="13"/>
        <v>4655</v>
      </c>
      <c r="B46" s="77" t="s">
        <v>64</v>
      </c>
      <c r="C46" s="72">
        <f t="shared" si="14"/>
        <v>4655</v>
      </c>
      <c r="D46" s="73" t="s">
        <v>136</v>
      </c>
      <c r="E46" s="73">
        <f>+'Costo Feuilletine'!E74</f>
        <v>2.8875000000000001E-2</v>
      </c>
      <c r="F46" s="73">
        <f t="shared" si="15"/>
        <v>134.41312500000001</v>
      </c>
      <c r="G46" s="74">
        <f t="shared" si="16"/>
        <v>4.0067377686557343E-3</v>
      </c>
      <c r="H46" s="78"/>
      <c r="I46" s="70"/>
      <c r="J46" s="76"/>
    </row>
    <row r="47" spans="1:13" ht="13.5" hidden="1" x14ac:dyDescent="0.25">
      <c r="A47" s="71">
        <f t="shared" si="13"/>
        <v>0</v>
      </c>
      <c r="B47" s="77" t="str">
        <f>IFERROR(VLOOKUP(H47,[1]SEMIELABORADOS!$A$2:$M$6000,2,0),"")</f>
        <v/>
      </c>
      <c r="C47" s="72">
        <f t="shared" si="14"/>
        <v>0</v>
      </c>
      <c r="D47" s="73" t="str">
        <f>IFERROR(VLOOKUP(H47,[1]SEMIELABORADOS!$A$2:$M$6000,6,0),"")</f>
        <v/>
      </c>
      <c r="E47" s="73" t="str">
        <f>IFERROR(VLOOKUP(H47,[1]SEMIELABORADOS!$A$2:$M$65536,12,0),"")</f>
        <v/>
      </c>
      <c r="F47" s="73" t="str">
        <f t="shared" si="15"/>
        <v/>
      </c>
      <c r="G47" s="74" t="str">
        <f t="shared" si="16"/>
        <v/>
      </c>
      <c r="H47" s="78"/>
      <c r="I47" s="70"/>
      <c r="J47" s="76"/>
    </row>
    <row r="48" spans="1:13" ht="13.5" hidden="1" x14ac:dyDescent="0.25">
      <c r="A48" s="71">
        <f t="shared" si="13"/>
        <v>0</v>
      </c>
      <c r="B48" s="77" t="str">
        <f>IFERROR(VLOOKUP(H48,[1]SEMIELABORADOS!$A$2:$M$6000,2,0),"")</f>
        <v/>
      </c>
      <c r="C48" s="72">
        <f t="shared" si="14"/>
        <v>0</v>
      </c>
      <c r="D48" s="73" t="str">
        <f>IFERROR(VLOOKUP(H48,[1]SEMIELABORADOS!$A$2:$M$6000,6,0),"")</f>
        <v/>
      </c>
      <c r="E48" s="73" t="str">
        <f>IFERROR(VLOOKUP(H48,[1]SEMIELABORADOS!$A$2:$M$65536,12,0),"")</f>
        <v/>
      </c>
      <c r="F48" s="73" t="str">
        <f t="shared" si="15"/>
        <v/>
      </c>
      <c r="G48" s="74" t="str">
        <f t="shared" si="16"/>
        <v/>
      </c>
      <c r="H48" s="78"/>
      <c r="I48" s="70"/>
      <c r="J48" s="76"/>
    </row>
    <row r="49" spans="1:17" ht="13.5" hidden="1" x14ac:dyDescent="0.25">
      <c r="A49" s="71">
        <f t="shared" si="13"/>
        <v>0</v>
      </c>
      <c r="B49" s="77" t="str">
        <f>IFERROR(VLOOKUP(H49,[1]SEMIELABORADOS!$A$2:$M$6000,2,0),"")</f>
        <v/>
      </c>
      <c r="C49" s="72">
        <f t="shared" si="14"/>
        <v>0</v>
      </c>
      <c r="D49" s="73" t="str">
        <f>IFERROR(VLOOKUP(H49,[1]SEMIELABORADOS!$A$2:$M$6000,6,0),"")</f>
        <v/>
      </c>
      <c r="E49" s="73" t="str">
        <f>IFERROR(VLOOKUP(H49,[1]SEMIELABORADOS!$A$2:$M$65536,12,0),"")</f>
        <v/>
      </c>
      <c r="F49" s="73" t="str">
        <f t="shared" si="15"/>
        <v/>
      </c>
      <c r="G49" s="74" t="str">
        <f t="shared" si="16"/>
        <v/>
      </c>
      <c r="H49" s="78"/>
      <c r="I49" s="70"/>
      <c r="J49" s="76"/>
    </row>
    <row r="50" spans="1:17" ht="13.5" hidden="1" x14ac:dyDescent="0.25">
      <c r="A50" s="71">
        <f t="shared" si="13"/>
        <v>0</v>
      </c>
      <c r="B50" s="77" t="str">
        <f>IFERROR(VLOOKUP(H50,[1]SEMIELABORADOS!$A$2:$M$6000,2,0),"")</f>
        <v/>
      </c>
      <c r="C50" s="72">
        <f t="shared" si="14"/>
        <v>0</v>
      </c>
      <c r="D50" s="73" t="str">
        <f>IFERROR(VLOOKUP(H50,[1]SEMIELABORADOS!$A$2:$M$6000,6,0),"")</f>
        <v/>
      </c>
      <c r="E50" s="73" t="str">
        <f>IFERROR(VLOOKUP(H50,[1]SEMIELABORADOS!$A$2:$M$65536,12,0),"")</f>
        <v/>
      </c>
      <c r="F50" s="73" t="str">
        <f t="shared" si="15"/>
        <v/>
      </c>
      <c r="G50" s="74" t="str">
        <f t="shared" si="16"/>
        <v/>
      </c>
      <c r="H50" s="77"/>
      <c r="I50" s="70"/>
      <c r="J50" s="76"/>
    </row>
    <row r="51" spans="1:17" ht="13.5" x14ac:dyDescent="0.25">
      <c r="A51" s="71">
        <v>1</v>
      </c>
      <c r="B51" s="77" t="s">
        <v>100</v>
      </c>
      <c r="C51" s="72">
        <f>+A51</f>
        <v>1</v>
      </c>
      <c r="D51" s="72" t="s">
        <v>101</v>
      </c>
      <c r="E51" s="73">
        <f>+F65</f>
        <v>770</v>
      </c>
      <c r="F51" s="73">
        <f>IFERROR(C51*E51,"")</f>
        <v>770</v>
      </c>
      <c r="G51" s="74">
        <f>IFERROR(F51/$F$66,"")</f>
        <v>2.2953026959717775E-2</v>
      </c>
      <c r="H51" s="82"/>
      <c r="I51" s="82"/>
      <c r="J51" s="76"/>
    </row>
    <row r="52" spans="1:17" ht="14.25" thickBot="1" x14ac:dyDescent="0.3">
      <c r="A52" s="71"/>
      <c r="B52" s="77"/>
      <c r="C52" s="72"/>
      <c r="D52" s="72"/>
      <c r="E52" s="73"/>
      <c r="F52" s="73"/>
      <c r="G52" s="74"/>
      <c r="H52" s="82"/>
      <c r="I52" s="82"/>
      <c r="J52" s="76"/>
    </row>
    <row r="53" spans="1:17" ht="13.5" thickBot="1" x14ac:dyDescent="0.3">
      <c r="A53" s="83"/>
      <c r="B53" s="619" t="s">
        <v>102</v>
      </c>
      <c r="C53" s="619"/>
      <c r="D53" s="619"/>
      <c r="E53" s="619"/>
      <c r="F53" s="85">
        <f>SUM(F8:F14,F17:F24)</f>
        <v>31927.395</v>
      </c>
      <c r="G53" s="74">
        <f>+F53/$F$66</f>
        <v>0.95172773790721887</v>
      </c>
      <c r="H53" s="86">
        <f>+F53/$D$60</f>
        <v>31927.395</v>
      </c>
      <c r="I53" s="86"/>
      <c r="J53" s="87"/>
      <c r="K53" s="88"/>
      <c r="L53" s="88"/>
      <c r="M53" s="88"/>
      <c r="N53" s="88"/>
      <c r="O53" s="88"/>
      <c r="P53" s="88"/>
      <c r="Q53" s="89"/>
    </row>
    <row r="54" spans="1:17" x14ac:dyDescent="0.2">
      <c r="A54" s="83"/>
      <c r="B54" s="619" t="s">
        <v>103</v>
      </c>
      <c r="C54" s="619"/>
      <c r="D54" s="619"/>
      <c r="E54" s="619"/>
      <c r="F54" s="85">
        <f>SUM(F27:F32,F35:F41)</f>
        <v>210.83074999999999</v>
      </c>
      <c r="G54" s="74">
        <f>+F54/$F$66</f>
        <v>6.2846803749188555E-3</v>
      </c>
      <c r="H54" s="86">
        <f>+F54/$D$60</f>
        <v>210.83074999999999</v>
      </c>
      <c r="I54" s="86"/>
      <c r="J54" s="90"/>
      <c r="K54" s="620" t="s">
        <v>104</v>
      </c>
      <c r="L54" s="621"/>
      <c r="M54" s="621"/>
      <c r="N54" s="621"/>
      <c r="O54" s="91">
        <f>+F55</f>
        <v>32138.225750000001</v>
      </c>
      <c r="P54" s="91"/>
      <c r="Q54" s="92"/>
    </row>
    <row r="55" spans="1:17" x14ac:dyDescent="0.2">
      <c r="A55" s="83"/>
      <c r="B55" s="619" t="s">
        <v>105</v>
      </c>
      <c r="C55" s="619"/>
      <c r="D55" s="619"/>
      <c r="E55" s="619"/>
      <c r="F55" s="85">
        <f>+F53+F54</f>
        <v>32138.225750000001</v>
      </c>
      <c r="G55" s="74">
        <f>+F55/$F$66</f>
        <v>0.95801241828213779</v>
      </c>
      <c r="H55" s="86">
        <f>+F55/$D$60</f>
        <v>32138.225750000001</v>
      </c>
      <c r="I55" s="86"/>
      <c r="J55" s="93"/>
      <c r="K55" s="94"/>
      <c r="M55" s="95" t="s">
        <v>106</v>
      </c>
      <c r="N55" s="96"/>
      <c r="O55" s="91">
        <f>+H56</f>
        <v>1054.8131250000001</v>
      </c>
      <c r="P55" s="91"/>
      <c r="Q55" s="92"/>
    </row>
    <row r="56" spans="1:17" ht="13.5" thickBot="1" x14ac:dyDescent="0.25">
      <c r="A56" s="83"/>
      <c r="B56" s="84"/>
      <c r="C56" s="619" t="s">
        <v>107</v>
      </c>
      <c r="D56" s="619"/>
      <c r="E56" s="619"/>
      <c r="F56" s="85">
        <f>SUM(F44:F51)</f>
        <v>1054.8131250000001</v>
      </c>
      <c r="G56" s="74">
        <f>+F56/$F$66</f>
        <v>3.1443057266998913E-2</v>
      </c>
      <c r="H56" s="86">
        <f>+F56/$D$60</f>
        <v>1054.8131250000001</v>
      </c>
      <c r="I56" s="86"/>
      <c r="J56" s="93"/>
      <c r="K56" s="94"/>
      <c r="L56" s="94"/>
      <c r="M56" s="94" t="s">
        <v>108</v>
      </c>
      <c r="N56" s="97"/>
      <c r="O56" s="91">
        <f>O54*N56</f>
        <v>0</v>
      </c>
      <c r="P56" s="91"/>
      <c r="Q56" s="92"/>
    </row>
    <row r="57" spans="1:17" ht="13.5" thickBot="1" x14ac:dyDescent="0.25">
      <c r="A57" s="83"/>
      <c r="B57" s="98"/>
      <c r="C57" s="98"/>
      <c r="D57" s="98"/>
      <c r="E57" s="98"/>
      <c r="F57" s="99"/>
      <c r="G57" s="74"/>
      <c r="H57" s="100"/>
      <c r="I57" s="86"/>
      <c r="J57" s="93"/>
      <c r="K57" s="101"/>
      <c r="M57" s="102" t="s">
        <v>109</v>
      </c>
      <c r="N57" s="103"/>
      <c r="O57" s="104">
        <f>SUM(O54:O56)</f>
        <v>33193.038874999998</v>
      </c>
      <c r="P57" s="105"/>
      <c r="Q57" s="92"/>
    </row>
    <row r="58" spans="1:17" x14ac:dyDescent="0.2">
      <c r="B58" s="622" t="s">
        <v>110</v>
      </c>
      <c r="C58" s="622"/>
      <c r="D58" s="106">
        <v>14100</v>
      </c>
      <c r="E58" s="107"/>
      <c r="G58" s="74"/>
      <c r="H58" s="100">
        <f>+H56/77</f>
        <v>13.698871753246754</v>
      </c>
      <c r="I58" s="108"/>
      <c r="J58" s="93"/>
      <c r="K58" s="101"/>
      <c r="L58" s="94"/>
      <c r="M58" s="94" t="s">
        <v>111</v>
      </c>
      <c r="N58" s="109"/>
      <c r="O58" s="91">
        <f>+H59</f>
        <v>1137.0063555194806</v>
      </c>
      <c r="P58" s="91"/>
      <c r="Q58" s="92"/>
    </row>
    <row r="59" spans="1:17" x14ac:dyDescent="0.2">
      <c r="B59" s="622" t="s">
        <v>112</v>
      </c>
      <c r="C59" s="622"/>
      <c r="D59" s="110">
        <v>14100</v>
      </c>
      <c r="E59" s="107"/>
      <c r="G59" s="74"/>
      <c r="H59" s="100">
        <f>+H58*83</f>
        <v>1137.0063555194806</v>
      </c>
      <c r="I59" s="108"/>
      <c r="J59" s="93"/>
      <c r="K59" s="101"/>
      <c r="L59" s="94"/>
      <c r="M59" s="623" t="s">
        <v>109</v>
      </c>
      <c r="N59" s="623"/>
      <c r="O59" s="91">
        <f>SUM(O57:O58)</f>
        <v>34330.045230519478</v>
      </c>
      <c r="P59" s="91"/>
      <c r="Q59" s="92"/>
    </row>
    <row r="60" spans="1:17" ht="13.5" thickBot="1" x14ac:dyDescent="0.25">
      <c r="B60" s="614" t="s">
        <v>113</v>
      </c>
      <c r="C60" s="614"/>
      <c r="D60" s="106">
        <f>+D58/D59</f>
        <v>1</v>
      </c>
      <c r="E60" s="107"/>
      <c r="F60" s="111"/>
      <c r="G60" s="74"/>
      <c r="H60" s="100"/>
      <c r="I60" s="108"/>
      <c r="J60" s="93"/>
      <c r="K60" s="101"/>
      <c r="L60" s="623"/>
      <c r="M60" s="623"/>
      <c r="N60" s="109"/>
      <c r="O60" s="91">
        <f>+O59*N60</f>
        <v>0</v>
      </c>
      <c r="P60" s="91"/>
      <c r="Q60" s="92"/>
    </row>
    <row r="61" spans="1:17" ht="13.5" thickBot="1" x14ac:dyDescent="0.25">
      <c r="B61" s="614" t="s">
        <v>114</v>
      </c>
      <c r="C61" s="614"/>
      <c r="D61" s="112"/>
      <c r="E61" s="107"/>
      <c r="F61" s="111"/>
      <c r="G61" s="74"/>
      <c r="H61" s="100"/>
      <c r="I61" s="108"/>
      <c r="J61" s="93"/>
      <c r="K61" s="615" t="s">
        <v>115</v>
      </c>
      <c r="L61" s="616"/>
      <c r="M61" s="616"/>
      <c r="N61" s="617"/>
      <c r="O61" s="104">
        <f>SUM(O59:O60)</f>
        <v>34330.045230519478</v>
      </c>
      <c r="P61" s="113" t="s">
        <v>116</v>
      </c>
      <c r="Q61" s="92"/>
    </row>
    <row r="62" spans="1:17" ht="13.5" thickBot="1" x14ac:dyDescent="0.25">
      <c r="C62" s="83" t="s">
        <v>117</v>
      </c>
      <c r="D62" s="114"/>
      <c r="E62" s="57" t="s">
        <v>118</v>
      </c>
      <c r="F62" s="115" t="s">
        <v>119</v>
      </c>
      <c r="G62" s="74"/>
      <c r="H62" s="100"/>
      <c r="I62" s="108"/>
      <c r="J62" s="116"/>
      <c r="K62" s="117"/>
      <c r="L62" s="603" t="s">
        <v>120</v>
      </c>
      <c r="M62" s="603"/>
      <c r="N62" s="603"/>
      <c r="O62" s="118">
        <f>+O61/D60</f>
        <v>34330.045230519478</v>
      </c>
      <c r="P62" s="119">
        <f>+O62/D59</f>
        <v>2.4347549808879063</v>
      </c>
      <c r="Q62" s="120"/>
    </row>
    <row r="63" spans="1:17" ht="13.5" thickBot="1" x14ac:dyDescent="0.25">
      <c r="B63" s="604" t="s">
        <v>105</v>
      </c>
      <c r="C63" s="604"/>
      <c r="D63" s="604"/>
      <c r="E63" s="121">
        <f>+F63/F63</f>
        <v>1</v>
      </c>
      <c r="F63" s="122">
        <f>SUM(F55)</f>
        <v>32138.225750000001</v>
      </c>
      <c r="G63" s="74">
        <f>+F63/$F$66</f>
        <v>0.95801241828213779</v>
      </c>
      <c r="H63" s="100"/>
      <c r="I63" s="108"/>
      <c r="K63" s="605"/>
      <c r="L63" s="606"/>
      <c r="M63" s="606"/>
      <c r="N63" s="606"/>
      <c r="O63" s="123"/>
      <c r="P63" s="124"/>
    </row>
    <row r="64" spans="1:17" ht="13.5" thickBot="1" x14ac:dyDescent="0.3">
      <c r="B64" s="607" t="s">
        <v>121</v>
      </c>
      <c r="C64" s="607"/>
      <c r="D64" s="607"/>
      <c r="E64" s="125">
        <v>0.02</v>
      </c>
      <c r="F64" s="122">
        <f>+F53*E64</f>
        <v>638.54790000000003</v>
      </c>
      <c r="G64" s="74">
        <f>+F64/$F$66</f>
        <v>1.9034554758144379E-2</v>
      </c>
      <c r="H64" s="86"/>
      <c r="I64" s="108"/>
      <c r="J64" s="126"/>
      <c r="O64" s="127"/>
      <c r="P64" s="84"/>
    </row>
    <row r="65" spans="2:13" ht="13.5" thickBot="1" x14ac:dyDescent="0.3">
      <c r="B65" s="608" t="s">
        <v>122</v>
      </c>
      <c r="C65" s="609"/>
      <c r="D65" s="128">
        <v>10</v>
      </c>
      <c r="E65" s="129">
        <v>77</v>
      </c>
      <c r="F65" s="122">
        <f>+E65*D65</f>
        <v>770</v>
      </c>
      <c r="G65" s="74">
        <f>+F65/$F$66</f>
        <v>2.2953026959717775E-2</v>
      </c>
      <c r="H65" s="86"/>
      <c r="I65" s="86"/>
      <c r="J65" s="76"/>
    </row>
    <row r="66" spans="2:13" ht="13.5" thickBot="1" x14ac:dyDescent="0.3">
      <c r="B66" s="610" t="s">
        <v>123</v>
      </c>
      <c r="C66" s="611"/>
      <c r="D66" s="611"/>
      <c r="E66" s="612"/>
      <c r="F66" s="99">
        <f>SUM(F63:F65)</f>
        <v>33546.773650000003</v>
      </c>
      <c r="G66" s="74">
        <f>+F66/$F$66</f>
        <v>1</v>
      </c>
      <c r="H66" s="613"/>
      <c r="I66" s="86"/>
      <c r="J66" s="76"/>
      <c r="M66" s="59" t="s">
        <v>124</v>
      </c>
    </row>
    <row r="67" spans="2:13" x14ac:dyDescent="0.25">
      <c r="C67" s="81"/>
      <c r="D67" s="81"/>
      <c r="E67" s="131"/>
      <c r="F67" s="122"/>
      <c r="G67" s="74"/>
      <c r="H67" s="613"/>
      <c r="I67" s="130"/>
      <c r="J67" s="59"/>
      <c r="M67" s="59" t="s">
        <v>125</v>
      </c>
    </row>
    <row r="68" spans="2:13" ht="13.5" thickBot="1" x14ac:dyDescent="0.3">
      <c r="B68" s="598" t="s">
        <v>126</v>
      </c>
      <c r="C68" s="598"/>
      <c r="D68" s="598"/>
      <c r="E68" s="598"/>
      <c r="F68" s="598"/>
      <c r="G68" s="74"/>
      <c r="H68" s="133"/>
      <c r="I68" s="130"/>
      <c r="J68" s="59"/>
      <c r="M68" s="59" t="s">
        <v>127</v>
      </c>
    </row>
    <row r="69" spans="2:13" ht="13.5" thickBot="1" x14ac:dyDescent="0.3">
      <c r="B69" s="134" t="s">
        <v>128</v>
      </c>
      <c r="C69" s="135">
        <f>+F53</f>
        <v>31927.395</v>
      </c>
      <c r="D69" s="135">
        <f>+D58</f>
        <v>14100</v>
      </c>
      <c r="E69" s="136">
        <f>+C69/D69</f>
        <v>2.2643542553191489</v>
      </c>
      <c r="F69" s="74"/>
      <c r="G69" s="133"/>
      <c r="H69" s="76"/>
      <c r="I69" s="133"/>
      <c r="J69" s="59"/>
    </row>
    <row r="70" spans="2:13" x14ac:dyDescent="0.25">
      <c r="B70" s="137"/>
      <c r="C70" s="138"/>
      <c r="D70" s="139"/>
      <c r="E70" s="122"/>
      <c r="F70" s="74"/>
      <c r="G70" s="133"/>
      <c r="H70" s="76"/>
      <c r="I70" s="76"/>
      <c r="J70" s="59"/>
    </row>
    <row r="71" spans="2:13" x14ac:dyDescent="0.25">
      <c r="B71" s="134" t="s">
        <v>129</v>
      </c>
      <c r="C71" s="135">
        <f>SUM(F63:F64)</f>
        <v>32776.773650000003</v>
      </c>
      <c r="D71" s="135">
        <f>+D58</f>
        <v>14100</v>
      </c>
      <c r="E71" s="140">
        <f>+C71/D71</f>
        <v>2.3245938758865252</v>
      </c>
      <c r="F71" s="74"/>
      <c r="G71" s="133"/>
      <c r="H71" s="76"/>
      <c r="I71" s="76"/>
      <c r="J71" s="59"/>
    </row>
    <row r="72" spans="2:13" x14ac:dyDescent="0.25">
      <c r="B72" s="134"/>
      <c r="C72" s="135"/>
      <c r="D72" s="135"/>
      <c r="E72" s="140"/>
      <c r="F72" s="74"/>
      <c r="G72" s="133"/>
      <c r="H72" s="76"/>
      <c r="I72" s="76"/>
      <c r="J72" s="59"/>
    </row>
    <row r="73" spans="2:13" ht="13.5" thickBot="1" x14ac:dyDescent="0.3">
      <c r="B73" s="134" t="s">
        <v>130</v>
      </c>
      <c r="C73" s="135">
        <f>+F65</f>
        <v>770</v>
      </c>
      <c r="D73" s="135">
        <f>+D58</f>
        <v>14100</v>
      </c>
      <c r="E73" s="140">
        <f>+C73/D73</f>
        <v>5.4609929078014187E-2</v>
      </c>
      <c r="F73" s="74"/>
      <c r="G73" s="133"/>
      <c r="H73" s="76"/>
      <c r="I73" s="76"/>
      <c r="J73" s="59"/>
    </row>
    <row r="74" spans="2:13" ht="13.5" thickBot="1" x14ac:dyDescent="0.3">
      <c r="B74" s="134" t="s">
        <v>131</v>
      </c>
      <c r="C74" s="135">
        <f>+F56</f>
        <v>1054.8131250000001</v>
      </c>
      <c r="D74" s="135">
        <f>+D73</f>
        <v>14100</v>
      </c>
      <c r="E74" s="136">
        <f>+C74/D74</f>
        <v>7.4809441489361708E-2</v>
      </c>
      <c r="F74" s="74"/>
      <c r="G74" s="133"/>
      <c r="H74" s="76"/>
      <c r="I74" s="76"/>
      <c r="J74" s="59"/>
    </row>
    <row r="75" spans="2:13" ht="13.5" thickBot="1" x14ac:dyDescent="0.3">
      <c r="B75" s="98"/>
      <c r="C75" s="99"/>
      <c r="D75" s="99"/>
      <c r="E75" s="140"/>
      <c r="F75" s="74"/>
      <c r="G75" s="133"/>
      <c r="H75" s="76"/>
      <c r="I75" s="76"/>
      <c r="J75" s="59"/>
    </row>
    <row r="76" spans="2:13" ht="13.5" thickBot="1" x14ac:dyDescent="0.3">
      <c r="B76" s="134" t="s">
        <v>132</v>
      </c>
      <c r="C76" s="135">
        <f>+F54</f>
        <v>210.83074999999999</v>
      </c>
      <c r="D76" s="135">
        <f>+D74</f>
        <v>14100</v>
      </c>
      <c r="E76" s="136">
        <f>+C76/D76</f>
        <v>1.4952535460992908E-2</v>
      </c>
      <c r="F76" s="74"/>
      <c r="G76" s="133"/>
      <c r="H76" s="76"/>
      <c r="I76" s="76"/>
      <c r="J76" s="76"/>
    </row>
    <row r="77" spans="2:13" ht="13.5" thickBot="1" x14ac:dyDescent="0.3">
      <c r="B77" s="98"/>
      <c r="C77" s="99"/>
      <c r="D77" s="99"/>
      <c r="E77" s="140"/>
      <c r="F77" s="74"/>
      <c r="G77" s="133"/>
      <c r="H77" s="76"/>
      <c r="I77" s="76"/>
    </row>
    <row r="78" spans="2:13" ht="13.5" thickBot="1" x14ac:dyDescent="0.3">
      <c r="B78" s="599" t="s">
        <v>133</v>
      </c>
      <c r="C78" s="600"/>
      <c r="D78" s="601"/>
      <c r="E78" s="136">
        <f>+E69+E74</f>
        <v>2.3391636968085106</v>
      </c>
      <c r="G78" s="74"/>
      <c r="H78" s="133"/>
      <c r="I78" s="76"/>
      <c r="J78" s="140"/>
    </row>
    <row r="79" spans="2:13" x14ac:dyDescent="0.25">
      <c r="I79" s="133"/>
      <c r="J79" s="59"/>
    </row>
    <row r="80" spans="2:13" ht="13.5" thickBot="1" x14ac:dyDescent="0.3">
      <c r="B80" s="598" t="s">
        <v>134</v>
      </c>
      <c r="C80" s="598"/>
      <c r="D80" s="598"/>
      <c r="E80" s="598"/>
      <c r="F80" s="598"/>
      <c r="G80" s="74"/>
      <c r="H80" s="133"/>
      <c r="J80" s="59"/>
    </row>
    <row r="81" spans="1:10" ht="13.5" thickBot="1" x14ac:dyDescent="0.3">
      <c r="B81" s="134" t="s">
        <v>128</v>
      </c>
      <c r="C81" s="135">
        <f>+C69</f>
        <v>31927.395</v>
      </c>
      <c r="D81" s="135">
        <f>+D60</f>
        <v>1</v>
      </c>
      <c r="E81" s="136">
        <f>+C81/D81</f>
        <v>31927.395</v>
      </c>
      <c r="F81" s="74"/>
      <c r="G81" s="133"/>
      <c r="H81" s="76"/>
      <c r="I81" s="133"/>
      <c r="J81" s="59"/>
    </row>
    <row r="82" spans="1:10" x14ac:dyDescent="0.25">
      <c r="B82" s="137"/>
      <c r="C82" s="138"/>
      <c r="D82" s="139"/>
      <c r="E82" s="122"/>
      <c r="F82" s="74"/>
      <c r="G82" s="133"/>
      <c r="H82" s="76"/>
      <c r="I82" s="76"/>
      <c r="J82" s="59"/>
    </row>
    <row r="83" spans="1:10" x14ac:dyDescent="0.25">
      <c r="B83" s="134" t="s">
        <v>129</v>
      </c>
      <c r="C83" s="135">
        <f>+C71</f>
        <v>32776.773650000003</v>
      </c>
      <c r="D83" s="135">
        <f>+D60</f>
        <v>1</v>
      </c>
      <c r="E83" s="140">
        <f>+C83/D83</f>
        <v>32776.773650000003</v>
      </c>
      <c r="F83" s="74"/>
      <c r="G83" s="133"/>
      <c r="H83" s="76"/>
      <c r="I83" s="76"/>
      <c r="J83" s="59"/>
    </row>
    <row r="84" spans="1:10" x14ac:dyDescent="0.25">
      <c r="B84" s="134"/>
      <c r="C84" s="135"/>
      <c r="D84" s="135"/>
      <c r="E84" s="140"/>
      <c r="F84" s="74"/>
      <c r="G84" s="133"/>
      <c r="H84" s="76"/>
      <c r="I84" s="76"/>
      <c r="J84" s="59"/>
    </row>
    <row r="85" spans="1:10" ht="13.5" thickBot="1" x14ac:dyDescent="0.3">
      <c r="B85" s="134" t="s">
        <v>131</v>
      </c>
      <c r="C85" s="135">
        <f>+C73</f>
        <v>770</v>
      </c>
      <c r="D85" s="135">
        <f>+D60</f>
        <v>1</v>
      </c>
      <c r="E85" s="140">
        <f>+C85/D85</f>
        <v>770</v>
      </c>
      <c r="F85" s="142"/>
      <c r="G85" s="132"/>
      <c r="H85" s="58"/>
      <c r="I85" s="76"/>
    </row>
    <row r="86" spans="1:10" ht="13.5" thickBot="1" x14ac:dyDescent="0.3">
      <c r="B86" s="134" t="s">
        <v>131</v>
      </c>
      <c r="C86" s="135">
        <f>+C74</f>
        <v>1054.8131250000001</v>
      </c>
      <c r="D86" s="135">
        <f>+D85</f>
        <v>1</v>
      </c>
      <c r="E86" s="136">
        <f>+C86/D86</f>
        <v>1054.8131250000001</v>
      </c>
      <c r="F86" s="141"/>
      <c r="G86" s="132"/>
      <c r="H86" s="58"/>
      <c r="I86" s="58"/>
    </row>
    <row r="87" spans="1:10" x14ac:dyDescent="0.25">
      <c r="I87" s="58"/>
    </row>
    <row r="88" spans="1:10" x14ac:dyDescent="0.2">
      <c r="A88" s="602"/>
      <c r="B88" s="602"/>
      <c r="C88" s="143"/>
      <c r="D88" s="143"/>
      <c r="E88" s="144"/>
      <c r="G88" s="145"/>
    </row>
    <row r="89" spans="1:10" x14ac:dyDescent="0.2">
      <c r="A89" s="77"/>
      <c r="B89" s="146"/>
      <c r="C89" s="147"/>
      <c r="D89" s="147"/>
      <c r="E89" s="148"/>
      <c r="G89" s="145"/>
    </row>
    <row r="90" spans="1:10" x14ac:dyDescent="0.2">
      <c r="A90" s="77"/>
      <c r="B90" s="146"/>
      <c r="C90" s="149"/>
      <c r="D90" s="149"/>
      <c r="E90" s="77"/>
      <c r="G90" s="145"/>
    </row>
    <row r="91" spans="1:10" x14ac:dyDescent="0.2">
      <c r="A91" s="77"/>
      <c r="B91" s="146"/>
      <c r="C91" s="150"/>
      <c r="D91" s="150"/>
      <c r="E91" s="77"/>
      <c r="G91" s="14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9BEA-BD6F-47AC-8AF1-3F46C6C33215}">
  <dimension ref="A1:Q91"/>
  <sheetViews>
    <sheetView topLeftCell="B55" workbookViewId="0">
      <selection activeCell="E10" sqref="E10"/>
    </sheetView>
  </sheetViews>
  <sheetFormatPr baseColWidth="10" defaultColWidth="8.42578125" defaultRowHeight="12.75" x14ac:dyDescent="0.25"/>
  <cols>
    <col min="1" max="1" width="10" style="59" bestFit="1" customWidth="1"/>
    <col min="2" max="2" width="44.28515625" style="59" bestFit="1" customWidth="1"/>
    <col min="3" max="3" width="10.42578125" style="59" bestFit="1" customWidth="1"/>
    <col min="4" max="4" width="10.42578125" style="59" customWidth="1"/>
    <col min="5" max="5" width="11" style="59" customWidth="1"/>
    <col min="6" max="6" width="9.5703125" style="59" bestFit="1" customWidth="1"/>
    <col min="7" max="7" width="10.7109375" style="141" customWidth="1"/>
    <col min="8" max="8" width="10.42578125" style="132" bestFit="1" customWidth="1"/>
    <col min="9" max="9" width="4.5703125" style="132" customWidth="1"/>
    <col min="10" max="10" width="1.7109375" style="58" customWidth="1"/>
    <col min="11" max="11" width="7" style="59" bestFit="1" customWidth="1"/>
    <col min="12" max="12" width="6.28515625" style="59" customWidth="1"/>
    <col min="13" max="13" width="20.42578125" style="59" customWidth="1"/>
    <col min="14" max="14" width="6.42578125" style="59" bestFit="1" customWidth="1"/>
    <col min="15" max="16" width="8.42578125" style="59"/>
    <col min="17" max="17" width="3.28515625" style="59" customWidth="1"/>
    <col min="18" max="16384" width="8.42578125" style="59"/>
  </cols>
  <sheetData>
    <row r="1" spans="1:10" ht="27.75" customHeight="1" x14ac:dyDescent="0.25">
      <c r="A1" s="54"/>
      <c r="B1" s="54"/>
      <c r="C1" s="54"/>
      <c r="D1" s="54"/>
      <c r="E1" s="55" t="s">
        <v>83</v>
      </c>
      <c r="F1" s="56" t="s">
        <v>84</v>
      </c>
      <c r="G1" s="56" t="s">
        <v>85</v>
      </c>
      <c r="H1" s="56" t="s">
        <v>86</v>
      </c>
      <c r="I1" s="57"/>
    </row>
    <row r="2" spans="1:10" ht="30.75" customHeight="1" x14ac:dyDescent="0.25">
      <c r="A2" s="54"/>
      <c r="B2" s="54"/>
      <c r="C2" s="54"/>
      <c r="D2" s="54"/>
      <c r="E2" s="60">
        <f>IFERROR(O62,"")</f>
        <v>75466</v>
      </c>
      <c r="F2" s="60">
        <f>IFERROR(H53,"")</f>
        <v>71400</v>
      </c>
      <c r="G2" s="60">
        <f>IFERROR(H54,"")</f>
        <v>1666</v>
      </c>
      <c r="H2" s="60">
        <f>IFERROR(H56,"")</f>
        <v>1155</v>
      </c>
      <c r="I2" s="61"/>
    </row>
    <row r="3" spans="1:10" ht="15" customHeight="1" x14ac:dyDescent="0.25">
      <c r="A3" s="54"/>
      <c r="B3" s="54"/>
      <c r="C3" s="54"/>
      <c r="D3" s="54"/>
      <c r="E3" s="54"/>
      <c r="F3" s="62"/>
      <c r="G3" s="62"/>
      <c r="H3" s="62"/>
      <c r="I3" s="62"/>
    </row>
    <row r="4" spans="1:10" ht="24.75" customHeight="1" thickBot="1" x14ac:dyDescent="0.3">
      <c r="A4" s="624"/>
      <c r="B4" s="624"/>
      <c r="C4" s="624"/>
      <c r="D4" s="624"/>
      <c r="E4" s="624"/>
      <c r="F4" s="624"/>
      <c r="G4" s="624"/>
      <c r="H4" s="624"/>
      <c r="I4" s="63"/>
    </row>
    <row r="5" spans="1:10" ht="19.5" customHeight="1" thickBot="1" x14ac:dyDescent="0.3">
      <c r="A5" s="625" t="s">
        <v>87</v>
      </c>
      <c r="B5" s="626"/>
      <c r="C5" s="626"/>
      <c r="D5" s="626"/>
      <c r="E5" s="626"/>
      <c r="F5" s="626"/>
      <c r="G5" s="626"/>
      <c r="H5" s="627"/>
      <c r="I5" s="64"/>
    </row>
    <row r="6" spans="1:10" ht="19.5" thickBot="1" x14ac:dyDescent="0.3">
      <c r="A6" s="64"/>
      <c r="B6" s="64"/>
      <c r="C6" s="64"/>
      <c r="D6" s="64"/>
      <c r="E6" s="64"/>
      <c r="F6" s="628" t="s">
        <v>88</v>
      </c>
      <c r="G6" s="628"/>
      <c r="H6" s="65">
        <f ca="1">TODAY()</f>
        <v>46141</v>
      </c>
      <c r="I6" s="65"/>
    </row>
    <row r="7" spans="1:10" ht="26.25" thickBot="1" x14ac:dyDescent="0.3">
      <c r="A7" s="66" t="s">
        <v>89</v>
      </c>
      <c r="B7" s="67" t="s">
        <v>90</v>
      </c>
      <c r="C7" s="67" t="s">
        <v>89</v>
      </c>
      <c r="D7" s="68" t="s">
        <v>91</v>
      </c>
      <c r="E7" s="68" t="s">
        <v>92</v>
      </c>
      <c r="F7" s="68" t="s">
        <v>93</v>
      </c>
      <c r="G7" s="68" t="s">
        <v>94</v>
      </c>
      <c r="H7" s="69" t="s">
        <v>95</v>
      </c>
      <c r="I7" s="70"/>
    </row>
    <row r="8" spans="1:10" ht="13.5" x14ac:dyDescent="0.25">
      <c r="A8" s="71">
        <v>10000</v>
      </c>
      <c r="B8" s="59" t="s">
        <v>66</v>
      </c>
      <c r="C8" s="72">
        <f>+A8</f>
        <v>10000</v>
      </c>
      <c r="D8" s="73" t="s">
        <v>136</v>
      </c>
      <c r="E8" s="73">
        <v>0.52</v>
      </c>
      <c r="F8" s="73">
        <f>IFERROR(C8*E8,"")</f>
        <v>5200</v>
      </c>
      <c r="G8" s="74">
        <f t="shared" ref="G8:G14" si="0">IFERROR(F8/$F$66,"")</f>
        <v>6.8738516041190231E-2</v>
      </c>
      <c r="H8" s="75" t="s">
        <v>65</v>
      </c>
      <c r="I8" s="75"/>
      <c r="J8" s="76"/>
    </row>
    <row r="9" spans="1:10" ht="13.5" x14ac:dyDescent="0.25">
      <c r="A9" s="71">
        <v>10000</v>
      </c>
      <c r="B9" s="59" t="s">
        <v>68</v>
      </c>
      <c r="C9" s="72">
        <f t="shared" ref="C9:C14" si="1">+A9</f>
        <v>10000</v>
      </c>
      <c r="D9" s="73" t="s">
        <v>136</v>
      </c>
      <c r="E9" s="73">
        <v>0.43</v>
      </c>
      <c r="F9" s="73">
        <f t="shared" ref="F9:F14" si="2">IFERROR(C9*E9,"")</f>
        <v>4300</v>
      </c>
      <c r="G9" s="74">
        <f t="shared" si="0"/>
        <v>5.6841465187907309E-2</v>
      </c>
      <c r="H9" s="75" t="s">
        <v>67</v>
      </c>
      <c r="I9" s="75"/>
      <c r="J9" s="76"/>
    </row>
    <row r="10" spans="1:10" ht="13.5" x14ac:dyDescent="0.25">
      <c r="A10" s="71">
        <v>10000</v>
      </c>
      <c r="B10" s="59" t="s">
        <v>69</v>
      </c>
      <c r="C10" s="72">
        <f t="shared" si="1"/>
        <v>10000</v>
      </c>
      <c r="D10" s="73" t="s">
        <v>136</v>
      </c>
      <c r="E10" s="73">
        <v>3.49</v>
      </c>
      <c r="F10" s="73">
        <f t="shared" si="2"/>
        <v>34900</v>
      </c>
      <c r="G10" s="74">
        <f t="shared" si="0"/>
        <v>0.46134119419952674</v>
      </c>
      <c r="H10" s="75" t="s">
        <v>61</v>
      </c>
      <c r="I10" s="75"/>
      <c r="J10" s="76"/>
    </row>
    <row r="11" spans="1:10" ht="14.25" thickBot="1" x14ac:dyDescent="0.3">
      <c r="A11" s="71">
        <v>10000</v>
      </c>
      <c r="B11" s="59" t="s">
        <v>71</v>
      </c>
      <c r="C11" s="72">
        <f t="shared" si="1"/>
        <v>10000</v>
      </c>
      <c r="D11" s="73" t="s">
        <v>136</v>
      </c>
      <c r="E11" s="73">
        <v>2.7</v>
      </c>
      <c r="F11" s="73">
        <f t="shared" si="2"/>
        <v>27000</v>
      </c>
      <c r="G11" s="74">
        <f t="shared" si="0"/>
        <v>0.35691152559848777</v>
      </c>
      <c r="H11" s="75" t="s">
        <v>70</v>
      </c>
      <c r="I11" s="75"/>
      <c r="J11" s="76"/>
    </row>
    <row r="12" spans="1:10" ht="13.5" hidden="1" x14ac:dyDescent="0.25">
      <c r="A12" s="71"/>
      <c r="B12" s="59" t="str">
        <f>IFERROR(VLOOKUP(H12,'[1]Consolidado MP Planta'!$A$2:$M$823,3,0),"")</f>
        <v/>
      </c>
      <c r="C12" s="72">
        <f t="shared" si="1"/>
        <v>0</v>
      </c>
      <c r="D12" s="73" t="str">
        <f>IFERROR(VLOOKUP(H12,'[1]Consolidado MP Planta'!$A$2:$M$823,13,0),"")</f>
        <v/>
      </c>
      <c r="E12" s="73" t="str">
        <f>IFERROR(VLOOKUP(H12,'[1]Consolidado MP Planta'!$A$2:$M$823,12,0),"")</f>
        <v/>
      </c>
      <c r="F12" s="73" t="str">
        <f t="shared" si="2"/>
        <v/>
      </c>
      <c r="G12" s="74" t="str">
        <f t="shared" si="0"/>
        <v/>
      </c>
      <c r="H12" s="75"/>
      <c r="I12" s="75"/>
      <c r="J12" s="76"/>
    </row>
    <row r="13" spans="1:10" ht="13.5" hidden="1" x14ac:dyDescent="0.25">
      <c r="A13" s="71"/>
      <c r="B13" s="59" t="str">
        <f>IFERROR(VLOOKUP(H13,'[1]Consolidado MP Planta'!$A$2:$M$823,3,0),"")</f>
        <v/>
      </c>
      <c r="C13" s="72">
        <f t="shared" si="1"/>
        <v>0</v>
      </c>
      <c r="D13" s="73" t="str">
        <f>IFERROR(VLOOKUP(H13,'[1]Consolidado MP Planta'!$A$2:$M$823,13,0),"")</f>
        <v/>
      </c>
      <c r="E13" s="73" t="str">
        <f>IFERROR(VLOOKUP(H13,'[1]Consolidado MP Planta'!$A$2:$M$823,12,0),"")</f>
        <v/>
      </c>
      <c r="F13" s="73" t="str">
        <f t="shared" si="2"/>
        <v/>
      </c>
      <c r="G13" s="74" t="str">
        <f t="shared" si="0"/>
        <v/>
      </c>
      <c r="H13" s="75"/>
      <c r="I13" s="75"/>
      <c r="J13" s="76"/>
    </row>
    <row r="14" spans="1:10" ht="13.5" hidden="1" x14ac:dyDescent="0.25">
      <c r="A14" s="71"/>
      <c r="B14" s="59" t="str">
        <f>IFERROR(VLOOKUP(H14,'[1]Consolidado MP Planta'!$A$2:$M$823,3,0),"")</f>
        <v/>
      </c>
      <c r="C14" s="72">
        <f t="shared" si="1"/>
        <v>0</v>
      </c>
      <c r="D14" s="73" t="str">
        <f>IFERROR(VLOOKUP(H14,'[1]Consolidado MP Planta'!$A$2:$M$823,13,0),"")</f>
        <v/>
      </c>
      <c r="E14" s="73" t="str">
        <f>IFERROR(VLOOKUP(H14,'[1]Consolidado MP Planta'!$A$2:$M$823,12,0),"")</f>
        <v/>
      </c>
      <c r="F14" s="73" t="str">
        <f t="shared" si="2"/>
        <v/>
      </c>
      <c r="G14" s="74" t="str">
        <f t="shared" si="0"/>
        <v/>
      </c>
      <c r="H14" s="75"/>
      <c r="I14" s="75"/>
      <c r="J14" s="76"/>
    </row>
    <row r="15" spans="1:10" ht="14.25" hidden="1" thickBot="1" x14ac:dyDescent="0.3">
      <c r="A15" s="71"/>
      <c r="B15" s="59" t="str">
        <f>IFERROR(VLOOKUP(H15,[2]Hoja2!$A$2:$G$589,2,0),"")</f>
        <v/>
      </c>
      <c r="C15" s="72"/>
      <c r="D15" s="73"/>
      <c r="E15" s="73"/>
      <c r="F15" s="73"/>
      <c r="G15" s="74"/>
      <c r="H15" s="75"/>
      <c r="I15" s="75"/>
      <c r="J15" s="76"/>
    </row>
    <row r="16" spans="1:10" ht="26.25" hidden="1" thickBot="1" x14ac:dyDescent="0.3">
      <c r="A16" s="66" t="s">
        <v>89</v>
      </c>
      <c r="B16" s="67" t="s">
        <v>96</v>
      </c>
      <c r="C16" s="67" t="s">
        <v>89</v>
      </c>
      <c r="D16" s="68" t="s">
        <v>91</v>
      </c>
      <c r="E16" s="68" t="s">
        <v>92</v>
      </c>
      <c r="F16" s="68" t="s">
        <v>93</v>
      </c>
      <c r="G16" s="68" t="s">
        <v>94</v>
      </c>
      <c r="H16" s="69" t="s">
        <v>95</v>
      </c>
      <c r="I16" s="70"/>
      <c r="J16" s="76"/>
    </row>
    <row r="17" spans="1:12" ht="13.5" hidden="1" x14ac:dyDescent="0.25">
      <c r="A17" s="71"/>
      <c r="B17" s="59" t="str">
        <f>IFERROR(VLOOKUP(H17,[1]SEMIELABORADOS!$A$2:$M$6000,2,0),"")</f>
        <v/>
      </c>
      <c r="C17" s="72">
        <f>+A17</f>
        <v>0</v>
      </c>
      <c r="D17" s="72" t="str">
        <f>IFERROR(VLOOKUP(H17,[1]SEMIELABORADOS!$A$2:$M$6000,6,0),"")</f>
        <v/>
      </c>
      <c r="E17" s="73" t="str">
        <f>IFERROR(VLOOKUP(H17,[1]SEMIELABORADOS!$A$2:$H$65536,8,0),"")</f>
        <v/>
      </c>
      <c r="F17" s="73" t="str">
        <f>IFERROR(E17*C17,"")</f>
        <v/>
      </c>
      <c r="G17" s="74" t="str">
        <f t="shared" ref="G17:G24" si="3">IFERROR(F17/$F$66,"")</f>
        <v/>
      </c>
      <c r="H17" s="75"/>
      <c r="I17" s="75"/>
      <c r="J17" s="76"/>
    </row>
    <row r="18" spans="1:12" ht="13.5" hidden="1" x14ac:dyDescent="0.25">
      <c r="A18" s="71"/>
      <c r="B18" s="59" t="str">
        <f>IFERROR(VLOOKUP(H18,[1]SEMIELABORADOS!$A$2:$M$6000,2,0),"")</f>
        <v/>
      </c>
      <c r="C18" s="72">
        <f t="shared" ref="C18:C24" si="4">+A18</f>
        <v>0</v>
      </c>
      <c r="D18" s="72" t="str">
        <f>IFERROR(VLOOKUP(H18,[1]SEMIELABORADOS!$A$2:$M$6000,6,0),"")</f>
        <v/>
      </c>
      <c r="E18" s="73" t="str">
        <f>IFERROR(VLOOKUP(H18,[1]SEMIELABORADOS!$A$2:$H$65536,8,0),"")</f>
        <v/>
      </c>
      <c r="F18" s="73" t="str">
        <f t="shared" ref="F18:F24" si="5">IFERROR(E18*C18,"")</f>
        <v/>
      </c>
      <c r="G18" s="74" t="str">
        <f t="shared" si="3"/>
        <v/>
      </c>
      <c r="H18" s="75"/>
      <c r="I18" s="75"/>
      <c r="J18" s="76"/>
    </row>
    <row r="19" spans="1:12" ht="13.5" hidden="1" x14ac:dyDescent="0.25">
      <c r="A19" s="71"/>
      <c r="B19" s="59" t="str">
        <f>IFERROR(VLOOKUP(H19,[1]SEMIELABORADOS!$A$2:$M$6000,2,0),"")</f>
        <v/>
      </c>
      <c r="C19" s="72">
        <f>+A19</f>
        <v>0</v>
      </c>
      <c r="D19" s="72" t="str">
        <f>IFERROR(VLOOKUP(H19,[1]SEMIELABORADOS!$A$2:$M$6000,6,0),"")</f>
        <v/>
      </c>
      <c r="E19" s="73" t="str">
        <f>IFERROR(VLOOKUP(H19,[1]SEMIELABORADOS!$A$2:$H$65536,8,0),"")</f>
        <v/>
      </c>
      <c r="F19" s="73" t="str">
        <f>IFERROR(E19*C19,"")</f>
        <v/>
      </c>
      <c r="G19" s="74" t="str">
        <f t="shared" si="3"/>
        <v/>
      </c>
      <c r="H19" s="75"/>
      <c r="I19" s="75"/>
      <c r="J19" s="76"/>
    </row>
    <row r="20" spans="1:12" ht="13.5" hidden="1" x14ac:dyDescent="0.25">
      <c r="A20" s="71"/>
      <c r="B20" s="59" t="str">
        <f>IFERROR(VLOOKUP(H20,[1]SEMIELABORADOS!$A$2:$M$6000,2,0),"")</f>
        <v/>
      </c>
      <c r="C20" s="72">
        <f>+A20</f>
        <v>0</v>
      </c>
      <c r="D20" s="72" t="str">
        <f>IFERROR(VLOOKUP(H20,[1]SEMIELABORADOS!$A$2:$M$6000,6,0),"")</f>
        <v/>
      </c>
      <c r="E20" s="73" t="str">
        <f>IFERROR(VLOOKUP(H20,[1]SEMIELABORADOS!$A$2:$H$65536,8,0),"")</f>
        <v/>
      </c>
      <c r="F20" s="73" t="str">
        <f>IFERROR(E20*C20,"")</f>
        <v/>
      </c>
      <c r="G20" s="74" t="str">
        <f t="shared" si="3"/>
        <v/>
      </c>
      <c r="H20" s="75"/>
      <c r="I20" s="75"/>
      <c r="J20" s="76"/>
    </row>
    <row r="21" spans="1:12" ht="13.5" hidden="1" x14ac:dyDescent="0.25">
      <c r="A21" s="71"/>
      <c r="B21" s="59" t="str">
        <f>IFERROR(VLOOKUP(H21,[1]SEMIELABORADOS!$A$2:$M$6000,2,0),"")</f>
        <v/>
      </c>
      <c r="C21" s="72">
        <f>+A21</f>
        <v>0</v>
      </c>
      <c r="D21" s="72" t="str">
        <f>IFERROR(VLOOKUP(H21,[1]SEMIELABORADOS!$A$2:$M$6000,6,0),"")</f>
        <v/>
      </c>
      <c r="E21" s="73" t="str">
        <f>IFERROR(VLOOKUP(H21,[1]SEMIELABORADOS!$A$2:$H$65536,8,0),"")</f>
        <v/>
      </c>
      <c r="F21" s="73" t="str">
        <f>IFERROR(E21*C21,"")</f>
        <v/>
      </c>
      <c r="G21" s="74" t="str">
        <f t="shared" si="3"/>
        <v/>
      </c>
      <c r="H21" s="75"/>
      <c r="I21" s="75"/>
      <c r="J21" s="76"/>
    </row>
    <row r="22" spans="1:12" ht="13.5" hidden="1" x14ac:dyDescent="0.25">
      <c r="A22" s="71"/>
      <c r="B22" s="59" t="str">
        <f>IFERROR(VLOOKUP(H22,[1]SEMIELABORADOS!$A$2:$M$6000,2,0),"")</f>
        <v/>
      </c>
      <c r="C22" s="72">
        <f t="shared" si="4"/>
        <v>0</v>
      </c>
      <c r="D22" s="72" t="str">
        <f>IFERROR(VLOOKUP(H22,[1]SEMIELABORADOS!$A$2:$M$6000,6,0),"")</f>
        <v/>
      </c>
      <c r="E22" s="73" t="str">
        <f>IFERROR(VLOOKUP(H22,[1]SEMIELABORADOS!$A$2:$H$65536,8,0),"")</f>
        <v/>
      </c>
      <c r="F22" s="73" t="str">
        <f t="shared" si="5"/>
        <v/>
      </c>
      <c r="G22" s="74" t="str">
        <f t="shared" si="3"/>
        <v/>
      </c>
      <c r="H22" s="75"/>
      <c r="I22" s="75"/>
      <c r="J22" s="76"/>
    </row>
    <row r="23" spans="1:12" ht="13.5" hidden="1" x14ac:dyDescent="0.25">
      <c r="A23" s="71"/>
      <c r="B23" s="59" t="str">
        <f>IFERROR(VLOOKUP(H23,[1]SEMIELABORADOS!$A$2:$M$6000,2,0),"")</f>
        <v/>
      </c>
      <c r="C23" s="72">
        <f t="shared" si="4"/>
        <v>0</v>
      </c>
      <c r="D23" s="72" t="str">
        <f>IFERROR(VLOOKUP(H23,[1]SEMIELABORADOS!$A$2:$M$6000,6,0),"")</f>
        <v/>
      </c>
      <c r="E23" s="73" t="str">
        <f>IFERROR(VLOOKUP(H23,[1]SEMIELABORADOS!$A$2:$H$65536,8,0),"")</f>
        <v/>
      </c>
      <c r="F23" s="73" t="str">
        <f t="shared" si="5"/>
        <v/>
      </c>
      <c r="G23" s="74" t="str">
        <f t="shared" si="3"/>
        <v/>
      </c>
      <c r="H23" s="75"/>
      <c r="I23" s="75"/>
      <c r="J23" s="76"/>
    </row>
    <row r="24" spans="1:12" ht="13.5" hidden="1" x14ac:dyDescent="0.25">
      <c r="A24" s="71"/>
      <c r="B24" s="59" t="str">
        <f>IFERROR(VLOOKUP(H24,[1]SEMIELABORADOS!$A$2:$M$6000,2,0),"")</f>
        <v/>
      </c>
      <c r="C24" s="72">
        <f t="shared" si="4"/>
        <v>0</v>
      </c>
      <c r="D24" s="72" t="str">
        <f>IFERROR(VLOOKUP(H24,[1]SEMIELABORADOS!$A$2:$M$6000,6,0),"")</f>
        <v/>
      </c>
      <c r="E24" s="73" t="str">
        <f>IFERROR(VLOOKUP(H24,[1]SEMIELABORADOS!$A$2:$H$65536,8,0),"")</f>
        <v/>
      </c>
      <c r="F24" s="73" t="str">
        <f t="shared" si="5"/>
        <v/>
      </c>
      <c r="G24" s="74" t="str">
        <f t="shared" si="3"/>
        <v/>
      </c>
      <c r="H24" s="75"/>
      <c r="I24" s="75"/>
      <c r="J24" s="76"/>
    </row>
    <row r="25" spans="1:12" ht="14.25" hidden="1" thickBot="1" x14ac:dyDescent="0.3">
      <c r="A25" s="71"/>
      <c r="C25" s="72"/>
      <c r="D25" s="72"/>
      <c r="E25" s="73"/>
      <c r="F25" s="73"/>
      <c r="G25" s="74"/>
      <c r="H25" s="75"/>
      <c r="I25" s="75"/>
      <c r="J25" s="76"/>
    </row>
    <row r="26" spans="1:12" ht="26.25" thickBot="1" x14ac:dyDescent="0.3">
      <c r="A26" s="66" t="s">
        <v>89</v>
      </c>
      <c r="B26" s="67" t="s">
        <v>97</v>
      </c>
      <c r="C26" s="67" t="s">
        <v>89</v>
      </c>
      <c r="D26" s="68" t="s">
        <v>91</v>
      </c>
      <c r="E26" s="68" t="s">
        <v>92</v>
      </c>
      <c r="F26" s="68" t="s">
        <v>93</v>
      </c>
      <c r="G26" s="68" t="s">
        <v>94</v>
      </c>
      <c r="H26" s="69" t="s">
        <v>95</v>
      </c>
      <c r="I26" s="70"/>
    </row>
    <row r="27" spans="1:12" ht="13.5" x14ac:dyDescent="0.25">
      <c r="A27" s="71">
        <v>40</v>
      </c>
      <c r="B27" s="77" t="s">
        <v>73</v>
      </c>
      <c r="C27" s="72">
        <f t="shared" ref="C27:C32" si="6">+A27</f>
        <v>40</v>
      </c>
      <c r="D27" s="73" t="s">
        <v>137</v>
      </c>
      <c r="E27" s="73">
        <v>41.65</v>
      </c>
      <c r="F27" s="73">
        <f t="shared" ref="F27:F32" si="7">IFERROR(C27*E27,"")</f>
        <v>1666</v>
      </c>
      <c r="G27" s="74">
        <f t="shared" ref="G27:G32" si="8">IFERROR(F27/$F$66,"")</f>
        <v>2.2022763023965948E-2</v>
      </c>
      <c r="H27" s="78" t="s">
        <v>72</v>
      </c>
      <c r="I27" s="78"/>
      <c r="J27" s="76"/>
      <c r="K27" s="618"/>
      <c r="L27" s="618"/>
    </row>
    <row r="28" spans="1:12" ht="13.5" hidden="1" x14ac:dyDescent="0.25">
      <c r="A28" s="71"/>
      <c r="B28" s="77" t="str">
        <f>IFERROR(VLOOKUP(H28,'[1]Consolidado MP Planta'!$A$2:$M$823,3,0),"")</f>
        <v/>
      </c>
      <c r="C28" s="72">
        <f t="shared" si="6"/>
        <v>0</v>
      </c>
      <c r="D28" s="73" t="str">
        <f>IFERROR(VLOOKUP(H28,'[1]Consolidado MP Planta'!$A$2:$M$823,13,0),"")</f>
        <v/>
      </c>
      <c r="E28" s="73" t="str">
        <f>IFERROR(VLOOKUP(H28,'[1]Consolidado MP Planta'!$A$2:$M$823,12,0),"")</f>
        <v/>
      </c>
      <c r="F28" s="73" t="str">
        <f t="shared" si="7"/>
        <v/>
      </c>
      <c r="G28" s="74" t="str">
        <f t="shared" si="8"/>
        <v/>
      </c>
      <c r="H28" s="78"/>
      <c r="I28" s="78"/>
      <c r="J28" s="76"/>
      <c r="K28" s="618"/>
      <c r="L28" s="618"/>
    </row>
    <row r="29" spans="1:12" ht="13.5" hidden="1" x14ac:dyDescent="0.25">
      <c r="A29" s="71"/>
      <c r="B29" s="77" t="str">
        <f>IFERROR(VLOOKUP(H29,'[1]Consolidado MP Planta'!$A$2:$M$823,3,0),"")</f>
        <v/>
      </c>
      <c r="C29" s="72">
        <f t="shared" si="6"/>
        <v>0</v>
      </c>
      <c r="D29" s="73" t="str">
        <f>IFERROR(VLOOKUP(H29,'[1]Consolidado MP Planta'!$A$2:$M$823,13,0),"")</f>
        <v/>
      </c>
      <c r="E29" s="73" t="str">
        <f>IFERROR(VLOOKUP(H29,'[1]Consolidado MP Planta'!$A$2:$M$823,12,0),"")</f>
        <v/>
      </c>
      <c r="F29" s="73" t="str">
        <f t="shared" si="7"/>
        <v/>
      </c>
      <c r="G29" s="74" t="str">
        <f t="shared" si="8"/>
        <v/>
      </c>
      <c r="H29" s="78"/>
      <c r="I29" s="78"/>
      <c r="J29" s="76"/>
      <c r="K29" s="618"/>
      <c r="L29" s="618"/>
    </row>
    <row r="30" spans="1:12" ht="13.5" hidden="1" x14ac:dyDescent="0.25">
      <c r="A30" s="71"/>
      <c r="B30" s="77" t="str">
        <f>IFERROR(VLOOKUP(H30,'[1]Consolidado MP Planta'!$A$2:$M$823,3,0),"")</f>
        <v/>
      </c>
      <c r="C30" s="72">
        <f t="shared" si="6"/>
        <v>0</v>
      </c>
      <c r="D30" s="73" t="str">
        <f>IFERROR(VLOOKUP(H30,'[1]Consolidado MP Planta'!$A$2:$M$823,13,0),"")</f>
        <v/>
      </c>
      <c r="E30" s="73" t="str">
        <f>IFERROR(VLOOKUP(H30,'[1]Consolidado MP Planta'!$A$2:$M$823,12,0),"")</f>
        <v/>
      </c>
      <c r="F30" s="73" t="str">
        <f t="shared" si="7"/>
        <v/>
      </c>
      <c r="G30" s="74" t="str">
        <f t="shared" si="8"/>
        <v/>
      </c>
      <c r="H30" s="78"/>
      <c r="I30" s="78"/>
      <c r="J30" s="76"/>
      <c r="K30" s="618"/>
      <c r="L30" s="618"/>
    </row>
    <row r="31" spans="1:12" ht="13.5" hidden="1" x14ac:dyDescent="0.25">
      <c r="A31" s="71"/>
      <c r="B31" s="77" t="str">
        <f>IFERROR(VLOOKUP(H31,'[1]Consolidado MP Planta'!$A$2:$M$823,3,0),"")</f>
        <v/>
      </c>
      <c r="C31" s="72">
        <f t="shared" si="6"/>
        <v>0</v>
      </c>
      <c r="D31" s="73" t="str">
        <f>IFERROR(VLOOKUP(H31,'[1]Consolidado MP Planta'!$A$2:$M$823,13,0),"")</f>
        <v/>
      </c>
      <c r="E31" s="73" t="str">
        <f>IFERROR(VLOOKUP(H31,'[1]Consolidado MP Planta'!$A$2:$M$823,12,0),"")</f>
        <v/>
      </c>
      <c r="F31" s="73" t="str">
        <f t="shared" si="7"/>
        <v/>
      </c>
      <c r="G31" s="74" t="str">
        <f t="shared" si="8"/>
        <v/>
      </c>
      <c r="H31" s="78"/>
      <c r="I31" s="78"/>
      <c r="J31" s="76"/>
      <c r="K31" s="79"/>
      <c r="L31" s="80"/>
    </row>
    <row r="32" spans="1:12" ht="13.5" hidden="1" x14ac:dyDescent="0.25">
      <c r="A32" s="71"/>
      <c r="B32" s="77" t="str">
        <f>IFERROR(VLOOKUP(H32,'[1]Consolidado MP Planta'!$A$2:$M$823,3,0),"")</f>
        <v/>
      </c>
      <c r="C32" s="72">
        <f t="shared" si="6"/>
        <v>0</v>
      </c>
      <c r="D32" s="73" t="str">
        <f>IFERROR(VLOOKUP(H32,'[1]Consolidado MP Planta'!$A$2:$M$823,13,0),"")</f>
        <v/>
      </c>
      <c r="E32" s="73" t="str">
        <f>IFERROR(VLOOKUP(H32,'[1]Consolidado MP Planta'!$A$2:$M$823,12,0),"")</f>
        <v/>
      </c>
      <c r="F32" s="73" t="str">
        <f t="shared" si="7"/>
        <v/>
      </c>
      <c r="G32" s="74" t="str">
        <f t="shared" si="8"/>
        <v/>
      </c>
      <c r="H32" s="78"/>
      <c r="I32" s="78"/>
      <c r="J32" s="76"/>
    </row>
    <row r="33" spans="1:13" ht="14.25" thickBot="1" x14ac:dyDescent="0.3">
      <c r="A33" s="71"/>
      <c r="B33" s="77"/>
      <c r="C33" s="72"/>
      <c r="D33" s="73"/>
      <c r="E33" s="73"/>
      <c r="F33" s="73"/>
      <c r="G33" s="74"/>
      <c r="H33" s="78"/>
      <c r="I33" s="78"/>
      <c r="J33" s="76"/>
    </row>
    <row r="34" spans="1:13" ht="26.25" hidden="1" thickBot="1" x14ac:dyDescent="0.25">
      <c r="A34" s="66" t="s">
        <v>89</v>
      </c>
      <c r="B34" s="67" t="s">
        <v>98</v>
      </c>
      <c r="C34" s="67" t="s">
        <v>89</v>
      </c>
      <c r="D34" s="68" t="s">
        <v>91</v>
      </c>
      <c r="E34" s="68" t="s">
        <v>92</v>
      </c>
      <c r="F34" s="68" t="s">
        <v>93</v>
      </c>
      <c r="G34" s="68" t="s">
        <v>94</v>
      </c>
      <c r="H34" s="69" t="s">
        <v>95</v>
      </c>
      <c r="I34" s="78"/>
      <c r="J34" s="76"/>
    </row>
    <row r="35" spans="1:13" ht="13.5" hidden="1" x14ac:dyDescent="0.25">
      <c r="A35" s="71">
        <f>+A17</f>
        <v>0</v>
      </c>
      <c r="B35" s="77" t="str">
        <f>IFERROR(VLOOKUP(H35,[1]SEMIELABORADOS!$A$2:$M$6000,2,0),"")</f>
        <v/>
      </c>
      <c r="C35" s="72">
        <f>+A35</f>
        <v>0</v>
      </c>
      <c r="D35" s="73" t="str">
        <f>IFERROR(VLOOKUP(H35,[1]SEMIELABORADOS!$A$2:$M$6000,6,0),"")</f>
        <v/>
      </c>
      <c r="E35" s="73" t="str">
        <f>IFERROR(VLOOKUP(H35,[1]SEMIELABORADOS!$A$2:$M$65536,10,0),"")</f>
        <v/>
      </c>
      <c r="F35" s="73" t="str">
        <f>IFERROR(E35*C35,"")</f>
        <v/>
      </c>
      <c r="G35" s="74" t="str">
        <f t="shared" ref="G35:G41" si="9">IFERROR(F35/$F$66,"")</f>
        <v/>
      </c>
      <c r="H35" s="78"/>
      <c r="I35" s="78"/>
      <c r="J35" s="76"/>
    </row>
    <row r="36" spans="1:13" ht="13.5" hidden="1" x14ac:dyDescent="0.25">
      <c r="A36" s="71">
        <f t="shared" ref="A36:A41" si="10">+A18</f>
        <v>0</v>
      </c>
      <c r="B36" s="77" t="str">
        <f>IFERROR(VLOOKUP(H36,[1]SEMIELABORADOS!$A$2:$M$6000,2,0),"")</f>
        <v/>
      </c>
      <c r="C36" s="72">
        <f t="shared" ref="C36:C41" si="11">+A36</f>
        <v>0</v>
      </c>
      <c r="D36" s="73" t="str">
        <f>IFERROR(VLOOKUP(H36,[1]SEMIELABORADOS!$A$2:$M$6000,6,0),"")</f>
        <v/>
      </c>
      <c r="E36" s="73" t="str">
        <f>IFERROR(VLOOKUP(H36,[1]SEMIELABORADOS!$A$2:$M$65536,10,0),"")</f>
        <v/>
      </c>
      <c r="F36" s="73" t="str">
        <f t="shared" ref="F36:F41" si="12">IFERROR(E36*C36,"")</f>
        <v/>
      </c>
      <c r="G36" s="74" t="str">
        <f t="shared" si="9"/>
        <v/>
      </c>
      <c r="H36" s="78"/>
      <c r="I36" s="78"/>
      <c r="J36" s="76"/>
    </row>
    <row r="37" spans="1:13" ht="13.5" hidden="1" x14ac:dyDescent="0.25">
      <c r="A37" s="71">
        <f t="shared" si="10"/>
        <v>0</v>
      </c>
      <c r="B37" s="77" t="str">
        <f>IFERROR(VLOOKUP(H37,[1]SEMIELABORADOS!$A$2:$M$6000,2,0),"")</f>
        <v/>
      </c>
      <c r="C37" s="72">
        <f t="shared" si="11"/>
        <v>0</v>
      </c>
      <c r="D37" s="73" t="str">
        <f>IFERROR(VLOOKUP(H37,[1]SEMIELABORADOS!$A$2:$M$6000,6,0),"")</f>
        <v/>
      </c>
      <c r="E37" s="73" t="str">
        <f>IFERROR(VLOOKUP(H37,[1]SEMIELABORADOS!$A$2:$M$65536,10,0),"")</f>
        <v/>
      </c>
      <c r="F37" s="73" t="str">
        <f t="shared" si="12"/>
        <v/>
      </c>
      <c r="G37" s="74" t="str">
        <f t="shared" si="9"/>
        <v/>
      </c>
      <c r="H37" s="78"/>
      <c r="I37" s="78"/>
      <c r="J37" s="76"/>
    </row>
    <row r="38" spans="1:13" ht="13.5" hidden="1" x14ac:dyDescent="0.25">
      <c r="A38" s="71">
        <f t="shared" si="10"/>
        <v>0</v>
      </c>
      <c r="B38" s="77" t="str">
        <f>IFERROR(VLOOKUP(H38,[1]SEMIELABORADOS!$A$2:$M$6000,2,0),"")</f>
        <v/>
      </c>
      <c r="C38" s="72">
        <f>+A38</f>
        <v>0</v>
      </c>
      <c r="D38" s="73" t="str">
        <f>IFERROR(VLOOKUP(H38,[1]SEMIELABORADOS!$A$2:$M$6000,6,0),"")</f>
        <v/>
      </c>
      <c r="E38" s="73" t="str">
        <f>IFERROR(VLOOKUP(H38,[1]SEMIELABORADOS!$A$2:$M$65536,10,0),"")</f>
        <v/>
      </c>
      <c r="F38" s="73" t="str">
        <f>IFERROR(E38*C38,"")</f>
        <v/>
      </c>
      <c r="G38" s="74" t="str">
        <f t="shared" si="9"/>
        <v/>
      </c>
      <c r="H38" s="78"/>
      <c r="I38" s="78"/>
      <c r="J38" s="76"/>
    </row>
    <row r="39" spans="1:13" ht="13.5" hidden="1" x14ac:dyDescent="0.25">
      <c r="A39" s="71">
        <f t="shared" si="10"/>
        <v>0</v>
      </c>
      <c r="B39" s="77" t="str">
        <f>IFERROR(VLOOKUP(H39,[1]SEMIELABORADOS!$A$2:$M$6000,2,0),"")</f>
        <v/>
      </c>
      <c r="C39" s="72">
        <f>+A39</f>
        <v>0</v>
      </c>
      <c r="D39" s="73" t="str">
        <f>IFERROR(VLOOKUP(H39,[1]SEMIELABORADOS!$A$2:$M$6000,6,0),"")</f>
        <v/>
      </c>
      <c r="E39" s="73" t="str">
        <f>IFERROR(VLOOKUP(H39,[1]SEMIELABORADOS!$A$2:$M$65536,10,0),"")</f>
        <v/>
      </c>
      <c r="F39" s="73" t="str">
        <f>IFERROR(E39*C39,"")</f>
        <v/>
      </c>
      <c r="G39" s="74" t="str">
        <f t="shared" si="9"/>
        <v/>
      </c>
      <c r="H39" s="78"/>
      <c r="I39" s="78"/>
      <c r="J39" s="76"/>
    </row>
    <row r="40" spans="1:13" ht="13.5" hidden="1" x14ac:dyDescent="0.25">
      <c r="A40" s="71">
        <f t="shared" si="10"/>
        <v>0</v>
      </c>
      <c r="B40" s="77" t="str">
        <f>IFERROR(VLOOKUP(H40,[1]SEMIELABORADOS!$A$2:$M$6000,2,0),"")</f>
        <v/>
      </c>
      <c r="C40" s="72">
        <f t="shared" si="11"/>
        <v>0</v>
      </c>
      <c r="D40" s="73" t="str">
        <f>IFERROR(VLOOKUP(H40,[1]SEMIELABORADOS!$A$2:$M$6000,6,0),"")</f>
        <v/>
      </c>
      <c r="E40" s="73" t="str">
        <f>IFERROR(VLOOKUP(H40,[1]SEMIELABORADOS!$A$2:$M$65536,10,0),"")</f>
        <v/>
      </c>
      <c r="F40" s="73" t="str">
        <f t="shared" si="12"/>
        <v/>
      </c>
      <c r="G40" s="74" t="str">
        <f t="shared" si="9"/>
        <v/>
      </c>
      <c r="H40" s="78"/>
      <c r="I40" s="78"/>
      <c r="J40" s="76"/>
    </row>
    <row r="41" spans="1:13" ht="13.5" hidden="1" x14ac:dyDescent="0.25">
      <c r="A41" s="71">
        <f t="shared" si="10"/>
        <v>0</v>
      </c>
      <c r="B41" s="77" t="str">
        <f>IFERROR(VLOOKUP(H41,[1]SEMIELABORADOS!$A$2:$M$6000,2,0),"")</f>
        <v/>
      </c>
      <c r="C41" s="72">
        <f t="shared" si="11"/>
        <v>0</v>
      </c>
      <c r="D41" s="73" t="str">
        <f>IFERROR(VLOOKUP(H41,[1]SEMIELABORADOS!$A$2:$M$6000,6,0),"")</f>
        <v/>
      </c>
      <c r="E41" s="73" t="str">
        <f>IFERROR(VLOOKUP(H41,[1]SEMIELABORADOS!$A$2:$M$65536,10,0),"")</f>
        <v/>
      </c>
      <c r="F41" s="73" t="str">
        <f t="shared" si="12"/>
        <v/>
      </c>
      <c r="G41" s="74" t="str">
        <f t="shared" si="9"/>
        <v/>
      </c>
      <c r="H41" s="78"/>
      <c r="I41" s="78"/>
      <c r="J41" s="76"/>
    </row>
    <row r="42" spans="1:13" ht="14.25" hidden="1" thickBot="1" x14ac:dyDescent="0.3">
      <c r="A42" s="71"/>
      <c r="B42" s="77"/>
      <c r="C42" s="72"/>
      <c r="D42" s="73"/>
      <c r="E42" s="73"/>
      <c r="F42" s="73"/>
      <c r="G42" s="74"/>
      <c r="H42" s="78"/>
      <c r="I42" s="78"/>
      <c r="J42" s="76"/>
    </row>
    <row r="43" spans="1:13" ht="26.25" thickBot="1" x14ac:dyDescent="0.3">
      <c r="A43" s="66" t="s">
        <v>89</v>
      </c>
      <c r="B43" s="67" t="s">
        <v>99</v>
      </c>
      <c r="C43" s="67" t="s">
        <v>89</v>
      </c>
      <c r="D43" s="68" t="s">
        <v>91</v>
      </c>
      <c r="E43" s="68" t="s">
        <v>92</v>
      </c>
      <c r="F43" s="68" t="s">
        <v>93</v>
      </c>
      <c r="G43" s="68" t="s">
        <v>94</v>
      </c>
      <c r="H43" s="69" t="s">
        <v>95</v>
      </c>
      <c r="I43" s="70"/>
      <c r="J43" s="76"/>
    </row>
    <row r="44" spans="1:13" ht="13.5" hidden="1" x14ac:dyDescent="0.25">
      <c r="A44" s="71">
        <f>+A35</f>
        <v>0</v>
      </c>
      <c r="B44" s="77" t="str">
        <f>IFERROR(VLOOKUP(H44,[1]SEMIELABORADOS!$A$2:$M$6000,2,0),"")</f>
        <v/>
      </c>
      <c r="C44" s="72">
        <f>+A44</f>
        <v>0</v>
      </c>
      <c r="D44" s="73" t="str">
        <f>IFERROR(VLOOKUP(H44,[1]SEMIELABORADOS!$A$2:$M$6000,6,0),"")</f>
        <v/>
      </c>
      <c r="E44" s="73" t="str">
        <f>IFERROR(VLOOKUP(H44,[1]SEMIELABORADOS!$A$2:$M$65536,12,0),"")</f>
        <v/>
      </c>
      <c r="F44" s="73" t="str">
        <f>IFERROR(E44*C44,"")</f>
        <v/>
      </c>
      <c r="G44" s="74" t="str">
        <f>IFERROR(F44/$F$66,"")</f>
        <v/>
      </c>
      <c r="H44" s="78"/>
      <c r="I44" s="70"/>
      <c r="J44" s="76"/>
    </row>
    <row r="45" spans="1:13" ht="13.5" hidden="1" x14ac:dyDescent="0.25">
      <c r="A45" s="71">
        <f t="shared" ref="A45:A50" si="13">+A36</f>
        <v>0</v>
      </c>
      <c r="B45" s="77" t="str">
        <f>IFERROR(VLOOKUP(H45,[1]SEMIELABORADOS!$A$2:$M$6000,2,0),"")</f>
        <v/>
      </c>
      <c r="C45" s="72">
        <f t="shared" ref="C45:C50" si="14">+A45</f>
        <v>0</v>
      </c>
      <c r="D45" s="73" t="str">
        <f>IFERROR(VLOOKUP(H45,[1]SEMIELABORADOS!$A$2:$M$6000,6,0),"")</f>
        <v/>
      </c>
      <c r="E45" s="73" t="str">
        <f>IFERROR(VLOOKUP(H45,[1]SEMIELABORADOS!$A$2:$M$65536,12,0),"")</f>
        <v/>
      </c>
      <c r="F45" s="73" t="str">
        <f t="shared" ref="F45:F50" si="15">IFERROR(E45*C45,"")</f>
        <v/>
      </c>
      <c r="G45" s="74" t="str">
        <f t="shared" ref="G45:G50" si="16">IFERROR(F45/$F$66,"")</f>
        <v/>
      </c>
      <c r="H45" s="78"/>
      <c r="I45" s="70"/>
      <c r="J45" s="76"/>
      <c r="M45" s="81"/>
    </row>
    <row r="46" spans="1:13" ht="13.5" hidden="1" x14ac:dyDescent="0.25">
      <c r="A46" s="71">
        <f t="shared" si="13"/>
        <v>0</v>
      </c>
      <c r="B46" s="77" t="str">
        <f>IFERROR(VLOOKUP(H46,[1]SEMIELABORADOS!$A$2:$M$6000,2,0),"")</f>
        <v/>
      </c>
      <c r="C46" s="72">
        <f t="shared" si="14"/>
        <v>0</v>
      </c>
      <c r="D46" s="73" t="str">
        <f>IFERROR(VLOOKUP(H46,[1]SEMIELABORADOS!$A$2:$M$6000,6,0),"")</f>
        <v/>
      </c>
      <c r="E46" s="73" t="str">
        <f>IFERROR(VLOOKUP(H46,[1]SEMIELABORADOS!$A$2:$M$65536,12,0),"")</f>
        <v/>
      </c>
      <c r="F46" s="73" t="str">
        <f t="shared" si="15"/>
        <v/>
      </c>
      <c r="G46" s="74" t="str">
        <f t="shared" si="16"/>
        <v/>
      </c>
      <c r="H46" s="78"/>
      <c r="I46" s="70"/>
      <c r="J46" s="76"/>
    </row>
    <row r="47" spans="1:13" ht="13.5" hidden="1" x14ac:dyDescent="0.25">
      <c r="A47" s="71">
        <f t="shared" si="13"/>
        <v>0</v>
      </c>
      <c r="B47" s="77" t="str">
        <f>IFERROR(VLOOKUP(H47,[1]SEMIELABORADOS!$A$2:$M$6000,2,0),"")</f>
        <v/>
      </c>
      <c r="C47" s="72">
        <f t="shared" si="14"/>
        <v>0</v>
      </c>
      <c r="D47" s="73" t="str">
        <f>IFERROR(VLOOKUP(H47,[1]SEMIELABORADOS!$A$2:$M$6000,6,0),"")</f>
        <v/>
      </c>
      <c r="E47" s="73" t="str">
        <f>IFERROR(VLOOKUP(H47,[1]SEMIELABORADOS!$A$2:$M$65536,12,0),"")</f>
        <v/>
      </c>
      <c r="F47" s="73" t="str">
        <f t="shared" si="15"/>
        <v/>
      </c>
      <c r="G47" s="74" t="str">
        <f t="shared" si="16"/>
        <v/>
      </c>
      <c r="H47" s="78"/>
      <c r="I47" s="70"/>
      <c r="J47" s="76"/>
    </row>
    <row r="48" spans="1:13" ht="13.5" hidden="1" x14ac:dyDescent="0.25">
      <c r="A48" s="71">
        <f t="shared" si="13"/>
        <v>0</v>
      </c>
      <c r="B48" s="77" t="str">
        <f>IFERROR(VLOOKUP(H48,[1]SEMIELABORADOS!$A$2:$M$6000,2,0),"")</f>
        <v/>
      </c>
      <c r="C48" s="72">
        <f t="shared" si="14"/>
        <v>0</v>
      </c>
      <c r="D48" s="73" t="str">
        <f>IFERROR(VLOOKUP(H48,[1]SEMIELABORADOS!$A$2:$M$6000,6,0),"")</f>
        <v/>
      </c>
      <c r="E48" s="73" t="str">
        <f>IFERROR(VLOOKUP(H48,[1]SEMIELABORADOS!$A$2:$M$65536,12,0),"")</f>
        <v/>
      </c>
      <c r="F48" s="73" t="str">
        <f t="shared" si="15"/>
        <v/>
      </c>
      <c r="G48" s="74" t="str">
        <f t="shared" si="16"/>
        <v/>
      </c>
      <c r="H48" s="78"/>
      <c r="I48" s="70"/>
      <c r="J48" s="76"/>
    </row>
    <row r="49" spans="1:17" ht="13.5" hidden="1" x14ac:dyDescent="0.25">
      <c r="A49" s="71">
        <f t="shared" si="13"/>
        <v>0</v>
      </c>
      <c r="B49" s="77" t="str">
        <f>IFERROR(VLOOKUP(H49,[1]SEMIELABORADOS!$A$2:$M$6000,2,0),"")</f>
        <v/>
      </c>
      <c r="C49" s="72">
        <f t="shared" si="14"/>
        <v>0</v>
      </c>
      <c r="D49" s="73" t="str">
        <f>IFERROR(VLOOKUP(H49,[1]SEMIELABORADOS!$A$2:$M$6000,6,0),"")</f>
        <v/>
      </c>
      <c r="E49" s="73" t="str">
        <f>IFERROR(VLOOKUP(H49,[1]SEMIELABORADOS!$A$2:$M$65536,12,0),"")</f>
        <v/>
      </c>
      <c r="F49" s="73" t="str">
        <f t="shared" si="15"/>
        <v/>
      </c>
      <c r="G49" s="74" t="str">
        <f t="shared" si="16"/>
        <v/>
      </c>
      <c r="H49" s="78"/>
      <c r="I49" s="70"/>
      <c r="J49" s="76"/>
    </row>
    <row r="50" spans="1:17" ht="13.5" hidden="1" x14ac:dyDescent="0.25">
      <c r="A50" s="71">
        <f t="shared" si="13"/>
        <v>0</v>
      </c>
      <c r="B50" s="77" t="str">
        <f>IFERROR(VLOOKUP(H50,[1]SEMIELABORADOS!$A$2:$M$6000,2,0),"")</f>
        <v/>
      </c>
      <c r="C50" s="72">
        <f t="shared" si="14"/>
        <v>0</v>
      </c>
      <c r="D50" s="73" t="str">
        <f>IFERROR(VLOOKUP(H50,[1]SEMIELABORADOS!$A$2:$M$6000,6,0),"")</f>
        <v/>
      </c>
      <c r="E50" s="73" t="str">
        <f>IFERROR(VLOOKUP(H50,[1]SEMIELABORADOS!$A$2:$M$65536,12,0),"")</f>
        <v/>
      </c>
      <c r="F50" s="73" t="str">
        <f t="shared" si="15"/>
        <v/>
      </c>
      <c r="G50" s="74" t="str">
        <f t="shared" si="16"/>
        <v/>
      </c>
      <c r="H50" s="77"/>
      <c r="I50" s="70"/>
      <c r="J50" s="76"/>
    </row>
    <row r="51" spans="1:17" ht="13.5" x14ac:dyDescent="0.25">
      <c r="A51" s="71">
        <v>1</v>
      </c>
      <c r="B51" s="77" t="s">
        <v>100</v>
      </c>
      <c r="C51" s="72">
        <f>+A51</f>
        <v>1</v>
      </c>
      <c r="D51" s="72" t="s">
        <v>101</v>
      </c>
      <c r="E51" s="73">
        <f>+F65</f>
        <v>1155</v>
      </c>
      <c r="F51" s="73">
        <f>IFERROR(C51*E51,"")</f>
        <v>1155</v>
      </c>
      <c r="G51" s="74">
        <f>IFERROR(F51/$F$66,"")</f>
        <v>1.5267881928379754E-2</v>
      </c>
      <c r="H51" s="82"/>
      <c r="I51" s="82"/>
      <c r="J51" s="76"/>
    </row>
    <row r="52" spans="1:17" ht="14.25" thickBot="1" x14ac:dyDescent="0.3">
      <c r="A52" s="71"/>
      <c r="B52" s="77"/>
      <c r="C52" s="72"/>
      <c r="D52" s="72"/>
      <c r="E52" s="73"/>
      <c r="F52" s="73"/>
      <c r="G52" s="74"/>
      <c r="H52" s="82"/>
      <c r="I52" s="82"/>
      <c r="J52" s="76"/>
    </row>
    <row r="53" spans="1:17" ht="13.5" thickBot="1" x14ac:dyDescent="0.3">
      <c r="A53" s="83"/>
      <c r="B53" s="619" t="s">
        <v>102</v>
      </c>
      <c r="C53" s="619"/>
      <c r="D53" s="619"/>
      <c r="E53" s="619"/>
      <c r="F53" s="85">
        <f>SUM(F8:F14,F17:F24)</f>
        <v>71400</v>
      </c>
      <c r="G53" s="74">
        <f>+F53/$F$66</f>
        <v>0.94383270102711203</v>
      </c>
      <c r="H53" s="86">
        <f>+F53/$D$60</f>
        <v>71400</v>
      </c>
      <c r="I53" s="86"/>
      <c r="J53" s="87"/>
      <c r="K53" s="88"/>
      <c r="L53" s="88"/>
      <c r="M53" s="88"/>
      <c r="N53" s="88"/>
      <c r="O53" s="88"/>
      <c r="P53" s="88"/>
      <c r="Q53" s="89"/>
    </row>
    <row r="54" spans="1:17" x14ac:dyDescent="0.2">
      <c r="A54" s="83"/>
      <c r="B54" s="619" t="s">
        <v>103</v>
      </c>
      <c r="C54" s="619"/>
      <c r="D54" s="619"/>
      <c r="E54" s="619"/>
      <c r="F54" s="85">
        <f>SUM(F27:F32,F35:F41)</f>
        <v>1666</v>
      </c>
      <c r="G54" s="74">
        <f>+F54/$F$66</f>
        <v>2.2022763023965948E-2</v>
      </c>
      <c r="H54" s="86">
        <f>+F54/$D$60</f>
        <v>1666</v>
      </c>
      <c r="I54" s="86"/>
      <c r="J54" s="90"/>
      <c r="K54" s="620" t="s">
        <v>104</v>
      </c>
      <c r="L54" s="621"/>
      <c r="M54" s="621"/>
      <c r="N54" s="621"/>
      <c r="O54" s="91">
        <f>+F55</f>
        <v>73066</v>
      </c>
      <c r="P54" s="91"/>
      <c r="Q54" s="92"/>
    </row>
    <row r="55" spans="1:17" x14ac:dyDescent="0.2">
      <c r="A55" s="83"/>
      <c r="B55" s="619" t="s">
        <v>105</v>
      </c>
      <c r="C55" s="619"/>
      <c r="D55" s="619"/>
      <c r="E55" s="619"/>
      <c r="F55" s="85">
        <f>+F53+F54</f>
        <v>73066</v>
      </c>
      <c r="G55" s="74">
        <f>+F55/$F$66</f>
        <v>0.96585546405107803</v>
      </c>
      <c r="H55" s="86">
        <f>+F55/$D$60</f>
        <v>73066</v>
      </c>
      <c r="I55" s="86"/>
      <c r="J55" s="93"/>
      <c r="K55" s="94"/>
      <c r="M55" s="95" t="s">
        <v>106</v>
      </c>
      <c r="N55" s="96"/>
      <c r="O55" s="91">
        <f>+H56</f>
        <v>1155</v>
      </c>
      <c r="P55" s="91"/>
      <c r="Q55" s="92"/>
    </row>
    <row r="56" spans="1:17" ht="13.5" thickBot="1" x14ac:dyDescent="0.25">
      <c r="A56" s="83"/>
      <c r="B56" s="84"/>
      <c r="C56" s="619" t="s">
        <v>107</v>
      </c>
      <c r="D56" s="619"/>
      <c r="E56" s="619"/>
      <c r="F56" s="85">
        <f>SUM(F44:F51)</f>
        <v>1155</v>
      </c>
      <c r="G56" s="74">
        <f>+F56/$F$66</f>
        <v>1.5267881928379754E-2</v>
      </c>
      <c r="H56" s="86">
        <f>+F56/$D$60</f>
        <v>1155</v>
      </c>
      <c r="I56" s="86"/>
      <c r="J56" s="93"/>
      <c r="K56" s="94"/>
      <c r="L56" s="94"/>
      <c r="M56" s="94" t="s">
        <v>108</v>
      </c>
      <c r="N56" s="97"/>
      <c r="O56" s="91">
        <f>O54*N56</f>
        <v>0</v>
      </c>
      <c r="P56" s="91"/>
      <c r="Q56" s="92"/>
    </row>
    <row r="57" spans="1:17" ht="13.5" thickBot="1" x14ac:dyDescent="0.25">
      <c r="A57" s="83"/>
      <c r="B57" s="98"/>
      <c r="C57" s="98"/>
      <c r="D57" s="98"/>
      <c r="E57" s="98"/>
      <c r="F57" s="99"/>
      <c r="G57" s="74"/>
      <c r="H57" s="100"/>
      <c r="I57" s="86"/>
      <c r="J57" s="93"/>
      <c r="K57" s="101"/>
      <c r="M57" s="102" t="s">
        <v>109</v>
      </c>
      <c r="N57" s="103"/>
      <c r="O57" s="104">
        <f>SUM(O54:O56)</f>
        <v>74221</v>
      </c>
      <c r="P57" s="105"/>
      <c r="Q57" s="92"/>
    </row>
    <row r="58" spans="1:17" x14ac:dyDescent="0.2">
      <c r="B58" s="622" t="s">
        <v>110</v>
      </c>
      <c r="C58" s="622"/>
      <c r="D58" s="106">
        <v>40000</v>
      </c>
      <c r="E58" s="107"/>
      <c r="G58" s="74"/>
      <c r="H58" s="100">
        <f>+H56/77</f>
        <v>15</v>
      </c>
      <c r="I58" s="108"/>
      <c r="J58" s="93"/>
      <c r="K58" s="101"/>
      <c r="L58" s="94"/>
      <c r="M58" s="94" t="s">
        <v>111</v>
      </c>
      <c r="N58" s="109"/>
      <c r="O58" s="91">
        <f>+H59</f>
        <v>1245</v>
      </c>
      <c r="P58" s="91"/>
      <c r="Q58" s="92"/>
    </row>
    <row r="59" spans="1:17" x14ac:dyDescent="0.2">
      <c r="B59" s="622" t="s">
        <v>112</v>
      </c>
      <c r="C59" s="622"/>
      <c r="D59" s="110">
        <v>40000</v>
      </c>
      <c r="E59" s="107"/>
      <c r="G59" s="74"/>
      <c r="H59" s="100">
        <f>+H58*83</f>
        <v>1245</v>
      </c>
      <c r="I59" s="108"/>
      <c r="J59" s="93"/>
      <c r="K59" s="101"/>
      <c r="L59" s="94"/>
      <c r="M59" s="623" t="s">
        <v>109</v>
      </c>
      <c r="N59" s="623"/>
      <c r="O59" s="91">
        <f>SUM(O57:O58)</f>
        <v>75466</v>
      </c>
      <c r="P59" s="91"/>
      <c r="Q59" s="92"/>
    </row>
    <row r="60" spans="1:17" ht="13.5" thickBot="1" x14ac:dyDescent="0.25">
      <c r="B60" s="614" t="s">
        <v>113</v>
      </c>
      <c r="C60" s="614"/>
      <c r="D60" s="106">
        <f>+D58/D59</f>
        <v>1</v>
      </c>
      <c r="E60" s="107"/>
      <c r="F60" s="111"/>
      <c r="G60" s="74"/>
      <c r="H60" s="100"/>
      <c r="I60" s="108"/>
      <c r="J60" s="93"/>
      <c r="K60" s="101"/>
      <c r="L60" s="623"/>
      <c r="M60" s="623"/>
      <c r="N60" s="109"/>
      <c r="O60" s="91">
        <f>+O59*N60</f>
        <v>0</v>
      </c>
      <c r="P60" s="91"/>
      <c r="Q60" s="92"/>
    </row>
    <row r="61" spans="1:17" ht="13.5" thickBot="1" x14ac:dyDescent="0.25">
      <c r="B61" s="614" t="s">
        <v>114</v>
      </c>
      <c r="C61" s="614"/>
      <c r="D61" s="112"/>
      <c r="E61" s="107"/>
      <c r="F61" s="111"/>
      <c r="G61" s="74"/>
      <c r="H61" s="100"/>
      <c r="I61" s="108"/>
      <c r="J61" s="93"/>
      <c r="K61" s="615" t="s">
        <v>115</v>
      </c>
      <c r="L61" s="616"/>
      <c r="M61" s="616"/>
      <c r="N61" s="617"/>
      <c r="O61" s="104">
        <f>SUM(O59:O60)</f>
        <v>75466</v>
      </c>
      <c r="P61" s="113" t="s">
        <v>116</v>
      </c>
      <c r="Q61" s="92"/>
    </row>
    <row r="62" spans="1:17" ht="13.5" thickBot="1" x14ac:dyDescent="0.25">
      <c r="C62" s="83" t="s">
        <v>117</v>
      </c>
      <c r="D62" s="114"/>
      <c r="E62" s="57" t="s">
        <v>118</v>
      </c>
      <c r="F62" s="115" t="s">
        <v>119</v>
      </c>
      <c r="G62" s="74"/>
      <c r="H62" s="100"/>
      <c r="I62" s="108"/>
      <c r="J62" s="116"/>
      <c r="K62" s="117"/>
      <c r="L62" s="603" t="s">
        <v>120</v>
      </c>
      <c r="M62" s="603"/>
      <c r="N62" s="603"/>
      <c r="O62" s="118">
        <f>+O61/D60</f>
        <v>75466</v>
      </c>
      <c r="P62" s="119">
        <f>+O62/D59</f>
        <v>1.8866499999999999</v>
      </c>
      <c r="Q62" s="120"/>
    </row>
    <row r="63" spans="1:17" ht="13.5" thickBot="1" x14ac:dyDescent="0.25">
      <c r="B63" s="604" t="s">
        <v>105</v>
      </c>
      <c r="C63" s="604"/>
      <c r="D63" s="604"/>
      <c r="E63" s="121">
        <f>+F63/F63</f>
        <v>1</v>
      </c>
      <c r="F63" s="122">
        <f>SUM(F55)</f>
        <v>73066</v>
      </c>
      <c r="G63" s="74">
        <f>+F63/$F$66</f>
        <v>0.96585546405107803</v>
      </c>
      <c r="H63" s="100"/>
      <c r="I63" s="108"/>
      <c r="K63" s="605"/>
      <c r="L63" s="606"/>
      <c r="M63" s="606"/>
      <c r="N63" s="606"/>
      <c r="O63" s="123"/>
      <c r="P63" s="124"/>
    </row>
    <row r="64" spans="1:17" ht="13.5" thickBot="1" x14ac:dyDescent="0.3">
      <c r="B64" s="607" t="s">
        <v>121</v>
      </c>
      <c r="C64" s="607"/>
      <c r="D64" s="607"/>
      <c r="E64" s="125">
        <v>0.02</v>
      </c>
      <c r="F64" s="122">
        <f>+F53*E64</f>
        <v>1428</v>
      </c>
      <c r="G64" s="74">
        <f>+F64/$F$66</f>
        <v>1.8876654020542241E-2</v>
      </c>
      <c r="H64" s="86"/>
      <c r="I64" s="108"/>
      <c r="J64" s="126"/>
      <c r="O64" s="127"/>
      <c r="P64" s="84"/>
    </row>
    <row r="65" spans="2:13" ht="13.5" thickBot="1" x14ac:dyDescent="0.3">
      <c r="B65" s="608" t="s">
        <v>122</v>
      </c>
      <c r="C65" s="609"/>
      <c r="D65" s="128">
        <v>15</v>
      </c>
      <c r="E65" s="129">
        <v>77</v>
      </c>
      <c r="F65" s="122">
        <f>+E65*D65</f>
        <v>1155</v>
      </c>
      <c r="G65" s="74">
        <f>+F65/$F$66</f>
        <v>1.5267881928379754E-2</v>
      </c>
      <c r="H65" s="86"/>
      <c r="I65" s="86"/>
      <c r="J65" s="76"/>
    </row>
    <row r="66" spans="2:13" ht="13.5" thickBot="1" x14ac:dyDescent="0.3">
      <c r="B66" s="610" t="s">
        <v>123</v>
      </c>
      <c r="C66" s="611"/>
      <c r="D66" s="611"/>
      <c r="E66" s="612"/>
      <c r="F66" s="99">
        <f>SUM(F63:F65)</f>
        <v>75649</v>
      </c>
      <c r="G66" s="74">
        <f>+F66/$F$66</f>
        <v>1</v>
      </c>
      <c r="H66" s="613"/>
      <c r="I66" s="86"/>
      <c r="J66" s="76"/>
      <c r="M66" s="59" t="s">
        <v>124</v>
      </c>
    </row>
    <row r="67" spans="2:13" x14ac:dyDescent="0.25">
      <c r="C67" s="81"/>
      <c r="D67" s="81"/>
      <c r="E67" s="131"/>
      <c r="F67" s="122"/>
      <c r="G67" s="74"/>
      <c r="H67" s="613"/>
      <c r="I67" s="130"/>
      <c r="J67" s="59"/>
      <c r="M67" s="59" t="s">
        <v>125</v>
      </c>
    </row>
    <row r="68" spans="2:13" ht="13.5" thickBot="1" x14ac:dyDescent="0.3">
      <c r="B68" s="598" t="s">
        <v>126</v>
      </c>
      <c r="C68" s="598"/>
      <c r="D68" s="598"/>
      <c r="E68" s="598"/>
      <c r="F68" s="598"/>
      <c r="G68" s="74"/>
      <c r="H68" s="133"/>
      <c r="I68" s="130"/>
      <c r="J68" s="59"/>
      <c r="M68" s="59" t="s">
        <v>127</v>
      </c>
    </row>
    <row r="69" spans="2:13" ht="13.5" thickBot="1" x14ac:dyDescent="0.3">
      <c r="B69" s="134" t="s">
        <v>128</v>
      </c>
      <c r="C69" s="135">
        <f>+F53</f>
        <v>71400</v>
      </c>
      <c r="D69" s="135">
        <f>+D58</f>
        <v>40000</v>
      </c>
      <c r="E69" s="136">
        <f>+C69/D69</f>
        <v>1.7849999999999999</v>
      </c>
      <c r="F69" s="74"/>
      <c r="G69" s="133"/>
      <c r="H69" s="76"/>
      <c r="I69" s="133"/>
      <c r="J69" s="59"/>
    </row>
    <row r="70" spans="2:13" x14ac:dyDescent="0.25">
      <c r="B70" s="137"/>
      <c r="C70" s="138"/>
      <c r="D70" s="139"/>
      <c r="E70" s="122"/>
      <c r="F70" s="74"/>
      <c r="G70" s="133"/>
      <c r="H70" s="76"/>
      <c r="I70" s="76"/>
      <c r="J70" s="59"/>
    </row>
    <row r="71" spans="2:13" x14ac:dyDescent="0.25">
      <c r="B71" s="134" t="s">
        <v>129</v>
      </c>
      <c r="C71" s="135">
        <f>SUM(F63:F64)</f>
        <v>74494</v>
      </c>
      <c r="D71" s="135">
        <f>+D58</f>
        <v>40000</v>
      </c>
      <c r="E71" s="140">
        <f>+C71/D71</f>
        <v>1.8623499999999999</v>
      </c>
      <c r="F71" s="74"/>
      <c r="G71" s="133"/>
      <c r="H71" s="76"/>
      <c r="I71" s="76"/>
      <c r="J71" s="59"/>
    </row>
    <row r="72" spans="2:13" x14ac:dyDescent="0.25">
      <c r="B72" s="134"/>
      <c r="C72" s="135"/>
      <c r="D72" s="135"/>
      <c r="E72" s="140"/>
      <c r="F72" s="74"/>
      <c r="G72" s="133"/>
      <c r="H72" s="76"/>
      <c r="I72" s="76"/>
      <c r="J72" s="59"/>
    </row>
    <row r="73" spans="2:13" ht="13.5" thickBot="1" x14ac:dyDescent="0.3">
      <c r="B73" s="134" t="s">
        <v>130</v>
      </c>
      <c r="C73" s="135">
        <f>+F65</f>
        <v>1155</v>
      </c>
      <c r="D73" s="135">
        <f>+D58</f>
        <v>40000</v>
      </c>
      <c r="E73" s="140">
        <f>+C73/D73</f>
        <v>2.8875000000000001E-2</v>
      </c>
      <c r="F73" s="74"/>
      <c r="G73" s="133"/>
      <c r="H73" s="76"/>
      <c r="I73" s="76"/>
      <c r="J73" s="59"/>
    </row>
    <row r="74" spans="2:13" ht="13.5" thickBot="1" x14ac:dyDescent="0.3">
      <c r="B74" s="134" t="s">
        <v>131</v>
      </c>
      <c r="C74" s="135">
        <f>+F56</f>
        <v>1155</v>
      </c>
      <c r="D74" s="135">
        <f>+D73</f>
        <v>40000</v>
      </c>
      <c r="E74" s="136">
        <f>+C74/D74</f>
        <v>2.8875000000000001E-2</v>
      </c>
      <c r="F74" s="74"/>
      <c r="G74" s="133"/>
      <c r="H74" s="76"/>
      <c r="I74" s="76"/>
      <c r="J74" s="59"/>
    </row>
    <row r="75" spans="2:13" ht="13.5" thickBot="1" x14ac:dyDescent="0.3">
      <c r="B75" s="98"/>
      <c r="C75" s="99"/>
      <c r="D75" s="99"/>
      <c r="E75" s="140"/>
      <c r="F75" s="74"/>
      <c r="G75" s="133"/>
      <c r="H75" s="76"/>
      <c r="I75" s="76"/>
      <c r="J75" s="59"/>
    </row>
    <row r="76" spans="2:13" ht="13.5" thickBot="1" x14ac:dyDescent="0.3">
      <c r="B76" s="134" t="s">
        <v>132</v>
      </c>
      <c r="C76" s="135">
        <f>+F54</f>
        <v>1666</v>
      </c>
      <c r="D76" s="135">
        <f>+D74</f>
        <v>40000</v>
      </c>
      <c r="E76" s="136">
        <f>+C76/D76</f>
        <v>4.165E-2</v>
      </c>
      <c r="F76" s="74"/>
      <c r="G76" s="133"/>
      <c r="H76" s="76"/>
      <c r="I76" s="76"/>
      <c r="J76" s="76"/>
    </row>
    <row r="77" spans="2:13" ht="13.5" thickBot="1" x14ac:dyDescent="0.3">
      <c r="B77" s="98"/>
      <c r="C77" s="99"/>
      <c r="D77" s="99"/>
      <c r="E77" s="140"/>
      <c r="F77" s="74"/>
      <c r="G77" s="133"/>
      <c r="H77" s="76"/>
      <c r="I77" s="76"/>
    </row>
    <row r="78" spans="2:13" ht="13.5" thickBot="1" x14ac:dyDescent="0.3">
      <c r="B78" s="599" t="s">
        <v>133</v>
      </c>
      <c r="C78" s="600"/>
      <c r="D78" s="601"/>
      <c r="E78" s="136">
        <f>+E69+E74</f>
        <v>1.8138749999999999</v>
      </c>
      <c r="G78" s="74"/>
      <c r="H78" s="133"/>
      <c r="I78" s="76"/>
      <c r="J78" s="140"/>
    </row>
    <row r="79" spans="2:13" x14ac:dyDescent="0.25">
      <c r="I79" s="133"/>
      <c r="J79" s="59"/>
    </row>
    <row r="80" spans="2:13" ht="13.5" thickBot="1" x14ac:dyDescent="0.3">
      <c r="B80" s="598" t="s">
        <v>134</v>
      </c>
      <c r="C80" s="598"/>
      <c r="D80" s="598"/>
      <c r="E80" s="598"/>
      <c r="F80" s="598"/>
      <c r="G80" s="74"/>
      <c r="H80" s="133"/>
      <c r="J80" s="59"/>
    </row>
    <row r="81" spans="1:10" ht="13.5" thickBot="1" x14ac:dyDescent="0.3">
      <c r="B81" s="134" t="s">
        <v>128</v>
      </c>
      <c r="C81" s="135">
        <f>+C69</f>
        <v>71400</v>
      </c>
      <c r="D81" s="135">
        <f>+D60</f>
        <v>1</v>
      </c>
      <c r="E81" s="136">
        <f>+C81/D81</f>
        <v>71400</v>
      </c>
      <c r="F81" s="74"/>
      <c r="G81" s="133"/>
      <c r="H81" s="76"/>
      <c r="I81" s="133"/>
      <c r="J81" s="59"/>
    </row>
    <row r="82" spans="1:10" x14ac:dyDescent="0.25">
      <c r="B82" s="137"/>
      <c r="C82" s="138"/>
      <c r="D82" s="139"/>
      <c r="E82" s="122"/>
      <c r="F82" s="74"/>
      <c r="G82" s="133"/>
      <c r="H82" s="76"/>
      <c r="I82" s="76"/>
      <c r="J82" s="59"/>
    </row>
    <row r="83" spans="1:10" x14ac:dyDescent="0.25">
      <c r="B83" s="134" t="s">
        <v>129</v>
      </c>
      <c r="C83" s="135">
        <f>+C71</f>
        <v>74494</v>
      </c>
      <c r="D83" s="135">
        <f>+D60</f>
        <v>1</v>
      </c>
      <c r="E83" s="140">
        <f>+C83/D83</f>
        <v>74494</v>
      </c>
      <c r="F83" s="74"/>
      <c r="G83" s="133"/>
      <c r="H83" s="76"/>
      <c r="I83" s="76"/>
      <c r="J83" s="59"/>
    </row>
    <row r="84" spans="1:10" x14ac:dyDescent="0.25">
      <c r="B84" s="134"/>
      <c r="C84" s="135"/>
      <c r="D84" s="135"/>
      <c r="E84" s="140"/>
      <c r="F84" s="74"/>
      <c r="G84" s="133"/>
      <c r="H84" s="76"/>
      <c r="I84" s="76"/>
      <c r="J84" s="59"/>
    </row>
    <row r="85" spans="1:10" ht="13.5" thickBot="1" x14ac:dyDescent="0.3">
      <c r="B85" s="134" t="s">
        <v>131</v>
      </c>
      <c r="C85" s="135">
        <f>+C73</f>
        <v>1155</v>
      </c>
      <c r="D85" s="135">
        <f>+D60</f>
        <v>1</v>
      </c>
      <c r="E85" s="140">
        <f>+C85/D85</f>
        <v>1155</v>
      </c>
      <c r="F85" s="142"/>
      <c r="G85" s="132"/>
      <c r="H85" s="58"/>
      <c r="I85" s="76"/>
    </row>
    <row r="86" spans="1:10" ht="13.5" thickBot="1" x14ac:dyDescent="0.3">
      <c r="B86" s="134" t="s">
        <v>131</v>
      </c>
      <c r="C86" s="135">
        <f>+C74</f>
        <v>1155</v>
      </c>
      <c r="D86" s="135">
        <f>+D85</f>
        <v>1</v>
      </c>
      <c r="E86" s="136">
        <f>+C86/D86</f>
        <v>1155</v>
      </c>
      <c r="F86" s="141"/>
      <c r="G86" s="132"/>
      <c r="H86" s="58"/>
      <c r="I86" s="58"/>
    </row>
    <row r="87" spans="1:10" x14ac:dyDescent="0.25">
      <c r="I87" s="58"/>
    </row>
    <row r="88" spans="1:10" x14ac:dyDescent="0.2">
      <c r="A88" s="602"/>
      <c r="B88" s="602"/>
      <c r="C88" s="143"/>
      <c r="D88" s="143"/>
      <c r="E88" s="144"/>
      <c r="G88" s="145"/>
    </row>
    <row r="89" spans="1:10" x14ac:dyDescent="0.2">
      <c r="A89" s="77"/>
      <c r="B89" s="146"/>
      <c r="C89" s="147"/>
      <c r="D89" s="147"/>
      <c r="E89" s="148"/>
      <c r="G89" s="145"/>
    </row>
    <row r="90" spans="1:10" x14ac:dyDescent="0.2">
      <c r="A90" s="77"/>
      <c r="B90" s="146"/>
      <c r="C90" s="149"/>
      <c r="D90" s="149"/>
      <c r="E90" s="77"/>
      <c r="G90" s="145"/>
    </row>
    <row r="91" spans="1:10" x14ac:dyDescent="0.2">
      <c r="A91" s="77"/>
      <c r="B91" s="146"/>
      <c r="C91" s="150"/>
      <c r="D91" s="150"/>
      <c r="E91" s="77"/>
      <c r="G91" s="14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9526-FBEF-4892-A51F-B021951F9201}">
  <dimension ref="A1:I55"/>
  <sheetViews>
    <sheetView zoomScale="70" zoomScaleNormal="70" workbookViewId="0">
      <selection activeCell="G20" sqref="G2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28515625" bestFit="1" customWidth="1"/>
  </cols>
  <sheetData>
    <row r="1" spans="1:9" ht="15.75" x14ac:dyDescent="0.25">
      <c r="A1" s="638"/>
      <c r="B1" s="639"/>
      <c r="C1" s="644" t="s">
        <v>0</v>
      </c>
      <c r="D1" s="644"/>
      <c r="E1" s="644"/>
      <c r="F1" s="644"/>
      <c r="G1" s="644"/>
      <c r="H1" s="151" t="s">
        <v>1</v>
      </c>
      <c r="I1" s="152" t="s">
        <v>151</v>
      </c>
    </row>
    <row r="2" spans="1:9" ht="18" customHeight="1" thickBot="1" x14ac:dyDescent="0.3">
      <c r="A2" s="640"/>
      <c r="B2" s="641"/>
      <c r="C2" s="645" t="s">
        <v>2</v>
      </c>
      <c r="D2" s="646"/>
      <c r="E2" s="646"/>
      <c r="F2" s="646"/>
      <c r="G2" s="647"/>
      <c r="H2" s="153" t="s">
        <v>3</v>
      </c>
      <c r="I2" s="154" t="s">
        <v>152</v>
      </c>
    </row>
    <row r="3" spans="1:9" ht="31.5" customHeight="1" thickBot="1" x14ac:dyDescent="0.3">
      <c r="A3" s="640"/>
      <c r="B3" s="641"/>
      <c r="C3" s="778" t="s">
        <v>153</v>
      </c>
      <c r="D3" s="779"/>
      <c r="E3" s="779"/>
      <c r="F3" s="779"/>
      <c r="G3" s="780"/>
      <c r="H3" s="651" t="s">
        <v>4</v>
      </c>
      <c r="I3" s="629">
        <v>45616</v>
      </c>
    </row>
    <row r="4" spans="1:9" ht="18" customHeight="1" x14ac:dyDescent="0.25">
      <c r="A4" s="640"/>
      <c r="B4" s="641"/>
      <c r="C4" s="155" t="s">
        <v>5</v>
      </c>
      <c r="D4" s="632" t="s">
        <v>154</v>
      </c>
      <c r="E4" s="633"/>
      <c r="F4" s="633"/>
      <c r="G4" s="634"/>
      <c r="H4" s="652"/>
      <c r="I4" s="630"/>
    </row>
    <row r="5" spans="1:9" ht="15.75" thickBot="1" x14ac:dyDescent="0.3">
      <c r="A5" s="642"/>
      <c r="B5" s="643"/>
      <c r="C5" s="156" t="s">
        <v>7</v>
      </c>
      <c r="D5" s="635" t="s">
        <v>8</v>
      </c>
      <c r="E5" s="636"/>
      <c r="F5" s="636"/>
      <c r="G5" s="637"/>
      <c r="H5" s="653"/>
      <c r="I5" s="631"/>
    </row>
    <row r="6" spans="1:9" ht="18.75" thickBot="1" x14ac:dyDescent="0.3">
      <c r="A6" s="654" t="s">
        <v>9</v>
      </c>
      <c r="B6" s="654"/>
      <c r="C6" s="654"/>
      <c r="D6" s="709" t="s">
        <v>155</v>
      </c>
      <c r="E6" s="709"/>
      <c r="F6" s="709"/>
      <c r="G6" s="656" t="s">
        <v>11</v>
      </c>
      <c r="H6" s="656"/>
      <c r="I6" s="157" t="s">
        <v>155</v>
      </c>
    </row>
    <row r="7" spans="1:9" x14ac:dyDescent="0.25">
      <c r="A7" s="657" t="s">
        <v>12</v>
      </c>
      <c r="B7" s="659" t="s">
        <v>13</v>
      </c>
      <c r="C7" s="661" t="s">
        <v>14</v>
      </c>
      <c r="D7" s="661" t="s">
        <v>15</v>
      </c>
      <c r="E7" s="661" t="s">
        <v>16</v>
      </c>
      <c r="F7" s="661"/>
      <c r="G7" s="661" t="s">
        <v>17</v>
      </c>
      <c r="H7" s="661"/>
      <c r="I7" s="158" t="s">
        <v>18</v>
      </c>
    </row>
    <row r="8" spans="1:9" ht="27" thickBot="1" x14ac:dyDescent="0.3">
      <c r="A8" s="710"/>
      <c r="B8" s="711"/>
      <c r="C8" s="712"/>
      <c r="D8" s="712"/>
      <c r="E8" s="159" t="s">
        <v>19</v>
      </c>
      <c r="F8" s="160" t="s">
        <v>20</v>
      </c>
      <c r="G8" s="159" t="s">
        <v>19</v>
      </c>
      <c r="H8" s="160" t="s">
        <v>20</v>
      </c>
      <c r="I8" s="161" t="s">
        <v>21</v>
      </c>
    </row>
    <row r="9" spans="1:9" ht="18.600000000000001" customHeight="1" x14ac:dyDescent="0.25">
      <c r="A9" s="162"/>
      <c r="B9" s="163"/>
      <c r="C9" s="164" t="s">
        <v>22</v>
      </c>
      <c r="D9" s="165"/>
      <c r="E9" s="166"/>
      <c r="F9" s="167"/>
      <c r="G9" s="166"/>
      <c r="H9" s="167"/>
      <c r="I9" s="168"/>
    </row>
    <row r="10" spans="1:9" ht="18" customHeight="1" x14ac:dyDescent="0.25">
      <c r="A10" s="169">
        <v>510215</v>
      </c>
      <c r="B10" s="170" t="s">
        <v>156</v>
      </c>
      <c r="C10" s="171" t="s">
        <v>157</v>
      </c>
      <c r="D10" s="172" t="s">
        <v>158</v>
      </c>
      <c r="E10" s="173">
        <v>5000</v>
      </c>
      <c r="F10" s="174" t="s">
        <v>25</v>
      </c>
      <c r="G10" s="175"/>
      <c r="H10" s="176"/>
      <c r="I10" s="168"/>
    </row>
    <row r="11" spans="1:9" x14ac:dyDescent="0.25">
      <c r="A11" s="169"/>
      <c r="B11" s="177"/>
      <c r="C11" s="171"/>
      <c r="D11" s="172"/>
      <c r="E11" s="173"/>
      <c r="F11" s="174"/>
      <c r="G11" s="175"/>
      <c r="H11" s="176"/>
      <c r="I11" s="168"/>
    </row>
    <row r="12" spans="1:9" x14ac:dyDescent="0.25">
      <c r="A12" s="178"/>
      <c r="B12" s="179"/>
      <c r="C12" s="180"/>
      <c r="D12" s="181"/>
      <c r="E12" s="173"/>
      <c r="F12" s="174"/>
      <c r="G12" s="182"/>
      <c r="H12" s="176"/>
      <c r="I12" s="168"/>
    </row>
    <row r="13" spans="1:9" ht="15.75" x14ac:dyDescent="0.25">
      <c r="A13" s="177"/>
      <c r="B13" s="177"/>
      <c r="C13" s="183"/>
      <c r="D13" s="184"/>
      <c r="E13" s="184"/>
      <c r="F13" s="184"/>
      <c r="G13" s="182"/>
      <c r="H13" s="176"/>
      <c r="I13" s="168"/>
    </row>
    <row r="14" spans="1:9" ht="15.75" x14ac:dyDescent="0.25">
      <c r="A14" s="185"/>
      <c r="B14" s="185"/>
      <c r="C14" s="186"/>
      <c r="D14" s="184"/>
      <c r="E14" s="184"/>
      <c r="F14" s="184"/>
      <c r="G14" s="182"/>
      <c r="H14" s="176"/>
      <c r="I14" s="168"/>
    </row>
    <row r="15" spans="1:9" ht="15.75" x14ac:dyDescent="0.25">
      <c r="A15" s="177"/>
      <c r="B15" s="177"/>
      <c r="C15" s="187"/>
      <c r="D15" s="184"/>
      <c r="E15" s="184"/>
      <c r="F15" s="184"/>
      <c r="G15" s="182"/>
      <c r="H15" s="176"/>
      <c r="I15" s="168"/>
    </row>
    <row r="16" spans="1:9" ht="15.75" x14ac:dyDescent="0.25">
      <c r="A16" s="177"/>
      <c r="B16" s="177"/>
      <c r="C16" s="187"/>
      <c r="D16" s="184"/>
      <c r="E16" s="184"/>
      <c r="F16" s="184"/>
      <c r="G16" s="182"/>
      <c r="H16" s="176"/>
      <c r="I16" s="168"/>
    </row>
    <row r="17" spans="1:9" ht="15.75" x14ac:dyDescent="0.25">
      <c r="A17" s="188"/>
      <c r="B17" s="189"/>
      <c r="C17" s="190" t="s">
        <v>27</v>
      </c>
      <c r="D17" s="184"/>
      <c r="E17" s="184"/>
      <c r="F17" s="184"/>
      <c r="G17" s="182"/>
      <c r="H17" s="176"/>
      <c r="I17" s="168"/>
    </row>
    <row r="18" spans="1:9" x14ac:dyDescent="0.25">
      <c r="A18" s="191"/>
      <c r="B18" s="177"/>
      <c r="C18" s="187"/>
      <c r="D18" s="192"/>
      <c r="E18" s="192"/>
      <c r="F18" s="192"/>
      <c r="G18" s="166"/>
      <c r="H18" s="176"/>
      <c r="I18" s="168"/>
    </row>
    <row r="19" spans="1:9" ht="15.75" x14ac:dyDescent="0.25">
      <c r="A19" s="188"/>
      <c r="B19" s="189"/>
      <c r="C19" s="190"/>
      <c r="D19" s="193"/>
      <c r="E19" s="194"/>
      <c r="F19" s="195"/>
      <c r="G19" s="166"/>
      <c r="H19" s="176"/>
      <c r="I19" s="168"/>
    </row>
    <row r="20" spans="1:9" x14ac:dyDescent="0.25">
      <c r="A20" s="196"/>
      <c r="B20" s="197"/>
      <c r="C20" s="198"/>
      <c r="D20" s="199"/>
      <c r="E20" s="200"/>
      <c r="F20" s="201"/>
      <c r="G20" s="166"/>
      <c r="H20" s="176"/>
      <c r="I20" s="168"/>
    </row>
    <row r="21" spans="1:9" x14ac:dyDescent="0.25">
      <c r="A21" s="196"/>
      <c r="B21" s="197"/>
      <c r="C21" s="198"/>
      <c r="D21" s="199"/>
      <c r="E21" s="202"/>
      <c r="F21" s="201"/>
      <c r="G21" s="166"/>
      <c r="H21" s="167"/>
      <c r="I21" s="168"/>
    </row>
    <row r="22" spans="1:9" x14ac:dyDescent="0.25">
      <c r="A22" s="196"/>
      <c r="B22" s="197"/>
      <c r="C22" s="198"/>
      <c r="D22" s="199"/>
      <c r="E22" s="200"/>
      <c r="F22" s="201"/>
      <c r="G22" s="166"/>
      <c r="H22" s="167"/>
      <c r="I22" s="168"/>
    </row>
    <row r="23" spans="1:9" x14ac:dyDescent="0.25">
      <c r="A23" s="196"/>
      <c r="B23" s="197"/>
      <c r="C23" s="198"/>
      <c r="D23" s="199"/>
      <c r="E23" s="203"/>
      <c r="F23" s="204"/>
      <c r="G23" s="166"/>
      <c r="H23" s="167"/>
      <c r="I23" s="168"/>
    </row>
    <row r="24" spans="1:9" x14ac:dyDescent="0.25">
      <c r="A24" s="177"/>
      <c r="B24" s="177"/>
      <c r="C24" s="187"/>
      <c r="D24" s="205"/>
      <c r="E24" s="206"/>
      <c r="F24" s="207"/>
      <c r="G24" s="166"/>
      <c r="H24" s="167"/>
      <c r="I24" s="168"/>
    </row>
    <row r="25" spans="1:9" ht="15.75" x14ac:dyDescent="0.25">
      <c r="A25" s="208"/>
      <c r="B25" s="209"/>
      <c r="C25" s="210" t="s">
        <v>28</v>
      </c>
      <c r="D25" s="211"/>
      <c r="E25" s="212"/>
      <c r="F25" s="167"/>
      <c r="G25" s="166"/>
      <c r="I25" s="168"/>
    </row>
    <row r="26" spans="1:9" x14ac:dyDescent="0.25">
      <c r="A26" s="213"/>
      <c r="B26" s="214"/>
      <c r="C26" s="215"/>
      <c r="D26" s="216"/>
      <c r="E26" s="217"/>
      <c r="F26" s="218"/>
      <c r="G26" s="219"/>
      <c r="H26" s="167"/>
      <c r="I26" s="168"/>
    </row>
    <row r="27" spans="1:9" x14ac:dyDescent="0.25">
      <c r="A27" s="213" t="s">
        <v>159</v>
      </c>
      <c r="B27" s="214" t="s">
        <v>160</v>
      </c>
      <c r="C27" s="215" t="s">
        <v>161</v>
      </c>
      <c r="D27" s="216" t="s">
        <v>162</v>
      </c>
      <c r="E27" s="217">
        <v>1</v>
      </c>
      <c r="F27" s="218" t="s">
        <v>30</v>
      </c>
      <c r="G27" s="219"/>
      <c r="H27" s="167"/>
      <c r="I27" s="168"/>
    </row>
    <row r="28" spans="1:9" x14ac:dyDescent="0.25">
      <c r="A28" s="220" t="s">
        <v>146</v>
      </c>
      <c r="B28" s="221" t="s">
        <v>31</v>
      </c>
      <c r="C28" s="222" t="s">
        <v>163</v>
      </c>
      <c r="D28" s="216" t="s">
        <v>164</v>
      </c>
      <c r="E28" s="217">
        <v>1</v>
      </c>
      <c r="F28" s="218" t="s">
        <v>30</v>
      </c>
      <c r="G28" s="219"/>
      <c r="H28" s="167"/>
      <c r="I28" s="168"/>
    </row>
    <row r="29" spans="1:9" x14ac:dyDescent="0.25">
      <c r="A29" s="223" t="s">
        <v>165</v>
      </c>
      <c r="B29" s="223" t="s">
        <v>166</v>
      </c>
      <c r="C29" s="224" t="s">
        <v>167</v>
      </c>
      <c r="D29" s="216" t="s">
        <v>164</v>
      </c>
      <c r="E29" s="217">
        <v>1</v>
      </c>
      <c r="F29" s="218" t="s">
        <v>30</v>
      </c>
      <c r="G29" s="166"/>
      <c r="H29" s="167"/>
      <c r="I29" s="168"/>
    </row>
    <row r="30" spans="1:9" x14ac:dyDescent="0.25">
      <c r="A30" s="223"/>
      <c r="B30" s="223"/>
      <c r="C30" s="224"/>
      <c r="D30" s="216"/>
      <c r="E30" s="217"/>
      <c r="F30" s="218"/>
      <c r="G30" s="166"/>
      <c r="H30" s="167"/>
      <c r="I30" s="168"/>
    </row>
    <row r="31" spans="1:9" x14ac:dyDescent="0.25">
      <c r="A31" s="223"/>
      <c r="B31" s="223"/>
      <c r="C31" s="224"/>
      <c r="D31" s="216"/>
      <c r="E31" s="217"/>
      <c r="F31" s="218"/>
      <c r="G31" s="225"/>
      <c r="H31" s="167"/>
      <c r="I31" s="168"/>
    </row>
    <row r="32" spans="1:9" ht="15.75" x14ac:dyDescent="0.25">
      <c r="A32" s="223"/>
      <c r="B32" s="223"/>
      <c r="C32" s="224"/>
      <c r="D32" s="184"/>
      <c r="E32" s="217"/>
      <c r="F32" s="218"/>
      <c r="G32" s="226"/>
      <c r="H32" s="167"/>
      <c r="I32" s="168"/>
    </row>
    <row r="33" spans="1:9" x14ac:dyDescent="0.25">
      <c r="A33" s="227"/>
      <c r="B33" s="227"/>
      <c r="C33" s="228"/>
      <c r="D33" s="216"/>
      <c r="E33" s="207"/>
      <c r="F33" s="207"/>
      <c r="G33" s="226"/>
      <c r="H33" s="167"/>
      <c r="I33" s="168"/>
    </row>
    <row r="34" spans="1:9" x14ac:dyDescent="0.25">
      <c r="A34" s="229"/>
      <c r="B34" s="177"/>
      <c r="C34" s="230"/>
      <c r="D34" s="231"/>
      <c r="E34" s="206"/>
      <c r="F34" s="182"/>
      <c r="G34" s="226"/>
      <c r="H34" s="167"/>
      <c r="I34" s="168"/>
    </row>
    <row r="35" spans="1:9" ht="15.75" x14ac:dyDescent="0.25">
      <c r="A35" s="223"/>
      <c r="B35" s="223"/>
      <c r="C35" s="224"/>
      <c r="D35" s="216"/>
      <c r="E35" s="206"/>
      <c r="F35" s="182"/>
      <c r="G35" s="232"/>
      <c r="H35" s="167"/>
      <c r="I35" s="168"/>
    </row>
    <row r="36" spans="1:9" ht="15.75" x14ac:dyDescent="0.25">
      <c r="A36" s="188"/>
      <c r="B36" s="189"/>
      <c r="C36" s="233"/>
      <c r="D36" s="193"/>
      <c r="E36" s="193"/>
      <c r="F36" s="195"/>
      <c r="G36" s="234"/>
      <c r="H36" s="234"/>
      <c r="I36" s="168"/>
    </row>
    <row r="37" spans="1:9" ht="15.75" thickBot="1" x14ac:dyDescent="0.3">
      <c r="A37" s="235"/>
      <c r="B37" s="236"/>
      <c r="C37" s="237"/>
      <c r="D37" s="237"/>
      <c r="E37" s="238"/>
      <c r="F37" s="239"/>
      <c r="G37" s="237"/>
      <c r="H37" s="237"/>
      <c r="I37" s="240"/>
    </row>
    <row r="38" spans="1:9" ht="15.75" thickBot="1" x14ac:dyDescent="0.3">
      <c r="A38" s="241"/>
      <c r="B38" s="242"/>
      <c r="C38" s="243"/>
      <c r="D38" s="244" t="s">
        <v>19</v>
      </c>
      <c r="E38" s="245" t="s">
        <v>35</v>
      </c>
      <c r="F38" s="246"/>
      <c r="G38" s="243"/>
      <c r="H38" s="243"/>
      <c r="I38" s="247"/>
    </row>
    <row r="39" spans="1:9" x14ac:dyDescent="0.25">
      <c r="A39" s="713" t="s">
        <v>38</v>
      </c>
      <c r="B39" s="714"/>
      <c r="C39" s="715"/>
      <c r="D39" s="248">
        <v>5000</v>
      </c>
      <c r="E39" s="249" t="s">
        <v>25</v>
      </c>
      <c r="F39" s="716" t="s">
        <v>39</v>
      </c>
      <c r="G39" s="716"/>
      <c r="H39" s="717"/>
      <c r="I39" s="718"/>
    </row>
    <row r="40" spans="1:9" x14ac:dyDescent="0.25">
      <c r="A40" s="719" t="s">
        <v>40</v>
      </c>
      <c r="B40" s="720"/>
      <c r="C40" s="721"/>
      <c r="D40" s="206">
        <v>1</v>
      </c>
      <c r="E40" s="182" t="s">
        <v>41</v>
      </c>
      <c r="F40" s="722" t="s">
        <v>42</v>
      </c>
      <c r="G40" s="722"/>
      <c r="H40" s="723"/>
      <c r="I40" s="724"/>
    </row>
    <row r="41" spans="1:9" x14ac:dyDescent="0.25">
      <c r="A41" s="719" t="s">
        <v>43</v>
      </c>
      <c r="B41" s="720"/>
      <c r="C41" s="721"/>
      <c r="D41" s="206">
        <v>1</v>
      </c>
      <c r="E41" s="182" t="s">
        <v>30</v>
      </c>
      <c r="F41" s="722" t="s">
        <v>44</v>
      </c>
      <c r="G41" s="722"/>
      <c r="H41" s="723"/>
      <c r="I41" s="724"/>
    </row>
    <row r="42" spans="1:9" x14ac:dyDescent="0.25">
      <c r="A42" s="719" t="s">
        <v>45</v>
      </c>
      <c r="B42" s="720"/>
      <c r="C42" s="721"/>
      <c r="D42" s="206">
        <v>5000</v>
      </c>
      <c r="E42" s="182" t="s">
        <v>25</v>
      </c>
      <c r="F42" s="728" t="s">
        <v>46</v>
      </c>
      <c r="G42" s="729"/>
      <c r="H42" s="760"/>
      <c r="I42" s="761"/>
    </row>
    <row r="43" spans="1:9" ht="15.75" thickBot="1" x14ac:dyDescent="0.3">
      <c r="A43" s="730" t="s">
        <v>47</v>
      </c>
      <c r="B43" s="731"/>
      <c r="C43" s="732"/>
      <c r="D43" s="250">
        <v>0</v>
      </c>
      <c r="E43" s="251" t="s">
        <v>25</v>
      </c>
      <c r="F43" s="733"/>
      <c r="G43" s="733"/>
      <c r="H43" s="723"/>
      <c r="I43" s="724"/>
    </row>
    <row r="44" spans="1:9" ht="15.75" thickBot="1" x14ac:dyDescent="0.3">
      <c r="A44" s="736" t="s">
        <v>48</v>
      </c>
      <c r="B44" s="737"/>
      <c r="C44" s="737"/>
      <c r="D44" s="737"/>
      <c r="E44" s="737"/>
      <c r="F44" s="737"/>
      <c r="G44" s="737"/>
      <c r="H44" s="737"/>
      <c r="I44" s="738"/>
    </row>
    <row r="45" spans="1:9" ht="14.65" customHeight="1" x14ac:dyDescent="0.25">
      <c r="A45" s="781" t="s">
        <v>168</v>
      </c>
      <c r="B45" s="782"/>
      <c r="C45" s="782"/>
      <c r="D45" s="782"/>
      <c r="E45" s="782"/>
      <c r="F45" s="782"/>
      <c r="G45" s="782"/>
      <c r="H45" s="782"/>
      <c r="I45" s="783"/>
    </row>
    <row r="46" spans="1:9" ht="15.6" customHeight="1" x14ac:dyDescent="0.25">
      <c r="A46" s="781" t="s">
        <v>169</v>
      </c>
      <c r="B46" s="782"/>
      <c r="C46" s="782"/>
      <c r="D46" s="782"/>
      <c r="E46" s="782"/>
      <c r="F46" s="782"/>
      <c r="G46" s="782"/>
      <c r="H46" s="782"/>
      <c r="I46" s="783"/>
    </row>
    <row r="47" spans="1:9" ht="14.65" customHeight="1" x14ac:dyDescent="0.25">
      <c r="A47" s="781"/>
      <c r="B47" s="782"/>
      <c r="C47" s="782"/>
      <c r="D47" s="782"/>
      <c r="E47" s="782"/>
      <c r="F47" s="782"/>
      <c r="G47" s="782"/>
      <c r="H47" s="782"/>
      <c r="I47" s="783"/>
    </row>
    <row r="48" spans="1:9" ht="14.65" customHeight="1" x14ac:dyDescent="0.25">
      <c r="A48" s="781"/>
      <c r="B48" s="782"/>
      <c r="C48" s="782"/>
      <c r="D48" s="782"/>
      <c r="E48" s="782"/>
      <c r="F48" s="782"/>
      <c r="G48" s="782"/>
      <c r="H48" s="782"/>
      <c r="I48" s="783"/>
    </row>
    <row r="49" spans="1:9" ht="14.65" customHeight="1" x14ac:dyDescent="0.25">
      <c r="A49" s="756"/>
      <c r="B49" s="757"/>
      <c r="C49" s="758"/>
      <c r="D49" s="758"/>
      <c r="E49" s="758"/>
      <c r="F49" s="758"/>
      <c r="G49" s="758"/>
      <c r="H49" s="758"/>
      <c r="I49" s="759"/>
    </row>
    <row r="50" spans="1:9" ht="18" customHeight="1" thickBot="1" x14ac:dyDescent="0.3">
      <c r="A50" s="768"/>
      <c r="B50" s="769"/>
      <c r="C50" s="770"/>
      <c r="D50" s="770"/>
      <c r="E50" s="770"/>
      <c r="F50" s="770"/>
      <c r="G50" s="770"/>
      <c r="H50" s="770"/>
      <c r="I50" s="771"/>
    </row>
    <row r="51" spans="1:9" ht="15.75" x14ac:dyDescent="0.25">
      <c r="A51" s="772"/>
      <c r="B51" s="773"/>
      <c r="C51" s="773"/>
      <c r="D51" s="773"/>
      <c r="E51" s="773"/>
      <c r="F51" s="773"/>
      <c r="G51" s="773"/>
      <c r="H51" s="773"/>
      <c r="I51" s="774"/>
    </row>
    <row r="52" spans="1:9" ht="15.75" thickBot="1" x14ac:dyDescent="0.3">
      <c r="A52" s="775"/>
      <c r="B52" s="776"/>
      <c r="C52" s="776"/>
      <c r="D52" s="776"/>
      <c r="E52" s="776"/>
      <c r="F52" s="776"/>
      <c r="G52" s="776"/>
      <c r="H52" s="776"/>
      <c r="I52" s="777"/>
    </row>
    <row r="53" spans="1:9" x14ac:dyDescent="0.25">
      <c r="A53" s="742" t="s">
        <v>49</v>
      </c>
      <c r="B53" s="743"/>
      <c r="C53" s="743"/>
      <c r="D53" s="743"/>
      <c r="E53" s="743"/>
      <c r="F53" s="743"/>
      <c r="G53" s="743"/>
      <c r="H53" s="743"/>
      <c r="I53" s="743"/>
    </row>
    <row r="54" spans="1:9" x14ac:dyDescent="0.25">
      <c r="A54" s="744"/>
      <c r="B54" s="745"/>
      <c r="C54" s="745"/>
      <c r="D54" s="745"/>
      <c r="E54" s="745"/>
      <c r="F54" s="745"/>
      <c r="G54" s="745"/>
      <c r="H54" s="745"/>
      <c r="I54" s="745"/>
    </row>
    <row r="55" spans="1:9" x14ac:dyDescent="0.25">
      <c r="A55" s="744"/>
      <c r="B55" s="745"/>
      <c r="C55" s="745"/>
      <c r="D55" s="745"/>
      <c r="E55" s="745"/>
      <c r="F55" s="745"/>
      <c r="G55" s="745"/>
      <c r="H55" s="745"/>
      <c r="I55" s="745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8A07-C7B4-4B32-9532-7ADCFE22C3D1}">
  <dimension ref="A1:Q91"/>
  <sheetViews>
    <sheetView topLeftCell="B7" workbookViewId="0">
      <selection activeCell="M34" sqref="M34"/>
    </sheetView>
  </sheetViews>
  <sheetFormatPr baseColWidth="10" defaultColWidth="8.42578125" defaultRowHeight="12.75" x14ac:dyDescent="0.25"/>
  <cols>
    <col min="1" max="1" width="10" style="59" bestFit="1" customWidth="1"/>
    <col min="2" max="2" width="44.28515625" style="59" bestFit="1" customWidth="1"/>
    <col min="3" max="3" width="10.42578125" style="59" bestFit="1" customWidth="1"/>
    <col min="4" max="4" width="10.42578125" style="59" customWidth="1"/>
    <col min="5" max="5" width="11" style="59" customWidth="1"/>
    <col min="6" max="6" width="9.5703125" style="59" bestFit="1" customWidth="1"/>
    <col min="7" max="7" width="10.7109375" style="141" customWidth="1"/>
    <col min="8" max="8" width="10.42578125" style="132" bestFit="1" customWidth="1"/>
    <col min="9" max="9" width="4.5703125" style="132" customWidth="1"/>
    <col min="10" max="10" width="1.7109375" style="58" customWidth="1"/>
    <col min="11" max="11" width="7" style="59" bestFit="1" customWidth="1"/>
    <col min="12" max="12" width="6.28515625" style="59" customWidth="1"/>
    <col min="13" max="13" width="20.42578125" style="59" customWidth="1"/>
    <col min="14" max="14" width="6.42578125" style="59" bestFit="1" customWidth="1"/>
    <col min="15" max="16" width="8.42578125" style="59"/>
    <col min="17" max="17" width="3.28515625" style="59" customWidth="1"/>
    <col min="18" max="16384" width="8.42578125" style="59"/>
  </cols>
  <sheetData>
    <row r="1" spans="1:10" ht="27.75" customHeight="1" x14ac:dyDescent="0.25">
      <c r="A1" s="54"/>
      <c r="B1" s="54"/>
      <c r="C1" s="54"/>
      <c r="D1" s="54"/>
      <c r="E1" s="55" t="s">
        <v>83</v>
      </c>
      <c r="F1" s="56" t="s">
        <v>84</v>
      </c>
      <c r="G1" s="56" t="s">
        <v>85</v>
      </c>
      <c r="H1" s="56" t="s">
        <v>86</v>
      </c>
      <c r="I1" s="57"/>
    </row>
    <row r="2" spans="1:10" ht="30.75" customHeight="1" x14ac:dyDescent="0.25">
      <c r="A2" s="54"/>
      <c r="B2" s="54"/>
      <c r="C2" s="54"/>
      <c r="D2" s="54"/>
      <c r="E2" s="60">
        <f>IFERROR(O62,"")</f>
        <v>23319.233766233767</v>
      </c>
      <c r="F2" s="60">
        <f>IFERROR(H53,"")</f>
        <v>22510</v>
      </c>
      <c r="G2" s="60">
        <f>IFERROR(H54,"")</f>
        <v>3</v>
      </c>
      <c r="H2" s="60">
        <f>IFERROR(H56,"")</f>
        <v>388</v>
      </c>
      <c r="I2" s="61"/>
    </row>
    <row r="3" spans="1:10" ht="15" customHeight="1" x14ac:dyDescent="0.25">
      <c r="A3" s="54"/>
      <c r="B3" s="54"/>
      <c r="C3" s="54"/>
      <c r="D3" s="54"/>
      <c r="E3" s="54"/>
      <c r="F3" s="62"/>
      <c r="G3" s="62"/>
      <c r="H3" s="62"/>
      <c r="I3" s="62"/>
    </row>
    <row r="4" spans="1:10" ht="24.75" customHeight="1" thickBot="1" x14ac:dyDescent="0.3">
      <c r="A4" s="624"/>
      <c r="B4" s="624"/>
      <c r="C4" s="624"/>
      <c r="D4" s="624"/>
      <c r="E4" s="624"/>
      <c r="F4" s="624"/>
      <c r="G4" s="624"/>
      <c r="H4" s="624"/>
      <c r="I4" s="63"/>
    </row>
    <row r="5" spans="1:10" ht="19.5" customHeight="1" thickBot="1" x14ac:dyDescent="0.3">
      <c r="A5" s="625" t="s">
        <v>87</v>
      </c>
      <c r="B5" s="626"/>
      <c r="C5" s="626"/>
      <c r="D5" s="626"/>
      <c r="E5" s="626"/>
      <c r="F5" s="626"/>
      <c r="G5" s="626"/>
      <c r="H5" s="627"/>
      <c r="I5" s="64"/>
    </row>
    <row r="6" spans="1:10" ht="19.5" thickBot="1" x14ac:dyDescent="0.3">
      <c r="A6" s="64"/>
      <c r="B6" s="64"/>
      <c r="C6" s="64"/>
      <c r="D6" s="64"/>
      <c r="E6" s="64"/>
      <c r="F6" s="628" t="s">
        <v>88</v>
      </c>
      <c r="G6" s="628"/>
      <c r="H6" s="65">
        <f ca="1">TODAY()</f>
        <v>46141</v>
      </c>
      <c r="I6" s="65"/>
    </row>
    <row r="7" spans="1:10" ht="26.25" thickBot="1" x14ac:dyDescent="0.3">
      <c r="A7" s="66" t="s">
        <v>89</v>
      </c>
      <c r="B7" s="67" t="s">
        <v>90</v>
      </c>
      <c r="C7" s="67" t="s">
        <v>89</v>
      </c>
      <c r="D7" s="68" t="s">
        <v>91</v>
      </c>
      <c r="E7" s="68" t="s">
        <v>92</v>
      </c>
      <c r="F7" s="68" t="s">
        <v>93</v>
      </c>
      <c r="G7" s="68" t="s">
        <v>94</v>
      </c>
      <c r="H7" s="69" t="s">
        <v>95</v>
      </c>
      <c r="I7" s="70"/>
    </row>
    <row r="8" spans="1:10" ht="13.5" x14ac:dyDescent="0.25">
      <c r="A8" s="71">
        <v>5000</v>
      </c>
      <c r="B8" s="59" t="s">
        <v>54</v>
      </c>
      <c r="C8" s="72">
        <f>+A8</f>
        <v>5000</v>
      </c>
      <c r="D8" s="73" t="s">
        <v>136</v>
      </c>
      <c r="E8" s="73">
        <v>4.25</v>
      </c>
      <c r="F8" s="73">
        <f>IFERROR(C8*E8,"")</f>
        <v>21250</v>
      </c>
      <c r="G8" s="74">
        <f t="shared" ref="G8:G14" si="0">IFERROR(F8/$F$66,"")</f>
        <v>0.91013440008223334</v>
      </c>
      <c r="H8" s="75" t="s">
        <v>135</v>
      </c>
      <c r="I8" s="75"/>
      <c r="J8" s="76"/>
    </row>
    <row r="9" spans="1:10" ht="13.5" x14ac:dyDescent="0.25">
      <c r="A9" s="71">
        <v>1500</v>
      </c>
      <c r="B9" s="59" t="s">
        <v>68</v>
      </c>
      <c r="C9" s="72">
        <f t="shared" ref="C9:C14" si="1">+A9</f>
        <v>1500</v>
      </c>
      <c r="D9" s="73" t="s">
        <v>136</v>
      </c>
      <c r="E9" s="73">
        <v>0.43</v>
      </c>
      <c r="F9" s="73">
        <f t="shared" ref="F9:F14" si="2">IFERROR(C9*E9,"")</f>
        <v>645</v>
      </c>
      <c r="G9" s="74">
        <f t="shared" si="0"/>
        <v>2.7625255908378374E-2</v>
      </c>
      <c r="H9" s="75" t="s">
        <v>67</v>
      </c>
      <c r="I9" s="75"/>
      <c r="J9" s="76"/>
    </row>
    <row r="10" spans="1:10" ht="13.5" hidden="1" x14ac:dyDescent="0.25">
      <c r="A10" s="71"/>
      <c r="B10" s="59" t="str">
        <f>IFERROR(VLOOKUP(H10,'[1]Consolidado MP Planta'!$A$2:$M$823,3,0),"")</f>
        <v/>
      </c>
      <c r="C10" s="72">
        <f t="shared" si="1"/>
        <v>0</v>
      </c>
      <c r="D10" s="73" t="str">
        <f>IFERROR(VLOOKUP(H10,'[1]Consolidado MP Planta'!$A$2:$M$823,13,0),"")</f>
        <v/>
      </c>
      <c r="E10" s="73" t="str">
        <f>IFERROR(VLOOKUP(H10,'[1]Consolidado MP Planta'!$A$2:$M$823,12,0),"")</f>
        <v/>
      </c>
      <c r="F10" s="73" t="str">
        <f t="shared" si="2"/>
        <v/>
      </c>
      <c r="G10" s="74" t="str">
        <f t="shared" si="0"/>
        <v/>
      </c>
      <c r="H10" s="75"/>
      <c r="I10" s="75"/>
      <c r="J10" s="76"/>
    </row>
    <row r="11" spans="1:10" ht="13.5" hidden="1" x14ac:dyDescent="0.25">
      <c r="A11" s="71"/>
      <c r="B11" s="59" t="str">
        <f>IFERROR(VLOOKUP(H11,'[1]Consolidado MP Planta'!$A$2:$M$823,3,0),"")</f>
        <v/>
      </c>
      <c r="C11" s="72">
        <f t="shared" si="1"/>
        <v>0</v>
      </c>
      <c r="D11" s="73" t="str">
        <f>IFERROR(VLOOKUP(H11,'[1]Consolidado MP Planta'!$A$2:$M$823,13,0),"")</f>
        <v/>
      </c>
      <c r="E11" s="73" t="str">
        <f>IFERROR(VLOOKUP(H11,'[1]Consolidado MP Planta'!$A$2:$M$823,12,0),"")</f>
        <v/>
      </c>
      <c r="F11" s="73" t="str">
        <f t="shared" si="2"/>
        <v/>
      </c>
      <c r="G11" s="74" t="str">
        <f t="shared" si="0"/>
        <v/>
      </c>
      <c r="H11" s="75"/>
      <c r="I11" s="75"/>
      <c r="J11" s="76"/>
    </row>
    <row r="12" spans="1:10" ht="13.5" hidden="1" x14ac:dyDescent="0.25">
      <c r="A12" s="71"/>
      <c r="B12" s="59" t="str">
        <f>IFERROR(VLOOKUP(H12,'[1]Consolidado MP Planta'!$A$2:$M$823,3,0),"")</f>
        <v/>
      </c>
      <c r="C12" s="72">
        <f t="shared" si="1"/>
        <v>0</v>
      </c>
      <c r="D12" s="73" t="str">
        <f>IFERROR(VLOOKUP(H12,'[1]Consolidado MP Planta'!$A$2:$M$823,13,0),"")</f>
        <v/>
      </c>
      <c r="E12" s="73" t="str">
        <f>IFERROR(VLOOKUP(H12,'[1]Consolidado MP Planta'!$A$2:$M$823,12,0),"")</f>
        <v/>
      </c>
      <c r="F12" s="73" t="str">
        <f t="shared" si="2"/>
        <v/>
      </c>
      <c r="G12" s="74" t="str">
        <f t="shared" si="0"/>
        <v/>
      </c>
      <c r="H12" s="75"/>
      <c r="I12" s="75"/>
      <c r="J12" s="76"/>
    </row>
    <row r="13" spans="1:10" ht="13.5" hidden="1" x14ac:dyDescent="0.25">
      <c r="A13" s="71"/>
      <c r="B13" s="59" t="str">
        <f>IFERROR(VLOOKUP(H13,'[1]Consolidado MP Planta'!$A$2:$M$823,3,0),"")</f>
        <v/>
      </c>
      <c r="C13" s="72">
        <f t="shared" si="1"/>
        <v>0</v>
      </c>
      <c r="D13" s="73" t="str">
        <f>IFERROR(VLOOKUP(H13,'[1]Consolidado MP Planta'!$A$2:$M$823,13,0),"")</f>
        <v/>
      </c>
      <c r="E13" s="73" t="str">
        <f>IFERROR(VLOOKUP(H13,'[1]Consolidado MP Planta'!$A$2:$M$823,12,0),"")</f>
        <v/>
      </c>
      <c r="F13" s="73" t="str">
        <f t="shared" si="2"/>
        <v/>
      </c>
      <c r="G13" s="74" t="str">
        <f t="shared" si="0"/>
        <v/>
      </c>
      <c r="H13" s="75"/>
      <c r="I13" s="75"/>
      <c r="J13" s="76"/>
    </row>
    <row r="14" spans="1:10" ht="13.5" hidden="1" x14ac:dyDescent="0.25">
      <c r="A14" s="71"/>
      <c r="B14" s="59" t="str">
        <f>IFERROR(VLOOKUP(H14,'[1]Consolidado MP Planta'!$A$2:$M$823,3,0),"")</f>
        <v/>
      </c>
      <c r="C14" s="72">
        <f t="shared" si="1"/>
        <v>0</v>
      </c>
      <c r="D14" s="73" t="str">
        <f>IFERROR(VLOOKUP(H14,'[1]Consolidado MP Planta'!$A$2:$M$823,13,0),"")</f>
        <v/>
      </c>
      <c r="E14" s="73" t="str">
        <f>IFERROR(VLOOKUP(H14,'[1]Consolidado MP Planta'!$A$2:$M$823,12,0),"")</f>
        <v/>
      </c>
      <c r="F14" s="73" t="str">
        <f t="shared" si="2"/>
        <v/>
      </c>
      <c r="G14" s="74" t="str">
        <f t="shared" si="0"/>
        <v/>
      </c>
      <c r="H14" s="75"/>
      <c r="I14" s="75"/>
      <c r="J14" s="76"/>
    </row>
    <row r="15" spans="1:10" ht="14.25" thickBot="1" x14ac:dyDescent="0.3">
      <c r="A15" s="71"/>
      <c r="B15" s="59" t="str">
        <f>IFERROR(VLOOKUP(H15,[2]Hoja2!$A$2:$G$589,2,0),"")</f>
        <v/>
      </c>
      <c r="C15" s="72"/>
      <c r="D15" s="73"/>
      <c r="E15" s="73"/>
      <c r="F15" s="73"/>
      <c r="G15" s="74"/>
      <c r="H15" s="75"/>
      <c r="I15" s="75"/>
      <c r="J15" s="76"/>
    </row>
    <row r="16" spans="1:10" ht="26.25" thickBot="1" x14ac:dyDescent="0.3">
      <c r="A16" s="66" t="s">
        <v>89</v>
      </c>
      <c r="B16" s="67" t="s">
        <v>96</v>
      </c>
      <c r="C16" s="67" t="s">
        <v>89</v>
      </c>
      <c r="D16" s="68" t="s">
        <v>91</v>
      </c>
      <c r="E16" s="68" t="s">
        <v>92</v>
      </c>
      <c r="F16" s="68" t="s">
        <v>93</v>
      </c>
      <c r="G16" s="68" t="s">
        <v>94</v>
      </c>
      <c r="H16" s="69" t="s">
        <v>95</v>
      </c>
      <c r="I16" s="70"/>
      <c r="J16" s="76"/>
    </row>
    <row r="17" spans="1:12" ht="13.5" x14ac:dyDescent="0.25">
      <c r="A17" s="71">
        <v>300</v>
      </c>
      <c r="B17" s="59" t="s">
        <v>78</v>
      </c>
      <c r="C17" s="72">
        <f>+A17</f>
        <v>300</v>
      </c>
      <c r="D17" s="72" t="s">
        <v>136</v>
      </c>
      <c r="E17" s="73">
        <v>2.0499999999999998</v>
      </c>
      <c r="F17" s="73">
        <f>IFERROR(E17*C17,"")</f>
        <v>615</v>
      </c>
      <c r="G17" s="74">
        <f t="shared" ref="G17:G24" si="3">IFERROR(F17/$F$66,"")</f>
        <v>2.6340360284732869E-2</v>
      </c>
      <c r="H17" s="75" t="s">
        <v>77</v>
      </c>
      <c r="I17" s="75"/>
      <c r="J17" s="76"/>
    </row>
    <row r="18" spans="1:12" ht="13.5" hidden="1" x14ac:dyDescent="0.25">
      <c r="A18" s="71"/>
      <c r="B18" s="59" t="str">
        <f>IFERROR(VLOOKUP(H18,[1]SEMIELABORADOS!$A$2:$M$6000,2,0),"")</f>
        <v/>
      </c>
      <c r="C18" s="72">
        <f t="shared" ref="C18:C24" si="4">+A18</f>
        <v>0</v>
      </c>
      <c r="D18" s="72" t="str">
        <f>IFERROR(VLOOKUP(H18,[1]SEMIELABORADOS!$A$2:$M$6000,6,0),"")</f>
        <v/>
      </c>
      <c r="E18" s="73" t="str">
        <f>IFERROR(VLOOKUP(H18,[1]SEMIELABORADOS!$A$2:$H$65536,8,0),"")</f>
        <v/>
      </c>
      <c r="F18" s="73" t="str">
        <f t="shared" ref="F18:F24" si="5">IFERROR(E18*C18,"")</f>
        <v/>
      </c>
      <c r="G18" s="74" t="str">
        <f t="shared" si="3"/>
        <v/>
      </c>
      <c r="H18" s="75"/>
      <c r="I18" s="75"/>
      <c r="J18" s="76"/>
    </row>
    <row r="19" spans="1:12" ht="13.5" hidden="1" x14ac:dyDescent="0.25">
      <c r="A19" s="71"/>
      <c r="B19" s="59" t="str">
        <f>IFERROR(VLOOKUP(H19,[1]SEMIELABORADOS!$A$2:$M$6000,2,0),"")</f>
        <v/>
      </c>
      <c r="C19" s="72">
        <f>+A19</f>
        <v>0</v>
      </c>
      <c r="D19" s="72" t="str">
        <f>IFERROR(VLOOKUP(H19,[1]SEMIELABORADOS!$A$2:$M$6000,6,0),"")</f>
        <v/>
      </c>
      <c r="E19" s="73" t="str">
        <f>IFERROR(VLOOKUP(H19,[1]SEMIELABORADOS!$A$2:$H$65536,8,0),"")</f>
        <v/>
      </c>
      <c r="F19" s="73" t="str">
        <f>IFERROR(E19*C19,"")</f>
        <v/>
      </c>
      <c r="G19" s="74" t="str">
        <f t="shared" si="3"/>
        <v/>
      </c>
      <c r="H19" s="75"/>
      <c r="I19" s="75"/>
      <c r="J19" s="76"/>
    </row>
    <row r="20" spans="1:12" ht="13.5" hidden="1" x14ac:dyDescent="0.25">
      <c r="A20" s="71"/>
      <c r="B20" s="59" t="str">
        <f>IFERROR(VLOOKUP(H20,[1]SEMIELABORADOS!$A$2:$M$6000,2,0),"")</f>
        <v/>
      </c>
      <c r="C20" s="72">
        <f>+A20</f>
        <v>0</v>
      </c>
      <c r="D20" s="72" t="str">
        <f>IFERROR(VLOOKUP(H20,[1]SEMIELABORADOS!$A$2:$M$6000,6,0),"")</f>
        <v/>
      </c>
      <c r="E20" s="73" t="str">
        <f>IFERROR(VLOOKUP(H20,[1]SEMIELABORADOS!$A$2:$H$65536,8,0),"")</f>
        <v/>
      </c>
      <c r="F20" s="73" t="str">
        <f>IFERROR(E20*C20,"")</f>
        <v/>
      </c>
      <c r="G20" s="74" t="str">
        <f t="shared" si="3"/>
        <v/>
      </c>
      <c r="H20" s="75"/>
      <c r="I20" s="75"/>
      <c r="J20" s="76"/>
    </row>
    <row r="21" spans="1:12" ht="13.5" hidden="1" x14ac:dyDescent="0.25">
      <c r="A21" s="71"/>
      <c r="B21" s="59" t="str">
        <f>IFERROR(VLOOKUP(H21,[1]SEMIELABORADOS!$A$2:$M$6000,2,0),"")</f>
        <v/>
      </c>
      <c r="C21" s="72">
        <f>+A21</f>
        <v>0</v>
      </c>
      <c r="D21" s="72" t="str">
        <f>IFERROR(VLOOKUP(H21,[1]SEMIELABORADOS!$A$2:$M$6000,6,0),"")</f>
        <v/>
      </c>
      <c r="E21" s="73" t="str">
        <f>IFERROR(VLOOKUP(H21,[1]SEMIELABORADOS!$A$2:$H$65536,8,0),"")</f>
        <v/>
      </c>
      <c r="F21" s="73" t="str">
        <f>IFERROR(E21*C21,"")</f>
        <v/>
      </c>
      <c r="G21" s="74" t="str">
        <f t="shared" si="3"/>
        <v/>
      </c>
      <c r="H21" s="75"/>
      <c r="I21" s="75"/>
      <c r="J21" s="76"/>
    </row>
    <row r="22" spans="1:12" ht="13.5" hidden="1" x14ac:dyDescent="0.25">
      <c r="A22" s="71"/>
      <c r="B22" s="59" t="str">
        <f>IFERROR(VLOOKUP(H22,[1]SEMIELABORADOS!$A$2:$M$6000,2,0),"")</f>
        <v/>
      </c>
      <c r="C22" s="72">
        <f t="shared" si="4"/>
        <v>0</v>
      </c>
      <c r="D22" s="72" t="str">
        <f>IFERROR(VLOOKUP(H22,[1]SEMIELABORADOS!$A$2:$M$6000,6,0),"")</f>
        <v/>
      </c>
      <c r="E22" s="73" t="str">
        <f>IFERROR(VLOOKUP(H22,[1]SEMIELABORADOS!$A$2:$H$65536,8,0),"")</f>
        <v/>
      </c>
      <c r="F22" s="73" t="str">
        <f t="shared" si="5"/>
        <v/>
      </c>
      <c r="G22" s="74" t="str">
        <f t="shared" si="3"/>
        <v/>
      </c>
      <c r="H22" s="75"/>
      <c r="I22" s="75"/>
      <c r="J22" s="76"/>
    </row>
    <row r="23" spans="1:12" ht="13.5" hidden="1" x14ac:dyDescent="0.25">
      <c r="A23" s="71"/>
      <c r="B23" s="59" t="str">
        <f>IFERROR(VLOOKUP(H23,[1]SEMIELABORADOS!$A$2:$M$6000,2,0),"")</f>
        <v/>
      </c>
      <c r="C23" s="72">
        <f t="shared" si="4"/>
        <v>0</v>
      </c>
      <c r="D23" s="72" t="str">
        <f>IFERROR(VLOOKUP(H23,[1]SEMIELABORADOS!$A$2:$M$6000,6,0),"")</f>
        <v/>
      </c>
      <c r="E23" s="73" t="str">
        <f>IFERROR(VLOOKUP(H23,[1]SEMIELABORADOS!$A$2:$H$65536,8,0),"")</f>
        <v/>
      </c>
      <c r="F23" s="73" t="str">
        <f t="shared" si="5"/>
        <v/>
      </c>
      <c r="G23" s="74" t="str">
        <f t="shared" si="3"/>
        <v/>
      </c>
      <c r="H23" s="75"/>
      <c r="I23" s="75"/>
      <c r="J23" s="76"/>
    </row>
    <row r="24" spans="1:12" ht="13.5" hidden="1" x14ac:dyDescent="0.25">
      <c r="A24" s="71"/>
      <c r="B24" s="59" t="str">
        <f>IFERROR(VLOOKUP(H24,[1]SEMIELABORADOS!$A$2:$M$6000,2,0),"")</f>
        <v/>
      </c>
      <c r="C24" s="72">
        <f t="shared" si="4"/>
        <v>0</v>
      </c>
      <c r="D24" s="72" t="str">
        <f>IFERROR(VLOOKUP(H24,[1]SEMIELABORADOS!$A$2:$M$6000,6,0),"")</f>
        <v/>
      </c>
      <c r="E24" s="73" t="str">
        <f>IFERROR(VLOOKUP(H24,[1]SEMIELABORADOS!$A$2:$H$65536,8,0),"")</f>
        <v/>
      </c>
      <c r="F24" s="73" t="str">
        <f t="shared" si="5"/>
        <v/>
      </c>
      <c r="G24" s="74" t="str">
        <f t="shared" si="3"/>
        <v/>
      </c>
      <c r="H24" s="75"/>
      <c r="I24" s="75"/>
      <c r="J24" s="76"/>
    </row>
    <row r="25" spans="1:12" ht="14.25" thickBot="1" x14ac:dyDescent="0.3">
      <c r="A25" s="71"/>
      <c r="C25" s="72"/>
      <c r="D25" s="72"/>
      <c r="E25" s="73"/>
      <c r="F25" s="73"/>
      <c r="G25" s="74"/>
      <c r="H25" s="75"/>
      <c r="I25" s="75"/>
      <c r="J25" s="76"/>
    </row>
    <row r="26" spans="1:12" ht="26.25" hidden="1" thickBot="1" x14ac:dyDescent="0.3">
      <c r="A26" s="66" t="s">
        <v>89</v>
      </c>
      <c r="B26" s="67" t="s">
        <v>97</v>
      </c>
      <c r="C26" s="67" t="s">
        <v>89</v>
      </c>
      <c r="D26" s="68" t="s">
        <v>91</v>
      </c>
      <c r="E26" s="68" t="s">
        <v>92</v>
      </c>
      <c r="F26" s="68" t="s">
        <v>93</v>
      </c>
      <c r="G26" s="68" t="s">
        <v>94</v>
      </c>
      <c r="H26" s="69" t="s">
        <v>95</v>
      </c>
      <c r="I26" s="70"/>
    </row>
    <row r="27" spans="1:12" ht="13.5" hidden="1" x14ac:dyDescent="0.25">
      <c r="A27" s="71">
        <v>0</v>
      </c>
      <c r="B27" s="77" t="str">
        <f>IFERROR(VLOOKUP(H27,'[1]Consolidado MP Planta'!$A$2:$M$823,3,0),"")</f>
        <v/>
      </c>
      <c r="C27" s="72">
        <f t="shared" ref="C27:C32" si="6">+A27</f>
        <v>0</v>
      </c>
      <c r="D27" s="73" t="str">
        <f>IFERROR(VLOOKUP(H27,'[1]Consolidado MP Planta'!$A$2:$M$823,13,0),"")</f>
        <v/>
      </c>
      <c r="E27" s="73" t="str">
        <f>IFERROR(VLOOKUP(H27,'[1]Consolidado MP Planta'!$A$2:$M$823,12,0),"")</f>
        <v/>
      </c>
      <c r="F27" s="73" t="str">
        <f t="shared" ref="F27:F32" si="7">IFERROR(C27*E27,"")</f>
        <v/>
      </c>
      <c r="G27" s="74" t="str">
        <f t="shared" ref="G27:G32" si="8">IFERROR(F27/$F$66,"")</f>
        <v/>
      </c>
      <c r="H27" s="78"/>
      <c r="I27" s="78"/>
      <c r="J27" s="76"/>
      <c r="K27" s="618"/>
      <c r="L27" s="618"/>
    </row>
    <row r="28" spans="1:12" ht="13.5" hidden="1" x14ac:dyDescent="0.25">
      <c r="A28" s="71"/>
      <c r="B28" s="77" t="str">
        <f>IFERROR(VLOOKUP(H28,'[1]Consolidado MP Planta'!$A$2:$M$823,3,0),"")</f>
        <v/>
      </c>
      <c r="C28" s="72">
        <f t="shared" si="6"/>
        <v>0</v>
      </c>
      <c r="D28" s="73" t="str">
        <f>IFERROR(VLOOKUP(H28,'[1]Consolidado MP Planta'!$A$2:$M$823,13,0),"")</f>
        <v/>
      </c>
      <c r="E28" s="73" t="str">
        <f>IFERROR(VLOOKUP(H28,'[1]Consolidado MP Planta'!$A$2:$M$823,12,0),"")</f>
        <v/>
      </c>
      <c r="F28" s="73" t="str">
        <f t="shared" si="7"/>
        <v/>
      </c>
      <c r="G28" s="74" t="str">
        <f t="shared" si="8"/>
        <v/>
      </c>
      <c r="H28" s="78"/>
      <c r="I28" s="78"/>
      <c r="J28" s="76"/>
      <c r="K28" s="618"/>
      <c r="L28" s="618"/>
    </row>
    <row r="29" spans="1:12" ht="13.5" hidden="1" x14ac:dyDescent="0.25">
      <c r="A29" s="71"/>
      <c r="B29" s="77" t="str">
        <f>IFERROR(VLOOKUP(H29,'[1]Consolidado MP Planta'!$A$2:$M$823,3,0),"")</f>
        <v/>
      </c>
      <c r="C29" s="72">
        <f t="shared" si="6"/>
        <v>0</v>
      </c>
      <c r="D29" s="73" t="str">
        <f>IFERROR(VLOOKUP(H29,'[1]Consolidado MP Planta'!$A$2:$M$823,13,0),"")</f>
        <v/>
      </c>
      <c r="E29" s="73" t="str">
        <f>IFERROR(VLOOKUP(H29,'[1]Consolidado MP Planta'!$A$2:$M$823,12,0),"")</f>
        <v/>
      </c>
      <c r="F29" s="73" t="str">
        <f t="shared" si="7"/>
        <v/>
      </c>
      <c r="G29" s="74" t="str">
        <f t="shared" si="8"/>
        <v/>
      </c>
      <c r="H29" s="78"/>
      <c r="I29" s="78"/>
      <c r="J29" s="76"/>
      <c r="K29" s="618"/>
      <c r="L29" s="618"/>
    </row>
    <row r="30" spans="1:12" ht="13.5" hidden="1" x14ac:dyDescent="0.25">
      <c r="A30" s="71"/>
      <c r="B30" s="77" t="str">
        <f>IFERROR(VLOOKUP(H30,'[1]Consolidado MP Planta'!$A$2:$M$823,3,0),"")</f>
        <v/>
      </c>
      <c r="C30" s="72">
        <f t="shared" si="6"/>
        <v>0</v>
      </c>
      <c r="D30" s="73" t="str">
        <f>IFERROR(VLOOKUP(H30,'[1]Consolidado MP Planta'!$A$2:$M$823,13,0),"")</f>
        <v/>
      </c>
      <c r="E30" s="73" t="str">
        <f>IFERROR(VLOOKUP(H30,'[1]Consolidado MP Planta'!$A$2:$M$823,12,0),"")</f>
        <v/>
      </c>
      <c r="F30" s="73" t="str">
        <f t="shared" si="7"/>
        <v/>
      </c>
      <c r="G30" s="74" t="str">
        <f t="shared" si="8"/>
        <v/>
      </c>
      <c r="H30" s="78"/>
      <c r="I30" s="78"/>
      <c r="J30" s="76"/>
      <c r="K30" s="618"/>
      <c r="L30" s="618"/>
    </row>
    <row r="31" spans="1:12" ht="13.5" hidden="1" x14ac:dyDescent="0.25">
      <c r="A31" s="71"/>
      <c r="B31" s="77" t="str">
        <f>IFERROR(VLOOKUP(H31,'[1]Consolidado MP Planta'!$A$2:$M$823,3,0),"")</f>
        <v/>
      </c>
      <c r="C31" s="72">
        <f t="shared" si="6"/>
        <v>0</v>
      </c>
      <c r="D31" s="73" t="str">
        <f>IFERROR(VLOOKUP(H31,'[1]Consolidado MP Planta'!$A$2:$M$823,13,0),"")</f>
        <v/>
      </c>
      <c r="E31" s="73" t="str">
        <f>IFERROR(VLOOKUP(H31,'[1]Consolidado MP Planta'!$A$2:$M$823,12,0),"")</f>
        <v/>
      </c>
      <c r="F31" s="73" t="str">
        <f t="shared" si="7"/>
        <v/>
      </c>
      <c r="G31" s="74" t="str">
        <f t="shared" si="8"/>
        <v/>
      </c>
      <c r="H31" s="78"/>
      <c r="I31" s="78"/>
      <c r="J31" s="76"/>
      <c r="K31" s="79"/>
      <c r="L31" s="80"/>
    </row>
    <row r="32" spans="1:12" ht="13.5" hidden="1" x14ac:dyDescent="0.25">
      <c r="A32" s="71"/>
      <c r="B32" s="77" t="str">
        <f>IFERROR(VLOOKUP(H32,'[1]Consolidado MP Planta'!$A$2:$M$823,3,0),"")</f>
        <v/>
      </c>
      <c r="C32" s="72">
        <f t="shared" si="6"/>
        <v>0</v>
      </c>
      <c r="D32" s="73" t="str">
        <f>IFERROR(VLOOKUP(H32,'[1]Consolidado MP Planta'!$A$2:$M$823,13,0),"")</f>
        <v/>
      </c>
      <c r="E32" s="73" t="str">
        <f>IFERROR(VLOOKUP(H32,'[1]Consolidado MP Planta'!$A$2:$M$823,12,0),"")</f>
        <v/>
      </c>
      <c r="F32" s="73" t="str">
        <f t="shared" si="7"/>
        <v/>
      </c>
      <c r="G32" s="74" t="str">
        <f t="shared" si="8"/>
        <v/>
      </c>
      <c r="H32" s="78"/>
      <c r="I32" s="78"/>
      <c r="J32" s="76"/>
    </row>
    <row r="33" spans="1:13" ht="14.25" hidden="1" thickBot="1" x14ac:dyDescent="0.3">
      <c r="A33" s="71"/>
      <c r="B33" s="77"/>
      <c r="C33" s="72"/>
      <c r="D33" s="73"/>
      <c r="E33" s="73"/>
      <c r="F33" s="73"/>
      <c r="G33" s="74"/>
      <c r="H33" s="78"/>
      <c r="I33" s="78"/>
      <c r="J33" s="76"/>
    </row>
    <row r="34" spans="1:13" ht="26.25" thickBot="1" x14ac:dyDescent="0.25">
      <c r="A34" s="66" t="s">
        <v>89</v>
      </c>
      <c r="B34" s="67" t="s">
        <v>98</v>
      </c>
      <c r="C34" s="67" t="s">
        <v>89</v>
      </c>
      <c r="D34" s="68" t="s">
        <v>91</v>
      </c>
      <c r="E34" s="68" t="s">
        <v>92</v>
      </c>
      <c r="F34" s="68" t="s">
        <v>93</v>
      </c>
      <c r="G34" s="68" t="s">
        <v>94</v>
      </c>
      <c r="H34" s="69" t="s">
        <v>95</v>
      </c>
      <c r="I34" s="78"/>
      <c r="J34" s="76"/>
    </row>
    <row r="35" spans="1:13" ht="13.5" x14ac:dyDescent="0.25">
      <c r="A35" s="71">
        <f>+A17</f>
        <v>300</v>
      </c>
      <c r="B35" s="77" t="s">
        <v>78</v>
      </c>
      <c r="C35" s="72">
        <f>+A35</f>
        <v>300</v>
      </c>
      <c r="D35" s="73" t="s">
        <v>136</v>
      </c>
      <c r="E35" s="73">
        <v>0.01</v>
      </c>
      <c r="F35" s="73">
        <f>IFERROR(E35*C35,"")</f>
        <v>3</v>
      </c>
      <c r="G35" s="74">
        <f t="shared" ref="G35:G41" si="9">IFERROR(F35/$F$66,"")</f>
        <v>1.2848956236455059E-4</v>
      </c>
      <c r="H35" s="78" t="s">
        <v>77</v>
      </c>
      <c r="I35" s="78"/>
      <c r="J35" s="76"/>
    </row>
    <row r="36" spans="1:13" ht="13.5" hidden="1" x14ac:dyDescent="0.25">
      <c r="A36" s="71">
        <f t="shared" ref="A36:A41" si="10">+A18</f>
        <v>0</v>
      </c>
      <c r="B36" s="77" t="str">
        <f>IFERROR(VLOOKUP(H36,[1]SEMIELABORADOS!$A$2:$M$6000,2,0),"")</f>
        <v/>
      </c>
      <c r="C36" s="72">
        <f t="shared" ref="C36:C41" si="11">+A36</f>
        <v>0</v>
      </c>
      <c r="D36" s="73" t="str">
        <f>IFERROR(VLOOKUP(H36,[1]SEMIELABORADOS!$A$2:$M$6000,6,0),"")</f>
        <v/>
      </c>
      <c r="E36" s="73" t="str">
        <f>IFERROR(VLOOKUP(H36,[1]SEMIELABORADOS!$A$2:$M$65536,10,0),"")</f>
        <v/>
      </c>
      <c r="F36" s="73" t="str">
        <f t="shared" ref="F36:F41" si="12">IFERROR(E36*C36,"")</f>
        <v/>
      </c>
      <c r="G36" s="74" t="str">
        <f t="shared" si="9"/>
        <v/>
      </c>
      <c r="H36" s="78"/>
      <c r="I36" s="78"/>
      <c r="J36" s="76"/>
    </row>
    <row r="37" spans="1:13" ht="13.5" hidden="1" x14ac:dyDescent="0.25">
      <c r="A37" s="71">
        <f t="shared" si="10"/>
        <v>0</v>
      </c>
      <c r="B37" s="77" t="str">
        <f>IFERROR(VLOOKUP(H37,[1]SEMIELABORADOS!$A$2:$M$6000,2,0),"")</f>
        <v/>
      </c>
      <c r="C37" s="72">
        <f t="shared" si="11"/>
        <v>0</v>
      </c>
      <c r="D37" s="73" t="str">
        <f>IFERROR(VLOOKUP(H37,[1]SEMIELABORADOS!$A$2:$M$6000,6,0),"")</f>
        <v/>
      </c>
      <c r="E37" s="73" t="str">
        <f>IFERROR(VLOOKUP(H37,[1]SEMIELABORADOS!$A$2:$M$65536,10,0),"")</f>
        <v/>
      </c>
      <c r="F37" s="73" t="str">
        <f t="shared" si="12"/>
        <v/>
      </c>
      <c r="G37" s="74" t="str">
        <f t="shared" si="9"/>
        <v/>
      </c>
      <c r="H37" s="78"/>
      <c r="I37" s="78"/>
      <c r="J37" s="76"/>
    </row>
    <row r="38" spans="1:13" ht="13.5" hidden="1" x14ac:dyDescent="0.25">
      <c r="A38" s="71">
        <f t="shared" si="10"/>
        <v>0</v>
      </c>
      <c r="B38" s="77" t="str">
        <f>IFERROR(VLOOKUP(H38,[1]SEMIELABORADOS!$A$2:$M$6000,2,0),"")</f>
        <v/>
      </c>
      <c r="C38" s="72">
        <f>+A38</f>
        <v>0</v>
      </c>
      <c r="D38" s="73" t="str">
        <f>IFERROR(VLOOKUP(H38,[1]SEMIELABORADOS!$A$2:$M$6000,6,0),"")</f>
        <v/>
      </c>
      <c r="E38" s="73" t="str">
        <f>IFERROR(VLOOKUP(H38,[1]SEMIELABORADOS!$A$2:$M$65536,10,0),"")</f>
        <v/>
      </c>
      <c r="F38" s="73" t="str">
        <f>IFERROR(E38*C38,"")</f>
        <v/>
      </c>
      <c r="G38" s="74" t="str">
        <f t="shared" si="9"/>
        <v/>
      </c>
      <c r="H38" s="78"/>
      <c r="I38" s="78"/>
      <c r="J38" s="76"/>
    </row>
    <row r="39" spans="1:13" ht="13.5" hidden="1" x14ac:dyDescent="0.25">
      <c r="A39" s="71">
        <f t="shared" si="10"/>
        <v>0</v>
      </c>
      <c r="B39" s="77" t="str">
        <f>IFERROR(VLOOKUP(H39,[1]SEMIELABORADOS!$A$2:$M$6000,2,0),"")</f>
        <v/>
      </c>
      <c r="C39" s="72">
        <f>+A39</f>
        <v>0</v>
      </c>
      <c r="D39" s="73" t="str">
        <f>IFERROR(VLOOKUP(H39,[1]SEMIELABORADOS!$A$2:$M$6000,6,0),"")</f>
        <v/>
      </c>
      <c r="E39" s="73" t="str">
        <f>IFERROR(VLOOKUP(H39,[1]SEMIELABORADOS!$A$2:$M$65536,10,0),"")</f>
        <v/>
      </c>
      <c r="F39" s="73" t="str">
        <f>IFERROR(E39*C39,"")</f>
        <v/>
      </c>
      <c r="G39" s="74" t="str">
        <f t="shared" si="9"/>
        <v/>
      </c>
      <c r="H39" s="78"/>
      <c r="I39" s="78"/>
      <c r="J39" s="76"/>
    </row>
    <row r="40" spans="1:13" ht="13.5" hidden="1" x14ac:dyDescent="0.25">
      <c r="A40" s="71">
        <f t="shared" si="10"/>
        <v>0</v>
      </c>
      <c r="B40" s="77" t="str">
        <f>IFERROR(VLOOKUP(H40,[1]SEMIELABORADOS!$A$2:$M$6000,2,0),"")</f>
        <v/>
      </c>
      <c r="C40" s="72">
        <f t="shared" si="11"/>
        <v>0</v>
      </c>
      <c r="D40" s="73" t="str">
        <f>IFERROR(VLOOKUP(H40,[1]SEMIELABORADOS!$A$2:$M$6000,6,0),"")</f>
        <v/>
      </c>
      <c r="E40" s="73" t="str">
        <f>IFERROR(VLOOKUP(H40,[1]SEMIELABORADOS!$A$2:$M$65536,10,0),"")</f>
        <v/>
      </c>
      <c r="F40" s="73" t="str">
        <f t="shared" si="12"/>
        <v/>
      </c>
      <c r="G40" s="74" t="str">
        <f t="shared" si="9"/>
        <v/>
      </c>
      <c r="H40" s="78"/>
      <c r="I40" s="78"/>
      <c r="J40" s="76"/>
    </row>
    <row r="41" spans="1:13" ht="13.5" hidden="1" x14ac:dyDescent="0.25">
      <c r="A41" s="71">
        <f t="shared" si="10"/>
        <v>0</v>
      </c>
      <c r="B41" s="77" t="str">
        <f>IFERROR(VLOOKUP(H41,[1]SEMIELABORADOS!$A$2:$M$6000,2,0),"")</f>
        <v/>
      </c>
      <c r="C41" s="72">
        <f t="shared" si="11"/>
        <v>0</v>
      </c>
      <c r="D41" s="73" t="str">
        <f>IFERROR(VLOOKUP(H41,[1]SEMIELABORADOS!$A$2:$M$6000,6,0),"")</f>
        <v/>
      </c>
      <c r="E41" s="73" t="str">
        <f>IFERROR(VLOOKUP(H41,[1]SEMIELABORADOS!$A$2:$M$65536,10,0),"")</f>
        <v/>
      </c>
      <c r="F41" s="73" t="str">
        <f t="shared" si="12"/>
        <v/>
      </c>
      <c r="G41" s="74" t="str">
        <f t="shared" si="9"/>
        <v/>
      </c>
      <c r="H41" s="78"/>
      <c r="I41" s="78"/>
      <c r="J41" s="76"/>
    </row>
    <row r="42" spans="1:13" ht="14.25" thickBot="1" x14ac:dyDescent="0.3">
      <c r="A42" s="71"/>
      <c r="B42" s="77"/>
      <c r="C42" s="72"/>
      <c r="D42" s="73"/>
      <c r="E42" s="73"/>
      <c r="F42" s="73"/>
      <c r="G42" s="74"/>
      <c r="H42" s="78"/>
      <c r="I42" s="78"/>
      <c r="J42" s="76"/>
    </row>
    <row r="43" spans="1:13" ht="26.25" thickBot="1" x14ac:dyDescent="0.3">
      <c r="A43" s="66" t="s">
        <v>89</v>
      </c>
      <c r="B43" s="67" t="s">
        <v>99</v>
      </c>
      <c r="C43" s="67" t="s">
        <v>89</v>
      </c>
      <c r="D43" s="68" t="s">
        <v>91</v>
      </c>
      <c r="E43" s="68" t="s">
        <v>92</v>
      </c>
      <c r="F43" s="68" t="s">
        <v>93</v>
      </c>
      <c r="G43" s="68" t="s">
        <v>94</v>
      </c>
      <c r="H43" s="69" t="s">
        <v>95</v>
      </c>
      <c r="I43" s="70"/>
      <c r="J43" s="76"/>
    </row>
    <row r="44" spans="1:13" ht="13.5" x14ac:dyDescent="0.25">
      <c r="A44" s="71">
        <f>+A35</f>
        <v>300</v>
      </c>
      <c r="B44" s="77" t="s">
        <v>78</v>
      </c>
      <c r="C44" s="72">
        <f>+A44</f>
        <v>300</v>
      </c>
      <c r="D44" s="73" t="s">
        <v>136</v>
      </c>
      <c r="E44" s="73">
        <v>0.01</v>
      </c>
      <c r="F44" s="73">
        <f>IFERROR(E44*C44,"")</f>
        <v>3</v>
      </c>
      <c r="G44" s="74">
        <f>IFERROR(F44/$F$66,"")</f>
        <v>1.2848956236455059E-4</v>
      </c>
      <c r="H44" s="78" t="s">
        <v>77</v>
      </c>
      <c r="I44" s="70"/>
      <c r="J44" s="76"/>
    </row>
    <row r="45" spans="1:13" ht="13.5" hidden="1" x14ac:dyDescent="0.25">
      <c r="A45" s="71">
        <f t="shared" ref="A45:A50" si="13">+A36</f>
        <v>0</v>
      </c>
      <c r="B45" s="77" t="str">
        <f>IFERROR(VLOOKUP(H45,[1]SEMIELABORADOS!$A$2:$M$6000,2,0),"")</f>
        <v/>
      </c>
      <c r="C45" s="72">
        <f t="shared" ref="C45:C50" si="14">+A45</f>
        <v>0</v>
      </c>
      <c r="D45" s="73" t="str">
        <f>IFERROR(VLOOKUP(H45,[1]SEMIELABORADOS!$A$2:$M$6000,6,0),"")</f>
        <v/>
      </c>
      <c r="E45" s="73" t="str">
        <f>IFERROR(VLOOKUP(H45,[1]SEMIELABORADOS!$A$2:$M$65536,12,0),"")</f>
        <v/>
      </c>
      <c r="F45" s="73" t="str">
        <f t="shared" ref="F45:F50" si="15">IFERROR(E45*C45,"")</f>
        <v/>
      </c>
      <c r="G45" s="74" t="str">
        <f t="shared" ref="G45:G50" si="16">IFERROR(F45/$F$66,"")</f>
        <v/>
      </c>
      <c r="H45" s="78"/>
      <c r="I45" s="70"/>
      <c r="J45" s="76"/>
      <c r="M45" s="81"/>
    </row>
    <row r="46" spans="1:13" ht="13.5" hidden="1" x14ac:dyDescent="0.25">
      <c r="A46" s="71">
        <f t="shared" si="13"/>
        <v>0</v>
      </c>
      <c r="B46" s="77" t="str">
        <f>IFERROR(VLOOKUP(H46,[1]SEMIELABORADOS!$A$2:$M$6000,2,0),"")</f>
        <v/>
      </c>
      <c r="C46" s="72">
        <f t="shared" si="14"/>
        <v>0</v>
      </c>
      <c r="D46" s="73" t="str">
        <f>IFERROR(VLOOKUP(H46,[1]SEMIELABORADOS!$A$2:$M$6000,6,0),"")</f>
        <v/>
      </c>
      <c r="E46" s="73" t="str">
        <f>IFERROR(VLOOKUP(H46,[1]SEMIELABORADOS!$A$2:$M$65536,12,0),"")</f>
        <v/>
      </c>
      <c r="F46" s="73" t="str">
        <f t="shared" si="15"/>
        <v/>
      </c>
      <c r="G46" s="74" t="str">
        <f t="shared" si="16"/>
        <v/>
      </c>
      <c r="H46" s="78"/>
      <c r="I46" s="70"/>
      <c r="J46" s="76"/>
    </row>
    <row r="47" spans="1:13" ht="13.5" hidden="1" x14ac:dyDescent="0.25">
      <c r="A47" s="71">
        <f t="shared" si="13"/>
        <v>0</v>
      </c>
      <c r="B47" s="77" t="str">
        <f>IFERROR(VLOOKUP(H47,[1]SEMIELABORADOS!$A$2:$M$6000,2,0),"")</f>
        <v/>
      </c>
      <c r="C47" s="72">
        <f t="shared" si="14"/>
        <v>0</v>
      </c>
      <c r="D47" s="73" t="str">
        <f>IFERROR(VLOOKUP(H47,[1]SEMIELABORADOS!$A$2:$M$6000,6,0),"")</f>
        <v/>
      </c>
      <c r="E47" s="73" t="str">
        <f>IFERROR(VLOOKUP(H47,[1]SEMIELABORADOS!$A$2:$M$65536,12,0),"")</f>
        <v/>
      </c>
      <c r="F47" s="73" t="str">
        <f t="shared" si="15"/>
        <v/>
      </c>
      <c r="G47" s="74" t="str">
        <f t="shared" si="16"/>
        <v/>
      </c>
      <c r="H47" s="78"/>
      <c r="I47" s="70"/>
      <c r="J47" s="76"/>
    </row>
    <row r="48" spans="1:13" ht="13.5" hidden="1" x14ac:dyDescent="0.25">
      <c r="A48" s="71">
        <f t="shared" si="13"/>
        <v>0</v>
      </c>
      <c r="B48" s="77" t="str">
        <f>IFERROR(VLOOKUP(H48,[1]SEMIELABORADOS!$A$2:$M$6000,2,0),"")</f>
        <v/>
      </c>
      <c r="C48" s="72">
        <f t="shared" si="14"/>
        <v>0</v>
      </c>
      <c r="D48" s="73" t="str">
        <f>IFERROR(VLOOKUP(H48,[1]SEMIELABORADOS!$A$2:$M$6000,6,0),"")</f>
        <v/>
      </c>
      <c r="E48" s="73" t="str">
        <f>IFERROR(VLOOKUP(H48,[1]SEMIELABORADOS!$A$2:$M$65536,12,0),"")</f>
        <v/>
      </c>
      <c r="F48" s="73" t="str">
        <f t="shared" si="15"/>
        <v/>
      </c>
      <c r="G48" s="74" t="str">
        <f t="shared" si="16"/>
        <v/>
      </c>
      <c r="H48" s="78"/>
      <c r="I48" s="70"/>
      <c r="J48" s="76"/>
    </row>
    <row r="49" spans="1:17" ht="13.5" hidden="1" x14ac:dyDescent="0.25">
      <c r="A49" s="71">
        <f t="shared" si="13"/>
        <v>0</v>
      </c>
      <c r="B49" s="77" t="str">
        <f>IFERROR(VLOOKUP(H49,[1]SEMIELABORADOS!$A$2:$M$6000,2,0),"")</f>
        <v/>
      </c>
      <c r="C49" s="72">
        <f t="shared" si="14"/>
        <v>0</v>
      </c>
      <c r="D49" s="73" t="str">
        <f>IFERROR(VLOOKUP(H49,[1]SEMIELABORADOS!$A$2:$M$6000,6,0),"")</f>
        <v/>
      </c>
      <c r="E49" s="73" t="str">
        <f>IFERROR(VLOOKUP(H49,[1]SEMIELABORADOS!$A$2:$M$65536,12,0),"")</f>
        <v/>
      </c>
      <c r="F49" s="73" t="str">
        <f t="shared" si="15"/>
        <v/>
      </c>
      <c r="G49" s="74" t="str">
        <f t="shared" si="16"/>
        <v/>
      </c>
      <c r="H49" s="78"/>
      <c r="I49" s="70"/>
      <c r="J49" s="76"/>
    </row>
    <row r="50" spans="1:17" ht="13.5" hidden="1" x14ac:dyDescent="0.25">
      <c r="A50" s="71">
        <f t="shared" si="13"/>
        <v>0</v>
      </c>
      <c r="B50" s="77" t="str">
        <f>IFERROR(VLOOKUP(H50,[1]SEMIELABORADOS!$A$2:$M$6000,2,0),"")</f>
        <v/>
      </c>
      <c r="C50" s="72">
        <f t="shared" si="14"/>
        <v>0</v>
      </c>
      <c r="D50" s="73" t="str">
        <f>IFERROR(VLOOKUP(H50,[1]SEMIELABORADOS!$A$2:$M$6000,6,0),"")</f>
        <v/>
      </c>
      <c r="E50" s="73" t="str">
        <f>IFERROR(VLOOKUP(H50,[1]SEMIELABORADOS!$A$2:$M$65536,12,0),"")</f>
        <v/>
      </c>
      <c r="F50" s="73" t="str">
        <f t="shared" si="15"/>
        <v/>
      </c>
      <c r="G50" s="74" t="str">
        <f t="shared" si="16"/>
        <v/>
      </c>
      <c r="H50" s="77"/>
      <c r="I50" s="70"/>
      <c r="J50" s="76"/>
    </row>
    <row r="51" spans="1:17" ht="13.5" x14ac:dyDescent="0.25">
      <c r="A51" s="71">
        <v>1</v>
      </c>
      <c r="B51" s="77" t="s">
        <v>100</v>
      </c>
      <c r="C51" s="72">
        <f>+A51</f>
        <v>1</v>
      </c>
      <c r="D51" s="72" t="s">
        <v>101</v>
      </c>
      <c r="E51" s="73">
        <f>+F65</f>
        <v>385</v>
      </c>
      <c r="F51" s="73">
        <f>IFERROR(C51*E51,"")</f>
        <v>385</v>
      </c>
      <c r="G51" s="74">
        <f>IFERROR(F51/$F$66,"")</f>
        <v>1.648949383678399E-2</v>
      </c>
      <c r="H51" s="82"/>
      <c r="I51" s="82"/>
      <c r="J51" s="76"/>
    </row>
    <row r="52" spans="1:17" ht="14.25" thickBot="1" x14ac:dyDescent="0.3">
      <c r="A52" s="71"/>
      <c r="B52" s="77"/>
      <c r="C52" s="72"/>
      <c r="D52" s="72"/>
      <c r="E52" s="73"/>
      <c r="F52" s="73"/>
      <c r="G52" s="74"/>
      <c r="H52" s="82"/>
      <c r="I52" s="82"/>
      <c r="J52" s="76"/>
    </row>
    <row r="53" spans="1:17" ht="13.5" thickBot="1" x14ac:dyDescent="0.3">
      <c r="A53" s="83"/>
      <c r="B53" s="619" t="s">
        <v>102</v>
      </c>
      <c r="C53" s="619"/>
      <c r="D53" s="619"/>
      <c r="E53" s="619"/>
      <c r="F53" s="85">
        <f>SUM(F8:F14,F17:F24)</f>
        <v>22510</v>
      </c>
      <c r="G53" s="74">
        <f>+F53/$F$66</f>
        <v>0.96410001627534458</v>
      </c>
      <c r="H53" s="86">
        <f>+F53/$D$60</f>
        <v>22510</v>
      </c>
      <c r="I53" s="86"/>
      <c r="J53" s="87"/>
      <c r="K53" s="88"/>
      <c r="L53" s="88"/>
      <c r="M53" s="88"/>
      <c r="N53" s="88"/>
      <c r="O53" s="88"/>
      <c r="P53" s="88"/>
      <c r="Q53" s="89"/>
    </row>
    <row r="54" spans="1:17" x14ac:dyDescent="0.2">
      <c r="A54" s="83"/>
      <c r="B54" s="619" t="s">
        <v>103</v>
      </c>
      <c r="C54" s="619"/>
      <c r="D54" s="619"/>
      <c r="E54" s="619"/>
      <c r="F54" s="85">
        <f>SUM(F27:F32,F35:F41)</f>
        <v>3</v>
      </c>
      <c r="G54" s="74">
        <f>+F54/$F$66</f>
        <v>1.2848956236455059E-4</v>
      </c>
      <c r="H54" s="86">
        <f>+F54/$D$60</f>
        <v>3</v>
      </c>
      <c r="I54" s="86"/>
      <c r="J54" s="90"/>
      <c r="K54" s="620" t="s">
        <v>104</v>
      </c>
      <c r="L54" s="621"/>
      <c r="M54" s="621"/>
      <c r="N54" s="621"/>
      <c r="O54" s="91">
        <f>+F55</f>
        <v>22513</v>
      </c>
      <c r="P54" s="91"/>
      <c r="Q54" s="92"/>
    </row>
    <row r="55" spans="1:17" x14ac:dyDescent="0.2">
      <c r="A55" s="83"/>
      <c r="B55" s="619" t="s">
        <v>105</v>
      </c>
      <c r="C55" s="619"/>
      <c r="D55" s="619"/>
      <c r="E55" s="619"/>
      <c r="F55" s="85">
        <f>+F53+F54</f>
        <v>22513</v>
      </c>
      <c r="G55" s="74">
        <f>+F55/$F$66</f>
        <v>0.96422850583770914</v>
      </c>
      <c r="H55" s="86">
        <f>+F55/$D$60</f>
        <v>22513</v>
      </c>
      <c r="I55" s="86"/>
      <c r="J55" s="93"/>
      <c r="K55" s="94"/>
      <c r="M55" s="95" t="s">
        <v>106</v>
      </c>
      <c r="N55" s="96"/>
      <c r="O55" s="91">
        <f>+H56</f>
        <v>388</v>
      </c>
      <c r="P55" s="91"/>
      <c r="Q55" s="92"/>
    </row>
    <row r="56" spans="1:17" ht="13.5" thickBot="1" x14ac:dyDescent="0.25">
      <c r="A56" s="83"/>
      <c r="B56" s="84"/>
      <c r="C56" s="619" t="s">
        <v>107</v>
      </c>
      <c r="D56" s="619"/>
      <c r="E56" s="619"/>
      <c r="F56" s="85">
        <f>SUM(F44:F51)</f>
        <v>388</v>
      </c>
      <c r="G56" s="74">
        <f>+F56/$F$66</f>
        <v>1.6617983399148543E-2</v>
      </c>
      <c r="H56" s="86">
        <f>+F56/$D$60</f>
        <v>388</v>
      </c>
      <c r="I56" s="86"/>
      <c r="J56" s="93"/>
      <c r="K56" s="94"/>
      <c r="L56" s="94"/>
      <c r="M56" s="94" t="s">
        <v>108</v>
      </c>
      <c r="N56" s="97"/>
      <c r="O56" s="91">
        <f>O54*N56</f>
        <v>0</v>
      </c>
      <c r="P56" s="91"/>
      <c r="Q56" s="92"/>
    </row>
    <row r="57" spans="1:17" ht="13.5" thickBot="1" x14ac:dyDescent="0.25">
      <c r="A57" s="83"/>
      <c r="B57" s="98"/>
      <c r="C57" s="98"/>
      <c r="D57" s="98"/>
      <c r="E57" s="98"/>
      <c r="F57" s="99"/>
      <c r="G57" s="74"/>
      <c r="H57" s="100"/>
      <c r="I57" s="86"/>
      <c r="J57" s="93"/>
      <c r="K57" s="101"/>
      <c r="M57" s="102" t="s">
        <v>109</v>
      </c>
      <c r="N57" s="103"/>
      <c r="O57" s="104">
        <f>SUM(O54:O56)</f>
        <v>22901</v>
      </c>
      <c r="P57" s="105"/>
      <c r="Q57" s="92"/>
    </row>
    <row r="58" spans="1:17" x14ac:dyDescent="0.2">
      <c r="B58" s="622" t="s">
        <v>110</v>
      </c>
      <c r="C58" s="622"/>
      <c r="D58" s="106">
        <v>9000</v>
      </c>
      <c r="E58" s="107"/>
      <c r="G58" s="74"/>
      <c r="H58" s="100">
        <f>+H56/77</f>
        <v>5.0389610389610393</v>
      </c>
      <c r="I58" s="108"/>
      <c r="J58" s="93"/>
      <c r="K58" s="101"/>
      <c r="L58" s="94"/>
      <c r="M58" s="94" t="s">
        <v>111</v>
      </c>
      <c r="N58" s="109"/>
      <c r="O58" s="91">
        <f>+H59</f>
        <v>418.23376623376629</v>
      </c>
      <c r="P58" s="91"/>
      <c r="Q58" s="92"/>
    </row>
    <row r="59" spans="1:17" x14ac:dyDescent="0.2">
      <c r="B59" s="622" t="s">
        <v>112</v>
      </c>
      <c r="C59" s="622"/>
      <c r="D59" s="110">
        <v>9000</v>
      </c>
      <c r="E59" s="107"/>
      <c r="G59" s="74"/>
      <c r="H59" s="100">
        <f>+H58*83</f>
        <v>418.23376623376629</v>
      </c>
      <c r="I59" s="108"/>
      <c r="J59" s="93"/>
      <c r="K59" s="101"/>
      <c r="L59" s="94"/>
      <c r="M59" s="623" t="s">
        <v>109</v>
      </c>
      <c r="N59" s="623"/>
      <c r="O59" s="91">
        <f>SUM(O57:O58)</f>
        <v>23319.233766233767</v>
      </c>
      <c r="P59" s="91"/>
      <c r="Q59" s="92"/>
    </row>
    <row r="60" spans="1:17" ht="13.5" thickBot="1" x14ac:dyDescent="0.25">
      <c r="B60" s="614" t="s">
        <v>113</v>
      </c>
      <c r="C60" s="614"/>
      <c r="D60" s="106">
        <f>+D58/D59</f>
        <v>1</v>
      </c>
      <c r="E60" s="107"/>
      <c r="F60" s="111"/>
      <c r="G60" s="74"/>
      <c r="H60" s="100"/>
      <c r="I60" s="108"/>
      <c r="J60" s="93"/>
      <c r="K60" s="101"/>
      <c r="L60" s="623"/>
      <c r="M60" s="623"/>
      <c r="N60" s="109"/>
      <c r="O60" s="91">
        <f>+O59*N60</f>
        <v>0</v>
      </c>
      <c r="P60" s="91"/>
      <c r="Q60" s="92"/>
    </row>
    <row r="61" spans="1:17" ht="13.5" thickBot="1" x14ac:dyDescent="0.25">
      <c r="B61" s="614" t="s">
        <v>114</v>
      </c>
      <c r="C61" s="614"/>
      <c r="D61" s="112"/>
      <c r="E61" s="107"/>
      <c r="F61" s="111"/>
      <c r="G61" s="74"/>
      <c r="H61" s="100"/>
      <c r="I61" s="108"/>
      <c r="J61" s="93"/>
      <c r="K61" s="615" t="s">
        <v>115</v>
      </c>
      <c r="L61" s="616"/>
      <c r="M61" s="616"/>
      <c r="N61" s="617"/>
      <c r="O61" s="104">
        <f>SUM(O59:O60)</f>
        <v>23319.233766233767</v>
      </c>
      <c r="P61" s="113" t="s">
        <v>116</v>
      </c>
      <c r="Q61" s="92"/>
    </row>
    <row r="62" spans="1:17" ht="13.5" thickBot="1" x14ac:dyDescent="0.25">
      <c r="C62" s="83" t="s">
        <v>117</v>
      </c>
      <c r="D62" s="114"/>
      <c r="E62" s="57" t="s">
        <v>118</v>
      </c>
      <c r="F62" s="115" t="s">
        <v>119</v>
      </c>
      <c r="G62" s="74"/>
      <c r="H62" s="100"/>
      <c r="I62" s="108"/>
      <c r="J62" s="116"/>
      <c r="K62" s="117"/>
      <c r="L62" s="603" t="s">
        <v>120</v>
      </c>
      <c r="M62" s="603"/>
      <c r="N62" s="603"/>
      <c r="O62" s="118">
        <f>+O61/D60</f>
        <v>23319.233766233767</v>
      </c>
      <c r="P62" s="119">
        <f>+O62/D59</f>
        <v>2.5910259740259742</v>
      </c>
      <c r="Q62" s="120"/>
    </row>
    <row r="63" spans="1:17" ht="13.5" thickBot="1" x14ac:dyDescent="0.25">
      <c r="B63" s="604" t="s">
        <v>105</v>
      </c>
      <c r="C63" s="604"/>
      <c r="D63" s="604"/>
      <c r="E63" s="121">
        <f>+F63/F63</f>
        <v>1</v>
      </c>
      <c r="F63" s="122">
        <f>SUM(F55)</f>
        <v>22513</v>
      </c>
      <c r="G63" s="74">
        <f>+F63/$F$66</f>
        <v>0.96422850583770914</v>
      </c>
      <c r="H63" s="100"/>
      <c r="I63" s="108"/>
      <c r="K63" s="605"/>
      <c r="L63" s="606"/>
      <c r="M63" s="606"/>
      <c r="N63" s="606"/>
      <c r="O63" s="123"/>
      <c r="P63" s="124"/>
    </row>
    <row r="64" spans="1:17" ht="13.5" thickBot="1" x14ac:dyDescent="0.3">
      <c r="B64" s="607" t="s">
        <v>121</v>
      </c>
      <c r="C64" s="607"/>
      <c r="D64" s="607"/>
      <c r="E64" s="125">
        <v>0.02</v>
      </c>
      <c r="F64" s="122">
        <f>+F53*E64</f>
        <v>450.2</v>
      </c>
      <c r="G64" s="74">
        <f>+F64/$F$66</f>
        <v>1.9282000325506889E-2</v>
      </c>
      <c r="H64" s="86"/>
      <c r="I64" s="108"/>
      <c r="J64" s="126"/>
      <c r="O64" s="127"/>
      <c r="P64" s="84"/>
    </row>
    <row r="65" spans="2:13" ht="13.5" thickBot="1" x14ac:dyDescent="0.3">
      <c r="B65" s="608" t="s">
        <v>122</v>
      </c>
      <c r="C65" s="609"/>
      <c r="D65" s="128">
        <v>5</v>
      </c>
      <c r="E65" s="129">
        <v>77</v>
      </c>
      <c r="F65" s="122">
        <f>+E65*D65</f>
        <v>385</v>
      </c>
      <c r="G65" s="74">
        <f>+F65/$F$66</f>
        <v>1.648949383678399E-2</v>
      </c>
      <c r="H65" s="86"/>
      <c r="I65" s="86"/>
      <c r="J65" s="76"/>
    </row>
    <row r="66" spans="2:13" ht="13.5" thickBot="1" x14ac:dyDescent="0.3">
      <c r="B66" s="610" t="s">
        <v>123</v>
      </c>
      <c r="C66" s="611"/>
      <c r="D66" s="611"/>
      <c r="E66" s="612"/>
      <c r="F66" s="99">
        <f>SUM(F63:F65)</f>
        <v>23348.2</v>
      </c>
      <c r="G66" s="74">
        <f>+F66/$F$66</f>
        <v>1</v>
      </c>
      <c r="H66" s="613"/>
      <c r="I66" s="86"/>
      <c r="J66" s="76"/>
      <c r="M66" s="59" t="s">
        <v>124</v>
      </c>
    </row>
    <row r="67" spans="2:13" x14ac:dyDescent="0.25">
      <c r="C67" s="81"/>
      <c r="D67" s="81"/>
      <c r="E67" s="131"/>
      <c r="F67" s="122"/>
      <c r="G67" s="74"/>
      <c r="H67" s="613"/>
      <c r="I67" s="130"/>
      <c r="J67" s="59"/>
      <c r="M67" s="59" t="s">
        <v>125</v>
      </c>
    </row>
    <row r="68" spans="2:13" ht="13.5" thickBot="1" x14ac:dyDescent="0.3">
      <c r="B68" s="598" t="s">
        <v>126</v>
      </c>
      <c r="C68" s="598"/>
      <c r="D68" s="598"/>
      <c r="E68" s="598"/>
      <c r="F68" s="598"/>
      <c r="G68" s="74"/>
      <c r="H68" s="133"/>
      <c r="I68" s="130"/>
      <c r="J68" s="59"/>
      <c r="M68" s="59" t="s">
        <v>127</v>
      </c>
    </row>
    <row r="69" spans="2:13" ht="13.5" thickBot="1" x14ac:dyDescent="0.3">
      <c r="B69" s="134" t="s">
        <v>128</v>
      </c>
      <c r="C69" s="135">
        <f>+F53</f>
        <v>22510</v>
      </c>
      <c r="D69" s="135">
        <f>+D58</f>
        <v>9000</v>
      </c>
      <c r="E69" s="136">
        <f>+C69/D69</f>
        <v>2.5011111111111113</v>
      </c>
      <c r="F69" s="74"/>
      <c r="G69" s="133"/>
      <c r="H69" s="76"/>
      <c r="I69" s="133"/>
      <c r="J69" s="59"/>
    </row>
    <row r="70" spans="2:13" x14ac:dyDescent="0.25">
      <c r="B70" s="137"/>
      <c r="C70" s="138"/>
      <c r="D70" s="139"/>
      <c r="E70" s="122"/>
      <c r="F70" s="74"/>
      <c r="G70" s="133"/>
      <c r="H70" s="76"/>
      <c r="I70" s="76"/>
      <c r="J70" s="59"/>
    </row>
    <row r="71" spans="2:13" x14ac:dyDescent="0.25">
      <c r="B71" s="134" t="s">
        <v>129</v>
      </c>
      <c r="C71" s="135">
        <f>SUM(F63:F64)</f>
        <v>22963.200000000001</v>
      </c>
      <c r="D71" s="135">
        <f>+D58</f>
        <v>9000</v>
      </c>
      <c r="E71" s="140">
        <f>+C71/D71</f>
        <v>2.5514666666666668</v>
      </c>
      <c r="F71" s="74"/>
      <c r="G71" s="133"/>
      <c r="H71" s="76"/>
      <c r="I71" s="76"/>
      <c r="J71" s="59"/>
    </row>
    <row r="72" spans="2:13" x14ac:dyDescent="0.25">
      <c r="B72" s="134"/>
      <c r="C72" s="135"/>
      <c r="D72" s="135"/>
      <c r="E72" s="140"/>
      <c r="F72" s="74"/>
      <c r="G72" s="133"/>
      <c r="H72" s="76"/>
      <c r="I72" s="76"/>
      <c r="J72" s="59"/>
    </row>
    <row r="73" spans="2:13" ht="13.5" thickBot="1" x14ac:dyDescent="0.3">
      <c r="B73" s="134" t="s">
        <v>130</v>
      </c>
      <c r="C73" s="135">
        <f>+F65</f>
        <v>385</v>
      </c>
      <c r="D73" s="135">
        <f>+D58</f>
        <v>9000</v>
      </c>
      <c r="E73" s="140">
        <f>+C73/D73</f>
        <v>4.2777777777777776E-2</v>
      </c>
      <c r="F73" s="74"/>
      <c r="G73" s="133"/>
      <c r="H73" s="76"/>
      <c r="I73" s="76"/>
      <c r="J73" s="59"/>
    </row>
    <row r="74" spans="2:13" ht="13.5" thickBot="1" x14ac:dyDescent="0.3">
      <c r="B74" s="134" t="s">
        <v>131</v>
      </c>
      <c r="C74" s="135">
        <f>+F56</f>
        <v>388</v>
      </c>
      <c r="D74" s="135">
        <f>+D73</f>
        <v>9000</v>
      </c>
      <c r="E74" s="136">
        <f>+C74/D74</f>
        <v>4.3111111111111114E-2</v>
      </c>
      <c r="F74" s="74"/>
      <c r="G74" s="133"/>
      <c r="H74" s="76"/>
      <c r="I74" s="76"/>
      <c r="J74" s="59"/>
    </row>
    <row r="75" spans="2:13" ht="13.5" thickBot="1" x14ac:dyDescent="0.3">
      <c r="B75" s="98"/>
      <c r="C75" s="99"/>
      <c r="D75" s="99"/>
      <c r="E75" s="140"/>
      <c r="F75" s="74"/>
      <c r="G75" s="133"/>
      <c r="H75" s="76"/>
      <c r="I75" s="76"/>
      <c r="J75" s="59"/>
    </row>
    <row r="76" spans="2:13" ht="13.5" thickBot="1" x14ac:dyDescent="0.3">
      <c r="B76" s="134" t="s">
        <v>132</v>
      </c>
      <c r="C76" s="135">
        <f>+F54</f>
        <v>3</v>
      </c>
      <c r="D76" s="135">
        <f>+D74</f>
        <v>9000</v>
      </c>
      <c r="E76" s="136">
        <f>+C76/D76</f>
        <v>3.3333333333333332E-4</v>
      </c>
      <c r="F76" s="74"/>
      <c r="G76" s="133"/>
      <c r="H76" s="76"/>
      <c r="I76" s="76"/>
      <c r="J76" s="76"/>
    </row>
    <row r="77" spans="2:13" ht="13.5" thickBot="1" x14ac:dyDescent="0.3">
      <c r="B77" s="98"/>
      <c r="C77" s="99"/>
      <c r="D77" s="99"/>
      <c r="E77" s="140"/>
      <c r="F77" s="74"/>
      <c r="G77" s="133"/>
      <c r="H77" s="76"/>
      <c r="I77" s="76"/>
    </row>
    <row r="78" spans="2:13" ht="13.5" thickBot="1" x14ac:dyDescent="0.3">
      <c r="B78" s="599" t="s">
        <v>133</v>
      </c>
      <c r="C78" s="600"/>
      <c r="D78" s="601"/>
      <c r="E78" s="136">
        <f>+E69+E74</f>
        <v>2.5442222222222224</v>
      </c>
      <c r="G78" s="74"/>
      <c r="H78" s="133"/>
      <c r="I78" s="76"/>
      <c r="J78" s="140"/>
    </row>
    <row r="79" spans="2:13" x14ac:dyDescent="0.25">
      <c r="I79" s="133"/>
      <c r="J79" s="59"/>
    </row>
    <row r="80" spans="2:13" ht="13.5" thickBot="1" x14ac:dyDescent="0.3">
      <c r="B80" s="598" t="s">
        <v>134</v>
      </c>
      <c r="C80" s="598"/>
      <c r="D80" s="598"/>
      <c r="E80" s="598"/>
      <c r="F80" s="598"/>
      <c r="G80" s="74"/>
      <c r="H80" s="133"/>
      <c r="J80" s="59"/>
    </row>
    <row r="81" spans="1:10" ht="13.5" thickBot="1" x14ac:dyDescent="0.3">
      <c r="B81" s="134" t="s">
        <v>128</v>
      </c>
      <c r="C81" s="135">
        <f>+C69</f>
        <v>22510</v>
      </c>
      <c r="D81" s="135">
        <f>+D60</f>
        <v>1</v>
      </c>
      <c r="E81" s="136">
        <f>+C81/D81</f>
        <v>22510</v>
      </c>
      <c r="F81" s="74"/>
      <c r="G81" s="133"/>
      <c r="H81" s="76"/>
      <c r="I81" s="133"/>
      <c r="J81" s="59"/>
    </row>
    <row r="82" spans="1:10" x14ac:dyDescent="0.25">
      <c r="B82" s="137"/>
      <c r="C82" s="138"/>
      <c r="D82" s="139"/>
      <c r="E82" s="122"/>
      <c r="F82" s="74"/>
      <c r="G82" s="133"/>
      <c r="H82" s="76"/>
      <c r="I82" s="76"/>
      <c r="J82" s="59"/>
    </row>
    <row r="83" spans="1:10" x14ac:dyDescent="0.25">
      <c r="B83" s="134" t="s">
        <v>129</v>
      </c>
      <c r="C83" s="135">
        <f>+C71</f>
        <v>22963.200000000001</v>
      </c>
      <c r="D83" s="135">
        <f>+D60</f>
        <v>1</v>
      </c>
      <c r="E83" s="140">
        <f>+C83/D83</f>
        <v>22963.200000000001</v>
      </c>
      <c r="F83" s="74"/>
      <c r="G83" s="133"/>
      <c r="H83" s="76"/>
      <c r="I83" s="76"/>
      <c r="J83" s="59"/>
    </row>
    <row r="84" spans="1:10" x14ac:dyDescent="0.25">
      <c r="B84" s="134"/>
      <c r="C84" s="135"/>
      <c r="D84" s="135"/>
      <c r="E84" s="140"/>
      <c r="F84" s="74"/>
      <c r="G84" s="133"/>
      <c r="H84" s="76"/>
      <c r="I84" s="76"/>
      <c r="J84" s="59"/>
    </row>
    <row r="85" spans="1:10" ht="13.5" thickBot="1" x14ac:dyDescent="0.3">
      <c r="B85" s="134" t="s">
        <v>131</v>
      </c>
      <c r="C85" s="135">
        <f>+C73</f>
        <v>385</v>
      </c>
      <c r="D85" s="135">
        <f>+D60</f>
        <v>1</v>
      </c>
      <c r="E85" s="140">
        <f>+C85/D85</f>
        <v>385</v>
      </c>
      <c r="F85" s="142"/>
      <c r="G85" s="132"/>
      <c r="H85" s="58"/>
      <c r="I85" s="76"/>
    </row>
    <row r="86" spans="1:10" ht="13.5" thickBot="1" x14ac:dyDescent="0.3">
      <c r="B86" s="134" t="s">
        <v>131</v>
      </c>
      <c r="C86" s="135">
        <f>+C74</f>
        <v>388</v>
      </c>
      <c r="D86" s="135">
        <f>+D85</f>
        <v>1</v>
      </c>
      <c r="E86" s="136">
        <f>+C86/D86</f>
        <v>388</v>
      </c>
      <c r="F86" s="141"/>
      <c r="G86" s="132"/>
      <c r="H86" s="58"/>
      <c r="I86" s="58"/>
    </row>
    <row r="87" spans="1:10" x14ac:dyDescent="0.25">
      <c r="I87" s="58"/>
    </row>
    <row r="88" spans="1:10" x14ac:dyDescent="0.2">
      <c r="A88" s="602"/>
      <c r="B88" s="602"/>
      <c r="C88" s="143"/>
      <c r="D88" s="143"/>
      <c r="E88" s="144"/>
      <c r="G88" s="145"/>
    </row>
    <row r="89" spans="1:10" x14ac:dyDescent="0.2">
      <c r="A89" s="77"/>
      <c r="B89" s="146"/>
      <c r="C89" s="147"/>
      <c r="D89" s="147"/>
      <c r="E89" s="148"/>
      <c r="G89" s="145"/>
    </row>
    <row r="90" spans="1:10" x14ac:dyDescent="0.2">
      <c r="A90" s="77"/>
      <c r="B90" s="146"/>
      <c r="C90" s="149"/>
      <c r="D90" s="149"/>
      <c r="E90" s="77"/>
      <c r="G90" s="145"/>
    </row>
    <row r="91" spans="1:10" x14ac:dyDescent="0.2">
      <c r="A91" s="77"/>
      <c r="B91" s="146"/>
      <c r="C91" s="150"/>
      <c r="D91" s="150"/>
      <c r="E91" s="77"/>
      <c r="G91" s="14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4AF2-D2F8-4925-83EF-4A39A87F4288}">
  <sheetPr>
    <pageSetUpPr fitToPage="1"/>
  </sheetPr>
  <dimension ref="A1:I32"/>
  <sheetViews>
    <sheetView tabSelected="1" zoomScale="80" zoomScaleNormal="80" workbookViewId="0">
      <selection activeCell="A31" sqref="A31:I31"/>
    </sheetView>
  </sheetViews>
  <sheetFormatPr baseColWidth="10" defaultRowHeight="15" x14ac:dyDescent="0.25"/>
  <cols>
    <col min="2" max="2" width="15.5703125" customWidth="1"/>
    <col min="3" max="3" width="55.5703125" customWidth="1"/>
    <col min="4" max="4" width="21.42578125" customWidth="1"/>
    <col min="5" max="5" width="15.28515625" customWidth="1"/>
    <col min="6" max="6" width="17" customWidth="1"/>
    <col min="7" max="7" width="15.7109375" customWidth="1"/>
    <col min="8" max="8" width="20.42578125" customWidth="1"/>
    <col min="9" max="9" width="24.28515625" bestFit="1" customWidth="1"/>
  </cols>
  <sheetData>
    <row r="1" spans="1:9" ht="18" x14ac:dyDescent="0.25">
      <c r="A1" s="545"/>
      <c r="B1" s="546"/>
      <c r="C1" s="549" t="s">
        <v>0</v>
      </c>
      <c r="D1" s="550"/>
      <c r="E1" s="550"/>
      <c r="F1" s="550"/>
      <c r="G1" s="551"/>
      <c r="H1" s="1" t="s">
        <v>1</v>
      </c>
      <c r="I1" s="539" t="s">
        <v>278</v>
      </c>
    </row>
    <row r="2" spans="1:9" ht="18.75" thickBot="1" x14ac:dyDescent="0.3">
      <c r="A2" s="547"/>
      <c r="B2" s="548"/>
      <c r="C2" s="552" t="s">
        <v>2</v>
      </c>
      <c r="D2" s="553"/>
      <c r="E2" s="553"/>
      <c r="F2" s="553"/>
      <c r="G2" s="554"/>
      <c r="H2" s="2" t="s">
        <v>3</v>
      </c>
      <c r="I2" s="539">
        <v>2</v>
      </c>
    </row>
    <row r="3" spans="1:9" ht="24" thickBot="1" x14ac:dyDescent="0.3">
      <c r="A3" s="547"/>
      <c r="B3" s="548"/>
      <c r="C3" s="555" t="s">
        <v>277</v>
      </c>
      <c r="D3" s="556"/>
      <c r="E3" s="556"/>
      <c r="F3" s="556"/>
      <c r="G3" s="557"/>
      <c r="H3" s="558" t="s">
        <v>4</v>
      </c>
      <c r="I3" s="540">
        <v>46056</v>
      </c>
    </row>
    <row r="4" spans="1:9" ht="18" x14ac:dyDescent="0.25">
      <c r="A4" s="547"/>
      <c r="B4" s="548"/>
      <c r="C4" s="3" t="s">
        <v>5</v>
      </c>
      <c r="D4" s="541" t="s">
        <v>6</v>
      </c>
      <c r="E4" s="542"/>
      <c r="F4" s="542"/>
      <c r="G4" s="542"/>
      <c r="H4" s="559"/>
      <c r="I4" s="540"/>
    </row>
    <row r="5" spans="1:9" ht="18" x14ac:dyDescent="0.25">
      <c r="A5" s="547"/>
      <c r="B5" s="548"/>
      <c r="C5" s="4" t="s">
        <v>7</v>
      </c>
      <c r="D5" s="543" t="s">
        <v>8</v>
      </c>
      <c r="E5" s="544"/>
      <c r="F5" s="544"/>
      <c r="G5" s="544"/>
      <c r="H5" s="559"/>
      <c r="I5" s="540"/>
    </row>
    <row r="6" spans="1:9" ht="18" x14ac:dyDescent="0.25">
      <c r="A6" s="562" t="s">
        <v>9</v>
      </c>
      <c r="B6" s="562"/>
      <c r="C6" s="562"/>
      <c r="D6" s="563" t="s">
        <v>74</v>
      </c>
      <c r="E6" s="563"/>
      <c r="F6" s="563"/>
      <c r="G6" s="564" t="s">
        <v>11</v>
      </c>
      <c r="H6" s="564"/>
      <c r="I6" s="5" t="s">
        <v>74</v>
      </c>
    </row>
    <row r="7" spans="1:9" ht="36" x14ac:dyDescent="0.25">
      <c r="A7" s="565" t="s">
        <v>12</v>
      </c>
      <c r="B7" s="567" t="s">
        <v>13</v>
      </c>
      <c r="C7" s="569" t="s">
        <v>14</v>
      </c>
      <c r="D7" s="569" t="s">
        <v>15</v>
      </c>
      <c r="E7" s="571" t="s">
        <v>16</v>
      </c>
      <c r="F7" s="572"/>
      <c r="G7" s="571" t="s">
        <v>17</v>
      </c>
      <c r="H7" s="572"/>
      <c r="I7" s="6" t="s">
        <v>18</v>
      </c>
    </row>
    <row r="8" spans="1:9" ht="36.75" thickBot="1" x14ac:dyDescent="0.3">
      <c r="A8" s="566"/>
      <c r="B8" s="568"/>
      <c r="C8" s="570"/>
      <c r="D8" s="570"/>
      <c r="E8" s="7" t="s">
        <v>19</v>
      </c>
      <c r="F8" s="8" t="s">
        <v>20</v>
      </c>
      <c r="G8" s="7" t="s">
        <v>19</v>
      </c>
      <c r="H8" s="8" t="s">
        <v>20</v>
      </c>
      <c r="I8" s="9" t="s">
        <v>21</v>
      </c>
    </row>
    <row r="9" spans="1:9" ht="20.25" x14ac:dyDescent="0.3">
      <c r="A9" s="10"/>
      <c r="B9" s="52" t="s">
        <v>135</v>
      </c>
      <c r="C9" s="53" t="s">
        <v>54</v>
      </c>
      <c r="D9" s="11" t="s">
        <v>29</v>
      </c>
      <c r="E9" s="12">
        <v>5000</v>
      </c>
      <c r="F9" s="13" t="s">
        <v>25</v>
      </c>
      <c r="G9" s="12"/>
      <c r="H9" s="13"/>
      <c r="I9" s="14"/>
    </row>
    <row r="10" spans="1:9" ht="21" x14ac:dyDescent="0.35">
      <c r="A10" s="15"/>
      <c r="B10" s="538" t="s">
        <v>67</v>
      </c>
      <c r="C10" s="51" t="s">
        <v>68</v>
      </c>
      <c r="D10" s="17" t="s">
        <v>75</v>
      </c>
      <c r="E10" s="17">
        <v>1500</v>
      </c>
      <c r="F10" s="17" t="s">
        <v>25</v>
      </c>
      <c r="G10" s="18"/>
      <c r="H10" s="19"/>
      <c r="I10" s="14"/>
    </row>
    <row r="11" spans="1:9" ht="20.25" x14ac:dyDescent="0.3">
      <c r="A11" s="17">
        <v>10415</v>
      </c>
      <c r="B11" s="17"/>
      <c r="C11" s="32" t="s">
        <v>76</v>
      </c>
      <c r="D11" s="17" t="s">
        <v>26</v>
      </c>
      <c r="E11" s="26">
        <v>2000</v>
      </c>
      <c r="F11" s="27" t="s">
        <v>25</v>
      </c>
      <c r="G11" s="560"/>
      <c r="H11" s="561"/>
      <c r="I11" s="14"/>
    </row>
    <row r="12" spans="1:9" ht="20.25" x14ac:dyDescent="0.3">
      <c r="A12" s="24"/>
      <c r="B12" s="28"/>
      <c r="C12" s="30"/>
      <c r="D12" s="25"/>
      <c r="E12" s="31"/>
      <c r="F12" s="29"/>
      <c r="G12" s="12"/>
      <c r="H12" s="13"/>
      <c r="I12" s="14"/>
    </row>
    <row r="13" spans="1:9" ht="20.25" x14ac:dyDescent="0.3">
      <c r="A13" s="17">
        <v>10415</v>
      </c>
      <c r="B13" s="17"/>
      <c r="C13" s="32" t="s">
        <v>76</v>
      </c>
      <c r="D13" s="17" t="s">
        <v>26</v>
      </c>
      <c r="E13" s="26">
        <v>500</v>
      </c>
      <c r="F13" s="27" t="s">
        <v>25</v>
      </c>
      <c r="G13" s="12"/>
      <c r="H13" s="13"/>
      <c r="I13" s="14"/>
    </row>
    <row r="14" spans="1:9" ht="21" x14ac:dyDescent="0.35">
      <c r="A14" s="12"/>
      <c r="B14" s="538" t="s">
        <v>77</v>
      </c>
      <c r="C14" s="538" t="s">
        <v>78</v>
      </c>
      <c r="D14" s="12"/>
      <c r="E14" s="12">
        <v>300</v>
      </c>
      <c r="F14" s="13" t="s">
        <v>25</v>
      </c>
      <c r="G14" s="12"/>
      <c r="H14" s="16"/>
      <c r="I14" s="14"/>
    </row>
    <row r="15" spans="1:9" ht="20.25" x14ac:dyDescent="0.3">
      <c r="A15" s="17"/>
      <c r="B15" s="17"/>
      <c r="C15" s="32"/>
      <c r="D15" s="17"/>
      <c r="E15" s="17"/>
      <c r="F15" s="23"/>
      <c r="G15" s="33"/>
      <c r="H15" s="13"/>
      <c r="I15" s="14"/>
    </row>
    <row r="16" spans="1:9" ht="21" thickBot="1" x14ac:dyDescent="0.35">
      <c r="A16" s="35"/>
      <c r="B16" s="36"/>
      <c r="C16" s="37"/>
      <c r="D16" s="37"/>
      <c r="E16" s="38"/>
      <c r="F16" s="39"/>
      <c r="G16" s="37"/>
      <c r="H16" s="37"/>
      <c r="I16" s="40"/>
    </row>
    <row r="17" spans="1:9" ht="21" thickBot="1" x14ac:dyDescent="0.35">
      <c r="A17" s="41"/>
      <c r="B17" s="42"/>
      <c r="C17" s="43"/>
      <c r="D17" s="44" t="s">
        <v>19</v>
      </c>
      <c r="E17" s="44" t="s">
        <v>35</v>
      </c>
      <c r="F17" s="45"/>
      <c r="G17" s="43"/>
      <c r="H17" s="46"/>
      <c r="I17" s="47"/>
    </row>
    <row r="18" spans="1:9" ht="20.25" x14ac:dyDescent="0.3">
      <c r="A18" s="573" t="s">
        <v>38</v>
      </c>
      <c r="B18" s="574"/>
      <c r="C18" s="575"/>
      <c r="D18" s="19">
        <v>8300</v>
      </c>
      <c r="E18" s="48" t="s">
        <v>25</v>
      </c>
      <c r="F18" s="576" t="s">
        <v>39</v>
      </c>
      <c r="G18" s="577"/>
      <c r="H18" s="578"/>
      <c r="I18" s="578"/>
    </row>
    <row r="19" spans="1:9" ht="20.25" x14ac:dyDescent="0.3">
      <c r="A19" s="579" t="s">
        <v>40</v>
      </c>
      <c r="B19" s="580"/>
      <c r="C19" s="581"/>
      <c r="D19" s="17">
        <v>5</v>
      </c>
      <c r="E19" s="17" t="s">
        <v>41</v>
      </c>
      <c r="F19" s="582" t="s">
        <v>42</v>
      </c>
      <c r="G19" s="583"/>
      <c r="H19" s="584"/>
      <c r="I19" s="584"/>
    </row>
    <row r="20" spans="1:9" ht="20.25" x14ac:dyDescent="0.3">
      <c r="A20" s="579" t="s">
        <v>43</v>
      </c>
      <c r="B20" s="580"/>
      <c r="C20" s="581"/>
      <c r="D20" s="17">
        <v>1</v>
      </c>
      <c r="E20" s="17" t="s">
        <v>30</v>
      </c>
      <c r="F20" s="582" t="s">
        <v>44</v>
      </c>
      <c r="G20" s="583"/>
      <c r="H20" s="584"/>
      <c r="I20" s="584"/>
    </row>
    <row r="21" spans="1:9" ht="20.25" x14ac:dyDescent="0.3">
      <c r="A21" s="579" t="s">
        <v>45</v>
      </c>
      <c r="B21" s="580"/>
      <c r="C21" s="581"/>
      <c r="D21" s="17">
        <v>8300</v>
      </c>
      <c r="E21" s="17" t="s">
        <v>25</v>
      </c>
      <c r="F21" s="586" t="s">
        <v>46</v>
      </c>
      <c r="G21" s="587"/>
      <c r="H21" s="588"/>
      <c r="I21" s="588"/>
    </row>
    <row r="22" spans="1:9" ht="20.25" x14ac:dyDescent="0.3">
      <c r="A22" s="589" t="s">
        <v>47</v>
      </c>
      <c r="B22" s="590"/>
      <c r="C22" s="591"/>
      <c r="D22" s="49">
        <f>SUM(E9:E14)-D18</f>
        <v>1000</v>
      </c>
      <c r="E22" s="49" t="s">
        <v>25</v>
      </c>
      <c r="F22" s="592"/>
      <c r="G22" s="593"/>
      <c r="H22" s="594"/>
      <c r="I22" s="594"/>
    </row>
    <row r="23" spans="1:9" ht="20.25" x14ac:dyDescent="0.3">
      <c r="A23" s="595" t="s">
        <v>48</v>
      </c>
      <c r="B23" s="595"/>
      <c r="C23" s="595"/>
      <c r="D23" s="595"/>
      <c r="E23" s="595"/>
      <c r="F23" s="595"/>
      <c r="G23" s="595"/>
      <c r="H23" s="595"/>
      <c r="I23" s="595"/>
    </row>
    <row r="24" spans="1:9" ht="20.25" x14ac:dyDescent="0.3">
      <c r="A24" s="585" t="s">
        <v>79</v>
      </c>
      <c r="B24" s="585"/>
      <c r="C24" s="585"/>
      <c r="D24" s="585"/>
      <c r="E24" s="585"/>
      <c r="F24" s="585"/>
      <c r="G24" s="585"/>
      <c r="H24" s="585"/>
      <c r="I24" s="585"/>
    </row>
    <row r="25" spans="1:9" ht="20.25" x14ac:dyDescent="0.3">
      <c r="A25" s="585" t="s">
        <v>80</v>
      </c>
      <c r="B25" s="585"/>
      <c r="C25" s="585"/>
      <c r="D25" s="585"/>
      <c r="E25" s="585"/>
      <c r="F25" s="585"/>
      <c r="G25" s="585"/>
      <c r="H25" s="585"/>
      <c r="I25" s="585"/>
    </row>
    <row r="26" spans="1:9" ht="20.25" x14ac:dyDescent="0.3">
      <c r="A26" s="585" t="s">
        <v>81</v>
      </c>
      <c r="B26" s="585"/>
      <c r="C26" s="585"/>
      <c r="D26" s="585"/>
      <c r="E26" s="585"/>
      <c r="F26" s="585"/>
      <c r="G26" s="585"/>
      <c r="H26" s="585"/>
      <c r="I26" s="585"/>
    </row>
    <row r="27" spans="1:9" ht="20.25" x14ac:dyDescent="0.3">
      <c r="A27" s="585"/>
      <c r="B27" s="585"/>
      <c r="C27" s="585"/>
      <c r="D27" s="585"/>
      <c r="E27" s="585"/>
      <c r="F27" s="585"/>
      <c r="G27" s="585"/>
      <c r="H27" s="585"/>
      <c r="I27" s="585"/>
    </row>
    <row r="28" spans="1:9" ht="20.25" x14ac:dyDescent="0.3">
      <c r="A28" s="596" t="s">
        <v>49</v>
      </c>
      <c r="B28" s="596"/>
      <c r="C28" s="596"/>
      <c r="D28" s="596"/>
      <c r="E28" s="596"/>
      <c r="F28" s="596"/>
      <c r="G28" s="596"/>
      <c r="H28" s="596"/>
      <c r="I28" s="596"/>
    </row>
    <row r="29" spans="1:9" ht="20.25" x14ac:dyDescent="0.3">
      <c r="A29" s="597" t="s">
        <v>279</v>
      </c>
      <c r="B29" s="597"/>
      <c r="C29" s="597"/>
      <c r="D29" s="597"/>
      <c r="E29" s="597"/>
      <c r="F29" s="597"/>
      <c r="G29" s="597"/>
      <c r="H29" s="597"/>
      <c r="I29" s="597"/>
    </row>
    <row r="30" spans="1:9" ht="20.25" x14ac:dyDescent="0.3">
      <c r="A30" s="597"/>
      <c r="B30" s="597"/>
      <c r="C30" s="597"/>
      <c r="D30" s="597"/>
      <c r="E30" s="597"/>
      <c r="F30" s="597"/>
      <c r="G30" s="597"/>
      <c r="H30" s="597"/>
      <c r="I30" s="597"/>
    </row>
    <row r="31" spans="1:9" ht="20.25" x14ac:dyDescent="0.3">
      <c r="A31" s="597"/>
      <c r="B31" s="597"/>
      <c r="C31" s="597"/>
      <c r="D31" s="597"/>
      <c r="E31" s="597"/>
      <c r="F31" s="597"/>
      <c r="G31" s="597"/>
      <c r="H31" s="597"/>
      <c r="I31" s="597"/>
    </row>
    <row r="32" spans="1:9" ht="20.25" x14ac:dyDescent="0.3">
      <c r="A32" s="597"/>
      <c r="B32" s="597"/>
      <c r="C32" s="597"/>
      <c r="D32" s="597"/>
      <c r="E32" s="597"/>
      <c r="F32" s="597"/>
      <c r="G32" s="597"/>
      <c r="H32" s="597"/>
      <c r="I32" s="597"/>
    </row>
  </sheetData>
  <mergeCells count="43">
    <mergeCell ref="A28:I28"/>
    <mergeCell ref="A29:I29"/>
    <mergeCell ref="A30:I30"/>
    <mergeCell ref="A31:I31"/>
    <mergeCell ref="A32:I32"/>
    <mergeCell ref="A25:I25"/>
    <mergeCell ref="A26:I26"/>
    <mergeCell ref="A27:I2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18:C18"/>
    <mergeCell ref="F18:G18"/>
    <mergeCell ref="H18:I18"/>
    <mergeCell ref="A19:C19"/>
    <mergeCell ref="F19:G19"/>
    <mergeCell ref="H19:I19"/>
    <mergeCell ref="G11:H1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EEA3-794D-4B65-9866-35CB7BAB5330}">
  <dimension ref="A1:I58"/>
  <sheetViews>
    <sheetView workbookViewId="0">
      <selection activeCell="C13" sqref="C1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638"/>
      <c r="B1" s="639"/>
      <c r="C1" s="644" t="s">
        <v>0</v>
      </c>
      <c r="D1" s="644"/>
      <c r="E1" s="644"/>
      <c r="F1" s="644"/>
      <c r="G1" s="644"/>
      <c r="H1" s="151" t="s">
        <v>1</v>
      </c>
      <c r="I1" s="152" t="s">
        <v>217</v>
      </c>
    </row>
    <row r="2" spans="1:9" ht="18" customHeight="1" thickBot="1" x14ac:dyDescent="0.3">
      <c r="A2" s="640"/>
      <c r="B2" s="641"/>
      <c r="C2" s="645" t="s">
        <v>2</v>
      </c>
      <c r="D2" s="646"/>
      <c r="E2" s="646"/>
      <c r="F2" s="646"/>
      <c r="G2" s="647"/>
      <c r="H2" s="153" t="s">
        <v>3</v>
      </c>
      <c r="I2" s="154" t="s">
        <v>152</v>
      </c>
    </row>
    <row r="3" spans="1:9" ht="31.5" customHeight="1" thickBot="1" x14ac:dyDescent="0.3">
      <c r="A3" s="640"/>
      <c r="B3" s="641"/>
      <c r="C3" s="784" t="s">
        <v>218</v>
      </c>
      <c r="D3" s="785"/>
      <c r="E3" s="785"/>
      <c r="F3" s="785"/>
      <c r="G3" s="786"/>
      <c r="H3" s="651" t="s">
        <v>4</v>
      </c>
      <c r="I3" s="629">
        <v>45661</v>
      </c>
    </row>
    <row r="4" spans="1:9" ht="18" customHeight="1" x14ac:dyDescent="0.25">
      <c r="A4" s="640"/>
      <c r="B4" s="641"/>
      <c r="C4" s="155" t="s">
        <v>5</v>
      </c>
      <c r="D4" s="632" t="s">
        <v>154</v>
      </c>
      <c r="E4" s="633"/>
      <c r="F4" s="633"/>
      <c r="G4" s="634"/>
      <c r="H4" s="652"/>
      <c r="I4" s="630"/>
    </row>
    <row r="5" spans="1:9" ht="15.75" thickBot="1" x14ac:dyDescent="0.3">
      <c r="A5" s="642"/>
      <c r="B5" s="643"/>
      <c r="C5" s="156" t="s">
        <v>7</v>
      </c>
      <c r="D5" s="635" t="s">
        <v>8</v>
      </c>
      <c r="E5" s="636"/>
      <c r="F5" s="636"/>
      <c r="G5" s="637"/>
      <c r="H5" s="653"/>
      <c r="I5" s="631"/>
    </row>
    <row r="6" spans="1:9" ht="18.75" thickBot="1" x14ac:dyDescent="0.3">
      <c r="A6" s="654" t="s">
        <v>9</v>
      </c>
      <c r="B6" s="654"/>
      <c r="C6" s="654"/>
      <c r="D6" s="709" t="s">
        <v>10</v>
      </c>
      <c r="E6" s="709"/>
      <c r="F6" s="709"/>
      <c r="G6" s="656" t="s">
        <v>11</v>
      </c>
      <c r="H6" s="656"/>
      <c r="I6" s="157" t="s">
        <v>10</v>
      </c>
    </row>
    <row r="7" spans="1:9" ht="25.5" x14ac:dyDescent="0.25">
      <c r="A7" s="657" t="s">
        <v>12</v>
      </c>
      <c r="B7" s="659" t="s">
        <v>13</v>
      </c>
      <c r="C7" s="661" t="s">
        <v>14</v>
      </c>
      <c r="D7" s="661" t="s">
        <v>15</v>
      </c>
      <c r="E7" s="661" t="s">
        <v>16</v>
      </c>
      <c r="F7" s="661"/>
      <c r="G7" s="661" t="s">
        <v>17</v>
      </c>
      <c r="H7" s="661"/>
      <c r="I7" s="158" t="s">
        <v>18</v>
      </c>
    </row>
    <row r="8" spans="1:9" ht="27" thickBot="1" x14ac:dyDescent="0.3">
      <c r="A8" s="710"/>
      <c r="B8" s="711"/>
      <c r="C8" s="712"/>
      <c r="D8" s="712"/>
      <c r="E8" s="159" t="s">
        <v>19</v>
      </c>
      <c r="F8" s="160" t="s">
        <v>20</v>
      </c>
      <c r="G8" s="159" t="s">
        <v>19</v>
      </c>
      <c r="H8" s="160" t="s">
        <v>20</v>
      </c>
      <c r="I8" s="161" t="s">
        <v>21</v>
      </c>
    </row>
    <row r="9" spans="1:9" ht="18.399999999999999" customHeight="1" x14ac:dyDescent="0.25">
      <c r="A9" s="162"/>
      <c r="B9" s="163"/>
      <c r="C9" s="164" t="s">
        <v>22</v>
      </c>
      <c r="D9" s="165"/>
      <c r="E9" s="166"/>
      <c r="F9" s="167"/>
      <c r="G9" s="166"/>
      <c r="H9" s="167"/>
      <c r="I9" s="168"/>
    </row>
    <row r="10" spans="1:9" ht="18" customHeight="1" x14ac:dyDescent="0.25">
      <c r="A10" s="339" t="s">
        <v>219</v>
      </c>
      <c r="B10" s="339" t="s">
        <v>220</v>
      </c>
      <c r="C10" s="340" t="s">
        <v>221</v>
      </c>
      <c r="D10" s="341" t="s">
        <v>222</v>
      </c>
      <c r="E10" s="342">
        <v>19850</v>
      </c>
      <c r="F10" s="343" t="s">
        <v>25</v>
      </c>
      <c r="G10" s="175"/>
      <c r="H10" s="176"/>
      <c r="I10" s="168"/>
    </row>
    <row r="11" spans="1:9" ht="15.75" x14ac:dyDescent="0.25">
      <c r="A11" s="344" t="s">
        <v>223</v>
      </c>
      <c r="B11" s="345" t="s">
        <v>224</v>
      </c>
      <c r="C11" s="315" t="s">
        <v>225</v>
      </c>
      <c r="D11" s="346" t="s">
        <v>226</v>
      </c>
      <c r="E11" s="347">
        <v>520</v>
      </c>
      <c r="F11" s="348" t="s">
        <v>25</v>
      </c>
      <c r="G11" s="175"/>
      <c r="H11" s="176"/>
      <c r="I11" s="168"/>
    </row>
    <row r="12" spans="1:9" ht="15.75" x14ac:dyDescent="0.25">
      <c r="A12" s="177" t="s">
        <v>227</v>
      </c>
      <c r="B12" s="299" t="s">
        <v>228</v>
      </c>
      <c r="C12" s="349" t="s">
        <v>229</v>
      </c>
      <c r="D12" s="346" t="s">
        <v>230</v>
      </c>
      <c r="E12" s="347">
        <v>20</v>
      </c>
      <c r="F12" s="348" t="s">
        <v>25</v>
      </c>
      <c r="G12" s="182"/>
      <c r="H12" s="176"/>
      <c r="I12" s="168"/>
    </row>
    <row r="13" spans="1:9" x14ac:dyDescent="0.25">
      <c r="A13" s="177" t="s">
        <v>231</v>
      </c>
      <c r="B13" s="177"/>
      <c r="C13" s="315" t="s">
        <v>232</v>
      </c>
      <c r="D13" s="226" t="s">
        <v>26</v>
      </c>
      <c r="E13" s="193">
        <v>65</v>
      </c>
      <c r="F13" s="195" t="s">
        <v>25</v>
      </c>
      <c r="G13" s="182"/>
      <c r="H13" s="176"/>
      <c r="I13" s="168"/>
    </row>
    <row r="14" spans="1:9" x14ac:dyDescent="0.25">
      <c r="A14" s="177">
        <v>11300011</v>
      </c>
      <c r="B14" s="177" t="s">
        <v>233</v>
      </c>
      <c r="C14" s="315" t="s">
        <v>234</v>
      </c>
      <c r="D14" s="226" t="s">
        <v>235</v>
      </c>
      <c r="E14" s="193">
        <v>750</v>
      </c>
      <c r="F14" s="195" t="s">
        <v>25</v>
      </c>
      <c r="G14" s="182"/>
      <c r="H14" s="176"/>
      <c r="I14" s="168"/>
    </row>
    <row r="15" spans="1:9" x14ac:dyDescent="0.25">
      <c r="A15" s="177"/>
      <c r="B15" s="177" t="s">
        <v>236</v>
      </c>
      <c r="C15" s="315" t="s">
        <v>237</v>
      </c>
      <c r="D15" s="226" t="s">
        <v>238</v>
      </c>
      <c r="E15" s="193">
        <v>5</v>
      </c>
      <c r="F15" s="195" t="s">
        <v>30</v>
      </c>
      <c r="G15" s="182"/>
      <c r="H15" s="176"/>
      <c r="I15" s="168"/>
    </row>
    <row r="16" spans="1:9" x14ac:dyDescent="0.25">
      <c r="A16" s="177"/>
      <c r="B16" s="177"/>
      <c r="C16" s="315"/>
      <c r="D16" s="226" t="s">
        <v>230</v>
      </c>
      <c r="E16" s="193"/>
      <c r="F16" s="195"/>
      <c r="G16" s="182"/>
      <c r="H16" s="176"/>
      <c r="I16" s="168"/>
    </row>
    <row r="17" spans="1:9" x14ac:dyDescent="0.25">
      <c r="A17" s="191"/>
      <c r="B17" s="177"/>
      <c r="C17" s="187"/>
      <c r="D17" s="192"/>
      <c r="E17" s="192"/>
      <c r="F17" s="192"/>
      <c r="G17" s="166"/>
      <c r="H17" s="176"/>
      <c r="I17" s="168"/>
    </row>
    <row r="18" spans="1:9" ht="15.75" x14ac:dyDescent="0.25">
      <c r="A18" s="188"/>
      <c r="B18" s="189"/>
      <c r="C18" s="190" t="s">
        <v>27</v>
      </c>
      <c r="D18" s="193"/>
      <c r="E18" s="194"/>
      <c r="F18" s="195"/>
      <c r="G18" s="166"/>
      <c r="H18" s="167"/>
      <c r="I18" s="168"/>
    </row>
    <row r="19" spans="1:9" x14ac:dyDescent="0.25">
      <c r="A19" s="196"/>
      <c r="B19" s="197"/>
      <c r="C19" s="198"/>
      <c r="D19" s="199"/>
      <c r="E19" s="200"/>
      <c r="F19" s="201"/>
      <c r="G19" s="166"/>
      <c r="H19" s="167"/>
      <c r="I19" s="168"/>
    </row>
    <row r="20" spans="1:9" x14ac:dyDescent="0.25">
      <c r="A20" s="196"/>
      <c r="B20" s="197"/>
      <c r="C20" s="198"/>
      <c r="D20" s="199"/>
      <c r="E20" s="202"/>
      <c r="F20" s="201"/>
      <c r="G20" s="166"/>
      <c r="H20" s="167"/>
      <c r="I20" s="168"/>
    </row>
    <row r="21" spans="1:9" x14ac:dyDescent="0.25">
      <c r="A21" s="196"/>
      <c r="B21" s="197"/>
      <c r="C21" s="198"/>
      <c r="D21" s="199"/>
      <c r="E21" s="200"/>
      <c r="F21" s="201"/>
      <c r="G21" s="166"/>
      <c r="H21" s="167"/>
      <c r="I21" s="168"/>
    </row>
    <row r="22" spans="1:9" x14ac:dyDescent="0.25">
      <c r="A22" s="196"/>
      <c r="B22" s="197"/>
      <c r="C22" s="198"/>
      <c r="D22" s="199"/>
      <c r="E22" s="203"/>
      <c r="F22" s="204"/>
      <c r="G22" s="166"/>
      <c r="H22" s="167"/>
      <c r="I22" s="168"/>
    </row>
    <row r="23" spans="1:9" x14ac:dyDescent="0.25">
      <c r="A23" s="196"/>
      <c r="B23" s="197"/>
      <c r="C23" s="198"/>
      <c r="D23" s="199"/>
      <c r="E23" s="328"/>
      <c r="F23" s="204"/>
      <c r="G23" s="166"/>
      <c r="H23" s="167"/>
      <c r="I23" s="168"/>
    </row>
    <row r="24" spans="1:9" x14ac:dyDescent="0.25">
      <c r="A24" s="299"/>
      <c r="B24" s="299"/>
      <c r="D24" s="350"/>
      <c r="E24" s="351"/>
      <c r="F24" s="352"/>
      <c r="G24" s="166"/>
      <c r="H24" s="167"/>
      <c r="I24" s="168"/>
    </row>
    <row r="25" spans="1:9" x14ac:dyDescent="0.25">
      <c r="A25" s="177"/>
      <c r="B25" s="177"/>
      <c r="C25" s="187"/>
      <c r="D25" s="205"/>
      <c r="E25" s="248"/>
      <c r="F25" s="352"/>
      <c r="G25" s="166"/>
      <c r="H25" s="167"/>
      <c r="I25" s="168"/>
    </row>
    <row r="26" spans="1:9" x14ac:dyDescent="0.25">
      <c r="A26" s="177"/>
      <c r="B26" s="177"/>
      <c r="C26" s="187"/>
      <c r="D26" s="205"/>
      <c r="E26" s="206"/>
      <c r="F26" s="207"/>
      <c r="G26" s="166"/>
      <c r="H26" s="167"/>
      <c r="I26" s="168"/>
    </row>
    <row r="27" spans="1:9" ht="15.75" x14ac:dyDescent="0.25">
      <c r="A27" s="208"/>
      <c r="B27" s="209"/>
      <c r="C27" s="210" t="s">
        <v>28</v>
      </c>
      <c r="D27" s="211"/>
      <c r="E27" s="212"/>
      <c r="F27" s="167"/>
      <c r="G27" s="166"/>
      <c r="I27" s="168"/>
    </row>
    <row r="28" spans="1:9" x14ac:dyDescent="0.25">
      <c r="A28" s="229"/>
      <c r="B28" s="229"/>
      <c r="C28" s="230"/>
      <c r="D28" s="216"/>
      <c r="E28" s="217"/>
      <c r="F28" s="218"/>
      <c r="G28" s="219"/>
      <c r="H28" s="167"/>
      <c r="I28" s="168"/>
    </row>
    <row r="29" spans="1:9" x14ac:dyDescent="0.25">
      <c r="A29" s="353"/>
      <c r="B29" s="353"/>
      <c r="C29" s="354"/>
      <c r="D29" s="216"/>
      <c r="E29" s="217"/>
      <c r="F29" s="218"/>
      <c r="G29" s="219"/>
      <c r="H29" s="167"/>
      <c r="I29" s="168"/>
    </row>
    <row r="30" spans="1:9" x14ac:dyDescent="0.25">
      <c r="A30" s="177"/>
      <c r="B30" s="177"/>
      <c r="C30" s="187"/>
      <c r="D30" s="231"/>
      <c r="E30" s="206"/>
      <c r="F30" s="182"/>
      <c r="G30" s="219"/>
      <c r="H30" s="167"/>
      <c r="I30" s="168"/>
    </row>
    <row r="31" spans="1:9" x14ac:dyDescent="0.25">
      <c r="A31" s="223"/>
      <c r="B31" s="223"/>
      <c r="C31" s="224"/>
      <c r="D31" s="216"/>
      <c r="E31" s="217"/>
      <c r="F31" s="218"/>
      <c r="G31" s="166"/>
      <c r="H31" s="167"/>
      <c r="I31" s="168"/>
    </row>
    <row r="32" spans="1:9" x14ac:dyDescent="0.25">
      <c r="A32" s="223"/>
      <c r="B32" s="223"/>
      <c r="C32" s="224"/>
      <c r="D32" s="216"/>
      <c r="E32" s="217"/>
      <c r="F32" s="218"/>
      <c r="G32" s="166"/>
      <c r="H32" s="167"/>
      <c r="I32" s="168"/>
    </row>
    <row r="33" spans="1:9" x14ac:dyDescent="0.25">
      <c r="A33" s="223"/>
      <c r="B33" s="223"/>
      <c r="C33" s="224"/>
      <c r="D33" s="216"/>
      <c r="E33" s="217"/>
      <c r="F33" s="218"/>
      <c r="G33" s="225"/>
      <c r="H33" s="167"/>
      <c r="I33" s="168"/>
    </row>
    <row r="34" spans="1:9" ht="15.75" x14ac:dyDescent="0.25">
      <c r="A34" s="223"/>
      <c r="B34" s="223"/>
      <c r="C34" s="224" t="s">
        <v>230</v>
      </c>
      <c r="D34" s="184"/>
      <c r="E34" s="217"/>
      <c r="F34" s="218"/>
      <c r="G34" s="226"/>
      <c r="H34" s="167"/>
      <c r="I34" s="168"/>
    </row>
    <row r="35" spans="1:9" x14ac:dyDescent="0.25">
      <c r="A35" s="227"/>
      <c r="B35" s="227"/>
      <c r="C35" s="228"/>
      <c r="D35" s="216"/>
      <c r="E35" s="207"/>
      <c r="F35" s="207"/>
      <c r="G35" s="226"/>
      <c r="H35" s="167"/>
      <c r="I35" s="168"/>
    </row>
    <row r="36" spans="1:9" x14ac:dyDescent="0.25">
      <c r="A36" s="229"/>
      <c r="B36" s="177"/>
      <c r="C36" s="230"/>
      <c r="D36" s="231"/>
      <c r="E36" s="206"/>
      <c r="F36" s="182"/>
      <c r="G36" s="226"/>
      <c r="H36" s="167"/>
      <c r="I36" s="168"/>
    </row>
    <row r="37" spans="1:9" ht="15.75" x14ac:dyDescent="0.25">
      <c r="A37" s="223"/>
      <c r="B37" s="223"/>
      <c r="C37" s="224"/>
      <c r="D37" s="216"/>
      <c r="E37" s="206"/>
      <c r="F37" s="182"/>
      <c r="G37" s="232"/>
      <c r="H37" s="167"/>
      <c r="I37" s="168"/>
    </row>
    <row r="38" spans="1:9" ht="15.75" x14ac:dyDescent="0.25">
      <c r="A38" s="188"/>
      <c r="B38" s="189"/>
      <c r="C38" s="233"/>
      <c r="D38" s="193"/>
      <c r="E38" s="193"/>
      <c r="F38" s="195"/>
      <c r="G38" s="234"/>
      <c r="H38" s="234"/>
      <c r="I38" s="168"/>
    </row>
    <row r="39" spans="1:9" ht="15.75" thickBot="1" x14ac:dyDescent="0.3">
      <c r="A39" s="235"/>
      <c r="B39" s="236"/>
      <c r="C39" s="237"/>
      <c r="D39" s="237"/>
      <c r="E39" s="238"/>
      <c r="F39" s="239"/>
      <c r="G39" s="237"/>
      <c r="H39" s="237"/>
      <c r="I39" s="240"/>
    </row>
    <row r="40" spans="1:9" ht="15.75" thickBot="1" x14ac:dyDescent="0.3">
      <c r="A40" s="241"/>
      <c r="B40" s="242"/>
      <c r="C40" s="243"/>
      <c r="D40" s="244" t="s">
        <v>19</v>
      </c>
      <c r="E40" s="245" t="s">
        <v>35</v>
      </c>
      <c r="F40" s="246"/>
      <c r="G40" s="243"/>
      <c r="H40" s="243"/>
      <c r="I40" s="247"/>
    </row>
    <row r="41" spans="1:9" x14ac:dyDescent="0.25">
      <c r="A41" s="713" t="s">
        <v>38</v>
      </c>
      <c r="B41" s="714"/>
      <c r="C41" s="715"/>
      <c r="D41" s="248">
        <v>21200</v>
      </c>
      <c r="E41" s="249" t="s">
        <v>25</v>
      </c>
      <c r="F41" s="716" t="s">
        <v>39</v>
      </c>
      <c r="G41" s="716"/>
      <c r="H41" s="717"/>
      <c r="I41" s="718"/>
    </row>
    <row r="42" spans="1:9" x14ac:dyDescent="0.25">
      <c r="A42" s="719" t="s">
        <v>40</v>
      </c>
      <c r="B42" s="720"/>
      <c r="C42" s="721"/>
      <c r="D42" s="206">
        <v>8</v>
      </c>
      <c r="E42" s="182" t="s">
        <v>41</v>
      </c>
      <c r="F42" s="722" t="s">
        <v>42</v>
      </c>
      <c r="G42" s="722"/>
      <c r="H42" s="723"/>
      <c r="I42" s="724"/>
    </row>
    <row r="43" spans="1:9" x14ac:dyDescent="0.25">
      <c r="A43" s="719" t="s">
        <v>43</v>
      </c>
      <c r="B43" s="720"/>
      <c r="C43" s="721"/>
      <c r="D43" s="206">
        <v>1</v>
      </c>
      <c r="E43" s="182" t="s">
        <v>193</v>
      </c>
      <c r="F43" s="722" t="s">
        <v>44</v>
      </c>
      <c r="G43" s="722"/>
      <c r="H43" s="723"/>
      <c r="I43" s="724"/>
    </row>
    <row r="44" spans="1:9" x14ac:dyDescent="0.25">
      <c r="A44" s="719" t="s">
        <v>45</v>
      </c>
      <c r="B44" s="720"/>
      <c r="C44" s="721"/>
      <c r="D44" s="206">
        <v>21200</v>
      </c>
      <c r="E44" s="182" t="s">
        <v>25</v>
      </c>
      <c r="F44" s="728" t="s">
        <v>46</v>
      </c>
      <c r="G44" s="729"/>
      <c r="H44" s="760"/>
      <c r="I44" s="761"/>
    </row>
    <row r="45" spans="1:9" ht="15.75" thickBot="1" x14ac:dyDescent="0.3">
      <c r="A45" s="730" t="s">
        <v>47</v>
      </c>
      <c r="B45" s="731"/>
      <c r="C45" s="732"/>
      <c r="D45" s="250">
        <v>5</v>
      </c>
      <c r="E45" s="251" t="s">
        <v>25</v>
      </c>
      <c r="F45" s="733"/>
      <c r="G45" s="733"/>
      <c r="H45" s="723"/>
      <c r="I45" s="724"/>
    </row>
    <row r="46" spans="1:9" ht="15.75" thickBot="1" x14ac:dyDescent="0.3">
      <c r="A46" s="736" t="s">
        <v>48</v>
      </c>
      <c r="B46" s="737"/>
      <c r="C46" s="737"/>
      <c r="D46" s="737"/>
      <c r="E46" s="737"/>
      <c r="F46" s="737"/>
      <c r="G46" s="737"/>
      <c r="H46" s="737"/>
      <c r="I46" s="738"/>
    </row>
    <row r="47" spans="1:9" ht="18.399999999999999" customHeight="1" x14ac:dyDescent="0.25">
      <c r="A47" s="772" t="s">
        <v>239</v>
      </c>
      <c r="B47" s="773"/>
      <c r="C47" s="773"/>
      <c r="D47" s="773"/>
      <c r="E47" s="773"/>
      <c r="F47" s="773"/>
      <c r="G47" s="773"/>
      <c r="H47" s="773"/>
      <c r="I47" s="774"/>
    </row>
    <row r="48" spans="1:9" ht="14.65" customHeight="1" x14ac:dyDescent="0.25">
      <c r="A48" s="787" t="s">
        <v>240</v>
      </c>
      <c r="B48" s="788"/>
      <c r="C48" s="788"/>
      <c r="D48" s="788"/>
      <c r="E48" s="788"/>
      <c r="F48" s="788"/>
      <c r="G48" s="788"/>
      <c r="H48" s="788"/>
      <c r="I48" s="789"/>
    </row>
    <row r="49" spans="1:9" ht="14.65" customHeight="1" x14ac:dyDescent="0.25">
      <c r="A49" s="787" t="s">
        <v>241</v>
      </c>
      <c r="B49" s="788"/>
      <c r="C49" s="788"/>
      <c r="D49" s="788"/>
      <c r="E49" s="788"/>
      <c r="F49" s="788"/>
      <c r="G49" s="788"/>
      <c r="H49" s="788"/>
      <c r="I49" s="789"/>
    </row>
    <row r="50" spans="1:9" ht="14.65" customHeight="1" x14ac:dyDescent="0.25">
      <c r="A50" s="790"/>
      <c r="B50" s="791"/>
      <c r="C50" s="791"/>
      <c r="D50" s="791"/>
      <c r="E50" s="791"/>
      <c r="F50" s="791"/>
      <c r="G50" s="791"/>
      <c r="H50" s="791"/>
      <c r="I50" s="792"/>
    </row>
    <row r="51" spans="1:9" ht="14.65" customHeight="1" x14ac:dyDescent="0.25">
      <c r="A51" s="793"/>
      <c r="B51" s="794"/>
      <c r="C51" s="794"/>
      <c r="D51" s="794"/>
      <c r="E51" s="794"/>
      <c r="F51" s="794"/>
      <c r="G51" s="794"/>
      <c r="H51" s="794"/>
      <c r="I51" s="795"/>
    </row>
    <row r="52" spans="1:9" ht="14.65" customHeight="1" x14ac:dyDescent="0.25">
      <c r="A52" s="796"/>
      <c r="B52" s="797"/>
      <c r="C52" s="797"/>
      <c r="D52" s="797"/>
      <c r="E52" s="797"/>
      <c r="F52" s="797"/>
      <c r="G52" s="797"/>
      <c r="H52" s="797"/>
      <c r="I52" s="798"/>
    </row>
    <row r="53" spans="1:9" ht="18" customHeight="1" x14ac:dyDescent="0.25">
      <c r="A53" s="799"/>
      <c r="B53" s="800"/>
      <c r="C53" s="801"/>
      <c r="D53" s="801"/>
      <c r="E53" s="801"/>
      <c r="F53" s="801"/>
      <c r="G53" s="801"/>
      <c r="H53" s="801"/>
      <c r="I53" s="802"/>
    </row>
    <row r="54" spans="1:9" x14ac:dyDescent="0.25">
      <c r="A54" s="803"/>
      <c r="B54" s="804"/>
      <c r="C54" s="804"/>
      <c r="D54" s="804"/>
      <c r="E54" s="804"/>
      <c r="F54" s="804"/>
      <c r="G54" s="804"/>
      <c r="H54" s="804"/>
      <c r="I54" s="805"/>
    </row>
    <row r="55" spans="1:9" ht="15.75" thickBot="1" x14ac:dyDescent="0.3">
      <c r="A55" s="739"/>
      <c r="B55" s="740"/>
      <c r="C55" s="740"/>
      <c r="D55" s="740"/>
      <c r="E55" s="740"/>
      <c r="F55" s="740"/>
      <c r="G55" s="740"/>
      <c r="H55" s="740"/>
      <c r="I55" s="741"/>
    </row>
    <row r="56" spans="1:9" x14ac:dyDescent="0.25">
      <c r="A56" s="742" t="s">
        <v>49</v>
      </c>
      <c r="B56" s="743"/>
      <c r="C56" s="743"/>
      <c r="D56" s="743"/>
      <c r="E56" s="743"/>
      <c r="F56" s="743"/>
      <c r="G56" s="743"/>
      <c r="H56" s="743"/>
      <c r="I56" s="743"/>
    </row>
    <row r="57" spans="1:9" x14ac:dyDescent="0.25">
      <c r="A57" s="744"/>
      <c r="B57" s="745"/>
      <c r="C57" s="745"/>
      <c r="D57" s="745"/>
      <c r="E57" s="745"/>
      <c r="F57" s="745"/>
      <c r="G57" s="745"/>
      <c r="H57" s="745"/>
      <c r="I57" s="745"/>
    </row>
    <row r="58" spans="1:9" x14ac:dyDescent="0.25">
      <c r="A58" s="744"/>
      <c r="B58" s="745"/>
      <c r="C58" s="745"/>
      <c r="D58" s="745"/>
      <c r="E58" s="745"/>
      <c r="F58" s="745"/>
      <c r="G58" s="745"/>
      <c r="H58" s="745"/>
      <c r="I58" s="745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65FA-786C-4C03-88AA-5150915359A5}">
  <dimension ref="A1:I58"/>
  <sheetViews>
    <sheetView workbookViewId="0">
      <selection activeCell="H18" sqref="H18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7109375" bestFit="1" customWidth="1"/>
  </cols>
  <sheetData>
    <row r="1" spans="1:9" ht="17.25" x14ac:dyDescent="0.3">
      <c r="A1" s="815"/>
      <c r="B1" s="816"/>
      <c r="C1" s="644" t="s">
        <v>0</v>
      </c>
      <c r="D1" s="644"/>
      <c r="E1" s="644"/>
      <c r="F1" s="644"/>
      <c r="G1" s="644"/>
      <c r="H1" s="355" t="s">
        <v>1</v>
      </c>
      <c r="I1" s="356" t="s">
        <v>242</v>
      </c>
    </row>
    <row r="2" spans="1:9" ht="18" thickBot="1" x14ac:dyDescent="0.35">
      <c r="A2" s="817"/>
      <c r="B2" s="818"/>
      <c r="C2" s="645" t="s">
        <v>2</v>
      </c>
      <c r="D2" s="646"/>
      <c r="E2" s="646"/>
      <c r="F2" s="646"/>
      <c r="G2" s="647"/>
      <c r="H2" s="357" t="s">
        <v>3</v>
      </c>
      <c r="I2" s="358" t="s">
        <v>243</v>
      </c>
    </row>
    <row r="3" spans="1:9" ht="15.75" thickBot="1" x14ac:dyDescent="0.3">
      <c r="A3" s="817"/>
      <c r="B3" s="818"/>
      <c r="C3" s="821" t="s">
        <v>244</v>
      </c>
      <c r="D3" s="822"/>
      <c r="E3" s="822"/>
      <c r="F3" s="822"/>
      <c r="G3" s="823"/>
      <c r="H3" s="824" t="s">
        <v>4</v>
      </c>
      <c r="I3" s="806">
        <v>45663</v>
      </c>
    </row>
    <row r="4" spans="1:9" ht="17.25" x14ac:dyDescent="0.3">
      <c r="A4" s="817"/>
      <c r="B4" s="818"/>
      <c r="C4" s="359" t="s">
        <v>5</v>
      </c>
      <c r="D4" s="809" t="s">
        <v>154</v>
      </c>
      <c r="E4" s="810"/>
      <c r="F4" s="810"/>
      <c r="G4" s="811"/>
      <c r="H4" s="825"/>
      <c r="I4" s="807"/>
    </row>
    <row r="5" spans="1:9" ht="18" thickBot="1" x14ac:dyDescent="0.35">
      <c r="A5" s="819"/>
      <c r="B5" s="820"/>
      <c r="C5" s="360" t="s">
        <v>7</v>
      </c>
      <c r="D5" s="812" t="s">
        <v>8</v>
      </c>
      <c r="E5" s="813"/>
      <c r="F5" s="813"/>
      <c r="G5" s="814"/>
      <c r="H5" s="826"/>
      <c r="I5" s="808"/>
    </row>
    <row r="6" spans="1:9" ht="16.5" thickBot="1" x14ac:dyDescent="0.3">
      <c r="A6" s="827" t="s">
        <v>9</v>
      </c>
      <c r="B6" s="827"/>
      <c r="C6" s="827"/>
      <c r="D6" s="655" t="s">
        <v>27</v>
      </c>
      <c r="E6" s="655"/>
      <c r="F6" s="655"/>
      <c r="G6" s="828" t="s">
        <v>11</v>
      </c>
      <c r="H6" s="828"/>
      <c r="I6" s="252" t="s">
        <v>245</v>
      </c>
    </row>
    <row r="7" spans="1:9" x14ac:dyDescent="0.25">
      <c r="A7" s="829" t="s">
        <v>12</v>
      </c>
      <c r="B7" s="831" t="s">
        <v>13</v>
      </c>
      <c r="C7" s="833" t="s">
        <v>14</v>
      </c>
      <c r="D7" s="833" t="s">
        <v>15</v>
      </c>
      <c r="E7" s="833" t="s">
        <v>16</v>
      </c>
      <c r="F7" s="833"/>
      <c r="G7" s="833" t="s">
        <v>17</v>
      </c>
      <c r="H7" s="833"/>
      <c r="I7" s="361" t="s">
        <v>18</v>
      </c>
    </row>
    <row r="8" spans="1:9" ht="31.5" thickBot="1" x14ac:dyDescent="0.3">
      <c r="A8" s="830"/>
      <c r="B8" s="832"/>
      <c r="C8" s="834"/>
      <c r="D8" s="834"/>
      <c r="E8" s="362" t="s">
        <v>19</v>
      </c>
      <c r="F8" s="363" t="s">
        <v>20</v>
      </c>
      <c r="G8" s="362" t="s">
        <v>19</v>
      </c>
      <c r="H8" s="363" t="s">
        <v>20</v>
      </c>
      <c r="I8" s="364" t="s">
        <v>21</v>
      </c>
    </row>
    <row r="9" spans="1:9" ht="15.75" x14ac:dyDescent="0.25">
      <c r="A9" s="365"/>
      <c r="B9" s="366"/>
      <c r="C9" s="367" t="s">
        <v>22</v>
      </c>
      <c r="D9" s="368"/>
      <c r="E9" s="369"/>
      <c r="F9" s="370"/>
      <c r="G9" s="369"/>
      <c r="H9" s="370"/>
      <c r="I9" s="371"/>
    </row>
    <row r="10" spans="1:9" ht="17.25" x14ac:dyDescent="0.3">
      <c r="A10" s="372"/>
      <c r="B10" s="373" t="s">
        <v>246</v>
      </c>
      <c r="C10" s="374" t="s">
        <v>247</v>
      </c>
      <c r="D10" s="375" t="s">
        <v>26</v>
      </c>
      <c r="E10" s="376">
        <f>16580/16.58</f>
        <v>1000.0000000000001</v>
      </c>
      <c r="F10" s="377" t="s">
        <v>25</v>
      </c>
      <c r="G10" s="378"/>
      <c r="H10" s="379"/>
      <c r="I10" s="371"/>
    </row>
    <row r="11" spans="1:9" ht="17.25" x14ac:dyDescent="0.3">
      <c r="A11" s="372">
        <v>10400008</v>
      </c>
      <c r="B11" s="380" t="s">
        <v>248</v>
      </c>
      <c r="C11" s="381" t="s">
        <v>249</v>
      </c>
      <c r="D11" s="375" t="s">
        <v>250</v>
      </c>
      <c r="E11" s="382" t="s">
        <v>251</v>
      </c>
      <c r="F11" s="383" t="s">
        <v>25</v>
      </c>
      <c r="G11" s="378"/>
      <c r="H11" s="379"/>
      <c r="I11" s="371"/>
    </row>
    <row r="12" spans="1:9" ht="17.25" x14ac:dyDescent="0.3">
      <c r="A12" s="187"/>
      <c r="B12" s="187"/>
      <c r="C12" s="187"/>
      <c r="D12" s="187"/>
      <c r="E12" s="187"/>
      <c r="F12" s="187"/>
      <c r="G12" s="384"/>
      <c r="H12" s="379"/>
      <c r="I12" s="371"/>
    </row>
    <row r="13" spans="1:9" ht="17.25" x14ac:dyDescent="0.3">
      <c r="A13" s="373"/>
      <c r="B13" s="373"/>
      <c r="C13" s="381"/>
      <c r="D13" s="385"/>
      <c r="E13" s="376"/>
      <c r="F13" s="377"/>
      <c r="G13" s="384"/>
      <c r="H13" s="379"/>
      <c r="I13" s="371"/>
    </row>
    <row r="14" spans="1:9" ht="17.25" x14ac:dyDescent="0.3">
      <c r="A14" s="386"/>
      <c r="B14" s="387"/>
      <c r="C14" s="388"/>
      <c r="D14" s="384"/>
      <c r="E14" s="384"/>
      <c r="F14" s="389"/>
      <c r="G14" s="384"/>
      <c r="H14" s="379"/>
      <c r="I14" s="371"/>
    </row>
    <row r="15" spans="1:9" ht="17.25" x14ac:dyDescent="0.3">
      <c r="A15" s="390"/>
      <c r="B15" s="387"/>
      <c r="C15" s="391"/>
      <c r="D15" s="384"/>
      <c r="E15" s="384"/>
      <c r="F15" s="389"/>
      <c r="G15" s="384"/>
      <c r="H15" s="379"/>
      <c r="I15" s="371"/>
    </row>
    <row r="16" spans="1:9" ht="17.25" x14ac:dyDescent="0.3">
      <c r="A16" s="384"/>
      <c r="B16" s="384"/>
      <c r="C16" s="392"/>
      <c r="D16" s="393"/>
      <c r="E16" s="393"/>
      <c r="F16" s="378"/>
      <c r="G16" s="384"/>
      <c r="H16" s="379"/>
      <c r="I16" s="371"/>
    </row>
    <row r="17" spans="1:9" ht="17.25" x14ac:dyDescent="0.3">
      <c r="A17" s="387"/>
      <c r="B17" s="387"/>
      <c r="C17" s="394"/>
      <c r="D17" s="384"/>
      <c r="E17" s="384"/>
      <c r="F17" s="389"/>
      <c r="G17" s="384"/>
      <c r="H17" s="379"/>
      <c r="I17" s="371"/>
    </row>
    <row r="18" spans="1:9" ht="17.25" x14ac:dyDescent="0.3">
      <c r="A18" s="386"/>
      <c r="B18" s="387"/>
      <c r="C18" s="388"/>
      <c r="D18" s="384"/>
      <c r="E18" s="384"/>
      <c r="F18" s="389"/>
      <c r="G18" s="384"/>
      <c r="H18" s="379"/>
      <c r="I18" s="371"/>
    </row>
    <row r="19" spans="1:9" ht="17.25" x14ac:dyDescent="0.3">
      <c r="A19" s="395"/>
      <c r="B19" s="395"/>
      <c r="C19" s="396"/>
      <c r="D19" s="397"/>
      <c r="E19" s="398"/>
      <c r="F19" s="399"/>
      <c r="G19" s="369"/>
      <c r="H19" s="379"/>
      <c r="I19" s="371"/>
    </row>
    <row r="20" spans="1:9" ht="15.75" x14ac:dyDescent="0.25">
      <c r="A20" s="400"/>
      <c r="B20" s="401"/>
      <c r="C20" s="190" t="s">
        <v>27</v>
      </c>
      <c r="D20" s="234"/>
      <c r="E20" s="402"/>
      <c r="F20" s="403"/>
      <c r="G20" s="369"/>
      <c r="H20" s="370"/>
      <c r="I20" s="371"/>
    </row>
    <row r="21" spans="1:9" ht="17.25" x14ac:dyDescent="0.3">
      <c r="A21" s="372"/>
      <c r="B21" s="404"/>
      <c r="C21" s="374"/>
      <c r="D21" s="375"/>
      <c r="E21" s="382"/>
      <c r="F21" s="383"/>
      <c r="G21" s="369"/>
      <c r="H21" s="370"/>
      <c r="I21" s="371"/>
    </row>
    <row r="22" spans="1:9" ht="17.25" x14ac:dyDescent="0.3">
      <c r="A22" s="372"/>
      <c r="B22" s="404"/>
      <c r="C22" s="374"/>
      <c r="D22" s="375"/>
      <c r="E22" s="405"/>
      <c r="F22" s="383"/>
      <c r="G22" s="369"/>
      <c r="H22" s="370"/>
      <c r="I22" s="371"/>
    </row>
    <row r="23" spans="1:9" ht="17.25" x14ac:dyDescent="0.3">
      <c r="A23" s="372"/>
      <c r="B23" s="404"/>
      <c r="C23" s="374"/>
      <c r="D23" s="375"/>
      <c r="E23" s="382"/>
      <c r="F23" s="383"/>
      <c r="G23" s="369"/>
      <c r="H23" s="370"/>
      <c r="I23" s="371"/>
    </row>
    <row r="24" spans="1:9" ht="17.25" x14ac:dyDescent="0.3">
      <c r="A24" s="372"/>
      <c r="B24" s="404"/>
      <c r="C24" s="374"/>
      <c r="D24" s="375"/>
      <c r="E24" s="406"/>
      <c r="F24" s="407"/>
      <c r="G24" s="369"/>
      <c r="H24" s="370"/>
      <c r="I24" s="371"/>
    </row>
    <row r="25" spans="1:9" ht="17.25" x14ac:dyDescent="0.3">
      <c r="A25" s="372"/>
      <c r="B25" s="404"/>
      <c r="C25" s="374"/>
      <c r="D25" s="375"/>
      <c r="E25" s="376"/>
      <c r="F25" s="407"/>
      <c r="G25" s="369"/>
      <c r="H25" s="370"/>
      <c r="I25" s="371"/>
    </row>
    <row r="26" spans="1:9" ht="17.25" x14ac:dyDescent="0.3">
      <c r="A26" s="408"/>
      <c r="B26" s="408"/>
      <c r="C26" s="409"/>
      <c r="D26" s="410"/>
      <c r="E26" s="411"/>
      <c r="F26" s="412"/>
      <c r="G26" s="369"/>
      <c r="H26" s="370"/>
      <c r="I26" s="371"/>
    </row>
    <row r="27" spans="1:9" ht="17.25" x14ac:dyDescent="0.3">
      <c r="A27" s="395"/>
      <c r="B27" s="395"/>
      <c r="C27" s="396"/>
      <c r="D27" s="413"/>
      <c r="E27" s="414"/>
      <c r="F27" s="412"/>
      <c r="G27" s="369"/>
      <c r="H27" s="370"/>
      <c r="I27" s="371"/>
    </row>
    <row r="28" spans="1:9" ht="17.25" x14ac:dyDescent="0.3">
      <c r="A28" s="395"/>
      <c r="B28" s="395"/>
      <c r="C28" s="396"/>
      <c r="D28" s="413"/>
      <c r="E28" s="405"/>
      <c r="F28" s="415"/>
      <c r="G28" s="369"/>
      <c r="H28" s="370"/>
      <c r="I28" s="371"/>
    </row>
    <row r="29" spans="1:9" ht="15.75" x14ac:dyDescent="0.25">
      <c r="A29" s="416"/>
      <c r="B29" s="417"/>
      <c r="C29" s="210" t="s">
        <v>28</v>
      </c>
      <c r="D29" s="418"/>
      <c r="E29" s="419"/>
      <c r="F29" s="370"/>
      <c r="G29" s="369"/>
      <c r="H29" s="409"/>
      <c r="I29" s="371"/>
    </row>
    <row r="30" spans="1:9" ht="17.25" x14ac:dyDescent="0.3">
      <c r="A30" s="372" t="s">
        <v>149</v>
      </c>
      <c r="B30" s="380" t="s">
        <v>36</v>
      </c>
      <c r="C30" s="381" t="s">
        <v>37</v>
      </c>
      <c r="D30" s="375" t="s">
        <v>164</v>
      </c>
      <c r="E30" s="382">
        <v>1</v>
      </c>
      <c r="F30" s="383" t="s">
        <v>30</v>
      </c>
      <c r="G30" s="420"/>
      <c r="H30" s="370"/>
      <c r="I30" s="371"/>
    </row>
    <row r="31" spans="1:9" ht="17.25" x14ac:dyDescent="0.3">
      <c r="A31" s="421"/>
      <c r="B31" s="421"/>
      <c r="C31" s="422"/>
      <c r="D31" s="423"/>
      <c r="E31" s="424"/>
      <c r="F31" s="425"/>
      <c r="G31" s="420"/>
      <c r="H31" s="370"/>
      <c r="I31" s="371"/>
    </row>
    <row r="32" spans="1:9" ht="17.25" x14ac:dyDescent="0.3">
      <c r="A32" s="421"/>
      <c r="B32" s="421"/>
      <c r="C32" s="422"/>
      <c r="D32" s="423"/>
      <c r="E32" s="424"/>
      <c r="F32" s="425"/>
      <c r="G32" s="420"/>
      <c r="H32" s="370"/>
      <c r="I32" s="371"/>
    </row>
    <row r="33" spans="1:9" ht="15.75" x14ac:dyDescent="0.25">
      <c r="A33" s="426"/>
      <c r="B33" s="426"/>
      <c r="C33" s="427"/>
      <c r="D33" s="184"/>
      <c r="E33" s="428"/>
      <c r="F33" s="429"/>
      <c r="G33" s="369"/>
      <c r="H33" s="370"/>
      <c r="I33" s="371"/>
    </row>
    <row r="34" spans="1:9" ht="15.75" x14ac:dyDescent="0.25">
      <c r="A34" s="426"/>
      <c r="B34" s="426"/>
      <c r="C34" s="430"/>
      <c r="D34" s="184"/>
      <c r="E34" s="184"/>
      <c r="F34" s="429"/>
      <c r="G34" s="369"/>
      <c r="H34" s="370"/>
      <c r="I34" s="371"/>
    </row>
    <row r="35" spans="1:9" ht="15.75" x14ac:dyDescent="0.25">
      <c r="A35" s="426"/>
      <c r="B35" s="426"/>
      <c r="C35" s="430"/>
      <c r="D35" s="184"/>
      <c r="E35" s="184"/>
      <c r="F35" s="429"/>
      <c r="G35" s="431"/>
      <c r="H35" s="370"/>
      <c r="I35" s="371"/>
    </row>
    <row r="36" spans="1:9" ht="15.75" x14ac:dyDescent="0.25">
      <c r="A36" s="432"/>
      <c r="B36" s="433"/>
      <c r="C36" s="434"/>
      <c r="D36" s="435"/>
      <c r="E36" s="435"/>
      <c r="F36" s="436"/>
      <c r="G36" s="232"/>
      <c r="H36" s="370"/>
      <c r="I36" s="371"/>
    </row>
    <row r="37" spans="1:9" ht="15.75" x14ac:dyDescent="0.25">
      <c r="A37" s="400"/>
      <c r="B37" s="401"/>
      <c r="C37" s="422"/>
      <c r="D37" s="184"/>
      <c r="E37" s="232"/>
      <c r="F37" s="403"/>
      <c r="G37" s="232"/>
      <c r="H37" s="370"/>
      <c r="I37" s="371"/>
    </row>
    <row r="38" spans="1:9" ht="15.75" x14ac:dyDescent="0.25">
      <c r="A38" s="400"/>
      <c r="B38" s="401"/>
      <c r="C38" s="422"/>
      <c r="D38" s="234"/>
      <c r="E38" s="234"/>
      <c r="F38" s="403"/>
      <c r="G38" s="234"/>
      <c r="H38" s="234"/>
      <c r="I38" s="371"/>
    </row>
    <row r="39" spans="1:9" ht="18" thickBot="1" x14ac:dyDescent="0.35">
      <c r="A39" s="437"/>
      <c r="B39" s="438"/>
      <c r="C39" s="439"/>
      <c r="D39" s="439"/>
      <c r="E39" s="440"/>
      <c r="F39" s="441"/>
      <c r="G39" s="439"/>
      <c r="H39" s="439"/>
      <c r="I39" s="442"/>
    </row>
    <row r="40" spans="1:9" ht="18" thickBot="1" x14ac:dyDescent="0.35">
      <c r="A40" s="443"/>
      <c r="B40" s="444"/>
      <c r="C40" s="445"/>
      <c r="D40" s="446" t="s">
        <v>19</v>
      </c>
      <c r="E40" s="447" t="s">
        <v>35</v>
      </c>
      <c r="F40" s="448"/>
      <c r="G40" s="445"/>
      <c r="H40" s="445"/>
      <c r="I40" s="449"/>
    </row>
    <row r="41" spans="1:9" ht="17.25" x14ac:dyDescent="0.3">
      <c r="A41" s="835" t="s">
        <v>38</v>
      </c>
      <c r="B41" s="836"/>
      <c r="C41" s="837"/>
      <c r="D41" s="414">
        <v>1000</v>
      </c>
      <c r="E41" s="450" t="s">
        <v>25</v>
      </c>
      <c r="F41" s="838" t="s">
        <v>39</v>
      </c>
      <c r="G41" s="838"/>
      <c r="H41" s="839"/>
      <c r="I41" s="840"/>
    </row>
    <row r="42" spans="1:9" ht="17.25" x14ac:dyDescent="0.3">
      <c r="A42" s="841" t="s">
        <v>40</v>
      </c>
      <c r="B42" s="842"/>
      <c r="C42" s="843"/>
      <c r="D42" s="384">
        <v>3</v>
      </c>
      <c r="E42" s="384" t="s">
        <v>252</v>
      </c>
      <c r="F42" s="844" t="s">
        <v>42</v>
      </c>
      <c r="G42" s="844"/>
      <c r="H42" s="845"/>
      <c r="I42" s="846"/>
    </row>
    <row r="43" spans="1:9" ht="17.25" x14ac:dyDescent="0.3">
      <c r="A43" s="841" t="s">
        <v>43</v>
      </c>
      <c r="B43" s="842"/>
      <c r="C43" s="843"/>
      <c r="D43" s="384">
        <v>1</v>
      </c>
      <c r="E43" s="384" t="s">
        <v>193</v>
      </c>
      <c r="F43" s="844" t="s">
        <v>44</v>
      </c>
      <c r="G43" s="844"/>
      <c r="H43" s="845"/>
      <c r="I43" s="846"/>
    </row>
    <row r="44" spans="1:9" ht="17.25" x14ac:dyDescent="0.3">
      <c r="A44" s="841" t="s">
        <v>45</v>
      </c>
      <c r="B44" s="842"/>
      <c r="C44" s="843"/>
      <c r="D44" s="405">
        <v>1000</v>
      </c>
      <c r="E44" s="384" t="s">
        <v>25</v>
      </c>
      <c r="F44" s="850" t="s">
        <v>46</v>
      </c>
      <c r="G44" s="851"/>
      <c r="H44" s="852"/>
      <c r="I44" s="853"/>
    </row>
    <row r="45" spans="1:9" ht="18" thickBot="1" x14ac:dyDescent="0.35">
      <c r="A45" s="854" t="s">
        <v>47</v>
      </c>
      <c r="B45" s="855"/>
      <c r="C45" s="856"/>
      <c r="D45" s="451">
        <f>SUM(E10:E11)-D41</f>
        <v>0</v>
      </c>
      <c r="E45" s="452" t="s">
        <v>25</v>
      </c>
      <c r="F45" s="857"/>
      <c r="G45" s="857"/>
      <c r="H45" s="845"/>
      <c r="I45" s="846"/>
    </row>
    <row r="46" spans="1:9" ht="16.5" thickBot="1" x14ac:dyDescent="0.3">
      <c r="A46" s="858" t="s">
        <v>48</v>
      </c>
      <c r="B46" s="859"/>
      <c r="C46" s="859"/>
      <c r="D46" s="859"/>
      <c r="E46" s="859"/>
      <c r="F46" s="859"/>
      <c r="G46" s="859"/>
      <c r="H46" s="859"/>
      <c r="I46" s="860"/>
    </row>
    <row r="47" spans="1:9" ht="15.75" x14ac:dyDescent="0.25">
      <c r="A47" s="847" t="s">
        <v>253</v>
      </c>
      <c r="B47" s="848"/>
      <c r="C47" s="848"/>
      <c r="D47" s="848"/>
      <c r="E47" s="848"/>
      <c r="F47" s="848"/>
      <c r="G47" s="848"/>
      <c r="H47" s="848"/>
      <c r="I47" s="849"/>
    </row>
    <row r="48" spans="1:9" ht="15.75" x14ac:dyDescent="0.25">
      <c r="A48" s="847" t="s">
        <v>254</v>
      </c>
      <c r="B48" s="848"/>
      <c r="C48" s="848"/>
      <c r="D48" s="848"/>
      <c r="E48" s="848"/>
      <c r="F48" s="848"/>
      <c r="G48" s="848"/>
      <c r="H48" s="848"/>
      <c r="I48" s="849"/>
    </row>
    <row r="49" spans="1:9" ht="15.75" x14ac:dyDescent="0.25">
      <c r="A49" s="847" t="s">
        <v>255</v>
      </c>
      <c r="B49" s="848"/>
      <c r="C49" s="848"/>
      <c r="D49" s="848"/>
      <c r="E49" s="848"/>
      <c r="F49" s="848"/>
      <c r="G49" s="848"/>
      <c r="H49" s="848"/>
      <c r="I49" s="849"/>
    </row>
    <row r="50" spans="1:9" ht="15.75" x14ac:dyDescent="0.25">
      <c r="A50" s="847" t="s">
        <v>256</v>
      </c>
      <c r="B50" s="848"/>
      <c r="C50" s="848"/>
      <c r="D50" s="848"/>
      <c r="E50" s="848"/>
      <c r="F50" s="848"/>
      <c r="G50" s="848"/>
      <c r="H50" s="848"/>
      <c r="I50" s="849"/>
    </row>
    <row r="51" spans="1:9" ht="17.25" x14ac:dyDescent="0.3">
      <c r="A51" s="866"/>
      <c r="B51" s="867"/>
      <c r="C51" s="868"/>
      <c r="D51" s="868"/>
      <c r="E51" s="868"/>
      <c r="F51" s="868"/>
      <c r="G51" s="868"/>
      <c r="H51" s="868"/>
      <c r="I51" s="869"/>
    </row>
    <row r="52" spans="1:9" ht="16.5" thickBot="1" x14ac:dyDescent="0.3">
      <c r="A52" s="765"/>
      <c r="B52" s="766"/>
      <c r="C52" s="766"/>
      <c r="D52" s="766"/>
      <c r="E52" s="766"/>
      <c r="F52" s="766"/>
      <c r="G52" s="766"/>
      <c r="H52" s="766"/>
      <c r="I52" s="767"/>
    </row>
    <row r="53" spans="1:9" ht="17.25" x14ac:dyDescent="0.3">
      <c r="A53" s="870"/>
      <c r="B53" s="871"/>
      <c r="C53" s="871"/>
      <c r="D53" s="871"/>
      <c r="E53" s="871"/>
      <c r="F53" s="871"/>
      <c r="G53" s="871"/>
      <c r="H53" s="871"/>
      <c r="I53" s="872"/>
    </row>
    <row r="54" spans="1:9" ht="18" thickBot="1" x14ac:dyDescent="0.35">
      <c r="A54" s="873"/>
      <c r="B54" s="874"/>
      <c r="C54" s="874"/>
      <c r="D54" s="874"/>
      <c r="E54" s="874"/>
      <c r="F54" s="874"/>
      <c r="G54" s="874"/>
      <c r="H54" s="874"/>
      <c r="I54" s="875"/>
    </row>
    <row r="55" spans="1:9" ht="16.5" thickBot="1" x14ac:dyDescent="0.3">
      <c r="A55" s="861"/>
      <c r="B55" s="862"/>
      <c r="C55" s="862"/>
      <c r="D55" s="862"/>
      <c r="E55" s="862"/>
      <c r="F55" s="862"/>
      <c r="G55" s="862"/>
      <c r="H55" s="862"/>
      <c r="I55" s="863"/>
    </row>
    <row r="56" spans="1:9" ht="15.75" x14ac:dyDescent="0.25">
      <c r="A56" s="864" t="s">
        <v>49</v>
      </c>
      <c r="B56" s="865"/>
      <c r="C56" s="865"/>
      <c r="D56" s="865"/>
      <c r="E56" s="865"/>
      <c r="F56" s="865"/>
      <c r="G56" s="865"/>
      <c r="H56" s="865"/>
      <c r="I56" s="865"/>
    </row>
    <row r="57" spans="1:9" ht="17.25" x14ac:dyDescent="0.3">
      <c r="A57" s="812" t="s">
        <v>257</v>
      </c>
      <c r="B57" s="813"/>
      <c r="C57" s="813"/>
      <c r="D57" s="813"/>
      <c r="E57" s="813"/>
      <c r="F57" s="813"/>
      <c r="G57" s="813"/>
      <c r="H57" s="813"/>
      <c r="I57" s="814"/>
    </row>
    <row r="58" spans="1:9" x14ac:dyDescent="0.25">
      <c r="A58" s="635" t="s">
        <v>258</v>
      </c>
      <c r="B58" s="636"/>
      <c r="C58" s="636"/>
      <c r="D58" s="636"/>
      <c r="E58" s="636"/>
      <c r="F58" s="636"/>
      <c r="G58" s="636"/>
      <c r="H58" s="636"/>
      <c r="I58" s="637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48D0-CA03-4132-8994-0E43C621C1BC}">
  <dimension ref="A1:L59"/>
  <sheetViews>
    <sheetView zoomScale="85" zoomScaleNormal="85" workbookViewId="0">
      <selection activeCell="C12" sqref="C12"/>
    </sheetView>
  </sheetViews>
  <sheetFormatPr baseColWidth="10" defaultRowHeight="15" x14ac:dyDescent="0.25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885"/>
      <c r="B1" s="886"/>
      <c r="C1" s="891" t="s">
        <v>0</v>
      </c>
      <c r="D1" s="891"/>
      <c r="E1" s="891"/>
      <c r="F1" s="891"/>
      <c r="G1" s="891"/>
      <c r="H1" s="453" t="s">
        <v>1</v>
      </c>
      <c r="I1" s="454" t="s">
        <v>259</v>
      </c>
    </row>
    <row r="2" spans="1:12" ht="18" customHeight="1" thickBot="1" x14ac:dyDescent="0.3">
      <c r="A2" s="887"/>
      <c r="B2" s="888"/>
      <c r="C2" s="892" t="s">
        <v>2</v>
      </c>
      <c r="D2" s="893"/>
      <c r="E2" s="893"/>
      <c r="F2" s="893"/>
      <c r="G2" s="894"/>
      <c r="H2" s="455" t="s">
        <v>3</v>
      </c>
      <c r="I2" s="456" t="s">
        <v>260</v>
      </c>
    </row>
    <row r="3" spans="1:12" ht="31.5" customHeight="1" thickBot="1" x14ac:dyDescent="0.3">
      <c r="A3" s="887"/>
      <c r="B3" s="888"/>
      <c r="C3" s="895" t="s">
        <v>261</v>
      </c>
      <c r="D3" s="895"/>
      <c r="E3" s="895"/>
      <c r="F3" s="895"/>
      <c r="G3" s="895"/>
      <c r="H3" s="896" t="s">
        <v>4</v>
      </c>
      <c r="I3" s="876">
        <v>45659</v>
      </c>
    </row>
    <row r="4" spans="1:12" ht="18" customHeight="1" x14ac:dyDescent="0.25">
      <c r="A4" s="887"/>
      <c r="B4" s="888"/>
      <c r="C4" s="457" t="s">
        <v>5</v>
      </c>
      <c r="D4" s="879" t="s">
        <v>154</v>
      </c>
      <c r="E4" s="880"/>
      <c r="F4" s="880"/>
      <c r="G4" s="881"/>
      <c r="H4" s="897"/>
      <c r="I4" s="877"/>
    </row>
    <row r="5" spans="1:12" ht="18.75" thickBot="1" x14ac:dyDescent="0.3">
      <c r="A5" s="889"/>
      <c r="B5" s="890"/>
      <c r="C5" s="458" t="s">
        <v>7</v>
      </c>
      <c r="D5" s="882" t="s">
        <v>8</v>
      </c>
      <c r="E5" s="883"/>
      <c r="F5" s="883"/>
      <c r="G5" s="884"/>
      <c r="H5" s="898"/>
      <c r="I5" s="878"/>
    </row>
    <row r="6" spans="1:12" ht="18.75" thickBot="1" x14ac:dyDescent="0.3">
      <c r="A6" s="654" t="s">
        <v>9</v>
      </c>
      <c r="B6" s="654"/>
      <c r="C6" s="654"/>
      <c r="D6" s="899" t="s">
        <v>262</v>
      </c>
      <c r="E6" s="899"/>
      <c r="F6" s="899"/>
      <c r="G6" s="656" t="s">
        <v>11</v>
      </c>
      <c r="H6" s="656"/>
      <c r="I6" s="459" t="s">
        <v>27</v>
      </c>
    </row>
    <row r="7" spans="1:12" ht="36" x14ac:dyDescent="0.25">
      <c r="A7" s="900" t="s">
        <v>12</v>
      </c>
      <c r="B7" s="902" t="s">
        <v>13</v>
      </c>
      <c r="C7" s="904" t="s">
        <v>14</v>
      </c>
      <c r="D7" s="904" t="s">
        <v>15</v>
      </c>
      <c r="E7" s="904" t="s">
        <v>16</v>
      </c>
      <c r="F7" s="904"/>
      <c r="G7" s="904" t="s">
        <v>17</v>
      </c>
      <c r="H7" s="904"/>
      <c r="I7" s="460" t="s">
        <v>18</v>
      </c>
    </row>
    <row r="8" spans="1:12" ht="36.75" thickBot="1" x14ac:dyDescent="0.3">
      <c r="A8" s="901"/>
      <c r="B8" s="903"/>
      <c r="C8" s="905"/>
      <c r="D8" s="905"/>
      <c r="E8" s="461" t="s">
        <v>19</v>
      </c>
      <c r="F8" s="462" t="s">
        <v>20</v>
      </c>
      <c r="G8" s="461" t="s">
        <v>19</v>
      </c>
      <c r="H8" s="462" t="s">
        <v>20</v>
      </c>
      <c r="I8" s="463" t="s">
        <v>21</v>
      </c>
      <c r="L8" s="464"/>
    </row>
    <row r="9" spans="1:12" ht="18.600000000000001" customHeight="1" x14ac:dyDescent="0.3">
      <c r="A9" s="465"/>
      <c r="B9" s="466"/>
      <c r="C9" s="467" t="s">
        <v>22</v>
      </c>
      <c r="D9" s="468"/>
      <c r="E9" s="469"/>
      <c r="F9" s="470"/>
      <c r="G9" s="469"/>
      <c r="H9" s="470"/>
      <c r="I9" s="471"/>
    </row>
    <row r="10" spans="1:12" ht="18" customHeight="1" x14ac:dyDescent="0.3">
      <c r="A10" s="472">
        <v>310148</v>
      </c>
      <c r="B10" s="473" t="s">
        <v>263</v>
      </c>
      <c r="C10" s="474" t="s">
        <v>264</v>
      </c>
      <c r="D10" s="475" t="s">
        <v>265</v>
      </c>
      <c r="E10" s="476">
        <v>16150</v>
      </c>
      <c r="F10" s="477" t="s">
        <v>25</v>
      </c>
      <c r="G10" s="478"/>
      <c r="H10" s="479"/>
      <c r="I10" s="471"/>
      <c r="J10">
        <f>+E10/$D$39</f>
        <v>0.99299053083824285</v>
      </c>
      <c r="K10">
        <f>+J10*1000</f>
        <v>992.99053083824288</v>
      </c>
    </row>
    <row r="11" spans="1:12" ht="18.75" x14ac:dyDescent="0.3">
      <c r="A11" s="475" t="s">
        <v>231</v>
      </c>
      <c r="B11" s="475"/>
      <c r="C11" s="480" t="s">
        <v>76</v>
      </c>
      <c r="D11" s="475" t="s">
        <v>266</v>
      </c>
      <c r="E11" s="476">
        <v>100</v>
      </c>
      <c r="F11" s="477" t="s">
        <v>25</v>
      </c>
      <c r="G11" s="478"/>
      <c r="H11" s="479"/>
      <c r="I11" s="471"/>
      <c r="J11">
        <f t="shared" ref="J11:J13" si="0">+E11/$D$39</f>
        <v>6.1485481785649712E-3</v>
      </c>
      <c r="K11">
        <f t="shared" ref="K11:K13" si="1">+J11*1000</f>
        <v>6.1485481785649716</v>
      </c>
      <c r="L11" s="464">
        <f>SUM(E10:E13)</f>
        <v>16264.002020610224</v>
      </c>
    </row>
    <row r="12" spans="1:12" ht="18.75" x14ac:dyDescent="0.3">
      <c r="A12" s="475">
        <v>1212410</v>
      </c>
      <c r="B12" s="475" t="s">
        <v>62</v>
      </c>
      <c r="C12" s="480" t="s">
        <v>63</v>
      </c>
      <c r="D12" s="475" t="s">
        <v>209</v>
      </c>
      <c r="E12" s="476">
        <v>10.002020610224299</v>
      </c>
      <c r="F12" s="477" t="s">
        <v>25</v>
      </c>
      <c r="G12" s="478"/>
      <c r="H12" s="479"/>
      <c r="I12" s="471"/>
      <c r="J12">
        <f>+E12/$D$39</f>
        <v>6.149790560496392E-4</v>
      </c>
      <c r="K12">
        <f t="shared" si="1"/>
        <v>0.61497905604963921</v>
      </c>
      <c r="L12" s="464">
        <f>L11-230</f>
        <v>16034.002020610224</v>
      </c>
    </row>
    <row r="13" spans="1:12" ht="18.75" x14ac:dyDescent="0.3">
      <c r="A13" s="372">
        <v>10400008</v>
      </c>
      <c r="B13" s="380" t="s">
        <v>248</v>
      </c>
      <c r="C13" s="381" t="s">
        <v>249</v>
      </c>
      <c r="D13" s="375" t="s">
        <v>250</v>
      </c>
      <c r="E13" s="382">
        <v>4</v>
      </c>
      <c r="F13" s="383" t="s">
        <v>25</v>
      </c>
      <c r="G13" s="478"/>
      <c r="H13" s="479"/>
      <c r="I13" s="471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475"/>
      <c r="B14" s="475"/>
      <c r="C14" s="480"/>
      <c r="D14" s="475"/>
      <c r="E14" s="476"/>
      <c r="F14" s="477"/>
      <c r="G14" s="478"/>
      <c r="H14" s="479"/>
      <c r="I14" s="471"/>
    </row>
    <row r="15" spans="1:12" ht="18.75" x14ac:dyDescent="0.3">
      <c r="A15" s="475"/>
      <c r="B15" s="475"/>
      <c r="C15" s="480"/>
      <c r="D15" s="475"/>
      <c r="E15" s="476"/>
      <c r="F15" s="477"/>
      <c r="G15" s="478"/>
      <c r="H15" s="479"/>
      <c r="I15" s="471"/>
    </row>
    <row r="16" spans="1:12" ht="18.75" x14ac:dyDescent="0.3">
      <c r="A16" s="475"/>
      <c r="B16" s="475"/>
      <c r="C16" s="480"/>
      <c r="D16" s="475"/>
      <c r="E16" s="476"/>
      <c r="F16" s="477"/>
      <c r="G16" s="478"/>
      <c r="H16" s="479"/>
      <c r="I16" s="471"/>
    </row>
    <row r="17" spans="1:12" ht="18.75" x14ac:dyDescent="0.3">
      <c r="A17" s="475"/>
      <c r="B17" s="475"/>
      <c r="C17" s="480"/>
      <c r="D17" s="475"/>
      <c r="E17" s="476"/>
      <c r="F17" s="477"/>
      <c r="G17" s="478"/>
      <c r="H17" s="479"/>
      <c r="I17" s="471"/>
      <c r="L17">
        <f>E10/1000</f>
        <v>16.149999999999999</v>
      </c>
    </row>
    <row r="18" spans="1:12" ht="18.75" x14ac:dyDescent="0.3">
      <c r="A18" s="475"/>
      <c r="B18" s="475"/>
      <c r="C18" s="480"/>
      <c r="D18" s="475"/>
      <c r="E18" s="476"/>
      <c r="F18" s="477"/>
      <c r="G18" s="478"/>
      <c r="H18" s="479"/>
      <c r="I18" s="471"/>
    </row>
    <row r="19" spans="1:12" ht="18.75" x14ac:dyDescent="0.3">
      <c r="A19" s="475"/>
      <c r="B19" s="475"/>
      <c r="C19" s="480"/>
      <c r="D19" s="475"/>
      <c r="E19" s="476"/>
      <c r="F19" s="477"/>
      <c r="G19" s="478"/>
      <c r="H19" s="479"/>
      <c r="I19" s="471"/>
    </row>
    <row r="20" spans="1:12" ht="18.75" x14ac:dyDescent="0.3">
      <c r="A20" s="481"/>
      <c r="B20" s="481"/>
      <c r="C20" s="474"/>
      <c r="D20" s="482"/>
      <c r="E20" s="482"/>
      <c r="F20" s="482"/>
      <c r="G20" s="483"/>
      <c r="H20" s="479"/>
      <c r="I20" s="471"/>
    </row>
    <row r="21" spans="1:12" ht="18.75" x14ac:dyDescent="0.3">
      <c r="A21" s="484"/>
      <c r="B21" s="485"/>
      <c r="C21" s="486" t="s">
        <v>27</v>
      </c>
      <c r="D21" s="482"/>
      <c r="E21" s="482"/>
      <c r="F21" s="482"/>
      <c r="G21" s="483"/>
      <c r="H21" s="479"/>
      <c r="I21" s="471"/>
    </row>
    <row r="22" spans="1:12" ht="18.75" x14ac:dyDescent="0.3">
      <c r="A22" s="472"/>
      <c r="B22" s="473"/>
      <c r="C22" s="474"/>
      <c r="D22" s="487"/>
      <c r="E22" s="487"/>
      <c r="F22" s="487"/>
      <c r="G22" s="469"/>
      <c r="H22" s="479"/>
      <c r="I22" s="471"/>
    </row>
    <row r="23" spans="1:12" ht="18.75" x14ac:dyDescent="0.3">
      <c r="A23" s="488"/>
      <c r="B23" s="481"/>
      <c r="C23" s="474"/>
      <c r="D23" s="487"/>
      <c r="E23" s="487"/>
      <c r="F23" s="487"/>
      <c r="G23" s="469"/>
      <c r="H23" s="479"/>
      <c r="I23" s="471"/>
    </row>
    <row r="24" spans="1:12" ht="18.75" x14ac:dyDescent="0.3">
      <c r="A24" s="488"/>
      <c r="B24" s="481"/>
      <c r="C24" s="474"/>
      <c r="D24" s="487"/>
      <c r="E24" s="487"/>
      <c r="F24" s="487"/>
      <c r="G24" s="469"/>
      <c r="H24" s="479"/>
      <c r="I24" s="471"/>
    </row>
    <row r="25" spans="1:12" ht="18.75" x14ac:dyDescent="0.3">
      <c r="A25" s="484"/>
      <c r="B25" s="485"/>
      <c r="C25" s="486"/>
      <c r="D25" s="489"/>
      <c r="E25" s="490"/>
      <c r="F25" s="491"/>
      <c r="G25" s="469"/>
      <c r="H25" s="479"/>
      <c r="I25" s="471"/>
    </row>
    <row r="26" spans="1:12" ht="18.75" x14ac:dyDescent="0.3">
      <c r="A26" s="492"/>
      <c r="B26" s="493"/>
      <c r="C26" s="494"/>
      <c r="D26" s="495"/>
      <c r="E26" s="496"/>
      <c r="F26" s="497"/>
      <c r="G26" s="469"/>
      <c r="H26" s="479"/>
      <c r="I26" s="471"/>
    </row>
    <row r="27" spans="1:12" ht="18.75" x14ac:dyDescent="0.3">
      <c r="A27" s="473"/>
      <c r="B27" s="473"/>
      <c r="C27" s="474"/>
      <c r="D27" s="498"/>
      <c r="E27" s="499"/>
      <c r="F27" s="500"/>
      <c r="G27" s="469"/>
      <c r="H27" s="479"/>
      <c r="I27" s="471"/>
    </row>
    <row r="28" spans="1:12" ht="18.75" x14ac:dyDescent="0.3">
      <c r="A28" s="501"/>
      <c r="B28" s="502"/>
      <c r="C28" s="503" t="s">
        <v>28</v>
      </c>
      <c r="D28" s="504"/>
      <c r="E28" s="505"/>
      <c r="F28" s="470"/>
      <c r="G28" s="469"/>
      <c r="H28" s="479"/>
      <c r="I28" s="471"/>
    </row>
    <row r="29" spans="1:12" ht="18.75" x14ac:dyDescent="0.3">
      <c r="A29" s="506">
        <v>702123</v>
      </c>
      <c r="B29" s="507" t="s">
        <v>31</v>
      </c>
      <c r="C29" s="508" t="s">
        <v>32</v>
      </c>
      <c r="D29" s="482" t="s">
        <v>267</v>
      </c>
      <c r="E29" s="509">
        <v>1</v>
      </c>
      <c r="F29" s="510" t="s">
        <v>30</v>
      </c>
      <c r="G29" s="511"/>
      <c r="H29" s="479"/>
      <c r="I29" s="471"/>
    </row>
    <row r="30" spans="1:12" ht="18.75" x14ac:dyDescent="0.3">
      <c r="A30" s="506"/>
      <c r="B30" s="507"/>
      <c r="C30" s="508"/>
      <c r="D30" s="482"/>
      <c r="E30" s="509"/>
      <c r="F30" s="510"/>
      <c r="G30" s="511"/>
      <c r="H30" s="479"/>
      <c r="I30" s="471"/>
    </row>
    <row r="31" spans="1:12" ht="18.75" x14ac:dyDescent="0.3">
      <c r="A31" s="512"/>
      <c r="B31" s="513"/>
      <c r="C31" s="514"/>
      <c r="D31" s="482"/>
      <c r="E31" s="509"/>
      <c r="F31" s="510"/>
      <c r="G31" s="511"/>
      <c r="H31" s="479"/>
      <c r="I31" s="471"/>
    </row>
    <row r="32" spans="1:12" ht="18.75" x14ac:dyDescent="0.3">
      <c r="A32" s="515"/>
      <c r="B32" s="515"/>
      <c r="C32" s="516"/>
      <c r="D32" s="482"/>
      <c r="E32" s="509"/>
      <c r="F32" s="510"/>
      <c r="G32" s="469"/>
      <c r="H32" s="479"/>
      <c r="I32" s="471"/>
    </row>
    <row r="33" spans="1:9" ht="18.75" x14ac:dyDescent="0.3">
      <c r="A33" s="515"/>
      <c r="B33" s="515"/>
      <c r="C33" s="516"/>
      <c r="D33" s="482"/>
      <c r="E33" s="509"/>
      <c r="F33" s="510"/>
      <c r="G33" s="469"/>
      <c r="H33" s="479"/>
      <c r="I33" s="471"/>
    </row>
    <row r="34" spans="1:9" ht="18.75" x14ac:dyDescent="0.3">
      <c r="A34" s="515"/>
      <c r="B34" s="515"/>
      <c r="C34" s="516"/>
      <c r="D34" s="482"/>
      <c r="E34" s="509"/>
      <c r="F34" s="510"/>
      <c r="G34" s="517"/>
      <c r="H34" s="479"/>
      <c r="I34" s="471"/>
    </row>
    <row r="35" spans="1:9" ht="18.75" x14ac:dyDescent="0.3">
      <c r="A35" s="515"/>
      <c r="B35" s="515"/>
      <c r="C35" s="516"/>
      <c r="D35" s="482"/>
      <c r="E35" s="509"/>
      <c r="F35" s="510"/>
      <c r="G35" s="518"/>
      <c r="H35" s="479"/>
      <c r="I35" s="471"/>
    </row>
    <row r="36" spans="1:9" ht="18.75" x14ac:dyDescent="0.3">
      <c r="A36" s="519"/>
      <c r="B36" s="519"/>
      <c r="C36" s="520"/>
      <c r="D36" s="482"/>
      <c r="E36" s="500"/>
      <c r="F36" s="500"/>
      <c r="G36" s="518"/>
      <c r="H36" s="479"/>
      <c r="I36" s="471"/>
    </row>
    <row r="37" spans="1:9" ht="18.75" thickBot="1" x14ac:dyDescent="0.3">
      <c r="A37" s="521"/>
      <c r="B37" s="522"/>
      <c r="C37" s="523" t="s">
        <v>230</v>
      </c>
      <c r="D37" s="523"/>
      <c r="E37" s="524"/>
      <c r="F37" s="525"/>
      <c r="G37" s="523"/>
      <c r="H37" s="523"/>
      <c r="I37" s="526"/>
    </row>
    <row r="38" spans="1:9" ht="18.75" thickBot="1" x14ac:dyDescent="0.3">
      <c r="A38" s="527"/>
      <c r="B38" s="528"/>
      <c r="C38" s="529" t="s">
        <v>230</v>
      </c>
      <c r="D38" s="530" t="s">
        <v>19</v>
      </c>
      <c r="E38" s="531" t="s">
        <v>35</v>
      </c>
      <c r="F38" s="532"/>
      <c r="G38" s="529"/>
      <c r="H38" s="529"/>
      <c r="I38" s="533"/>
    </row>
    <row r="39" spans="1:9" ht="18" x14ac:dyDescent="0.25">
      <c r="A39" s="906" t="s">
        <v>38</v>
      </c>
      <c r="B39" s="907"/>
      <c r="C39" s="908"/>
      <c r="D39" s="534">
        <f>SUM(E10:E13)</f>
        <v>16264.002020610224</v>
      </c>
      <c r="E39" s="535" t="s">
        <v>25</v>
      </c>
      <c r="F39" s="909" t="s">
        <v>39</v>
      </c>
      <c r="G39" s="909"/>
      <c r="H39" s="910"/>
      <c r="I39" s="911"/>
    </row>
    <row r="40" spans="1:9" ht="18" x14ac:dyDescent="0.25">
      <c r="A40" s="912" t="s">
        <v>40</v>
      </c>
      <c r="B40" s="913"/>
      <c r="C40" s="914"/>
      <c r="D40" s="483">
        <v>15</v>
      </c>
      <c r="E40" s="483" t="s">
        <v>41</v>
      </c>
      <c r="F40" s="915" t="s">
        <v>42</v>
      </c>
      <c r="G40" s="915"/>
      <c r="H40" s="916"/>
      <c r="I40" s="917"/>
    </row>
    <row r="41" spans="1:9" ht="18" x14ac:dyDescent="0.25">
      <c r="A41" s="912" t="s">
        <v>43</v>
      </c>
      <c r="B41" s="913"/>
      <c r="C41" s="914"/>
      <c r="D41" s="499">
        <v>1</v>
      </c>
      <c r="E41" s="483" t="s">
        <v>193</v>
      </c>
      <c r="F41" s="915" t="s">
        <v>44</v>
      </c>
      <c r="G41" s="915"/>
      <c r="H41" s="916"/>
      <c r="I41" s="917"/>
    </row>
    <row r="42" spans="1:9" ht="18" x14ac:dyDescent="0.25">
      <c r="A42" s="912" t="s">
        <v>45</v>
      </c>
      <c r="B42" s="913"/>
      <c r="C42" s="914"/>
      <c r="D42" s="499">
        <v>16263</v>
      </c>
      <c r="E42" s="483" t="s">
        <v>25</v>
      </c>
      <c r="F42" s="918" t="s">
        <v>46</v>
      </c>
      <c r="G42" s="919"/>
      <c r="H42" s="920"/>
      <c r="I42" s="921"/>
    </row>
    <row r="43" spans="1:9" ht="18.75" thickBot="1" x14ac:dyDescent="0.3">
      <c r="A43" s="923" t="s">
        <v>47</v>
      </c>
      <c r="B43" s="924"/>
      <c r="C43" s="925"/>
      <c r="D43" s="536">
        <f>SUM(E10:E13)-D39</f>
        <v>0</v>
      </c>
      <c r="E43" s="537" t="s">
        <v>25</v>
      </c>
      <c r="F43" s="926"/>
      <c r="G43" s="926"/>
      <c r="H43" s="916"/>
      <c r="I43" s="917"/>
    </row>
    <row r="44" spans="1:9" ht="18.75" thickBot="1" x14ac:dyDescent="0.3">
      <c r="A44" s="927" t="s">
        <v>48</v>
      </c>
      <c r="B44" s="928"/>
      <c r="C44" s="928"/>
      <c r="D44" s="928"/>
      <c r="E44" s="928"/>
      <c r="F44" s="928"/>
      <c r="G44" s="928"/>
      <c r="H44" s="928"/>
      <c r="I44" s="929"/>
    </row>
    <row r="45" spans="1:9" ht="14.65" customHeight="1" x14ac:dyDescent="0.3">
      <c r="A45" s="930" t="s">
        <v>268</v>
      </c>
      <c r="B45" s="931"/>
      <c r="C45" s="931"/>
      <c r="D45" s="931"/>
      <c r="E45" s="931"/>
      <c r="F45" s="931"/>
      <c r="G45" s="931"/>
      <c r="H45" s="931"/>
      <c r="I45" s="932"/>
    </row>
    <row r="46" spans="1:9" ht="23.65" customHeight="1" x14ac:dyDescent="0.3">
      <c r="A46" s="930" t="s">
        <v>269</v>
      </c>
      <c r="B46" s="931"/>
      <c r="C46" s="931"/>
      <c r="D46" s="931"/>
      <c r="E46" s="931"/>
      <c r="F46" s="931"/>
      <c r="G46" s="931"/>
      <c r="H46" s="931"/>
      <c r="I46" s="932"/>
    </row>
    <row r="47" spans="1:9" ht="18" customHeight="1" x14ac:dyDescent="0.3">
      <c r="A47" s="930" t="s">
        <v>270</v>
      </c>
      <c r="B47" s="931"/>
      <c r="C47" s="931"/>
      <c r="D47" s="931"/>
      <c r="E47" s="931"/>
      <c r="F47" s="931"/>
      <c r="G47" s="931"/>
      <c r="H47" s="931"/>
      <c r="I47" s="932"/>
    </row>
    <row r="48" spans="1:9" ht="24" customHeight="1" x14ac:dyDescent="0.3">
      <c r="A48" s="933" t="s">
        <v>271</v>
      </c>
      <c r="B48" s="934"/>
      <c r="C48" s="934"/>
      <c r="D48" s="934"/>
      <c r="E48" s="934"/>
      <c r="F48" s="934"/>
      <c r="G48" s="934"/>
      <c r="H48" s="934"/>
      <c r="I48" s="935"/>
    </row>
    <row r="49" spans="1:9" ht="23.65" customHeight="1" x14ac:dyDescent="0.3">
      <c r="A49" s="930" t="s">
        <v>272</v>
      </c>
      <c r="B49" s="931"/>
      <c r="C49" s="931"/>
      <c r="D49" s="931"/>
      <c r="E49" s="931"/>
      <c r="F49" s="931"/>
      <c r="G49" s="931"/>
      <c r="H49" s="931"/>
      <c r="I49" s="932"/>
    </row>
    <row r="50" spans="1:9" ht="23.65" customHeight="1" x14ac:dyDescent="0.3">
      <c r="A50" s="930" t="s">
        <v>273</v>
      </c>
      <c r="B50" s="931"/>
      <c r="C50" s="931"/>
      <c r="D50" s="931"/>
      <c r="E50" s="931"/>
      <c r="F50" s="931"/>
      <c r="G50" s="931"/>
      <c r="H50" s="931"/>
      <c r="I50" s="932"/>
    </row>
    <row r="51" spans="1:9" ht="14.65" customHeight="1" x14ac:dyDescent="0.25">
      <c r="A51" s="922"/>
      <c r="B51" s="922"/>
      <c r="C51" s="922"/>
      <c r="D51" s="922"/>
      <c r="E51" s="922"/>
      <c r="F51" s="922"/>
      <c r="G51" s="922"/>
      <c r="H51" s="922"/>
      <c r="I51" s="922"/>
    </row>
    <row r="52" spans="1:9" ht="14.65" customHeight="1" x14ac:dyDescent="0.25">
      <c r="A52" s="922"/>
      <c r="B52" s="922"/>
      <c r="C52" s="922"/>
      <c r="D52" s="922"/>
      <c r="E52" s="922"/>
      <c r="F52" s="922"/>
      <c r="G52" s="922"/>
      <c r="H52" s="922"/>
      <c r="I52" s="922"/>
    </row>
    <row r="53" spans="1:9" ht="18" customHeight="1" x14ac:dyDescent="0.25">
      <c r="A53" s="922"/>
      <c r="B53" s="922"/>
      <c r="C53" s="922"/>
      <c r="D53" s="922"/>
      <c r="E53" s="922"/>
      <c r="F53" s="922"/>
      <c r="G53" s="922"/>
      <c r="H53" s="922"/>
      <c r="I53" s="922"/>
    </row>
    <row r="54" spans="1:9" ht="14.65" customHeight="1" x14ac:dyDescent="0.25">
      <c r="A54" s="922"/>
      <c r="B54" s="922"/>
      <c r="C54" s="922"/>
      <c r="D54" s="922"/>
      <c r="E54" s="922"/>
      <c r="F54" s="922"/>
      <c r="G54" s="922"/>
      <c r="H54" s="922"/>
      <c r="I54" s="922"/>
    </row>
    <row r="55" spans="1:9" ht="14.65" customHeight="1" thickBot="1" x14ac:dyDescent="0.3">
      <c r="A55" s="936"/>
      <c r="B55" s="937"/>
      <c r="C55" s="937"/>
      <c r="D55" s="937"/>
      <c r="E55" s="937"/>
      <c r="F55" s="937"/>
      <c r="G55" s="937"/>
      <c r="H55" s="937"/>
      <c r="I55" s="938"/>
    </row>
    <row r="56" spans="1:9" ht="14.65" customHeight="1" x14ac:dyDescent="0.25">
      <c r="A56" s="939" t="s">
        <v>49</v>
      </c>
      <c r="B56" s="940"/>
      <c r="C56" s="940"/>
      <c r="D56" s="940"/>
      <c r="E56" s="940"/>
      <c r="F56" s="940"/>
      <c r="G56" s="940"/>
      <c r="H56" s="940"/>
      <c r="I56" s="940"/>
    </row>
    <row r="57" spans="1:9" ht="18" x14ac:dyDescent="0.25">
      <c r="A57" s="941" t="s">
        <v>274</v>
      </c>
      <c r="B57" s="941"/>
      <c r="C57" s="941"/>
      <c r="D57" s="941"/>
      <c r="E57" s="941"/>
      <c r="F57" s="941"/>
      <c r="G57" s="941"/>
      <c r="H57" s="941"/>
      <c r="I57" s="941"/>
    </row>
    <row r="58" spans="1:9" ht="18" x14ac:dyDescent="0.25">
      <c r="A58" s="882" t="s">
        <v>275</v>
      </c>
      <c r="B58" s="883"/>
      <c r="C58" s="883"/>
      <c r="D58" s="883"/>
      <c r="E58" s="883"/>
      <c r="F58" s="883"/>
      <c r="G58" s="883"/>
      <c r="H58" s="883"/>
      <c r="I58" s="884"/>
    </row>
    <row r="59" spans="1:9" ht="18" x14ac:dyDescent="0.25">
      <c r="A59" s="882" t="s">
        <v>276</v>
      </c>
      <c r="B59" s="883"/>
      <c r="C59" s="883"/>
      <c r="D59" s="883"/>
      <c r="E59" s="883"/>
      <c r="F59" s="883"/>
      <c r="G59" s="883"/>
      <c r="H59" s="883"/>
      <c r="I59" s="884"/>
    </row>
  </sheetData>
  <mergeCells count="48">
    <mergeCell ref="A59:I59"/>
    <mergeCell ref="A53:I53"/>
    <mergeCell ref="A54:I54"/>
    <mergeCell ref="A55:I55"/>
    <mergeCell ref="A56:I56"/>
    <mergeCell ref="A57:I57"/>
    <mergeCell ref="A58:I58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032A-4632-438C-9090-5AA49E7FF2A6}">
  <dimension ref="A1:Q91"/>
  <sheetViews>
    <sheetView topLeftCell="A54" workbookViewId="0">
      <selection activeCell="M79" sqref="M79"/>
    </sheetView>
  </sheetViews>
  <sheetFormatPr baseColWidth="10" defaultColWidth="8.42578125" defaultRowHeight="12.75" x14ac:dyDescent="0.25"/>
  <cols>
    <col min="1" max="1" width="10" style="59" bestFit="1" customWidth="1"/>
    <col min="2" max="2" width="44.28515625" style="59" bestFit="1" customWidth="1"/>
    <col min="3" max="3" width="10.42578125" style="59" bestFit="1" customWidth="1"/>
    <col min="4" max="4" width="10.42578125" style="59" customWidth="1"/>
    <col min="5" max="5" width="11" style="59" customWidth="1"/>
    <col min="6" max="6" width="9.5703125" style="59" bestFit="1" customWidth="1"/>
    <col min="7" max="7" width="10.7109375" style="141" customWidth="1"/>
    <col min="8" max="8" width="10.42578125" style="132" bestFit="1" customWidth="1"/>
    <col min="9" max="9" width="4.5703125" style="132" customWidth="1"/>
    <col min="10" max="10" width="1.7109375" style="58" customWidth="1"/>
    <col min="11" max="11" width="7" style="59" bestFit="1" customWidth="1"/>
    <col min="12" max="12" width="6.28515625" style="59" customWidth="1"/>
    <col min="13" max="13" width="20.42578125" style="59" customWidth="1"/>
    <col min="14" max="14" width="6.42578125" style="59" bestFit="1" customWidth="1"/>
    <col min="15" max="16" width="8.42578125" style="59"/>
    <col min="17" max="17" width="3.28515625" style="59" customWidth="1"/>
    <col min="18" max="16384" width="8.42578125" style="59"/>
  </cols>
  <sheetData>
    <row r="1" spans="1:10" ht="27.75" customHeight="1" x14ac:dyDescent="0.25">
      <c r="A1" s="54"/>
      <c r="B1" s="54"/>
      <c r="C1" s="54"/>
      <c r="D1" s="54"/>
      <c r="E1" s="55" t="s">
        <v>83</v>
      </c>
      <c r="F1" s="56" t="s">
        <v>84</v>
      </c>
      <c r="G1" s="56" t="s">
        <v>85</v>
      </c>
      <c r="H1" s="56" t="s">
        <v>86</v>
      </c>
      <c r="I1" s="57"/>
    </row>
    <row r="2" spans="1:10" ht="30.75" customHeight="1" x14ac:dyDescent="0.25">
      <c r="A2" s="54"/>
      <c r="B2" s="54"/>
      <c r="C2" s="54"/>
      <c r="D2" s="54"/>
      <c r="E2" s="60">
        <f>IFERROR(O62,"")</f>
        <v>23907.983766233767</v>
      </c>
      <c r="F2" s="60">
        <f>IFERROR(H53,"")</f>
        <v>22618.75</v>
      </c>
      <c r="G2" s="60">
        <f>IFERROR(H54,"")</f>
        <v>3</v>
      </c>
      <c r="H2" s="60">
        <f>IFERROR(H56,"")</f>
        <v>619</v>
      </c>
      <c r="I2" s="61"/>
    </row>
    <row r="3" spans="1:10" ht="15" customHeight="1" x14ac:dyDescent="0.25">
      <c r="A3" s="54"/>
      <c r="B3" s="54"/>
      <c r="C3" s="54"/>
      <c r="D3" s="54"/>
      <c r="E3" s="54"/>
      <c r="F3" s="62"/>
      <c r="G3" s="62"/>
      <c r="H3" s="62"/>
      <c r="I3" s="62"/>
    </row>
    <row r="4" spans="1:10" ht="24.75" customHeight="1" thickBot="1" x14ac:dyDescent="0.3">
      <c r="A4" s="624"/>
      <c r="B4" s="624"/>
      <c r="C4" s="624"/>
      <c r="D4" s="624"/>
      <c r="E4" s="624"/>
      <c r="F4" s="624"/>
      <c r="G4" s="624"/>
      <c r="H4" s="624"/>
      <c r="I4" s="63"/>
    </row>
    <row r="5" spans="1:10" ht="19.5" customHeight="1" thickBot="1" x14ac:dyDescent="0.3">
      <c r="A5" s="625" t="s">
        <v>87</v>
      </c>
      <c r="B5" s="626"/>
      <c r="C5" s="626"/>
      <c r="D5" s="626"/>
      <c r="E5" s="626"/>
      <c r="F5" s="626"/>
      <c r="G5" s="626"/>
      <c r="H5" s="627"/>
      <c r="I5" s="64"/>
    </row>
    <row r="6" spans="1:10" ht="19.5" thickBot="1" x14ac:dyDescent="0.3">
      <c r="A6" s="64"/>
      <c r="B6" s="64"/>
      <c r="C6" s="64"/>
      <c r="D6" s="64"/>
      <c r="E6" s="64"/>
      <c r="F6" s="628" t="s">
        <v>88</v>
      </c>
      <c r="G6" s="628"/>
      <c r="H6" s="65">
        <f ca="1">TODAY()</f>
        <v>46141</v>
      </c>
      <c r="I6" s="65"/>
    </row>
    <row r="7" spans="1:10" ht="26.25" thickBot="1" x14ac:dyDescent="0.3">
      <c r="A7" s="66" t="s">
        <v>89</v>
      </c>
      <c r="B7" s="67" t="s">
        <v>90</v>
      </c>
      <c r="C7" s="67" t="s">
        <v>89</v>
      </c>
      <c r="D7" s="68" t="s">
        <v>91</v>
      </c>
      <c r="E7" s="68" t="s">
        <v>92</v>
      </c>
      <c r="F7" s="68" t="s">
        <v>93</v>
      </c>
      <c r="G7" s="68" t="s">
        <v>94</v>
      </c>
      <c r="H7" s="69" t="s">
        <v>95</v>
      </c>
      <c r="I7" s="70"/>
    </row>
    <row r="8" spans="1:10" ht="13.5" x14ac:dyDescent="0.25">
      <c r="A8" s="71">
        <v>15</v>
      </c>
      <c r="B8" s="59" t="s">
        <v>82</v>
      </c>
      <c r="C8" s="72">
        <f>+A8</f>
        <v>15</v>
      </c>
      <c r="D8" s="73" t="s">
        <v>136</v>
      </c>
      <c r="E8" s="73">
        <v>7.25</v>
      </c>
      <c r="F8" s="73">
        <f>IFERROR(C8*E8,"")</f>
        <v>108.75</v>
      </c>
      <c r="G8" s="74">
        <f t="shared" ref="G8:G14" si="0">IFERROR(F8/$F$66,"")</f>
        <v>4.6663555762949133E-3</v>
      </c>
      <c r="H8" s="75" t="s">
        <v>62</v>
      </c>
      <c r="I8" s="75"/>
      <c r="J8" s="76"/>
    </row>
    <row r="9" spans="1:10" ht="13.5" hidden="1" x14ac:dyDescent="0.25">
      <c r="A9" s="71"/>
      <c r="B9" s="59" t="str">
        <f>IFERROR(VLOOKUP(H9,'[1]Consolidado MP Planta'!$A$2:$M$823,3,0),"")</f>
        <v/>
      </c>
      <c r="C9" s="72">
        <f t="shared" ref="C9:C14" si="1">+A9</f>
        <v>0</v>
      </c>
      <c r="D9" s="73" t="str">
        <f>IFERROR(VLOOKUP(H9,'[1]Consolidado MP Planta'!$A$2:$M$823,13,0),"")</f>
        <v/>
      </c>
      <c r="E9" s="73" t="str">
        <f>IFERROR(VLOOKUP(H9,'[1]Consolidado MP Planta'!$A$2:$M$823,12,0),"")</f>
        <v/>
      </c>
      <c r="F9" s="73" t="str">
        <f t="shared" ref="F9:F14" si="2">IFERROR(C9*E9,"")</f>
        <v/>
      </c>
      <c r="G9" s="74" t="str">
        <f t="shared" si="0"/>
        <v/>
      </c>
      <c r="H9" s="75"/>
      <c r="I9" s="75"/>
      <c r="J9" s="76"/>
    </row>
    <row r="10" spans="1:10" ht="13.5" hidden="1" x14ac:dyDescent="0.25">
      <c r="A10" s="71"/>
      <c r="B10" s="59" t="str">
        <f>IFERROR(VLOOKUP(H10,'[1]Consolidado MP Planta'!$A$2:$M$823,3,0),"")</f>
        <v/>
      </c>
      <c r="C10" s="72">
        <f t="shared" si="1"/>
        <v>0</v>
      </c>
      <c r="D10" s="73" t="str">
        <f>IFERROR(VLOOKUP(H10,'[1]Consolidado MP Planta'!$A$2:$M$823,13,0),"")</f>
        <v/>
      </c>
      <c r="E10" s="73" t="str">
        <f>IFERROR(VLOOKUP(H10,'[1]Consolidado MP Planta'!$A$2:$M$823,12,0),"")</f>
        <v/>
      </c>
      <c r="F10" s="73" t="str">
        <f t="shared" si="2"/>
        <v/>
      </c>
      <c r="G10" s="74" t="str">
        <f t="shared" si="0"/>
        <v/>
      </c>
      <c r="H10" s="75"/>
      <c r="I10" s="75"/>
      <c r="J10" s="76"/>
    </row>
    <row r="11" spans="1:10" ht="13.5" hidden="1" x14ac:dyDescent="0.25">
      <c r="A11" s="71"/>
      <c r="B11" s="59" t="str">
        <f>IFERROR(VLOOKUP(H11,'[1]Consolidado MP Planta'!$A$2:$M$823,3,0),"")</f>
        <v/>
      </c>
      <c r="C11" s="72">
        <f>+A11</f>
        <v>0</v>
      </c>
      <c r="D11" s="73" t="str">
        <f>IFERROR(VLOOKUP(H11,'[1]Consolidado MP Planta'!$A$2:$M$823,13,0),"")</f>
        <v/>
      </c>
      <c r="E11" s="73" t="str">
        <f>IFERROR(VLOOKUP(H11,'[1]Consolidado MP Planta'!$A$2:$M$823,12,0),"")</f>
        <v/>
      </c>
      <c r="F11" s="73" t="str">
        <f t="shared" si="2"/>
        <v/>
      </c>
      <c r="G11" s="74" t="str">
        <f t="shared" si="0"/>
        <v/>
      </c>
      <c r="H11" s="75"/>
      <c r="I11" s="75"/>
      <c r="J11" s="76"/>
    </row>
    <row r="12" spans="1:10" ht="13.5" hidden="1" x14ac:dyDescent="0.25">
      <c r="A12" s="71"/>
      <c r="B12" s="59" t="str">
        <f>IFERROR(VLOOKUP(H12,'[1]Consolidado MP Planta'!$A$2:$M$823,3,0),"")</f>
        <v/>
      </c>
      <c r="C12" s="72">
        <f t="shared" si="1"/>
        <v>0</v>
      </c>
      <c r="D12" s="73" t="str">
        <f>IFERROR(VLOOKUP(H12,'[1]Consolidado MP Planta'!$A$2:$M$823,13,0),"")</f>
        <v/>
      </c>
      <c r="E12" s="73" t="str">
        <f>IFERROR(VLOOKUP(H12,'[1]Consolidado MP Planta'!$A$2:$M$823,12,0),"")</f>
        <v/>
      </c>
      <c r="F12" s="73" t="str">
        <f t="shared" si="2"/>
        <v/>
      </c>
      <c r="G12" s="74" t="str">
        <f t="shared" si="0"/>
        <v/>
      </c>
      <c r="H12" s="75"/>
      <c r="I12" s="75"/>
      <c r="J12" s="76"/>
    </row>
    <row r="13" spans="1:10" ht="13.5" hidden="1" x14ac:dyDescent="0.25">
      <c r="A13" s="71"/>
      <c r="B13" s="59" t="str">
        <f>IFERROR(VLOOKUP(H13,'[1]Consolidado MP Planta'!$A$2:$M$823,3,0),"")</f>
        <v/>
      </c>
      <c r="C13" s="72">
        <f>+A13</f>
        <v>0</v>
      </c>
      <c r="D13" s="73" t="str">
        <f>IFERROR(VLOOKUP(H13,'[1]Consolidado MP Planta'!$A$2:$M$823,13,0),"")</f>
        <v/>
      </c>
      <c r="E13" s="73" t="str">
        <f>IFERROR(VLOOKUP(H13,'[1]Consolidado MP Planta'!$A$2:$M$823,12,0),"")</f>
        <v/>
      </c>
      <c r="F13" s="73" t="str">
        <f t="shared" si="2"/>
        <v/>
      </c>
      <c r="G13" s="74" t="str">
        <f t="shared" si="0"/>
        <v/>
      </c>
      <c r="H13" s="75"/>
      <c r="I13" s="75"/>
      <c r="J13" s="76"/>
    </row>
    <row r="14" spans="1:10" ht="13.5" hidden="1" x14ac:dyDescent="0.25">
      <c r="A14" s="71"/>
      <c r="B14" s="59" t="str">
        <f>IFERROR(VLOOKUP(H14,'[1]Consolidado MP Planta'!$A$2:$M$823,3,0),"")</f>
        <v/>
      </c>
      <c r="C14" s="72">
        <f t="shared" si="1"/>
        <v>0</v>
      </c>
      <c r="D14" s="73" t="str">
        <f>IFERROR(VLOOKUP(H14,'[1]Consolidado MP Planta'!$A$2:$M$823,13,0),"")</f>
        <v/>
      </c>
      <c r="E14" s="73" t="str">
        <f>IFERROR(VLOOKUP(H14,'[1]Consolidado MP Planta'!$A$2:$M$823,12,0),"")</f>
        <v/>
      </c>
      <c r="F14" s="73" t="str">
        <f t="shared" si="2"/>
        <v/>
      </c>
      <c r="G14" s="74" t="str">
        <f t="shared" si="0"/>
        <v/>
      </c>
      <c r="H14" s="75"/>
      <c r="I14" s="75"/>
      <c r="J14" s="76"/>
    </row>
    <row r="15" spans="1:10" ht="14.25" thickBot="1" x14ac:dyDescent="0.3">
      <c r="A15" s="71"/>
      <c r="B15" s="59" t="str">
        <f>IFERROR(VLOOKUP(H15,[2]Hoja2!$A$2:$G$589,2,0),"")</f>
        <v/>
      </c>
      <c r="C15" s="72"/>
      <c r="D15" s="73"/>
      <c r="E15" s="73"/>
      <c r="F15" s="73"/>
      <c r="G15" s="74"/>
      <c r="H15" s="75"/>
      <c r="I15" s="75"/>
      <c r="J15" s="76"/>
    </row>
    <row r="16" spans="1:10" ht="26.25" thickBot="1" x14ac:dyDescent="0.3">
      <c r="A16" s="66" t="s">
        <v>89</v>
      </c>
      <c r="B16" s="67" t="s">
        <v>96</v>
      </c>
      <c r="C16" s="67" t="s">
        <v>89</v>
      </c>
      <c r="D16" s="68" t="s">
        <v>91</v>
      </c>
      <c r="E16" s="68" t="s">
        <v>92</v>
      </c>
      <c r="F16" s="68" t="s">
        <v>93</v>
      </c>
      <c r="G16" s="68" t="s">
        <v>94</v>
      </c>
      <c r="H16" s="69" t="s">
        <v>95</v>
      </c>
      <c r="I16" s="70"/>
      <c r="J16" s="76"/>
    </row>
    <row r="17" spans="1:12" ht="13.5" x14ac:dyDescent="0.25">
      <c r="A17" s="71">
        <v>9000</v>
      </c>
      <c r="B17" s="59" t="s">
        <v>57</v>
      </c>
      <c r="C17" s="72">
        <f>+A17</f>
        <v>9000</v>
      </c>
      <c r="D17" s="72" t="s">
        <v>136</v>
      </c>
      <c r="E17" s="73">
        <f>+'Costo Salsa Arandanos '!E69</f>
        <v>2.5011111111111113</v>
      </c>
      <c r="F17" s="73">
        <f>IFERROR(E17*C17,"")</f>
        <v>22510</v>
      </c>
      <c r="G17" s="74">
        <f t="shared" ref="G17:G24" si="3">IFERROR(F17/$F$66,"")</f>
        <v>0.96588196802205528</v>
      </c>
      <c r="H17" s="75" t="s">
        <v>33</v>
      </c>
      <c r="I17" s="75"/>
      <c r="J17" s="76"/>
    </row>
    <row r="18" spans="1:12" ht="13.5" hidden="1" x14ac:dyDescent="0.25">
      <c r="A18" s="71"/>
      <c r="B18" s="59" t="str">
        <f>IFERROR(VLOOKUP(H18,[1]SEMIELABORADOS!$A$2:$M$6000,2,0),"")</f>
        <v/>
      </c>
      <c r="C18" s="72">
        <f t="shared" ref="C18:C24" si="4">+A18</f>
        <v>0</v>
      </c>
      <c r="D18" s="72" t="str">
        <f>IFERROR(VLOOKUP(H18,[1]SEMIELABORADOS!$A$2:$M$6000,6,0),"")</f>
        <v/>
      </c>
      <c r="E18" s="73" t="str">
        <f>IFERROR(VLOOKUP(H18,[1]SEMIELABORADOS!$A$2:$H$65536,8,0),"")</f>
        <v/>
      </c>
      <c r="F18" s="73" t="str">
        <f t="shared" ref="F18:F24" si="5">IFERROR(E18*C18,"")</f>
        <v/>
      </c>
      <c r="G18" s="74" t="str">
        <f t="shared" si="3"/>
        <v/>
      </c>
      <c r="H18" s="75"/>
      <c r="I18" s="75"/>
      <c r="J18" s="76"/>
    </row>
    <row r="19" spans="1:12" ht="13.5" hidden="1" x14ac:dyDescent="0.25">
      <c r="A19" s="71"/>
      <c r="B19" s="59" t="str">
        <f>IFERROR(VLOOKUP(H19,[1]SEMIELABORADOS!$A$2:$M$6000,2,0),"")</f>
        <v/>
      </c>
      <c r="C19" s="72">
        <f>+A19</f>
        <v>0</v>
      </c>
      <c r="D19" s="72" t="str">
        <f>IFERROR(VLOOKUP(H19,[1]SEMIELABORADOS!$A$2:$M$6000,6,0),"")</f>
        <v/>
      </c>
      <c r="E19" s="73" t="str">
        <f>IFERROR(VLOOKUP(H19,[1]SEMIELABORADOS!$A$2:$H$65536,8,0),"")</f>
        <v/>
      </c>
      <c r="F19" s="73" t="str">
        <f>IFERROR(E19*C19,"")</f>
        <v/>
      </c>
      <c r="G19" s="74" t="str">
        <f t="shared" si="3"/>
        <v/>
      </c>
      <c r="H19" s="75"/>
      <c r="I19" s="75"/>
      <c r="J19" s="76"/>
    </row>
    <row r="20" spans="1:12" ht="13.5" hidden="1" x14ac:dyDescent="0.25">
      <c r="A20" s="71"/>
      <c r="B20" s="59" t="str">
        <f>IFERROR(VLOOKUP(H20,[1]SEMIELABORADOS!$A$2:$M$6000,2,0),"")</f>
        <v/>
      </c>
      <c r="C20" s="72">
        <f>+A20</f>
        <v>0</v>
      </c>
      <c r="D20" s="72" t="str">
        <f>IFERROR(VLOOKUP(H20,[1]SEMIELABORADOS!$A$2:$M$6000,6,0),"")</f>
        <v/>
      </c>
      <c r="E20" s="73" t="str">
        <f>IFERROR(VLOOKUP(H20,[1]SEMIELABORADOS!$A$2:$H$65536,8,0),"")</f>
        <v/>
      </c>
      <c r="F20" s="73" t="str">
        <f>IFERROR(E20*C20,"")</f>
        <v/>
      </c>
      <c r="G20" s="74" t="str">
        <f t="shared" si="3"/>
        <v/>
      </c>
      <c r="H20" s="75"/>
      <c r="I20" s="75"/>
      <c r="J20" s="76"/>
    </row>
    <row r="21" spans="1:12" ht="13.5" hidden="1" x14ac:dyDescent="0.25">
      <c r="A21" s="71"/>
      <c r="B21" s="59" t="str">
        <f>IFERROR(VLOOKUP(H21,[1]SEMIELABORADOS!$A$2:$M$6000,2,0),"")</f>
        <v/>
      </c>
      <c r="C21" s="72">
        <f>+A21</f>
        <v>0</v>
      </c>
      <c r="D21" s="72" t="str">
        <f>IFERROR(VLOOKUP(H21,[1]SEMIELABORADOS!$A$2:$M$6000,6,0),"")</f>
        <v/>
      </c>
      <c r="E21" s="73" t="str">
        <f>IFERROR(VLOOKUP(H21,[1]SEMIELABORADOS!$A$2:$H$65536,8,0),"")</f>
        <v/>
      </c>
      <c r="F21" s="73" t="str">
        <f>IFERROR(E21*C21,"")</f>
        <v/>
      </c>
      <c r="G21" s="74" t="str">
        <f t="shared" si="3"/>
        <v/>
      </c>
      <c r="H21" s="75"/>
      <c r="I21" s="75"/>
      <c r="J21" s="76"/>
    </row>
    <row r="22" spans="1:12" ht="13.5" hidden="1" x14ac:dyDescent="0.25">
      <c r="A22" s="71"/>
      <c r="B22" s="59" t="str">
        <f>IFERROR(VLOOKUP(H22,[1]SEMIELABORADOS!$A$2:$M$6000,2,0),"")</f>
        <v/>
      </c>
      <c r="C22" s="72">
        <f t="shared" si="4"/>
        <v>0</v>
      </c>
      <c r="D22" s="72" t="str">
        <f>IFERROR(VLOOKUP(H22,[1]SEMIELABORADOS!$A$2:$M$6000,6,0),"")</f>
        <v/>
      </c>
      <c r="E22" s="73" t="str">
        <f>IFERROR(VLOOKUP(H22,[1]SEMIELABORADOS!$A$2:$H$65536,8,0),"")</f>
        <v/>
      </c>
      <c r="F22" s="73" t="str">
        <f t="shared" si="5"/>
        <v/>
      </c>
      <c r="G22" s="74" t="str">
        <f t="shared" si="3"/>
        <v/>
      </c>
      <c r="H22" s="75"/>
      <c r="I22" s="75"/>
      <c r="J22" s="76"/>
    </row>
    <row r="23" spans="1:12" ht="13.5" hidden="1" x14ac:dyDescent="0.25">
      <c r="A23" s="71"/>
      <c r="B23" s="59" t="str">
        <f>IFERROR(VLOOKUP(H23,[1]SEMIELABORADOS!$A$2:$M$6000,2,0),"")</f>
        <v/>
      </c>
      <c r="C23" s="72">
        <f t="shared" si="4"/>
        <v>0</v>
      </c>
      <c r="D23" s="72" t="str">
        <f>IFERROR(VLOOKUP(H23,[1]SEMIELABORADOS!$A$2:$M$6000,6,0),"")</f>
        <v/>
      </c>
      <c r="E23" s="73" t="str">
        <f>IFERROR(VLOOKUP(H23,[1]SEMIELABORADOS!$A$2:$H$65536,8,0),"")</f>
        <v/>
      </c>
      <c r="F23" s="73" t="str">
        <f t="shared" si="5"/>
        <v/>
      </c>
      <c r="G23" s="74" t="str">
        <f t="shared" si="3"/>
        <v/>
      </c>
      <c r="H23" s="75"/>
      <c r="I23" s="75"/>
      <c r="J23" s="76"/>
    </row>
    <row r="24" spans="1:12" ht="13.5" hidden="1" x14ac:dyDescent="0.25">
      <c r="A24" s="71"/>
      <c r="B24" s="59" t="str">
        <f>IFERROR(VLOOKUP(H24,[1]SEMIELABORADOS!$A$2:$M$6000,2,0),"")</f>
        <v/>
      </c>
      <c r="C24" s="72">
        <f t="shared" si="4"/>
        <v>0</v>
      </c>
      <c r="D24" s="72" t="str">
        <f>IFERROR(VLOOKUP(H24,[1]SEMIELABORADOS!$A$2:$M$6000,6,0),"")</f>
        <v/>
      </c>
      <c r="E24" s="73" t="str">
        <f>IFERROR(VLOOKUP(H24,[1]SEMIELABORADOS!$A$2:$H$65536,8,0),"")</f>
        <v/>
      </c>
      <c r="F24" s="73" t="str">
        <f t="shared" si="5"/>
        <v/>
      </c>
      <c r="G24" s="74" t="str">
        <f t="shared" si="3"/>
        <v/>
      </c>
      <c r="H24" s="75"/>
      <c r="I24" s="75"/>
      <c r="J24" s="76"/>
    </row>
    <row r="25" spans="1:12" ht="14.25" thickBot="1" x14ac:dyDescent="0.3">
      <c r="A25" s="71"/>
      <c r="C25" s="72"/>
      <c r="D25" s="72"/>
      <c r="E25" s="73"/>
      <c r="F25" s="73"/>
      <c r="G25" s="74"/>
      <c r="H25" s="75"/>
      <c r="I25" s="75"/>
      <c r="J25" s="76"/>
    </row>
    <row r="26" spans="1:12" ht="26.25" hidden="1" thickBot="1" x14ac:dyDescent="0.3">
      <c r="A26" s="66" t="s">
        <v>89</v>
      </c>
      <c r="B26" s="67" t="s">
        <v>97</v>
      </c>
      <c r="C26" s="67" t="s">
        <v>89</v>
      </c>
      <c r="D26" s="68" t="s">
        <v>91</v>
      </c>
      <c r="E26" s="68" t="s">
        <v>92</v>
      </c>
      <c r="F26" s="68" t="s">
        <v>93</v>
      </c>
      <c r="G26" s="68" t="s">
        <v>94</v>
      </c>
      <c r="H26" s="69" t="s">
        <v>95</v>
      </c>
      <c r="I26" s="70"/>
    </row>
    <row r="27" spans="1:12" ht="13.5" hidden="1" x14ac:dyDescent="0.25">
      <c r="A27" s="71">
        <v>0</v>
      </c>
      <c r="B27" s="77" t="str">
        <f>IFERROR(VLOOKUP(H27,'[1]Consolidado MP Planta'!$A$2:$M$823,3,0),"")</f>
        <v/>
      </c>
      <c r="C27" s="72">
        <f t="shared" ref="C27:C32" si="6">+A27</f>
        <v>0</v>
      </c>
      <c r="D27" s="73" t="str">
        <f>IFERROR(VLOOKUP(H27,'[1]Consolidado MP Planta'!$A$2:$M$823,13,0),"")</f>
        <v/>
      </c>
      <c r="E27" s="73" t="str">
        <f>IFERROR(VLOOKUP(H27,'[1]Consolidado MP Planta'!$A$2:$M$823,12,0),"")</f>
        <v/>
      </c>
      <c r="F27" s="73" t="str">
        <f t="shared" ref="F27:F32" si="7">IFERROR(C27*E27,"")</f>
        <v/>
      </c>
      <c r="G27" s="74" t="str">
        <f t="shared" ref="G27:G32" si="8">IFERROR(F27/$F$66,"")</f>
        <v/>
      </c>
      <c r="H27" s="78"/>
      <c r="I27" s="78"/>
      <c r="J27" s="76"/>
      <c r="K27" s="618"/>
      <c r="L27" s="618"/>
    </row>
    <row r="28" spans="1:12" ht="13.5" hidden="1" x14ac:dyDescent="0.25">
      <c r="A28" s="71"/>
      <c r="B28" s="77" t="str">
        <f>IFERROR(VLOOKUP(H28,'[1]Consolidado MP Planta'!$A$2:$M$823,3,0),"")</f>
        <v/>
      </c>
      <c r="C28" s="72">
        <f t="shared" si="6"/>
        <v>0</v>
      </c>
      <c r="D28" s="73" t="str">
        <f>IFERROR(VLOOKUP(H28,'[1]Consolidado MP Planta'!$A$2:$M$823,13,0),"")</f>
        <v/>
      </c>
      <c r="E28" s="73" t="str">
        <f>IFERROR(VLOOKUP(H28,'[1]Consolidado MP Planta'!$A$2:$M$823,12,0),"")</f>
        <v/>
      </c>
      <c r="F28" s="73" t="str">
        <f t="shared" si="7"/>
        <v/>
      </c>
      <c r="G28" s="74" t="str">
        <f t="shared" si="8"/>
        <v/>
      </c>
      <c r="H28" s="78"/>
      <c r="I28" s="78"/>
      <c r="J28" s="76"/>
      <c r="K28" s="618"/>
      <c r="L28" s="618"/>
    </row>
    <row r="29" spans="1:12" ht="13.5" hidden="1" x14ac:dyDescent="0.25">
      <c r="A29" s="71"/>
      <c r="B29" s="77" t="str">
        <f>IFERROR(VLOOKUP(H29,'[1]Consolidado MP Planta'!$A$2:$M$823,3,0),"")</f>
        <v/>
      </c>
      <c r="C29" s="72">
        <f t="shared" si="6"/>
        <v>0</v>
      </c>
      <c r="D29" s="73" t="str">
        <f>IFERROR(VLOOKUP(H29,'[1]Consolidado MP Planta'!$A$2:$M$823,13,0),"")</f>
        <v/>
      </c>
      <c r="E29" s="73" t="str">
        <f>IFERROR(VLOOKUP(H29,'[1]Consolidado MP Planta'!$A$2:$M$823,12,0),"")</f>
        <v/>
      </c>
      <c r="F29" s="73" t="str">
        <f t="shared" si="7"/>
        <v/>
      </c>
      <c r="G29" s="74" t="str">
        <f t="shared" si="8"/>
        <v/>
      </c>
      <c r="H29" s="78"/>
      <c r="I29" s="78"/>
      <c r="J29" s="76"/>
      <c r="K29" s="618"/>
      <c r="L29" s="618"/>
    </row>
    <row r="30" spans="1:12" ht="13.5" hidden="1" x14ac:dyDescent="0.25">
      <c r="A30" s="71"/>
      <c r="B30" s="77" t="str">
        <f>IFERROR(VLOOKUP(H30,'[1]Consolidado MP Planta'!$A$2:$M$823,3,0),"")</f>
        <v/>
      </c>
      <c r="C30" s="72">
        <f t="shared" si="6"/>
        <v>0</v>
      </c>
      <c r="D30" s="73" t="str">
        <f>IFERROR(VLOOKUP(H30,'[1]Consolidado MP Planta'!$A$2:$M$823,13,0),"")</f>
        <v/>
      </c>
      <c r="E30" s="73" t="str">
        <f>IFERROR(VLOOKUP(H30,'[1]Consolidado MP Planta'!$A$2:$M$823,12,0),"")</f>
        <v/>
      </c>
      <c r="F30" s="73" t="str">
        <f t="shared" si="7"/>
        <v/>
      </c>
      <c r="G30" s="74" t="str">
        <f t="shared" si="8"/>
        <v/>
      </c>
      <c r="H30" s="78"/>
      <c r="I30" s="78"/>
      <c r="J30" s="76"/>
      <c r="K30" s="618"/>
      <c r="L30" s="618"/>
    </row>
    <row r="31" spans="1:12" ht="13.5" hidden="1" x14ac:dyDescent="0.25">
      <c r="A31" s="71"/>
      <c r="B31" s="77" t="str">
        <f>IFERROR(VLOOKUP(H31,'[1]Consolidado MP Planta'!$A$2:$M$823,3,0),"")</f>
        <v/>
      </c>
      <c r="C31" s="72">
        <f t="shared" si="6"/>
        <v>0</v>
      </c>
      <c r="D31" s="73" t="str">
        <f>IFERROR(VLOOKUP(H31,'[1]Consolidado MP Planta'!$A$2:$M$823,13,0),"")</f>
        <v/>
      </c>
      <c r="E31" s="73" t="str">
        <f>IFERROR(VLOOKUP(H31,'[1]Consolidado MP Planta'!$A$2:$M$823,12,0),"")</f>
        <v/>
      </c>
      <c r="F31" s="73" t="str">
        <f t="shared" si="7"/>
        <v/>
      </c>
      <c r="G31" s="74" t="str">
        <f t="shared" si="8"/>
        <v/>
      </c>
      <c r="H31" s="78"/>
      <c r="I31" s="78"/>
      <c r="J31" s="76"/>
      <c r="K31" s="79"/>
      <c r="L31" s="80"/>
    </row>
    <row r="32" spans="1:12" ht="13.5" hidden="1" x14ac:dyDescent="0.25">
      <c r="A32" s="71"/>
      <c r="B32" s="77" t="str">
        <f>IFERROR(VLOOKUP(H32,'[1]Consolidado MP Planta'!$A$2:$M$823,3,0),"")</f>
        <v/>
      </c>
      <c r="C32" s="72">
        <f t="shared" si="6"/>
        <v>0</v>
      </c>
      <c r="D32" s="73" t="str">
        <f>IFERROR(VLOOKUP(H32,'[1]Consolidado MP Planta'!$A$2:$M$823,13,0),"")</f>
        <v/>
      </c>
      <c r="E32" s="73" t="str">
        <f>IFERROR(VLOOKUP(H32,'[1]Consolidado MP Planta'!$A$2:$M$823,12,0),"")</f>
        <v/>
      </c>
      <c r="F32" s="73" t="str">
        <f t="shared" si="7"/>
        <v/>
      </c>
      <c r="G32" s="74" t="str">
        <f t="shared" si="8"/>
        <v/>
      </c>
      <c r="H32" s="78"/>
      <c r="I32" s="78"/>
      <c r="J32" s="76"/>
    </row>
    <row r="33" spans="1:13" ht="14.25" hidden="1" thickBot="1" x14ac:dyDescent="0.3">
      <c r="A33" s="71"/>
      <c r="B33" s="77"/>
      <c r="C33" s="72"/>
      <c r="D33" s="73"/>
      <c r="E33" s="73"/>
      <c r="F33" s="73"/>
      <c r="G33" s="74"/>
      <c r="H33" s="78"/>
      <c r="I33" s="78"/>
      <c r="J33" s="76"/>
    </row>
    <row r="34" spans="1:13" ht="26.25" thickBot="1" x14ac:dyDescent="0.25">
      <c r="A34" s="66" t="s">
        <v>89</v>
      </c>
      <c r="B34" s="67" t="s">
        <v>98</v>
      </c>
      <c r="C34" s="67" t="s">
        <v>89</v>
      </c>
      <c r="D34" s="68" t="s">
        <v>91</v>
      </c>
      <c r="E34" s="68" t="s">
        <v>92</v>
      </c>
      <c r="F34" s="68" t="s">
        <v>93</v>
      </c>
      <c r="G34" s="68" t="s">
        <v>94</v>
      </c>
      <c r="H34" s="69" t="s">
        <v>95</v>
      </c>
      <c r="I34" s="78"/>
      <c r="J34" s="76"/>
    </row>
    <row r="35" spans="1:13" ht="13.5" x14ac:dyDescent="0.25">
      <c r="A35" s="71">
        <f>+A17</f>
        <v>9000</v>
      </c>
      <c r="B35" s="77" t="s">
        <v>57</v>
      </c>
      <c r="C35" s="72">
        <f>+A35</f>
        <v>9000</v>
      </c>
      <c r="D35" s="73" t="s">
        <v>136</v>
      </c>
      <c r="E35" s="73">
        <f>+'Costo Salsa Arandanos '!E76</f>
        <v>3.3333333333333332E-4</v>
      </c>
      <c r="F35" s="73">
        <f>IFERROR(E35*C35,"")</f>
        <v>3</v>
      </c>
      <c r="G35" s="74">
        <f t="shared" ref="G35:G41" si="9">IFERROR(F35/$F$66,"")</f>
        <v>1.2872705038054934E-4</v>
      </c>
      <c r="H35" s="78" t="s">
        <v>33</v>
      </c>
      <c r="I35" s="78"/>
      <c r="J35" s="76"/>
    </row>
    <row r="36" spans="1:13" ht="13.5" hidden="1" x14ac:dyDescent="0.25">
      <c r="A36" s="71">
        <f t="shared" ref="A36:A41" si="10">+A18</f>
        <v>0</v>
      </c>
      <c r="B36" s="77" t="str">
        <f>IFERROR(VLOOKUP(H36,[1]SEMIELABORADOS!$A$2:$M$6000,2,0),"")</f>
        <v/>
      </c>
      <c r="C36" s="72">
        <f t="shared" ref="C36:C41" si="11">+A36</f>
        <v>0</v>
      </c>
      <c r="D36" s="73" t="str">
        <f>IFERROR(VLOOKUP(H36,[1]SEMIELABORADOS!$A$2:$M$6000,6,0),"")</f>
        <v/>
      </c>
      <c r="E36" s="73" t="str">
        <f>IFERROR(VLOOKUP(H36,[1]SEMIELABORADOS!$A$2:$M$65536,10,0),"")</f>
        <v/>
      </c>
      <c r="F36" s="73" t="str">
        <f t="shared" ref="F36:F41" si="12">IFERROR(E36*C36,"")</f>
        <v/>
      </c>
      <c r="G36" s="74" t="str">
        <f t="shared" si="9"/>
        <v/>
      </c>
      <c r="H36" s="78"/>
      <c r="I36" s="78"/>
      <c r="J36" s="76"/>
    </row>
    <row r="37" spans="1:13" ht="13.5" hidden="1" x14ac:dyDescent="0.25">
      <c r="A37" s="71">
        <f t="shared" si="10"/>
        <v>0</v>
      </c>
      <c r="B37" s="77" t="str">
        <f>IFERROR(VLOOKUP(H37,[1]SEMIELABORADOS!$A$2:$M$6000,2,0),"")</f>
        <v/>
      </c>
      <c r="C37" s="72">
        <f t="shared" si="11"/>
        <v>0</v>
      </c>
      <c r="D37" s="73" t="str">
        <f>IFERROR(VLOOKUP(H37,[1]SEMIELABORADOS!$A$2:$M$6000,6,0),"")</f>
        <v/>
      </c>
      <c r="E37" s="73" t="str">
        <f>IFERROR(VLOOKUP(H37,[1]SEMIELABORADOS!$A$2:$M$65536,10,0),"")</f>
        <v/>
      </c>
      <c r="F37" s="73" t="str">
        <f t="shared" si="12"/>
        <v/>
      </c>
      <c r="G37" s="74" t="str">
        <f t="shared" si="9"/>
        <v/>
      </c>
      <c r="H37" s="78"/>
      <c r="I37" s="78"/>
      <c r="J37" s="76"/>
    </row>
    <row r="38" spans="1:13" ht="13.5" hidden="1" x14ac:dyDescent="0.25">
      <c r="A38" s="71">
        <f t="shared" si="10"/>
        <v>0</v>
      </c>
      <c r="B38" s="77" t="str">
        <f>IFERROR(VLOOKUP(H38,[1]SEMIELABORADOS!$A$2:$M$6000,2,0),"")</f>
        <v/>
      </c>
      <c r="C38" s="72">
        <f>+A38</f>
        <v>0</v>
      </c>
      <c r="D38" s="73" t="str">
        <f>IFERROR(VLOOKUP(H38,[1]SEMIELABORADOS!$A$2:$M$6000,6,0),"")</f>
        <v/>
      </c>
      <c r="E38" s="73" t="str">
        <f>IFERROR(VLOOKUP(H38,[1]SEMIELABORADOS!$A$2:$M$65536,10,0),"")</f>
        <v/>
      </c>
      <c r="F38" s="73" t="str">
        <f>IFERROR(E38*C38,"")</f>
        <v/>
      </c>
      <c r="G38" s="74" t="str">
        <f t="shared" si="9"/>
        <v/>
      </c>
      <c r="H38" s="78"/>
      <c r="I38" s="78"/>
      <c r="J38" s="76"/>
    </row>
    <row r="39" spans="1:13" ht="13.5" hidden="1" x14ac:dyDescent="0.25">
      <c r="A39" s="71">
        <f t="shared" si="10"/>
        <v>0</v>
      </c>
      <c r="B39" s="77" t="str">
        <f>IFERROR(VLOOKUP(H39,[1]SEMIELABORADOS!$A$2:$M$6000,2,0),"")</f>
        <v/>
      </c>
      <c r="C39" s="72">
        <f>+A39</f>
        <v>0</v>
      </c>
      <c r="D39" s="73" t="str">
        <f>IFERROR(VLOOKUP(H39,[1]SEMIELABORADOS!$A$2:$M$6000,6,0),"")</f>
        <v/>
      </c>
      <c r="E39" s="73" t="str">
        <f>IFERROR(VLOOKUP(H39,[1]SEMIELABORADOS!$A$2:$M$65536,10,0),"")</f>
        <v/>
      </c>
      <c r="F39" s="73" t="str">
        <f>IFERROR(E39*C39,"")</f>
        <v/>
      </c>
      <c r="G39" s="74" t="str">
        <f t="shared" si="9"/>
        <v/>
      </c>
      <c r="H39" s="78"/>
      <c r="I39" s="78"/>
      <c r="J39" s="76"/>
    </row>
    <row r="40" spans="1:13" ht="13.5" hidden="1" x14ac:dyDescent="0.25">
      <c r="A40" s="71">
        <f t="shared" si="10"/>
        <v>0</v>
      </c>
      <c r="B40" s="77" t="str">
        <f>IFERROR(VLOOKUP(H40,[1]SEMIELABORADOS!$A$2:$M$6000,2,0),"")</f>
        <v/>
      </c>
      <c r="C40" s="72">
        <f t="shared" si="11"/>
        <v>0</v>
      </c>
      <c r="D40" s="73" t="str">
        <f>IFERROR(VLOOKUP(H40,[1]SEMIELABORADOS!$A$2:$M$6000,6,0),"")</f>
        <v/>
      </c>
      <c r="E40" s="73" t="str">
        <f>IFERROR(VLOOKUP(H40,[1]SEMIELABORADOS!$A$2:$M$65536,10,0),"")</f>
        <v/>
      </c>
      <c r="F40" s="73" t="str">
        <f t="shared" si="12"/>
        <v/>
      </c>
      <c r="G40" s="74" t="str">
        <f t="shared" si="9"/>
        <v/>
      </c>
      <c r="H40" s="78"/>
      <c r="I40" s="78"/>
      <c r="J40" s="76"/>
    </row>
    <row r="41" spans="1:13" ht="13.5" hidden="1" x14ac:dyDescent="0.25">
      <c r="A41" s="71">
        <f t="shared" si="10"/>
        <v>0</v>
      </c>
      <c r="B41" s="77" t="str">
        <f>IFERROR(VLOOKUP(H41,[1]SEMIELABORADOS!$A$2:$M$6000,2,0),"")</f>
        <v/>
      </c>
      <c r="C41" s="72">
        <f t="shared" si="11"/>
        <v>0</v>
      </c>
      <c r="D41" s="73" t="str">
        <f>IFERROR(VLOOKUP(H41,[1]SEMIELABORADOS!$A$2:$M$6000,6,0),"")</f>
        <v/>
      </c>
      <c r="E41" s="73" t="str">
        <f>IFERROR(VLOOKUP(H41,[1]SEMIELABORADOS!$A$2:$M$65536,10,0),"")</f>
        <v/>
      </c>
      <c r="F41" s="73" t="str">
        <f t="shared" si="12"/>
        <v/>
      </c>
      <c r="G41" s="74" t="str">
        <f t="shared" si="9"/>
        <v/>
      </c>
      <c r="H41" s="78"/>
      <c r="I41" s="78"/>
      <c r="J41" s="76"/>
    </row>
    <row r="42" spans="1:13" ht="14.25" thickBot="1" x14ac:dyDescent="0.3">
      <c r="A42" s="71"/>
      <c r="B42" s="77"/>
      <c r="C42" s="72"/>
      <c r="D42" s="73"/>
      <c r="E42" s="73"/>
      <c r="F42" s="73"/>
      <c r="G42" s="74"/>
      <c r="H42" s="78"/>
      <c r="I42" s="78"/>
      <c r="J42" s="76"/>
    </row>
    <row r="43" spans="1:13" ht="26.25" thickBot="1" x14ac:dyDescent="0.3">
      <c r="A43" s="66" t="s">
        <v>89</v>
      </c>
      <c r="B43" s="67" t="s">
        <v>99</v>
      </c>
      <c r="C43" s="67" t="s">
        <v>89</v>
      </c>
      <c r="D43" s="68" t="s">
        <v>91</v>
      </c>
      <c r="E43" s="68" t="s">
        <v>92</v>
      </c>
      <c r="F43" s="68" t="s">
        <v>93</v>
      </c>
      <c r="G43" s="68" t="s">
        <v>94</v>
      </c>
      <c r="H43" s="69" t="s">
        <v>95</v>
      </c>
      <c r="I43" s="70"/>
      <c r="J43" s="76"/>
    </row>
    <row r="44" spans="1:13" ht="13.5" x14ac:dyDescent="0.25">
      <c r="A44" s="71">
        <f>+A35</f>
        <v>9000</v>
      </c>
      <c r="B44" s="77" t="s">
        <v>57</v>
      </c>
      <c r="C44" s="72">
        <f>+A44</f>
        <v>9000</v>
      </c>
      <c r="D44" s="73" t="s">
        <v>136</v>
      </c>
      <c r="E44" s="73">
        <f>+'Costo Salsa Arandanos '!E74</f>
        <v>4.3111111111111114E-2</v>
      </c>
      <c r="F44" s="73">
        <f>IFERROR(E44*C44,"")</f>
        <v>388</v>
      </c>
      <c r="G44" s="74">
        <f>IFERROR(F44/$F$66,"")</f>
        <v>1.664869851588438E-2</v>
      </c>
      <c r="H44" s="78" t="s">
        <v>33</v>
      </c>
      <c r="I44" s="70"/>
      <c r="J44" s="76"/>
    </row>
    <row r="45" spans="1:13" ht="13.5" hidden="1" x14ac:dyDescent="0.25">
      <c r="A45" s="71">
        <f t="shared" ref="A45:A50" si="13">+A36</f>
        <v>0</v>
      </c>
      <c r="B45" s="77" t="str">
        <f>IFERROR(VLOOKUP(H45,[1]SEMIELABORADOS!$A$2:$M$6000,2,0),"")</f>
        <v/>
      </c>
      <c r="C45" s="72">
        <f t="shared" ref="C45:C50" si="14">+A45</f>
        <v>0</v>
      </c>
      <c r="D45" s="73" t="str">
        <f>IFERROR(VLOOKUP(H45,[1]SEMIELABORADOS!$A$2:$M$6000,6,0),"")</f>
        <v/>
      </c>
      <c r="E45" s="73" t="str">
        <f>IFERROR(VLOOKUP(H45,[1]SEMIELABORADOS!$A$2:$M$65536,12,0),"")</f>
        <v/>
      </c>
      <c r="F45" s="73" t="str">
        <f t="shared" ref="F45:F50" si="15">IFERROR(E45*C45,"")</f>
        <v/>
      </c>
      <c r="G45" s="74" t="str">
        <f t="shared" ref="G45:G50" si="16">IFERROR(F45/$F$66,"")</f>
        <v/>
      </c>
      <c r="H45" s="78"/>
      <c r="I45" s="70"/>
      <c r="J45" s="76"/>
      <c r="M45" s="81"/>
    </row>
    <row r="46" spans="1:13" ht="13.5" hidden="1" x14ac:dyDescent="0.25">
      <c r="A46" s="71">
        <f t="shared" si="13"/>
        <v>0</v>
      </c>
      <c r="B46" s="77" t="str">
        <f>IFERROR(VLOOKUP(H46,[1]SEMIELABORADOS!$A$2:$M$6000,2,0),"")</f>
        <v/>
      </c>
      <c r="C46" s="72">
        <f t="shared" si="14"/>
        <v>0</v>
      </c>
      <c r="D46" s="73" t="str">
        <f>IFERROR(VLOOKUP(H46,[1]SEMIELABORADOS!$A$2:$M$6000,6,0),"")</f>
        <v/>
      </c>
      <c r="E46" s="73" t="str">
        <f>IFERROR(VLOOKUP(H46,[1]SEMIELABORADOS!$A$2:$M$65536,12,0),"")</f>
        <v/>
      </c>
      <c r="F46" s="73" t="str">
        <f t="shared" si="15"/>
        <v/>
      </c>
      <c r="G46" s="74" t="str">
        <f t="shared" si="16"/>
        <v/>
      </c>
      <c r="H46" s="78"/>
      <c r="I46" s="70"/>
      <c r="J46" s="76"/>
    </row>
    <row r="47" spans="1:13" ht="13.5" hidden="1" x14ac:dyDescent="0.25">
      <c r="A47" s="71">
        <f t="shared" si="13"/>
        <v>0</v>
      </c>
      <c r="B47" s="77" t="str">
        <f>IFERROR(VLOOKUP(H47,[1]SEMIELABORADOS!$A$2:$M$6000,2,0),"")</f>
        <v/>
      </c>
      <c r="C47" s="72">
        <f t="shared" si="14"/>
        <v>0</v>
      </c>
      <c r="D47" s="73" t="str">
        <f>IFERROR(VLOOKUP(H47,[1]SEMIELABORADOS!$A$2:$M$6000,6,0),"")</f>
        <v/>
      </c>
      <c r="E47" s="73" t="str">
        <f>IFERROR(VLOOKUP(H47,[1]SEMIELABORADOS!$A$2:$M$65536,12,0),"")</f>
        <v/>
      </c>
      <c r="F47" s="73" t="str">
        <f t="shared" si="15"/>
        <v/>
      </c>
      <c r="G47" s="74" t="str">
        <f t="shared" si="16"/>
        <v/>
      </c>
      <c r="H47" s="78"/>
      <c r="I47" s="70"/>
      <c r="J47" s="76"/>
    </row>
    <row r="48" spans="1:13" ht="13.5" hidden="1" x14ac:dyDescent="0.25">
      <c r="A48" s="71">
        <f t="shared" si="13"/>
        <v>0</v>
      </c>
      <c r="B48" s="77" t="str">
        <f>IFERROR(VLOOKUP(H48,[1]SEMIELABORADOS!$A$2:$M$6000,2,0),"")</f>
        <v/>
      </c>
      <c r="C48" s="72">
        <f t="shared" si="14"/>
        <v>0</v>
      </c>
      <c r="D48" s="73" t="str">
        <f>IFERROR(VLOOKUP(H48,[1]SEMIELABORADOS!$A$2:$M$6000,6,0),"")</f>
        <v/>
      </c>
      <c r="E48" s="73" t="str">
        <f>IFERROR(VLOOKUP(H48,[1]SEMIELABORADOS!$A$2:$M$65536,12,0),"")</f>
        <v/>
      </c>
      <c r="F48" s="73" t="str">
        <f t="shared" si="15"/>
        <v/>
      </c>
      <c r="G48" s="74" t="str">
        <f t="shared" si="16"/>
        <v/>
      </c>
      <c r="H48" s="78"/>
      <c r="I48" s="70"/>
      <c r="J48" s="76"/>
    </row>
    <row r="49" spans="1:17" ht="13.5" hidden="1" x14ac:dyDescent="0.25">
      <c r="A49" s="71">
        <f t="shared" si="13"/>
        <v>0</v>
      </c>
      <c r="B49" s="77" t="str">
        <f>IFERROR(VLOOKUP(H49,[1]SEMIELABORADOS!$A$2:$M$6000,2,0),"")</f>
        <v/>
      </c>
      <c r="C49" s="72">
        <f t="shared" si="14"/>
        <v>0</v>
      </c>
      <c r="D49" s="73" t="str">
        <f>IFERROR(VLOOKUP(H49,[1]SEMIELABORADOS!$A$2:$M$6000,6,0),"")</f>
        <v/>
      </c>
      <c r="E49" s="73" t="str">
        <f>IFERROR(VLOOKUP(H49,[1]SEMIELABORADOS!$A$2:$M$65536,12,0),"")</f>
        <v/>
      </c>
      <c r="F49" s="73" t="str">
        <f t="shared" si="15"/>
        <v/>
      </c>
      <c r="G49" s="74" t="str">
        <f t="shared" si="16"/>
        <v/>
      </c>
      <c r="H49" s="78"/>
      <c r="I49" s="70"/>
      <c r="J49" s="76"/>
    </row>
    <row r="50" spans="1:17" ht="13.5" hidden="1" x14ac:dyDescent="0.25">
      <c r="A50" s="71">
        <f t="shared" si="13"/>
        <v>0</v>
      </c>
      <c r="B50" s="77" t="str">
        <f>IFERROR(VLOOKUP(H50,[1]SEMIELABORADOS!$A$2:$M$6000,2,0),"")</f>
        <v/>
      </c>
      <c r="C50" s="72">
        <f t="shared" si="14"/>
        <v>0</v>
      </c>
      <c r="D50" s="73" t="str">
        <f>IFERROR(VLOOKUP(H50,[1]SEMIELABORADOS!$A$2:$M$6000,6,0),"")</f>
        <v/>
      </c>
      <c r="E50" s="73" t="str">
        <f>IFERROR(VLOOKUP(H50,[1]SEMIELABORADOS!$A$2:$M$65536,12,0),"")</f>
        <v/>
      </c>
      <c r="F50" s="73" t="str">
        <f t="shared" si="15"/>
        <v/>
      </c>
      <c r="G50" s="74" t="str">
        <f t="shared" si="16"/>
        <v/>
      </c>
      <c r="H50" s="77"/>
      <c r="I50" s="70"/>
      <c r="J50" s="76"/>
    </row>
    <row r="51" spans="1:17" ht="13.5" x14ac:dyDescent="0.25">
      <c r="A51" s="71">
        <v>1</v>
      </c>
      <c r="B51" s="77" t="s">
        <v>100</v>
      </c>
      <c r="C51" s="72">
        <f>+A51</f>
        <v>1</v>
      </c>
      <c r="D51" s="72" t="s">
        <v>101</v>
      </c>
      <c r="E51" s="73">
        <f>+F65</f>
        <v>231</v>
      </c>
      <c r="F51" s="73">
        <f>IFERROR(C51*E51,"")</f>
        <v>231</v>
      </c>
      <c r="G51" s="74">
        <f>IFERROR(F51/$F$66,"")</f>
        <v>9.9119828793022991E-3</v>
      </c>
      <c r="H51" s="82"/>
      <c r="I51" s="82"/>
      <c r="J51" s="76"/>
    </row>
    <row r="52" spans="1:17" ht="14.25" thickBot="1" x14ac:dyDescent="0.3">
      <c r="A52" s="71"/>
      <c r="B52" s="77"/>
      <c r="C52" s="72"/>
      <c r="D52" s="72"/>
      <c r="E52" s="73"/>
      <c r="F52" s="73"/>
      <c r="G52" s="74"/>
      <c r="H52" s="82"/>
      <c r="I52" s="82"/>
      <c r="J52" s="76"/>
    </row>
    <row r="53" spans="1:17" ht="13.5" thickBot="1" x14ac:dyDescent="0.3">
      <c r="A53" s="83"/>
      <c r="B53" s="619" t="s">
        <v>102</v>
      </c>
      <c r="C53" s="619"/>
      <c r="D53" s="619"/>
      <c r="E53" s="619"/>
      <c r="F53" s="85">
        <f>SUM(F8:F14,F17:F24)</f>
        <v>22618.75</v>
      </c>
      <c r="G53" s="74">
        <f>+F53/$F$66</f>
        <v>0.97054832359835019</v>
      </c>
      <c r="H53" s="86">
        <f>+F53/$D$60</f>
        <v>22618.75</v>
      </c>
      <c r="I53" s="86"/>
      <c r="J53" s="87"/>
      <c r="K53" s="88"/>
      <c r="L53" s="88"/>
      <c r="M53" s="88"/>
      <c r="N53" s="88"/>
      <c r="O53" s="88"/>
      <c r="P53" s="88"/>
      <c r="Q53" s="89"/>
    </row>
    <row r="54" spans="1:17" x14ac:dyDescent="0.2">
      <c r="A54" s="83"/>
      <c r="B54" s="619" t="s">
        <v>103</v>
      </c>
      <c r="C54" s="619"/>
      <c r="D54" s="619"/>
      <c r="E54" s="619"/>
      <c r="F54" s="85">
        <f>SUM(F27:F32,F35:F41)</f>
        <v>3</v>
      </c>
      <c r="G54" s="74">
        <f>+F54/$F$66</f>
        <v>1.2872705038054934E-4</v>
      </c>
      <c r="H54" s="86">
        <f>+F54/$D$60</f>
        <v>3</v>
      </c>
      <c r="I54" s="86"/>
      <c r="J54" s="90"/>
      <c r="K54" s="620" t="s">
        <v>104</v>
      </c>
      <c r="L54" s="621"/>
      <c r="M54" s="621"/>
      <c r="N54" s="621"/>
      <c r="O54" s="91">
        <f>+F55</f>
        <v>22621.75</v>
      </c>
      <c r="P54" s="91"/>
      <c r="Q54" s="92"/>
    </row>
    <row r="55" spans="1:17" x14ac:dyDescent="0.2">
      <c r="A55" s="83"/>
      <c r="B55" s="619" t="s">
        <v>105</v>
      </c>
      <c r="C55" s="619"/>
      <c r="D55" s="619"/>
      <c r="E55" s="619"/>
      <c r="F55" s="85">
        <f>+F53+F54</f>
        <v>22621.75</v>
      </c>
      <c r="G55" s="74">
        <f>+F55/$F$66</f>
        <v>0.97067705064873067</v>
      </c>
      <c r="H55" s="86">
        <f>+F55/$D$60</f>
        <v>22621.75</v>
      </c>
      <c r="I55" s="86"/>
      <c r="J55" s="93"/>
      <c r="K55" s="94"/>
      <c r="M55" s="95" t="s">
        <v>106</v>
      </c>
      <c r="N55" s="96"/>
      <c r="O55" s="91">
        <f>+H56</f>
        <v>619</v>
      </c>
      <c r="P55" s="91"/>
      <c r="Q55" s="92"/>
    </row>
    <row r="56" spans="1:17" ht="13.5" thickBot="1" x14ac:dyDescent="0.25">
      <c r="A56" s="83"/>
      <c r="B56" s="84"/>
      <c r="C56" s="619" t="s">
        <v>107</v>
      </c>
      <c r="D56" s="619"/>
      <c r="E56" s="619"/>
      <c r="F56" s="85">
        <f>SUM(F44:F51)</f>
        <v>619</v>
      </c>
      <c r="G56" s="74">
        <f>+F56/$F$66</f>
        <v>2.6560681395186681E-2</v>
      </c>
      <c r="H56" s="86">
        <f>+F56/$D$60</f>
        <v>619</v>
      </c>
      <c r="I56" s="86"/>
      <c r="J56" s="93"/>
      <c r="K56" s="94"/>
      <c r="L56" s="94"/>
      <c r="M56" s="94" t="s">
        <v>108</v>
      </c>
      <c r="N56" s="97"/>
      <c r="O56" s="91">
        <f>O54*N56</f>
        <v>0</v>
      </c>
      <c r="P56" s="91"/>
      <c r="Q56" s="92"/>
    </row>
    <row r="57" spans="1:17" ht="13.5" thickBot="1" x14ac:dyDescent="0.25">
      <c r="A57" s="83"/>
      <c r="B57" s="98"/>
      <c r="C57" s="98"/>
      <c r="D57" s="98"/>
      <c r="E57" s="98"/>
      <c r="F57" s="99"/>
      <c r="G57" s="74"/>
      <c r="H57" s="100"/>
      <c r="I57" s="86"/>
      <c r="J57" s="93"/>
      <c r="K57" s="101"/>
      <c r="M57" s="102" t="s">
        <v>109</v>
      </c>
      <c r="N57" s="103"/>
      <c r="O57" s="104">
        <f>SUM(O54:O56)</f>
        <v>23240.75</v>
      </c>
      <c r="P57" s="105"/>
      <c r="Q57" s="92"/>
    </row>
    <row r="58" spans="1:17" x14ac:dyDescent="0.2">
      <c r="B58" s="622" t="s">
        <v>110</v>
      </c>
      <c r="C58" s="622"/>
      <c r="D58" s="106">
        <v>9500</v>
      </c>
      <c r="E58" s="107"/>
      <c r="G58" s="74"/>
      <c r="H58" s="100">
        <f>+H56/77</f>
        <v>8.0389610389610393</v>
      </c>
      <c r="I58" s="108"/>
      <c r="J58" s="93"/>
      <c r="K58" s="101"/>
      <c r="L58" s="94"/>
      <c r="M58" s="94" t="s">
        <v>111</v>
      </c>
      <c r="N58" s="109"/>
      <c r="O58" s="91">
        <f>+H59</f>
        <v>667.23376623376623</v>
      </c>
      <c r="P58" s="91"/>
      <c r="Q58" s="92"/>
    </row>
    <row r="59" spans="1:17" x14ac:dyDescent="0.2">
      <c r="B59" s="622" t="s">
        <v>112</v>
      </c>
      <c r="C59" s="622"/>
      <c r="D59" s="110">
        <v>9500</v>
      </c>
      <c r="E59" s="107"/>
      <c r="G59" s="74"/>
      <c r="H59" s="100">
        <f>+H58*83</f>
        <v>667.23376623376623</v>
      </c>
      <c r="I59" s="108"/>
      <c r="J59" s="93"/>
      <c r="K59" s="101"/>
      <c r="L59" s="94"/>
      <c r="M59" s="623" t="s">
        <v>109</v>
      </c>
      <c r="N59" s="623"/>
      <c r="O59" s="91">
        <f>SUM(O57:O58)</f>
        <v>23907.983766233767</v>
      </c>
      <c r="P59" s="91"/>
      <c r="Q59" s="92"/>
    </row>
    <row r="60" spans="1:17" ht="13.5" thickBot="1" x14ac:dyDescent="0.25">
      <c r="B60" s="614" t="s">
        <v>113</v>
      </c>
      <c r="C60" s="614"/>
      <c r="D60" s="106">
        <f>+D58/D59</f>
        <v>1</v>
      </c>
      <c r="E60" s="107"/>
      <c r="F60" s="111"/>
      <c r="G60" s="74"/>
      <c r="H60" s="100"/>
      <c r="I60" s="108"/>
      <c r="J60" s="93"/>
      <c r="K60" s="101"/>
      <c r="L60" s="623"/>
      <c r="M60" s="623"/>
      <c r="N60" s="109"/>
      <c r="O60" s="91">
        <f>+O59*N60</f>
        <v>0</v>
      </c>
      <c r="P60" s="91"/>
      <c r="Q60" s="92"/>
    </row>
    <row r="61" spans="1:17" ht="13.5" thickBot="1" x14ac:dyDescent="0.25">
      <c r="B61" s="614" t="s">
        <v>114</v>
      </c>
      <c r="C61" s="614"/>
      <c r="D61" s="112"/>
      <c r="E61" s="107"/>
      <c r="F61" s="111"/>
      <c r="G61" s="74"/>
      <c r="H61" s="100"/>
      <c r="I61" s="108"/>
      <c r="J61" s="93"/>
      <c r="K61" s="615" t="s">
        <v>115</v>
      </c>
      <c r="L61" s="616"/>
      <c r="M61" s="616"/>
      <c r="N61" s="617"/>
      <c r="O61" s="104">
        <f>SUM(O59:O60)</f>
        <v>23907.983766233767</v>
      </c>
      <c r="P61" s="113" t="s">
        <v>116</v>
      </c>
      <c r="Q61" s="92"/>
    </row>
    <row r="62" spans="1:17" ht="13.5" thickBot="1" x14ac:dyDescent="0.25">
      <c r="C62" s="83" t="s">
        <v>117</v>
      </c>
      <c r="D62" s="114"/>
      <c r="E62" s="57" t="s">
        <v>118</v>
      </c>
      <c r="F62" s="115" t="s">
        <v>119</v>
      </c>
      <c r="G62" s="74"/>
      <c r="H62" s="100"/>
      <c r="I62" s="108"/>
      <c r="J62" s="116"/>
      <c r="K62" s="117"/>
      <c r="L62" s="603" t="s">
        <v>120</v>
      </c>
      <c r="M62" s="603"/>
      <c r="N62" s="603"/>
      <c r="O62" s="118">
        <f>+O61/D60</f>
        <v>23907.983766233767</v>
      </c>
      <c r="P62" s="119">
        <f>+O62/D59</f>
        <v>2.5166298701298704</v>
      </c>
      <c r="Q62" s="120"/>
    </row>
    <row r="63" spans="1:17" ht="13.5" thickBot="1" x14ac:dyDescent="0.25">
      <c r="B63" s="604" t="s">
        <v>105</v>
      </c>
      <c r="C63" s="604"/>
      <c r="D63" s="604"/>
      <c r="E63" s="121">
        <f>+F63/F63</f>
        <v>1</v>
      </c>
      <c r="F63" s="122">
        <f>SUM(F55)</f>
        <v>22621.75</v>
      </c>
      <c r="G63" s="74">
        <f>+F63/$F$66</f>
        <v>0.97067705064873067</v>
      </c>
      <c r="H63" s="100"/>
      <c r="I63" s="108"/>
      <c r="K63" s="605"/>
      <c r="L63" s="606"/>
      <c r="M63" s="606"/>
      <c r="N63" s="606"/>
      <c r="O63" s="123"/>
      <c r="P63" s="124"/>
    </row>
    <row r="64" spans="1:17" ht="13.5" thickBot="1" x14ac:dyDescent="0.3">
      <c r="B64" s="607" t="s">
        <v>121</v>
      </c>
      <c r="C64" s="607"/>
      <c r="D64" s="607"/>
      <c r="E64" s="125">
        <v>0.02</v>
      </c>
      <c r="F64" s="122">
        <f>+F53*E64</f>
        <v>452.375</v>
      </c>
      <c r="G64" s="74">
        <f>+F64/$F$66</f>
        <v>1.9410966471967002E-2</v>
      </c>
      <c r="H64" s="86"/>
      <c r="I64" s="108"/>
      <c r="J64" s="126"/>
      <c r="O64" s="127"/>
      <c r="P64" s="84"/>
    </row>
    <row r="65" spans="2:13" ht="13.5" thickBot="1" x14ac:dyDescent="0.3">
      <c r="B65" s="608" t="s">
        <v>122</v>
      </c>
      <c r="C65" s="609"/>
      <c r="D65" s="128">
        <v>3</v>
      </c>
      <c r="E65" s="129">
        <v>77</v>
      </c>
      <c r="F65" s="122">
        <f>+E65*D65</f>
        <v>231</v>
      </c>
      <c r="G65" s="74">
        <f>+F65/$F$66</f>
        <v>9.9119828793022991E-3</v>
      </c>
      <c r="H65" s="86"/>
      <c r="I65" s="86"/>
      <c r="J65" s="76"/>
    </row>
    <row r="66" spans="2:13" ht="13.5" thickBot="1" x14ac:dyDescent="0.3">
      <c r="B66" s="610" t="s">
        <v>123</v>
      </c>
      <c r="C66" s="611"/>
      <c r="D66" s="611"/>
      <c r="E66" s="612"/>
      <c r="F66" s="99">
        <f>SUM(F63:F65)</f>
        <v>23305.125</v>
      </c>
      <c r="G66" s="74">
        <f>+F66/$F$66</f>
        <v>1</v>
      </c>
      <c r="H66" s="613"/>
      <c r="I66" s="86"/>
      <c r="J66" s="76"/>
      <c r="M66" s="59" t="s">
        <v>124</v>
      </c>
    </row>
    <row r="67" spans="2:13" x14ac:dyDescent="0.25">
      <c r="C67" s="81"/>
      <c r="D67" s="81"/>
      <c r="E67" s="131"/>
      <c r="F67" s="122"/>
      <c r="G67" s="74"/>
      <c r="H67" s="613"/>
      <c r="I67" s="130"/>
      <c r="J67" s="59"/>
      <c r="M67" s="59" t="s">
        <v>125</v>
      </c>
    </row>
    <row r="68" spans="2:13" ht="13.5" thickBot="1" x14ac:dyDescent="0.3">
      <c r="B68" s="598" t="s">
        <v>126</v>
      </c>
      <c r="C68" s="598"/>
      <c r="D68" s="598"/>
      <c r="E68" s="598"/>
      <c r="F68" s="598"/>
      <c r="G68" s="74"/>
      <c r="H68" s="133"/>
      <c r="I68" s="130"/>
      <c r="J68" s="59"/>
      <c r="M68" s="59" t="s">
        <v>127</v>
      </c>
    </row>
    <row r="69" spans="2:13" ht="13.5" thickBot="1" x14ac:dyDescent="0.3">
      <c r="B69" s="134" t="s">
        <v>128</v>
      </c>
      <c r="C69" s="135">
        <f>+F53</f>
        <v>22618.75</v>
      </c>
      <c r="D69" s="135">
        <f>+D58</f>
        <v>9500</v>
      </c>
      <c r="E69" s="136">
        <f>+C69/D69</f>
        <v>2.3809210526315789</v>
      </c>
      <c r="F69" s="74"/>
      <c r="G69" s="133"/>
      <c r="H69" s="76"/>
      <c r="I69" s="133"/>
      <c r="J69" s="59"/>
    </row>
    <row r="70" spans="2:13" x14ac:dyDescent="0.25">
      <c r="B70" s="137"/>
      <c r="C70" s="138"/>
      <c r="D70" s="139"/>
      <c r="E70" s="122"/>
      <c r="F70" s="74"/>
      <c r="G70" s="133"/>
      <c r="H70" s="76"/>
      <c r="I70" s="76"/>
      <c r="J70" s="59"/>
    </row>
    <row r="71" spans="2:13" x14ac:dyDescent="0.25">
      <c r="B71" s="134" t="s">
        <v>129</v>
      </c>
      <c r="C71" s="135">
        <f>SUM(F63:F64)</f>
        <v>23074.125</v>
      </c>
      <c r="D71" s="135">
        <f>+D58</f>
        <v>9500</v>
      </c>
      <c r="E71" s="140">
        <f>+C71/D71</f>
        <v>2.4288552631578946</v>
      </c>
      <c r="F71" s="74"/>
      <c r="G71" s="133"/>
      <c r="H71" s="76"/>
      <c r="I71" s="76"/>
      <c r="J71" s="59"/>
    </row>
    <row r="72" spans="2:13" x14ac:dyDescent="0.25">
      <c r="B72" s="134"/>
      <c r="C72" s="135"/>
      <c r="D72" s="135"/>
      <c r="E72" s="140"/>
      <c r="F72" s="74"/>
      <c r="G72" s="133"/>
      <c r="H72" s="76"/>
      <c r="I72" s="76"/>
      <c r="J72" s="59"/>
    </row>
    <row r="73" spans="2:13" ht="13.5" thickBot="1" x14ac:dyDescent="0.3">
      <c r="B73" s="134" t="s">
        <v>130</v>
      </c>
      <c r="C73" s="135">
        <f>+F65</f>
        <v>231</v>
      </c>
      <c r="D73" s="135">
        <f>+D58</f>
        <v>9500</v>
      </c>
      <c r="E73" s="140">
        <f>+C73/D73</f>
        <v>2.4315789473684211E-2</v>
      </c>
      <c r="F73" s="74"/>
      <c r="G73" s="133"/>
      <c r="H73" s="76"/>
      <c r="I73" s="76"/>
      <c r="J73" s="59"/>
    </row>
    <row r="74" spans="2:13" ht="13.5" thickBot="1" x14ac:dyDescent="0.3">
      <c r="B74" s="134" t="s">
        <v>131</v>
      </c>
      <c r="C74" s="135">
        <f>+F56</f>
        <v>619</v>
      </c>
      <c r="D74" s="135">
        <f>+D73</f>
        <v>9500</v>
      </c>
      <c r="E74" s="136">
        <f>+C74/D74</f>
        <v>6.5157894736842109E-2</v>
      </c>
      <c r="F74" s="74"/>
      <c r="G74" s="133"/>
      <c r="H74" s="76"/>
      <c r="I74" s="76"/>
      <c r="J74" s="59"/>
    </row>
    <row r="75" spans="2:13" ht="13.5" thickBot="1" x14ac:dyDescent="0.3">
      <c r="B75" s="98"/>
      <c r="C75" s="99"/>
      <c r="D75" s="99"/>
      <c r="E75" s="140"/>
      <c r="F75" s="74"/>
      <c r="G75" s="133"/>
      <c r="H75" s="76"/>
      <c r="I75" s="76"/>
      <c r="J75" s="59"/>
    </row>
    <row r="76" spans="2:13" ht="13.5" thickBot="1" x14ac:dyDescent="0.3">
      <c r="B76" s="134" t="s">
        <v>132</v>
      </c>
      <c r="C76" s="135">
        <f>+F54</f>
        <v>3</v>
      </c>
      <c r="D76" s="135">
        <f>+D74</f>
        <v>9500</v>
      </c>
      <c r="E76" s="136">
        <f>+C76/D76</f>
        <v>3.1578947368421053E-4</v>
      </c>
      <c r="F76" s="74"/>
      <c r="G76" s="133"/>
      <c r="H76" s="76"/>
      <c r="I76" s="76"/>
      <c r="J76" s="76"/>
    </row>
    <row r="77" spans="2:13" ht="13.5" thickBot="1" x14ac:dyDescent="0.3">
      <c r="B77" s="98"/>
      <c r="C77" s="99"/>
      <c r="D77" s="99"/>
      <c r="E77" s="140"/>
      <c r="F77" s="74"/>
      <c r="G77" s="133"/>
      <c r="H77" s="76"/>
      <c r="I77" s="76"/>
    </row>
    <row r="78" spans="2:13" ht="13.5" thickBot="1" x14ac:dyDescent="0.3">
      <c r="B78" s="599" t="s">
        <v>133</v>
      </c>
      <c r="C78" s="600"/>
      <c r="D78" s="601"/>
      <c r="E78" s="136">
        <f>+E69+E74</f>
        <v>2.446078947368421</v>
      </c>
      <c r="G78" s="74"/>
      <c r="H78" s="133"/>
      <c r="I78" s="76"/>
      <c r="J78" s="140"/>
    </row>
    <row r="79" spans="2:13" x14ac:dyDescent="0.25">
      <c r="I79" s="133"/>
      <c r="J79" s="59"/>
    </row>
    <row r="80" spans="2:13" ht="13.5" thickBot="1" x14ac:dyDescent="0.3">
      <c r="B80" s="598" t="s">
        <v>134</v>
      </c>
      <c r="C80" s="598"/>
      <c r="D80" s="598"/>
      <c r="E80" s="598"/>
      <c r="F80" s="598"/>
      <c r="G80" s="74"/>
      <c r="H80" s="133"/>
      <c r="J80" s="59"/>
    </row>
    <row r="81" spans="1:10" ht="13.5" thickBot="1" x14ac:dyDescent="0.3">
      <c r="B81" s="134" t="s">
        <v>128</v>
      </c>
      <c r="C81" s="135">
        <f>+C69</f>
        <v>22618.75</v>
      </c>
      <c r="D81" s="135">
        <f>+D60</f>
        <v>1</v>
      </c>
      <c r="E81" s="136">
        <f>+C81/D81</f>
        <v>22618.75</v>
      </c>
      <c r="F81" s="74"/>
      <c r="G81" s="133"/>
      <c r="H81" s="76"/>
      <c r="I81" s="133"/>
      <c r="J81" s="59"/>
    </row>
    <row r="82" spans="1:10" x14ac:dyDescent="0.25">
      <c r="B82" s="137"/>
      <c r="C82" s="138"/>
      <c r="D82" s="139"/>
      <c r="E82" s="122"/>
      <c r="F82" s="74"/>
      <c r="G82" s="133"/>
      <c r="H82" s="76"/>
      <c r="I82" s="76"/>
      <c r="J82" s="59"/>
    </row>
    <row r="83" spans="1:10" x14ac:dyDescent="0.25">
      <c r="B83" s="134" t="s">
        <v>129</v>
      </c>
      <c r="C83" s="135">
        <f>+C71</f>
        <v>23074.125</v>
      </c>
      <c r="D83" s="135">
        <f>+D60</f>
        <v>1</v>
      </c>
      <c r="E83" s="140">
        <f>+C83/D83</f>
        <v>23074.125</v>
      </c>
      <c r="F83" s="74"/>
      <c r="G83" s="133"/>
      <c r="H83" s="76"/>
      <c r="I83" s="76"/>
      <c r="J83" s="59"/>
    </row>
    <row r="84" spans="1:10" x14ac:dyDescent="0.25">
      <c r="B84" s="134"/>
      <c r="C84" s="135"/>
      <c r="D84" s="135"/>
      <c r="E84" s="140"/>
      <c r="F84" s="74"/>
      <c r="G84" s="133"/>
      <c r="H84" s="76"/>
      <c r="I84" s="76"/>
      <c r="J84" s="59"/>
    </row>
    <row r="85" spans="1:10" ht="13.5" thickBot="1" x14ac:dyDescent="0.3">
      <c r="B85" s="134" t="s">
        <v>131</v>
      </c>
      <c r="C85" s="135">
        <f>+C73</f>
        <v>231</v>
      </c>
      <c r="D85" s="135">
        <f>+D60</f>
        <v>1</v>
      </c>
      <c r="E85" s="140">
        <f>+C85/D85</f>
        <v>231</v>
      </c>
      <c r="F85" s="142"/>
      <c r="G85" s="132"/>
      <c r="H85" s="58"/>
      <c r="I85" s="76"/>
    </row>
    <row r="86" spans="1:10" ht="13.5" thickBot="1" x14ac:dyDescent="0.3">
      <c r="B86" s="134" t="s">
        <v>131</v>
      </c>
      <c r="C86" s="135">
        <f>+C74</f>
        <v>619</v>
      </c>
      <c r="D86" s="135">
        <f>+D85</f>
        <v>1</v>
      </c>
      <c r="E86" s="136">
        <f>+C86/D86</f>
        <v>619</v>
      </c>
      <c r="F86" s="141"/>
      <c r="G86" s="132"/>
      <c r="H86" s="58"/>
      <c r="I86" s="58"/>
    </row>
    <row r="87" spans="1:10" x14ac:dyDescent="0.25">
      <c r="I87" s="58"/>
    </row>
    <row r="88" spans="1:10" x14ac:dyDescent="0.2">
      <c r="A88" s="602"/>
      <c r="B88" s="602"/>
      <c r="C88" s="143"/>
      <c r="D88" s="143"/>
      <c r="E88" s="144"/>
      <c r="G88" s="145"/>
    </row>
    <row r="89" spans="1:10" x14ac:dyDescent="0.2">
      <c r="A89" s="77"/>
      <c r="B89" s="146"/>
      <c r="C89" s="147"/>
      <c r="D89" s="147"/>
      <c r="E89" s="148"/>
      <c r="G89" s="145"/>
    </row>
    <row r="90" spans="1:10" x14ac:dyDescent="0.2">
      <c r="A90" s="77"/>
      <c r="B90" s="146"/>
      <c r="C90" s="149"/>
      <c r="D90" s="149"/>
      <c r="E90" s="77"/>
      <c r="G90" s="145"/>
    </row>
    <row r="91" spans="1:10" x14ac:dyDescent="0.2">
      <c r="A91" s="77"/>
      <c r="B91" s="146"/>
      <c r="C91" s="150"/>
      <c r="D91" s="150"/>
      <c r="E91" s="77"/>
      <c r="G91" s="14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51718C-0C7A-44D6-BA4D-8CAAEB4FBC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5A0323-1348-4171-9018-97F6EB3A46C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2370F57-0C07-4F94-827D-1EA17B75D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Costo Ensamble local</vt:lpstr>
      <vt:lpstr>Costo ensamble Industria </vt:lpstr>
      <vt:lpstr>Corte Galleta Chilena Gde</vt:lpstr>
      <vt:lpstr>Pasta torta Chilena </vt:lpstr>
      <vt:lpstr>Premezcla Pasta Chilena </vt:lpstr>
      <vt:lpstr>Costo Base Galleta Feullitine</vt:lpstr>
      <vt:lpstr>Costo Feuilletine</vt:lpstr>
      <vt:lpstr>Empaque Almidon Modificado</vt:lpstr>
      <vt:lpstr>Costo Salsa Arandanos </vt:lpstr>
      <vt:lpstr>Salsa arandanos</vt:lpstr>
      <vt:lpstr>Relleno Pie de Limon</vt:lpstr>
      <vt:lpstr>Crema Beidge</vt:lpstr>
      <vt:lpstr>Crema Blanca Supremo</vt:lpstr>
      <vt:lpstr>Costo Salsa Arand Licuad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2026-04-27T16:32:22Z</cp:lastPrinted>
  <dcterms:created xsi:type="dcterms:W3CDTF">2025-09-29T19:58:44Z</dcterms:created>
  <dcterms:modified xsi:type="dcterms:W3CDTF">2026-04-29T19:31:05Z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
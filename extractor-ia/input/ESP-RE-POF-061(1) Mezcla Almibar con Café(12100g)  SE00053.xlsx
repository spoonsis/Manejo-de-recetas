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15" documentId="8_{44CEF67A-6F4D-4850-ADDC-BFCB5F7D9CDA}" xr6:coauthVersionLast="47" xr6:coauthVersionMax="47" xr10:uidLastSave="{121B9146-13CE-4FCF-9C43-913B7588C884}"/>
  <bookViews>
    <workbookView xWindow="-120" yWindow="-120" windowWidth="20730" windowHeight="11040" xr2:uid="{C71F8C24-0EAD-4798-9CD5-43BC7E3FA89F}"/>
  </bookViews>
  <sheets>
    <sheet name="Hoja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5" l="1"/>
  <c r="D25" i="5" s="1"/>
</calcChain>
</file>

<file path=xl/sharedStrings.xml><?xml version="1.0" encoding="utf-8"?>
<sst xmlns="http://schemas.openxmlformats.org/spreadsheetml/2006/main" count="74" uniqueCount="66">
  <si>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</si>
  <si>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</si>
  <si>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</si>
  <si>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</si>
  <si>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</si>
  <si>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</si>
  <si>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</si>
  <si>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</si>
  <si>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</si>
  <si>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</si>
  <si>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</si>
  <si>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</si>
  <si>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</si>
  <si>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</si>
  <si>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</si>
  <si>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</si>
  <si>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</si>
  <si>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</si>
  <si>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</si>
  <si>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</si>
  <si>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</si>
  <si>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</si>
  <si>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</si>
  <si>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</si>
  <si>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</si>
  <si>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</si>
  <si>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</si>
  <si>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</si>
  <si>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Minutos</t>
  </si>
  <si>
    <t>Tanda</t>
  </si>
  <si>
    <t>95485</t>
  </si>
  <si>
    <t>ALMIBAR (32.733 Kg)</t>
  </si>
  <si>
    <t>0512316</t>
  </si>
  <si>
    <t>CAFÉ INSTANTANEO ( 500 GRS )</t>
  </si>
  <si>
    <t>Nescafé</t>
  </si>
  <si>
    <t>1950765</t>
  </si>
  <si>
    <t>PLAST. AUTOAD 18 * 2000</t>
  </si>
  <si>
    <t>1.- Disolver en 500g de almibar el café en el microondas, calentar por 2 minutos.</t>
  </si>
  <si>
    <t>2.- Mezclar todo con globo.</t>
  </si>
  <si>
    <t>0702069</t>
  </si>
  <si>
    <t>ETIQ.BLANCA 1 1/4 * 3/4</t>
  </si>
  <si>
    <t>cm</t>
  </si>
  <si>
    <t>Unids</t>
  </si>
  <si>
    <t>SE000005</t>
  </si>
  <si>
    <t>MP10091</t>
  </si>
  <si>
    <t>EM10002</t>
  </si>
  <si>
    <t>EM10259</t>
  </si>
  <si>
    <t>Javier Tong, Chef</t>
  </si>
  <si>
    <t>Esteban Cartin, Gte Manufactura</t>
  </si>
  <si>
    <t>AREA QUE PRODUCE:</t>
  </si>
  <si>
    <t>Decoración</t>
  </si>
  <si>
    <t xml:space="preserve">AREA QUE EMPACA: </t>
  </si>
  <si>
    <t># Código Netsuite</t>
  </si>
  <si>
    <t>Ensamble</t>
  </si>
  <si>
    <t>FAS</t>
  </si>
  <si>
    <t>Empaque</t>
  </si>
  <si>
    <t>MAYCA</t>
  </si>
  <si>
    <t>CEMUSA</t>
  </si>
  <si>
    <t>CONTROL DE CAMBIOS</t>
  </si>
  <si>
    <t>4.- Guardar en un tarro y tapar con plastico adhesivo, si sobra.</t>
  </si>
  <si>
    <t xml:space="preserve">2, Se actualizan datos en receta y pesos finales </t>
  </si>
  <si>
    <t>03</t>
  </si>
  <si>
    <t>3, Se aumenta 2g de café.</t>
  </si>
  <si>
    <t>Mezcla Almibar con Café(12100g)  SE00053</t>
  </si>
  <si>
    <t>ESP-RE-POF-061</t>
  </si>
  <si>
    <t>Postres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</si>
</sst>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2" fillId="0" borderId="0"/>
    <xf numFmtId="9" fontId="5" fillId="0" borderId="0" applyFont="0" applyFill="0" applyBorder="0" applyAlignment="0" applyProtection="0"/>
    <xf numFmtId="0" fontId="2" fillId="0" borderId="0"/>
  </cellStyleXfs>
  <cellXfs count="141">
    <xf numFmtId="0" fontId="0" fillId="0" borderId="0" xfId="0"/>
    <xf numFmtId="0" fontId="3" fillId="2" borderId="3" xfId="6" applyFont="1" applyFill="1" applyBorder="1" applyAlignment="1">
      <alignment horizontal="right"/>
    </xf>
    <xf numFmtId="0" fontId="7" fillId="2" borderId="1" xfId="6" applyFont="1" applyFill="1" applyBorder="1" applyAlignment="1">
      <alignment horizontal="center"/>
    </xf>
    <xf numFmtId="0" fontId="3" fillId="2" borderId="4" xfId="6" applyFont="1" applyFill="1" applyBorder="1" applyAlignment="1">
      <alignment horizontal="right"/>
    </xf>
    <xf numFmtId="49" fontId="7" fillId="2" borderId="5" xfId="6" applyNumberFormat="1" applyFont="1" applyFill="1" applyBorder="1" applyAlignment="1">
      <alignment horizontal="center"/>
    </xf>
    <xf numFmtId="0" fontId="7" fillId="2" borderId="6" xfId="6" applyFont="1" applyFill="1" applyBorder="1" applyAlignment="1">
      <alignment horizontal="right"/>
    </xf>
    <xf numFmtId="0" fontId="7" fillId="2" borderId="4" xfId="6" applyFont="1" applyFill="1" applyBorder="1" applyAlignment="1">
      <alignment horizontal="right"/>
    </xf>
    <xf numFmtId="0" fontId="3" fillId="3" borderId="1" xfId="5" applyFont="1" applyFill="1" applyBorder="1" applyAlignment="1">
      <alignment horizontal="center" vertical="center" wrapText="1"/>
    </xf>
    <xf numFmtId="1" fontId="3" fillId="3" borderId="2" xfId="5" applyNumberFormat="1" applyFont="1" applyFill="1" applyBorder="1" applyAlignment="1">
      <alignment horizontal="center"/>
    </xf>
    <xf numFmtId="1" fontId="3" fillId="3" borderId="2" xfId="5" applyNumberFormat="1" applyFont="1" applyFill="1" applyBorder="1" applyAlignment="1">
      <alignment horizontal="center" wrapText="1"/>
    </xf>
    <xf numFmtId="0" fontId="3" fillId="3" borderId="22" xfId="5" applyFont="1" applyFill="1" applyBorder="1" applyAlignment="1">
      <alignment horizontal="center"/>
    </xf>
    <xf numFmtId="14" fontId="9" fillId="2" borderId="0" xfId="8" applyNumberFormat="1" applyFont="1" applyFill="1" applyAlignment="1">
      <alignment horizontal="center" vertical="center" wrapText="1"/>
    </xf>
    <xf numFmtId="0" fontId="10" fillId="0" borderId="14" xfId="5" applyFont="1" applyBorder="1" applyAlignment="1">
      <alignment horizontal="center" vertical="center"/>
    </xf>
    <xf numFmtId="0" fontId="10" fillId="0" borderId="13" xfId="5" applyFont="1" applyBorder="1" applyAlignment="1">
      <alignment horizontal="center" vertical="center"/>
    </xf>
    <xf numFmtId="0" fontId="11" fillId="0" borderId="4" xfId="5" applyFont="1" applyBorder="1" applyAlignment="1">
      <alignment vertical="center"/>
    </xf>
    <xf numFmtId="0" fontId="10" fillId="0" borderId="4" xfId="5" applyFont="1" applyBorder="1" applyAlignment="1">
      <alignment horizontal="center" vertical="center"/>
    </xf>
    <xf numFmtId="1" fontId="10" fillId="0" borderId="4" xfId="5" applyNumberFormat="1" applyFont="1" applyBorder="1" applyAlignment="1">
      <alignment horizontal="center"/>
    </xf>
    <xf numFmtId="1" fontId="10" fillId="0" borderId="4" xfId="5" applyNumberFormat="1" applyFont="1" applyBorder="1" applyAlignment="1">
      <alignment horizontal="center" wrapText="1"/>
    </xf>
    <xf numFmtId="0" fontId="12" fillId="0" borderId="5" xfId="5" applyFont="1" applyBorder="1" applyAlignment="1">
      <alignment horizontal="center"/>
    </xf>
    <xf numFmtId="0" fontId="13" fillId="5" borderId="1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5" borderId="6" xfId="0" applyFont="1" applyFill="1" applyBorder="1"/>
    <xf numFmtId="0" fontId="12" fillId="5" borderId="13" xfId="0" applyFont="1" applyFill="1" applyBorder="1" applyAlignment="1">
      <alignment horizontal="center"/>
    </xf>
    <xf numFmtId="1" fontId="12" fillId="5" borderId="4" xfId="0" applyNumberFormat="1" applyFont="1" applyFill="1" applyBorder="1" applyAlignment="1">
      <alignment horizontal="center"/>
    </xf>
    <xf numFmtId="1" fontId="12" fillId="5" borderId="4" xfId="0" applyNumberFormat="1" applyFont="1" applyFill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12" fontId="12" fillId="0" borderId="6" xfId="0" applyNumberFormat="1" applyFont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0" fontId="13" fillId="5" borderId="4" xfId="0" applyFont="1" applyFill="1" applyBorder="1"/>
    <xf numFmtId="1" fontId="12" fillId="5" borderId="6" xfId="0" applyNumberFormat="1" applyFont="1" applyFill="1" applyBorder="1" applyAlignment="1">
      <alignment horizontal="center"/>
    </xf>
    <xf numFmtId="1" fontId="12" fillId="5" borderId="6" xfId="0" applyNumberFormat="1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/>
    <xf numFmtId="16" fontId="12" fillId="0" borderId="13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 wrapText="1"/>
    </xf>
    <xf numFmtId="49" fontId="12" fillId="0" borderId="14" xfId="5" applyNumberFormat="1" applyFont="1" applyBorder="1" applyAlignment="1">
      <alignment horizontal="center"/>
    </xf>
    <xf numFmtId="49" fontId="12" fillId="0" borderId="13" xfId="5" applyNumberFormat="1" applyFont="1" applyBorder="1" applyAlignment="1">
      <alignment horizontal="center"/>
    </xf>
    <xf numFmtId="0" fontId="10" fillId="5" borderId="4" xfId="5" applyFont="1" applyFill="1" applyBorder="1" applyAlignment="1">
      <alignment horizontal="left"/>
    </xf>
    <xf numFmtId="0" fontId="12" fillId="0" borderId="4" xfId="5" applyFont="1" applyBorder="1" applyAlignment="1">
      <alignment horizontal="center"/>
    </xf>
    <xf numFmtId="167" fontId="12" fillId="0" borderId="4" xfId="5" applyNumberFormat="1" applyFont="1" applyBorder="1" applyAlignment="1">
      <alignment horizontal="center"/>
    </xf>
    <xf numFmtId="1" fontId="12" fillId="0" borderId="4" xfId="5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16" fontId="12" fillId="0" borderId="4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49" fontId="10" fillId="0" borderId="19" xfId="5" applyNumberFormat="1" applyFont="1" applyBorder="1" applyAlignment="1">
      <alignment horizontal="center"/>
    </xf>
    <xf numFmtId="49" fontId="10" fillId="0" borderId="20" xfId="5" applyNumberFormat="1" applyFont="1" applyBorder="1" applyAlignment="1">
      <alignment horizontal="center"/>
    </xf>
    <xf numFmtId="0" fontId="11" fillId="5" borderId="4" xfId="5" applyFont="1" applyFill="1" applyBorder="1" applyAlignment="1">
      <alignment vertical="center"/>
    </xf>
    <xf numFmtId="0" fontId="10" fillId="0" borderId="13" xfId="5" applyFont="1" applyBorder="1" applyAlignment="1">
      <alignment horizontal="center"/>
    </xf>
    <xf numFmtId="167" fontId="10" fillId="0" borderId="4" xfId="5" applyNumberFormat="1" applyFont="1" applyBorder="1" applyAlignment="1">
      <alignment horizontal="center"/>
    </xf>
    <xf numFmtId="168" fontId="10" fillId="5" borderId="4" xfId="1" applyNumberFormat="1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13" xfId="0" applyFont="1" applyBorder="1" applyAlignment="1">
      <alignment horizontal="center"/>
    </xf>
    <xf numFmtId="49" fontId="12" fillId="0" borderId="4" xfId="5" applyNumberFormat="1" applyFont="1" applyBorder="1"/>
    <xf numFmtId="49" fontId="14" fillId="2" borderId="7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2" fillId="2" borderId="0" xfId="5" applyFont="1" applyFill="1"/>
    <xf numFmtId="1" fontId="12" fillId="2" borderId="0" xfId="5" applyNumberFormat="1" applyFont="1" applyFill="1" applyAlignment="1">
      <alignment horizontal="center"/>
    </xf>
    <xf numFmtId="166" fontId="12" fillId="2" borderId="0" xfId="5" applyNumberFormat="1" applyFont="1" applyFill="1" applyAlignment="1">
      <alignment horizontal="center" wrapText="1"/>
    </xf>
    <xf numFmtId="0" fontId="12" fillId="2" borderId="8" xfId="5" applyFont="1" applyFill="1" applyBorder="1" applyAlignment="1">
      <alignment horizontal="center"/>
    </xf>
    <xf numFmtId="0" fontId="12" fillId="3" borderId="9" xfId="5" applyFont="1" applyFill="1" applyBorder="1" applyAlignment="1">
      <alignment horizontal="center"/>
    </xf>
    <xf numFmtId="0" fontId="12" fillId="3" borderId="10" xfId="5" applyFont="1" applyFill="1" applyBorder="1" applyAlignment="1">
      <alignment horizontal="center"/>
    </xf>
    <xf numFmtId="0" fontId="12" fillId="3" borderId="10" xfId="5" applyFont="1" applyFill="1" applyBorder="1"/>
    <xf numFmtId="0" fontId="10" fillId="3" borderId="10" xfId="5" applyFont="1" applyFill="1" applyBorder="1" applyAlignment="1">
      <alignment horizontal="center"/>
    </xf>
    <xf numFmtId="1" fontId="10" fillId="3" borderId="10" xfId="5" applyNumberFormat="1" applyFont="1" applyFill="1" applyBorder="1" applyAlignment="1">
      <alignment horizontal="center"/>
    </xf>
    <xf numFmtId="166" fontId="12" fillId="3" borderId="10" xfId="5" applyNumberFormat="1" applyFont="1" applyFill="1" applyBorder="1" applyAlignment="1">
      <alignment horizontal="center" wrapText="1"/>
    </xf>
    <xf numFmtId="0" fontId="12" fillId="3" borderId="11" xfId="5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1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4" fontId="7" fillId="2" borderId="15" xfId="6" applyNumberFormat="1" applyFont="1" applyFill="1" applyBorder="1" applyAlignment="1">
      <alignment horizontal="center" vertical="center" wrapText="1"/>
    </xf>
    <xf numFmtId="14" fontId="7" fillId="2" borderId="24" xfId="6" applyNumberFormat="1" applyFont="1" applyFill="1" applyBorder="1" applyAlignment="1">
      <alignment horizontal="center" vertical="center" wrapText="1"/>
    </xf>
    <xf numFmtId="14" fontId="7" fillId="2" borderId="42" xfId="6" applyNumberFormat="1" applyFont="1" applyFill="1" applyBorder="1" applyAlignment="1">
      <alignment horizontal="center" vertical="center" wrapText="1"/>
    </xf>
    <xf numFmtId="0" fontId="7" fillId="2" borderId="25" xfId="6" applyFont="1" applyFill="1" applyBorder="1" applyAlignment="1">
      <alignment horizontal="left"/>
    </xf>
    <xf numFmtId="0" fontId="7" fillId="2" borderId="26" xfId="6" applyFont="1" applyFill="1" applyBorder="1" applyAlignment="1">
      <alignment horizontal="left"/>
    </xf>
    <xf numFmtId="0" fontId="7" fillId="2" borderId="27" xfId="6" applyFont="1" applyFill="1" applyBorder="1" applyAlignment="1">
      <alignment horizontal="left"/>
    </xf>
    <xf numFmtId="0" fontId="7" fillId="2" borderId="23" xfId="6" applyFont="1" applyFill="1" applyBorder="1" applyAlignment="1">
      <alignment horizontal="left"/>
    </xf>
    <xf numFmtId="0" fontId="7" fillId="2" borderId="20" xfId="6" applyFont="1" applyFill="1" applyBorder="1" applyAlignment="1">
      <alignment horizontal="left"/>
    </xf>
    <xf numFmtId="0" fontId="7" fillId="2" borderId="13" xfId="6" applyFont="1" applyFill="1" applyBorder="1" applyAlignment="1">
      <alignment horizontal="left"/>
    </xf>
    <xf numFmtId="0" fontId="7" fillId="2" borderId="39" xfId="6" applyFont="1" applyFill="1" applyBorder="1" applyAlignment="1">
      <alignment horizontal="center"/>
    </xf>
    <xf numFmtId="0" fontId="7" fillId="2" borderId="40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0" xfId="6" applyFont="1" applyFill="1" applyAlignment="1">
      <alignment horizontal="center"/>
    </xf>
    <xf numFmtId="0" fontId="7" fillId="2" borderId="28" xfId="6" applyFont="1" applyFill="1" applyBorder="1" applyAlignment="1">
      <alignment horizontal="center"/>
    </xf>
    <xf numFmtId="0" fontId="7" fillId="2" borderId="37" xfId="6" applyFont="1" applyFill="1" applyBorder="1" applyAlignment="1">
      <alignment horizontal="center"/>
    </xf>
    <xf numFmtId="0" fontId="3" fillId="2" borderId="3" xfId="6" applyFont="1" applyFill="1" applyBorder="1" applyAlignment="1">
      <alignment horizontal="center"/>
    </xf>
    <xf numFmtId="0" fontId="3" fillId="2" borderId="18" xfId="6" applyFont="1" applyFill="1" applyBorder="1" applyAlignment="1">
      <alignment horizontal="center"/>
    </xf>
    <xf numFmtId="0" fontId="3" fillId="2" borderId="41" xfId="6" applyFont="1" applyFill="1" applyBorder="1" applyAlignment="1">
      <alignment horizontal="center"/>
    </xf>
    <xf numFmtId="0" fontId="3" fillId="2" borderId="38" xfId="6" applyFont="1" applyFill="1" applyBorder="1" applyAlignment="1">
      <alignment horizontal="center"/>
    </xf>
    <xf numFmtId="0" fontId="8" fillId="4" borderId="31" xfId="6" applyFont="1" applyFill="1" applyBorder="1" applyAlignment="1">
      <alignment horizontal="center"/>
    </xf>
    <xf numFmtId="0" fontId="8" fillId="4" borderId="32" xfId="6" applyFont="1" applyFill="1" applyBorder="1" applyAlignment="1">
      <alignment horizontal="center"/>
    </xf>
    <xf numFmtId="0" fontId="8" fillId="4" borderId="33" xfId="6" applyFont="1" applyFill="1" applyBorder="1" applyAlignment="1">
      <alignment horizontal="center"/>
    </xf>
    <xf numFmtId="0" fontId="3" fillId="2" borderId="30" xfId="6" applyFont="1" applyFill="1" applyBorder="1" applyAlignment="1">
      <alignment horizontal="right" vertical="top" wrapText="1"/>
    </xf>
    <xf numFmtId="0" fontId="3" fillId="2" borderId="34" xfId="6" applyFont="1" applyFill="1" applyBorder="1" applyAlignment="1">
      <alignment horizontal="right" vertical="top" wrapText="1"/>
    </xf>
    <xf numFmtId="0" fontId="3" fillId="2" borderId="35" xfId="6" applyFont="1" applyFill="1" applyBorder="1" applyAlignment="1">
      <alignment horizontal="right" vertical="top" wrapText="1"/>
    </xf>
    <xf numFmtId="0" fontId="6" fillId="2" borderId="0" xfId="8" applyFont="1" applyFill="1" applyAlignment="1">
      <alignment horizontal="right"/>
    </xf>
    <xf numFmtId="0" fontId="9" fillId="2" borderId="43" xfId="8" applyFont="1" applyFill="1" applyBorder="1" applyAlignment="1">
      <alignment horizontal="center"/>
    </xf>
    <xf numFmtId="0" fontId="6" fillId="2" borderId="0" xfId="8" applyFont="1" applyFill="1"/>
    <xf numFmtId="0" fontId="3" fillId="3" borderId="36" xfId="5" applyFont="1" applyFill="1" applyBorder="1" applyAlignment="1">
      <alignment horizontal="center" vertical="center"/>
    </xf>
    <xf numFmtId="0" fontId="3" fillId="3" borderId="17" xfId="5" applyFont="1" applyFill="1" applyBorder="1" applyAlignment="1">
      <alignment horizontal="center" vertical="center"/>
    </xf>
    <xf numFmtId="0" fontId="3" fillId="3" borderId="36" xfId="5" applyFont="1" applyFill="1" applyBorder="1" applyAlignment="1">
      <alignment horizontal="center" vertical="center" wrapText="1"/>
    </xf>
    <xf numFmtId="0" fontId="3" fillId="3" borderId="17" xfId="5" applyFont="1" applyFill="1" applyBorder="1" applyAlignment="1">
      <alignment horizontal="center" vertical="center" wrapText="1"/>
    </xf>
    <xf numFmtId="0" fontId="3" fillId="3" borderId="3" xfId="5" applyFont="1" applyFill="1" applyBorder="1" applyAlignment="1">
      <alignment horizontal="center" vertical="center"/>
    </xf>
    <xf numFmtId="0" fontId="3" fillId="3" borderId="2" xfId="5" applyFont="1" applyFill="1" applyBorder="1" applyAlignment="1">
      <alignment horizontal="center" vertical="center"/>
    </xf>
    <xf numFmtId="0" fontId="10" fillId="0" borderId="28" xfId="5" applyFont="1" applyBorder="1" applyAlignment="1">
      <alignment horizontal="right"/>
    </xf>
    <xf numFmtId="0" fontId="10" fillId="0" borderId="37" xfId="5" applyFont="1" applyBorder="1" applyAlignment="1">
      <alignment horizontal="right"/>
    </xf>
    <xf numFmtId="0" fontId="10" fillId="0" borderId="16" xfId="5" applyFont="1" applyBorder="1" applyAlignment="1">
      <alignment horizontal="right"/>
    </xf>
    <xf numFmtId="166" fontId="12" fillId="0" borderId="6" xfId="5" applyNumberFormat="1" applyFont="1" applyBorder="1" applyAlignment="1">
      <alignment horizontal="right"/>
    </xf>
    <xf numFmtId="0" fontId="12" fillId="2" borderId="12" xfId="5" applyFont="1" applyFill="1" applyBorder="1" applyAlignment="1">
      <alignment horizontal="center"/>
    </xf>
    <xf numFmtId="0" fontId="12" fillId="2" borderId="29" xfId="5" applyFont="1" applyFill="1" applyBorder="1" applyAlignment="1">
      <alignment horizontal="center"/>
    </xf>
    <xf numFmtId="0" fontId="10" fillId="0" borderId="19" xfId="5" applyFont="1" applyBorder="1" applyAlignment="1">
      <alignment horizontal="right"/>
    </xf>
    <xf numFmtId="0" fontId="10" fillId="0" borderId="20" xfId="5" applyFont="1" applyBorder="1" applyAlignment="1">
      <alignment horizontal="right"/>
    </xf>
    <xf numFmtId="0" fontId="10" fillId="0" borderId="13" xfId="5" applyFont="1" applyBorder="1" applyAlignment="1">
      <alignment horizontal="right"/>
    </xf>
    <xf numFmtId="0" fontId="12" fillId="0" borderId="4" xfId="5" applyFont="1" applyBorder="1" applyAlignment="1">
      <alignment horizontal="right"/>
    </xf>
    <xf numFmtId="166" fontId="12" fillId="0" borderId="23" xfId="5" applyNumberFormat="1" applyFont="1" applyBorder="1" applyAlignment="1">
      <alignment horizontal="center"/>
    </xf>
    <xf numFmtId="166" fontId="12" fillId="0" borderId="21" xfId="5" applyNumberFormat="1" applyFont="1" applyBorder="1" applyAlignment="1">
      <alignment horizontal="center"/>
    </xf>
    <xf numFmtId="0" fontId="12" fillId="0" borderId="19" xfId="5" applyFont="1" applyBorder="1" applyAlignment="1">
      <alignment horizontal="left"/>
    </xf>
    <xf numFmtId="0" fontId="12" fillId="0" borderId="20" xfId="5" applyFont="1" applyBorder="1" applyAlignment="1">
      <alignment horizontal="left"/>
    </xf>
    <xf numFmtId="0" fontId="12" fillId="0" borderId="21" xfId="5" applyFont="1" applyBorder="1" applyAlignment="1">
      <alignment horizontal="left"/>
    </xf>
    <xf numFmtId="166" fontId="12" fillId="0" borderId="23" xfId="5" applyNumberFormat="1" applyFont="1" applyBorder="1" applyAlignment="1">
      <alignment horizontal="right" wrapText="1"/>
    </xf>
    <xf numFmtId="166" fontId="12" fillId="0" borderId="13" xfId="5" applyNumberFormat="1" applyFont="1" applyBorder="1" applyAlignment="1">
      <alignment horizontal="right" wrapText="1"/>
    </xf>
    <xf numFmtId="166" fontId="12" fillId="0" borderId="23" xfId="0" applyNumberFormat="1" applyFont="1" applyBorder="1" applyAlignment="1">
      <alignment horizontal="center" wrapText="1"/>
    </xf>
    <xf numFmtId="166" fontId="12" fillId="0" borderId="21" xfId="0" applyNumberFormat="1" applyFont="1" applyBorder="1" applyAlignment="1">
      <alignment horizontal="center" wrapText="1"/>
    </xf>
    <xf numFmtId="0" fontId="10" fillId="0" borderId="17" xfId="5" applyFont="1" applyBorder="1" applyAlignment="1">
      <alignment horizontal="right"/>
    </xf>
    <xf numFmtId="0" fontId="10" fillId="0" borderId="38" xfId="5" applyFont="1" applyBorder="1" applyAlignment="1">
      <alignment horizontal="right"/>
    </xf>
    <xf numFmtId="0" fontId="10" fillId="0" borderId="2" xfId="5" applyFont="1" applyBorder="1" applyAlignment="1">
      <alignment horizontal="right"/>
    </xf>
    <xf numFmtId="0" fontId="12" fillId="0" borderId="2" xfId="5" applyFont="1" applyBorder="1" applyAlignment="1">
      <alignment horizontal="right"/>
    </xf>
    <xf numFmtId="0" fontId="10" fillId="3" borderId="9" xfId="5" applyFont="1" applyFill="1" applyBorder="1" applyAlignment="1">
      <alignment horizontal="center"/>
    </xf>
    <xf numFmtId="0" fontId="10" fillId="3" borderId="10" xfId="5" applyFont="1" applyFill="1" applyBorder="1" applyAlignment="1">
      <alignment horizontal="center"/>
    </xf>
    <xf numFmtId="0" fontId="10" fillId="3" borderId="11" xfId="5" applyFont="1" applyFill="1" applyBorder="1" applyAlignment="1">
      <alignment horizontal="center"/>
    </xf>
    <xf numFmtId="0" fontId="10" fillId="0" borderId="19" xfId="0" applyFont="1" applyBorder="1" applyAlignment="1">
      <alignment horizontal="left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6" borderId="44" xfId="6" applyFont="1" applyFill="1" applyBorder="1" applyAlignment="1">
      <alignment horizontal="center"/>
    </xf>
    <xf numFmtId="0" fontId="10" fillId="6" borderId="40" xfId="6" applyFont="1" applyFill="1" applyBorder="1" applyAlignment="1">
      <alignment horizontal="center"/>
    </xf>
    <xf numFmtId="0" fontId="12" fillId="2" borderId="23" xfId="6" applyFont="1" applyFill="1" applyBorder="1" applyAlignment="1">
      <alignment horizontal="left"/>
    </xf>
    <xf numFmtId="0" fontId="12" fillId="2" borderId="20" xfId="6" applyFont="1" applyFill="1" applyBorder="1" applyAlignment="1">
      <alignment horizontal="left"/>
    </xf>
    <xf numFmtId="0" fontId="12" fillId="2" borderId="13" xfId="6" applyFont="1" applyFill="1" applyBorder="1" applyAlignment="1">
      <alignment horizontal="left"/>
    </xf>
  </cellXfs>
  <cellStyles count="9">
    <cellStyle name="Millares" xfId="1" builtinId="3"/>
    <cellStyle name="Millares [0] 2" xfId="2" xr:uid="{D939417B-90CF-4CCE-B0F7-8532A7AD66F9}"/>
    <cellStyle name="Millares 2" xfId="3" xr:uid="{301F2749-B18B-4079-ACC3-07518499A814}"/>
    <cellStyle name="Millares 3" xfId="4" xr:uid="{23765716-282D-4A4F-BC55-ABFB9D4C62E9}"/>
    <cellStyle name="Normal" xfId="0" builtinId="0"/>
    <cellStyle name="Normal 2" xfId="5" xr:uid="{5C252310-2F9F-4370-9009-ADB2E479069C}"/>
    <cellStyle name="Normal_CRITERIOS DE EVALUACION PT DE GB" xfId="6" xr:uid="{29059A94-2602-4C6B-85A4-7201ACCAF31A}"/>
    <cellStyle name="Normal_CRITERIOS DE EVALUACION PT DE GB 2" xfId="8" xr:uid="{A38521A2-F099-474A-AAE7-AFED0A3BBFAD}"/>
    <cellStyle name="Porcentaje 2" xfId="7" xr:uid="{93C3BBBB-1F94-46D4-B93D-C6672DA63FD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59530</xdr:colOff>
      <xdr:row>1</xdr:row>
      <xdr:rowOff>23812</xdr:rowOff>
    </xdr:from>
    <xdr:to>
      <xdr:col>1</xdr:col>
      <xdr:colOff>978446</xdr:colOff>
      <xdr:row>4</xdr:row>
      <xdr:rowOff>47625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32190591-0841-40EE-B0CB-EC2F2BE6C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250031"/>
          <a:ext cx="1871416" cy="8453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187DD-5E2E-4DC4-91F3-93AB6A5EFD2B}">
  <sheetPr>
    <pageSetUpPr fitToPage="1"/>
  </sheetPr>
  <dimension ref="A1:I33"/>
  <sheetViews>
    <sheetView tabSelected="1" zoomScale="80" zoomScaleNormal="80" zoomScaleSheetLayoutView="70" workbookViewId="0">
      <selection activeCell="C1" sqref="C1:G1"/>
    </sheetView>
  </sheetViews>
  <sheetFormatPr baseColWidth="10" defaultRowHeight="12.75" x14ac:dyDescent="0.2"/>
  <cols>
    <col min="1" max="1" width="14.28515625" bestFit="1" customWidth="1"/>
    <col min="2" max="2" width="15.5703125" bestFit="1" customWidth="1"/>
    <col min="3" max="3" width="47" customWidth="1"/>
    <col min="4" max="4" width="15.7109375" customWidth="1"/>
    <col min="5" max="5" width="16.85546875" customWidth="1"/>
    <col min="6" max="6" width="15" customWidth="1"/>
    <col min="7" max="7" width="17.7109375" customWidth="1"/>
    <col min="8" max="8" width="22.85546875" customWidth="1"/>
    <col min="9" max="9" width="20.7109375" bestFit="1" customWidth="1"/>
  </cols>
  <sheetData>
    <row r="1" spans="1:9" ht="18" x14ac:dyDescent="0.25">
      <c r="A1" s="82"/>
      <c r="B1" s="83"/>
      <c r="C1" s="88" t="s">
        <v>24</v>
      </c>
      <c r="D1" s="88"/>
      <c r="E1" s="88"/>
      <c r="F1" s="88"/>
      <c r="G1" s="88"/>
      <c r="H1" s="1" t="s">
        <v>0</v>
      </c>
      <c r="I1" s="2" t="s">
        <v>64</v>
      </c>
    </row>
    <row r="2" spans="1:9" ht="18" customHeight="1" thickBot="1" x14ac:dyDescent="0.3">
      <c r="A2" s="84"/>
      <c r="B2" s="85"/>
      <c r="C2" s="89" t="s">
        <v>1</v>
      </c>
      <c r="D2" s="90"/>
      <c r="E2" s="90"/>
      <c r="F2" s="90"/>
      <c r="G2" s="91"/>
      <c r="H2" s="3" t="s">
        <v>2</v>
      </c>
      <c r="I2" s="4" t="s">
        <v>61</v>
      </c>
    </row>
    <row r="3" spans="1:9" ht="29.25" customHeight="1" thickBot="1" x14ac:dyDescent="0.35">
      <c r="A3" s="84"/>
      <c r="B3" s="85"/>
      <c r="C3" s="92" t="s">
        <v>63</v>
      </c>
      <c r="D3" s="93"/>
      <c r="E3" s="93"/>
      <c r="F3" s="93"/>
      <c r="G3" s="94"/>
      <c r="H3" s="95" t="s">
        <v>3</v>
      </c>
      <c r="I3" s="73">
        <v>45613</v>
      </c>
    </row>
    <row r="4" spans="1:9" ht="18" customHeight="1" x14ac:dyDescent="0.25">
      <c r="A4" s="84"/>
      <c r="B4" s="85"/>
      <c r="C4" s="5" t="s">
        <v>4</v>
      </c>
      <c r="D4" s="76" t="s">
        <v>47</v>
      </c>
      <c r="E4" s="77"/>
      <c r="F4" s="77"/>
      <c r="G4" s="78"/>
      <c r="H4" s="96"/>
      <c r="I4" s="74"/>
    </row>
    <row r="5" spans="1:9" ht="18.75" thickBot="1" x14ac:dyDescent="0.3">
      <c r="A5" s="86"/>
      <c r="B5" s="87"/>
      <c r="C5" s="6" t="s">
        <v>5</v>
      </c>
      <c r="D5" s="79" t="s">
        <v>48</v>
      </c>
      <c r="E5" s="80"/>
      <c r="F5" s="80"/>
      <c r="G5" s="81"/>
      <c r="H5" s="97"/>
      <c r="I5" s="75"/>
    </row>
    <row r="6" spans="1:9" ht="18.75" thickBot="1" x14ac:dyDescent="0.3">
      <c r="A6" s="98" t="s">
        <v>49</v>
      </c>
      <c r="B6" s="98"/>
      <c r="C6" s="98"/>
      <c r="D6" s="99" t="s">
        <v>65</v>
      </c>
      <c r="E6" s="99"/>
      <c r="F6" s="99"/>
      <c r="G6" s="100" t="s">
        <v>51</v>
      </c>
      <c r="H6" s="100"/>
      <c r="I6" s="11" t="s">
        <v>65</v>
      </c>
    </row>
    <row r="7" spans="1:9" ht="36" x14ac:dyDescent="0.2">
      <c r="A7" s="101" t="s">
        <v>6</v>
      </c>
      <c r="B7" s="103" t="s">
        <v>52</v>
      </c>
      <c r="C7" s="105" t="s">
        <v>7</v>
      </c>
      <c r="D7" s="105" t="s">
        <v>8</v>
      </c>
      <c r="E7" s="105" t="s">
        <v>9</v>
      </c>
      <c r="F7" s="105"/>
      <c r="G7" s="105" t="s">
        <v>10</v>
      </c>
      <c r="H7" s="105"/>
      <c r="I7" s="7" t="s">
        <v>11</v>
      </c>
    </row>
    <row r="8" spans="1:9" ht="36.75" thickBot="1" x14ac:dyDescent="0.3">
      <c r="A8" s="102"/>
      <c r="B8" s="104"/>
      <c r="C8" s="106"/>
      <c r="D8" s="106"/>
      <c r="E8" s="8" t="s">
        <v>12</v>
      </c>
      <c r="F8" s="9" t="s">
        <v>13</v>
      </c>
      <c r="G8" s="8" t="s">
        <v>12</v>
      </c>
      <c r="H8" s="9" t="s">
        <v>13</v>
      </c>
      <c r="I8" s="10" t="s">
        <v>14</v>
      </c>
    </row>
    <row r="9" spans="1:9" ht="20.25" x14ac:dyDescent="0.3">
      <c r="A9" s="12"/>
      <c r="B9" s="13"/>
      <c r="C9" s="14" t="s">
        <v>53</v>
      </c>
      <c r="D9" s="15"/>
      <c r="E9" s="16"/>
      <c r="F9" s="17"/>
      <c r="G9" s="16"/>
      <c r="H9" s="17"/>
      <c r="I9" s="18"/>
    </row>
    <row r="10" spans="1:9" ht="20.25" x14ac:dyDescent="0.3">
      <c r="A10" s="19" t="s">
        <v>30</v>
      </c>
      <c r="B10" s="20" t="s">
        <v>43</v>
      </c>
      <c r="C10" s="21" t="s">
        <v>31</v>
      </c>
      <c r="D10" s="22" t="s">
        <v>54</v>
      </c>
      <c r="E10" s="23">
        <f>12000/12.1</f>
        <v>991.73553719008271</v>
      </c>
      <c r="F10" s="24" t="s">
        <v>27</v>
      </c>
      <c r="G10" s="25"/>
      <c r="H10" s="26"/>
      <c r="I10" s="18"/>
    </row>
    <row r="11" spans="1:9" ht="20.25" x14ac:dyDescent="0.3">
      <c r="A11" s="19" t="s">
        <v>32</v>
      </c>
      <c r="B11" s="27" t="s">
        <v>44</v>
      </c>
      <c r="C11" s="28" t="s">
        <v>33</v>
      </c>
      <c r="D11" s="22" t="s">
        <v>34</v>
      </c>
      <c r="E11" s="29">
        <v>10</v>
      </c>
      <c r="F11" s="30" t="s">
        <v>27</v>
      </c>
      <c r="G11" s="25"/>
      <c r="H11" s="26"/>
      <c r="I11" s="18"/>
    </row>
    <row r="12" spans="1:9" ht="20.25" x14ac:dyDescent="0.3">
      <c r="A12" s="31"/>
      <c r="B12" s="31"/>
      <c r="C12" s="33"/>
      <c r="D12" s="34"/>
      <c r="E12" s="35"/>
      <c r="F12" s="36"/>
      <c r="G12" s="16"/>
      <c r="H12" s="26"/>
      <c r="I12" s="18"/>
    </row>
    <row r="13" spans="1:9" ht="20.25" x14ac:dyDescent="0.3">
      <c r="A13" s="37"/>
      <c r="B13" s="38"/>
      <c r="C13" s="39" t="s">
        <v>50</v>
      </c>
      <c r="D13" s="40"/>
      <c r="E13" s="41"/>
      <c r="F13" s="42"/>
      <c r="G13" s="16"/>
      <c r="H13" s="17"/>
      <c r="I13" s="18"/>
    </row>
    <row r="14" spans="1:9" ht="20.25" x14ac:dyDescent="0.3">
      <c r="A14" s="31"/>
      <c r="B14" s="31"/>
      <c r="C14" s="33"/>
      <c r="D14" s="45"/>
      <c r="E14" s="35"/>
      <c r="F14" s="36"/>
      <c r="G14" s="16"/>
      <c r="H14" s="17"/>
      <c r="I14" s="18"/>
    </row>
    <row r="15" spans="1:9" ht="20.25" x14ac:dyDescent="0.3">
      <c r="A15" s="47"/>
      <c r="B15" s="48"/>
      <c r="C15" s="49" t="s">
        <v>55</v>
      </c>
      <c r="D15" s="50"/>
      <c r="E15" s="51"/>
      <c r="F15" s="17"/>
      <c r="G15" s="16"/>
      <c r="H15" s="44"/>
      <c r="I15" s="18"/>
    </row>
    <row r="16" spans="1:9" ht="20.25" x14ac:dyDescent="0.3">
      <c r="A16" s="43" t="s">
        <v>35</v>
      </c>
      <c r="B16" s="43" t="s">
        <v>46</v>
      </c>
      <c r="C16" s="33" t="s">
        <v>36</v>
      </c>
      <c r="D16" s="22" t="s">
        <v>56</v>
      </c>
      <c r="E16" s="29">
        <v>60</v>
      </c>
      <c r="F16" s="30" t="s">
        <v>41</v>
      </c>
      <c r="G16" s="52"/>
      <c r="H16" s="17"/>
      <c r="I16" s="18"/>
    </row>
    <row r="17" spans="1:9" ht="20.25" x14ac:dyDescent="0.3">
      <c r="A17" s="53" t="s">
        <v>39</v>
      </c>
      <c r="B17" s="53" t="s">
        <v>45</v>
      </c>
      <c r="C17" s="54" t="s">
        <v>40</v>
      </c>
      <c r="D17" s="55" t="s">
        <v>57</v>
      </c>
      <c r="E17" s="31">
        <v>2</v>
      </c>
      <c r="F17" s="32" t="s">
        <v>42</v>
      </c>
      <c r="G17" s="52"/>
      <c r="H17" s="17"/>
      <c r="I17" s="18"/>
    </row>
    <row r="18" spans="1:9" ht="20.25" x14ac:dyDescent="0.3">
      <c r="A18" s="37"/>
      <c r="B18" s="38"/>
      <c r="C18" s="56"/>
      <c r="D18" s="40"/>
      <c r="E18" s="40"/>
      <c r="F18" s="42"/>
      <c r="G18" s="40"/>
      <c r="H18" s="40"/>
      <c r="I18" s="18"/>
    </row>
    <row r="19" spans="1:9" ht="21" thickBot="1" x14ac:dyDescent="0.35">
      <c r="A19" s="57"/>
      <c r="B19" s="58"/>
      <c r="C19" s="59"/>
      <c r="D19" s="59"/>
      <c r="E19" s="60"/>
      <c r="F19" s="61"/>
      <c r="G19" s="59"/>
      <c r="H19" s="59"/>
      <c r="I19" s="62"/>
    </row>
    <row r="20" spans="1:9" ht="21" thickBot="1" x14ac:dyDescent="0.35">
      <c r="A20" s="63"/>
      <c r="B20" s="64"/>
      <c r="C20" s="65"/>
      <c r="D20" s="66" t="s">
        <v>12</v>
      </c>
      <c r="E20" s="67" t="s">
        <v>15</v>
      </c>
      <c r="F20" s="68"/>
      <c r="G20" s="65"/>
      <c r="H20" s="65"/>
      <c r="I20" s="69"/>
    </row>
    <row r="21" spans="1:9" ht="20.25" x14ac:dyDescent="0.3">
      <c r="A21" s="107" t="s">
        <v>16</v>
      </c>
      <c r="B21" s="108"/>
      <c r="C21" s="109"/>
      <c r="D21" s="46">
        <v>1000</v>
      </c>
      <c r="E21" s="70" t="s">
        <v>27</v>
      </c>
      <c r="F21" s="110" t="s">
        <v>25</v>
      </c>
      <c r="G21" s="110"/>
      <c r="H21" s="111"/>
      <c r="I21" s="112"/>
    </row>
    <row r="22" spans="1:9" ht="20.25" x14ac:dyDescent="0.3">
      <c r="A22" s="113" t="s">
        <v>17</v>
      </c>
      <c r="B22" s="114"/>
      <c r="C22" s="115"/>
      <c r="D22" s="31">
        <v>5</v>
      </c>
      <c r="E22" s="31" t="s">
        <v>28</v>
      </c>
      <c r="F22" s="116" t="s">
        <v>18</v>
      </c>
      <c r="G22" s="116"/>
      <c r="H22" s="117"/>
      <c r="I22" s="118"/>
    </row>
    <row r="23" spans="1:9" ht="20.25" x14ac:dyDescent="0.3">
      <c r="A23" s="113" t="s">
        <v>19</v>
      </c>
      <c r="B23" s="114"/>
      <c r="C23" s="115"/>
      <c r="D23" s="31">
        <v>1</v>
      </c>
      <c r="E23" s="31" t="s">
        <v>29</v>
      </c>
      <c r="F23" s="116" t="s">
        <v>26</v>
      </c>
      <c r="G23" s="116"/>
      <c r="H23" s="117"/>
      <c r="I23" s="118"/>
    </row>
    <row r="24" spans="1:9" ht="20.25" x14ac:dyDescent="0.3">
      <c r="A24" s="113" t="s">
        <v>20</v>
      </c>
      <c r="B24" s="114"/>
      <c r="C24" s="115"/>
      <c r="D24" s="35">
        <v>1000</v>
      </c>
      <c r="E24" s="31" t="s">
        <v>27</v>
      </c>
      <c r="F24" s="122" t="s">
        <v>21</v>
      </c>
      <c r="G24" s="123"/>
      <c r="H24" s="124"/>
      <c r="I24" s="125"/>
    </row>
    <row r="25" spans="1:9" ht="21" thickBot="1" x14ac:dyDescent="0.35">
      <c r="A25" s="126" t="s">
        <v>22</v>
      </c>
      <c r="B25" s="127"/>
      <c r="C25" s="128"/>
      <c r="D25" s="71">
        <f>SUM(E10:E11)-D21</f>
        <v>1.7355371900827095</v>
      </c>
      <c r="E25" s="72" t="s">
        <v>27</v>
      </c>
      <c r="F25" s="129"/>
      <c r="G25" s="129"/>
      <c r="H25" s="117"/>
      <c r="I25" s="118"/>
    </row>
    <row r="26" spans="1:9" ht="21" thickBot="1" x14ac:dyDescent="0.35">
      <c r="A26" s="130" t="s">
        <v>23</v>
      </c>
      <c r="B26" s="131"/>
      <c r="C26" s="131"/>
      <c r="D26" s="131"/>
      <c r="E26" s="131"/>
      <c r="F26" s="131"/>
      <c r="G26" s="131"/>
      <c r="H26" s="131"/>
      <c r="I26" s="132"/>
    </row>
    <row r="27" spans="1:9" ht="20.25" x14ac:dyDescent="0.3">
      <c r="A27" s="119" t="s">
        <v>37</v>
      </c>
      <c r="B27" s="120"/>
      <c r="C27" s="120"/>
      <c r="D27" s="120"/>
      <c r="E27" s="120"/>
      <c r="F27" s="120"/>
      <c r="G27" s="120"/>
      <c r="H27" s="120"/>
      <c r="I27" s="121"/>
    </row>
    <row r="28" spans="1:9" ht="20.25" x14ac:dyDescent="0.3">
      <c r="A28" s="119" t="s">
        <v>38</v>
      </c>
      <c r="B28" s="120"/>
      <c r="C28" s="120"/>
      <c r="D28" s="120"/>
      <c r="E28" s="120"/>
      <c r="F28" s="120"/>
      <c r="G28" s="120"/>
      <c r="H28" s="120"/>
      <c r="I28" s="121"/>
    </row>
    <row r="29" spans="1:9" ht="20.25" x14ac:dyDescent="0.3">
      <c r="A29" s="119" t="s">
        <v>59</v>
      </c>
      <c r="B29" s="120"/>
      <c r="C29" s="120"/>
      <c r="D29" s="120"/>
      <c r="E29" s="120"/>
      <c r="F29" s="120"/>
      <c r="G29" s="120"/>
      <c r="H29" s="120"/>
      <c r="I29" s="121"/>
    </row>
    <row r="30" spans="1:9" ht="21" thickBot="1" x14ac:dyDescent="0.35">
      <c r="A30" s="133"/>
      <c r="B30" s="134"/>
      <c r="C30" s="134"/>
      <c r="D30" s="134"/>
      <c r="E30" s="134"/>
      <c r="F30" s="134"/>
      <c r="G30" s="134"/>
      <c r="H30" s="134"/>
      <c r="I30" s="135"/>
    </row>
    <row r="31" spans="1:9" ht="20.25" x14ac:dyDescent="0.3">
      <c r="A31" s="136" t="s">
        <v>58</v>
      </c>
      <c r="B31" s="137"/>
      <c r="C31" s="137"/>
      <c r="D31" s="137"/>
      <c r="E31" s="137"/>
      <c r="F31" s="137"/>
      <c r="G31" s="137"/>
      <c r="H31" s="137"/>
      <c r="I31" s="137"/>
    </row>
    <row r="32" spans="1:9" ht="20.25" x14ac:dyDescent="0.3">
      <c r="A32" s="138" t="s">
        <v>60</v>
      </c>
      <c r="B32" s="139"/>
      <c r="C32" s="139"/>
      <c r="D32" s="139"/>
      <c r="E32" s="139"/>
      <c r="F32" s="139"/>
      <c r="G32" s="139"/>
      <c r="H32" s="139"/>
      <c r="I32" s="140"/>
    </row>
    <row r="33" spans="1:9" ht="20.25" x14ac:dyDescent="0.3">
      <c r="A33" s="138" t="s">
        <v>62</v>
      </c>
      <c r="B33" s="139"/>
      <c r="C33" s="139"/>
      <c r="D33" s="139"/>
      <c r="E33" s="139"/>
      <c r="F33" s="139"/>
      <c r="G33" s="139"/>
      <c r="H33" s="139"/>
      <c r="I33" s="140"/>
    </row>
  </sheetData>
  <mergeCells count="40">
    <mergeCell ref="A30:I30"/>
    <mergeCell ref="A31:I31"/>
    <mergeCell ref="A32:I32"/>
    <mergeCell ref="A33:I33"/>
    <mergeCell ref="A29:I29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I26"/>
    <mergeCell ref="A27:I27"/>
    <mergeCell ref="A21:C21"/>
    <mergeCell ref="F21:G21"/>
    <mergeCell ref="H21:I21"/>
    <mergeCell ref="A22:C22"/>
    <mergeCell ref="F22:G22"/>
    <mergeCell ref="H22:I2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AD577-61A1-49D9-90C5-C103C24F12E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190ACB59-97CC-4D8C-A99E-3686AA49E3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D829D2-CC52-4525-81EE-C2C00D8B62E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15E63EF0-6A95-4361-BC09-7EEF26B6A9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Allan Brenes</cp:lastModifiedBy>
  <cp:lastPrinted>2026-04-10T17:28:10Z</cp:lastPrinted>
  <dcterms:created xsi:type="dcterms:W3CDTF">2012-05-10T22:32:20Z</dcterms:created>
  <dcterms:modified xsi:type="dcterms:W3CDTF">2026-04-10T17:28:13Z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BUILTIN\Administrators</vt:lpwstr>
  </property>
  <property fmtid="{D5CDD505-2E9C-101B-9397-08002B2CF9AE}" pid="4" name="Order">
    <vt:lpwstr>213600.000000000</vt:lpwstr>
  </property>
  <property fmtid="{D5CDD505-2E9C-101B-9397-08002B2CF9AE}" pid="5" name="display_urn:schemas-microsoft-com:office:office#Author">
    <vt:lpwstr>BUILTIN\Administrators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
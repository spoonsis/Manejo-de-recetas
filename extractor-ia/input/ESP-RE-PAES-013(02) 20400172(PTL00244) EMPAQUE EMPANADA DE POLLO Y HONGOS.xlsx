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0" documentId="8_{00F79C93-73B0-447B-937C-4F65AC449B0C}" xr6:coauthVersionLast="47" xr6:coauthVersionMax="47" xr10:uidLastSave="{00000000-0000-0000-0000-000000000000}"/>
  <bookViews>
    <workbookView xWindow="-120" yWindow="-120" windowWidth="20730" windowHeight="11040" xr2:uid="{FD22BE3D-C3AE-4321-9933-6F15A2806353}"/>
  </bookViews>
  <sheets>
    <sheet name="Empanada de Pollo y hongos " sheetId="2" r:id="rId1"/>
    <sheet name="Actual " sheetId="3" state="hidden" r:id="rId2"/>
    <sheet name="Nuevo" sheetId="4" state="hidden" r:id="rId3"/>
  </sheets>
  <definedNames>
    <definedName name="_xlnm.Print_Area" localSheetId="0">'Empanada de Pollo y hongos 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7" i="4" l="1"/>
  <c r="L28" i="4" s="1"/>
  <c r="G32" i="3"/>
  <c r="G31" i="3"/>
  <c r="N26" i="4"/>
  <c r="L28" i="3"/>
  <c r="L27" i="3"/>
</calcChain>
</file>

<file path=xl/sharedStrings.xml><?xml version="1.0" encoding="utf-8"?>
<sst xmlns="http://schemas.openxmlformats.org/spreadsheetml/2006/main" count="283" uniqueCount="131">
  <si>
    <t>3- La caja puede venir con impreseion de nombre y fecha de vencimiento.</t>
  </si>
  <si>
    <t>PROCEDIMIENTO DE PREPARACION DE LA  RECETA</t>
  </si>
  <si>
    <t>g</t>
  </si>
  <si>
    <t>MERMA</t>
  </si>
  <si>
    <t>Otros</t>
  </si>
  <si>
    <t>PESO DE CADA PORCIÓN</t>
  </si>
  <si>
    <t>Empanadas</t>
  </si>
  <si>
    <t>CANTIDAD DE PORCIONES OBTENIDAS</t>
  </si>
  <si>
    <t>Horno:</t>
  </si>
  <si>
    <t>TIEMPO TOTAL DE PREPARACION</t>
  </si>
  <si>
    <t>PESO TOTAL OBTENIDO</t>
  </si>
  <si>
    <t>Unidad</t>
  </si>
  <si>
    <t>Cantidad</t>
  </si>
  <si>
    <t>ud</t>
  </si>
  <si>
    <t>1950702</t>
  </si>
  <si>
    <t>CAJA BLANCA  MEDIANAS (100 X PAQ)</t>
  </si>
  <si>
    <t>1950729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</si>
  <si>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</si>
  <si>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</si>
  <si>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</si>
  <si>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</si>
  <si>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</si>
  <si>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</si>
  <si>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</si>
  <si>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</si>
  <si>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</si>
  <si>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</si>
  <si>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</si>
  <si>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</si>
  <si>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</si>
  <si>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</si>
  <si>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</si>
  <si>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</si>
  <si>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</si>
  <si>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</si>
  <si>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min</t>
  </si>
  <si>
    <t>EM10017</t>
  </si>
  <si>
    <t>EM10016</t>
  </si>
  <si>
    <t>903000146</t>
  </si>
  <si>
    <t>SE00185</t>
  </si>
  <si>
    <t>EM10002</t>
  </si>
  <si>
    <t>Javier Tong, Chef</t>
  </si>
  <si>
    <t>Pastas</t>
  </si>
  <si>
    <t># Código Netsuite</t>
  </si>
  <si>
    <t>Ensamble</t>
  </si>
  <si>
    <t>EMPANADA POLLO Y HONGOS</t>
  </si>
  <si>
    <t>FAS</t>
  </si>
  <si>
    <t>Decoración</t>
  </si>
  <si>
    <t>Empaque</t>
  </si>
  <si>
    <t>LITOGRAFIA CR</t>
  </si>
  <si>
    <t>ETIQ.BLANCA 1 1/4 * 3/4</t>
  </si>
  <si>
    <t>CEMUSA</t>
  </si>
  <si>
    <t>ETIPLAST</t>
  </si>
  <si>
    <t>BOLSA 12X18 TRANSP (KILO)</t>
  </si>
  <si>
    <t>PLASTICOS P</t>
  </si>
  <si>
    <t>Tiempo de Horneo:</t>
  </si>
  <si>
    <t>Temperatura de Horneo:</t>
  </si>
  <si>
    <t>CONTROL DE CAMBIOS</t>
  </si>
  <si>
    <t>ESP-RE-PAES-013</t>
  </si>
  <si>
    <t>EM10124</t>
  </si>
  <si>
    <t>Etiqueta Blanca R-153</t>
  </si>
  <si>
    <t>1.- Empacar 5 unidades en una caja mediana  y poner caja tapa</t>
  </si>
  <si>
    <t>2.- Colocar dentro de una bolsa 12*18, sellar. Etiquetar con nombre y lote.</t>
  </si>
  <si>
    <t>FILTROS :</t>
  </si>
  <si>
    <t>SUBSIDIARIA</t>
  </si>
  <si>
    <t>Empresa principal : Servicios de Pastelería S.A.</t>
  </si>
  <si>
    <t>ARTÍCULO</t>
  </si>
  <si>
    <t>PTL00080 Empanada Pollo y Hongos 1/4 und</t>
  </si>
  <si>
    <t>UBICACIÓN</t>
  </si>
  <si>
    <t>Bodega Administrativa</t>
  </si>
  <si>
    <t>LISTA DE MATERIALES</t>
  </si>
  <si>
    <t>BOM PTL00080</t>
  </si>
  <si>
    <t>CONTROL DE VISUALIZACIÓN</t>
  </si>
  <si>
    <t>Por revisión</t>
  </si>
  <si>
    <t>FECHA/FECHA EFECTIVA</t>
  </si>
  <si>
    <t>01/08/2023</t>
  </si>
  <si>
    <t>REVISIÓN DE LISTA DE MATERIALES</t>
  </si>
  <si>
    <t>REV V1 BOM PTL00080</t>
  </si>
  <si>
    <t>POR RUTA DE FABRICACIÓN</t>
  </si>
  <si>
    <t>No</t>
  </si>
  <si>
    <t>RUTA DE FABRICACIÓN</t>
  </si>
  <si>
    <t/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</si>
  <si>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</si>
  <si>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</si>
  <si>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</si>
  <si>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</si>
  <si>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</si>
  <si>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</si>
  <si>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</si>
  <si>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</si>
  <si>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CRC2,388.33</t>
  </si>
  <si>
    <t>CRC2,388.33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</si>
  <si>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</si>
  <si>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</si>
  <si>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</si>
  <si>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</si>
  <si>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</si>
  <si>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</si>
  <si>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</si>
  <si>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</si>
  <si>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</si>
  <si>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</si>
  <si>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</si>
  <si>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SC-MO1</t>
  </si>
  <si>
    <t>Mano de Obra</t>
  </si>
  <si>
    <t>5.83</t>
  </si>
  <si>
    <t>100%</t>
  </si>
  <si>
    <t>77.00</t>
  </si>
  <si>
    <t>448.91</t>
  </si>
  <si>
    <t>SC-GIF1</t>
  </si>
  <si>
    <t>Gastos Indirectos Fabricación</t>
  </si>
  <si>
    <t>64.00</t>
  </si>
  <si>
    <t>373.12</t>
  </si>
  <si>
    <t>Caja Blanca Mediana</t>
  </si>
  <si>
    <t>2</t>
  </si>
  <si>
    <t>49.75</t>
  </si>
  <si>
    <t>99.50</t>
  </si>
  <si>
    <t>Etiq.Blanca 1 1/4 * 3/4</t>
  </si>
  <si>
    <t>0.58</t>
  </si>
  <si>
    <t>Bolsa 12X18 Transparente</t>
  </si>
  <si>
    <t>8</t>
  </si>
  <si>
    <t>1.80</t>
  </si>
  <si>
    <t>GRAMOS</t>
  </si>
  <si>
    <t>14.40</t>
  </si>
  <si>
    <t>Empanada Pollo Y Hongos</t>
  </si>
  <si>
    <t>4</t>
  </si>
  <si>
    <t>362.95582887</t>
  </si>
  <si>
    <t>1,451.82</t>
  </si>
  <si>
    <t>20400172(PTL00244) EMPAQUE EMPANADA DE POLLO Y HONGOS</t>
  </si>
  <si>
    <t>Revision #2; Aumento en las unidades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</si>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</sst>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38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0"/>
    <xf numFmtId="43" fontId="1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8" applyNumberFormat="0" applyFill="0" applyAlignment="0" applyProtection="0"/>
    <xf numFmtId="0" fontId="24" fillId="0" borderId="49" applyNumberFormat="0" applyFill="0" applyAlignment="0" applyProtection="0"/>
    <xf numFmtId="0" fontId="25" fillId="0" borderId="50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0" applyNumberFormat="0" applyBorder="0" applyAlignment="0" applyProtection="0"/>
    <xf numFmtId="0" fontId="27" fillId="8" borderId="0" applyNumberFormat="0" applyBorder="0" applyAlignment="0" applyProtection="0"/>
    <xf numFmtId="0" fontId="28" fillId="9" borderId="0" applyNumberFormat="0" applyBorder="0" applyAlignment="0" applyProtection="0"/>
    <xf numFmtId="0" fontId="29" fillId="10" borderId="51" applyNumberFormat="0" applyAlignment="0" applyProtection="0"/>
    <xf numFmtId="0" fontId="30" fillId="11" borderId="52" applyNumberFormat="0" applyAlignment="0" applyProtection="0"/>
    <xf numFmtId="0" fontId="31" fillId="11" borderId="51" applyNumberFormat="0" applyAlignment="0" applyProtection="0"/>
    <xf numFmtId="0" fontId="32" fillId="0" borderId="53" applyNumberFormat="0" applyFill="0" applyAlignment="0" applyProtection="0"/>
    <xf numFmtId="0" fontId="33" fillId="12" borderId="54" applyNumberFormat="0" applyAlignment="0" applyProtection="0"/>
    <xf numFmtId="0" fontId="34" fillId="0" borderId="0" applyNumberFormat="0" applyFill="0" applyBorder="0" applyAlignment="0" applyProtection="0"/>
    <xf numFmtId="0" fontId="12" fillId="13" borderId="55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37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37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37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37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37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</cellStyleXfs>
  <cellXfs count="177">
    <xf numFmtId="0" fontId="0" fillId="0" borderId="0" xfId="0"/>
    <xf numFmtId="0" fontId="1" fillId="2" borderId="0" xfId="0" applyFont="1" applyFill="1"/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9" fontId="5" fillId="0" borderId="10" xfId="0" applyNumberFormat="1" applyFont="1" applyBorder="1"/>
    <xf numFmtId="49" fontId="6" fillId="0" borderId="10" xfId="0" applyNumberFormat="1" applyFont="1" applyBorder="1" applyAlignment="1">
      <alignment horizontal="center"/>
    </xf>
    <xf numFmtId="49" fontId="5" fillId="0" borderId="10" xfId="2" applyNumberFormat="1" applyFont="1" applyBorder="1"/>
    <xf numFmtId="49" fontId="6" fillId="0" borderId="11" xfId="2" applyNumberFormat="1" applyFont="1" applyBorder="1" applyAlignment="1">
      <alignment horizontal="center"/>
    </xf>
    <xf numFmtId="16" fontId="1" fillId="0" borderId="19" xfId="0" applyNumberFormat="1" applyFont="1" applyBorder="1" applyAlignment="1">
      <alignment horizontal="center"/>
    </xf>
    <xf numFmtId="49" fontId="5" fillId="0" borderId="18" xfId="0" applyNumberFormat="1" applyFont="1" applyBorder="1"/>
    <xf numFmtId="49" fontId="5" fillId="0" borderId="10" xfId="0" applyNumberFormat="1" applyFont="1" applyBorder="1" applyAlignment="1">
      <alignment horizontal="center"/>
    </xf>
    <xf numFmtId="0" fontId="1" fillId="2" borderId="18" xfId="3" applyFont="1" applyFill="1" applyBorder="1" applyAlignment="1">
      <alignment horizontal="right"/>
    </xf>
    <xf numFmtId="49" fontId="1" fillId="2" borderId="9" xfId="3" applyNumberFormat="1" applyFont="1" applyFill="1" applyBorder="1" applyAlignment="1">
      <alignment horizontal="center"/>
    </xf>
    <xf numFmtId="0" fontId="3" fillId="2" borderId="10" xfId="3" applyFont="1" applyFill="1" applyBorder="1" applyAlignment="1">
      <alignment horizontal="right"/>
    </xf>
    <xf numFmtId="0" fontId="1" fillId="2" borderId="30" xfId="3" applyFont="1" applyFill="1" applyBorder="1" applyAlignment="1">
      <alignment horizontal="center" vertical="center"/>
    </xf>
    <xf numFmtId="0" fontId="3" fillId="2" borderId="31" xfId="3" applyFont="1" applyFill="1" applyBorder="1" applyAlignment="1">
      <alignment horizontal="right"/>
    </xf>
    <xf numFmtId="49" fontId="5" fillId="0" borderId="18" xfId="0" applyNumberFormat="1" applyFont="1" applyBorder="1" applyAlignment="1">
      <alignment horizontal="center"/>
    </xf>
    <xf numFmtId="49" fontId="6" fillId="0" borderId="15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0" xfId="3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3" fillId="3" borderId="30" xfId="2" applyFont="1" applyFill="1" applyBorder="1" applyAlignment="1">
      <alignment horizontal="center" vertical="center" wrapText="1"/>
    </xf>
    <xf numFmtId="1" fontId="3" fillId="3" borderId="4" xfId="2" applyNumberFormat="1" applyFont="1" applyFill="1" applyBorder="1" applyAlignment="1">
      <alignment horizontal="center"/>
    </xf>
    <xf numFmtId="1" fontId="3" fillId="3" borderId="4" xfId="2" applyNumberFormat="1" applyFont="1" applyFill="1" applyBorder="1" applyAlignment="1">
      <alignment horizontal="center" wrapText="1"/>
    </xf>
    <xf numFmtId="0" fontId="3" fillId="3" borderId="3" xfId="2" applyFont="1" applyFill="1" applyBorder="1" applyAlignment="1">
      <alignment horizontal="center"/>
    </xf>
    <xf numFmtId="0" fontId="13" fillId="0" borderId="11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4" fillId="0" borderId="10" xfId="2" applyFont="1" applyBorder="1" applyAlignment="1">
      <alignment vertical="center"/>
    </xf>
    <xf numFmtId="0" fontId="13" fillId="0" borderId="10" xfId="2" applyFont="1" applyBorder="1" applyAlignment="1">
      <alignment horizontal="center" vertical="center"/>
    </xf>
    <xf numFmtId="1" fontId="13" fillId="0" borderId="10" xfId="2" applyNumberFormat="1" applyFont="1" applyBorder="1" applyAlignment="1">
      <alignment horizontal="center"/>
    </xf>
    <xf numFmtId="1" fontId="13" fillId="0" borderId="10" xfId="2" applyNumberFormat="1" applyFont="1" applyBorder="1" applyAlignment="1">
      <alignment horizontal="center" wrapText="1"/>
    </xf>
    <xf numFmtId="0" fontId="6" fillId="0" borderId="9" xfId="2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8" xfId="0" applyFont="1" applyBorder="1" applyAlignment="1">
      <alignment horizontal="center"/>
    </xf>
    <xf numFmtId="2" fontId="13" fillId="0" borderId="10" xfId="2" applyNumberFormat="1" applyFont="1" applyBorder="1" applyAlignment="1">
      <alignment horizontal="center"/>
    </xf>
    <xf numFmtId="1" fontId="3" fillId="5" borderId="27" xfId="2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5" borderId="10" xfId="0" applyFill="1" applyBorder="1"/>
    <xf numFmtId="1" fontId="6" fillId="0" borderId="10" xfId="2" applyNumberFormat="1" applyFont="1" applyBorder="1" applyAlignment="1">
      <alignment horizontal="center"/>
    </xf>
    <xf numFmtId="1" fontId="6" fillId="0" borderId="10" xfId="2" applyNumberFormat="1" applyFont="1" applyBorder="1" applyAlignment="1">
      <alignment horizontal="center" wrapText="1"/>
    </xf>
    <xf numFmtId="0" fontId="15" fillId="5" borderId="10" xfId="2" applyFont="1" applyFill="1" applyBorder="1" applyAlignment="1">
      <alignment horizontal="left"/>
    </xf>
    <xf numFmtId="0" fontId="6" fillId="0" borderId="10" xfId="2" applyFont="1" applyBorder="1" applyAlignment="1">
      <alignment horizontal="center"/>
    </xf>
    <xf numFmtId="165" fontId="6" fillId="0" borderId="10" xfId="2" applyNumberFormat="1" applyFont="1" applyBorder="1" applyAlignment="1">
      <alignment horizontal="center"/>
    </xf>
    <xf numFmtId="16" fontId="6" fillId="0" borderId="10" xfId="0" applyNumberFormat="1" applyFont="1" applyBorder="1" applyAlignment="1">
      <alignment horizontal="center"/>
    </xf>
    <xf numFmtId="1" fontId="6" fillId="0" borderId="10" xfId="5" applyNumberFormat="1" applyFont="1" applyBorder="1" applyAlignment="1">
      <alignment horizontal="center"/>
    </xf>
    <xf numFmtId="1" fontId="6" fillId="0" borderId="10" xfId="5" applyNumberFormat="1" applyFont="1" applyBorder="1" applyAlignment="1">
      <alignment horizontal="center" wrapText="1"/>
    </xf>
    <xf numFmtId="49" fontId="13" fillId="0" borderId="8" xfId="2" applyNumberFormat="1" applyFont="1" applyBorder="1" applyAlignment="1">
      <alignment horizontal="center"/>
    </xf>
    <xf numFmtId="49" fontId="13" fillId="0" borderId="7" xfId="2" applyNumberFormat="1" applyFont="1" applyBorder="1" applyAlignment="1">
      <alignment horizontal="center"/>
    </xf>
    <xf numFmtId="0" fontId="16" fillId="5" borderId="10" xfId="2" applyFont="1" applyFill="1" applyBorder="1" applyAlignment="1">
      <alignment vertical="center"/>
    </xf>
    <xf numFmtId="0" fontId="13" fillId="0" borderId="15" xfId="2" applyFont="1" applyBorder="1" applyAlignment="1">
      <alignment horizontal="center"/>
    </xf>
    <xf numFmtId="165" fontId="13" fillId="0" borderId="10" xfId="2" applyNumberFormat="1" applyFont="1" applyBorder="1" applyAlignment="1">
      <alignment horizontal="center"/>
    </xf>
    <xf numFmtId="16" fontId="6" fillId="0" borderId="15" xfId="0" applyNumberFormat="1" applyFont="1" applyBorder="1" applyAlignment="1">
      <alignment horizontal="center"/>
    </xf>
    <xf numFmtId="166" fontId="3" fillId="5" borderId="10" xfId="4" applyNumberFormat="1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6" fillId="0" borderId="10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 wrapText="1"/>
    </xf>
    <xf numFmtId="0" fontId="17" fillId="0" borderId="11" xfId="0" quotePrefix="1" applyFont="1" applyBorder="1" applyAlignment="1">
      <alignment horizontal="center"/>
    </xf>
    <xf numFmtId="0" fontId="17" fillId="0" borderId="15" xfId="0" quotePrefix="1" applyFont="1" applyBorder="1" applyAlignment="1">
      <alignment horizontal="center"/>
    </xf>
    <xf numFmtId="0" fontId="18" fillId="0" borderId="10" xfId="0" quotePrefix="1" applyFont="1" applyBorder="1"/>
    <xf numFmtId="0" fontId="3" fillId="5" borderId="10" xfId="0" applyFont="1" applyFill="1" applyBorder="1" applyAlignment="1">
      <alignment horizontal="center" vertical="center"/>
    </xf>
    <xf numFmtId="1" fontId="1" fillId="5" borderId="10" xfId="0" applyNumberFormat="1" applyFont="1" applyFill="1" applyBorder="1" applyAlignment="1">
      <alignment horizontal="center"/>
    </xf>
    <xf numFmtId="1" fontId="1" fillId="5" borderId="10" xfId="0" applyNumberFormat="1" applyFont="1" applyFill="1" applyBorder="1" applyAlignment="1">
      <alignment horizontal="center" wrapText="1"/>
    </xf>
    <xf numFmtId="49" fontId="6" fillId="5" borderId="11" xfId="2" applyNumberFormat="1" applyFont="1" applyFill="1" applyBorder="1" applyAlignment="1">
      <alignment horizontal="center"/>
    </xf>
    <xf numFmtId="49" fontId="6" fillId="5" borderId="15" xfId="2" applyNumberFormat="1" applyFont="1" applyFill="1" applyBorder="1" applyAlignment="1">
      <alignment horizontal="center"/>
    </xf>
    <xf numFmtId="49" fontId="5" fillId="5" borderId="10" xfId="2" applyNumberFormat="1" applyFont="1" applyFill="1" applyBorder="1"/>
    <xf numFmtId="12" fontId="6" fillId="0" borderId="10" xfId="2" applyNumberFormat="1" applyFont="1" applyBorder="1" applyAlignment="1">
      <alignment horizontal="center"/>
    </xf>
    <xf numFmtId="1" fontId="19" fillId="0" borderId="10" xfId="2" applyNumberFormat="1" applyFont="1" applyBorder="1" applyAlignment="1">
      <alignment horizontal="center"/>
    </xf>
    <xf numFmtId="0" fontId="19" fillId="0" borderId="10" xfId="2" applyFont="1" applyBorder="1" applyAlignment="1">
      <alignment horizontal="center"/>
    </xf>
    <xf numFmtId="49" fontId="2" fillId="2" borderId="25" xfId="2" applyNumberFormat="1" applyFont="1" applyFill="1" applyBorder="1" applyAlignment="1">
      <alignment horizontal="center" vertical="center"/>
    </xf>
    <xf numFmtId="49" fontId="2" fillId="2" borderId="0" xfId="2" applyNumberFormat="1" applyFont="1" applyFill="1" applyAlignment="1">
      <alignment horizontal="center" vertical="center"/>
    </xf>
    <xf numFmtId="0" fontId="1" fillId="2" borderId="0" xfId="2" applyFont="1" applyFill="1"/>
    <xf numFmtId="1" fontId="1" fillId="2" borderId="0" xfId="2" applyNumberFormat="1" applyFont="1" applyFill="1" applyAlignment="1">
      <alignment horizontal="center"/>
    </xf>
    <xf numFmtId="164" fontId="1" fillId="2" borderId="0" xfId="2" applyNumberFormat="1" applyFont="1" applyFill="1" applyAlignment="1">
      <alignment horizontal="center" wrapText="1"/>
    </xf>
    <xf numFmtId="0" fontId="1" fillId="2" borderId="24" xfId="2" applyFont="1" applyFill="1" applyBorder="1" applyAlignment="1">
      <alignment horizontal="center"/>
    </xf>
    <xf numFmtId="0" fontId="4" fillId="0" borderId="0" xfId="2"/>
    <xf numFmtId="0" fontId="1" fillId="2" borderId="0" xfId="2" applyFont="1" applyFill="1" applyAlignment="1">
      <alignment horizontal="left" indent="1"/>
    </xf>
    <xf numFmtId="0" fontId="1" fillId="3" borderId="23" xfId="2" applyFont="1" applyFill="1" applyBorder="1" applyAlignment="1">
      <alignment horizontal="center"/>
    </xf>
    <xf numFmtId="0" fontId="1" fillId="3" borderId="22" xfId="2" applyFont="1" applyFill="1" applyBorder="1" applyAlignment="1">
      <alignment horizontal="center"/>
    </xf>
    <xf numFmtId="0" fontId="1" fillId="3" borderId="22" xfId="2" applyFont="1" applyFill="1" applyBorder="1"/>
    <xf numFmtId="0" fontId="3" fillId="3" borderId="22" xfId="2" applyFont="1" applyFill="1" applyBorder="1" applyAlignment="1">
      <alignment horizontal="center"/>
    </xf>
    <xf numFmtId="1" fontId="3" fillId="3" borderId="22" xfId="2" applyNumberFormat="1" applyFont="1" applyFill="1" applyBorder="1" applyAlignment="1">
      <alignment horizontal="center"/>
    </xf>
    <xf numFmtId="164" fontId="1" fillId="3" borderId="22" xfId="2" applyNumberFormat="1" applyFont="1" applyFill="1" applyBorder="1" applyAlignment="1">
      <alignment horizontal="center" wrapText="1"/>
    </xf>
    <xf numFmtId="0" fontId="1" fillId="3" borderId="21" xfId="2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9" fontId="1" fillId="2" borderId="0" xfId="6" applyFont="1" applyFill="1"/>
    <xf numFmtId="1" fontId="1" fillId="0" borderId="4" xfId="0" applyNumberFormat="1" applyFont="1" applyBorder="1" applyAlignment="1">
      <alignment horizontal="center"/>
    </xf>
    <xf numFmtId="0" fontId="0" fillId="38" borderId="0" xfId="0" applyFill="1"/>
    <xf numFmtId="0" fontId="1" fillId="0" borderId="45" xfId="2" applyFont="1" applyBorder="1" applyAlignment="1">
      <alignment horizontal="left"/>
    </xf>
    <xf numFmtId="0" fontId="1" fillId="0" borderId="35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3" fillId="6" borderId="46" xfId="3" applyFont="1" applyFill="1" applyBorder="1" applyAlignment="1">
      <alignment horizontal="center"/>
    </xf>
    <xf numFmtId="0" fontId="3" fillId="6" borderId="1" xfId="3" applyFont="1" applyFill="1" applyBorder="1" applyAlignment="1">
      <alignment horizontal="center"/>
    </xf>
    <xf numFmtId="0" fontId="1" fillId="2" borderId="47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0" fillId="0" borderId="14" xfId="0" applyFont="1" applyBorder="1"/>
    <xf numFmtId="0" fontId="20" fillId="0" borderId="7" xfId="0" applyFont="1" applyBorder="1"/>
    <xf numFmtId="0" fontId="20" fillId="0" borderId="15" xfId="0" applyFont="1" applyBorder="1"/>
    <xf numFmtId="0" fontId="21" fillId="0" borderId="20" xfId="2" applyFont="1" applyBorder="1" applyAlignment="1">
      <alignment horizontal="left" wrapText="1"/>
    </xf>
    <xf numFmtId="0" fontId="21" fillId="0" borderId="41" xfId="2" applyFont="1" applyBorder="1" applyAlignment="1">
      <alignment horizontal="left" wrapText="1"/>
    </xf>
    <xf numFmtId="0" fontId="21" fillId="0" borderId="16" xfId="2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" fillId="0" borderId="8" xfId="2" applyFont="1" applyBorder="1" applyAlignment="1">
      <alignment horizontal="left" wrapText="1"/>
    </xf>
    <xf numFmtId="0" fontId="1" fillId="0" borderId="7" xfId="2" applyFont="1" applyBorder="1" applyAlignment="1">
      <alignment horizontal="left" wrapText="1"/>
    </xf>
    <xf numFmtId="0" fontId="1" fillId="0" borderId="6" xfId="2" applyFont="1" applyBorder="1" applyAlignment="1">
      <alignment horizontal="left" wrapText="1"/>
    </xf>
    <xf numFmtId="0" fontId="1" fillId="0" borderId="11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8" xfId="2" applyFont="1" applyBorder="1" applyAlignment="1">
      <alignment horizontal="right"/>
    </xf>
    <xf numFmtId="0" fontId="3" fillId="0" borderId="7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1" fillId="0" borderId="10" xfId="2" applyFont="1" applyBorder="1" applyAlignment="1">
      <alignment horizontal="right"/>
    </xf>
    <xf numFmtId="164" fontId="1" fillId="0" borderId="14" xfId="2" applyNumberFormat="1" applyFont="1" applyBorder="1" applyAlignment="1">
      <alignment horizontal="center"/>
    </xf>
    <xf numFmtId="164" fontId="1" fillId="0" borderId="6" xfId="2" applyNumberFormat="1" applyFont="1" applyBorder="1" applyAlignment="1">
      <alignment horizontal="center"/>
    </xf>
    <xf numFmtId="164" fontId="1" fillId="0" borderId="14" xfId="2" applyNumberFormat="1" applyFont="1" applyBorder="1" applyAlignment="1">
      <alignment horizontal="right" wrapText="1"/>
    </xf>
    <xf numFmtId="164" fontId="1" fillId="0" borderId="15" xfId="2" applyNumberFormat="1" applyFont="1" applyBorder="1" applyAlignment="1">
      <alignment horizontal="right" wrapText="1"/>
    </xf>
    <xf numFmtId="0" fontId="3" fillId="0" borderId="5" xfId="2" applyFont="1" applyBorder="1" applyAlignment="1">
      <alignment horizontal="right"/>
    </xf>
    <xf numFmtId="0" fontId="3" fillId="0" borderId="34" xfId="2" applyFont="1" applyBorder="1" applyAlignment="1">
      <alignment horizontal="right"/>
    </xf>
    <xf numFmtId="0" fontId="3" fillId="0" borderId="4" xfId="2" applyFont="1" applyBorder="1" applyAlignment="1">
      <alignment horizontal="right"/>
    </xf>
    <xf numFmtId="0" fontId="1" fillId="0" borderId="4" xfId="2" applyFont="1" applyBorder="1" applyAlignment="1">
      <alignment horizontal="right"/>
    </xf>
    <xf numFmtId="164" fontId="1" fillId="0" borderId="13" xfId="2" applyNumberFormat="1" applyFont="1" applyBorder="1" applyAlignment="1">
      <alignment horizontal="center"/>
    </xf>
    <xf numFmtId="164" fontId="1" fillId="0" borderId="12" xfId="2" applyNumberFormat="1" applyFont="1" applyBorder="1" applyAlignment="1">
      <alignment horizontal="center"/>
    </xf>
    <xf numFmtId="0" fontId="3" fillId="3" borderId="23" xfId="2" applyFont="1" applyFill="1" applyBorder="1" applyAlignment="1">
      <alignment horizontal="left"/>
    </xf>
    <xf numFmtId="0" fontId="3" fillId="3" borderId="22" xfId="2" applyFont="1" applyFill="1" applyBorder="1" applyAlignment="1">
      <alignment horizontal="left"/>
    </xf>
    <xf numFmtId="0" fontId="3" fillId="3" borderId="21" xfId="2" applyFont="1" applyFill="1" applyBorder="1" applyAlignment="1">
      <alignment horizontal="left"/>
    </xf>
    <xf numFmtId="0" fontId="3" fillId="0" borderId="20" xfId="2" applyFont="1" applyBorder="1" applyAlignment="1">
      <alignment horizontal="right"/>
    </xf>
    <xf numFmtId="0" fontId="3" fillId="0" borderId="41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164" fontId="1" fillId="0" borderId="18" xfId="2" applyNumberFormat="1" applyFont="1" applyBorder="1" applyAlignment="1">
      <alignment horizontal="right"/>
    </xf>
    <xf numFmtId="0" fontId="1" fillId="2" borderId="17" xfId="2" applyFont="1" applyFill="1" applyBorder="1" applyAlignment="1">
      <alignment horizontal="center"/>
    </xf>
    <xf numFmtId="0" fontId="1" fillId="2" borderId="16" xfId="2" applyFont="1" applyFill="1" applyBorder="1" applyAlignment="1">
      <alignment horizontal="center"/>
    </xf>
    <xf numFmtId="0" fontId="9" fillId="2" borderId="0" xfId="3" applyFont="1" applyFill="1" applyAlignment="1">
      <alignment horizontal="right"/>
    </xf>
    <xf numFmtId="0" fontId="8" fillId="2" borderId="42" xfId="3" applyFont="1" applyFill="1" applyBorder="1" applyAlignment="1">
      <alignment horizontal="center"/>
    </xf>
    <xf numFmtId="0" fontId="9" fillId="2" borderId="0" xfId="3" applyFont="1" applyFill="1"/>
    <xf numFmtId="0" fontId="3" fillId="3" borderId="32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/>
    </xf>
    <xf numFmtId="0" fontId="3" fillId="3" borderId="32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3" fillId="3" borderId="31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14" fontId="1" fillId="2" borderId="26" xfId="3" applyNumberFormat="1" applyFont="1" applyFill="1" applyBorder="1" applyAlignment="1">
      <alignment horizontal="center" vertical="center" wrapText="1"/>
    </xf>
    <xf numFmtId="14" fontId="1" fillId="2" borderId="36" xfId="3" applyNumberFormat="1" applyFont="1" applyFill="1" applyBorder="1" applyAlignment="1">
      <alignment horizontal="center" vertical="center" wrapText="1"/>
    </xf>
    <xf numFmtId="14" fontId="1" fillId="2" borderId="29" xfId="3" applyNumberFormat="1" applyFont="1" applyFill="1" applyBorder="1" applyAlignment="1">
      <alignment horizontal="center" vertical="center" wrapText="1"/>
    </xf>
    <xf numFmtId="0" fontId="1" fillId="2" borderId="40" xfId="3" applyFont="1" applyFill="1" applyBorder="1" applyAlignment="1">
      <alignment horizontal="left"/>
    </xf>
    <xf numFmtId="0" fontId="1" fillId="2" borderId="39" xfId="3" applyFont="1" applyFill="1" applyBorder="1" applyAlignment="1">
      <alignment horizontal="left"/>
    </xf>
    <xf numFmtId="0" fontId="1" fillId="2" borderId="38" xfId="3" applyFont="1" applyFill="1" applyBorder="1" applyAlignment="1">
      <alignment horizontal="left"/>
    </xf>
    <xf numFmtId="0" fontId="1" fillId="2" borderId="14" xfId="3" applyFont="1" applyFill="1" applyBorder="1" applyAlignment="1">
      <alignment horizontal="left"/>
    </xf>
    <xf numFmtId="0" fontId="1" fillId="2" borderId="7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1" fillId="2" borderId="2" xfId="3" applyFont="1" applyFill="1" applyBorder="1" applyAlignment="1">
      <alignment horizontal="center"/>
    </xf>
    <xf numFmtId="0" fontId="1" fillId="2" borderId="1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20" xfId="3" applyFont="1" applyFill="1" applyBorder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11" fillId="2" borderId="31" xfId="3" applyFont="1" applyFill="1" applyBorder="1" applyAlignment="1">
      <alignment horizontal="center"/>
    </xf>
    <xf numFmtId="0" fontId="11" fillId="2" borderId="13" xfId="3" applyFont="1" applyFill="1" applyBorder="1" applyAlignment="1">
      <alignment horizontal="center"/>
    </xf>
    <xf numFmtId="0" fontId="11" fillId="2" borderId="35" xfId="3" applyFont="1" applyFill="1" applyBorder="1" applyAlignment="1">
      <alignment horizontal="center"/>
    </xf>
    <xf numFmtId="0" fontId="11" fillId="2" borderId="34" xfId="3" applyFont="1" applyFill="1" applyBorder="1" applyAlignment="1">
      <alignment horizontal="center"/>
    </xf>
    <xf numFmtId="0" fontId="10" fillId="4" borderId="23" xfId="3" applyFont="1" applyFill="1" applyBorder="1" applyAlignment="1">
      <alignment horizontal="center" vertical="center" wrapText="1"/>
    </xf>
    <xf numFmtId="0" fontId="10" fillId="4" borderId="22" xfId="3" applyFont="1" applyFill="1" applyBorder="1" applyAlignment="1">
      <alignment horizontal="center" vertical="center" wrapText="1"/>
    </xf>
    <xf numFmtId="0" fontId="10" fillId="4" borderId="21" xfId="3" applyFont="1" applyFill="1" applyBorder="1" applyAlignment="1">
      <alignment horizontal="center" vertical="center" wrapText="1"/>
    </xf>
    <xf numFmtId="0" fontId="3" fillId="2" borderId="28" xfId="3" applyFont="1" applyFill="1" applyBorder="1" applyAlignment="1">
      <alignment horizontal="right" vertical="top" wrapText="1"/>
    </xf>
    <xf numFmtId="0" fontId="3" fillId="2" borderId="37" xfId="3" applyFont="1" applyFill="1" applyBorder="1" applyAlignment="1">
      <alignment horizontal="right" vertical="top" wrapText="1"/>
    </xf>
    <xf numFmtId="0" fontId="3" fillId="2" borderId="33" xfId="3" applyFont="1" applyFill="1" applyBorder="1" applyAlignment="1">
      <alignment horizontal="right" vertical="top" wrapText="1"/>
    </xf>
  </cellXfs>
  <cellStyles count="48">
    <cellStyle name="20% - Énfasis1" xfId="25" builtinId="30" customBuiltin="1"/>
    <cellStyle name="20% - Énfasis2" xfId="29" builtinId="34" customBuiltin="1"/>
    <cellStyle name="20% - Énfasis3" xfId="33" builtinId="38" customBuiltin="1"/>
    <cellStyle name="20% - Énfasis4" xfId="37" builtinId="42" customBuiltin="1"/>
    <cellStyle name="20% - Énfasis5" xfId="41" builtinId="46" customBuiltin="1"/>
    <cellStyle name="20% - Énfasis6" xfId="45" builtinId="50" customBuiltin="1"/>
    <cellStyle name="40% - Énfasis1" xfId="26" builtinId="31" customBuiltin="1"/>
    <cellStyle name="40% - Énfasis2" xfId="30" builtinId="35" customBuiltin="1"/>
    <cellStyle name="40% - Énfasis3" xfId="34" builtinId="39" customBuiltin="1"/>
    <cellStyle name="40% - Énfasis4" xfId="38" builtinId="43" customBuiltin="1"/>
    <cellStyle name="40% - Énfasis5" xfId="42" builtinId="47" customBuiltin="1"/>
    <cellStyle name="40% - Énfasis6" xfId="46" builtinId="51" customBuiltin="1"/>
    <cellStyle name="60% - Énfasis1" xfId="27" builtinId="32" customBuiltin="1"/>
    <cellStyle name="60% - Énfasis2" xfId="31" builtinId="36" customBuiltin="1"/>
    <cellStyle name="60% - Énfasis3" xfId="35" builtinId="40" customBuiltin="1"/>
    <cellStyle name="60% - Énfasis4" xfId="39" builtinId="44" customBuiltin="1"/>
    <cellStyle name="60% - Énfasis5" xfId="43" builtinId="48" customBuiltin="1"/>
    <cellStyle name="60% - Énfasis6" xfId="47" builtinId="52" customBuiltin="1"/>
    <cellStyle name="Bueno" xfId="12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8" builtinId="16" customBuiltin="1"/>
    <cellStyle name="Encabezado 4" xfId="11" builtinId="19" customBuiltin="1"/>
    <cellStyle name="Énfasis1" xfId="24" builtinId="29" customBuiltin="1"/>
    <cellStyle name="Énfasis2" xfId="28" builtinId="33" customBuiltin="1"/>
    <cellStyle name="Énfasis3" xfId="32" builtinId="37" customBuiltin="1"/>
    <cellStyle name="Énfasis4" xfId="36" builtinId="41" customBuiltin="1"/>
    <cellStyle name="Énfasis5" xfId="40" builtinId="45" customBuiltin="1"/>
    <cellStyle name="Énfasis6" xfId="44" builtinId="49" customBuiltin="1"/>
    <cellStyle name="Entrada" xfId="15" builtinId="20" customBuiltin="1"/>
    <cellStyle name="Incorrecto" xfId="13" builtinId="27" customBuiltin="1"/>
    <cellStyle name="Millares" xfId="4" builtinId="3"/>
    <cellStyle name="Neutral" xfId="14" builtinId="28" customBuiltin="1"/>
    <cellStyle name="Normal" xfId="0" builtinId="0"/>
    <cellStyle name="Normal 2" xfId="2" xr:uid="{2F13C8EE-EFFC-4D3A-9890-A0AB132184C2}"/>
    <cellStyle name="Normal 3 2" xfId="5" xr:uid="{76E233B4-57B7-47FF-8E0C-9A04B247AD9F}"/>
    <cellStyle name="Normal_CRITERIOS DE EVALUACION PT DE GB 2" xfId="3" xr:uid="{BA70A7C1-D3A3-46AB-BE18-FE4E1C26BD85}"/>
    <cellStyle name="Notas" xfId="21" builtinId="10" customBuiltin="1"/>
    <cellStyle name="Porcentaje 2" xfId="1" xr:uid="{5798B258-899C-41CC-85C3-381128650E1D}"/>
    <cellStyle name="Porcentaje 2 2" xfId="6" xr:uid="{AA6ACD3D-A9C4-4B90-9B65-57A387D76814}"/>
    <cellStyle name="Salida" xfId="16" builtinId="21" customBuiltin="1"/>
    <cellStyle name="Texto de advertencia" xfId="20" builtinId="11" customBuiltin="1"/>
    <cellStyle name="Texto explicativo" xfId="22" builtinId="53" customBuiltin="1"/>
    <cellStyle name="Título" xfId="7" builtinId="15" customBuiltin="1"/>
    <cellStyle name="Título 2" xfId="9" builtinId="17" customBuiltin="1"/>
    <cellStyle name="Título 3" xfId="10" builtinId="18" customBuiltin="1"/>
    <cellStyle name="Total" xfId="23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85725</xdr:rowOff>
    </xdr:from>
    <xdr:to>
      <xdr:col>1</xdr:col>
      <xdr:colOff>518159</xdr:colOff>
      <xdr:row>3</xdr:row>
      <xdr:rowOff>209550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E30AAD7-3F13-4194-B59E-75B9CD47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85750"/>
          <a:ext cx="122300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5EE8-D7C3-404B-AA8E-43E60B2A4D0D}">
  <dimension ref="A1:M44"/>
  <sheetViews>
    <sheetView tabSelected="1" zoomScaleNormal="100" zoomScaleSheetLayoutView="100" workbookViewId="0">
      <selection activeCell="C1" sqref="C1:G1"/>
    </sheetView>
  </sheetViews>
  <sheetFormatPr baseColWidth="10" defaultRowHeight="15" x14ac:dyDescent="0.25"/>
  <cols>
    <col min="3" max="3" width="49" customWidth="1"/>
    <col min="4" max="4" width="34.28515625" bestFit="1" customWidth="1"/>
    <col min="7" max="7" width="9.85546875" bestFit="1" customWidth="1"/>
    <col min="8" max="8" width="27" customWidth="1"/>
    <col min="9" max="9" width="18" bestFit="1" customWidth="1"/>
  </cols>
  <sheetData>
    <row r="1" spans="1:13" ht="15.75" x14ac:dyDescent="0.25">
      <c r="A1" s="161"/>
      <c r="B1" s="162"/>
      <c r="C1" s="167" t="s">
        <v>34</v>
      </c>
      <c r="D1" s="167"/>
      <c r="E1" s="167"/>
      <c r="F1" s="167"/>
      <c r="G1" s="167"/>
      <c r="H1" s="19" t="s">
        <v>33</v>
      </c>
      <c r="I1" s="18" t="s">
        <v>58</v>
      </c>
      <c r="J1" s="1"/>
      <c r="K1" s="1"/>
      <c r="L1" s="1"/>
      <c r="M1" s="1"/>
    </row>
    <row r="2" spans="1:13" ht="18" customHeight="1" thickBot="1" x14ac:dyDescent="0.3">
      <c r="A2" s="163"/>
      <c r="B2" s="164"/>
      <c r="C2" s="168" t="s">
        <v>32</v>
      </c>
      <c r="D2" s="169"/>
      <c r="E2" s="169"/>
      <c r="F2" s="169"/>
      <c r="G2" s="170"/>
      <c r="H2" s="17" t="s">
        <v>31</v>
      </c>
      <c r="I2" s="16" t="s">
        <v>130</v>
      </c>
    </row>
    <row r="3" spans="1:13" ht="15.95" customHeight="1" thickBot="1" x14ac:dyDescent="0.3">
      <c r="A3" s="163"/>
      <c r="B3" s="164"/>
      <c r="C3" s="171" t="s">
        <v>128</v>
      </c>
      <c r="D3" s="172"/>
      <c r="E3" s="172"/>
      <c r="F3" s="172"/>
      <c r="G3" s="173"/>
      <c r="H3" s="174" t="s">
        <v>30</v>
      </c>
      <c r="I3" s="152">
        <v>45611</v>
      </c>
    </row>
    <row r="4" spans="1:13" ht="18" customHeight="1" x14ac:dyDescent="0.25">
      <c r="A4" s="163"/>
      <c r="B4" s="164"/>
      <c r="C4" s="15" t="s">
        <v>29</v>
      </c>
      <c r="D4" s="155" t="s">
        <v>41</v>
      </c>
      <c r="E4" s="156"/>
      <c r="F4" s="156"/>
      <c r="G4" s="157"/>
      <c r="H4" s="175"/>
      <c r="I4" s="153"/>
    </row>
    <row r="5" spans="1:13" ht="15.75" thickBot="1" x14ac:dyDescent="0.3">
      <c r="A5" s="165"/>
      <c r="B5" s="166"/>
      <c r="C5" s="23" t="s">
        <v>28</v>
      </c>
      <c r="D5" s="158" t="s">
        <v>27</v>
      </c>
      <c r="E5" s="159"/>
      <c r="F5" s="159"/>
      <c r="G5" s="160"/>
      <c r="H5" s="176"/>
      <c r="I5" s="154"/>
    </row>
    <row r="6" spans="1:13" ht="18.75" thickBot="1" x14ac:dyDescent="0.3">
      <c r="A6" s="143" t="s">
        <v>26</v>
      </c>
      <c r="B6" s="143"/>
      <c r="C6" s="143"/>
      <c r="D6" s="144" t="s">
        <v>42</v>
      </c>
      <c r="E6" s="144"/>
      <c r="F6" s="144"/>
      <c r="G6" s="145" t="s">
        <v>25</v>
      </c>
      <c r="H6" s="145"/>
      <c r="I6" s="24" t="s">
        <v>42</v>
      </c>
    </row>
    <row r="7" spans="1:13" ht="25.5" x14ac:dyDescent="0.25">
      <c r="A7" s="146" t="s">
        <v>24</v>
      </c>
      <c r="B7" s="148" t="s">
        <v>43</v>
      </c>
      <c r="C7" s="150" t="s">
        <v>23</v>
      </c>
      <c r="D7" s="150" t="s">
        <v>22</v>
      </c>
      <c r="E7" s="150" t="s">
        <v>21</v>
      </c>
      <c r="F7" s="150"/>
      <c r="G7" s="150" t="s">
        <v>20</v>
      </c>
      <c r="H7" s="150"/>
      <c r="I7" s="25" t="s">
        <v>19</v>
      </c>
    </row>
    <row r="8" spans="1:13" ht="27" thickBot="1" x14ac:dyDescent="0.3">
      <c r="A8" s="147"/>
      <c r="B8" s="149"/>
      <c r="C8" s="151"/>
      <c r="D8" s="151"/>
      <c r="E8" s="26" t="s">
        <v>12</v>
      </c>
      <c r="F8" s="27" t="s">
        <v>18</v>
      </c>
      <c r="G8" s="26" t="s">
        <v>12</v>
      </c>
      <c r="H8" s="27" t="s">
        <v>18</v>
      </c>
      <c r="I8" s="28" t="s">
        <v>17</v>
      </c>
    </row>
    <row r="9" spans="1:13" x14ac:dyDescent="0.25">
      <c r="A9" s="29"/>
      <c r="B9" s="30"/>
      <c r="C9" s="31" t="s">
        <v>44</v>
      </c>
      <c r="D9" s="32"/>
      <c r="E9" s="33"/>
      <c r="F9" s="34"/>
      <c r="G9" s="33"/>
      <c r="H9" s="34"/>
      <c r="I9" s="35"/>
    </row>
    <row r="10" spans="1:13" ht="18" customHeight="1" x14ac:dyDescent="0.25">
      <c r="A10" s="14" t="s">
        <v>38</v>
      </c>
      <c r="B10" s="20" t="s">
        <v>39</v>
      </c>
      <c r="C10" s="13" t="s">
        <v>45</v>
      </c>
      <c r="D10" s="12" t="s">
        <v>46</v>
      </c>
      <c r="E10" s="5">
        <v>5</v>
      </c>
      <c r="F10" s="7" t="s">
        <v>13</v>
      </c>
      <c r="G10" s="5"/>
      <c r="H10" s="7"/>
      <c r="I10" s="35"/>
    </row>
    <row r="11" spans="1:13" x14ac:dyDescent="0.25">
      <c r="A11" s="36"/>
      <c r="B11" s="36"/>
      <c r="C11" s="37"/>
      <c r="D11" s="36"/>
      <c r="E11" s="38"/>
      <c r="F11" s="38"/>
      <c r="G11" s="39"/>
      <c r="H11" s="40"/>
      <c r="I11" s="35"/>
    </row>
    <row r="12" spans="1:13" x14ac:dyDescent="0.25">
      <c r="A12" s="41"/>
      <c r="B12" s="41"/>
      <c r="C12" s="42"/>
      <c r="D12" s="43"/>
      <c r="E12" s="43"/>
      <c r="F12" s="44"/>
      <c r="G12" s="33"/>
      <c r="H12" s="34"/>
      <c r="I12" s="35"/>
    </row>
    <row r="13" spans="1:13" ht="15.75" x14ac:dyDescent="0.25">
      <c r="A13" s="11"/>
      <c r="B13" s="21"/>
      <c r="C13" s="45" t="s">
        <v>47</v>
      </c>
      <c r="D13" s="46"/>
      <c r="E13" s="47"/>
      <c r="F13" s="44"/>
      <c r="G13" s="33"/>
      <c r="H13" s="34"/>
      <c r="I13" s="35"/>
    </row>
    <row r="14" spans="1:13" x14ac:dyDescent="0.25">
      <c r="A14" s="41"/>
      <c r="B14" s="41"/>
      <c r="C14" s="42"/>
      <c r="D14" s="48"/>
      <c r="E14" s="49"/>
      <c r="F14" s="50"/>
      <c r="G14" s="33"/>
      <c r="H14" s="34"/>
      <c r="I14" s="35"/>
    </row>
    <row r="15" spans="1:13" ht="15.75" x14ac:dyDescent="0.25">
      <c r="A15" s="51"/>
      <c r="B15" s="52"/>
      <c r="C15" s="53" t="s">
        <v>48</v>
      </c>
      <c r="D15" s="54"/>
      <c r="E15" s="55"/>
      <c r="F15" s="34"/>
      <c r="G15" s="33"/>
      <c r="I15" s="35"/>
    </row>
    <row r="16" spans="1:13" x14ac:dyDescent="0.25">
      <c r="A16" s="9" t="s">
        <v>16</v>
      </c>
      <c r="B16" s="9" t="s">
        <v>36</v>
      </c>
      <c r="C16" s="8" t="s">
        <v>15</v>
      </c>
      <c r="D16" s="56" t="s">
        <v>49</v>
      </c>
      <c r="E16" s="5">
        <v>2</v>
      </c>
      <c r="F16" s="7" t="s">
        <v>13</v>
      </c>
      <c r="G16" s="57"/>
      <c r="H16" s="34"/>
      <c r="I16" s="35"/>
    </row>
    <row r="17" spans="1:13" x14ac:dyDescent="0.25">
      <c r="A17" s="58">
        <v>702069</v>
      </c>
      <c r="B17" s="59" t="s">
        <v>40</v>
      </c>
      <c r="C17" s="60" t="s">
        <v>50</v>
      </c>
      <c r="D17" s="56" t="s">
        <v>51</v>
      </c>
      <c r="E17" s="5">
        <v>1</v>
      </c>
      <c r="F17" s="7" t="s">
        <v>13</v>
      </c>
      <c r="G17" s="57"/>
      <c r="H17" s="34"/>
      <c r="I17" s="35"/>
    </row>
    <row r="18" spans="1:13" x14ac:dyDescent="0.25">
      <c r="A18" s="9"/>
      <c r="B18" t="s">
        <v>59</v>
      </c>
      <c r="C18" t="s">
        <v>60</v>
      </c>
      <c r="D18" s="61" t="s">
        <v>52</v>
      </c>
      <c r="E18" s="62">
        <v>1</v>
      </c>
      <c r="F18" s="7" t="s">
        <v>13</v>
      </c>
      <c r="G18" s="57"/>
      <c r="H18" s="34"/>
      <c r="I18" s="35"/>
    </row>
    <row r="19" spans="1:13" x14ac:dyDescent="0.25">
      <c r="A19" s="9" t="s">
        <v>14</v>
      </c>
      <c r="B19" s="22" t="s">
        <v>37</v>
      </c>
      <c r="C19" s="8" t="s">
        <v>53</v>
      </c>
      <c r="D19" s="61" t="s">
        <v>54</v>
      </c>
      <c r="E19" s="62">
        <v>1</v>
      </c>
      <c r="F19" s="7" t="s">
        <v>13</v>
      </c>
      <c r="G19" s="33"/>
      <c r="H19" s="34"/>
      <c r="I19" s="35"/>
    </row>
    <row r="20" spans="1:13" x14ac:dyDescent="0.25">
      <c r="A20" s="63"/>
      <c r="B20" s="64"/>
      <c r="C20" s="65"/>
      <c r="D20" s="66"/>
      <c r="E20" s="67"/>
      <c r="F20" s="68"/>
      <c r="G20" s="33"/>
      <c r="H20" s="34"/>
      <c r="I20" s="35"/>
    </row>
    <row r="21" spans="1:13" x14ac:dyDescent="0.25">
      <c r="A21" s="69"/>
      <c r="B21" s="70"/>
      <c r="C21" s="71"/>
      <c r="D21" s="61"/>
      <c r="E21" s="43"/>
      <c r="F21" s="44"/>
      <c r="G21" s="72"/>
      <c r="H21" s="46"/>
      <c r="I21" s="35"/>
    </row>
    <row r="22" spans="1:13" x14ac:dyDescent="0.25">
      <c r="A22" s="11"/>
      <c r="B22" s="21"/>
      <c r="C22" s="10"/>
      <c r="D22" s="61"/>
      <c r="E22" s="43"/>
      <c r="F22" s="44"/>
      <c r="G22" s="43"/>
      <c r="H22" s="46"/>
      <c r="I22" s="35"/>
    </row>
    <row r="23" spans="1:13" ht="15.75" x14ac:dyDescent="0.25">
      <c r="A23" s="11"/>
      <c r="B23" s="21"/>
      <c r="C23" s="10"/>
      <c r="D23" s="61"/>
      <c r="E23" s="43"/>
      <c r="F23" s="44"/>
      <c r="G23" s="73"/>
      <c r="H23" s="44"/>
      <c r="I23" s="35"/>
    </row>
    <row r="24" spans="1:13" ht="15.75" x14ac:dyDescent="0.25">
      <c r="A24" s="11"/>
      <c r="B24" s="21"/>
      <c r="C24" s="10"/>
      <c r="D24" s="46"/>
      <c r="E24" s="46"/>
      <c r="F24" s="44"/>
      <c r="G24" s="74"/>
      <c r="H24" s="74"/>
      <c r="I24" s="35"/>
    </row>
    <row r="25" spans="1:13" ht="15.75" thickBot="1" x14ac:dyDescent="0.3">
      <c r="A25" s="75"/>
      <c r="B25" s="76"/>
      <c r="C25" s="77"/>
      <c r="D25" s="77"/>
      <c r="E25" s="78"/>
      <c r="F25" s="79"/>
      <c r="G25" s="77"/>
      <c r="H25" s="77"/>
      <c r="I25" s="80"/>
      <c r="J25" s="81"/>
      <c r="K25" s="81"/>
      <c r="L25" s="82"/>
      <c r="M25" s="81"/>
    </row>
    <row r="26" spans="1:13" ht="15.75" thickBot="1" x14ac:dyDescent="0.3">
      <c r="A26" s="83"/>
      <c r="B26" s="84"/>
      <c r="C26" s="85"/>
      <c r="D26" s="86" t="s">
        <v>12</v>
      </c>
      <c r="E26" s="87" t="s">
        <v>11</v>
      </c>
      <c r="F26" s="88"/>
      <c r="G26" s="85"/>
      <c r="H26" s="85"/>
      <c r="I26" s="89"/>
      <c r="J26" s="81"/>
      <c r="K26" s="81"/>
      <c r="L26" s="82"/>
      <c r="M26" s="81"/>
    </row>
    <row r="27" spans="1:13" x14ac:dyDescent="0.25">
      <c r="A27" s="137" t="s">
        <v>10</v>
      </c>
      <c r="B27" s="138"/>
      <c r="C27" s="139"/>
      <c r="D27" s="5">
        <v>425</v>
      </c>
      <c r="E27" s="4" t="s">
        <v>2</v>
      </c>
      <c r="F27" s="140" t="s">
        <v>55</v>
      </c>
      <c r="G27" s="140"/>
      <c r="H27" s="141"/>
      <c r="I27" s="142"/>
      <c r="J27" s="81"/>
      <c r="K27" s="81"/>
      <c r="L27" s="82"/>
      <c r="M27" s="81"/>
    </row>
    <row r="28" spans="1:13" x14ac:dyDescent="0.25">
      <c r="A28" s="120" t="s">
        <v>9</v>
      </c>
      <c r="B28" s="121"/>
      <c r="C28" s="122"/>
      <c r="D28" s="90">
        <v>2</v>
      </c>
      <c r="E28" s="3" t="s">
        <v>35</v>
      </c>
      <c r="F28" s="123" t="s">
        <v>8</v>
      </c>
      <c r="G28" s="123"/>
      <c r="H28" s="124"/>
      <c r="I28" s="125"/>
      <c r="J28" s="81"/>
      <c r="K28" s="81"/>
      <c r="L28" s="82"/>
      <c r="M28" s="81"/>
    </row>
    <row r="29" spans="1:13" x14ac:dyDescent="0.25">
      <c r="A29" s="120" t="s">
        <v>7</v>
      </c>
      <c r="B29" s="121"/>
      <c r="C29" s="122"/>
      <c r="D29" s="3">
        <v>5</v>
      </c>
      <c r="E29" s="3" t="s">
        <v>6</v>
      </c>
      <c r="F29" s="123" t="s">
        <v>56</v>
      </c>
      <c r="G29" s="123"/>
      <c r="H29" s="124"/>
      <c r="I29" s="125"/>
      <c r="J29" s="81"/>
      <c r="K29" s="81"/>
      <c r="L29" s="82"/>
      <c r="M29" s="81"/>
    </row>
    <row r="30" spans="1:13" x14ac:dyDescent="0.25">
      <c r="A30" s="120" t="s">
        <v>5</v>
      </c>
      <c r="B30" s="121"/>
      <c r="C30" s="122"/>
      <c r="D30" s="6">
        <v>85</v>
      </c>
      <c r="E30" s="3" t="s">
        <v>2</v>
      </c>
      <c r="F30" s="126" t="s">
        <v>4</v>
      </c>
      <c r="G30" s="127"/>
      <c r="H30" s="124"/>
      <c r="I30" s="125"/>
      <c r="J30" s="81"/>
      <c r="K30" s="81"/>
      <c r="L30" s="82"/>
      <c r="M30" s="91"/>
    </row>
    <row r="31" spans="1:13" ht="15.75" thickBot="1" x14ac:dyDescent="0.3">
      <c r="A31" s="128" t="s">
        <v>3</v>
      </c>
      <c r="B31" s="129"/>
      <c r="C31" s="130"/>
      <c r="D31" s="92">
        <v>0</v>
      </c>
      <c r="E31" s="2" t="s">
        <v>2</v>
      </c>
      <c r="F31" s="131"/>
      <c r="G31" s="131"/>
      <c r="H31" s="132"/>
      <c r="I31" s="133"/>
      <c r="J31" s="77"/>
      <c r="K31" s="77"/>
      <c r="L31" s="82"/>
      <c r="M31" s="77"/>
    </row>
    <row r="32" spans="1:13" ht="15.75" thickBot="1" x14ac:dyDescent="0.3">
      <c r="A32" s="134" t="s">
        <v>1</v>
      </c>
      <c r="B32" s="135"/>
      <c r="C32" s="135"/>
      <c r="D32" s="135"/>
      <c r="E32" s="135"/>
      <c r="F32" s="135"/>
      <c r="G32" s="135"/>
      <c r="H32" s="135"/>
      <c r="I32" s="136"/>
      <c r="J32" s="81"/>
      <c r="K32" s="81"/>
      <c r="L32" s="81"/>
      <c r="M32" s="81"/>
    </row>
    <row r="33" spans="1:13" ht="18.600000000000001" customHeight="1" x14ac:dyDescent="0.25">
      <c r="A33" s="116" t="s">
        <v>61</v>
      </c>
      <c r="B33" s="117"/>
      <c r="C33" s="118"/>
      <c r="D33" s="118"/>
      <c r="E33" s="118"/>
      <c r="F33" s="118"/>
      <c r="G33" s="118"/>
      <c r="H33" s="118"/>
      <c r="I33" s="119"/>
      <c r="J33" s="81"/>
      <c r="K33" s="81"/>
      <c r="L33" s="81"/>
      <c r="M33" s="81"/>
    </row>
    <row r="34" spans="1:13" ht="14.45" customHeight="1" x14ac:dyDescent="0.25">
      <c r="A34" s="116" t="s">
        <v>62</v>
      </c>
      <c r="B34" s="117"/>
      <c r="C34" s="118"/>
      <c r="D34" s="118"/>
      <c r="E34" s="118"/>
      <c r="F34" s="118"/>
      <c r="G34" s="118"/>
      <c r="H34" s="118"/>
      <c r="I34" s="119"/>
      <c r="J34" s="81"/>
      <c r="K34" s="81"/>
      <c r="L34" s="81"/>
      <c r="M34" s="81"/>
    </row>
    <row r="35" spans="1:13" ht="14.45" customHeight="1" x14ac:dyDescent="0.25">
      <c r="A35" s="101" t="s">
        <v>0</v>
      </c>
      <c r="B35" s="102"/>
      <c r="C35" s="102"/>
      <c r="D35" s="102"/>
      <c r="E35" s="102"/>
      <c r="F35" s="102"/>
      <c r="G35" s="102"/>
      <c r="H35" s="102"/>
      <c r="I35" s="103"/>
      <c r="J35" s="81"/>
      <c r="K35" s="81"/>
      <c r="L35" s="81"/>
      <c r="M35" s="81"/>
    </row>
    <row r="36" spans="1:13" ht="14.45" customHeight="1" x14ac:dyDescent="0.3">
      <c r="A36" s="104"/>
      <c r="B36" s="105"/>
      <c r="C36" s="105"/>
      <c r="D36" s="105"/>
      <c r="E36" s="105"/>
      <c r="F36" s="105"/>
      <c r="G36" s="105"/>
      <c r="H36" s="105"/>
      <c r="I36" s="106"/>
      <c r="J36" s="81"/>
      <c r="K36" s="81"/>
      <c r="L36" s="81"/>
      <c r="M36" s="81"/>
    </row>
    <row r="37" spans="1:13" ht="14.45" customHeight="1" x14ac:dyDescent="0.25">
      <c r="A37" s="107"/>
      <c r="B37" s="108"/>
      <c r="C37" s="108"/>
      <c r="D37" s="108"/>
      <c r="E37" s="108"/>
      <c r="F37" s="108"/>
      <c r="G37" s="108"/>
      <c r="H37" s="108"/>
      <c r="I37" s="109"/>
      <c r="J37" s="81"/>
      <c r="K37" s="81"/>
      <c r="L37" s="81"/>
      <c r="M37" s="81"/>
    </row>
    <row r="38" spans="1:13" x14ac:dyDescent="0.25">
      <c r="A38" s="107"/>
      <c r="B38" s="108"/>
      <c r="C38" s="108"/>
      <c r="D38" s="108"/>
      <c r="E38" s="108"/>
      <c r="F38" s="108"/>
      <c r="G38" s="108"/>
      <c r="H38" s="108"/>
      <c r="I38" s="109"/>
      <c r="J38" s="81"/>
      <c r="K38" s="81"/>
      <c r="L38" s="81"/>
      <c r="M38" s="81"/>
    </row>
    <row r="39" spans="1:13" ht="18" customHeight="1" x14ac:dyDescent="0.25">
      <c r="A39" s="110"/>
      <c r="B39" s="111"/>
      <c r="C39" s="111"/>
      <c r="D39" s="111"/>
      <c r="E39" s="111"/>
      <c r="F39" s="111"/>
      <c r="G39" s="111"/>
      <c r="H39" s="111"/>
      <c r="I39" s="112"/>
      <c r="J39" s="81"/>
      <c r="K39" s="81"/>
      <c r="L39" s="81"/>
      <c r="M39" s="81"/>
    </row>
    <row r="40" spans="1:13" x14ac:dyDescent="0.25">
      <c r="A40" s="113"/>
      <c r="B40" s="114"/>
      <c r="C40" s="114"/>
      <c r="D40" s="114"/>
      <c r="E40" s="114"/>
      <c r="F40" s="114"/>
      <c r="G40" s="114"/>
      <c r="H40" s="114"/>
      <c r="I40" s="115"/>
      <c r="J40" s="81"/>
      <c r="K40" s="81"/>
      <c r="L40" s="81"/>
      <c r="M40" s="81"/>
    </row>
    <row r="41" spans="1:13" ht="15.75" thickBot="1" x14ac:dyDescent="0.3">
      <c r="A41" s="94"/>
      <c r="B41" s="95"/>
      <c r="C41" s="95"/>
      <c r="D41" s="95"/>
      <c r="E41" s="95"/>
      <c r="F41" s="95"/>
      <c r="G41" s="95"/>
      <c r="H41" s="95"/>
      <c r="I41" s="96"/>
      <c r="J41" s="81"/>
      <c r="K41" s="81"/>
      <c r="L41" s="81"/>
      <c r="M41" s="81"/>
    </row>
    <row r="42" spans="1:13" x14ac:dyDescent="0.25">
      <c r="A42" s="97" t="s">
        <v>57</v>
      </c>
      <c r="B42" s="98"/>
      <c r="C42" s="98"/>
      <c r="D42" s="98"/>
      <c r="E42" s="98"/>
      <c r="F42" s="98"/>
      <c r="G42" s="98"/>
      <c r="H42" s="98"/>
      <c r="I42" s="98"/>
      <c r="J42" s="81"/>
      <c r="K42" s="81"/>
      <c r="L42" s="81"/>
      <c r="M42" s="81"/>
    </row>
    <row r="43" spans="1:13" x14ac:dyDescent="0.25">
      <c r="A43" s="99" t="s">
        <v>129</v>
      </c>
      <c r="B43" s="100"/>
      <c r="C43" s="100"/>
      <c r="D43" s="100"/>
      <c r="E43" s="100"/>
      <c r="F43" s="100"/>
      <c r="G43" s="100"/>
      <c r="H43" s="100"/>
      <c r="I43" s="100"/>
      <c r="J43" s="81"/>
      <c r="K43" s="81"/>
      <c r="L43" s="81"/>
      <c r="M43" s="81"/>
    </row>
    <row r="44" spans="1:13" x14ac:dyDescent="0.25">
      <c r="A44" s="99"/>
      <c r="B44" s="100"/>
      <c r="C44" s="100"/>
      <c r="D44" s="100"/>
      <c r="E44" s="100"/>
      <c r="F44" s="100"/>
      <c r="G44" s="100"/>
      <c r="H44" s="100"/>
      <c r="I44" s="10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7:C27"/>
    <mergeCell ref="F27:G27"/>
    <mergeCell ref="H27:I27"/>
    <mergeCell ref="A28:C28"/>
    <mergeCell ref="F28:G28"/>
    <mergeCell ref="H28:I28"/>
    <mergeCell ref="A34:I34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I32"/>
    <mergeCell ref="A33:I33"/>
    <mergeCell ref="A41:I41"/>
    <mergeCell ref="A42:I42"/>
    <mergeCell ref="A43:I43"/>
    <mergeCell ref="A44:I44"/>
    <mergeCell ref="A35:I35"/>
    <mergeCell ref="A36:I36"/>
    <mergeCell ref="A37:I37"/>
    <mergeCell ref="A38:I38"/>
    <mergeCell ref="A39:I39"/>
    <mergeCell ref="A40:I40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2ACA-7DD9-489A-95E4-504CCCDD9162}">
  <dimension ref="A2:L32"/>
  <sheetViews>
    <sheetView topLeftCell="A10" workbookViewId="0">
      <selection activeCell="C26" sqref="C26"/>
    </sheetView>
  </sheetViews>
  <sheetFormatPr baseColWidth="10" defaultRowHeight="15" x14ac:dyDescent="0.25"/>
  <cols>
    <col min="3" max="3" width="16.140625" customWidth="1"/>
  </cols>
  <sheetData>
    <row r="2" spans="1:2" x14ac:dyDescent="0.25">
      <c r="A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  <row r="7" spans="1:2" x14ac:dyDescent="0.25">
      <c r="A7" t="s">
        <v>72</v>
      </c>
      <c r="B7" t="s">
        <v>73</v>
      </c>
    </row>
    <row r="8" spans="1:2" x14ac:dyDescent="0.25">
      <c r="A8" t="s">
        <v>74</v>
      </c>
      <c r="B8" t="s">
        <v>75</v>
      </c>
    </row>
    <row r="9" spans="1:2" x14ac:dyDescent="0.25">
      <c r="A9" t="s">
        <v>76</v>
      </c>
      <c r="B9" t="s">
        <v>77</v>
      </c>
    </row>
    <row r="10" spans="1:2" x14ac:dyDescent="0.25">
      <c r="A10" t="s">
        <v>78</v>
      </c>
      <c r="B10" t="s">
        <v>79</v>
      </c>
    </row>
    <row r="11" spans="1:2" x14ac:dyDescent="0.25">
      <c r="A11" t="s">
        <v>80</v>
      </c>
      <c r="B11" t="s">
        <v>81</v>
      </c>
    </row>
    <row r="12" spans="1:2" x14ac:dyDescent="0.25">
      <c r="A12" t="s">
        <v>82</v>
      </c>
      <c r="B12" t="s">
        <v>83</v>
      </c>
    </row>
    <row r="13" spans="1:2" x14ac:dyDescent="0.25">
      <c r="A13" t="s">
        <v>84</v>
      </c>
      <c r="B13" t="s">
        <v>85</v>
      </c>
    </row>
    <row r="14" spans="1:2" x14ac:dyDescent="0.25">
      <c r="A14" t="s">
        <v>86</v>
      </c>
      <c r="B14" t="s">
        <v>87</v>
      </c>
    </row>
    <row r="17" spans="1:12" x14ac:dyDescent="0.25">
      <c r="A17" t="s">
        <v>88</v>
      </c>
      <c r="B17" t="s">
        <v>89</v>
      </c>
    </row>
    <row r="18" spans="1:12" x14ac:dyDescent="0.25">
      <c r="A18" t="s">
        <v>90</v>
      </c>
      <c r="B18" t="s">
        <v>91</v>
      </c>
    </row>
    <row r="20" spans="1:12" x14ac:dyDescent="0.2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101</v>
      </c>
      <c r="K20" t="s">
        <v>102</v>
      </c>
    </row>
    <row r="21" spans="1:12" x14ac:dyDescent="0.25">
      <c r="A21" t="s">
        <v>103</v>
      </c>
      <c r="B21" t="s">
        <v>83</v>
      </c>
      <c r="C21" t="s">
        <v>104</v>
      </c>
      <c r="D21" t="s">
        <v>105</v>
      </c>
      <c r="E21" t="s">
        <v>106</v>
      </c>
      <c r="F21" t="s">
        <v>105</v>
      </c>
      <c r="G21" t="s">
        <v>105</v>
      </c>
      <c r="H21" t="s">
        <v>105</v>
      </c>
      <c r="I21" t="s">
        <v>107</v>
      </c>
      <c r="J21" t="s">
        <v>101</v>
      </c>
      <c r="K21" t="s">
        <v>108</v>
      </c>
      <c r="L21">
        <v>448.91</v>
      </c>
    </row>
    <row r="22" spans="1:12" x14ac:dyDescent="0.25">
      <c r="A22" t="s">
        <v>109</v>
      </c>
      <c r="B22" t="s">
        <v>83</v>
      </c>
      <c r="C22" t="s">
        <v>110</v>
      </c>
      <c r="D22" t="s">
        <v>105</v>
      </c>
      <c r="E22" t="s">
        <v>106</v>
      </c>
      <c r="F22" t="s">
        <v>105</v>
      </c>
      <c r="G22" t="s">
        <v>105</v>
      </c>
      <c r="H22" t="s">
        <v>105</v>
      </c>
      <c r="I22" t="s">
        <v>111</v>
      </c>
      <c r="J22" t="s">
        <v>101</v>
      </c>
      <c r="K22" t="s">
        <v>112</v>
      </c>
      <c r="L22">
        <v>373.12</v>
      </c>
    </row>
    <row r="23" spans="1:12" x14ac:dyDescent="0.25">
      <c r="A23" t="s">
        <v>36</v>
      </c>
      <c r="B23" t="s">
        <v>83</v>
      </c>
      <c r="C23" t="s">
        <v>113</v>
      </c>
      <c r="D23" t="s">
        <v>114</v>
      </c>
      <c r="E23" t="s">
        <v>106</v>
      </c>
      <c r="F23" t="s">
        <v>114</v>
      </c>
      <c r="G23" t="s">
        <v>114</v>
      </c>
      <c r="H23" t="s">
        <v>114</v>
      </c>
      <c r="I23" t="s">
        <v>115</v>
      </c>
      <c r="J23" t="s">
        <v>101</v>
      </c>
      <c r="K23" t="s">
        <v>116</v>
      </c>
      <c r="L23">
        <v>99.5</v>
      </c>
    </row>
    <row r="24" spans="1:12" x14ac:dyDescent="0.25">
      <c r="A24" t="s">
        <v>40</v>
      </c>
      <c r="B24" t="s">
        <v>83</v>
      </c>
      <c r="C24" t="s">
        <v>117</v>
      </c>
      <c r="D24" t="s">
        <v>83</v>
      </c>
      <c r="E24" t="s">
        <v>106</v>
      </c>
      <c r="F24" t="s">
        <v>83</v>
      </c>
      <c r="G24" t="s">
        <v>83</v>
      </c>
      <c r="H24" t="s">
        <v>83</v>
      </c>
      <c r="I24" t="s">
        <v>118</v>
      </c>
      <c r="J24" t="s">
        <v>101</v>
      </c>
      <c r="K24" t="s">
        <v>118</v>
      </c>
      <c r="L24">
        <v>0.57999999999999996</v>
      </c>
    </row>
    <row r="25" spans="1:12" x14ac:dyDescent="0.25">
      <c r="A25" t="s">
        <v>37</v>
      </c>
      <c r="B25" t="s">
        <v>83</v>
      </c>
      <c r="C25" t="s">
        <v>119</v>
      </c>
      <c r="D25" t="s">
        <v>120</v>
      </c>
      <c r="E25" t="s">
        <v>106</v>
      </c>
      <c r="F25" t="s">
        <v>120</v>
      </c>
      <c r="G25" t="s">
        <v>120</v>
      </c>
      <c r="H25" t="s">
        <v>120</v>
      </c>
      <c r="I25" t="s">
        <v>121</v>
      </c>
      <c r="J25" t="s">
        <v>122</v>
      </c>
      <c r="K25" t="s">
        <v>123</v>
      </c>
      <c r="L25">
        <v>14.4</v>
      </c>
    </row>
    <row r="26" spans="1:12" x14ac:dyDescent="0.25">
      <c r="A26" t="s">
        <v>39</v>
      </c>
      <c r="B26" t="s">
        <v>83</v>
      </c>
      <c r="C26" t="s">
        <v>124</v>
      </c>
      <c r="D26" t="s">
        <v>125</v>
      </c>
      <c r="E26" t="s">
        <v>106</v>
      </c>
      <c r="F26" t="s">
        <v>125</v>
      </c>
      <c r="G26" t="s">
        <v>125</v>
      </c>
      <c r="H26" t="s">
        <v>125</v>
      </c>
      <c r="I26" t="s">
        <v>126</v>
      </c>
      <c r="J26" t="s">
        <v>101</v>
      </c>
      <c r="K26" t="s">
        <v>127</v>
      </c>
      <c r="L26">
        <v>1451.82</v>
      </c>
    </row>
    <row r="27" spans="1:12" x14ac:dyDescent="0.25">
      <c r="L27">
        <f>SUM(L21:L26)</f>
        <v>2388.33</v>
      </c>
    </row>
    <row r="28" spans="1:12" x14ac:dyDescent="0.25">
      <c r="L28">
        <f>+L27/4</f>
        <v>597.08249999999998</v>
      </c>
    </row>
    <row r="31" spans="1:12" x14ac:dyDescent="0.25">
      <c r="G31">
        <f>2388.33+362.95</f>
        <v>2751.2799999999997</v>
      </c>
    </row>
    <row r="32" spans="1:12" x14ac:dyDescent="0.25">
      <c r="G32">
        <f>+G31/5</f>
        <v>550.25599999999997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03EE-AB53-4459-BC80-88CB4EA6C7D0}">
  <dimension ref="A2:N28"/>
  <sheetViews>
    <sheetView topLeftCell="A7" workbookViewId="0">
      <selection activeCell="G29" sqref="G29"/>
    </sheetView>
  </sheetViews>
  <sheetFormatPr baseColWidth="10" defaultRowHeight="15" x14ac:dyDescent="0.25"/>
  <cols>
    <col min="3" max="3" width="27.28515625" customWidth="1"/>
  </cols>
  <sheetData>
    <row r="2" spans="1:2" x14ac:dyDescent="0.25">
      <c r="A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  <row r="7" spans="1:2" x14ac:dyDescent="0.25">
      <c r="A7" t="s">
        <v>72</v>
      </c>
      <c r="B7" t="s">
        <v>73</v>
      </c>
    </row>
    <row r="8" spans="1:2" x14ac:dyDescent="0.25">
      <c r="A8" t="s">
        <v>74</v>
      </c>
      <c r="B8" t="s">
        <v>75</v>
      </c>
    </row>
    <row r="9" spans="1:2" x14ac:dyDescent="0.25">
      <c r="A9" t="s">
        <v>76</v>
      </c>
      <c r="B9" t="s">
        <v>77</v>
      </c>
    </row>
    <row r="10" spans="1:2" x14ac:dyDescent="0.25">
      <c r="A10" t="s">
        <v>78</v>
      </c>
      <c r="B10" t="s">
        <v>79</v>
      </c>
    </row>
    <row r="11" spans="1:2" x14ac:dyDescent="0.25">
      <c r="A11" t="s">
        <v>80</v>
      </c>
      <c r="B11" t="s">
        <v>81</v>
      </c>
    </row>
    <row r="12" spans="1:2" x14ac:dyDescent="0.25">
      <c r="A12" t="s">
        <v>82</v>
      </c>
      <c r="B12" t="s">
        <v>83</v>
      </c>
    </row>
    <row r="13" spans="1:2" x14ac:dyDescent="0.25">
      <c r="A13" t="s">
        <v>84</v>
      </c>
      <c r="B13" t="s">
        <v>85</v>
      </c>
    </row>
    <row r="14" spans="1:2" x14ac:dyDescent="0.25">
      <c r="A14" t="s">
        <v>86</v>
      </c>
      <c r="B14" t="s">
        <v>87</v>
      </c>
    </row>
    <row r="17" spans="1:14" x14ac:dyDescent="0.25">
      <c r="A17" t="s">
        <v>88</v>
      </c>
      <c r="B17" t="s">
        <v>89</v>
      </c>
    </row>
    <row r="18" spans="1:14" x14ac:dyDescent="0.25">
      <c r="A18" t="s">
        <v>90</v>
      </c>
      <c r="B18" t="s">
        <v>91</v>
      </c>
    </row>
    <row r="20" spans="1:14" x14ac:dyDescent="0.2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101</v>
      </c>
      <c r="K20" t="s">
        <v>102</v>
      </c>
    </row>
    <row r="21" spans="1:14" x14ac:dyDescent="0.25">
      <c r="A21" t="s">
        <v>103</v>
      </c>
      <c r="B21" t="s">
        <v>83</v>
      </c>
      <c r="C21" t="s">
        <v>104</v>
      </c>
      <c r="D21" t="s">
        <v>105</v>
      </c>
      <c r="E21" t="s">
        <v>106</v>
      </c>
      <c r="F21" t="s">
        <v>105</v>
      </c>
      <c r="G21" t="s">
        <v>105</v>
      </c>
      <c r="H21" t="s">
        <v>105</v>
      </c>
      <c r="I21" t="s">
        <v>107</v>
      </c>
      <c r="J21" t="s">
        <v>101</v>
      </c>
      <c r="K21" t="s">
        <v>108</v>
      </c>
      <c r="L21">
        <v>448.91</v>
      </c>
    </row>
    <row r="22" spans="1:14" x14ac:dyDescent="0.25">
      <c r="A22" t="s">
        <v>109</v>
      </c>
      <c r="B22" t="s">
        <v>83</v>
      </c>
      <c r="C22" t="s">
        <v>110</v>
      </c>
      <c r="D22" t="s">
        <v>105</v>
      </c>
      <c r="E22" t="s">
        <v>106</v>
      </c>
      <c r="F22" t="s">
        <v>105</v>
      </c>
      <c r="G22" t="s">
        <v>105</v>
      </c>
      <c r="H22" t="s">
        <v>105</v>
      </c>
      <c r="I22" t="s">
        <v>111</v>
      </c>
      <c r="J22" t="s">
        <v>101</v>
      </c>
      <c r="K22" t="s">
        <v>112</v>
      </c>
      <c r="L22">
        <v>373.12</v>
      </c>
    </row>
    <row r="23" spans="1:14" x14ac:dyDescent="0.25">
      <c r="A23" t="s">
        <v>36</v>
      </c>
      <c r="B23" t="s">
        <v>83</v>
      </c>
      <c r="C23" t="s">
        <v>113</v>
      </c>
      <c r="D23" t="s">
        <v>114</v>
      </c>
      <c r="E23" t="s">
        <v>106</v>
      </c>
      <c r="F23" t="s">
        <v>114</v>
      </c>
      <c r="G23" t="s">
        <v>114</v>
      </c>
      <c r="H23" t="s">
        <v>114</v>
      </c>
      <c r="I23" t="s">
        <v>115</v>
      </c>
      <c r="J23" t="s">
        <v>101</v>
      </c>
      <c r="K23" t="s">
        <v>116</v>
      </c>
      <c r="L23">
        <v>99.5</v>
      </c>
    </row>
    <row r="24" spans="1:14" x14ac:dyDescent="0.25">
      <c r="A24" t="s">
        <v>40</v>
      </c>
      <c r="B24" t="s">
        <v>83</v>
      </c>
      <c r="C24" t="s">
        <v>117</v>
      </c>
      <c r="D24" t="s">
        <v>83</v>
      </c>
      <c r="E24" t="s">
        <v>106</v>
      </c>
      <c r="F24" t="s">
        <v>83</v>
      </c>
      <c r="G24" t="s">
        <v>83</v>
      </c>
      <c r="H24" t="s">
        <v>83</v>
      </c>
      <c r="I24" t="s">
        <v>118</v>
      </c>
      <c r="J24" t="s">
        <v>101</v>
      </c>
      <c r="K24" t="s">
        <v>118</v>
      </c>
      <c r="L24">
        <v>0.57999999999999996</v>
      </c>
    </row>
    <row r="25" spans="1:14" x14ac:dyDescent="0.25">
      <c r="A25" t="s">
        <v>37</v>
      </c>
      <c r="B25" t="s">
        <v>83</v>
      </c>
      <c r="C25" t="s">
        <v>119</v>
      </c>
      <c r="D25" t="s">
        <v>120</v>
      </c>
      <c r="E25" t="s">
        <v>106</v>
      </c>
      <c r="F25" t="s">
        <v>120</v>
      </c>
      <c r="G25" t="s">
        <v>120</v>
      </c>
      <c r="H25" t="s">
        <v>120</v>
      </c>
      <c r="I25" t="s">
        <v>121</v>
      </c>
      <c r="J25" t="s">
        <v>122</v>
      </c>
      <c r="K25" t="s">
        <v>123</v>
      </c>
      <c r="L25">
        <v>14.4</v>
      </c>
    </row>
    <row r="26" spans="1:14" x14ac:dyDescent="0.25">
      <c r="A26" s="93" t="s">
        <v>39</v>
      </c>
      <c r="B26" s="93" t="s">
        <v>83</v>
      </c>
      <c r="C26" s="93" t="s">
        <v>124</v>
      </c>
      <c r="D26" s="93">
        <v>5</v>
      </c>
      <c r="E26" s="93" t="s">
        <v>106</v>
      </c>
      <c r="F26" s="93">
        <v>5</v>
      </c>
      <c r="G26" s="93">
        <v>5</v>
      </c>
      <c r="H26" s="93">
        <v>5</v>
      </c>
      <c r="I26" s="93" t="s">
        <v>126</v>
      </c>
      <c r="J26" s="93" t="s">
        <v>101</v>
      </c>
      <c r="K26" s="93">
        <v>1814.8</v>
      </c>
      <c r="L26" s="93">
        <v>1814.8</v>
      </c>
      <c r="N26">
        <f>5*362.96</f>
        <v>1814.8</v>
      </c>
    </row>
    <row r="27" spans="1:14" x14ac:dyDescent="0.25">
      <c r="L27">
        <f>SUM(L21:L26)</f>
        <v>2751.31</v>
      </c>
    </row>
    <row r="28" spans="1:14" x14ac:dyDescent="0.25">
      <c r="L28">
        <f>+L27/5</f>
        <v>550.26199999999994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80B1217-6C91-48C5-8F40-E0A32B900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52F631-F41A-4B20-B949-1615F5FBEF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B00D7F-96C8-4257-ADE2-4263BC8CA20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Empanada de Pollo y hongos </vt:lpstr>
      <vt:lpstr>Actual </vt:lpstr>
      <vt:lpstr>Nuevo</vt:lpstr>
      <vt:lpstr>'Empanada de Pollo y hongos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2025-03-28T22:01:17Z</cp:lastPrinted>
  <dcterms:created xsi:type="dcterms:W3CDTF">2021-06-18T16:56:45Z</dcterms:created>
  <dcterms:modified xsi:type="dcterms:W3CDTF">2025-05-26T17:05:03Z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309200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
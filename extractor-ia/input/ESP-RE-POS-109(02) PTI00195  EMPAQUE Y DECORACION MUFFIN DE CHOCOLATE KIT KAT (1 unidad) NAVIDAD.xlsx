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SPOON/"/>
    </mc:Choice>
  </mc:AlternateContent>
  <xr:revisionPtr revIDLastSave="5" documentId="8_{12DEF909-C154-46D9-8457-01518FED1D80}" xr6:coauthVersionLast="47" xr6:coauthVersionMax="47" xr10:uidLastSave="{9B751D80-16FA-4BF8-9EA0-8DC9ED5FC536}"/>
  <bookViews>
    <workbookView xWindow="-120" yWindow="-120" windowWidth="20730" windowHeight="11040" xr2:uid="{1797F3F0-B816-433B-BDF0-B8623F7831DB}"/>
  </bookViews>
  <sheets>
    <sheet name="Hoja1" sheetId="2" r:id="rId1"/>
    <sheet name="Hoja2" sheetId="3" state="hidden" r:id="rId2"/>
  </sheets>
  <externalReferences>
    <externalReference r:id="rId3"/>
    <externalReference r:id="rId4"/>
    <externalReference r:id="rId5"/>
  </externalReferences>
  <definedNames>
    <definedName name="_xlnm.Print_Area" localSheetId="0">Hoja1!$A$1:$I$53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3" i="2" l="1"/>
  <c r="D73" i="3" l="1"/>
  <c r="D74" i="3" s="1"/>
  <c r="D76" i="3" s="1"/>
  <c r="C73" i="3"/>
  <c r="C85" i="3" s="1"/>
  <c r="D71" i="3"/>
  <c r="D69" i="3"/>
  <c r="F65" i="3"/>
  <c r="D60" i="3"/>
  <c r="D85" i="3" s="1"/>
  <c r="D86" i="3" s="1"/>
  <c r="Y53" i="3"/>
  <c r="X52" i="3"/>
  <c r="W52" i="3"/>
  <c r="E51" i="3"/>
  <c r="C51" i="3"/>
  <c r="F51" i="3" s="1"/>
  <c r="E50" i="3"/>
  <c r="D50" i="3"/>
  <c r="B50" i="3"/>
  <c r="E49" i="3"/>
  <c r="D49" i="3"/>
  <c r="B49" i="3"/>
  <c r="E48" i="3"/>
  <c r="D48" i="3"/>
  <c r="B48" i="3"/>
  <c r="E47" i="3"/>
  <c r="D47" i="3"/>
  <c r="B47" i="3"/>
  <c r="D46" i="3"/>
  <c r="C45" i="3"/>
  <c r="F45" i="3" s="1"/>
  <c r="A45" i="3"/>
  <c r="E41" i="3"/>
  <c r="F41" i="3" s="1"/>
  <c r="D41" i="3"/>
  <c r="C41" i="3"/>
  <c r="B41" i="3"/>
  <c r="A41" i="3"/>
  <c r="A50" i="3" s="1"/>
  <c r="C50" i="3" s="1"/>
  <c r="E40" i="3"/>
  <c r="F40" i="3" s="1"/>
  <c r="D40" i="3"/>
  <c r="C40" i="3"/>
  <c r="B40" i="3"/>
  <c r="A40" i="3"/>
  <c r="A49" i="3" s="1"/>
  <c r="C49" i="3" s="1"/>
  <c r="E39" i="3"/>
  <c r="F39" i="3" s="1"/>
  <c r="D39" i="3"/>
  <c r="C39" i="3"/>
  <c r="B39" i="3"/>
  <c r="A39" i="3"/>
  <c r="A48" i="3" s="1"/>
  <c r="C48" i="3" s="1"/>
  <c r="E38" i="3"/>
  <c r="D38" i="3"/>
  <c r="B38" i="3"/>
  <c r="A38" i="3"/>
  <c r="A47" i="3" s="1"/>
  <c r="C47" i="3" s="1"/>
  <c r="D37" i="3"/>
  <c r="A37" i="3"/>
  <c r="C37" i="3" s="1"/>
  <c r="F37" i="3" s="1"/>
  <c r="C36" i="3"/>
  <c r="F36" i="3" s="1"/>
  <c r="A36" i="3"/>
  <c r="A35" i="3"/>
  <c r="A44" i="3" s="1"/>
  <c r="C44" i="3" s="1"/>
  <c r="E32" i="3"/>
  <c r="D32" i="3"/>
  <c r="C32" i="3"/>
  <c r="B32" i="3"/>
  <c r="E31" i="3"/>
  <c r="D31" i="3"/>
  <c r="C31" i="3"/>
  <c r="B31" i="3"/>
  <c r="C30" i="3"/>
  <c r="F30" i="3" s="1"/>
  <c r="E29" i="3"/>
  <c r="F29" i="3" s="1"/>
  <c r="D29" i="3"/>
  <c r="C29" i="3"/>
  <c r="B29" i="3"/>
  <c r="E28" i="3"/>
  <c r="F28" i="3" s="1"/>
  <c r="D28" i="3"/>
  <c r="C28" i="3"/>
  <c r="B28" i="3"/>
  <c r="C27" i="3"/>
  <c r="F27" i="3" s="1"/>
  <c r="E24" i="3"/>
  <c r="F24" i="3" s="1"/>
  <c r="D24" i="3"/>
  <c r="C24" i="3"/>
  <c r="B24" i="3"/>
  <c r="E23" i="3"/>
  <c r="F23" i="3" s="1"/>
  <c r="D23" i="3"/>
  <c r="C23" i="3"/>
  <c r="B23" i="3"/>
  <c r="E22" i="3"/>
  <c r="F22" i="3" s="1"/>
  <c r="D22" i="3"/>
  <c r="C22" i="3"/>
  <c r="B22" i="3"/>
  <c r="E21" i="3"/>
  <c r="F21" i="3" s="1"/>
  <c r="D21" i="3"/>
  <c r="C21" i="3"/>
  <c r="B21" i="3"/>
  <c r="E20" i="3"/>
  <c r="F20" i="3" s="1"/>
  <c r="D20" i="3"/>
  <c r="C20" i="3"/>
  <c r="B20" i="3"/>
  <c r="C18" i="3"/>
  <c r="F18" i="3" s="1"/>
  <c r="F17" i="3"/>
  <c r="C17" i="3"/>
  <c r="X15" i="3"/>
  <c r="X16" i="3" s="1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V11" i="3"/>
  <c r="C11" i="3"/>
  <c r="F11" i="3" s="1"/>
  <c r="C10" i="3"/>
  <c r="C9" i="3"/>
  <c r="F9" i="3" s="1"/>
  <c r="C8" i="3"/>
  <c r="F8" i="3" s="1"/>
  <c r="H6" i="3"/>
  <c r="F32" i="3" l="1"/>
  <c r="F31" i="3"/>
  <c r="F12" i="3"/>
  <c r="F10" i="3"/>
  <c r="F13" i="3"/>
  <c r="F14" i="3"/>
  <c r="F50" i="3"/>
  <c r="F48" i="3"/>
  <c r="F49" i="3"/>
  <c r="F47" i="3"/>
  <c r="E85" i="3"/>
  <c r="D81" i="3"/>
  <c r="C35" i="3"/>
  <c r="A46" i="3"/>
  <c r="C46" i="3" s="1"/>
  <c r="F46" i="3" s="1"/>
  <c r="E73" i="3"/>
  <c r="D83" i="3"/>
  <c r="C38" i="3"/>
  <c r="F38" i="3" s="1"/>
  <c r="F53" i="3" l="1"/>
  <c r="H53" i="3" s="1"/>
  <c r="F2" i="3" s="1"/>
  <c r="F64" i="3" l="1"/>
  <c r="C69" i="3"/>
  <c r="E69" i="3" s="1"/>
  <c r="C81" i="3" l="1"/>
  <c r="E81" i="3" s="1"/>
  <c r="E44" i="3" l="1"/>
  <c r="F44" i="3" s="1"/>
  <c r="E35" i="3"/>
  <c r="F35" i="3" s="1"/>
  <c r="F56" i="3" l="1"/>
  <c r="F54" i="3"/>
  <c r="F55" i="3" l="1"/>
  <c r="H54" i="3"/>
  <c r="G2" i="3" s="1"/>
  <c r="C76" i="3"/>
  <c r="E76" i="3" s="1"/>
  <c r="F58" i="3"/>
  <c r="F59" i="3" s="1"/>
  <c r="O55" i="3"/>
  <c r="S55" i="3" s="1"/>
  <c r="T55" i="3" s="1"/>
  <c r="C74" i="3"/>
  <c r="H56" i="3"/>
  <c r="H55" i="3" l="1"/>
  <c r="F63" i="3"/>
  <c r="O54" i="3"/>
  <c r="H58" i="3"/>
  <c r="H59" i="3" s="1"/>
  <c r="O58" i="3" s="1"/>
  <c r="S58" i="3" s="1"/>
  <c r="T58" i="3" s="1"/>
  <c r="H2" i="3"/>
  <c r="C86" i="3"/>
  <c r="E86" i="3" s="1"/>
  <c r="E74" i="3"/>
  <c r="E78" i="3" s="1"/>
  <c r="O56" i="3" l="1"/>
  <c r="S56" i="3" s="1"/>
  <c r="S54" i="3"/>
  <c r="T54" i="3" s="1"/>
  <c r="E63" i="3"/>
  <c r="F66" i="3"/>
  <c r="G10" i="3" s="1"/>
  <c r="C71" i="3"/>
  <c r="O57" i="3" l="1"/>
  <c r="S57" i="3" s="1"/>
  <c r="C83" i="3"/>
  <c r="E83" i="3" s="1"/>
  <c r="E71" i="3"/>
  <c r="G63" i="3"/>
  <c r="G45" i="3"/>
  <c r="G31" i="3"/>
  <c r="G49" i="3"/>
  <c r="G11" i="3"/>
  <c r="G46" i="3"/>
  <c r="G66" i="3"/>
  <c r="G18" i="3"/>
  <c r="G14" i="3"/>
  <c r="G12" i="3"/>
  <c r="G41" i="3"/>
  <c r="G48" i="3"/>
  <c r="G32" i="3"/>
  <c r="G64" i="3"/>
  <c r="G9" i="3"/>
  <c r="G39" i="3"/>
  <c r="G65" i="3"/>
  <c r="G21" i="3"/>
  <c r="G51" i="3"/>
  <c r="G38" i="3"/>
  <c r="G29" i="3"/>
  <c r="G13" i="3"/>
  <c r="G36" i="3"/>
  <c r="G22" i="3"/>
  <c r="G27" i="3"/>
  <c r="G28" i="3"/>
  <c r="G20" i="3"/>
  <c r="G23" i="3"/>
  <c r="G30" i="3"/>
  <c r="G37" i="3"/>
  <c r="G40" i="3"/>
  <c r="G17" i="3"/>
  <c r="G8" i="3"/>
  <c r="G24" i="3"/>
  <c r="G53" i="3"/>
  <c r="G47" i="3"/>
  <c r="G50" i="3"/>
  <c r="G44" i="3"/>
  <c r="G35" i="3"/>
  <c r="G54" i="3"/>
  <c r="G56" i="3"/>
  <c r="G55" i="3"/>
  <c r="O59" i="3" l="1"/>
  <c r="S59" i="3" s="1"/>
  <c r="O60" i="3" l="1"/>
  <c r="S60" i="3" s="1"/>
  <c r="O61" i="3" l="1"/>
  <c r="S61" i="3" s="1"/>
  <c r="T61" i="3" s="1"/>
  <c r="O62" i="3" l="1"/>
  <c r="P62" i="3" s="1"/>
  <c r="E2" i="3" l="1"/>
</calcChain>
</file>

<file path=xl/sharedStrings.xml><?xml version="1.0" encoding="utf-8"?>
<sst xmlns="http://schemas.openxmlformats.org/spreadsheetml/2006/main" count="205" uniqueCount="135">
  <si>
    <t>PROCEDIMIENTO DE PREPARACION DE LA  RECETA</t>
  </si>
  <si>
    <t>g</t>
  </si>
  <si>
    <t>MERMA</t>
  </si>
  <si>
    <t>PESO DE CADA PORCIÓN</t>
  </si>
  <si>
    <t>ud</t>
  </si>
  <si>
    <t>CANTIDAD DE PORCIONES OBTENIDAS</t>
  </si>
  <si>
    <t>min</t>
  </si>
  <si>
    <t>TIEMPO TOTAL DE PREPARACION</t>
  </si>
  <si>
    <t>PESO TOTAL OBTENIDO</t>
  </si>
  <si>
    <t>Unidad</t>
  </si>
  <si>
    <t>Cantidad</t>
  </si>
  <si>
    <t>EM10004</t>
  </si>
  <si>
    <t>FAS</t>
  </si>
  <si>
    <t>SE00001</t>
  </si>
  <si>
    <t>MUFFIN DE CHOCOLATE KIT KAT</t>
  </si>
  <si>
    <t>SE00402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</si>
  <si>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</si>
  <si>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</si>
  <si>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</si>
  <si>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</si>
  <si>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</si>
  <si>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</si>
  <si>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</si>
  <si>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</si>
  <si>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AREA QUE EMPACA: </t>
  </si>
  <si>
    <t>AREA QUE PRODUCE: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</si>
  <si>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</si>
  <si>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</si>
  <si>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</si>
  <si>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</si>
  <si>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</si>
  <si>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</si>
  <si>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</si>
  <si>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Esteban Cartin, Gte Manufactura</t>
  </si>
  <si>
    <t># Código Netsuite</t>
  </si>
  <si>
    <t>Ensamble</t>
  </si>
  <si>
    <t>GANACHE CHOCOLATE OSCURO</t>
  </si>
  <si>
    <t>Decoración</t>
  </si>
  <si>
    <t>Empaque</t>
  </si>
  <si>
    <t xml:space="preserve">ETIQ.FECHA VENCIMIENTO BLANCO </t>
  </si>
  <si>
    <t/>
  </si>
  <si>
    <t>Tiempo de Horneo:</t>
  </si>
  <si>
    <t>Horno:</t>
  </si>
  <si>
    <t>Temperatura de Horneo:</t>
  </si>
  <si>
    <t>Otros</t>
  </si>
  <si>
    <t>CONTROL DE CAMBIOS</t>
  </si>
  <si>
    <t>Mariela Barrantes Sánchez, Chef</t>
  </si>
  <si>
    <t>Postres</t>
  </si>
  <si>
    <t xml:space="preserve">Postres </t>
  </si>
  <si>
    <t xml:space="preserve">3, Cerrar y etiquetar </t>
  </si>
  <si>
    <t>EM10342</t>
  </si>
  <si>
    <t>EMPAQUE 1 UNIDAD DN 665 DARNEL</t>
  </si>
  <si>
    <t>EM10120</t>
  </si>
  <si>
    <t>ETIQ.BLANCA 1 13/16 * 1 7/8</t>
  </si>
  <si>
    <t>1, En el contenedor colocar 1 muffin de chocolate</t>
  </si>
  <si>
    <t>PERLAS PEQUEÑASDORADAS</t>
  </si>
  <si>
    <t>PERLAS PEQUEÑAS ROJAS</t>
  </si>
  <si>
    <t xml:space="preserve">CHOCOLATE KIT KAT </t>
  </si>
  <si>
    <t>0.5</t>
  </si>
  <si>
    <t xml:space="preserve">2, Agregar el ganache oscuro con ayuda de una bolsa, colocar perlas pequeñas doradas y rojas y colocar en el centro 1/2 unidad de barra del kit kat. 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</si>
  <si>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</si>
  <si>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</si>
  <si>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</si>
  <si>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</si>
  <si>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</si>
  <si>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</si>
  <si>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</si>
  <si>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</si>
  <si>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</si>
  <si>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</si>
  <si>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</si>
  <si>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</si>
  <si>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</si>
  <si>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KIT KAT 4 FINGER 12(24X41.5G) N4 XE</t>
  </si>
  <si>
    <t xml:space="preserve">Gramos </t>
  </si>
  <si>
    <t>MATERIA PRIMA SEMIELABORADOS</t>
  </si>
  <si>
    <t xml:space="preserve">UND </t>
  </si>
  <si>
    <t>Gramos</t>
  </si>
  <si>
    <t>SE00298</t>
  </si>
  <si>
    <t>EMPAQUE</t>
  </si>
  <si>
    <t>und</t>
  </si>
  <si>
    <t>0702007</t>
  </si>
  <si>
    <t>0702123</t>
  </si>
  <si>
    <t>Etiqueta KITKAT</t>
  </si>
  <si>
    <t>nueva</t>
  </si>
  <si>
    <t>EMPAQUE SEMIELABORADOS</t>
  </si>
  <si>
    <t>UND</t>
  </si>
  <si>
    <t>se00298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</si>
  <si>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</si>
  <si>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</si>
  <si>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</si>
  <si>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</si>
  <si>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</si>
  <si>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</si>
  <si>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</si>
  <si>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</si>
  <si>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</si>
  <si>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</si>
  <si>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</si>
  <si>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</si>
  <si>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MK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</si>
  <si>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</si>
  <si>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</si>
  <si>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</si>
  <si>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</si>
  <si>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</si>
  <si>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</si>
  <si>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</si>
  <si>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</si>
  <si>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</si>
  <si>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</si>
  <si>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</si>
  <si>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</si>
  <si>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MODI 61 COLONES X MIN</t>
  </si>
  <si>
    <t xml:space="preserve">Gf 58 colones min </t>
  </si>
  <si>
    <t>COSTO POR GRAMO</t>
  </si>
  <si>
    <t>,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</si>
  <si>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</si>
  <si>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</si>
  <si>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</si>
  <si>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</si>
  <si>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</si>
  <si>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</si>
  <si>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</si>
  <si>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Chocolate kit kat 96</t>
  </si>
  <si>
    <t>MP10889</t>
  </si>
  <si>
    <t>MP10888</t>
  </si>
  <si>
    <t>PTI00195  EMPAQUE Y DECORACION MUFFIN DE CHOCOLATE KIT KAT (1 unidad) NAVIDAD</t>
  </si>
  <si>
    <t>EM10480</t>
  </si>
  <si>
    <t>ETIQUETA MUFFIN KIT KAT  INDIV NAVIDEÑA</t>
  </si>
  <si>
    <t>ESP-RE-POS-109</t>
  </si>
  <si>
    <t>EM10002</t>
  </si>
  <si>
    <t>Etiq.Blanca 1 1/4 * 3/4</t>
  </si>
  <si>
    <t>2, Se agrega etiqueta de lote</t>
  </si>
  <si>
    <t>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</si>
</sst>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  <numFmt numFmtId="167" formatCode="[$-409]d\-mmm\-yy;@"/>
    <numFmt numFmtId="168" formatCode="&quot;$&quot;#,##0_);[Red]\(&quot;$&quot;#,##0\)"/>
    <numFmt numFmtId="169" formatCode="_-* #,##0.00\ _€_-;\-* #,##0.00\ _€_-;_-* &quot;-&quot;??\ _€_-;_-@_-"/>
    <numFmt numFmtId="170" formatCode="_-* #,##0.0\ _€_-;\-* #,##0.0\ _€_-;_-* &quot;-&quot;??\ _€_-;_-@_-"/>
    <numFmt numFmtId="171" formatCode="_(* #,##0.00_);_(* \(#,##0.00\);_(* &quot;-&quot;??_);_(@_)"/>
  </numFmts>
  <fonts count="45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2"/>
      <name val="Arial"/>
      <family val="2"/>
    </font>
    <font>
      <b/>
      <sz val="10"/>
      <color rgb="FFFF0000"/>
      <name val="Arial"/>
      <family val="2"/>
    </font>
    <font>
      <b/>
      <sz val="14"/>
      <name val="Arial"/>
      <family val="2"/>
    </font>
    <font>
      <sz val="11"/>
      <color theme="1"/>
      <name val="Aptos Narrow"/>
      <family val="2"/>
      <scheme val="minor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0"/>
      <name val="Times New Roman"/>
      <family val="1"/>
    </font>
    <font>
      <sz val="10"/>
      <color indexed="8"/>
      <name val="Times New Roman"/>
      <family val="1"/>
    </font>
    <font>
      <sz val="10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rgb="FFFF0000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sz val="16"/>
      <color indexed="8"/>
      <name val="Arial"/>
      <family val="2"/>
    </font>
    <font>
      <b/>
      <i/>
      <sz val="14"/>
      <name val="Arial"/>
      <family val="2"/>
    </font>
    <font>
      <sz val="16"/>
      <color theme="1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9"/>
        <bgColor indexed="64"/>
      </patternFill>
    </fill>
  </fills>
  <borders count="5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0" fontId="1" fillId="0" borderId="0"/>
    <xf numFmtId="0" fontId="2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295">
    <xf numFmtId="0" fontId="0" fillId="0" borderId="0" xfId="0"/>
    <xf numFmtId="0" fontId="8" fillId="3" borderId="21" xfId="2" applyFont="1" applyFill="1" applyBorder="1" applyAlignment="1">
      <alignment horizontal="right"/>
    </xf>
    <xf numFmtId="0" fontId="6" fillId="3" borderId="20" xfId="2" applyFont="1" applyFill="1" applyBorder="1" applyAlignment="1">
      <alignment horizontal="center"/>
    </xf>
    <xf numFmtId="0" fontId="8" fillId="3" borderId="14" xfId="2" applyFont="1" applyFill="1" applyBorder="1" applyAlignment="1">
      <alignment horizontal="right"/>
    </xf>
    <xf numFmtId="49" fontId="6" fillId="3" borderId="26" xfId="2" applyNumberFormat="1" applyFont="1" applyFill="1" applyBorder="1" applyAlignment="1">
      <alignment horizontal="center"/>
    </xf>
    <xf numFmtId="0" fontId="6" fillId="3" borderId="17" xfId="2" applyFont="1" applyFill="1" applyBorder="1" applyAlignment="1">
      <alignment horizontal="right"/>
    </xf>
    <xf numFmtId="0" fontId="6" fillId="3" borderId="14" xfId="2" applyFont="1" applyFill="1" applyBorder="1" applyAlignment="1">
      <alignment horizontal="right"/>
    </xf>
    <xf numFmtId="14" fontId="3" fillId="3" borderId="0" xfId="2" applyNumberFormat="1" applyFont="1" applyFill="1" applyAlignment="1">
      <alignment horizontal="center" vertical="center" wrapText="1"/>
    </xf>
    <xf numFmtId="0" fontId="8" fillId="2" borderId="20" xfId="1" applyFont="1" applyFill="1" applyBorder="1" applyAlignment="1">
      <alignment horizontal="center" vertical="center" wrapText="1"/>
    </xf>
    <xf numFmtId="1" fontId="8" fillId="2" borderId="9" xfId="1" applyNumberFormat="1" applyFont="1" applyFill="1" applyBorder="1" applyAlignment="1">
      <alignment horizontal="center"/>
    </xf>
    <xf numFmtId="1" fontId="8" fillId="2" borderId="9" xfId="1" applyNumberFormat="1" applyFont="1" applyFill="1" applyBorder="1" applyAlignment="1">
      <alignment horizontal="center" wrapText="1"/>
    </xf>
    <xf numFmtId="0" fontId="8" fillId="2" borderId="25" xfId="1" applyFont="1" applyFill="1" applyBorder="1" applyAlignment="1">
      <alignment horizontal="center"/>
    </xf>
    <xf numFmtId="0" fontId="11" fillId="4" borderId="0" xfId="0" applyFont="1" applyFill="1" applyAlignment="1">
      <alignment vertical="center"/>
    </xf>
    <xf numFmtId="0" fontId="9" fillId="7" borderId="14" xfId="0" applyFont="1" applyFill="1" applyBorder="1" applyAlignment="1">
      <alignment horizontal="center" vertical="center" wrapText="1"/>
    </xf>
    <xf numFmtId="0" fontId="9" fillId="7" borderId="14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43" fontId="9" fillId="0" borderId="14" xfId="3" applyFont="1" applyFill="1" applyBorder="1" applyAlignment="1">
      <alignment horizontal="center" vertical="center"/>
    </xf>
    <xf numFmtId="43" fontId="9" fillId="0" borderId="0" xfId="3" applyFont="1" applyFill="1" applyBorder="1" applyAlignment="1">
      <alignment horizontal="center" vertical="center"/>
    </xf>
    <xf numFmtId="43" fontId="13" fillId="0" borderId="0" xfId="3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167" fontId="16" fillId="0" borderId="0" xfId="0" applyNumberFormat="1" applyFont="1" applyAlignment="1">
      <alignment horizontal="center" vertical="center" wrapText="1"/>
    </xf>
    <xf numFmtId="0" fontId="9" fillId="8" borderId="41" xfId="0" applyFont="1" applyFill="1" applyBorder="1" applyAlignment="1">
      <alignment horizontal="center" vertical="center"/>
    </xf>
    <xf numFmtId="0" fontId="9" fillId="8" borderId="42" xfId="0" applyFont="1" applyFill="1" applyBorder="1" applyAlignment="1">
      <alignment horizontal="center" vertical="center"/>
    </xf>
    <xf numFmtId="0" fontId="9" fillId="8" borderId="42" xfId="0" applyFont="1" applyFill="1" applyBorder="1" applyAlignment="1">
      <alignment horizontal="center" vertical="center" wrapText="1"/>
    </xf>
    <xf numFmtId="0" fontId="9" fillId="8" borderId="43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2" fontId="17" fillId="9" borderId="0" xfId="0" applyNumberFormat="1" applyFont="1" applyFill="1" applyAlignment="1">
      <alignment horizontal="center"/>
    </xf>
    <xf numFmtId="0" fontId="11" fillId="9" borderId="0" xfId="0" applyFont="1" applyFill="1" applyAlignment="1">
      <alignment vertical="center"/>
    </xf>
    <xf numFmtId="4" fontId="17" fillId="9" borderId="0" xfId="4" applyNumberFormat="1" applyFont="1" applyFill="1" applyAlignment="1">
      <alignment horizontal="center" vertical="center"/>
    </xf>
    <xf numFmtId="4" fontId="9" fillId="9" borderId="0" xfId="4" applyNumberFormat="1" applyFont="1" applyFill="1" applyAlignment="1">
      <alignment horizontal="center" vertical="center"/>
    </xf>
    <xf numFmtId="10" fontId="9" fillId="9" borderId="0" xfId="5" applyNumberFormat="1" applyFont="1" applyFill="1" applyAlignment="1">
      <alignment vertical="center"/>
    </xf>
    <xf numFmtId="49" fontId="9" fillId="9" borderId="0" xfId="0" applyNumberFormat="1" applyFont="1" applyFill="1" applyAlignment="1">
      <alignment horizontal="center" vertical="center"/>
    </xf>
    <xf numFmtId="49" fontId="9" fillId="0" borderId="0" xfId="0" applyNumberFormat="1" applyFont="1" applyAlignment="1">
      <alignment horizontal="center" vertical="center"/>
    </xf>
    <xf numFmtId="10" fontId="12" fillId="0" borderId="0" xfId="5" applyNumberFormat="1" applyFont="1" applyFill="1" applyAlignment="1">
      <alignment vertical="center"/>
    </xf>
    <xf numFmtId="2" fontId="17" fillId="0" borderId="0" xfId="0" applyNumberFormat="1" applyFont="1" applyAlignment="1">
      <alignment horizontal="center"/>
    </xf>
    <xf numFmtId="4" fontId="17" fillId="0" borderId="0" xfId="4" applyNumberFormat="1" applyFont="1" applyFill="1" applyAlignment="1">
      <alignment horizontal="center" vertical="center"/>
    </xf>
    <xf numFmtId="4" fontId="9" fillId="0" borderId="0" xfId="4" applyNumberFormat="1" applyFont="1" applyFill="1" applyAlignment="1">
      <alignment horizontal="center" vertical="center"/>
    </xf>
    <xf numFmtId="10" fontId="9" fillId="0" borderId="0" xfId="5" applyNumberFormat="1" applyFont="1" applyFill="1" applyAlignment="1">
      <alignment vertical="center"/>
    </xf>
    <xf numFmtId="4" fontId="11" fillId="0" borderId="0" xfId="0" applyNumberFormat="1" applyFont="1" applyAlignment="1">
      <alignment vertical="center"/>
    </xf>
    <xf numFmtId="0" fontId="11" fillId="0" borderId="0" xfId="0" applyFont="1"/>
    <xf numFmtId="49" fontId="9" fillId="0" borderId="0" xfId="0" applyNumberFormat="1" applyFont="1" applyAlignment="1">
      <alignment horizontal="center"/>
    </xf>
    <xf numFmtId="168" fontId="11" fillId="0" borderId="0" xfId="0" applyNumberFormat="1" applyFont="1" applyAlignment="1">
      <alignment vertical="center"/>
    </xf>
    <xf numFmtId="0" fontId="11" fillId="0" borderId="0" xfId="0" applyFont="1" applyAlignment="1">
      <alignment horizontal="left" vertical="center"/>
    </xf>
    <xf numFmtId="43" fontId="11" fillId="0" borderId="0" xfId="3" applyFont="1" applyFill="1" applyAlignment="1">
      <alignment vertical="center"/>
    </xf>
    <xf numFmtId="49" fontId="18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9" fillId="0" borderId="0" xfId="0" applyFont="1" applyAlignment="1">
      <alignment horizontal="right" vertical="center"/>
    </xf>
    <xf numFmtId="4" fontId="9" fillId="0" borderId="0" xfId="3" applyNumberFormat="1" applyFont="1" applyFill="1" applyAlignment="1">
      <alignment vertical="center"/>
    </xf>
    <xf numFmtId="43" fontId="19" fillId="0" borderId="0" xfId="3" applyFont="1" applyFill="1" applyAlignment="1">
      <alignment horizontal="center" vertical="center"/>
    </xf>
    <xf numFmtId="10" fontId="12" fillId="8" borderId="44" xfId="5" applyNumberFormat="1" applyFont="1" applyFill="1" applyBorder="1" applyAlignment="1">
      <alignment vertical="center"/>
    </xf>
    <xf numFmtId="0" fontId="11" fillId="8" borderId="6" xfId="0" applyFont="1" applyFill="1" applyBorder="1" applyAlignment="1">
      <alignment vertical="center"/>
    </xf>
    <xf numFmtId="0" fontId="11" fillId="8" borderId="44" xfId="0" applyFont="1" applyFill="1" applyBorder="1" applyAlignment="1">
      <alignment vertical="center"/>
    </xf>
    <xf numFmtId="43" fontId="19" fillId="8" borderId="45" xfId="3" applyFont="1" applyFill="1" applyBorder="1" applyAlignment="1">
      <alignment horizontal="center" vertical="center"/>
    </xf>
    <xf numFmtId="43" fontId="21" fillId="0" borderId="0" xfId="3" applyFont="1" applyFill="1" applyBorder="1" applyAlignment="1">
      <alignment horizontal="right"/>
    </xf>
    <xf numFmtId="0" fontId="11" fillId="8" borderId="45" xfId="0" applyFont="1" applyFill="1" applyBorder="1" applyAlignment="1">
      <alignment vertical="center"/>
    </xf>
    <xf numFmtId="43" fontId="11" fillId="0" borderId="0" xfId="3" applyFont="1" applyAlignment="1">
      <alignment vertical="center"/>
    </xf>
    <xf numFmtId="169" fontId="11" fillId="0" borderId="0" xfId="0" applyNumberFormat="1" applyFont="1" applyAlignment="1">
      <alignment vertical="center"/>
    </xf>
    <xf numFmtId="10" fontId="12" fillId="8" borderId="45" xfId="5" applyNumberFormat="1" applyFont="1" applyFill="1" applyBorder="1" applyAlignment="1">
      <alignment vertical="center"/>
    </xf>
    <xf numFmtId="0" fontId="20" fillId="0" borderId="0" xfId="0" applyFont="1" applyAlignment="1">
      <alignment horizontal="right"/>
    </xf>
    <xf numFmtId="0" fontId="20" fillId="0" borderId="0" xfId="0" applyFont="1"/>
    <xf numFmtId="9" fontId="20" fillId="0" borderId="0" xfId="0" applyNumberFormat="1" applyFont="1"/>
    <xf numFmtId="43" fontId="11" fillId="0" borderId="0" xfId="0" applyNumberFormat="1" applyFont="1" applyAlignment="1">
      <alignment vertical="center"/>
    </xf>
    <xf numFmtId="9" fontId="22" fillId="0" borderId="0" xfId="5" applyFont="1" applyFill="1" applyAlignment="1">
      <alignment horizontal="center"/>
    </xf>
    <xf numFmtId="0" fontId="19" fillId="0" borderId="0" xfId="0" applyFont="1" applyAlignment="1">
      <alignment horizontal="right" vertical="center"/>
    </xf>
    <xf numFmtId="4" fontId="19" fillId="0" borderId="0" xfId="3" applyNumberFormat="1" applyFont="1" applyFill="1" applyAlignment="1">
      <alignment vertical="center"/>
    </xf>
    <xf numFmtId="4" fontId="19" fillId="0" borderId="0" xfId="4" applyNumberFormat="1" applyFont="1" applyAlignment="1">
      <alignment horizontal="center" vertical="center"/>
    </xf>
    <xf numFmtId="0" fontId="23" fillId="0" borderId="0" xfId="0" applyFont="1" applyAlignment="1">
      <alignment horizontal="right"/>
    </xf>
    <xf numFmtId="0" fontId="24" fillId="0" borderId="0" xfId="0" applyFont="1" applyAlignment="1">
      <alignment horizontal="right"/>
    </xf>
    <xf numFmtId="0" fontId="24" fillId="0" borderId="23" xfId="0" applyFont="1" applyBorder="1" applyAlignment="1">
      <alignment horizontal="right"/>
    </xf>
    <xf numFmtId="43" fontId="25" fillId="5" borderId="46" xfId="3" applyFont="1" applyFill="1" applyBorder="1" applyAlignment="1">
      <alignment horizontal="right"/>
    </xf>
    <xf numFmtId="43" fontId="25" fillId="0" borderId="0" xfId="3" applyFont="1" applyFill="1" applyBorder="1" applyAlignment="1">
      <alignment horizontal="right"/>
    </xf>
    <xf numFmtId="43" fontId="9" fillId="0" borderId="14" xfId="3" applyFont="1" applyFill="1" applyBorder="1" applyAlignment="1">
      <alignment vertical="center"/>
    </xf>
    <xf numFmtId="0" fontId="26" fillId="0" borderId="0" xfId="0" applyFont="1" applyAlignment="1">
      <alignment horizontal="left" vertical="center"/>
    </xf>
    <xf numFmtId="4" fontId="19" fillId="0" borderId="0" xfId="4" applyNumberFormat="1" applyFont="1" applyFill="1" applyAlignment="1">
      <alignment horizontal="center" vertical="center"/>
    </xf>
    <xf numFmtId="10" fontId="27" fillId="0" borderId="0" xfId="5" applyNumberFormat="1" applyFont="1" applyFill="1" applyAlignment="1">
      <alignment horizontal="right"/>
    </xf>
    <xf numFmtId="170" fontId="9" fillId="8" borderId="14" xfId="3" applyNumberFormat="1" applyFont="1" applyFill="1" applyBorder="1" applyAlignment="1">
      <alignment vertical="center"/>
    </xf>
    <xf numFmtId="4" fontId="11" fillId="0" borderId="0" xfId="0" applyNumberFormat="1" applyFont="1" applyAlignment="1">
      <alignment horizontal="center" vertical="center"/>
    </xf>
    <xf numFmtId="43" fontId="9" fillId="10" borderId="14" xfId="3" applyFont="1" applyFill="1" applyBorder="1" applyAlignment="1">
      <alignment vertical="center"/>
    </xf>
    <xf numFmtId="171" fontId="28" fillId="0" borderId="0" xfId="0" applyNumberFormat="1" applyFont="1" applyAlignment="1">
      <alignment horizontal="center" vertical="center"/>
    </xf>
    <xf numFmtId="43" fontId="11" fillId="11" borderId="0" xfId="0" applyNumberFormat="1" applyFont="1" applyFill="1" applyAlignment="1">
      <alignment vertical="center"/>
    </xf>
    <xf numFmtId="0" fontId="11" fillId="4" borderId="0" xfId="0" applyFont="1" applyFill="1" applyAlignment="1">
      <alignment horizontal="center" vertical="center"/>
    </xf>
    <xf numFmtId="4" fontId="9" fillId="0" borderId="0" xfId="0" applyNumberFormat="1" applyFont="1" applyAlignment="1">
      <alignment horizontal="center" vertical="center"/>
    </xf>
    <xf numFmtId="0" fontId="12" fillId="8" borderId="47" xfId="0" applyFont="1" applyFill="1" applyBorder="1" applyAlignment="1">
      <alignment vertical="center"/>
    </xf>
    <xf numFmtId="0" fontId="30" fillId="0" borderId="0" xfId="0" applyFont="1" applyAlignment="1">
      <alignment vertical="center"/>
    </xf>
    <xf numFmtId="2" fontId="27" fillId="0" borderId="0" xfId="3" applyNumberFormat="1" applyFont="1" applyFill="1" applyBorder="1" applyAlignment="1">
      <alignment horizontal="center"/>
    </xf>
    <xf numFmtId="2" fontId="24" fillId="0" borderId="0" xfId="3" applyNumberFormat="1" applyFont="1" applyFill="1" applyBorder="1" applyAlignment="1">
      <alignment horizontal="center"/>
    </xf>
    <xf numFmtId="0" fontId="11" fillId="8" borderId="47" xfId="0" applyFont="1" applyFill="1" applyBorder="1" applyAlignment="1">
      <alignment vertical="center"/>
    </xf>
    <xf numFmtId="10" fontId="11" fillId="0" borderId="0" xfId="5" applyNumberFormat="1" applyFont="1" applyFill="1" applyAlignment="1">
      <alignment vertical="center"/>
    </xf>
    <xf numFmtId="4" fontId="11" fillId="0" borderId="0" xfId="3" applyNumberFormat="1" applyFont="1" applyFill="1" applyAlignment="1">
      <alignment vertical="center"/>
    </xf>
    <xf numFmtId="43" fontId="25" fillId="8" borderId="6" xfId="3" applyFont="1" applyFill="1" applyBorder="1" applyAlignment="1">
      <alignment horizontal="right"/>
    </xf>
    <xf numFmtId="0" fontId="9" fillId="8" borderId="5" xfId="0" applyFont="1" applyFill="1" applyBorder="1" applyAlignment="1">
      <alignment horizontal="right" vertical="center"/>
    </xf>
    <xf numFmtId="10" fontId="31" fillId="0" borderId="0" xfId="3" applyNumberFormat="1" applyFont="1" applyFill="1" applyAlignment="1">
      <alignment vertical="center"/>
    </xf>
    <xf numFmtId="10" fontId="12" fillId="0" borderId="0" xfId="5" applyNumberFormat="1" applyFont="1" applyFill="1" applyBorder="1" applyAlignment="1">
      <alignment vertical="center"/>
    </xf>
    <xf numFmtId="171" fontId="32" fillId="0" borderId="0" xfId="0" applyNumberFormat="1" applyFont="1" applyAlignment="1">
      <alignment horizontal="center" vertical="center"/>
    </xf>
    <xf numFmtId="2" fontId="11" fillId="0" borderId="0" xfId="0" applyNumberFormat="1" applyFont="1" applyAlignment="1">
      <alignment vertical="center"/>
    </xf>
    <xf numFmtId="0" fontId="11" fillId="4" borderId="46" xfId="0" applyFont="1" applyFill="1" applyBorder="1" applyAlignment="1">
      <alignment horizontal="center" vertical="center"/>
    </xf>
    <xf numFmtId="43" fontId="33" fillId="0" borderId="0" xfId="3" applyFont="1" applyFill="1" applyAlignment="1">
      <alignment vertical="center"/>
    </xf>
    <xf numFmtId="0" fontId="11" fillId="12" borderId="0" xfId="0" applyFont="1" applyFill="1" applyAlignment="1">
      <alignment vertical="center"/>
    </xf>
    <xf numFmtId="4" fontId="34" fillId="0" borderId="0" xfId="4" applyNumberFormat="1" applyFont="1" applyFill="1" applyAlignment="1">
      <alignment horizontal="center" vertical="center" wrapText="1"/>
    </xf>
    <xf numFmtId="9" fontId="11" fillId="0" borderId="0" xfId="3" applyNumberFormat="1" applyFont="1" applyFill="1" applyAlignment="1">
      <alignment vertical="center"/>
    </xf>
    <xf numFmtId="0" fontId="1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8" fillId="0" borderId="0" xfId="0" applyFont="1" applyAlignment="1">
      <alignment horizontal="right" vertical="center"/>
    </xf>
    <xf numFmtId="4" fontId="18" fillId="0" borderId="0" xfId="3" applyNumberFormat="1" applyFont="1" applyFill="1" applyAlignment="1">
      <alignment vertical="center"/>
    </xf>
    <xf numFmtId="4" fontId="9" fillId="14" borderId="46" xfId="3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43" fontId="10" fillId="0" borderId="0" xfId="3" applyFont="1" applyFill="1" applyAlignment="1">
      <alignment vertical="center"/>
    </xf>
    <xf numFmtId="9" fontId="10" fillId="0" borderId="0" xfId="3" applyNumberFormat="1" applyFont="1" applyFill="1" applyAlignment="1">
      <alignment vertical="center"/>
    </xf>
    <xf numFmtId="4" fontId="9" fillId="0" borderId="0" xfId="3" applyNumberFormat="1" applyFont="1" applyFill="1" applyAlignment="1">
      <alignment horizontal="center" vertical="center"/>
    </xf>
    <xf numFmtId="10" fontId="28" fillId="0" borderId="0" xfId="5" applyNumberFormat="1" applyFont="1" applyFill="1" applyAlignment="1">
      <alignment vertical="center"/>
    </xf>
    <xf numFmtId="43" fontId="28" fillId="0" borderId="0" xfId="3" applyFont="1" applyFill="1" applyBorder="1" applyAlignment="1">
      <alignment vertical="center"/>
    </xf>
    <xf numFmtId="4" fontId="11" fillId="0" borderId="0" xfId="0" applyNumberFormat="1" applyFont="1" applyAlignment="1">
      <alignment horizontal="center"/>
    </xf>
    <xf numFmtId="43" fontId="11" fillId="0" borderId="0" xfId="3" applyFont="1" applyFill="1" applyBorder="1"/>
    <xf numFmtId="10" fontId="28" fillId="0" borderId="0" xfId="5" applyNumberFormat="1" applyFont="1" applyFill="1" applyBorder="1" applyAlignment="1">
      <alignment vertical="center"/>
    </xf>
    <xf numFmtId="0" fontId="28" fillId="0" borderId="0" xfId="0" applyFont="1" applyAlignment="1">
      <alignment horizontal="right"/>
    </xf>
    <xf numFmtId="43" fontId="11" fillId="0" borderId="0" xfId="3" applyFont="1" applyFill="1" applyBorder="1" applyAlignment="1">
      <alignment horizontal="center"/>
    </xf>
    <xf numFmtId="9" fontId="37" fillId="0" borderId="0" xfId="0" applyNumberFormat="1" applyFont="1" applyAlignment="1">
      <alignment horizontal="left"/>
    </xf>
    <xf numFmtId="4" fontId="9" fillId="0" borderId="0" xfId="0" applyNumberFormat="1" applyFont="1" applyAlignment="1">
      <alignment horizontal="center"/>
    </xf>
    <xf numFmtId="171" fontId="9" fillId="0" borderId="0" xfId="0" applyNumberFormat="1" applyFont="1"/>
    <xf numFmtId="0" fontId="38" fillId="0" borderId="27" xfId="1" applyFont="1" applyBorder="1" applyAlignment="1">
      <alignment horizontal="center" vertical="center"/>
    </xf>
    <xf numFmtId="0" fontId="38" fillId="0" borderId="13" xfId="1" applyFont="1" applyBorder="1" applyAlignment="1">
      <alignment horizontal="center" vertical="center"/>
    </xf>
    <xf numFmtId="0" fontId="39" fillId="0" borderId="14" xfId="1" applyFont="1" applyBorder="1" applyAlignment="1">
      <alignment vertical="center"/>
    </xf>
    <xf numFmtId="0" fontId="38" fillId="0" borderId="14" xfId="1" applyFont="1" applyBorder="1" applyAlignment="1">
      <alignment horizontal="center" vertical="center"/>
    </xf>
    <xf numFmtId="1" fontId="38" fillId="0" borderId="14" xfId="1" applyNumberFormat="1" applyFont="1" applyBorder="1" applyAlignment="1">
      <alignment horizontal="center"/>
    </xf>
    <xf numFmtId="1" fontId="38" fillId="0" borderId="14" xfId="1" applyNumberFormat="1" applyFont="1" applyBorder="1" applyAlignment="1">
      <alignment horizontal="center" wrapText="1"/>
    </xf>
    <xf numFmtId="0" fontId="40" fillId="0" borderId="26" xfId="1" applyFont="1" applyBorder="1" applyAlignment="1">
      <alignment horizontal="center"/>
    </xf>
    <xf numFmtId="1" fontId="41" fillId="0" borderId="14" xfId="0" applyNumberFormat="1" applyFont="1" applyBorder="1"/>
    <xf numFmtId="0" fontId="41" fillId="0" borderId="14" xfId="0" applyFont="1" applyBorder="1" applyAlignment="1">
      <alignment horizontal="center"/>
    </xf>
    <xf numFmtId="0" fontId="41" fillId="0" borderId="14" xfId="0" applyFont="1" applyBorder="1"/>
    <xf numFmtId="0" fontId="40" fillId="0" borderId="14" xfId="0" applyFont="1" applyBorder="1" applyAlignment="1">
      <alignment horizontal="center" vertical="center"/>
    </xf>
    <xf numFmtId="1" fontId="40" fillId="0" borderId="14" xfId="0" applyNumberFormat="1" applyFont="1" applyBorder="1" applyAlignment="1">
      <alignment horizontal="center" vertical="center"/>
    </xf>
    <xf numFmtId="1" fontId="40" fillId="0" borderId="14" xfId="0" applyNumberFormat="1" applyFont="1" applyBorder="1" applyAlignment="1">
      <alignment horizontal="center" vertical="center" wrapText="1"/>
    </xf>
    <xf numFmtId="0" fontId="40" fillId="0" borderId="17" xfId="0" applyFont="1" applyBorder="1" applyAlignment="1">
      <alignment horizontal="center" wrapText="1"/>
    </xf>
    <xf numFmtId="12" fontId="40" fillId="0" borderId="17" xfId="0" applyNumberFormat="1" applyFont="1" applyBorder="1" applyAlignment="1">
      <alignment horizontal="center"/>
    </xf>
    <xf numFmtId="0" fontId="40" fillId="0" borderId="14" xfId="0" applyFont="1" applyBorder="1" applyAlignment="1">
      <alignment horizontal="left" vertical="center"/>
    </xf>
    <xf numFmtId="0" fontId="41" fillId="0" borderId="13" xfId="0" applyFont="1" applyBorder="1" applyAlignment="1">
      <alignment horizontal="center"/>
    </xf>
    <xf numFmtId="0" fontId="40" fillId="0" borderId="14" xfId="0" applyFont="1" applyBorder="1" applyAlignment="1">
      <alignment horizontal="center"/>
    </xf>
    <xf numFmtId="49" fontId="40" fillId="0" borderId="27" xfId="1" applyNumberFormat="1" applyFont="1" applyBorder="1" applyAlignment="1">
      <alignment horizontal="center"/>
    </xf>
    <xf numFmtId="49" fontId="40" fillId="0" borderId="13" xfId="1" applyNumberFormat="1" applyFont="1" applyBorder="1" applyAlignment="1">
      <alignment horizontal="center"/>
    </xf>
    <xf numFmtId="0" fontId="38" fillId="4" borderId="14" xfId="1" applyFont="1" applyFill="1" applyBorder="1" applyAlignment="1">
      <alignment horizontal="left"/>
    </xf>
    <xf numFmtId="0" fontId="40" fillId="4" borderId="14" xfId="1" applyFont="1" applyFill="1" applyBorder="1" applyAlignment="1">
      <alignment horizontal="center"/>
    </xf>
    <xf numFmtId="1" fontId="41" fillId="0" borderId="13" xfId="0" applyNumberFormat="1" applyFont="1" applyBorder="1"/>
    <xf numFmtId="0" fontId="40" fillId="0" borderId="14" xfId="1" applyFont="1" applyBorder="1" applyAlignment="1">
      <alignment horizontal="center"/>
    </xf>
    <xf numFmtId="165" fontId="40" fillId="0" borderId="14" xfId="1" applyNumberFormat="1" applyFont="1" applyBorder="1" applyAlignment="1">
      <alignment horizontal="center"/>
    </xf>
    <xf numFmtId="1" fontId="40" fillId="0" borderId="14" xfId="1" applyNumberFormat="1" applyFont="1" applyBorder="1" applyAlignment="1">
      <alignment horizontal="center" wrapText="1"/>
    </xf>
    <xf numFmtId="0" fontId="41" fillId="4" borderId="27" xfId="0" applyFont="1" applyFill="1" applyBorder="1" applyAlignment="1">
      <alignment horizontal="center"/>
    </xf>
    <xf numFmtId="0" fontId="41" fillId="4" borderId="18" xfId="0" applyFont="1" applyFill="1" applyBorder="1" applyAlignment="1">
      <alignment horizontal="center"/>
    </xf>
    <xf numFmtId="0" fontId="41" fillId="4" borderId="17" xfId="0" applyFont="1" applyFill="1" applyBorder="1"/>
    <xf numFmtId="0" fontId="40" fillId="4" borderId="13" xfId="0" applyFont="1" applyFill="1" applyBorder="1" applyAlignment="1">
      <alignment horizontal="center"/>
    </xf>
    <xf numFmtId="1" fontId="40" fillId="4" borderId="17" xfId="0" applyNumberFormat="1" applyFont="1" applyFill="1" applyBorder="1" applyAlignment="1">
      <alignment horizontal="center"/>
    </xf>
    <xf numFmtId="1" fontId="40" fillId="4" borderId="17" xfId="0" applyNumberFormat="1" applyFont="1" applyFill="1" applyBorder="1" applyAlignment="1">
      <alignment horizontal="center" wrapText="1"/>
    </xf>
    <xf numFmtId="16" fontId="40" fillId="0" borderId="14" xfId="0" applyNumberFormat="1" applyFont="1" applyBorder="1" applyAlignment="1">
      <alignment horizontal="center"/>
    </xf>
    <xf numFmtId="1" fontId="40" fillId="0" borderId="14" xfId="0" applyNumberFormat="1" applyFont="1" applyBorder="1" applyAlignment="1">
      <alignment horizontal="center"/>
    </xf>
    <xf numFmtId="1" fontId="40" fillId="0" borderId="14" xfId="0" applyNumberFormat="1" applyFont="1" applyBorder="1" applyAlignment="1">
      <alignment horizontal="center" wrapText="1"/>
    </xf>
    <xf numFmtId="49" fontId="38" fillId="0" borderId="15" xfId="1" applyNumberFormat="1" applyFont="1" applyBorder="1" applyAlignment="1">
      <alignment horizontal="center"/>
    </xf>
    <xf numFmtId="49" fontId="38" fillId="0" borderId="38" xfId="1" applyNumberFormat="1" applyFont="1" applyBorder="1" applyAlignment="1">
      <alignment horizontal="center"/>
    </xf>
    <xf numFmtId="0" fontId="39" fillId="4" borderId="14" xfId="1" applyFont="1" applyFill="1" applyBorder="1" applyAlignment="1">
      <alignment vertical="center"/>
    </xf>
    <xf numFmtId="0" fontId="38" fillId="0" borderId="13" xfId="1" applyFont="1" applyBorder="1" applyAlignment="1">
      <alignment horizontal="center"/>
    </xf>
    <xf numFmtId="165" fontId="38" fillId="0" borderId="14" xfId="1" applyNumberFormat="1" applyFont="1" applyBorder="1" applyAlignment="1">
      <alignment horizontal="center"/>
    </xf>
    <xf numFmtId="49" fontId="40" fillId="0" borderId="27" xfId="0" applyNumberFormat="1" applyFont="1" applyBorder="1" applyAlignment="1">
      <alignment horizontal="center"/>
    </xf>
    <xf numFmtId="49" fontId="40" fillId="0" borderId="13" xfId="0" applyNumberFormat="1" applyFont="1" applyBorder="1" applyAlignment="1">
      <alignment horizontal="center"/>
    </xf>
    <xf numFmtId="49" fontId="38" fillId="0" borderId="14" xfId="0" applyNumberFormat="1" applyFont="1" applyBorder="1"/>
    <xf numFmtId="166" fontId="38" fillId="4" borderId="14" xfId="3" applyNumberFormat="1" applyFont="1" applyFill="1" applyBorder="1" applyAlignment="1">
      <alignment horizontal="center"/>
    </xf>
    <xf numFmtId="0" fontId="42" fillId="0" borderId="27" xfId="0" applyFont="1" applyBorder="1" applyAlignment="1">
      <alignment horizontal="center"/>
    </xf>
    <xf numFmtId="0" fontId="42" fillId="0" borderId="13" xfId="0" applyFont="1" applyBorder="1" applyAlignment="1">
      <alignment horizontal="center"/>
    </xf>
    <xf numFmtId="0" fontId="42" fillId="0" borderId="14" xfId="0" applyFont="1" applyBorder="1"/>
    <xf numFmtId="0" fontId="41" fillId="0" borderId="14" xfId="0" applyFont="1" applyBorder="1" applyAlignment="1">
      <alignment horizontal="center" vertical="center"/>
    </xf>
    <xf numFmtId="0" fontId="41" fillId="0" borderId="14" xfId="0" applyFont="1" applyBorder="1" applyAlignment="1">
      <alignment horizontal="left" vertical="center"/>
    </xf>
    <xf numFmtId="12" fontId="40" fillId="0" borderId="14" xfId="1" applyNumberFormat="1" applyFont="1" applyBorder="1" applyAlignment="1">
      <alignment horizontal="center"/>
    </xf>
    <xf numFmtId="1" fontId="40" fillId="0" borderId="14" xfId="1" applyNumberFormat="1" applyFont="1" applyBorder="1" applyAlignment="1">
      <alignment horizontal="center"/>
    </xf>
    <xf numFmtId="0" fontId="40" fillId="0" borderId="14" xfId="0" quotePrefix="1" applyFont="1" applyBorder="1" applyAlignment="1">
      <alignment horizontal="center"/>
    </xf>
    <xf numFmtId="0" fontId="40" fillId="0" borderId="14" xfId="0" quotePrefix="1" applyFont="1" applyBorder="1"/>
    <xf numFmtId="49" fontId="42" fillId="3" borderId="24" xfId="1" applyNumberFormat="1" applyFont="1" applyFill="1" applyBorder="1" applyAlignment="1">
      <alignment horizontal="center" vertical="center"/>
    </xf>
    <xf numFmtId="49" fontId="42" fillId="3" borderId="0" xfId="1" applyNumberFormat="1" applyFont="1" applyFill="1" applyAlignment="1">
      <alignment horizontal="center" vertical="center"/>
    </xf>
    <xf numFmtId="0" fontId="40" fillId="3" borderId="0" xfId="1" applyFont="1" applyFill="1"/>
    <xf numFmtId="1" fontId="40" fillId="3" borderId="0" xfId="1" applyNumberFormat="1" applyFont="1" applyFill="1" applyAlignment="1">
      <alignment horizontal="center"/>
    </xf>
    <xf numFmtId="164" fontId="40" fillId="3" borderId="0" xfId="1" applyNumberFormat="1" applyFont="1" applyFill="1" applyAlignment="1">
      <alignment horizontal="center" wrapText="1"/>
    </xf>
    <xf numFmtId="0" fontId="40" fillId="3" borderId="23" xfId="1" applyFont="1" applyFill="1" applyBorder="1" applyAlignment="1">
      <alignment horizontal="center"/>
    </xf>
    <xf numFmtId="0" fontId="40" fillId="2" borderId="7" xfId="1" applyFont="1" applyFill="1" applyBorder="1" applyAlignment="1">
      <alignment horizontal="center"/>
    </xf>
    <xf numFmtId="0" fontId="40" fillId="2" borderId="6" xfId="1" applyFont="1" applyFill="1" applyBorder="1" applyAlignment="1">
      <alignment horizontal="center"/>
    </xf>
    <xf numFmtId="0" fontId="40" fillId="2" borderId="6" xfId="1" applyFont="1" applyFill="1" applyBorder="1"/>
    <xf numFmtId="0" fontId="38" fillId="2" borderId="6" xfId="1" applyFont="1" applyFill="1" applyBorder="1" applyAlignment="1">
      <alignment horizontal="center"/>
    </xf>
    <xf numFmtId="1" fontId="38" fillId="2" borderId="6" xfId="1" applyNumberFormat="1" applyFont="1" applyFill="1" applyBorder="1" applyAlignment="1">
      <alignment horizontal="center"/>
    </xf>
    <xf numFmtId="164" fontId="40" fillId="2" borderId="6" xfId="1" applyNumberFormat="1" applyFont="1" applyFill="1" applyBorder="1" applyAlignment="1">
      <alignment horizontal="center" wrapText="1"/>
    </xf>
    <xf numFmtId="0" fontId="40" fillId="2" borderId="5" xfId="1" applyFont="1" applyFill="1" applyBorder="1" applyAlignment="1">
      <alignment horizontal="center"/>
    </xf>
    <xf numFmtId="1" fontId="38" fillId="0" borderId="17" xfId="0" applyNumberFormat="1" applyFont="1" applyBorder="1" applyAlignment="1">
      <alignment horizontal="center"/>
    </xf>
    <xf numFmtId="0" fontId="40" fillId="0" borderId="16" xfId="0" applyFont="1" applyBorder="1" applyAlignment="1">
      <alignment horizontal="center"/>
    </xf>
    <xf numFmtId="1" fontId="40" fillId="0" borderId="9" xfId="0" applyNumberFormat="1" applyFont="1" applyBorder="1" applyAlignment="1">
      <alignment horizontal="center"/>
    </xf>
    <xf numFmtId="0" fontId="40" fillId="0" borderId="9" xfId="0" applyFont="1" applyBorder="1" applyAlignment="1">
      <alignment horizontal="center"/>
    </xf>
    <xf numFmtId="0" fontId="44" fillId="0" borderId="0" xfId="0" applyFont="1"/>
    <xf numFmtId="0" fontId="41" fillId="0" borderId="12" xfId="0" applyFont="1" applyBorder="1" applyAlignment="1">
      <alignment horizontal="center" vertical="center"/>
    </xf>
    <xf numFmtId="0" fontId="41" fillId="0" borderId="52" xfId="0" applyFont="1" applyBorder="1" applyAlignment="1">
      <alignment horizontal="center" vertical="center"/>
    </xf>
    <xf numFmtId="0" fontId="41" fillId="0" borderId="17" xfId="0" applyFont="1" applyBorder="1" applyAlignment="1">
      <alignment horizontal="center" vertical="center"/>
    </xf>
    <xf numFmtId="0" fontId="44" fillId="0" borderId="14" xfId="0" applyFont="1" applyBorder="1" applyAlignment="1">
      <alignment horizontal="center"/>
    </xf>
    <xf numFmtId="0" fontId="4" fillId="3" borderId="0" xfId="2" applyFont="1" applyFill="1" applyAlignment="1">
      <alignment horizontal="right"/>
    </xf>
    <xf numFmtId="0" fontId="3" fillId="3" borderId="1" xfId="2" applyFont="1" applyFill="1" applyBorder="1" applyAlignment="1">
      <alignment horizontal="center"/>
    </xf>
    <xf numFmtId="0" fontId="4" fillId="3" borderId="0" xfId="2" applyFont="1" applyFill="1"/>
    <xf numFmtId="0" fontId="8" fillId="2" borderId="22" xfId="1" applyFont="1" applyFill="1" applyBorder="1" applyAlignment="1">
      <alignment horizontal="center" vertical="center"/>
    </xf>
    <xf numFmtId="0" fontId="8" fillId="2" borderId="10" xfId="1" applyFont="1" applyFill="1" applyBorder="1" applyAlignment="1">
      <alignment horizontal="center" vertical="center"/>
    </xf>
    <xf numFmtId="0" fontId="8" fillId="2" borderId="22" xfId="1" applyFont="1" applyFill="1" applyBorder="1" applyAlignment="1">
      <alignment horizontal="center" vertical="center" wrapText="1"/>
    </xf>
    <xf numFmtId="0" fontId="8" fillId="2" borderId="10" xfId="1" applyFont="1" applyFill="1" applyBorder="1" applyAlignment="1">
      <alignment horizontal="center" vertical="center" wrapText="1"/>
    </xf>
    <xf numFmtId="0" fontId="8" fillId="2" borderId="21" xfId="1" applyFont="1" applyFill="1" applyBorder="1" applyAlignment="1">
      <alignment horizontal="center" vertical="center"/>
    </xf>
    <xf numFmtId="0" fontId="8" fillId="2" borderId="9" xfId="1" applyFont="1" applyFill="1" applyBorder="1" applyAlignment="1">
      <alignment horizontal="center" vertical="center"/>
    </xf>
    <xf numFmtId="14" fontId="6" fillId="3" borderId="19" xfId="2" applyNumberFormat="1" applyFont="1" applyFill="1" applyBorder="1" applyAlignment="1">
      <alignment horizontal="center" vertical="center" wrapText="1"/>
    </xf>
    <xf numFmtId="14" fontId="6" fillId="3" borderId="37" xfId="2" applyNumberFormat="1" applyFont="1" applyFill="1" applyBorder="1" applyAlignment="1">
      <alignment horizontal="center" vertical="center" wrapText="1"/>
    </xf>
    <xf numFmtId="14" fontId="6" fillId="3" borderId="40" xfId="2" applyNumberFormat="1" applyFont="1" applyFill="1" applyBorder="1" applyAlignment="1">
      <alignment horizontal="center" vertical="center" wrapText="1"/>
    </xf>
    <xf numFmtId="0" fontId="6" fillId="3" borderId="33" xfId="2" applyFont="1" applyFill="1" applyBorder="1" applyAlignment="1">
      <alignment horizontal="left"/>
    </xf>
    <xf numFmtId="0" fontId="6" fillId="3" borderId="34" xfId="2" applyFont="1" applyFill="1" applyBorder="1" applyAlignment="1">
      <alignment horizontal="left"/>
    </xf>
    <xf numFmtId="0" fontId="6" fillId="3" borderId="35" xfId="2" applyFont="1" applyFill="1" applyBorder="1" applyAlignment="1">
      <alignment horizontal="left"/>
    </xf>
    <xf numFmtId="0" fontId="6" fillId="3" borderId="12" xfId="2" applyFont="1" applyFill="1" applyBorder="1" applyAlignment="1">
      <alignment horizontal="left"/>
    </xf>
    <xf numFmtId="0" fontId="6" fillId="3" borderId="38" xfId="2" applyFont="1" applyFill="1" applyBorder="1" applyAlignment="1">
      <alignment horizontal="left"/>
    </xf>
    <xf numFmtId="0" fontId="6" fillId="3" borderId="13" xfId="2" applyFont="1" applyFill="1" applyBorder="1" applyAlignment="1">
      <alignment horizontal="left"/>
    </xf>
    <xf numFmtId="0" fontId="6" fillId="3" borderId="28" xfId="2" applyFont="1" applyFill="1" applyBorder="1" applyAlignment="1">
      <alignment horizontal="center"/>
    </xf>
    <xf numFmtId="0" fontId="6" fillId="3" borderId="29" xfId="2" applyFont="1" applyFill="1" applyBorder="1" applyAlignment="1">
      <alignment horizontal="center"/>
    </xf>
    <xf numFmtId="0" fontId="6" fillId="3" borderId="24" xfId="2" applyFont="1" applyFill="1" applyBorder="1" applyAlignment="1">
      <alignment horizontal="center"/>
    </xf>
    <xf numFmtId="0" fontId="6" fillId="3" borderId="0" xfId="2" applyFont="1" applyFill="1" applyAlignment="1">
      <alignment horizontal="center"/>
    </xf>
    <xf numFmtId="0" fontId="6" fillId="3" borderId="4" xfId="2" applyFont="1" applyFill="1" applyBorder="1" applyAlignment="1">
      <alignment horizontal="center"/>
    </xf>
    <xf numFmtId="0" fontId="6" fillId="3" borderId="3" xfId="2" applyFont="1" applyFill="1" applyBorder="1" applyAlignment="1">
      <alignment horizontal="center"/>
    </xf>
    <xf numFmtId="0" fontId="7" fillId="3" borderId="21" xfId="2" applyFont="1" applyFill="1" applyBorder="1" applyAlignment="1">
      <alignment horizontal="center"/>
    </xf>
    <xf numFmtId="0" fontId="7" fillId="3" borderId="8" xfId="2" applyFont="1" applyFill="1" applyBorder="1" applyAlignment="1">
      <alignment horizontal="center"/>
    </xf>
    <xf numFmtId="0" fontId="7" fillId="3" borderId="30" xfId="2" applyFont="1" applyFill="1" applyBorder="1" applyAlignment="1">
      <alignment horizontal="center"/>
    </xf>
    <xf numFmtId="0" fontId="7" fillId="3" borderId="31" xfId="2" applyFont="1" applyFill="1" applyBorder="1" applyAlignment="1">
      <alignment horizontal="center"/>
    </xf>
    <xf numFmtId="0" fontId="43" fillId="5" borderId="14" xfId="2" applyFont="1" applyFill="1" applyBorder="1" applyAlignment="1">
      <alignment horizontal="center" vertical="center" wrapText="1"/>
    </xf>
    <xf numFmtId="0" fontId="8" fillId="3" borderId="32" xfId="2" applyFont="1" applyFill="1" applyBorder="1" applyAlignment="1">
      <alignment horizontal="right" vertical="top" wrapText="1"/>
    </xf>
    <xf numFmtId="0" fontId="8" fillId="3" borderId="36" xfId="2" applyFont="1" applyFill="1" applyBorder="1" applyAlignment="1">
      <alignment horizontal="right" vertical="top" wrapText="1"/>
    </xf>
    <xf numFmtId="0" fontId="8" fillId="3" borderId="39" xfId="2" applyFont="1" applyFill="1" applyBorder="1" applyAlignment="1">
      <alignment horizontal="right" vertical="top" wrapText="1"/>
    </xf>
    <xf numFmtId="0" fontId="38" fillId="0" borderId="4" xfId="1" applyFont="1" applyBorder="1" applyAlignment="1">
      <alignment horizontal="right"/>
    </xf>
    <xf numFmtId="0" fontId="38" fillId="0" borderId="3" xfId="1" applyFont="1" applyBorder="1" applyAlignment="1">
      <alignment horizontal="right"/>
    </xf>
    <xf numFmtId="0" fontId="38" fillId="0" borderId="18" xfId="1" applyFont="1" applyBorder="1" applyAlignment="1">
      <alignment horizontal="right"/>
    </xf>
    <xf numFmtId="164" fontId="40" fillId="0" borderId="17" xfId="1" applyNumberFormat="1" applyFont="1" applyBorder="1" applyAlignment="1">
      <alignment horizontal="right"/>
    </xf>
    <xf numFmtId="0" fontId="40" fillId="3" borderId="16" xfId="1" applyFont="1" applyFill="1" applyBorder="1" applyAlignment="1">
      <alignment horizontal="center"/>
    </xf>
    <xf numFmtId="0" fontId="40" fillId="3" borderId="2" xfId="1" applyFont="1" applyFill="1" applyBorder="1" applyAlignment="1">
      <alignment horizontal="center"/>
    </xf>
    <xf numFmtId="0" fontId="38" fillId="0" borderId="15" xfId="1" applyFont="1" applyBorder="1" applyAlignment="1">
      <alignment horizontal="right"/>
    </xf>
    <xf numFmtId="0" fontId="38" fillId="0" borderId="38" xfId="1" applyFont="1" applyBorder="1" applyAlignment="1">
      <alignment horizontal="right"/>
    </xf>
    <xf numFmtId="0" fontId="38" fillId="0" borderId="13" xfId="1" applyFont="1" applyBorder="1" applyAlignment="1">
      <alignment horizontal="right"/>
    </xf>
    <xf numFmtId="0" fontId="40" fillId="0" borderId="14" xfId="1" applyFont="1" applyBorder="1" applyAlignment="1">
      <alignment horizontal="right"/>
    </xf>
    <xf numFmtId="164" fontId="40" fillId="0" borderId="12" xfId="1" applyNumberFormat="1" applyFont="1" applyBorder="1" applyAlignment="1">
      <alignment horizontal="center"/>
    </xf>
    <xf numFmtId="164" fontId="40" fillId="0" borderId="11" xfId="1" applyNumberFormat="1" applyFont="1" applyBorder="1" applyAlignment="1">
      <alignment horizontal="center"/>
    </xf>
    <xf numFmtId="164" fontId="40" fillId="0" borderId="12" xfId="1" applyNumberFormat="1" applyFont="1" applyBorder="1" applyAlignment="1">
      <alignment horizontal="right" wrapText="1"/>
    </xf>
    <xf numFmtId="164" fontId="40" fillId="0" borderId="13" xfId="1" applyNumberFormat="1" applyFont="1" applyBorder="1" applyAlignment="1">
      <alignment horizontal="right" wrapText="1"/>
    </xf>
    <xf numFmtId="164" fontId="40" fillId="0" borderId="12" xfId="0" applyNumberFormat="1" applyFont="1" applyBorder="1" applyAlignment="1">
      <alignment horizontal="center" wrapText="1"/>
    </xf>
    <xf numFmtId="164" fontId="40" fillId="0" borderId="11" xfId="0" applyNumberFormat="1" applyFont="1" applyBorder="1" applyAlignment="1">
      <alignment horizontal="center" wrapText="1"/>
    </xf>
    <xf numFmtId="0" fontId="38" fillId="0" borderId="10" xfId="1" applyFont="1" applyBorder="1" applyAlignment="1">
      <alignment horizontal="right"/>
    </xf>
    <xf numFmtId="0" fontId="38" fillId="0" borderId="31" xfId="1" applyFont="1" applyBorder="1" applyAlignment="1">
      <alignment horizontal="right"/>
    </xf>
    <xf numFmtId="0" fontId="38" fillId="0" borderId="9" xfId="1" applyFont="1" applyBorder="1" applyAlignment="1">
      <alignment horizontal="right"/>
    </xf>
    <xf numFmtId="0" fontId="40" fillId="0" borderId="9" xfId="1" applyFont="1" applyBorder="1" applyAlignment="1">
      <alignment horizontal="right"/>
    </xf>
    <xf numFmtId="0" fontId="40" fillId="0" borderId="49" xfId="0" applyFont="1" applyBorder="1" applyAlignment="1">
      <alignment horizontal="left" wrapText="1"/>
    </xf>
    <xf numFmtId="0" fontId="40" fillId="0" borderId="50" xfId="0" applyFont="1" applyBorder="1" applyAlignment="1">
      <alignment horizontal="left" wrapText="1"/>
    </xf>
    <xf numFmtId="0" fontId="40" fillId="0" borderId="32" xfId="0" applyFont="1" applyBorder="1" applyAlignment="1">
      <alignment horizontal="left" wrapText="1"/>
    </xf>
    <xf numFmtId="0" fontId="38" fillId="6" borderId="14" xfId="2" applyFont="1" applyFill="1" applyBorder="1" applyAlignment="1">
      <alignment horizontal="center"/>
    </xf>
    <xf numFmtId="0" fontId="40" fillId="3" borderId="14" xfId="2" applyFont="1" applyFill="1" applyBorder="1" applyAlignment="1">
      <alignment horizontal="left"/>
    </xf>
    <xf numFmtId="0" fontId="38" fillId="2" borderId="7" xfId="1" applyFont="1" applyFill="1" applyBorder="1" applyAlignment="1">
      <alignment horizontal="center"/>
    </xf>
    <xf numFmtId="0" fontId="38" fillId="2" borderId="6" xfId="1" applyFont="1" applyFill="1" applyBorder="1" applyAlignment="1">
      <alignment horizontal="center"/>
    </xf>
    <xf numFmtId="0" fontId="38" fillId="2" borderId="5" xfId="1" applyFont="1" applyFill="1" applyBorder="1" applyAlignment="1">
      <alignment horizontal="center"/>
    </xf>
    <xf numFmtId="0" fontId="38" fillId="0" borderId="51" xfId="1" applyFont="1" applyBorder="1" applyAlignment="1">
      <alignment horizontal="left" wrapText="1"/>
    </xf>
    <xf numFmtId="0" fontId="38" fillId="0" borderId="34" xfId="1" applyFont="1" applyBorder="1" applyAlignment="1">
      <alignment horizontal="left" wrapText="1"/>
    </xf>
    <xf numFmtId="0" fontId="38" fillId="0" borderId="35" xfId="1" applyFont="1" applyBorder="1" applyAlignment="1">
      <alignment horizontal="left" wrapText="1"/>
    </xf>
    <xf numFmtId="0" fontId="38" fillId="0" borderId="15" xfId="1" applyFont="1" applyBorder="1" applyAlignment="1">
      <alignment horizontal="left" wrapText="1"/>
    </xf>
    <xf numFmtId="0" fontId="38" fillId="0" borderId="38" xfId="1" applyFont="1" applyBorder="1" applyAlignment="1">
      <alignment horizontal="left" wrapText="1"/>
    </xf>
    <xf numFmtId="0" fontId="38" fillId="0" borderId="13" xfId="1" applyFont="1" applyBorder="1" applyAlignment="1">
      <alignment horizontal="left" wrapText="1"/>
    </xf>
    <xf numFmtId="0" fontId="40" fillId="0" borderId="14" xfId="1" applyFont="1" applyBorder="1" applyAlignment="1">
      <alignment horizontal="left"/>
    </xf>
    <xf numFmtId="0" fontId="9" fillId="0" borderId="0" xfId="0" applyFont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right" vertical="center" wrapText="1"/>
    </xf>
    <xf numFmtId="0" fontId="28" fillId="0" borderId="14" xfId="0" applyFont="1" applyBorder="1" applyAlignment="1">
      <alignment horizontal="right" vertical="center"/>
    </xf>
    <xf numFmtId="0" fontId="29" fillId="0" borderId="24" xfId="0" applyFont="1" applyBorder="1" applyAlignment="1">
      <alignment horizontal="right"/>
    </xf>
    <xf numFmtId="0" fontId="29" fillId="0" borderId="0" xfId="0" applyFont="1" applyAlignment="1">
      <alignment horizontal="right"/>
    </xf>
    <xf numFmtId="0" fontId="29" fillId="0" borderId="23" xfId="0" applyFont="1" applyBorder="1" applyAlignment="1">
      <alignment horizontal="right"/>
    </xf>
    <xf numFmtId="0" fontId="9" fillId="0" borderId="0" xfId="0" applyFont="1" applyAlignment="1">
      <alignment horizontal="right" vertical="center"/>
    </xf>
    <xf numFmtId="0" fontId="20" fillId="0" borderId="28" xfId="0" applyFont="1" applyBorder="1" applyAlignment="1">
      <alignment horizontal="right"/>
    </xf>
    <xf numFmtId="0" fontId="20" fillId="0" borderId="29" xfId="0" applyFont="1" applyBorder="1" applyAlignment="1">
      <alignment horizontal="right"/>
    </xf>
    <xf numFmtId="0" fontId="11" fillId="0" borderId="14" xfId="0" applyFont="1" applyBorder="1" applyAlignment="1">
      <alignment horizontal="right" vertical="center"/>
    </xf>
    <xf numFmtId="0" fontId="20" fillId="0" borderId="0" xfId="0" applyFont="1" applyAlignment="1">
      <alignment horizontal="right"/>
    </xf>
    <xf numFmtId="0" fontId="19" fillId="0" borderId="0" xfId="0" applyFont="1" applyAlignment="1">
      <alignment horizontal="center" vertical="center"/>
    </xf>
    <xf numFmtId="0" fontId="35" fillId="0" borderId="7" xfId="0" applyFont="1" applyBorder="1" applyAlignment="1">
      <alignment horizontal="right" vertical="center"/>
    </xf>
    <xf numFmtId="0" fontId="35" fillId="0" borderId="6" xfId="0" applyFont="1" applyBorder="1" applyAlignment="1">
      <alignment horizontal="right" vertical="center"/>
    </xf>
    <xf numFmtId="0" fontId="35" fillId="0" borderId="5" xfId="0" applyFont="1" applyBorder="1" applyAlignment="1">
      <alignment horizontal="right" vertical="center"/>
    </xf>
    <xf numFmtId="0" fontId="36" fillId="0" borderId="0" xfId="0" applyFont="1" applyAlignment="1">
      <alignment horizontal="right"/>
    </xf>
    <xf numFmtId="0" fontId="27" fillId="0" borderId="1" xfId="0" applyFont="1" applyBorder="1" applyAlignment="1">
      <alignment horizontal="right"/>
    </xf>
    <xf numFmtId="0" fontId="19" fillId="0" borderId="0" xfId="0" applyFont="1" applyAlignment="1">
      <alignment horizontal="right" vertical="center"/>
    </xf>
    <xf numFmtId="0" fontId="25" fillId="8" borderId="7" xfId="0" applyFont="1" applyFill="1" applyBorder="1" applyAlignment="1">
      <alignment horizontal="right"/>
    </xf>
    <xf numFmtId="0" fontId="25" fillId="8" borderId="6" xfId="0" applyFont="1" applyFill="1" applyBorder="1" applyAlignment="1">
      <alignment horizontal="right"/>
    </xf>
    <xf numFmtId="0" fontId="11" fillId="0" borderId="0" xfId="0" applyFont="1" applyAlignment="1">
      <alignment horizontal="right" vertical="center"/>
    </xf>
    <xf numFmtId="0" fontId="9" fillId="0" borderId="1" xfId="0" applyFont="1" applyBorder="1" applyAlignment="1">
      <alignment horizontal="right" vertical="center"/>
    </xf>
    <xf numFmtId="0" fontId="9" fillId="0" borderId="48" xfId="0" applyFont="1" applyBorder="1" applyAlignment="1">
      <alignment horizontal="right" vertical="center"/>
    </xf>
    <xf numFmtId="0" fontId="9" fillId="13" borderId="7" xfId="0" applyFont="1" applyFill="1" applyBorder="1" applyAlignment="1">
      <alignment horizontal="right" vertical="center"/>
    </xf>
    <xf numFmtId="0" fontId="9" fillId="13" borderId="6" xfId="0" applyFont="1" applyFill="1" applyBorder="1" applyAlignment="1">
      <alignment horizontal="right" vertical="center"/>
    </xf>
    <xf numFmtId="0" fontId="9" fillId="13" borderId="5" xfId="0" applyFont="1" applyFill="1" applyBorder="1" applyAlignment="1">
      <alignment horizontal="right" vertical="center"/>
    </xf>
    <xf numFmtId="4" fontId="34" fillId="0" borderId="0" xfId="4" applyNumberFormat="1" applyFont="1" applyFill="1" applyAlignment="1">
      <alignment horizontal="center" vertical="center" wrapText="1"/>
    </xf>
  </cellXfs>
  <cellStyles count="6">
    <cellStyle name="Millares" xfId="3" builtinId="3"/>
    <cellStyle name="Millares [0]" xfId="4" builtinId="6"/>
    <cellStyle name="Normal" xfId="0" builtinId="0"/>
    <cellStyle name="Normal 2" xfId="1" xr:uid="{3EB8C2E6-2E78-4AC9-99F7-DDDA5660BD16}"/>
    <cellStyle name="Normal_CRITERIOS DE EVALUACION PT DE GB 2" xfId="2" xr:uid="{C71EB4A8-D8EF-495D-B91E-6A8FF6E0B394}"/>
    <cellStyle name="Porcentaje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3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66334</xdr:colOff>
      <xdr:row>0</xdr:row>
      <xdr:rowOff>158522</xdr:rowOff>
    </xdr:from>
    <xdr:to>
      <xdr:col>1</xdr:col>
      <xdr:colOff>1163003</xdr:colOff>
      <xdr:row>3</xdr:row>
      <xdr:rowOff>178593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EFF3783-851C-42C4-A267-5B9D9EBEC4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334" y="158522"/>
          <a:ext cx="1858669" cy="8535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COSTOS%202013/LISTA%20COSTOS%20ALE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edepast-my.sharepoint.com/personal/eramirez_fascr_com/Documents/Escritorio/INDUSTRIA%202022/INDUSTRIA%202024/SAN%20VALENTINE%20ENAMORADOS%202024/Muffin%20de%20chocolate%20KIT%20KAT%20(002)%20Esteban%20.xlsx" TargetMode="External"/><Relationship Id="rId1" Type="http://schemas.openxmlformats.org/officeDocument/2006/relationships/externalLinkPath" Target="https://sedepast-my.sharepoint.com/personal/eramirez_fascr_com/Documents/Escritorio/INDUSTRIA%202022/INDUSTRIA%202024/SAN%20VALENTINE%20ENAMORADOS%202024/Muffin%20de%20chocolate%20KIT%20KAT%20(002)%20Esteban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3263</v>
          </cell>
          <cell r="K2">
            <v>454</v>
          </cell>
          <cell r="L2">
            <v>7.1872246696035242</v>
          </cell>
          <cell r="M2" t="str">
            <v>Gramos</v>
          </cell>
        </row>
        <row r="3">
          <cell r="A3" t="str">
            <v>56009</v>
          </cell>
          <cell r="B3" t="str">
            <v>12133</v>
          </cell>
          <cell r="C3" t="str">
            <v>CANDELAS MAGICAS (PAQ:24 UND)</v>
          </cell>
          <cell r="D3" t="str">
            <v>56009</v>
          </cell>
          <cell r="E3" t="str">
            <v>EMPAQUES PLANTA</v>
          </cell>
          <cell r="F3" t="str">
            <v>1 PAQUETE</v>
          </cell>
          <cell r="G3">
            <v>500</v>
          </cell>
          <cell r="H3" t="str">
            <v>12/06/2020</v>
          </cell>
          <cell r="I3">
            <v>750</v>
          </cell>
          <cell r="J3">
            <v>712.5</v>
          </cell>
          <cell r="K3">
            <v>24</v>
          </cell>
          <cell r="L3">
            <v>29.6875</v>
          </cell>
        </row>
        <row r="4">
          <cell r="A4" t="str">
            <v>101005</v>
          </cell>
          <cell r="B4" t="str">
            <v>5510</v>
          </cell>
          <cell r="C4" t="str">
            <v>AJO PELADO (PAQ:1 KILO)</v>
          </cell>
          <cell r="D4" t="str">
            <v>101005</v>
          </cell>
          <cell r="E4" t="str">
            <v>MATERIAS PRIMAS PLANTA</v>
          </cell>
          <cell r="F4" t="str">
            <v>1 PAQUETE</v>
          </cell>
          <cell r="G4">
            <v>500</v>
          </cell>
          <cell r="H4" t="str">
            <v>11/06/2020</v>
          </cell>
          <cell r="I4">
            <v>3807</v>
          </cell>
          <cell r="J4">
            <v>4200</v>
          </cell>
          <cell r="K4">
            <v>1000</v>
          </cell>
          <cell r="L4">
            <v>4.2</v>
          </cell>
          <cell r="M4" t="str">
            <v>Gramos</v>
          </cell>
        </row>
        <row r="5">
          <cell r="A5" t="str">
            <v>0101022</v>
          </cell>
          <cell r="B5" t="str">
            <v>5473</v>
          </cell>
          <cell r="C5" t="str">
            <v>PAPA MINI KILO</v>
          </cell>
          <cell r="D5" t="str">
            <v>0101022</v>
          </cell>
          <cell r="E5" t="str">
            <v>MATERIAS PRIMAS PLANTA</v>
          </cell>
          <cell r="F5" t="str">
            <v>1 KILO</v>
          </cell>
          <cell r="G5">
            <v>500</v>
          </cell>
          <cell r="H5" t="str">
            <v>02/05/2020</v>
          </cell>
          <cell r="I5">
            <v>900</v>
          </cell>
          <cell r="J5">
            <v>900</v>
          </cell>
          <cell r="K5">
            <v>1000</v>
          </cell>
          <cell r="L5">
            <v>0.9</v>
          </cell>
          <cell r="M5" t="str">
            <v>Gramos</v>
          </cell>
        </row>
        <row r="6">
          <cell r="A6" t="str">
            <v>101025</v>
          </cell>
          <cell r="B6" t="str">
            <v>11331</v>
          </cell>
          <cell r="C6" t="str">
            <v>BROCOLI KILO</v>
          </cell>
          <cell r="D6" t="str">
            <v>101025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02/03/2020</v>
          </cell>
          <cell r="I6">
            <v>2210</v>
          </cell>
          <cell r="J6">
            <v>2210</v>
          </cell>
          <cell r="K6">
            <v>1000</v>
          </cell>
          <cell r="L6">
            <v>2.21</v>
          </cell>
          <cell r="M6" t="str">
            <v>Gramos</v>
          </cell>
        </row>
        <row r="7">
          <cell r="A7" t="str">
            <v>101035</v>
          </cell>
          <cell r="B7" t="str">
            <v>5507</v>
          </cell>
          <cell r="C7" t="str">
            <v>CEBOLLA PICADA (PAQ:KILO)</v>
          </cell>
          <cell r="D7" t="str">
            <v>101035</v>
          </cell>
          <cell r="E7" t="str">
            <v>MATERIAS PRIMAS PLANTA</v>
          </cell>
          <cell r="F7" t="str">
            <v xml:space="preserve">1 KILO   </v>
          </cell>
          <cell r="G7">
            <v>500</v>
          </cell>
          <cell r="H7" t="str">
            <v>15/06/2020</v>
          </cell>
          <cell r="I7">
            <v>1872</v>
          </cell>
          <cell r="J7">
            <v>1872</v>
          </cell>
          <cell r="K7">
            <v>1000</v>
          </cell>
          <cell r="L7">
            <v>1.8720000000000001</v>
          </cell>
          <cell r="M7" t="str">
            <v>Gramos</v>
          </cell>
        </row>
        <row r="8">
          <cell r="A8" t="str">
            <v>101040</v>
          </cell>
          <cell r="B8" t="str">
            <v>5506</v>
          </cell>
          <cell r="C8" t="str">
            <v>CEBOLLA TRENZA KILO</v>
          </cell>
          <cell r="D8" t="str">
            <v>101040</v>
          </cell>
          <cell r="E8" t="str">
            <v>MATERIAS PRIMAS PLANTA</v>
          </cell>
          <cell r="F8" t="str">
            <v>1 KILO</v>
          </cell>
          <cell r="G8">
            <v>500</v>
          </cell>
          <cell r="H8" t="str">
            <v>15/06/2020</v>
          </cell>
          <cell r="I8">
            <v>1231</v>
          </cell>
          <cell r="J8">
            <v>1231</v>
          </cell>
          <cell r="K8">
            <v>1000</v>
          </cell>
          <cell r="L8">
            <v>1.2310000000000001</v>
          </cell>
          <cell r="M8" t="str">
            <v>Gramos</v>
          </cell>
        </row>
        <row r="9">
          <cell r="A9" t="str">
            <v>101043</v>
          </cell>
          <cell r="B9" t="str">
            <v>5505</v>
          </cell>
          <cell r="C9" t="str">
            <v>CEBOLLA BLANCA JULIANA (PAQ:1 KILO )</v>
          </cell>
          <cell r="D9" t="str">
            <v>101043</v>
          </cell>
          <cell r="E9" t="str">
            <v>MATERIAS PRIMAS PLANTA</v>
          </cell>
          <cell r="F9" t="str">
            <v>1 PAQUETE</v>
          </cell>
          <cell r="G9">
            <v>500</v>
          </cell>
          <cell r="H9" t="str">
            <v>15/06/2020</v>
          </cell>
          <cell r="I9">
            <v>2000</v>
          </cell>
          <cell r="J9">
            <v>2000</v>
          </cell>
          <cell r="K9">
            <v>1000</v>
          </cell>
          <cell r="L9">
            <v>2</v>
          </cell>
          <cell r="M9" t="str">
            <v>Gramos</v>
          </cell>
        </row>
        <row r="10">
          <cell r="A10" t="str">
            <v>101045</v>
          </cell>
          <cell r="B10" t="str">
            <v>5435</v>
          </cell>
          <cell r="C10" t="str">
            <v>CEBOLLINO KILO</v>
          </cell>
          <cell r="D10" t="str">
            <v>101045</v>
          </cell>
          <cell r="E10" t="str">
            <v>MATERIAS PRIMAS PLANTA</v>
          </cell>
          <cell r="F10" t="str">
            <v>1 KILO</v>
          </cell>
          <cell r="G10">
            <v>500</v>
          </cell>
          <cell r="H10" t="str">
            <v>11/06/2020</v>
          </cell>
          <cell r="I10">
            <v>1795</v>
          </cell>
          <cell r="J10">
            <v>1795</v>
          </cell>
          <cell r="K10">
            <v>1000</v>
          </cell>
          <cell r="L10">
            <v>1.7949999999999999</v>
          </cell>
          <cell r="M10" t="str">
            <v>Gramos</v>
          </cell>
        </row>
        <row r="11">
          <cell r="A11" t="str">
            <v>101050</v>
          </cell>
          <cell r="B11" t="str">
            <v>5428</v>
          </cell>
          <cell r="C11" t="str">
            <v>CHAYOTE (UND)</v>
          </cell>
          <cell r="D11" t="str">
            <v>101050</v>
          </cell>
          <cell r="E11" t="str">
            <v>MATERIAS PRIMAS PLANTA</v>
          </cell>
          <cell r="F11" t="str">
            <v>1 UND</v>
          </cell>
          <cell r="G11">
            <v>500</v>
          </cell>
          <cell r="H11" t="str">
            <v>24/02/2020</v>
          </cell>
          <cell r="I11">
            <v>150</v>
          </cell>
          <cell r="J11">
            <v>150</v>
          </cell>
          <cell r="K11"/>
          <cell r="L11" t="e">
            <v>#DIV/0!</v>
          </cell>
          <cell r="M11"/>
        </row>
        <row r="12">
          <cell r="A12" t="str">
            <v>101051</v>
          </cell>
          <cell r="B12" t="str">
            <v>5443</v>
          </cell>
          <cell r="C12" t="str">
            <v>CHAYOTE PICADO (PAQ:1 KILO)</v>
          </cell>
          <cell r="D12" t="str">
            <v>101051</v>
          </cell>
          <cell r="E12" t="str">
            <v>MATERIAS PRIMAS PLANTA</v>
          </cell>
          <cell r="F12" t="str">
            <v>1 PAQUETE</v>
          </cell>
          <cell r="G12">
            <v>500</v>
          </cell>
          <cell r="H12" t="str">
            <v>15/06/2020</v>
          </cell>
          <cell r="I12">
            <v>1029</v>
          </cell>
          <cell r="J12">
            <v>1029</v>
          </cell>
          <cell r="K12">
            <v>1000</v>
          </cell>
          <cell r="L12">
            <v>1.0289999999999999</v>
          </cell>
        </row>
        <row r="13">
          <cell r="A13" t="str">
            <v>101055</v>
          </cell>
          <cell r="B13" t="str">
            <v>5492</v>
          </cell>
          <cell r="C13" t="str">
            <v>CHILE DULCE ENTERO KILO</v>
          </cell>
          <cell r="D13" t="str">
            <v>101055</v>
          </cell>
          <cell r="E13" t="str">
            <v>MATERIAS PRIMAS PLANTA</v>
          </cell>
          <cell r="F13" t="str">
            <v xml:space="preserve">1 KILO </v>
          </cell>
          <cell r="G13">
            <v>500</v>
          </cell>
          <cell r="H13" t="str">
            <v>15/06/2020</v>
          </cell>
          <cell r="I13">
            <v>1095</v>
          </cell>
          <cell r="J13">
            <v>1095</v>
          </cell>
          <cell r="K13">
            <v>1000</v>
          </cell>
          <cell r="L13">
            <v>1.095</v>
          </cell>
          <cell r="M13" t="str">
            <v>Gramos</v>
          </cell>
        </row>
        <row r="14">
          <cell r="A14" t="str">
            <v>101072</v>
          </cell>
          <cell r="B14" t="str">
            <v>5504</v>
          </cell>
          <cell r="C14" t="str">
            <v>CULANTRO DESINFECTADO (PAQ:100g)</v>
          </cell>
          <cell r="D14" t="str">
            <v>101072</v>
          </cell>
          <cell r="E14" t="str">
            <v>MATERIAS PRIMAS PLANTA</v>
          </cell>
          <cell r="F14" t="str">
            <v>1 PAQUETE</v>
          </cell>
          <cell r="G14">
            <v>500</v>
          </cell>
          <cell r="H14" t="str">
            <v>15/06/2020</v>
          </cell>
          <cell r="I14">
            <v>359</v>
          </cell>
          <cell r="J14">
            <v>370</v>
          </cell>
          <cell r="K14">
            <v>100</v>
          </cell>
          <cell r="L14">
            <v>3.7</v>
          </cell>
          <cell r="M14" t="str">
            <v>Gramos</v>
          </cell>
        </row>
        <row r="15">
          <cell r="A15" t="str">
            <v>101073</v>
          </cell>
          <cell r="B15" t="str">
            <v>5503</v>
          </cell>
          <cell r="C15" t="str">
            <v>CULANTRO DESINFECTADO (PAQ:250g)</v>
          </cell>
          <cell r="D15" t="str">
            <v>101073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13/06/2020</v>
          </cell>
          <cell r="I15">
            <v>687</v>
          </cell>
          <cell r="J15">
            <v>708.25</v>
          </cell>
          <cell r="K15">
            <v>250</v>
          </cell>
          <cell r="L15">
            <v>2.8330000000000002</v>
          </cell>
          <cell r="M15" t="str">
            <v>Gramos</v>
          </cell>
        </row>
        <row r="16">
          <cell r="A16" t="str">
            <v>0101074</v>
          </cell>
          <cell r="B16" t="str">
            <v>5453</v>
          </cell>
          <cell r="C16" t="str">
            <v>PEREJIL DESINFECTADO (PAQ: 250g)</v>
          </cell>
          <cell r="D16" t="str">
            <v>0101074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2051</v>
          </cell>
          <cell r="J16">
            <v>2051</v>
          </cell>
          <cell r="K16">
            <v>250</v>
          </cell>
          <cell r="L16">
            <v>8.2040000000000006</v>
          </cell>
          <cell r="M16" t="str">
            <v>Gramos</v>
          </cell>
        </row>
        <row r="17">
          <cell r="A17" t="str">
            <v>0101075</v>
          </cell>
          <cell r="B17" t="str">
            <v>5472</v>
          </cell>
          <cell r="C17" t="str">
            <v>ESPINACA EN HOJA (PAQ:500g)</v>
          </cell>
          <cell r="D17" t="str">
            <v>0101075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15/06/2020</v>
          </cell>
          <cell r="I17">
            <v>1464.7</v>
          </cell>
          <cell r="J17">
            <v>1118</v>
          </cell>
          <cell r="K17">
            <v>500</v>
          </cell>
          <cell r="L17">
            <v>2.2360000000000002</v>
          </cell>
          <cell r="M17" t="str">
            <v>Gramos</v>
          </cell>
        </row>
        <row r="18">
          <cell r="A18" t="str">
            <v>101081</v>
          </cell>
          <cell r="B18" t="str">
            <v>5423</v>
          </cell>
          <cell r="C18" t="str">
            <v>FRESA PICADA KILO</v>
          </cell>
          <cell r="D18" t="str">
            <v>101081</v>
          </cell>
          <cell r="E18" t="str">
            <v>MATERIAS PRIMAS PLANTA</v>
          </cell>
          <cell r="F18" t="str">
            <v>1 KILO</v>
          </cell>
          <cell r="G18">
            <v>500</v>
          </cell>
          <cell r="H18" t="str">
            <v>12/06/2020</v>
          </cell>
          <cell r="I18">
            <v>2425</v>
          </cell>
          <cell r="J18">
            <v>970</v>
          </cell>
          <cell r="K18">
            <v>1000</v>
          </cell>
          <cell r="L18">
            <v>0.97</v>
          </cell>
          <cell r="M18" t="str">
            <v>Gramos</v>
          </cell>
        </row>
        <row r="19">
          <cell r="A19" t="str">
            <v>0101100</v>
          </cell>
          <cell r="B19" t="str">
            <v>8141</v>
          </cell>
          <cell r="C19" t="str">
            <v>HOJA TAMAL KILO</v>
          </cell>
          <cell r="D19" t="str">
            <v>0101100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12/03/2020</v>
          </cell>
          <cell r="I19">
            <v>900</v>
          </cell>
          <cell r="J19">
            <v>1300</v>
          </cell>
          <cell r="K19">
            <v>1000</v>
          </cell>
          <cell r="L19">
            <v>1.3</v>
          </cell>
          <cell r="M19" t="str">
            <v>Gramos</v>
          </cell>
        </row>
        <row r="20">
          <cell r="A20" t="str">
            <v>0101105</v>
          </cell>
          <cell r="B20" t="str">
            <v>11447</v>
          </cell>
          <cell r="C20" t="str">
            <v>HONGO FRESCO REBANADO (KILO)</v>
          </cell>
          <cell r="D20" t="str">
            <v>0101105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15/06/2020</v>
          </cell>
          <cell r="I20">
            <v>3335</v>
          </cell>
          <cell r="J20">
            <v>3150</v>
          </cell>
          <cell r="K20">
            <v>1000</v>
          </cell>
          <cell r="L20">
            <v>3.15</v>
          </cell>
          <cell r="M20" t="str">
            <v>Gramos</v>
          </cell>
        </row>
        <row r="21">
          <cell r="A21" t="str">
            <v>0101107</v>
          </cell>
          <cell r="B21" t="str">
            <v>5298</v>
          </cell>
          <cell r="C21" t="str">
            <v>HONGO REBANADOS (UND: 2.84 kg)</v>
          </cell>
          <cell r="D21" t="str">
            <v>0101107</v>
          </cell>
          <cell r="E21" t="str">
            <v>MATERIAS PRIMAS PLANTA</v>
          </cell>
          <cell r="F21" t="str">
            <v>1 UND</v>
          </cell>
          <cell r="G21">
            <v>500</v>
          </cell>
          <cell r="H21" t="str">
            <v>08/06/2020</v>
          </cell>
          <cell r="I21">
            <v>3416</v>
          </cell>
          <cell r="J21">
            <v>5021</v>
          </cell>
          <cell r="K21">
            <v>2840</v>
          </cell>
          <cell r="L21">
            <v>1.7679577464788732</v>
          </cell>
          <cell r="M21" t="str">
            <v>Gramos</v>
          </cell>
        </row>
        <row r="22">
          <cell r="A22" t="str">
            <v>101115</v>
          </cell>
          <cell r="B22" t="str">
            <v>5500</v>
          </cell>
          <cell r="C22" t="str">
            <v>CHILE DULCE PICADO (PAQ:500g)</v>
          </cell>
          <cell r="D22" t="str">
            <v>101115</v>
          </cell>
          <cell r="E22" t="str">
            <v>MATERIAS PRIMAS PLANTA</v>
          </cell>
          <cell r="F22" t="str">
            <v>1 PAQUETE</v>
          </cell>
          <cell r="G22">
            <v>500</v>
          </cell>
          <cell r="H22" t="str">
            <v>15/06/2020</v>
          </cell>
          <cell r="I22">
            <v>1121.7</v>
          </cell>
          <cell r="J22">
            <v>1095</v>
          </cell>
          <cell r="K22">
            <v>500</v>
          </cell>
          <cell r="L22">
            <v>2.19</v>
          </cell>
          <cell r="M22" t="str">
            <v>Gramos</v>
          </cell>
        </row>
        <row r="23">
          <cell r="A23" t="str">
            <v>0101130</v>
          </cell>
          <cell r="B23" t="str">
            <v>5497</v>
          </cell>
          <cell r="C23" t="str">
            <v>LIMONES MAYA (UND)</v>
          </cell>
          <cell r="D23" t="str">
            <v>0101130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15/06/2020</v>
          </cell>
          <cell r="I23">
            <v>224.91</v>
          </cell>
          <cell r="J23">
            <v>230</v>
          </cell>
          <cell r="K23">
            <v>1</v>
          </cell>
          <cell r="L23">
            <v>230</v>
          </cell>
          <cell r="M23" t="str">
            <v>und</v>
          </cell>
        </row>
        <row r="24">
          <cell r="A24" t="str">
            <v>0101132</v>
          </cell>
          <cell r="B24" t="str">
            <v>5654</v>
          </cell>
          <cell r="C24" t="str">
            <v>LIMON EN POLVO (SACO:25 KG)</v>
          </cell>
          <cell r="D24" t="str">
            <v>0101132</v>
          </cell>
          <cell r="E24" t="str">
            <v>MATERIAS PRIMAS PLANTA</v>
          </cell>
          <cell r="F24" t="str">
            <v xml:space="preserve">1 SACO </v>
          </cell>
          <cell r="G24">
            <v>500</v>
          </cell>
          <cell r="H24" t="str">
            <v>08/06/2020</v>
          </cell>
          <cell r="I24">
            <v>90646.25</v>
          </cell>
          <cell r="J24">
            <v>150000</v>
          </cell>
          <cell r="K24">
            <v>25000</v>
          </cell>
          <cell r="L24">
            <v>6</v>
          </cell>
          <cell r="M24" t="str">
            <v>Gramos</v>
          </cell>
        </row>
        <row r="25">
          <cell r="A25" t="str">
            <v>0101133</v>
          </cell>
          <cell r="B25" t="str">
            <v>5496</v>
          </cell>
          <cell r="C25" t="str">
            <v>LECHUGA MIX CUADRO # 2 (PAQ:500g)</v>
          </cell>
          <cell r="D25" t="str">
            <v>0101133</v>
          </cell>
          <cell r="E25" t="str">
            <v>MATERIAS PRIMAS PLANTA</v>
          </cell>
          <cell r="F25" t="str">
            <v>1 PAQUETE</v>
          </cell>
          <cell r="G25">
            <v>500</v>
          </cell>
          <cell r="H25" t="str">
            <v>15/06/2020</v>
          </cell>
          <cell r="I25">
            <v>1046.5</v>
          </cell>
          <cell r="J25">
            <v>995</v>
          </cell>
          <cell r="K25">
            <v>500</v>
          </cell>
          <cell r="L25">
            <v>1.99</v>
          </cell>
          <cell r="M25"/>
        </row>
        <row r="26">
          <cell r="A26" t="str">
            <v>101150</v>
          </cell>
          <cell r="B26" t="str">
            <v>5494</v>
          </cell>
          <cell r="C26" t="str">
            <v>APIO PICADO (PAQ:500gr)</v>
          </cell>
          <cell r="D26" t="str">
            <v>101150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13/06/2020</v>
          </cell>
          <cell r="I26">
            <v>893.8</v>
          </cell>
          <cell r="J26">
            <v>921.44</v>
          </cell>
          <cell r="K26">
            <v>500</v>
          </cell>
          <cell r="L26">
            <v>1.8428800000000001</v>
          </cell>
          <cell r="M26" t="str">
            <v>Gramos</v>
          </cell>
        </row>
        <row r="27">
          <cell r="A27" t="str">
            <v>0101155</v>
          </cell>
          <cell r="B27" t="str">
            <v>5516</v>
          </cell>
          <cell r="C27" t="str">
            <v>PALMITO CRUDO KILO</v>
          </cell>
          <cell r="D27" t="str">
            <v>0101155</v>
          </cell>
          <cell r="E27" t="str">
            <v>MATERIAS PRIMAS PLANTA</v>
          </cell>
          <cell r="F27" t="str">
            <v>1 KILO</v>
          </cell>
          <cell r="G27">
            <v>500</v>
          </cell>
          <cell r="H27" t="str">
            <v>08/06/2020</v>
          </cell>
          <cell r="I27">
            <v>2000</v>
          </cell>
          <cell r="J27">
            <v>3000</v>
          </cell>
          <cell r="K27">
            <v>1000</v>
          </cell>
          <cell r="L27">
            <v>3</v>
          </cell>
          <cell r="M27" t="str">
            <v>Gramos</v>
          </cell>
        </row>
        <row r="28">
          <cell r="A28" t="str">
            <v>0101166</v>
          </cell>
          <cell r="B28" t="str">
            <v>5491</v>
          </cell>
          <cell r="C28" t="str">
            <v>PAPA PICADA (PAQ:1 KILO)</v>
          </cell>
          <cell r="D28" t="str">
            <v>0101166</v>
          </cell>
          <cell r="E28" t="str">
            <v>MATERIAS PRIMAS PLANTA</v>
          </cell>
          <cell r="F28" t="str">
            <v>1 PAQUETE</v>
          </cell>
          <cell r="G28">
            <v>500</v>
          </cell>
          <cell r="H28" t="str">
            <v>13/06/2020</v>
          </cell>
          <cell r="I28">
            <v>1584.1</v>
          </cell>
          <cell r="J28">
            <v>1546.39</v>
          </cell>
          <cell r="K28">
            <v>1000</v>
          </cell>
          <cell r="L28">
            <v>1.5463900000000002</v>
          </cell>
          <cell r="M28" t="str">
            <v>Gramos</v>
          </cell>
        </row>
        <row r="29">
          <cell r="A29" t="str">
            <v>0101210</v>
          </cell>
          <cell r="B29" t="str">
            <v>5487</v>
          </cell>
          <cell r="C29" t="str">
            <v>TOMATE KILO</v>
          </cell>
          <cell r="D29" t="str">
            <v>0101210</v>
          </cell>
          <cell r="E29" t="str">
            <v>MATERIAS PRIMAS PLANTA</v>
          </cell>
          <cell r="F29" t="str">
            <v>1 KILO</v>
          </cell>
          <cell r="G29">
            <v>500</v>
          </cell>
          <cell r="H29" t="str">
            <v>15/06/2020</v>
          </cell>
          <cell r="I29">
            <v>680</v>
          </cell>
          <cell r="J29">
            <v>680</v>
          </cell>
          <cell r="K29">
            <v>1000</v>
          </cell>
          <cell r="L29">
            <v>0.68</v>
          </cell>
          <cell r="M29" t="str">
            <v>Gramos</v>
          </cell>
        </row>
        <row r="30">
          <cell r="A30" t="str">
            <v>0101236</v>
          </cell>
          <cell r="B30" t="str">
            <v>7033</v>
          </cell>
          <cell r="C30" t="str">
            <v>ZANAHORIA JULIANA (PAQ:1 KILO)</v>
          </cell>
          <cell r="D30" t="str">
            <v>0101236</v>
          </cell>
          <cell r="E30" t="str">
            <v>MATERIAS PRIMAS PLANTA</v>
          </cell>
          <cell r="F30" t="str">
            <v>1 PAQUETE</v>
          </cell>
          <cell r="G30">
            <v>500</v>
          </cell>
          <cell r="H30" t="str">
            <v>15/06/2020</v>
          </cell>
          <cell r="I30">
            <v>1841</v>
          </cell>
          <cell r="J30">
            <v>1841</v>
          </cell>
          <cell r="K30">
            <v>1000</v>
          </cell>
          <cell r="L30">
            <v>1.841</v>
          </cell>
          <cell r="M30"/>
        </row>
        <row r="31">
          <cell r="A31" t="str">
            <v>0101240</v>
          </cell>
          <cell r="B31" t="str">
            <v>5444</v>
          </cell>
          <cell r="C31" t="str">
            <v>ZANAHORIA ENTERA KILO</v>
          </cell>
          <cell r="D31" t="str">
            <v>0101240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13/06/2020</v>
          </cell>
          <cell r="I31">
            <v>615</v>
          </cell>
          <cell r="J31">
            <v>615</v>
          </cell>
          <cell r="K31">
            <v>1000</v>
          </cell>
          <cell r="L31">
            <v>0.61499999999999999</v>
          </cell>
          <cell r="M31" t="str">
            <v>Gramos</v>
          </cell>
        </row>
        <row r="32">
          <cell r="A32" t="str">
            <v>0101241</v>
          </cell>
          <cell r="B32" t="str">
            <v>5485</v>
          </cell>
          <cell r="C32" t="str">
            <v>ZANAHORIA PICADA (PAQ:1 KILO)</v>
          </cell>
          <cell r="D32" t="str">
            <v>0101241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04/06/2020</v>
          </cell>
          <cell r="I32">
            <v>1020</v>
          </cell>
          <cell r="J32">
            <v>1020</v>
          </cell>
          <cell r="K32">
            <v>1000</v>
          </cell>
          <cell r="L32">
            <v>1.02</v>
          </cell>
          <cell r="M32"/>
        </row>
        <row r="33">
          <cell r="A33" t="str">
            <v>0101248</v>
          </cell>
          <cell r="B33" t="str">
            <v>5441</v>
          </cell>
          <cell r="C33" t="str">
            <v>ZUQUINI KILO</v>
          </cell>
          <cell r="D33" t="str">
            <v>0101248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14/05/2020</v>
          </cell>
          <cell r="I33">
            <v>575</v>
          </cell>
          <cell r="J33">
            <v>575</v>
          </cell>
          <cell r="K33">
            <v>1000</v>
          </cell>
          <cell r="L33">
            <v>0.57499999999999996</v>
          </cell>
          <cell r="M33" t="str">
            <v>Gramos</v>
          </cell>
        </row>
        <row r="34">
          <cell r="A34" t="str">
            <v>101260</v>
          </cell>
          <cell r="B34" t="str">
            <v>5457</v>
          </cell>
          <cell r="C34" t="str">
            <v>ALBAHACA KILO</v>
          </cell>
          <cell r="D34" t="str">
            <v>101260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13/06/2020</v>
          </cell>
          <cell r="I34">
            <v>5251</v>
          </cell>
          <cell r="J34">
            <v>5370</v>
          </cell>
          <cell r="K34">
            <v>1000</v>
          </cell>
          <cell r="L34">
            <v>5.37</v>
          </cell>
          <cell r="M34" t="str">
            <v>Gramos</v>
          </cell>
        </row>
        <row r="35">
          <cell r="A35" t="str">
            <v>109254</v>
          </cell>
          <cell r="B35" t="str">
            <v>12095</v>
          </cell>
          <cell r="C35" t="str">
            <v>VASO 3.25 ONZ (PAQ*200)</v>
          </cell>
          <cell r="D35" t="str">
            <v>109254</v>
          </cell>
          <cell r="E35" t="str">
            <v>EMPAQUES PLANTA</v>
          </cell>
          <cell r="F35" t="str">
            <v>1 PAQUETE</v>
          </cell>
          <cell r="G35">
            <v>500</v>
          </cell>
          <cell r="H35" t="str">
            <v>11/06/2020</v>
          </cell>
          <cell r="I35">
            <v>2472.6666666666702</v>
          </cell>
          <cell r="J35">
            <v>0</v>
          </cell>
          <cell r="K35">
            <v>200</v>
          </cell>
          <cell r="L35">
            <v>0</v>
          </cell>
          <cell r="M35"/>
        </row>
        <row r="36">
          <cell r="A36" t="str">
            <v>0110060</v>
          </cell>
          <cell r="B36" t="str">
            <v>5471</v>
          </cell>
          <cell r="C36" t="str">
            <v>PULPA DE TAMARINDO KILO</v>
          </cell>
          <cell r="D36" t="str">
            <v>0110060</v>
          </cell>
          <cell r="E36" t="str">
            <v>MATERIAS PRIMAS PLANTA</v>
          </cell>
          <cell r="F36" t="str">
            <v>1 KILO</v>
          </cell>
          <cell r="G36">
            <v>500</v>
          </cell>
          <cell r="H36" t="str">
            <v>16/06/2020</v>
          </cell>
          <cell r="I36">
            <v>1500</v>
          </cell>
          <cell r="J36">
            <v>2300</v>
          </cell>
          <cell r="K36">
            <v>1000</v>
          </cell>
          <cell r="L36">
            <v>2.2999999999999998</v>
          </cell>
          <cell r="M36" t="str">
            <v>Gramos</v>
          </cell>
        </row>
        <row r="37">
          <cell r="A37" t="str">
            <v>110080</v>
          </cell>
          <cell r="B37" t="str">
            <v>5502</v>
          </cell>
          <cell r="C37" t="str">
            <v>CEBOLLA MORADA KILO</v>
          </cell>
          <cell r="D37" t="str">
            <v>0110080</v>
          </cell>
          <cell r="E37" t="str">
            <v>MATERIAS PRIMAS PLANTA</v>
          </cell>
          <cell r="F37" t="str">
            <v xml:space="preserve">1 KILO </v>
          </cell>
          <cell r="G37">
            <v>500</v>
          </cell>
          <cell r="H37" t="str">
            <v>04/06/2020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0110085</v>
          </cell>
          <cell r="B38" t="str">
            <v>5438</v>
          </cell>
          <cell r="C38" t="str">
            <v>PLATANO VERDE PICADO KILO</v>
          </cell>
          <cell r="D38" t="str">
            <v>0110085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30/05/2020</v>
          </cell>
          <cell r="I38">
            <v>1474</v>
          </cell>
          <cell r="J38">
            <v>1474</v>
          </cell>
          <cell r="K38">
            <v>1000</v>
          </cell>
          <cell r="L38">
            <v>1.474</v>
          </cell>
          <cell r="M38" t="str">
            <v>Gramos</v>
          </cell>
        </row>
        <row r="39">
          <cell r="A39" t="str">
            <v>0110086</v>
          </cell>
          <cell r="B39" t="str">
            <v>5461</v>
          </cell>
          <cell r="C39" t="str">
            <v>TOMILLO FRESCO ROLLO KILO</v>
          </cell>
          <cell r="D39" t="str">
            <v>0110086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16/06/2020</v>
          </cell>
          <cell r="I39">
            <v>5500</v>
          </cell>
          <cell r="J39">
            <v>5500</v>
          </cell>
          <cell r="K39">
            <v>1000</v>
          </cell>
          <cell r="L39">
            <v>5.5</v>
          </cell>
          <cell r="M39" t="str">
            <v>Gramos</v>
          </cell>
        </row>
        <row r="40">
          <cell r="A40" t="str">
            <v>121208</v>
          </cell>
          <cell r="B40" t="str">
            <v>5862</v>
          </cell>
          <cell r="C40" t="str">
            <v>QUEQUERA PLAST 12 CENT (CAJA:250UND)</v>
          </cell>
          <cell r="D40" t="str">
            <v>121208</v>
          </cell>
          <cell r="E40" t="str">
            <v>EMPAQUES PLANTA</v>
          </cell>
          <cell r="F40" t="str">
            <v>1 CAJA</v>
          </cell>
          <cell r="G40">
            <v>500</v>
          </cell>
          <cell r="H40" t="str">
            <v>08/06/2020</v>
          </cell>
          <cell r="I40">
            <v>17623</v>
          </cell>
          <cell r="J40">
            <v>17623</v>
          </cell>
          <cell r="K40">
            <v>250</v>
          </cell>
          <cell r="L40">
            <v>70.492000000000004</v>
          </cell>
          <cell r="M40" t="str">
            <v>UND</v>
          </cell>
        </row>
        <row r="41">
          <cell r="A41" t="str">
            <v>121603</v>
          </cell>
          <cell r="B41" t="str">
            <v>11191</v>
          </cell>
          <cell r="C41" t="str">
            <v>QUEQUERA RED  BASE/DOMO 10 (CAJA:50)</v>
          </cell>
          <cell r="D41" t="str">
            <v>121603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15/06/2020</v>
          </cell>
          <cell r="I41">
            <v>24141</v>
          </cell>
          <cell r="J41">
            <v>37552</v>
          </cell>
          <cell r="K41">
            <v>50</v>
          </cell>
          <cell r="L41">
            <v>751.04</v>
          </cell>
          <cell r="M41" t="str">
            <v>UND</v>
          </cell>
        </row>
        <row r="42">
          <cell r="A42" t="str">
            <v>176799</v>
          </cell>
          <cell r="B42" t="str">
            <v>12665</v>
          </cell>
          <cell r="C42" t="str">
            <v>ENELDO SECO (UND:141 G)</v>
          </cell>
          <cell r="D42" t="str">
            <v>176799</v>
          </cell>
          <cell r="E42" t="str">
            <v>MATERIAS PRIMAS PLANTA</v>
          </cell>
          <cell r="F42" t="str">
            <v>1 UND</v>
          </cell>
          <cell r="G42">
            <v>500</v>
          </cell>
          <cell r="H42" t="str">
            <v>08/06/2020</v>
          </cell>
          <cell r="I42">
            <v>2211</v>
          </cell>
          <cell r="J42">
            <v>2412</v>
          </cell>
          <cell r="K42">
            <v>141</v>
          </cell>
          <cell r="L42">
            <v>17.106382978723403</v>
          </cell>
          <cell r="M42" t="str">
            <v>Gramos</v>
          </cell>
        </row>
        <row r="43">
          <cell r="A43" t="str">
            <v>0210047</v>
          </cell>
          <cell r="B43" t="str">
            <v>5379</v>
          </cell>
          <cell r="C43" t="str">
            <v xml:space="preserve">CHICHARON KILO </v>
          </cell>
          <cell r="D43" t="str">
            <v>0210047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13/06/2020</v>
          </cell>
          <cell r="I43">
            <v>5900</v>
          </cell>
          <cell r="J43">
            <v>6295</v>
          </cell>
          <cell r="K43">
            <v>1000</v>
          </cell>
          <cell r="L43">
            <v>6.2949999999999999</v>
          </cell>
          <cell r="M43" t="str">
            <v>Gramos</v>
          </cell>
        </row>
        <row r="44">
          <cell r="A44" t="str">
            <v>210060</v>
          </cell>
          <cell r="B44" t="str">
            <v>5377</v>
          </cell>
          <cell r="C44" t="str">
            <v>CHORIZO  CRIOLLO KILO</v>
          </cell>
          <cell r="D44" t="str">
            <v>210060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02/06/2020</v>
          </cell>
          <cell r="I44">
            <v>2195</v>
          </cell>
          <cell r="J44">
            <v>2395</v>
          </cell>
          <cell r="K44">
            <v>1000</v>
          </cell>
          <cell r="L44">
            <v>2.395</v>
          </cell>
          <cell r="M44" t="str">
            <v>Gramos</v>
          </cell>
        </row>
        <row r="45">
          <cell r="A45" t="str">
            <v>210069</v>
          </cell>
          <cell r="B45" t="str">
            <v>5376</v>
          </cell>
          <cell r="C45" t="str">
            <v>CARNE MOLIDA RES PREMIUM KILO</v>
          </cell>
          <cell r="D45" t="str">
            <v>210069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30/05/2020</v>
          </cell>
          <cell r="I45">
            <v>3495</v>
          </cell>
          <cell r="J45">
            <v>3695</v>
          </cell>
          <cell r="K45">
            <v>1000</v>
          </cell>
          <cell r="L45">
            <v>3.6949999999999998</v>
          </cell>
          <cell r="M45" t="str">
            <v>Gramos</v>
          </cell>
        </row>
        <row r="46">
          <cell r="A46" t="str">
            <v>0210070</v>
          </cell>
          <cell r="B46" t="str">
            <v>5369</v>
          </cell>
          <cell r="C46" t="str">
            <v>PECHUGA FILET S/ PIEL Y S/ GRASA KILO</v>
          </cell>
          <cell r="D46" t="str">
            <v>0210070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15/06/2020</v>
          </cell>
          <cell r="I46">
            <v>3150</v>
          </cell>
          <cell r="J46">
            <v>3750</v>
          </cell>
          <cell r="K46">
            <v>1000</v>
          </cell>
          <cell r="L46">
            <v>3.75</v>
          </cell>
          <cell r="M46" t="str">
            <v>Gramos</v>
          </cell>
        </row>
        <row r="47">
          <cell r="A47" t="str">
            <v>0210076</v>
          </cell>
          <cell r="B47" t="str">
            <v>11354</v>
          </cell>
          <cell r="C47" t="str">
            <v>LOMITO DE CERDO KILO</v>
          </cell>
          <cell r="D47" t="str">
            <v>0210076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28/12/2019</v>
          </cell>
          <cell r="I47">
            <v>4995</v>
          </cell>
          <cell r="J47">
            <v>0</v>
          </cell>
          <cell r="K47">
            <v>1000</v>
          </cell>
          <cell r="L47">
            <v>0</v>
          </cell>
          <cell r="M47" t="str">
            <v>Gramos</v>
          </cell>
        </row>
        <row r="48">
          <cell r="A48" t="str">
            <v>0210093</v>
          </cell>
          <cell r="B48" t="str">
            <v>5375</v>
          </cell>
          <cell r="C48" t="str">
            <v>SALCHICHON KILO</v>
          </cell>
          <cell r="D48" t="str">
            <v>0210093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04/06/2020</v>
          </cell>
          <cell r="I48">
            <v>2190</v>
          </cell>
          <cell r="J48">
            <v>2695</v>
          </cell>
          <cell r="K48">
            <v>1000</v>
          </cell>
          <cell r="L48">
            <v>2.6949999999999998</v>
          </cell>
          <cell r="M48" t="str">
            <v>Gramos</v>
          </cell>
        </row>
        <row r="49">
          <cell r="A49" t="str">
            <v>0210096</v>
          </cell>
          <cell r="B49" t="str">
            <v>5382</v>
          </cell>
          <cell r="C49" t="str">
            <v>POSTA DE CERDO KILO</v>
          </cell>
          <cell r="D49" t="str">
            <v>0210096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3395</v>
          </cell>
          <cell r="J49">
            <v>3595</v>
          </cell>
          <cell r="K49">
            <v>1000</v>
          </cell>
          <cell r="L49">
            <v>3.5950000000000002</v>
          </cell>
          <cell r="M49" t="str">
            <v>Gramos</v>
          </cell>
        </row>
        <row r="50">
          <cell r="A50" t="str">
            <v>0210101</v>
          </cell>
          <cell r="B50" t="str">
            <v>5384</v>
          </cell>
          <cell r="C50" t="str">
            <v>BISTEK POPULAR (KILO)</v>
          </cell>
          <cell r="D50" t="str">
            <v>0210101</v>
          </cell>
          <cell r="E50" t="str">
            <v>MATERIAS PRIMAS PLANTA</v>
          </cell>
          <cell r="F50" t="str">
            <v>1 KILO</v>
          </cell>
          <cell r="G50">
            <v>700</v>
          </cell>
          <cell r="H50" t="str">
            <v>13/04/2020</v>
          </cell>
          <cell r="I50">
            <v>4395</v>
          </cell>
          <cell r="J50">
            <v>4895</v>
          </cell>
          <cell r="K50">
            <v>1000</v>
          </cell>
          <cell r="L50">
            <v>4.8949999999999996</v>
          </cell>
          <cell r="M50" t="str">
            <v>Gramos</v>
          </cell>
        </row>
        <row r="51">
          <cell r="A51" t="str">
            <v>0210104</v>
          </cell>
          <cell r="B51" t="str">
            <v>5392</v>
          </cell>
          <cell r="C51" t="str">
            <v>MANO PIEDRA KILO</v>
          </cell>
          <cell r="D51" t="str">
            <v>0210104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18/02/2020</v>
          </cell>
          <cell r="I51">
            <v>3775</v>
          </cell>
          <cell r="J51">
            <v>4695</v>
          </cell>
          <cell r="K51">
            <v>1000</v>
          </cell>
          <cell r="L51">
            <v>4.6950000000000003</v>
          </cell>
          <cell r="M51" t="str">
            <v>Gramos</v>
          </cell>
        </row>
        <row r="52">
          <cell r="A52" t="str">
            <v>210107</v>
          </cell>
          <cell r="B52" t="str">
            <v>5385</v>
          </cell>
          <cell r="C52" t="str">
            <v>BISTEC CERDO KILO</v>
          </cell>
          <cell r="D52" t="str">
            <v>210107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06/05/2020</v>
          </cell>
          <cell r="I52">
            <v>3550</v>
          </cell>
          <cell r="J52">
            <v>3795</v>
          </cell>
          <cell r="K52">
            <v>1000</v>
          </cell>
          <cell r="L52">
            <v>3.7949999999999999</v>
          </cell>
          <cell r="M52" t="str">
            <v>Gramos</v>
          </cell>
        </row>
        <row r="53">
          <cell r="A53" t="str">
            <v>0210108</v>
          </cell>
          <cell r="B53" t="str">
            <v>5386</v>
          </cell>
          <cell r="C53" t="str">
            <v>CHULETA AHUMADA KILO</v>
          </cell>
          <cell r="D53" t="str">
            <v>0210108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21/05/2020</v>
          </cell>
          <cell r="I53">
            <v>3550</v>
          </cell>
          <cell r="J53">
            <v>4095</v>
          </cell>
          <cell r="K53">
            <v>1000</v>
          </cell>
          <cell r="L53">
            <v>4.0949999999999998</v>
          </cell>
          <cell r="M53" t="str">
            <v>Gramos</v>
          </cell>
        </row>
        <row r="54">
          <cell r="A54" t="str">
            <v>0210117</v>
          </cell>
          <cell r="B54" t="str">
            <v>5366</v>
          </cell>
          <cell r="C54" t="str">
            <v>RECORTE FILET Nº1358 KILO</v>
          </cell>
          <cell r="D54" t="str">
            <v>0210117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15/06/2020</v>
          </cell>
          <cell r="I54">
            <v>2360</v>
          </cell>
          <cell r="J54">
            <v>2480</v>
          </cell>
          <cell r="K54">
            <v>1000</v>
          </cell>
          <cell r="L54">
            <v>2.48</v>
          </cell>
          <cell r="M54" t="str">
            <v>Gramos</v>
          </cell>
        </row>
        <row r="55">
          <cell r="A55" t="str">
            <v>0212254</v>
          </cell>
          <cell r="B55" t="str">
            <v>10468</v>
          </cell>
          <cell r="C55" t="str">
            <v>MANTECA DE CERDO</v>
          </cell>
          <cell r="D55" t="str">
            <v>0212254</v>
          </cell>
          <cell r="E55" t="str">
            <v>MATERIAS PRIMAS PLANTA</v>
          </cell>
          <cell r="F55" t="str">
            <v xml:space="preserve">1 KILO </v>
          </cell>
          <cell r="G55">
            <v>500</v>
          </cell>
          <cell r="H55" t="str">
            <v>17/12/2019</v>
          </cell>
          <cell r="I55">
            <v>1545</v>
          </cell>
          <cell r="J55">
            <v>0</v>
          </cell>
          <cell r="K55">
            <v>1000</v>
          </cell>
          <cell r="L55">
            <v>0</v>
          </cell>
          <cell r="M55" t="str">
            <v>Gramos</v>
          </cell>
        </row>
        <row r="56">
          <cell r="A56" t="str">
            <v>0212275</v>
          </cell>
          <cell r="B56" t="str">
            <v>5387</v>
          </cell>
          <cell r="C56" t="str">
            <v>MORTADELA ESPECIAL KILO</v>
          </cell>
          <cell r="D56" t="str">
            <v>0212275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06/06/2020</v>
          </cell>
          <cell r="I56">
            <v>3790</v>
          </cell>
          <cell r="J56">
            <v>2495</v>
          </cell>
          <cell r="K56">
            <v>1000</v>
          </cell>
          <cell r="L56">
            <v>2.4950000000000001</v>
          </cell>
          <cell r="M56" t="str">
            <v>Gramos</v>
          </cell>
        </row>
        <row r="57">
          <cell r="A57" t="str">
            <v>0310107</v>
          </cell>
          <cell r="B57" t="str">
            <v>5521</v>
          </cell>
          <cell r="C57" t="str">
            <v>LACTOCREMA GRANEL (CAJA:25 KG)</v>
          </cell>
          <cell r="D57" t="str">
            <v>0310107</v>
          </cell>
          <cell r="E57" t="str">
            <v>MATERIAS PRIMAS PLANTA</v>
          </cell>
          <cell r="F57" t="str">
            <v>1 CAJA</v>
          </cell>
          <cell r="G57">
            <v>500</v>
          </cell>
          <cell r="H57" t="str">
            <v>15/06/2020</v>
          </cell>
          <cell r="I57">
            <v>75611</v>
          </cell>
          <cell r="J57">
            <v>87333</v>
          </cell>
          <cell r="K57">
            <v>25000</v>
          </cell>
          <cell r="L57">
            <v>3.4933200000000002</v>
          </cell>
          <cell r="M57" t="str">
            <v>Gramos</v>
          </cell>
        </row>
        <row r="58">
          <cell r="A58" t="str">
            <v>0310112</v>
          </cell>
          <cell r="B58" t="str">
            <v>5604</v>
          </cell>
          <cell r="C58" t="str">
            <v>QUESO PRADO RICO REBANADO KILO</v>
          </cell>
          <cell r="D58" t="str">
            <v>0310112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15/06/2020</v>
          </cell>
          <cell r="I58">
            <v>7622</v>
          </cell>
          <cell r="J58">
            <v>6086.335</v>
          </cell>
          <cell r="K58">
            <v>1000</v>
          </cell>
          <cell r="L58">
            <v>6.0863350000000001</v>
          </cell>
          <cell r="M58" t="str">
            <v>Gramos</v>
          </cell>
        </row>
        <row r="59">
          <cell r="A59" t="str">
            <v>0310115</v>
          </cell>
          <cell r="B59" t="str">
            <v>5585</v>
          </cell>
          <cell r="C59" t="str">
            <v>QUESO CHEDDAR BLOCK (UND:2 kg)</v>
          </cell>
          <cell r="D59" t="str">
            <v>0310115</v>
          </cell>
          <cell r="E59" t="str">
            <v>MATERIAS PRIMAS PLANTA</v>
          </cell>
          <cell r="F59" t="str">
            <v>1 UND</v>
          </cell>
          <cell r="G59">
            <v>500</v>
          </cell>
          <cell r="H59" t="str">
            <v>15/06/2020</v>
          </cell>
          <cell r="I59">
            <v>18359</v>
          </cell>
          <cell r="J59">
            <v>19532</v>
          </cell>
          <cell r="K59">
            <v>2000</v>
          </cell>
          <cell r="L59">
            <v>9.766</v>
          </cell>
          <cell r="M59" t="str">
            <v>Gramos</v>
          </cell>
        </row>
        <row r="60">
          <cell r="A60" t="str">
            <v>0310116</v>
          </cell>
          <cell r="B60" t="str">
            <v>5615</v>
          </cell>
          <cell r="C60" t="str">
            <v>QUESO PARMERSANO (KILO)</v>
          </cell>
          <cell r="D60" t="str">
            <v>0310116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18/05/2020</v>
          </cell>
          <cell r="I60">
            <v>10763.6526908</v>
          </cell>
          <cell r="J60">
            <v>11304.66085</v>
          </cell>
          <cell r="K60">
            <v>1000</v>
          </cell>
          <cell r="L60">
            <v>11.304660849999999</v>
          </cell>
          <cell r="M60" t="str">
            <v>Gramos</v>
          </cell>
        </row>
        <row r="61">
          <cell r="A61" t="str">
            <v>0310120</v>
          </cell>
          <cell r="B61" t="str">
            <v>5612</v>
          </cell>
          <cell r="C61" t="str">
            <v>QUESO RICOTTA (UND: KILO)</v>
          </cell>
          <cell r="D61" t="str">
            <v>0310120</v>
          </cell>
          <cell r="E61" t="str">
            <v>MATERIAS PRIMAS PLANTA</v>
          </cell>
          <cell r="F61" t="str">
            <v>1 UND</v>
          </cell>
          <cell r="G61">
            <v>500</v>
          </cell>
          <cell r="H61" t="str">
            <v>15/06/2020</v>
          </cell>
          <cell r="I61">
            <v>4000</v>
          </cell>
          <cell r="J61">
            <v>3677.1390000000001</v>
          </cell>
          <cell r="K61">
            <v>1000</v>
          </cell>
          <cell r="L61">
            <v>3.6771389999999999</v>
          </cell>
          <cell r="M61" t="str">
            <v>Gramos</v>
          </cell>
        </row>
        <row r="62">
          <cell r="A62" t="str">
            <v>0310145</v>
          </cell>
          <cell r="B62" t="str">
            <v>5586</v>
          </cell>
          <cell r="C62" t="str">
            <v>LECHE POLVO INDUSTRIAL (SACO:25 KG)</v>
          </cell>
          <cell r="D62" t="str">
            <v>0310145</v>
          </cell>
          <cell r="E62" t="str">
            <v>MATERIAS PRIMAS PLANTA</v>
          </cell>
          <cell r="F62" t="str">
            <v>1 SACO</v>
          </cell>
          <cell r="G62">
            <v>500</v>
          </cell>
          <cell r="H62" t="str">
            <v>12/06/2020</v>
          </cell>
          <cell r="I62">
            <v>65957</v>
          </cell>
          <cell r="J62">
            <v>71364</v>
          </cell>
          <cell r="K62">
            <v>25000</v>
          </cell>
          <cell r="L62">
            <v>2.8545600000000002</v>
          </cell>
          <cell r="M62" t="str">
            <v>Gramos</v>
          </cell>
        </row>
        <row r="63">
          <cell r="A63" t="str">
            <v>310148</v>
          </cell>
          <cell r="B63" t="str">
            <v>5597</v>
          </cell>
          <cell r="C63" t="str">
            <v>BETTERCREME SUPREMO (UND:4 K)</v>
          </cell>
          <cell r="D63" t="str">
            <v>310148</v>
          </cell>
          <cell r="E63" t="str">
            <v>MATERIAS PRIMAS PLANTA</v>
          </cell>
          <cell r="F63" t="str">
            <v>1 UND</v>
          </cell>
          <cell r="G63">
            <v>500</v>
          </cell>
          <cell r="H63" t="str">
            <v>15/06/2020</v>
          </cell>
          <cell r="I63">
            <v>7890</v>
          </cell>
          <cell r="J63">
            <v>9704</v>
          </cell>
          <cell r="K63">
            <v>4000</v>
          </cell>
          <cell r="L63">
            <v>2.4260000000000002</v>
          </cell>
          <cell r="M63" t="str">
            <v>Gramos</v>
          </cell>
        </row>
        <row r="64">
          <cell r="A64" t="str">
            <v>10100307</v>
          </cell>
          <cell r="B64" t="str">
            <v>5620</v>
          </cell>
          <cell r="C64" t="str">
            <v>TRES LECHES LA LECHERA (UND: 900 ML)</v>
          </cell>
          <cell r="D64" t="str">
            <v>310218</v>
          </cell>
          <cell r="E64" t="str">
            <v>MATERIAS PRIMAS PLANTA</v>
          </cell>
          <cell r="F64" t="str">
            <v>1 CAJA</v>
          </cell>
          <cell r="G64">
            <v>500</v>
          </cell>
          <cell r="H64" t="str">
            <v>15/06/2020</v>
          </cell>
          <cell r="I64">
            <v>23473</v>
          </cell>
          <cell r="J64">
            <v>2015</v>
          </cell>
          <cell r="K64">
            <v>900</v>
          </cell>
          <cell r="L64">
            <v>2.2388888888888889</v>
          </cell>
          <cell r="M64" t="str">
            <v>Gramos</v>
          </cell>
        </row>
        <row r="65">
          <cell r="A65" t="str">
            <v>0312277</v>
          </cell>
          <cell r="B65" t="str">
            <v>5607</v>
          </cell>
          <cell r="C65" t="str">
            <v>QUESO BOCCONCINI (PAQ:500g)</v>
          </cell>
          <cell r="D65" t="str">
            <v>0312277</v>
          </cell>
          <cell r="E65" t="str">
            <v>MATERIAS PRIMAS PLANTA</v>
          </cell>
          <cell r="F65" t="str">
            <v>1 PAQUETE</v>
          </cell>
          <cell r="G65">
            <v>500</v>
          </cell>
          <cell r="H65" t="str">
            <v>15/06/2020</v>
          </cell>
          <cell r="I65">
            <v>4335</v>
          </cell>
          <cell r="J65">
            <v>0</v>
          </cell>
          <cell r="K65">
            <v>500</v>
          </cell>
          <cell r="L65">
            <v>0</v>
          </cell>
          <cell r="M65"/>
        </row>
        <row r="66">
          <cell r="A66" t="str">
            <v>0312278</v>
          </cell>
          <cell r="B66" t="str">
            <v>5589</v>
          </cell>
          <cell r="C66" t="str">
            <v>LECHE ESTANDAR (UND:10 L)</v>
          </cell>
          <cell r="D66" t="str">
            <v>0312278</v>
          </cell>
          <cell r="E66" t="str">
            <v>MATERIAS PRIMAS PLANTA</v>
          </cell>
          <cell r="F66" t="str">
            <v>1 UND</v>
          </cell>
          <cell r="G66">
            <v>500</v>
          </cell>
          <cell r="H66" t="str">
            <v>13/04/2020</v>
          </cell>
          <cell r="I66" t="e">
            <v>#N/A</v>
          </cell>
          <cell r="J66">
            <v>0</v>
          </cell>
          <cell r="K66">
            <v>10000</v>
          </cell>
          <cell r="L66">
            <v>0</v>
          </cell>
          <cell r="M66" t="str">
            <v>Mililitros</v>
          </cell>
        </row>
        <row r="67">
          <cell r="A67" t="str">
            <v>0410110</v>
          </cell>
          <cell r="B67" t="str">
            <v>5635</v>
          </cell>
          <cell r="C67" t="str">
            <v>RELLENO MELOCOTON BUCCA KILO</v>
          </cell>
          <cell r="D67" t="str">
            <v>0410110</v>
          </cell>
          <cell r="E67" t="str">
            <v>MATERIAS PRIMAS PLANTA</v>
          </cell>
          <cell r="F67" t="str">
            <v>1 KILO</v>
          </cell>
          <cell r="G67">
            <v>500</v>
          </cell>
          <cell r="H67" t="str">
            <v>04/05/2020</v>
          </cell>
          <cell r="I67" t="e">
            <v>#N/A</v>
          </cell>
          <cell r="J67">
            <v>0</v>
          </cell>
          <cell r="K67">
            <v>1000</v>
          </cell>
          <cell r="L67">
            <v>0</v>
          </cell>
          <cell r="M67" t="str">
            <v>Gramos</v>
          </cell>
        </row>
        <row r="68">
          <cell r="A68" t="str">
            <v>410118</v>
          </cell>
          <cell r="B68" t="str">
            <v>5416</v>
          </cell>
          <cell r="C68" t="str">
            <v>BRILLO GLIT (UND:5 KILOS)</v>
          </cell>
          <cell r="D68" t="str">
            <v>410118</v>
          </cell>
          <cell r="E68" t="str">
            <v>MATERIAS PRIMAS PLANTA</v>
          </cell>
          <cell r="F68" t="str">
            <v>1 UND</v>
          </cell>
          <cell r="G68">
            <v>500</v>
          </cell>
          <cell r="H68" t="str">
            <v>21/03/2020</v>
          </cell>
          <cell r="I68">
            <v>13719</v>
          </cell>
          <cell r="J68">
            <v>19697.82</v>
          </cell>
          <cell r="K68">
            <v>5000</v>
          </cell>
          <cell r="L68">
            <v>3.9395639999999998</v>
          </cell>
          <cell r="M68"/>
        </row>
        <row r="69">
          <cell r="A69" t="str">
            <v>410127</v>
          </cell>
          <cell r="B69" t="str">
            <v>5647</v>
          </cell>
          <cell r="C69" t="str">
            <v>CREMA PASTELERA KILO</v>
          </cell>
          <cell r="D69" t="str">
            <v>410127</v>
          </cell>
          <cell r="E69" t="str">
            <v>MATERIAS PRIMAS PLANTA</v>
          </cell>
          <cell r="F69" t="str">
            <v>1 KILO</v>
          </cell>
          <cell r="G69">
            <v>500</v>
          </cell>
          <cell r="H69" t="str">
            <v>23/03/2020</v>
          </cell>
          <cell r="I69" t="e">
            <v>#N/A</v>
          </cell>
          <cell r="J69">
            <v>0</v>
          </cell>
          <cell r="K69">
            <v>1000</v>
          </cell>
          <cell r="L69">
            <v>0</v>
          </cell>
          <cell r="M69" t="str">
            <v>Gramos</v>
          </cell>
        </row>
        <row r="70">
          <cell r="A70" t="str">
            <v>0410137</v>
          </cell>
          <cell r="B70" t="str">
            <v>5301</v>
          </cell>
          <cell r="C70" t="str">
            <v>JALEA FRESA (UND:5 K)</v>
          </cell>
          <cell r="D70" t="str">
            <v>0410137</v>
          </cell>
          <cell r="E70" t="str">
            <v>MATERIAS PRIMAS PLANTA</v>
          </cell>
          <cell r="F70" t="str">
            <v>1 UND</v>
          </cell>
          <cell r="G70">
            <v>500</v>
          </cell>
          <cell r="H70" t="str">
            <v>12/06/2020</v>
          </cell>
          <cell r="I70">
            <v>7341</v>
          </cell>
          <cell r="J70">
            <v>7708</v>
          </cell>
          <cell r="K70">
            <v>5000</v>
          </cell>
          <cell r="L70">
            <v>1.5416000000000001</v>
          </cell>
          <cell r="M70" t="str">
            <v>Gramos</v>
          </cell>
        </row>
        <row r="71">
          <cell r="A71" t="str">
            <v>0410151</v>
          </cell>
          <cell r="B71" t="str">
            <v>5646</v>
          </cell>
          <cell r="C71" t="str">
            <v>RELLENO FUDGE KILO</v>
          </cell>
          <cell r="D71" t="str">
            <v>0410151</v>
          </cell>
          <cell r="E71" t="str">
            <v>MATERIAS PRIMAS PLANTA</v>
          </cell>
          <cell r="F71" t="str">
            <v>1 KILO</v>
          </cell>
          <cell r="G71">
            <v>500</v>
          </cell>
          <cell r="H71" t="str">
            <v>16/06/2020</v>
          </cell>
          <cell r="I71">
            <v>3867</v>
          </cell>
          <cell r="J71">
            <v>3951</v>
          </cell>
          <cell r="K71">
            <v>1000</v>
          </cell>
          <cell r="L71">
            <v>3.9510000000000001</v>
          </cell>
          <cell r="M71" t="str">
            <v>Gramos</v>
          </cell>
        </row>
        <row r="72">
          <cell r="A72" t="str">
            <v>0410152</v>
          </cell>
          <cell r="B72" t="str">
            <v>5645</v>
          </cell>
          <cell r="C72" t="str">
            <v>RELLENO MELOCOTON KILO</v>
          </cell>
          <cell r="D72" t="str">
            <v>0410152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04/05/2020</v>
          </cell>
          <cell r="I72" t="e">
            <v>#N/A</v>
          </cell>
          <cell r="J72">
            <v>0</v>
          </cell>
          <cell r="K72">
            <v>1000</v>
          </cell>
          <cell r="L72">
            <v>0</v>
          </cell>
          <cell r="M72" t="str">
            <v>Gramos</v>
          </cell>
        </row>
        <row r="73">
          <cell r="A73" t="str">
            <v>0410153</v>
          </cell>
          <cell r="B73" t="str">
            <v>5644</v>
          </cell>
          <cell r="C73" t="str">
            <v>TOPPING MELOCOTON KILO</v>
          </cell>
          <cell r="D73" t="str">
            <v>0410153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0</v>
          </cell>
          <cell r="K73">
            <v>1000</v>
          </cell>
          <cell r="L73">
            <v>0</v>
          </cell>
          <cell r="M73" t="str">
            <v>Gramos</v>
          </cell>
        </row>
        <row r="74">
          <cell r="A74" t="str">
            <v>0410154</v>
          </cell>
          <cell r="B74" t="str">
            <v>5643</v>
          </cell>
          <cell r="C74" t="str">
            <v>RELLENO CARAMELO KILO</v>
          </cell>
          <cell r="D74" t="str">
            <v>0410154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15/06/2020</v>
          </cell>
          <cell r="I74">
            <v>3335</v>
          </cell>
          <cell r="J74">
            <v>3570</v>
          </cell>
          <cell r="K74">
            <v>1000</v>
          </cell>
          <cell r="L74">
            <v>3.57</v>
          </cell>
          <cell r="M74" t="str">
            <v>Gramos</v>
          </cell>
        </row>
        <row r="75">
          <cell r="A75" t="str">
            <v>0410172</v>
          </cell>
          <cell r="B75" t="str">
            <v>5642</v>
          </cell>
          <cell r="C75" t="str">
            <v>RELLENO DE FRESA KILO</v>
          </cell>
          <cell r="D75" t="str">
            <v>0410172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04/05/2020</v>
          </cell>
          <cell r="I75" t="e">
            <v>#N/A</v>
          </cell>
          <cell r="J75">
            <v>0</v>
          </cell>
          <cell r="K75">
            <v>1000</v>
          </cell>
          <cell r="L75">
            <v>0</v>
          </cell>
          <cell r="M75" t="str">
            <v>Gramos</v>
          </cell>
        </row>
        <row r="76">
          <cell r="A76" t="str">
            <v>0410174</v>
          </cell>
          <cell r="B76" t="str">
            <v>5640</v>
          </cell>
          <cell r="C76" t="str">
            <v>RELLENO PIÑA COLADA KILO</v>
          </cell>
          <cell r="D76" t="str">
            <v>0410174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11/05/2020</v>
          </cell>
          <cell r="I76">
            <v>2200</v>
          </cell>
          <cell r="J76">
            <v>0</v>
          </cell>
          <cell r="K76">
            <v>1000</v>
          </cell>
          <cell r="L76">
            <v>0</v>
          </cell>
          <cell r="M76" t="str">
            <v>Gramos</v>
          </cell>
        </row>
        <row r="77">
          <cell r="A77" t="str">
            <v>0410189</v>
          </cell>
          <cell r="B77" t="str">
            <v>5648</v>
          </cell>
          <cell r="C77" t="str">
            <v>RELLENO DE FRESA ESPESA KILO</v>
          </cell>
          <cell r="D77" t="str">
            <v>0410189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06/05/2020</v>
          </cell>
          <cell r="I77" t="e">
            <v>#N/A</v>
          </cell>
          <cell r="J77">
            <v>0</v>
          </cell>
          <cell r="K77">
            <v>1000</v>
          </cell>
          <cell r="L77">
            <v>0</v>
          </cell>
          <cell r="M77" t="str">
            <v>Gramos</v>
          </cell>
        </row>
        <row r="78">
          <cell r="A78" t="str">
            <v>505605</v>
          </cell>
          <cell r="B78" t="str">
            <v>3266</v>
          </cell>
          <cell r="C78" t="str">
            <v>LECHE CONDENSADA NESTLE (UND:395 G)</v>
          </cell>
          <cell r="D78" t="str">
            <v>505605</v>
          </cell>
          <cell r="E78" t="str">
            <v>MATERIAS PRIMAS PLANTA</v>
          </cell>
          <cell r="F78" t="str">
            <v>1 UND</v>
          </cell>
          <cell r="G78">
            <v>500</v>
          </cell>
          <cell r="H78" t="str">
            <v>03/03/2020</v>
          </cell>
          <cell r="I78">
            <v>895</v>
          </cell>
          <cell r="J78">
            <v>959</v>
          </cell>
          <cell r="K78">
            <v>1</v>
          </cell>
          <cell r="L78">
            <v>959</v>
          </cell>
          <cell r="M78" t="str">
            <v>Gramos</v>
          </cell>
        </row>
        <row r="79">
          <cell r="A79" t="str">
            <v>0510051</v>
          </cell>
          <cell r="B79" t="str">
            <v>5536</v>
          </cell>
          <cell r="C79" t="str">
            <v>PASTAS DE HARINA AMARILLA (CAJA:9.52 KG)</v>
          </cell>
          <cell r="D79" t="str">
            <v>0510051</v>
          </cell>
          <cell r="E79" t="str">
            <v>MATERIAS PRIMAS PLANTA</v>
          </cell>
          <cell r="F79" t="str">
            <v>1 CAJA</v>
          </cell>
          <cell r="G79">
            <v>500</v>
          </cell>
          <cell r="H79" t="str">
            <v>10/06/2020</v>
          </cell>
          <cell r="I79">
            <v>39012</v>
          </cell>
          <cell r="J79">
            <v>39072</v>
          </cell>
          <cell r="K79">
            <v>9520</v>
          </cell>
          <cell r="L79">
            <v>4.1042016806722685</v>
          </cell>
          <cell r="M79" t="str">
            <v>Gramos</v>
          </cell>
        </row>
        <row r="80">
          <cell r="A80" t="str">
            <v>510100</v>
          </cell>
          <cell r="B80" t="str">
            <v>11252</v>
          </cell>
          <cell r="C80" t="str">
            <v>ARROZ PRECOCIDO MI SABOR(BULTO:15 K)</v>
          </cell>
          <cell r="D80" t="str">
            <v>510100</v>
          </cell>
          <cell r="E80" t="str">
            <v>MATERIAS PRIMAS PLANTA</v>
          </cell>
          <cell r="F80" t="str">
            <v>1 BULTO</v>
          </cell>
          <cell r="G80">
            <v>500</v>
          </cell>
          <cell r="H80" t="str">
            <v>09/06/2020</v>
          </cell>
          <cell r="I80">
            <v>10515.04</v>
          </cell>
          <cell r="J80">
            <v>10515.04</v>
          </cell>
          <cell r="K80">
            <v>15000</v>
          </cell>
          <cell r="L80">
            <v>0.70100266666666677</v>
          </cell>
          <cell r="M80" t="str">
            <v>Gramos</v>
          </cell>
        </row>
        <row r="81">
          <cell r="A81" t="str">
            <v>0510107</v>
          </cell>
          <cell r="B81" t="str">
            <v>5567</v>
          </cell>
          <cell r="C81" t="str">
            <v>HARINA HARISOL WINTER (SACO:25 KG)</v>
          </cell>
          <cell r="D81" t="str">
            <v>0510107</v>
          </cell>
          <cell r="E81" t="str">
            <v>MATERIAS PRIMAS PLANTA</v>
          </cell>
          <cell r="F81" t="str">
            <v>1 SACO</v>
          </cell>
          <cell r="G81">
            <v>500</v>
          </cell>
          <cell r="H81" t="str">
            <v>11/06/2020</v>
          </cell>
          <cell r="I81">
            <v>11395.5</v>
          </cell>
          <cell r="J81">
            <v>15691.3176</v>
          </cell>
          <cell r="K81">
            <v>25000</v>
          </cell>
          <cell r="L81">
            <v>0.62765270400000006</v>
          </cell>
          <cell r="M81" t="str">
            <v>Gramos</v>
          </cell>
        </row>
        <row r="82">
          <cell r="A82" t="str">
            <v>510109</v>
          </cell>
          <cell r="B82" t="str">
            <v>5297</v>
          </cell>
          <cell r="C82" t="str">
            <v>AZUCAR DOÑA MARIA (PAQ:5 K)</v>
          </cell>
          <cell r="D82" t="str">
            <v>510109</v>
          </cell>
          <cell r="E82" t="str">
            <v>MATERIAS PRIMAS PLANTA</v>
          </cell>
          <cell r="F82" t="str">
            <v>1 PAQUETE</v>
          </cell>
          <cell r="G82">
            <v>500</v>
          </cell>
          <cell r="H82" t="str">
            <v>10/06/2020</v>
          </cell>
          <cell r="I82">
            <v>3240</v>
          </cell>
          <cell r="J82">
            <v>0</v>
          </cell>
          <cell r="K82">
            <v>5000</v>
          </cell>
          <cell r="L82">
            <v>0</v>
          </cell>
          <cell r="M82" t="str">
            <v>Gramos</v>
          </cell>
        </row>
        <row r="83">
          <cell r="A83" t="str">
            <v>510115</v>
          </cell>
          <cell r="B83" t="str">
            <v>7055</v>
          </cell>
          <cell r="C83" t="str">
            <v>COLOR CARAMELINA EXTRA (KILO)</v>
          </cell>
          <cell r="D83" t="str">
            <v>510115</v>
          </cell>
          <cell r="E83" t="str">
            <v>MATERIAS PRIMAS PLANTA</v>
          </cell>
          <cell r="F83" t="str">
            <v xml:space="preserve">1 KILO </v>
          </cell>
          <cell r="G83">
            <v>500</v>
          </cell>
          <cell r="H83" t="str">
            <v>06/05/2020</v>
          </cell>
          <cell r="I83">
            <v>6130.3</v>
          </cell>
          <cell r="J83">
            <v>0</v>
          </cell>
          <cell r="K83">
            <v>1000</v>
          </cell>
          <cell r="L83">
            <v>0</v>
          </cell>
          <cell r="M83" t="str">
            <v>Gramos</v>
          </cell>
        </row>
        <row r="84">
          <cell r="A84" t="str">
            <v>0510146</v>
          </cell>
          <cell r="B84" t="str">
            <v>7042</v>
          </cell>
          <cell r="C84" t="str">
            <v>AJONJOLI (PAQ:1 KILO)</v>
          </cell>
          <cell r="D84" t="str">
            <v>0510146</v>
          </cell>
          <cell r="E84" t="str">
            <v>MATERIAS PRIMAS PLANTA</v>
          </cell>
          <cell r="F84" t="str">
            <v>1 PAQUETE</v>
          </cell>
          <cell r="G84">
            <v>500</v>
          </cell>
          <cell r="H84" t="str">
            <v>18/05/2020</v>
          </cell>
          <cell r="I84">
            <v>5</v>
          </cell>
          <cell r="J84">
            <v>5</v>
          </cell>
          <cell r="K84">
            <v>1000</v>
          </cell>
          <cell r="L84">
            <v>5.0000000000000001E-3</v>
          </cell>
          <cell r="M84" t="str">
            <v>Gramos</v>
          </cell>
        </row>
        <row r="85">
          <cell r="A85" t="str">
            <v>510148</v>
          </cell>
          <cell r="B85" t="str">
            <v>5662</v>
          </cell>
          <cell r="C85" t="str">
            <v>ALMENDRA FILETEADA (CAJA: 11,34KG)</v>
          </cell>
          <cell r="D85" t="str">
            <v>510148</v>
          </cell>
          <cell r="E85" t="str">
            <v>MATERIAS PRIMAS PLANTA</v>
          </cell>
          <cell r="F85" t="str">
            <v xml:space="preserve">1 CAJA </v>
          </cell>
          <cell r="G85">
            <v>500</v>
          </cell>
          <cell r="H85" t="str">
            <v>15/06/2020</v>
          </cell>
          <cell r="I85">
            <v>63226</v>
          </cell>
          <cell r="J85">
            <v>113.4</v>
          </cell>
          <cell r="K85">
            <v>11340</v>
          </cell>
          <cell r="L85">
            <v>0.01</v>
          </cell>
          <cell r="M85" t="str">
            <v>Gramos</v>
          </cell>
        </row>
        <row r="86">
          <cell r="A86" t="str">
            <v>510149</v>
          </cell>
          <cell r="B86" t="str">
            <v>5663</v>
          </cell>
          <cell r="C86" t="str">
            <v>ALMENDRA ENTERA (CAJA:12 KG)</v>
          </cell>
          <cell r="D86" t="str">
            <v>510149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24/12/2019</v>
          </cell>
          <cell r="I86">
            <v>69003</v>
          </cell>
          <cell r="J86">
            <v>99</v>
          </cell>
          <cell r="K86">
            <v>12000</v>
          </cell>
          <cell r="L86">
            <v>8.2500000000000004E-3</v>
          </cell>
          <cell r="M86" t="str">
            <v>Gramos</v>
          </cell>
        </row>
        <row r="87">
          <cell r="A87" t="str">
            <v>510151</v>
          </cell>
          <cell r="B87" t="str">
            <v>5249</v>
          </cell>
          <cell r="C87" t="str">
            <v>ARROZ TIO PELON 96% (BULTO:12/1.8 K)</v>
          </cell>
          <cell r="D87" t="str">
            <v>510151</v>
          </cell>
          <cell r="E87" t="str">
            <v>MATERIAS PRIMAS PLANTA</v>
          </cell>
          <cell r="F87" t="str">
            <v>1 BULTO</v>
          </cell>
          <cell r="G87">
            <v>500</v>
          </cell>
          <cell r="H87" t="str">
            <v>12/06/2020</v>
          </cell>
          <cell r="I87">
            <v>17094</v>
          </cell>
          <cell r="J87">
            <v>19766</v>
          </cell>
          <cell r="K87">
            <v>21600</v>
          </cell>
          <cell r="L87">
            <v>0.91509259259259257</v>
          </cell>
          <cell r="M87" t="str">
            <v>Gramos</v>
          </cell>
        </row>
        <row r="88">
          <cell r="A88" t="str">
            <v>510157</v>
          </cell>
          <cell r="B88" t="str">
            <v>5263</v>
          </cell>
          <cell r="C88" t="str">
            <v>AZUCAR MORENO (PAQ:2 K)</v>
          </cell>
          <cell r="D88" t="str">
            <v>510157</v>
          </cell>
          <cell r="E88" t="str">
            <v>MATERIAS PRIMAS PLANTA</v>
          </cell>
          <cell r="F88" t="str">
            <v>1 PAQUETE</v>
          </cell>
          <cell r="G88">
            <v>500</v>
          </cell>
          <cell r="H88" t="str">
            <v>05/06/2020</v>
          </cell>
          <cell r="I88">
            <v>1788</v>
          </cell>
          <cell r="J88">
            <v>1788</v>
          </cell>
          <cell r="K88">
            <v>2000</v>
          </cell>
          <cell r="L88">
            <v>0.89400000000000002</v>
          </cell>
          <cell r="M88" t="str">
            <v>Gramos</v>
          </cell>
        </row>
        <row r="89">
          <cell r="A89" t="str">
            <v>510171</v>
          </cell>
          <cell r="B89" t="str">
            <v>11797</v>
          </cell>
          <cell r="C89" t="str">
            <v>CEREZA CONFITADA (CAJA:10 K)</v>
          </cell>
          <cell r="D89" t="str">
            <v>510171</v>
          </cell>
          <cell r="E89" t="str">
            <v>MATERIAS PRIMAS PLANTA</v>
          </cell>
          <cell r="F89" t="str">
            <v>1 CAJA</v>
          </cell>
          <cell r="G89">
            <v>500</v>
          </cell>
          <cell r="H89" t="str">
            <v>11/12/2019</v>
          </cell>
          <cell r="I89">
            <v>28020</v>
          </cell>
          <cell r="J89">
            <v>0</v>
          </cell>
          <cell r="K89">
            <v>10000</v>
          </cell>
          <cell r="L89">
            <v>0</v>
          </cell>
          <cell r="M89"/>
        </row>
        <row r="90">
          <cell r="A90" t="str">
            <v>510173</v>
          </cell>
          <cell r="B90" t="str">
            <v>7037</v>
          </cell>
          <cell r="C90" t="str">
            <v>CIRUELA (CAJA:10 Kg)</v>
          </cell>
          <cell r="D90" t="str">
            <v>510173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16/01/2020</v>
          </cell>
          <cell r="I90">
            <v>45578</v>
          </cell>
          <cell r="J90">
            <v>0</v>
          </cell>
          <cell r="K90">
            <v>11340</v>
          </cell>
          <cell r="L90">
            <v>0</v>
          </cell>
          <cell r="M90" t="str">
            <v>Gramos</v>
          </cell>
        </row>
        <row r="91">
          <cell r="A91" t="str">
            <v>510174</v>
          </cell>
          <cell r="B91" t="str">
            <v>5664</v>
          </cell>
          <cell r="C91" t="str">
            <v>COCO RALLADO (PAQ: 1 K)</v>
          </cell>
          <cell r="D91" t="str">
            <v>510174</v>
          </cell>
          <cell r="E91" t="str">
            <v>MATERIAS PRIMAS PLANTA</v>
          </cell>
          <cell r="F91" t="str">
            <v>1 PAQUETE</v>
          </cell>
          <cell r="G91">
            <v>500</v>
          </cell>
          <cell r="H91" t="str">
            <v>15/06/2020</v>
          </cell>
          <cell r="I91">
            <v>3460</v>
          </cell>
          <cell r="J91">
            <v>6.25</v>
          </cell>
          <cell r="K91">
            <v>1000</v>
          </cell>
          <cell r="L91">
            <v>6.2500000000000003E-3</v>
          </cell>
          <cell r="M91" t="str">
            <v>Gramos</v>
          </cell>
        </row>
        <row r="92">
          <cell r="A92" t="str">
            <v>510179</v>
          </cell>
          <cell r="B92" t="str">
            <v>5418</v>
          </cell>
          <cell r="C92" t="str">
            <v>CONFITURA COLORES(PAQ:1 KILO)</v>
          </cell>
          <cell r="D92" t="str">
            <v>510179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13/06/2020</v>
          </cell>
          <cell r="I92">
            <v>4340</v>
          </cell>
          <cell r="J92">
            <v>4753.3599999999997</v>
          </cell>
          <cell r="K92">
            <v>1000</v>
          </cell>
          <cell r="L92">
            <v>4.7533599999999998</v>
          </cell>
          <cell r="M92"/>
        </row>
        <row r="93">
          <cell r="A93" t="str">
            <v>0510181</v>
          </cell>
          <cell r="B93" t="str">
            <v>9708</v>
          </cell>
          <cell r="C93" t="str">
            <v>CREMOR TARTARO (PAQ: 1 KILO)</v>
          </cell>
          <cell r="D93" t="str">
            <v>0510181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2798.76</v>
          </cell>
          <cell r="J93">
            <v>0</v>
          </cell>
          <cell r="K93">
            <v>1000</v>
          </cell>
          <cell r="L93">
            <v>0</v>
          </cell>
          <cell r="M93"/>
        </row>
        <row r="94">
          <cell r="A94" t="str">
            <v>0510185</v>
          </cell>
          <cell r="B94" t="str">
            <v>5660</v>
          </cell>
          <cell r="C94" t="str">
            <v>FRUTA CONFITADA (CAJA:10 K)</v>
          </cell>
          <cell r="D94" t="str">
            <v>0510185</v>
          </cell>
          <cell r="E94" t="str">
            <v>MATERIAS PRIMAS PLANTA</v>
          </cell>
          <cell r="F94" t="str">
            <v>1 CAJA</v>
          </cell>
          <cell r="G94">
            <v>500</v>
          </cell>
          <cell r="H94" t="str">
            <v>27/02/2020</v>
          </cell>
          <cell r="I94">
            <v>16860</v>
          </cell>
          <cell r="J94">
            <v>0</v>
          </cell>
          <cell r="K94">
            <v>10000</v>
          </cell>
          <cell r="L94">
            <v>0</v>
          </cell>
          <cell r="M94"/>
        </row>
        <row r="95">
          <cell r="A95" t="str">
            <v>0510186</v>
          </cell>
          <cell r="B95" t="str">
            <v>5520</v>
          </cell>
          <cell r="C95" t="str">
            <v>GELATINA PURA  (PAQ:1 k)</v>
          </cell>
          <cell r="D95" t="str">
            <v>0510186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15/06/2020</v>
          </cell>
          <cell r="I95">
            <v>9071</v>
          </cell>
          <cell r="J95">
            <v>9071</v>
          </cell>
          <cell r="K95">
            <v>1000</v>
          </cell>
          <cell r="L95">
            <v>9.0709999999999997</v>
          </cell>
          <cell r="M95" t="str">
            <v>Gramos</v>
          </cell>
        </row>
        <row r="96">
          <cell r="A96" t="str">
            <v>0510188</v>
          </cell>
          <cell r="B96" t="str">
            <v>5568</v>
          </cell>
          <cell r="C96" t="str">
            <v>HARINA ESTANDAR  (SACO: 25 KG )</v>
          </cell>
          <cell r="D96" t="str">
            <v>0510188</v>
          </cell>
          <cell r="E96" t="str">
            <v>MATERIAS PRIMAS PLANTA</v>
          </cell>
          <cell r="F96" t="str">
            <v>1 SACO</v>
          </cell>
          <cell r="G96">
            <v>500</v>
          </cell>
          <cell r="H96" t="str">
            <v>11/06/2020</v>
          </cell>
          <cell r="I96">
            <v>11791.5</v>
          </cell>
          <cell r="J96">
            <v>16236.6016</v>
          </cell>
          <cell r="K96">
            <v>25000</v>
          </cell>
          <cell r="L96">
            <v>0.64946406400000001</v>
          </cell>
          <cell r="M96" t="str">
            <v>Gramos</v>
          </cell>
        </row>
        <row r="97">
          <cell r="A97" t="str">
            <v>0510190</v>
          </cell>
          <cell r="B97" t="str">
            <v>5557</v>
          </cell>
          <cell r="C97" t="str">
            <v>HARINA GOLD MEDAL (PAQ:4.5 K)</v>
          </cell>
          <cell r="D97" t="str">
            <v>0510190</v>
          </cell>
          <cell r="E97" t="str">
            <v>MATERIAS PRIMAS PLANTA</v>
          </cell>
          <cell r="F97" t="str">
            <v>1 PAQUETE</v>
          </cell>
          <cell r="G97">
            <v>500</v>
          </cell>
          <cell r="H97" t="str">
            <v>03/06/2020</v>
          </cell>
          <cell r="I97">
            <v>2975.52</v>
          </cell>
          <cell r="J97">
            <v>2464.325664</v>
          </cell>
          <cell r="K97">
            <v>4500</v>
          </cell>
          <cell r="L97">
            <v>0.54762792533333338</v>
          </cell>
          <cell r="M97" t="str">
            <v>Gramos</v>
          </cell>
        </row>
        <row r="98">
          <cell r="A98" t="str">
            <v>0510194</v>
          </cell>
          <cell r="B98" t="str">
            <v>7038</v>
          </cell>
          <cell r="C98" t="str">
            <v>MACADAMIA #8 (PAQ:800g)</v>
          </cell>
          <cell r="D98" t="str">
            <v>0510194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13/06/2020</v>
          </cell>
          <cell r="I98">
            <v>9072</v>
          </cell>
          <cell r="J98">
            <v>11670.9</v>
          </cell>
          <cell r="K98">
            <v>800</v>
          </cell>
          <cell r="L98">
            <v>14.588625</v>
          </cell>
          <cell r="M98" t="str">
            <v>Gramos</v>
          </cell>
        </row>
        <row r="99">
          <cell r="A99" t="str">
            <v>0510200</v>
          </cell>
          <cell r="B99" t="str">
            <v>5672</v>
          </cell>
          <cell r="C99" t="str">
            <v>PASAS (CAJAS:13.6KG)</v>
          </cell>
          <cell r="D99" t="str">
            <v>510200</v>
          </cell>
          <cell r="E99" t="str">
            <v>MATERIAS PRIMAS PLANTA</v>
          </cell>
          <cell r="F99" t="str">
            <v xml:space="preserve">1 CAJA </v>
          </cell>
          <cell r="G99">
            <v>500</v>
          </cell>
          <cell r="H99" t="str">
            <v>15/06/2020</v>
          </cell>
          <cell r="I99">
            <v>37290</v>
          </cell>
          <cell r="J99">
            <v>64.599999999999994</v>
          </cell>
          <cell r="K99">
            <v>13600</v>
          </cell>
          <cell r="L99">
            <v>4.7499999999999999E-3</v>
          </cell>
          <cell r="M99" t="str">
            <v>Gramos</v>
          </cell>
        </row>
        <row r="100">
          <cell r="A100" t="str">
            <v>510207</v>
          </cell>
          <cell r="B100" t="str">
            <v>5464</v>
          </cell>
          <cell r="C100" t="str">
            <v>FRIJOL BLANCO (PAQ:1KILO)</v>
          </cell>
          <cell r="D100" t="str">
            <v>510207</v>
          </cell>
          <cell r="E100" t="str">
            <v>MATERIAS PRIMAS PLANTA</v>
          </cell>
          <cell r="F100" t="str">
            <v>1 PAQUETE</v>
          </cell>
          <cell r="G100">
            <v>500</v>
          </cell>
          <cell r="H100" t="str">
            <v>04/06/2020</v>
          </cell>
          <cell r="I100" t="e">
            <v>#N/A</v>
          </cell>
          <cell r="J100">
            <v>0</v>
          </cell>
          <cell r="K100">
            <v>1000</v>
          </cell>
          <cell r="L100">
            <v>0</v>
          </cell>
          <cell r="M100"/>
        </row>
        <row r="101">
          <cell r="A101" t="str">
            <v>510215</v>
          </cell>
          <cell r="B101" t="str">
            <v>5626</v>
          </cell>
          <cell r="C101" t="str">
            <v xml:space="preserve">ALMIDON MODIFICADO (SACO:25 K) </v>
          </cell>
          <cell r="D101" t="str">
            <v>510215</v>
          </cell>
          <cell r="E101" t="str">
            <v>MATERIAS PRIMAS PLANTA</v>
          </cell>
          <cell r="F101" t="str">
            <v>1 SACO</v>
          </cell>
          <cell r="G101">
            <v>500</v>
          </cell>
          <cell r="H101" t="str">
            <v>09/06/2020</v>
          </cell>
          <cell r="I101">
            <v>30803</v>
          </cell>
          <cell r="J101">
            <v>89.75</v>
          </cell>
          <cell r="K101">
            <v>25000</v>
          </cell>
          <cell r="L101">
            <v>3.5899999999999999E-3</v>
          </cell>
          <cell r="M101" t="str">
            <v>Gramos</v>
          </cell>
        </row>
        <row r="102">
          <cell r="A102" t="str">
            <v>0510240</v>
          </cell>
          <cell r="B102" t="str">
            <v>11595</v>
          </cell>
          <cell r="C102" t="str">
            <v>PREMEZCLA PILS. CHOCOLATE (SACO:22.68 K)</v>
          </cell>
          <cell r="D102" t="str">
            <v>0510240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15/06/2020</v>
          </cell>
          <cell r="I102">
            <v>40212</v>
          </cell>
          <cell r="J102">
            <v>42636</v>
          </cell>
          <cell r="K102">
            <v>22680</v>
          </cell>
          <cell r="L102">
            <v>1.87989417989418</v>
          </cell>
          <cell r="M102" t="str">
            <v>Gramos</v>
          </cell>
        </row>
        <row r="103">
          <cell r="A103" t="str">
            <v>0510258</v>
          </cell>
          <cell r="B103" t="str">
            <v>5558</v>
          </cell>
          <cell r="C103" t="str">
            <v>PREMEZCLA MOIST PUDIN CAKE (SACO:25 K)</v>
          </cell>
          <cell r="D103" t="str">
            <v>0510258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05/05/2020</v>
          </cell>
          <cell r="I103">
            <v>27500</v>
          </cell>
          <cell r="J103">
            <v>38955.22</v>
          </cell>
          <cell r="K103">
            <v>25000</v>
          </cell>
          <cell r="L103">
            <v>1.5582088000000001</v>
          </cell>
          <cell r="M103" t="str">
            <v>Gramos</v>
          </cell>
        </row>
        <row r="104">
          <cell r="A104" t="str">
            <v>0510262</v>
          </cell>
          <cell r="B104" t="str">
            <v>5667</v>
          </cell>
          <cell r="C104" t="str">
            <v>PECANA ENTERA (CAJA:13.6 K)</v>
          </cell>
          <cell r="D104" t="str">
            <v>0510262</v>
          </cell>
          <cell r="E104" t="str">
            <v>MATERIAS PRIMAS PLANTA</v>
          </cell>
          <cell r="F104" t="str">
            <v xml:space="preserve">1 CAJA </v>
          </cell>
          <cell r="G104">
            <v>500</v>
          </cell>
          <cell r="H104" t="str">
            <v>15/06/2020</v>
          </cell>
          <cell r="I104">
            <v>231.2</v>
          </cell>
          <cell r="J104">
            <v>190.4</v>
          </cell>
          <cell r="K104">
            <v>13600</v>
          </cell>
          <cell r="L104">
            <v>1.4E-2</v>
          </cell>
          <cell r="M104" t="str">
            <v>Gramos</v>
          </cell>
        </row>
        <row r="105">
          <cell r="A105" t="str">
            <v>510268</v>
          </cell>
          <cell r="B105" t="str">
            <v>5460</v>
          </cell>
          <cell r="C105" t="str">
            <v>FRIJOL TIERNO (PAQ:1KILO)</v>
          </cell>
          <cell r="D105" t="str">
            <v>510268</v>
          </cell>
          <cell r="E105" t="str">
            <v>MATERIAS PRIMAS PLANTA</v>
          </cell>
          <cell r="F105" t="str">
            <v>1 PAQUETE</v>
          </cell>
          <cell r="G105">
            <v>500</v>
          </cell>
          <cell r="H105" t="str">
            <v>16/06/2020</v>
          </cell>
          <cell r="I105">
            <v>1700</v>
          </cell>
          <cell r="J105">
            <v>1700</v>
          </cell>
          <cell r="K105">
            <v>1000</v>
          </cell>
          <cell r="L105">
            <v>1.7</v>
          </cell>
          <cell r="M105" t="str">
            <v>Gramos</v>
          </cell>
        </row>
        <row r="106">
          <cell r="A106" t="str">
            <v>510280</v>
          </cell>
          <cell r="B106" t="str">
            <v>5627</v>
          </cell>
          <cell r="C106" t="str">
            <v>EMULCON TM (SACO:20 K)</v>
          </cell>
          <cell r="D106" t="str">
            <v>510280</v>
          </cell>
          <cell r="E106" t="str">
            <v>MATERIAS PRIMAS PLANTA</v>
          </cell>
          <cell r="F106" t="str">
            <v>1 SACO</v>
          </cell>
          <cell r="G106">
            <v>500</v>
          </cell>
          <cell r="H106" t="str">
            <v>02/06/2020</v>
          </cell>
          <cell r="I106">
            <v>100220</v>
          </cell>
          <cell r="J106">
            <v>120720</v>
          </cell>
          <cell r="K106">
            <v>20000</v>
          </cell>
          <cell r="L106">
            <v>6.0359999999999996</v>
          </cell>
          <cell r="M106" t="str">
            <v>Gramos</v>
          </cell>
        </row>
        <row r="107">
          <cell r="A107" t="str">
            <v>0510285</v>
          </cell>
          <cell r="B107" t="str">
            <v>5559</v>
          </cell>
          <cell r="C107" t="str">
            <v>PREMEZCLA P/QUEQUE YOGURT (SACO:22.67 K)</v>
          </cell>
          <cell r="D107" t="str">
            <v>0510285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09/12/2019</v>
          </cell>
          <cell r="I107" t="e">
            <v>#N/A</v>
          </cell>
          <cell r="J107">
            <v>0</v>
          </cell>
          <cell r="K107">
            <v>22670</v>
          </cell>
          <cell r="L107">
            <v>0</v>
          </cell>
          <cell r="M107"/>
        </row>
        <row r="108">
          <cell r="A108" t="str">
            <v>0510287</v>
          </cell>
          <cell r="B108" t="str">
            <v>5560</v>
          </cell>
          <cell r="C108" t="str">
            <v>PREMEZCLA TEGRAL CHIFON (SACO:10K)</v>
          </cell>
          <cell r="D108" t="str">
            <v>0510287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13/06/2020</v>
          </cell>
          <cell r="I108">
            <v>18350</v>
          </cell>
          <cell r="J108">
            <v>22052.76</v>
          </cell>
          <cell r="K108">
            <v>10000</v>
          </cell>
          <cell r="L108">
            <v>2.205276</v>
          </cell>
          <cell r="M108" t="str">
            <v>Gramos</v>
          </cell>
        </row>
        <row r="109">
          <cell r="A109" t="str">
            <v>0510294</v>
          </cell>
          <cell r="B109" t="str">
            <v>7064</v>
          </cell>
          <cell r="C109" t="str">
            <v>ANTIOXIDANTE ESPECIAL (KILO)</v>
          </cell>
          <cell r="D109" t="str">
            <v>0510294</v>
          </cell>
          <cell r="E109" t="str">
            <v>MATERIAS PRIMAS PLANTA</v>
          </cell>
          <cell r="F109" t="str">
            <v xml:space="preserve">1 KILO </v>
          </cell>
          <cell r="G109">
            <v>500</v>
          </cell>
          <cell r="H109" t="str">
            <v>18/05/2020</v>
          </cell>
          <cell r="I109">
            <v>5672.74</v>
          </cell>
          <cell r="J109">
            <v>11696.15</v>
          </cell>
          <cell r="K109">
            <v>1000</v>
          </cell>
          <cell r="L109">
            <v>11.696149999999999</v>
          </cell>
          <cell r="M109" t="str">
            <v>Gramos</v>
          </cell>
        </row>
        <row r="110">
          <cell r="A110" t="str">
            <v>0510298</v>
          </cell>
          <cell r="B110" t="str">
            <v>5561</v>
          </cell>
          <cell r="C110" t="str">
            <v>PREMEZCLA TEGRAL BIZCO MELOC (PAQ:6K)</v>
          </cell>
          <cell r="D110" t="str">
            <v>0510298</v>
          </cell>
          <cell r="E110" t="str">
            <v>MATERIAS PRIMAS PLANTA</v>
          </cell>
          <cell r="F110" t="str">
            <v>1 KILO</v>
          </cell>
          <cell r="G110">
            <v>500</v>
          </cell>
          <cell r="H110" t="str">
            <v>13/06/2020</v>
          </cell>
          <cell r="I110">
            <v>1019.49</v>
          </cell>
          <cell r="J110">
            <v>1386</v>
          </cell>
          <cell r="K110">
            <v>1000</v>
          </cell>
          <cell r="L110">
            <v>1.3859999999999999</v>
          </cell>
          <cell r="M110" t="str">
            <v>Gramos</v>
          </cell>
        </row>
        <row r="111">
          <cell r="A111" t="str">
            <v>510301</v>
          </cell>
          <cell r="B111" t="str">
            <v>5243</v>
          </cell>
          <cell r="C111" t="str">
            <v>AZUCAR BLANCO INDUSTRIAL (SACO:50 K)</v>
          </cell>
          <cell r="D111" t="str">
            <v>510301</v>
          </cell>
          <cell r="E111" t="str">
            <v>MATERIAS PRIMAS PLANTA</v>
          </cell>
          <cell r="F111" t="str">
            <v>1 SACO</v>
          </cell>
          <cell r="G111">
            <v>500</v>
          </cell>
          <cell r="H111" t="str">
            <v>09/06/2020</v>
          </cell>
          <cell r="I111">
            <v>19517</v>
          </cell>
          <cell r="J111">
            <v>19517</v>
          </cell>
          <cell r="K111">
            <v>50000</v>
          </cell>
          <cell r="L111">
            <v>0.39034000000000002</v>
          </cell>
          <cell r="M111" t="str">
            <v>Gramos</v>
          </cell>
        </row>
        <row r="112">
          <cell r="A112" t="str">
            <v>510302</v>
          </cell>
          <cell r="B112" t="str">
            <v>5244</v>
          </cell>
          <cell r="C112" t="str">
            <v>AZUCAR REFINO INDUSTRIAL (SACO:50 K)</v>
          </cell>
          <cell r="D112" t="str">
            <v>510302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26/05/2020</v>
          </cell>
          <cell r="I112">
            <v>21982</v>
          </cell>
          <cell r="J112">
            <v>21982</v>
          </cell>
          <cell r="K112">
            <v>50000</v>
          </cell>
          <cell r="L112">
            <v>0.43963999999999998</v>
          </cell>
          <cell r="M112" t="str">
            <v>Gramos</v>
          </cell>
        </row>
        <row r="113">
          <cell r="A113" t="str">
            <v>0510304</v>
          </cell>
          <cell r="B113" t="str">
            <v>8126</v>
          </cell>
          <cell r="C113" t="str">
            <v>PREMEZCLA PASTEL SUPER ESPONJA</v>
          </cell>
          <cell r="D113" t="str">
            <v>0510304</v>
          </cell>
          <cell r="E113" t="str">
            <v>MATERIAS PRIMAS PLANTA</v>
          </cell>
          <cell r="F113" t="str">
            <v>1 KILO</v>
          </cell>
          <cell r="G113">
            <v>500</v>
          </cell>
          <cell r="H113" t="str">
            <v>03/06/2020</v>
          </cell>
          <cell r="I113">
            <v>2048.79</v>
          </cell>
          <cell r="J113">
            <v>2477.12</v>
          </cell>
          <cell r="K113">
            <v>1000</v>
          </cell>
          <cell r="L113">
            <v>2.4771199999999998</v>
          </cell>
          <cell r="M113" t="str">
            <v>Gramos</v>
          </cell>
        </row>
        <row r="114">
          <cell r="A114" t="str">
            <v>510414</v>
          </cell>
          <cell r="B114" t="str">
            <v>5255</v>
          </cell>
          <cell r="C114" t="str">
            <v>SNACK MIX PLATANO-YUCA (PAQ:500g)</v>
          </cell>
          <cell r="D114" t="str">
            <v>510414</v>
          </cell>
          <cell r="E114" t="str">
            <v>MATERIAS PRIMAS PLANTA</v>
          </cell>
          <cell r="F114" t="str">
            <v>1 PAQUETE</v>
          </cell>
          <cell r="G114">
            <v>500</v>
          </cell>
          <cell r="H114" t="str">
            <v>10/06/2020</v>
          </cell>
          <cell r="I114">
            <v>1327.4333329999999</v>
          </cell>
          <cell r="J114">
            <v>1327.4333329999999</v>
          </cell>
          <cell r="K114">
            <v>500</v>
          </cell>
          <cell r="L114">
            <v>2.6548666659999998</v>
          </cell>
          <cell r="M114"/>
        </row>
        <row r="115">
          <cell r="A115" t="str">
            <v>0512255</v>
          </cell>
          <cell r="B115" t="str">
            <v>5282</v>
          </cell>
          <cell r="C115" t="str">
            <v>COCOA DUTCH PROCESS (SACO:25 KG)</v>
          </cell>
          <cell r="D115" t="str">
            <v>0512255</v>
          </cell>
          <cell r="E115" t="str">
            <v>MATERIAS PRIMAS PLANTA</v>
          </cell>
          <cell r="F115" t="str">
            <v>1 SACO</v>
          </cell>
          <cell r="G115">
            <v>500</v>
          </cell>
          <cell r="H115" t="str">
            <v>02/03/2020</v>
          </cell>
          <cell r="I115">
            <v>132334.38</v>
          </cell>
          <cell r="J115">
            <v>131.25</v>
          </cell>
          <cell r="K115">
            <v>25000</v>
          </cell>
          <cell r="L115">
            <v>5.2500000000000003E-3</v>
          </cell>
          <cell r="M115" t="str">
            <v>Gramos</v>
          </cell>
        </row>
        <row r="116">
          <cell r="A116" t="str">
            <v>512261</v>
          </cell>
          <cell r="B116" t="str">
            <v>7066</v>
          </cell>
          <cell r="C116" t="str">
            <v>ACIDO SORBICO (PAQ:2.5 K)</v>
          </cell>
          <cell r="D116" t="str">
            <v>512261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01/06/2020</v>
          </cell>
          <cell r="I116">
            <v>19301.21</v>
          </cell>
          <cell r="J116">
            <v>8718.19</v>
          </cell>
          <cell r="K116">
            <v>2500</v>
          </cell>
          <cell r="L116">
            <v>3.487276</v>
          </cell>
          <cell r="M116" t="str">
            <v>Gramos</v>
          </cell>
        </row>
        <row r="117">
          <cell r="A117" t="str">
            <v>0512262</v>
          </cell>
          <cell r="B117" t="str">
            <v>7067</v>
          </cell>
          <cell r="C117" t="str">
            <v>PROPIANATO CALCIO (PAQ:2.5 K)</v>
          </cell>
          <cell r="D117" t="str">
            <v>0512262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4766.87</v>
          </cell>
          <cell r="J117">
            <v>0</v>
          </cell>
          <cell r="K117">
            <v>2500</v>
          </cell>
          <cell r="L117">
            <v>0</v>
          </cell>
          <cell r="M117" t="str">
            <v>Gramos</v>
          </cell>
        </row>
        <row r="118">
          <cell r="A118" t="str">
            <v>0512319</v>
          </cell>
          <cell r="B118" t="str">
            <v>5483</v>
          </cell>
          <cell r="C118" t="str">
            <v>PASTA AJO (PAQ: 1 KILO)</v>
          </cell>
          <cell r="D118" t="str">
            <v>0512319</v>
          </cell>
          <cell r="E118" t="str">
            <v>MATERIAS PRIMAS PLANTA</v>
          </cell>
          <cell r="F118" t="str">
            <v xml:space="preserve">1 KILO </v>
          </cell>
          <cell r="G118">
            <v>500</v>
          </cell>
          <cell r="H118" t="str">
            <v>13/06/2020</v>
          </cell>
          <cell r="I118">
            <v>4458</v>
          </cell>
          <cell r="J118">
            <v>4458</v>
          </cell>
          <cell r="K118">
            <v>1000</v>
          </cell>
          <cell r="L118">
            <v>4.4580000000000002</v>
          </cell>
          <cell r="M118" t="str">
            <v>Gramos</v>
          </cell>
        </row>
        <row r="119">
          <cell r="A119" t="str">
            <v>0512334</v>
          </cell>
          <cell r="B119" t="str">
            <v>7068</v>
          </cell>
          <cell r="C119" t="str">
            <v>BENZOATO SODIO (PAQ:2.5 K)</v>
          </cell>
          <cell r="D119" t="str">
            <v>0512334</v>
          </cell>
          <cell r="E119" t="str">
            <v>MATERIAS PRIMAS PLANTA</v>
          </cell>
          <cell r="F119" t="str">
            <v>1 PAQUETE</v>
          </cell>
          <cell r="G119">
            <v>500</v>
          </cell>
          <cell r="H119" t="str">
            <v>01/06/2020</v>
          </cell>
          <cell r="I119">
            <v>4582</v>
          </cell>
          <cell r="J119">
            <v>0</v>
          </cell>
          <cell r="K119">
            <v>2500</v>
          </cell>
          <cell r="L119">
            <v>0</v>
          </cell>
          <cell r="M119" t="str">
            <v>Gramos</v>
          </cell>
        </row>
        <row r="120">
          <cell r="A120" t="str">
            <v>0610212</v>
          </cell>
          <cell r="B120" t="str">
            <v>5466</v>
          </cell>
          <cell r="C120" t="str">
            <v>JENGIBRE ENTERO KILO</v>
          </cell>
          <cell r="D120" t="str">
            <v>0610212</v>
          </cell>
          <cell r="E120" t="str">
            <v>MATERIAS PRIMAS PLANTA</v>
          </cell>
          <cell r="F120" t="str">
            <v>1 KILO</v>
          </cell>
          <cell r="G120">
            <v>500</v>
          </cell>
          <cell r="H120" t="str">
            <v>23/05/2020</v>
          </cell>
          <cell r="I120">
            <v>3060</v>
          </cell>
          <cell r="J120">
            <v>3060</v>
          </cell>
          <cell r="K120">
            <v>1000</v>
          </cell>
          <cell r="L120">
            <v>3.06</v>
          </cell>
          <cell r="M120" t="str">
            <v>Gramos</v>
          </cell>
        </row>
        <row r="121">
          <cell r="A121" t="str">
            <v>610218</v>
          </cell>
          <cell r="B121" t="str">
            <v>5409</v>
          </cell>
          <cell r="C121" t="str">
            <v>COMINO (UND:454G)</v>
          </cell>
          <cell r="D121" t="str">
            <v>610218</v>
          </cell>
          <cell r="E121" t="str">
            <v>MATERIAS PRIMAS PLANTA</v>
          </cell>
          <cell r="F121" t="str">
            <v>1 UND</v>
          </cell>
          <cell r="G121">
            <v>500</v>
          </cell>
          <cell r="H121" t="str">
            <v>19/03/2020</v>
          </cell>
          <cell r="I121">
            <v>2869</v>
          </cell>
          <cell r="J121">
            <v>3135</v>
          </cell>
          <cell r="K121">
            <v>454</v>
          </cell>
          <cell r="L121">
            <v>6.9052863436123344</v>
          </cell>
          <cell r="M121" t="str">
            <v>Gramos</v>
          </cell>
        </row>
        <row r="122">
          <cell r="A122" t="str">
            <v>610220</v>
          </cell>
          <cell r="B122" t="str">
            <v>5414</v>
          </cell>
          <cell r="C122" t="str">
            <v>CONSOME POLLO ALSERRO (PAQ: 1 K)</v>
          </cell>
          <cell r="D122" t="str">
            <v>610220</v>
          </cell>
          <cell r="E122" t="str">
            <v>MATERIAS PRIMAS PLANTA</v>
          </cell>
          <cell r="F122" t="str">
            <v>1 PAQUETE</v>
          </cell>
          <cell r="G122">
            <v>500</v>
          </cell>
          <cell r="H122" t="str">
            <v>05/06/2020</v>
          </cell>
          <cell r="I122">
            <v>1845</v>
          </cell>
          <cell r="J122">
            <v>2214</v>
          </cell>
          <cell r="K122">
            <v>1000</v>
          </cell>
          <cell r="L122">
            <v>2.214</v>
          </cell>
          <cell r="M122" t="str">
            <v>Gramos</v>
          </cell>
        </row>
        <row r="123">
          <cell r="A123" t="str">
            <v>610223</v>
          </cell>
          <cell r="B123" t="str">
            <v>5306</v>
          </cell>
          <cell r="C123" t="str">
            <v>CREMA DE HONGOS (CAJA:12 UND)</v>
          </cell>
          <cell r="D123" t="str">
            <v>610223</v>
          </cell>
          <cell r="E123" t="str">
            <v>MATERIAS PRIMAS PLANTA</v>
          </cell>
          <cell r="F123" t="str">
            <v>1 CAJA</v>
          </cell>
          <cell r="G123">
            <v>500</v>
          </cell>
          <cell r="H123" t="str">
            <v>28/05/2020</v>
          </cell>
          <cell r="I123">
            <v>6398</v>
          </cell>
          <cell r="J123">
            <v>6920</v>
          </cell>
          <cell r="K123">
            <v>780</v>
          </cell>
          <cell r="L123">
            <v>8.8717948717948723</v>
          </cell>
          <cell r="M123" t="str">
            <v>Gramos</v>
          </cell>
        </row>
        <row r="124">
          <cell r="A124" t="str">
            <v>0610236</v>
          </cell>
          <cell r="B124" t="str">
            <v>7071</v>
          </cell>
          <cell r="C124" t="str">
            <v>PIMIENTA NEGRA MOLIDA (PAQ: 5 K)</v>
          </cell>
          <cell r="D124" t="str">
            <v>0610236</v>
          </cell>
          <cell r="E124" t="str">
            <v>MATERIAS PRIMAS PLANTA</v>
          </cell>
          <cell r="F124" t="str">
            <v>1 PAQUETE</v>
          </cell>
          <cell r="G124">
            <v>500</v>
          </cell>
          <cell r="H124" t="str">
            <v>21/05/2020</v>
          </cell>
          <cell r="I124">
            <v>29615</v>
          </cell>
          <cell r="J124">
            <v>31415.599999999999</v>
          </cell>
          <cell r="K124">
            <v>5000</v>
          </cell>
          <cell r="L124">
            <v>6.2831199999999994</v>
          </cell>
          <cell r="M124" t="str">
            <v>Gramos</v>
          </cell>
        </row>
        <row r="125">
          <cell r="A125" t="str">
            <v>0610244</v>
          </cell>
          <cell r="B125" t="str">
            <v>7072</v>
          </cell>
          <cell r="C125" t="str">
            <v>JENGIBRE MOLIDO (UND:340g)</v>
          </cell>
          <cell r="D125" t="str">
            <v>0610244</v>
          </cell>
          <cell r="E125" t="str">
            <v>MATERIAS PRIMAS PLANTA</v>
          </cell>
          <cell r="F125" t="str">
            <v>1 UND</v>
          </cell>
          <cell r="G125">
            <v>500</v>
          </cell>
          <cell r="H125" t="str">
            <v>03/06/2020</v>
          </cell>
          <cell r="I125">
            <v>2798</v>
          </cell>
          <cell r="J125">
            <v>2946</v>
          </cell>
          <cell r="K125">
            <v>340</v>
          </cell>
          <cell r="L125">
            <v>8.6647058823529406</v>
          </cell>
          <cell r="M125" t="str">
            <v>Gramos</v>
          </cell>
        </row>
        <row r="126">
          <cell r="A126" t="str">
            <v>0610250</v>
          </cell>
          <cell r="B126" t="str">
            <v>5570</v>
          </cell>
          <cell r="C126" t="str">
            <v>HOJUELA PURE PAPA (SACO:15 K)</v>
          </cell>
          <cell r="D126" t="str">
            <v>0610250</v>
          </cell>
          <cell r="E126" t="str">
            <v>MATERIAS PRIMAS PLANTA</v>
          </cell>
          <cell r="F126" t="str">
            <v xml:space="preserve">1 SACO </v>
          </cell>
          <cell r="G126">
            <v>500</v>
          </cell>
          <cell r="H126" t="str">
            <v>27/05/2020</v>
          </cell>
          <cell r="I126">
            <v>30225</v>
          </cell>
          <cell r="J126">
            <v>48000</v>
          </cell>
          <cell r="K126">
            <v>15000</v>
          </cell>
          <cell r="L126">
            <v>3.2</v>
          </cell>
          <cell r="M126" t="str">
            <v>Gramos</v>
          </cell>
        </row>
        <row r="127">
          <cell r="A127" t="str">
            <v>0610253</v>
          </cell>
          <cell r="B127" t="str">
            <v>5308</v>
          </cell>
          <cell r="C127" t="str">
            <v>SOPA OLLA CARNE MAGGI (CAJA:12 UND)</v>
          </cell>
          <cell r="D127" t="str">
            <v>0610253</v>
          </cell>
          <cell r="E127" t="str">
            <v>MATERIAS PRIMAS PLANTA</v>
          </cell>
          <cell r="F127" t="str">
            <v>1 CAJA</v>
          </cell>
          <cell r="G127">
            <v>500</v>
          </cell>
          <cell r="H127" t="str">
            <v>05/06/2020</v>
          </cell>
          <cell r="I127">
            <v>3684</v>
          </cell>
          <cell r="J127">
            <v>4061</v>
          </cell>
          <cell r="K127">
            <v>480</v>
          </cell>
          <cell r="L127">
            <v>8.4604166666666671</v>
          </cell>
          <cell r="M127" t="str">
            <v>Gramos</v>
          </cell>
        </row>
        <row r="128">
          <cell r="A128" t="str">
            <v>0610254</v>
          </cell>
          <cell r="B128" t="str">
            <v>5260</v>
          </cell>
          <cell r="C128" t="str">
            <v>PIMIENTA BLANCA  MOLIDA (PAQ:5 K)</v>
          </cell>
          <cell r="D128" t="str">
            <v>0610254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21/05/2020</v>
          </cell>
          <cell r="I128">
            <v>47385</v>
          </cell>
          <cell r="J128">
            <v>0</v>
          </cell>
          <cell r="K128">
            <v>5000</v>
          </cell>
          <cell r="L128">
            <v>0</v>
          </cell>
          <cell r="M128" t="str">
            <v>Gramos</v>
          </cell>
        </row>
        <row r="129">
          <cell r="A129" t="str">
            <v>0610256</v>
          </cell>
          <cell r="B129" t="str">
            <v>5259</v>
          </cell>
          <cell r="C129" t="str">
            <v>NUEZ MOSCADA MOLIDA (PAQ:3 K)</v>
          </cell>
          <cell r="D129" t="str">
            <v>0610256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41469</v>
          </cell>
          <cell r="J129">
            <v>43990.32</v>
          </cell>
          <cell r="K129">
            <v>3000</v>
          </cell>
          <cell r="L129">
            <v>14.66344</v>
          </cell>
          <cell r="M129" t="str">
            <v>Gramos</v>
          </cell>
        </row>
        <row r="130">
          <cell r="A130" t="str">
            <v>701096</v>
          </cell>
          <cell r="B130" t="str">
            <v>5887</v>
          </cell>
          <cell r="C130" t="str">
            <v>ETIQUETA BLANCA R-153 (UND)</v>
          </cell>
          <cell r="D130" t="str">
            <v>701096</v>
          </cell>
          <cell r="E130" t="str">
            <v>ETIQUETAS PLANTA</v>
          </cell>
          <cell r="F130" t="str">
            <v>1 UND</v>
          </cell>
          <cell r="G130">
            <v>500</v>
          </cell>
          <cell r="H130" t="str">
            <v>12/06/2020</v>
          </cell>
          <cell r="I130">
            <v>0.39</v>
          </cell>
          <cell r="J130">
            <v>0.39</v>
          </cell>
          <cell r="K130">
            <v>1</v>
          </cell>
          <cell r="L130">
            <v>0.39</v>
          </cell>
          <cell r="M130" t="str">
            <v>Und</v>
          </cell>
        </row>
        <row r="131">
          <cell r="A131" t="str">
            <v>0702006</v>
          </cell>
          <cell r="B131" t="str">
            <v>5899</v>
          </cell>
          <cell r="C131" t="str">
            <v>ETIQ.FECHA VENCIMIENTO AMARILLO (ROLLO)</v>
          </cell>
          <cell r="D131" t="str">
            <v>0702006</v>
          </cell>
          <cell r="E131" t="str">
            <v>ETIQUETAS PLANTA</v>
          </cell>
          <cell r="F131" t="str">
            <v>1 ROLLO</v>
          </cell>
          <cell r="G131">
            <v>500</v>
          </cell>
          <cell r="H131" t="str">
            <v>25/03/2020</v>
          </cell>
          <cell r="I131">
            <v>180</v>
          </cell>
          <cell r="J131">
            <v>300</v>
          </cell>
          <cell r="K131">
            <v>900</v>
          </cell>
          <cell r="L131">
            <v>0.33333333333333331</v>
          </cell>
          <cell r="M131" t="str">
            <v>Und</v>
          </cell>
        </row>
        <row r="132">
          <cell r="A132" t="str">
            <v>0702008</v>
          </cell>
          <cell r="B132" t="str">
            <v>5901</v>
          </cell>
          <cell r="C132" t="str">
            <v>ETIQ.FECHA VENCIMIENTO CELESTE (ROLLO)</v>
          </cell>
          <cell r="D132" t="str">
            <v>0702008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12/06/2020</v>
          </cell>
          <cell r="I132">
            <v>180</v>
          </cell>
          <cell r="J132">
            <v>300</v>
          </cell>
          <cell r="K132">
            <v>900</v>
          </cell>
          <cell r="L132">
            <v>0.33333333333333331</v>
          </cell>
          <cell r="M132" t="str">
            <v>Und</v>
          </cell>
        </row>
        <row r="133">
          <cell r="A133" t="str">
            <v>0702009</v>
          </cell>
          <cell r="B133" t="str">
            <v>5902</v>
          </cell>
          <cell r="C133" t="str">
            <v>ETIQ.FECHA VENCIMIENTO NARANJA (ROLLO)</v>
          </cell>
          <cell r="D133" t="str">
            <v>0702009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28/04/2020</v>
          </cell>
          <cell r="I133">
            <v>180</v>
          </cell>
          <cell r="J133">
            <v>300</v>
          </cell>
          <cell r="K133">
            <v>900</v>
          </cell>
          <cell r="L133">
            <v>0.33333333333333331</v>
          </cell>
          <cell r="M133" t="str">
            <v>Und</v>
          </cell>
        </row>
        <row r="134">
          <cell r="A134" t="str">
            <v>0702010</v>
          </cell>
          <cell r="B134" t="str">
            <v>5903</v>
          </cell>
          <cell r="C134" t="str">
            <v>ETIQ.FECHA VENCIMIENTO ROJO (ROLLO)</v>
          </cell>
          <cell r="D134" t="str">
            <v>0702010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25/03/2020</v>
          </cell>
          <cell r="I134">
            <v>180</v>
          </cell>
          <cell r="J134">
            <v>300</v>
          </cell>
          <cell r="K134">
            <v>900</v>
          </cell>
          <cell r="L134">
            <v>0.33333333333333331</v>
          </cell>
          <cell r="M134" t="str">
            <v>Und</v>
          </cell>
        </row>
        <row r="135">
          <cell r="A135" t="str">
            <v>0702011</v>
          </cell>
          <cell r="B135" t="str">
            <v>5904</v>
          </cell>
          <cell r="C135" t="str">
            <v>ETIQ.FECHA VENCIMIENTO ROSADO (ROLLO)</v>
          </cell>
          <cell r="D135" t="str">
            <v>0702011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31/01/2020</v>
          </cell>
          <cell r="I135">
            <v>180</v>
          </cell>
          <cell r="J135">
            <v>0</v>
          </cell>
          <cell r="K135">
            <v>900</v>
          </cell>
          <cell r="L135">
            <v>0</v>
          </cell>
          <cell r="M135" t="str">
            <v>Und</v>
          </cell>
        </row>
        <row r="136">
          <cell r="A136" t="str">
            <v>0702012</v>
          </cell>
          <cell r="B136" t="str">
            <v>5905</v>
          </cell>
          <cell r="C136" t="str">
            <v>ETIQ.FECHA VENCIMIENTO VERDE (ROLLO)</v>
          </cell>
          <cell r="D136" t="str">
            <v>0702012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12/06/2020</v>
          </cell>
          <cell r="I136">
            <v>180</v>
          </cell>
          <cell r="J136">
            <v>300</v>
          </cell>
          <cell r="K136">
            <v>900</v>
          </cell>
          <cell r="L136">
            <v>0.33333333333333331</v>
          </cell>
          <cell r="M136" t="str">
            <v>Und</v>
          </cell>
        </row>
        <row r="137">
          <cell r="A137" t="str">
            <v>0702030</v>
          </cell>
          <cell r="B137" t="str">
            <v>5906</v>
          </cell>
          <cell r="C137" t="str">
            <v>ETIQ PRODUCCION BLANCO (ROLLO)</v>
          </cell>
          <cell r="D137" t="str">
            <v>0702030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157</v>
          </cell>
          <cell r="J137">
            <v>225</v>
          </cell>
          <cell r="K137">
            <v>900</v>
          </cell>
          <cell r="L137">
            <v>0.25</v>
          </cell>
          <cell r="M137" t="str">
            <v>Und</v>
          </cell>
        </row>
        <row r="138">
          <cell r="A138" t="str">
            <v>0702039</v>
          </cell>
          <cell r="B138" t="str">
            <v>5915</v>
          </cell>
          <cell r="C138" t="str">
            <v>ETIQUETA QQ GRANDE V-272 CHOCOLATE (UND)</v>
          </cell>
          <cell r="D138" t="str">
            <v>0702039</v>
          </cell>
          <cell r="E138" t="str">
            <v>ETIQUETAS PLANTA</v>
          </cell>
          <cell r="F138" t="str">
            <v>1 UND</v>
          </cell>
          <cell r="G138">
            <v>500</v>
          </cell>
          <cell r="H138" t="str">
            <v>07/05/2020</v>
          </cell>
          <cell r="I138">
            <v>47.024999999999999</v>
          </cell>
          <cell r="J138">
            <v>0</v>
          </cell>
          <cell r="K138">
            <v>1</v>
          </cell>
          <cell r="L138">
            <v>0</v>
          </cell>
          <cell r="M138" t="str">
            <v>Und</v>
          </cell>
        </row>
        <row r="139">
          <cell r="A139" t="str">
            <v>0702041</v>
          </cell>
          <cell r="B139" t="str">
            <v>5914</v>
          </cell>
          <cell r="C139" t="str">
            <v>ETIQUETA QQ GRAND  V-272 CHOCOFRESA(UND)</v>
          </cell>
          <cell r="D139" t="str">
            <v>0702041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07/04/2020</v>
          </cell>
          <cell r="I139">
            <v>47.024999999999999</v>
          </cell>
          <cell r="J139">
            <v>0</v>
          </cell>
          <cell r="K139">
            <v>1</v>
          </cell>
          <cell r="L139">
            <v>0</v>
          </cell>
          <cell r="M139" t="str">
            <v>Und</v>
          </cell>
        </row>
        <row r="140">
          <cell r="A140" t="str">
            <v>0702048</v>
          </cell>
          <cell r="B140" t="str">
            <v>5913</v>
          </cell>
          <cell r="C140" t="str">
            <v>ETIQUETA QQ GRANDE V-272 MELOCOTON (UND)</v>
          </cell>
          <cell r="D140" t="str">
            <v>0702048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04/03/2020</v>
          </cell>
          <cell r="I140">
            <v>47.024999999999999</v>
          </cell>
          <cell r="J140">
            <v>0</v>
          </cell>
          <cell r="K140">
            <v>1</v>
          </cell>
          <cell r="L140">
            <v>0</v>
          </cell>
          <cell r="M140" t="str">
            <v>Und</v>
          </cell>
        </row>
        <row r="141">
          <cell r="A141" t="str">
            <v>0702053</v>
          </cell>
          <cell r="B141" t="str">
            <v>5891</v>
          </cell>
          <cell r="C141" t="str">
            <v>STICKER REDONDO AMARILLO (ROLLO)</v>
          </cell>
          <cell r="D141" t="str">
            <v>0702053</v>
          </cell>
          <cell r="E141" t="str">
            <v>ETIQUETAS PLANTA</v>
          </cell>
          <cell r="F141" t="str">
            <v>1 ROLLO</v>
          </cell>
          <cell r="G141">
            <v>500</v>
          </cell>
          <cell r="H141" t="str">
            <v>12/06/2020</v>
          </cell>
          <cell r="I141">
            <v>200</v>
          </cell>
          <cell r="J141">
            <v>255</v>
          </cell>
          <cell r="K141">
            <v>900</v>
          </cell>
          <cell r="L141">
            <v>0.28333333333333333</v>
          </cell>
          <cell r="M141"/>
        </row>
        <row r="142">
          <cell r="A142" t="str">
            <v>0702056</v>
          </cell>
          <cell r="B142" t="str">
            <v>5894</v>
          </cell>
          <cell r="C142" t="str">
            <v>STICKER REDONDO CELESTE (ROLLO)</v>
          </cell>
          <cell r="D142" t="str">
            <v>0702056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20/12/2019</v>
          </cell>
          <cell r="I142">
            <v>200</v>
          </cell>
          <cell r="J142">
            <v>255</v>
          </cell>
          <cell r="K142">
            <v>900</v>
          </cell>
          <cell r="L142">
            <v>0.28333333333333333</v>
          </cell>
          <cell r="M142"/>
        </row>
        <row r="143">
          <cell r="A143" t="str">
            <v>0702057</v>
          </cell>
          <cell r="B143" t="str">
            <v>12061</v>
          </cell>
          <cell r="C143" t="str">
            <v>STICKER REDONDO NARANJA (ROLLO)</v>
          </cell>
          <cell r="D143" t="str">
            <v>0702057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/>
        </row>
        <row r="144">
          <cell r="A144" t="str">
            <v>0702058</v>
          </cell>
          <cell r="B144" t="str">
            <v>5896</v>
          </cell>
          <cell r="C144" t="str">
            <v>STICKER REDONDO ROJO (ROLLO)</v>
          </cell>
          <cell r="D144" t="str">
            <v>0702058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170</v>
          </cell>
          <cell r="K144">
            <v>900</v>
          </cell>
          <cell r="L144">
            <v>0.18888888888888888</v>
          </cell>
          <cell r="M144"/>
        </row>
        <row r="145">
          <cell r="A145" t="str">
            <v>0702059</v>
          </cell>
          <cell r="B145" t="str">
            <v>5897</v>
          </cell>
          <cell r="C145" t="str">
            <v>STICKER REDONDO ROSADO (ROLLO)</v>
          </cell>
          <cell r="D145" t="str">
            <v>0702059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20/12/2019</v>
          </cell>
          <cell r="I145">
            <v>200</v>
          </cell>
          <cell r="J145">
            <v>255</v>
          </cell>
          <cell r="K145">
            <v>900</v>
          </cell>
          <cell r="L145">
            <v>0.28333333333333333</v>
          </cell>
          <cell r="M145"/>
        </row>
        <row r="146">
          <cell r="A146" t="str">
            <v>0702067</v>
          </cell>
          <cell r="B146" t="str">
            <v>5888</v>
          </cell>
          <cell r="C146" t="str">
            <v>ETIQ.BLANCA 1 13/16 * 1 7/8 (UND)</v>
          </cell>
          <cell r="D146" t="str">
            <v>0702067</v>
          </cell>
          <cell r="E146" t="str">
            <v>ETIQUETAS PLANTA</v>
          </cell>
          <cell r="F146" t="str">
            <v>1 UND</v>
          </cell>
          <cell r="G146">
            <v>500</v>
          </cell>
          <cell r="H146" t="str">
            <v>12/06/2020</v>
          </cell>
          <cell r="I146">
            <v>1.7949999999999999</v>
          </cell>
          <cell r="J146">
            <v>1.7949999999999999</v>
          </cell>
          <cell r="K146">
            <v>1</v>
          </cell>
          <cell r="L146">
            <v>1.7949999999999999</v>
          </cell>
          <cell r="M146" t="str">
            <v>Und</v>
          </cell>
        </row>
        <row r="147">
          <cell r="A147" t="str">
            <v>0702069</v>
          </cell>
          <cell r="B147" t="str">
            <v>5884</v>
          </cell>
          <cell r="C147" t="str">
            <v>ETIQ.BLANCA 1 1/4 * 3/4 (UND)</v>
          </cell>
          <cell r="D147" t="str">
            <v>0702069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28/04/2020</v>
          </cell>
          <cell r="I147">
            <v>0.57999999999999996</v>
          </cell>
          <cell r="J147">
            <v>0.57999999999999996</v>
          </cell>
          <cell r="K147">
            <v>1</v>
          </cell>
          <cell r="L147">
            <v>0.57999999999999996</v>
          </cell>
          <cell r="M147" t="str">
            <v>Und</v>
          </cell>
        </row>
        <row r="148">
          <cell r="A148" t="str">
            <v>0702072</v>
          </cell>
          <cell r="B148" t="str">
            <v>5885</v>
          </cell>
          <cell r="C148" t="str">
            <v>ETIQ.BLANCA 3X3 (UND)</v>
          </cell>
          <cell r="D148" t="str">
            <v>0702072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25/02/2020</v>
          </cell>
          <cell r="I148">
            <v>4.3230000000000004</v>
          </cell>
          <cell r="J148">
            <v>13</v>
          </cell>
          <cell r="K148">
            <v>1</v>
          </cell>
          <cell r="L148">
            <v>13</v>
          </cell>
          <cell r="M148" t="str">
            <v>Und</v>
          </cell>
        </row>
        <row r="149">
          <cell r="A149" t="str">
            <v>0702077</v>
          </cell>
          <cell r="B149" t="str">
            <v>5911</v>
          </cell>
          <cell r="C149" t="str">
            <v>ETIQ. GENERICA PEQUEÑA V-274 (UND)</v>
          </cell>
          <cell r="D149" t="str">
            <v>0702077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12/06/2020</v>
          </cell>
          <cell r="I149">
            <v>12.188000000000001</v>
          </cell>
          <cell r="J149">
            <v>13.45</v>
          </cell>
          <cell r="K149">
            <v>1</v>
          </cell>
          <cell r="L149">
            <v>13.45</v>
          </cell>
          <cell r="M149" t="str">
            <v>Und</v>
          </cell>
        </row>
        <row r="150">
          <cell r="A150" t="str">
            <v>0702087</v>
          </cell>
          <cell r="B150" t="str">
            <v>11572</v>
          </cell>
          <cell r="C150" t="str">
            <v>ET.  BUCCA DULCE (UND)</v>
          </cell>
          <cell r="D150" t="str">
            <v>0702087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08/06/2020</v>
          </cell>
          <cell r="I150">
            <v>5</v>
          </cell>
          <cell r="J150">
            <v>5</v>
          </cell>
          <cell r="K150">
            <v>1</v>
          </cell>
          <cell r="L150">
            <v>5</v>
          </cell>
          <cell r="M150" t="str">
            <v>Und</v>
          </cell>
        </row>
        <row r="151">
          <cell r="A151" t="str">
            <v>0702123</v>
          </cell>
          <cell r="B151" t="str">
            <v>12490</v>
          </cell>
          <cell r="C151" t="str">
            <v>ETIQUETA BLANCA 2 5/8X1 15/16 (UND)</v>
          </cell>
          <cell r="D151" t="str">
            <v>0702123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12/06/2020</v>
          </cell>
          <cell r="I151">
            <v>2.1280000000000001</v>
          </cell>
          <cell r="J151">
            <v>2.1280000000000001</v>
          </cell>
          <cell r="K151">
            <v>1</v>
          </cell>
          <cell r="L151">
            <v>2.1280000000000001</v>
          </cell>
          <cell r="M151" t="str">
            <v>Und</v>
          </cell>
        </row>
        <row r="152">
          <cell r="A152" t="str">
            <v>702136</v>
          </cell>
          <cell r="B152" t="str">
            <v>5917</v>
          </cell>
          <cell r="C152" t="str">
            <v>ET. STARBUCKS ALFAJOR (UND)</v>
          </cell>
          <cell r="D152" t="str">
            <v>702136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24/03/2020</v>
          </cell>
          <cell r="I152">
            <v>25</v>
          </cell>
          <cell r="J152">
            <v>0</v>
          </cell>
          <cell r="K152">
            <v>1</v>
          </cell>
          <cell r="L152">
            <v>0</v>
          </cell>
          <cell r="M152"/>
        </row>
        <row r="153">
          <cell r="A153" t="str">
            <v>0702137</v>
          </cell>
          <cell r="B153" t="str">
            <v>5918</v>
          </cell>
          <cell r="C153" t="str">
            <v>ET. STARBUCKS TROCITOS CHEDDAR (UND)</v>
          </cell>
          <cell r="D153" t="str">
            <v>0702137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13/03/2020</v>
          </cell>
          <cell r="I153">
            <v>25</v>
          </cell>
          <cell r="J153">
            <v>0</v>
          </cell>
          <cell r="K153">
            <v>1</v>
          </cell>
          <cell r="L153">
            <v>0</v>
          </cell>
        </row>
        <row r="154">
          <cell r="A154" t="str">
            <v>0702147</v>
          </cell>
          <cell r="B154" t="str">
            <v>14148</v>
          </cell>
          <cell r="C154" t="str">
            <v>ETIQUETA LIVIANO GENERICA GRD (UND)</v>
          </cell>
          <cell r="D154" t="str">
            <v>0702147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06/03/2020</v>
          </cell>
          <cell r="I154">
            <v>32</v>
          </cell>
          <cell r="J154">
            <v>125</v>
          </cell>
          <cell r="K154">
            <v>1</v>
          </cell>
          <cell r="L154">
            <v>125</v>
          </cell>
        </row>
        <row r="155">
          <cell r="A155" t="str">
            <v>0702148</v>
          </cell>
          <cell r="B155" t="str">
            <v>5882</v>
          </cell>
          <cell r="C155" t="str">
            <v>ETIQUETA LIVIANO GENERICA PEQUEÑA (UND)</v>
          </cell>
          <cell r="D155" t="str">
            <v>0702148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20/02/2020</v>
          </cell>
          <cell r="I155">
            <v>25</v>
          </cell>
          <cell r="J155">
            <v>0</v>
          </cell>
          <cell r="K155">
            <v>1</v>
          </cell>
          <cell r="L155">
            <v>0</v>
          </cell>
        </row>
        <row r="156">
          <cell r="A156" t="str">
            <v>0702155</v>
          </cell>
          <cell r="B156" t="str">
            <v>5907</v>
          </cell>
          <cell r="C156" t="str">
            <v>ETIQUETA BLANCA VENCE (ROLLO:1000 UND)</v>
          </cell>
          <cell r="D156" t="str">
            <v>0702155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12/06/2020</v>
          </cell>
          <cell r="I156">
            <v>551</v>
          </cell>
          <cell r="J156">
            <v>595</v>
          </cell>
          <cell r="K156">
            <v>1000</v>
          </cell>
          <cell r="L156">
            <v>0.59499999999999997</v>
          </cell>
        </row>
        <row r="157">
          <cell r="A157" t="str">
            <v>0702167</v>
          </cell>
          <cell r="B157" t="str">
            <v>10088</v>
          </cell>
          <cell r="C157" t="str">
            <v>ETIQUETA D-31 TORTA BAILEYS (ROLLO)</v>
          </cell>
          <cell r="D157" t="str">
            <v>0702167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14/01/2020</v>
          </cell>
          <cell r="I157">
            <v>8000</v>
          </cell>
          <cell r="J157">
            <v>37500</v>
          </cell>
          <cell r="K157">
            <v>1000</v>
          </cell>
          <cell r="L157">
            <v>37.5</v>
          </cell>
          <cell r="M157" t="str">
            <v>und</v>
          </cell>
        </row>
        <row r="158">
          <cell r="A158" t="str">
            <v>0702169</v>
          </cell>
          <cell r="B158" t="str">
            <v>9467</v>
          </cell>
          <cell r="C158" t="str">
            <v>CARTULINA KRAFT 2.5 X 31 -8 (UND)</v>
          </cell>
          <cell r="D158" t="str">
            <v>0702169</v>
          </cell>
          <cell r="E158" t="str">
            <v>EMPAQUES PLANTA</v>
          </cell>
          <cell r="F158" t="str">
            <v>1 UND</v>
          </cell>
          <cell r="G158">
            <v>500</v>
          </cell>
          <cell r="H158" t="str">
            <v>24/03/2020</v>
          </cell>
          <cell r="I158">
            <v>15</v>
          </cell>
          <cell r="J158">
            <v>0</v>
          </cell>
          <cell r="K158">
            <v>1</v>
          </cell>
          <cell r="L158">
            <v>0</v>
          </cell>
          <cell r="M158"/>
        </row>
        <row r="159">
          <cell r="A159" t="str">
            <v>702174</v>
          </cell>
          <cell r="B159" t="str">
            <v>5908</v>
          </cell>
          <cell r="C159" t="str">
            <v>ETIQUETA SELLO SEGURIDAD (ROLLO:1000)</v>
          </cell>
          <cell r="D159" t="str">
            <v>702174</v>
          </cell>
          <cell r="E159" t="str">
            <v>ETIQUETAS PLANTA</v>
          </cell>
          <cell r="F159" t="str">
            <v>1 ROLLO</v>
          </cell>
          <cell r="G159">
            <v>500</v>
          </cell>
          <cell r="H159" t="str">
            <v>12/06/2020</v>
          </cell>
          <cell r="I159">
            <v>6000</v>
          </cell>
          <cell r="J159">
            <v>6000</v>
          </cell>
          <cell r="K159">
            <v>1000</v>
          </cell>
          <cell r="L159">
            <v>6</v>
          </cell>
          <cell r="M159" t="str">
            <v>Und</v>
          </cell>
        </row>
        <row r="160">
          <cell r="A160" t="str">
            <v>702175</v>
          </cell>
          <cell r="B160" t="str">
            <v>5912</v>
          </cell>
          <cell r="C160" t="str">
            <v>ETIQUETA IMPRES SPOON GRANDE V-272 (UND)</v>
          </cell>
          <cell r="D160" t="str">
            <v>702175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47.024999999999999</v>
          </cell>
          <cell r="J160">
            <v>52.37</v>
          </cell>
          <cell r="K160">
            <v>1</v>
          </cell>
          <cell r="L160">
            <v>52.37</v>
          </cell>
          <cell r="M160" t="str">
            <v>Und</v>
          </cell>
        </row>
        <row r="161">
          <cell r="A161" t="str">
            <v>702182</v>
          </cell>
          <cell r="B161" t="str">
            <v>9535</v>
          </cell>
          <cell r="C161" t="str">
            <v>ETIQUETA IMP. SPOON MEDIANA V-273 (UND)</v>
          </cell>
          <cell r="D161" t="str">
            <v>702182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02/06/2020</v>
          </cell>
          <cell r="I161">
            <v>32.49</v>
          </cell>
          <cell r="J161">
            <v>35.9</v>
          </cell>
          <cell r="K161">
            <v>1</v>
          </cell>
          <cell r="L161">
            <v>35.9</v>
          </cell>
          <cell r="M161" t="str">
            <v>Und</v>
          </cell>
        </row>
        <row r="162">
          <cell r="A162" t="str">
            <v>703020</v>
          </cell>
          <cell r="B162" t="str">
            <v>9444</v>
          </cell>
          <cell r="C162" t="str">
            <v>CINTA ADHESIVA TRANSPARENT 2*100 M (UND)</v>
          </cell>
          <cell r="D162" t="str">
            <v>703020</v>
          </cell>
          <cell r="E162" t="str">
            <v>EMPAQUES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1750</v>
          </cell>
          <cell r="J162">
            <v>1750</v>
          </cell>
          <cell r="K162">
            <v>10000</v>
          </cell>
          <cell r="L162">
            <v>0.17499999999999999</v>
          </cell>
          <cell r="M162" t="str">
            <v>Cm</v>
          </cell>
        </row>
        <row r="163">
          <cell r="A163" t="str">
            <v>0710260</v>
          </cell>
          <cell r="B163" t="str">
            <v>12504</v>
          </cell>
          <cell r="C163" t="str">
            <v>PAN CUADRADO INTEGRAL (PAQ=22 REBANADAS)</v>
          </cell>
          <cell r="D163" t="str">
            <v>0710260</v>
          </cell>
          <cell r="E163" t="str">
            <v>MATERIAS PRIMAS PLANTA</v>
          </cell>
          <cell r="F163" t="str">
            <v>1 PAQUETE</v>
          </cell>
          <cell r="G163">
            <v>500</v>
          </cell>
          <cell r="H163" t="str">
            <v>19/05/2020</v>
          </cell>
          <cell r="I163">
            <v>1100</v>
          </cell>
          <cell r="J163">
            <v>0</v>
          </cell>
          <cell r="K163"/>
          <cell r="L163" t="e">
            <v>#DIV/0!</v>
          </cell>
          <cell r="M163"/>
        </row>
        <row r="164">
          <cell r="A164" t="str">
            <v>0710261</v>
          </cell>
          <cell r="B164" t="str">
            <v>5544</v>
          </cell>
          <cell r="C164" t="str">
            <v>PAN CUADRADO BLANCO (PAQ=22 REBANADAS )</v>
          </cell>
          <cell r="D164" t="str">
            <v>0710261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10/06/2020</v>
          </cell>
          <cell r="I164">
            <v>1000</v>
          </cell>
          <cell r="J164">
            <v>1091.8</v>
          </cell>
          <cell r="K164">
            <v>790</v>
          </cell>
          <cell r="L164">
            <v>1.3820253164556962</v>
          </cell>
          <cell r="M164" t="str">
            <v>Gramos</v>
          </cell>
        </row>
        <row r="165">
          <cell r="A165" t="str">
            <v>0710262</v>
          </cell>
          <cell r="B165" t="str">
            <v>5550</v>
          </cell>
          <cell r="C165" t="str">
            <v>PAN MOLIDO (PAQ:5 K)</v>
          </cell>
          <cell r="D165" t="str">
            <v>0710262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26/05/2020</v>
          </cell>
          <cell r="I165">
            <v>6534</v>
          </cell>
          <cell r="J165">
            <v>7411.74</v>
          </cell>
          <cell r="K165">
            <v>5000</v>
          </cell>
          <cell r="L165">
            <v>1.482348</v>
          </cell>
          <cell r="M165" t="str">
            <v>Gramos</v>
          </cell>
        </row>
        <row r="166">
          <cell r="A166" t="str">
            <v>0710282</v>
          </cell>
          <cell r="B166" t="str">
            <v>5553</v>
          </cell>
          <cell r="C166" t="str">
            <v>GALLETA POZUELO ENTERA KILO</v>
          </cell>
          <cell r="D166" t="str">
            <v>0710282</v>
          </cell>
          <cell r="E166" t="str">
            <v>MATERIAS PRIMAS PLANTA</v>
          </cell>
          <cell r="F166" t="str">
            <v>1 KILO</v>
          </cell>
          <cell r="G166">
            <v>500</v>
          </cell>
          <cell r="H166" t="str">
            <v>15/06/2020</v>
          </cell>
          <cell r="I166">
            <v>2000</v>
          </cell>
          <cell r="J166">
            <v>2100</v>
          </cell>
          <cell r="K166">
            <v>1000</v>
          </cell>
          <cell r="L166">
            <v>2.1</v>
          </cell>
          <cell r="M166" t="str">
            <v>Gramos</v>
          </cell>
        </row>
        <row r="167">
          <cell r="A167" t="str">
            <v>0710290</v>
          </cell>
          <cell r="B167" t="str">
            <v>5548</v>
          </cell>
          <cell r="C167" t="str">
            <v>PAPEL DE ARROZ (PAQ:36 UND)</v>
          </cell>
          <cell r="D167" t="str">
            <v>0710290</v>
          </cell>
          <cell r="E167" t="str">
            <v>MATERIAS PRIMAS PLANTA</v>
          </cell>
          <cell r="F167" t="str">
            <v>1 PAQUETE</v>
          </cell>
          <cell r="G167">
            <v>500</v>
          </cell>
          <cell r="H167" t="str">
            <v>15/06/2020</v>
          </cell>
          <cell r="I167">
            <v>1496.74</v>
          </cell>
          <cell r="J167">
            <v>0</v>
          </cell>
          <cell r="K167">
            <v>36</v>
          </cell>
          <cell r="L167">
            <v>0</v>
          </cell>
          <cell r="M167"/>
        </row>
        <row r="168">
          <cell r="A168" t="str">
            <v>710295</v>
          </cell>
          <cell r="B168" t="str">
            <v>5275</v>
          </cell>
          <cell r="C168" t="str">
            <v>BARQUILLO VETEAD CHOCOLAT (CAJA:420 UND)</v>
          </cell>
          <cell r="D168" t="str">
            <v>710295</v>
          </cell>
          <cell r="E168" t="str">
            <v>MATERIAS PRIMAS PLANTA</v>
          </cell>
          <cell r="F168" t="str">
            <v xml:space="preserve">1 CAJA </v>
          </cell>
          <cell r="G168">
            <v>500</v>
          </cell>
          <cell r="H168" t="str">
            <v>07/01/2020</v>
          </cell>
          <cell r="I168">
            <v>8091</v>
          </cell>
          <cell r="J168">
            <v>0</v>
          </cell>
          <cell r="K168">
            <v>420</v>
          </cell>
          <cell r="L168">
            <v>0</v>
          </cell>
          <cell r="M168" t="str">
            <v>Und</v>
          </cell>
        </row>
        <row r="169">
          <cell r="A169" t="str">
            <v>710305</v>
          </cell>
          <cell r="B169" t="str">
            <v>11347</v>
          </cell>
          <cell r="C169" t="str">
            <v>GALLETA DE CHOCOLATE KILO</v>
          </cell>
          <cell r="D169" t="str">
            <v>710305</v>
          </cell>
          <cell r="E169" t="str">
            <v>MATERIAS PRIMAS PLANTA</v>
          </cell>
          <cell r="F169" t="str">
            <v>1 KILO</v>
          </cell>
          <cell r="G169">
            <v>500</v>
          </cell>
          <cell r="H169" t="str">
            <v>01/06/2020</v>
          </cell>
          <cell r="I169" t="e">
            <v>#N/A</v>
          </cell>
          <cell r="J169">
            <v>0</v>
          </cell>
          <cell r="K169">
            <v>1000</v>
          </cell>
          <cell r="L169">
            <v>0</v>
          </cell>
          <cell r="M169" t="str">
            <v>Gramos</v>
          </cell>
        </row>
        <row r="170">
          <cell r="A170" t="str">
            <v>720761</v>
          </cell>
          <cell r="B170" t="str">
            <v>13074</v>
          </cell>
          <cell r="C170" t="str">
            <v>RELLENO MANZANA CUBITOS (UND:19 LB)</v>
          </cell>
          <cell r="D170" t="str">
            <v>720761</v>
          </cell>
          <cell r="E170" t="str">
            <v>MATERIAS PRIMAS PLANTA</v>
          </cell>
          <cell r="F170" t="str">
            <v>1 UND</v>
          </cell>
          <cell r="G170">
            <v>500</v>
          </cell>
          <cell r="H170" t="str">
            <v>08/02/2020</v>
          </cell>
          <cell r="I170" t="e">
            <v>#N/A</v>
          </cell>
          <cell r="J170">
            <v>28505</v>
          </cell>
          <cell r="K170">
            <v>8.61</v>
          </cell>
          <cell r="L170">
            <v>3310.6852497096402</v>
          </cell>
          <cell r="M170"/>
        </row>
        <row r="171">
          <cell r="A171" t="str">
            <v>0810288</v>
          </cell>
          <cell r="B171" t="str">
            <v>5352</v>
          </cell>
          <cell r="C171" t="str">
            <v>JUGO DE NARANJA TB (CAJA:12 UND)</v>
          </cell>
          <cell r="D171" t="str">
            <v>0810288</v>
          </cell>
          <cell r="E171" t="str">
            <v>MATERIAS PRIMAS PLANTA</v>
          </cell>
          <cell r="F171" t="str">
            <v>1 CAJA</v>
          </cell>
          <cell r="G171">
            <v>500</v>
          </cell>
          <cell r="H171" t="str">
            <v>08/06/2020</v>
          </cell>
          <cell r="I171">
            <v>7697</v>
          </cell>
          <cell r="J171">
            <v>8659</v>
          </cell>
          <cell r="K171">
            <v>12000</v>
          </cell>
          <cell r="L171">
            <v>0.72158333333333335</v>
          </cell>
          <cell r="M171" t="str">
            <v>Mililitros</v>
          </cell>
        </row>
        <row r="172">
          <cell r="A172" t="str">
            <v>0810306</v>
          </cell>
          <cell r="B172" t="str">
            <v>5309</v>
          </cell>
          <cell r="C172" t="str">
            <v>MIEL ABEJA BOTELLA (UND)</v>
          </cell>
          <cell r="D172" t="str">
            <v>0810306</v>
          </cell>
          <cell r="E172" t="str">
            <v>MATERIAS PRIMAS PLANTA</v>
          </cell>
          <cell r="F172" t="str">
            <v>1 UND</v>
          </cell>
          <cell r="G172">
            <v>500</v>
          </cell>
          <cell r="H172" t="str">
            <v>21/05/2020</v>
          </cell>
          <cell r="I172" t="e">
            <v>#N/A</v>
          </cell>
          <cell r="J172">
            <v>0</v>
          </cell>
          <cell r="K172">
            <v>1</v>
          </cell>
          <cell r="L172">
            <v>0</v>
          </cell>
          <cell r="M172"/>
        </row>
        <row r="173">
          <cell r="A173" t="str">
            <v>0906036</v>
          </cell>
          <cell r="B173" t="str">
            <v>5841</v>
          </cell>
          <cell r="C173" t="str">
            <v>PAPEL MANTEQUILLA (CAJA= 1000 UND)</v>
          </cell>
          <cell r="D173" t="str">
            <v>0906036</v>
          </cell>
          <cell r="E173" t="str">
            <v>EMPAQUES PLANTA</v>
          </cell>
          <cell r="F173" t="str">
            <v>1 CAJA</v>
          </cell>
          <cell r="G173">
            <v>500</v>
          </cell>
          <cell r="H173" t="str">
            <v>26/05/2020</v>
          </cell>
          <cell r="I173">
            <v>32000</v>
          </cell>
          <cell r="J173">
            <v>32000</v>
          </cell>
          <cell r="K173">
            <v>1000</v>
          </cell>
          <cell r="L173">
            <v>32</v>
          </cell>
          <cell r="M173" t="str">
            <v>Und</v>
          </cell>
        </row>
        <row r="174">
          <cell r="A174" t="str">
            <v>906288</v>
          </cell>
          <cell r="B174" t="str">
            <v>5422</v>
          </cell>
          <cell r="C174" t="str">
            <v>CILINDRO CHANTILLY (CAJA=10UND)</v>
          </cell>
          <cell r="D174" t="str">
            <v>906288</v>
          </cell>
          <cell r="E174" t="str">
            <v>MATERIAS PRIMAS PLANTA</v>
          </cell>
          <cell r="F174" t="str">
            <v>1 CAJA</v>
          </cell>
          <cell r="G174">
            <v>500</v>
          </cell>
          <cell r="H174" t="str">
            <v>19/05/2020</v>
          </cell>
          <cell r="I174">
            <v>3150</v>
          </cell>
          <cell r="J174">
            <v>3150</v>
          </cell>
          <cell r="K174">
            <v>10</v>
          </cell>
          <cell r="L174">
            <v>315</v>
          </cell>
          <cell r="M174"/>
        </row>
        <row r="175">
          <cell r="A175" t="str">
            <v>910311</v>
          </cell>
          <cell r="B175" t="str">
            <v>5529</v>
          </cell>
          <cell r="C175" t="str">
            <v>ACEITE DE OLIVA PLAST (UND:5 L)</v>
          </cell>
          <cell r="D175" t="str">
            <v>910311</v>
          </cell>
          <cell r="E175" t="str">
            <v>MATERIAS PRIMAS PLANTA</v>
          </cell>
          <cell r="F175" t="str">
            <v>1 UND</v>
          </cell>
          <cell r="G175">
            <v>500</v>
          </cell>
          <cell r="H175" t="str">
            <v>13/06/2020</v>
          </cell>
          <cell r="I175">
            <v>10500</v>
          </cell>
          <cell r="J175">
            <v>10616.25</v>
          </cell>
          <cell r="K175">
            <v>5000</v>
          </cell>
          <cell r="L175">
            <v>2.1232500000000001</v>
          </cell>
          <cell r="M175" t="str">
            <v>Mililitros</v>
          </cell>
        </row>
        <row r="176">
          <cell r="A176" t="str">
            <v>0910322</v>
          </cell>
          <cell r="B176" t="str">
            <v>5287</v>
          </cell>
          <cell r="C176" t="str">
            <v>VINAGRE BLANCO (UND:3.785 L)</v>
          </cell>
          <cell r="D176" t="str">
            <v>0910322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12/06/2020</v>
          </cell>
          <cell r="I176">
            <v>3230</v>
          </cell>
          <cell r="J176">
            <v>3230</v>
          </cell>
          <cell r="K176">
            <v>3785</v>
          </cell>
          <cell r="L176">
            <v>0.8533685601056803</v>
          </cell>
          <cell r="M176" t="str">
            <v>Mililitros</v>
          </cell>
        </row>
        <row r="177">
          <cell r="A177" t="str">
            <v>0910339</v>
          </cell>
          <cell r="B177" t="str">
            <v>5235</v>
          </cell>
          <cell r="C177" t="str">
            <v>VINAGRE VINO DE ARROZ (UND:3.785)</v>
          </cell>
          <cell r="D177" t="str">
            <v>0910339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06/06/2020</v>
          </cell>
          <cell r="I177">
            <v>10473</v>
          </cell>
          <cell r="J177">
            <v>10983.2</v>
          </cell>
          <cell r="K177">
            <v>3785</v>
          </cell>
          <cell r="L177">
            <v>2.9017701453104361</v>
          </cell>
          <cell r="M177" t="str">
            <v>Mililitros</v>
          </cell>
        </row>
        <row r="178">
          <cell r="A178" t="str">
            <v>0910341</v>
          </cell>
          <cell r="B178" t="str">
            <v>12771</v>
          </cell>
          <cell r="C178" t="str">
            <v>SALSA INGLESA LIZANO (UND:3.7 L)</v>
          </cell>
          <cell r="D178" t="str">
            <v>0910341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15/06/2020</v>
          </cell>
          <cell r="I178">
            <v>7303</v>
          </cell>
          <cell r="J178">
            <v>7220</v>
          </cell>
          <cell r="K178">
            <v>3700</v>
          </cell>
          <cell r="L178">
            <v>1.9513513513513514</v>
          </cell>
          <cell r="M178" t="str">
            <v>Mililitros</v>
          </cell>
        </row>
        <row r="179">
          <cell r="A179" t="str">
            <v>0910351</v>
          </cell>
          <cell r="B179" t="str">
            <v>5279</v>
          </cell>
          <cell r="C179" t="str">
            <v>SALSA CHILE AJI (PAQ:1 KILO)</v>
          </cell>
          <cell r="D179" t="str">
            <v>0910351</v>
          </cell>
          <cell r="E179" t="str">
            <v>MATERIAS PRIMAS PLANTA</v>
          </cell>
          <cell r="F179" t="str">
            <v>1 PAQUETE</v>
          </cell>
          <cell r="G179">
            <v>500</v>
          </cell>
          <cell r="H179" t="str">
            <v>05/06/2020</v>
          </cell>
          <cell r="I179">
            <v>6488.05</v>
          </cell>
          <cell r="J179">
            <v>6982.3</v>
          </cell>
          <cell r="K179">
            <v>1000</v>
          </cell>
          <cell r="L179">
            <v>6.9823000000000004</v>
          </cell>
          <cell r="M179" t="str">
            <v>Gramos</v>
          </cell>
        </row>
        <row r="180">
          <cell r="A180" t="str">
            <v>1010008</v>
          </cell>
          <cell r="B180" t="str">
            <v>7079</v>
          </cell>
          <cell r="C180" t="str">
            <v>VINAGRE BALSAMICO ROLAND (UND:5 L)</v>
          </cell>
          <cell r="D180" t="str">
            <v>1010008</v>
          </cell>
          <cell r="E180" t="str">
            <v>MATERIAS PRIMAS PLANTA</v>
          </cell>
          <cell r="F180" t="str">
            <v>1 UND</v>
          </cell>
          <cell r="G180">
            <v>500</v>
          </cell>
          <cell r="H180" t="str">
            <v>23/03/2020</v>
          </cell>
          <cell r="I180">
            <v>19694.740000000002</v>
          </cell>
          <cell r="J180">
            <v>27791</v>
          </cell>
          <cell r="K180">
            <v>5000</v>
          </cell>
          <cell r="L180">
            <v>5.5582000000000003</v>
          </cell>
          <cell r="M180"/>
        </row>
        <row r="181">
          <cell r="A181" t="str">
            <v>1010009</v>
          </cell>
          <cell r="B181" t="str">
            <v>5316</v>
          </cell>
          <cell r="C181" t="str">
            <v>CHILE CHIPOTLE COSTEÑA (UND:2.9 K)</v>
          </cell>
          <cell r="D181" t="str">
            <v>1010009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12/06/2020</v>
          </cell>
          <cell r="I181">
            <v>11231</v>
          </cell>
          <cell r="J181">
            <v>11870</v>
          </cell>
          <cell r="K181">
            <v>2900</v>
          </cell>
          <cell r="L181">
            <v>4.0931034482758619</v>
          </cell>
          <cell r="M181" t="str">
            <v>Gramos</v>
          </cell>
        </row>
        <row r="182">
          <cell r="A182" t="str">
            <v>1010047</v>
          </cell>
          <cell r="B182" t="str">
            <v>13326</v>
          </cell>
          <cell r="C182" t="str">
            <v>SIROPE CHOCOLATE HERSHEY (UND:24 ONZ)</v>
          </cell>
          <cell r="D182" t="str">
            <v>1010047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25/02/2020</v>
          </cell>
          <cell r="I182">
            <v>1691</v>
          </cell>
          <cell r="J182">
            <v>1691</v>
          </cell>
          <cell r="K182">
            <v>681</v>
          </cell>
          <cell r="L182">
            <v>2.4831130690161527</v>
          </cell>
          <cell r="M182" t="str">
            <v>Gramos</v>
          </cell>
        </row>
        <row r="183">
          <cell r="A183" t="str">
            <v>01011701</v>
          </cell>
          <cell r="B183" t="str">
            <v>11574</v>
          </cell>
          <cell r="C183" t="str">
            <v>PAPA PREFRITA CORTE RECTO 5/16" NG 6/5 L</v>
          </cell>
          <cell r="D183" t="str">
            <v>01011701</v>
          </cell>
          <cell r="E183" t="str">
            <v>MATERIAS PRIMAS PLANTA</v>
          </cell>
          <cell r="F183" t="str">
            <v>1 CAJA</v>
          </cell>
          <cell r="G183">
            <v>500</v>
          </cell>
          <cell r="H183" t="str">
            <v>10/12/2019</v>
          </cell>
          <cell r="I183">
            <v>15467</v>
          </cell>
          <cell r="J183">
            <v>0</v>
          </cell>
          <cell r="K183"/>
          <cell r="L183" t="e">
            <v>#DIV/0!</v>
          </cell>
          <cell r="M183"/>
        </row>
        <row r="184">
          <cell r="A184" t="str">
            <v>1012301</v>
          </cell>
          <cell r="B184" t="str">
            <v>5335</v>
          </cell>
          <cell r="C184" t="str">
            <v>VINO TINTO PETER CABERNET SAUV (UND:5L)</v>
          </cell>
          <cell r="D184" t="str">
            <v>1012301</v>
          </cell>
          <cell r="E184" t="str">
            <v>MATERIAS PRIMAS PLANTA</v>
          </cell>
          <cell r="F184" t="str">
            <v>1 UND</v>
          </cell>
          <cell r="G184">
            <v>500</v>
          </cell>
          <cell r="H184" t="str">
            <v>20/03/2020</v>
          </cell>
          <cell r="I184">
            <v>17839.66</v>
          </cell>
          <cell r="J184">
            <v>0</v>
          </cell>
          <cell r="K184">
            <v>5000</v>
          </cell>
          <cell r="L184">
            <v>0</v>
          </cell>
          <cell r="M184" t="str">
            <v>Mililitros</v>
          </cell>
        </row>
        <row r="185">
          <cell r="A185" t="str">
            <v>1012341</v>
          </cell>
          <cell r="B185" t="str">
            <v>5342</v>
          </cell>
          <cell r="C185" t="str">
            <v>BAILEYS (BOTELLA=1 LITRO)</v>
          </cell>
          <cell r="D185" t="str">
            <v>1012341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26/05/2020</v>
          </cell>
          <cell r="I185">
            <v>15950</v>
          </cell>
          <cell r="J185">
            <v>14036</v>
          </cell>
          <cell r="K185">
            <v>1000</v>
          </cell>
          <cell r="L185">
            <v>14.036</v>
          </cell>
          <cell r="M185" t="str">
            <v>Mililitros</v>
          </cell>
        </row>
        <row r="186">
          <cell r="A186" t="str">
            <v>1012431</v>
          </cell>
          <cell r="B186" t="str">
            <v>5334</v>
          </cell>
          <cell r="C186" t="str">
            <v>VINO BLANCO PETER CABERNET SAU (UND:5L)</v>
          </cell>
          <cell r="D186" t="str">
            <v>1012431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18/05/2020</v>
          </cell>
          <cell r="I186">
            <v>17839.66</v>
          </cell>
          <cell r="J186">
            <v>0</v>
          </cell>
          <cell r="K186">
            <v>5000</v>
          </cell>
          <cell r="L186">
            <v>0</v>
          </cell>
          <cell r="M186" t="str">
            <v>Mililitros</v>
          </cell>
        </row>
        <row r="187">
          <cell r="A187" t="str">
            <v>1058121</v>
          </cell>
          <cell r="B187" t="str">
            <v>15013</v>
          </cell>
          <cell r="C187" t="str">
            <v>MORA CONG INPAK (39/80 GRS)</v>
          </cell>
          <cell r="D187" t="str">
            <v>1058121</v>
          </cell>
          <cell r="E187" t="str">
            <v>MATERIAS PRIMAS PLANTA</v>
          </cell>
          <cell r="F187" t="str">
            <v>1 PAQUETE</v>
          </cell>
          <cell r="G187">
            <v>500</v>
          </cell>
          <cell r="H187" t="str">
            <v>17/12/2019</v>
          </cell>
          <cell r="I187" t="e">
            <v>#N/A</v>
          </cell>
          <cell r="J187">
            <v>0</v>
          </cell>
          <cell r="K187">
            <v>3120</v>
          </cell>
          <cell r="L187">
            <v>0</v>
          </cell>
          <cell r="M187" t="str">
            <v>Gramos</v>
          </cell>
        </row>
        <row r="188">
          <cell r="A188" t="str">
            <v>1070002</v>
          </cell>
          <cell r="B188" t="str">
            <v>8075</v>
          </cell>
          <cell r="C188" t="str">
            <v>CHOCOLATE TRIAN OLEA  PEQ (CAJA:250 UND)</v>
          </cell>
          <cell r="D188" t="str">
            <v>1070002</v>
          </cell>
          <cell r="E188" t="str">
            <v>MATERIAS PRIMAS PLANTA</v>
          </cell>
          <cell r="F188" t="str">
            <v>1 CAJA</v>
          </cell>
          <cell r="G188">
            <v>500</v>
          </cell>
          <cell r="H188" t="str">
            <v>12/06/2020</v>
          </cell>
          <cell r="I188">
            <v>20768</v>
          </cell>
          <cell r="J188">
            <v>20768</v>
          </cell>
          <cell r="K188">
            <v>250</v>
          </cell>
          <cell r="L188">
            <v>83.072000000000003</v>
          </cell>
          <cell r="M188"/>
        </row>
        <row r="189">
          <cell r="A189" t="str">
            <v>1110354</v>
          </cell>
          <cell r="B189" t="str">
            <v>5295</v>
          </cell>
          <cell r="C189" t="str">
            <v>ALCAPARRA (UND:944g)</v>
          </cell>
          <cell r="D189" t="str">
            <v>1110354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12/06/2020</v>
          </cell>
          <cell r="I189">
            <v>4183</v>
          </cell>
          <cell r="J189">
            <v>7056.9</v>
          </cell>
          <cell r="K189">
            <v>944</v>
          </cell>
          <cell r="L189">
            <v>7.4755296610169486</v>
          </cell>
          <cell r="M189" t="str">
            <v>Gramos</v>
          </cell>
        </row>
        <row r="190">
          <cell r="A190" t="str">
            <v>1110377</v>
          </cell>
          <cell r="B190" t="str">
            <v>5319</v>
          </cell>
          <cell r="C190" t="str">
            <v>MOSTAZA FRENCH (UND:2.98 L)</v>
          </cell>
          <cell r="D190" t="str">
            <v>1110377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03/06/2020</v>
          </cell>
          <cell r="I190">
            <v>4106</v>
          </cell>
          <cell r="J190">
            <v>4607</v>
          </cell>
          <cell r="K190">
            <v>2980</v>
          </cell>
          <cell r="L190">
            <v>1.545973154362416</v>
          </cell>
          <cell r="M190" t="str">
            <v>Mililitros</v>
          </cell>
        </row>
        <row r="191">
          <cell r="A191" t="str">
            <v>1110378</v>
          </cell>
          <cell r="B191" t="str">
            <v>5246</v>
          </cell>
          <cell r="C191" t="str">
            <v>TOMATE LICUADO LATA (UND: 4.1 K)</v>
          </cell>
          <cell r="D191" t="str">
            <v>1110378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25/05/2020</v>
          </cell>
          <cell r="I191">
            <v>6500</v>
          </cell>
          <cell r="J191">
            <v>7639.1</v>
          </cell>
          <cell r="K191">
            <v>4100</v>
          </cell>
          <cell r="L191">
            <v>1.8631951219512195</v>
          </cell>
          <cell r="M191" t="str">
            <v>Gramos</v>
          </cell>
        </row>
        <row r="192">
          <cell r="A192" t="str">
            <v>1110380</v>
          </cell>
          <cell r="B192" t="str">
            <v>5321</v>
          </cell>
          <cell r="C192" t="str">
            <v>PEPINILLOS REBANADOS (GALON)</v>
          </cell>
          <cell r="D192" t="str">
            <v>1110380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17/03/2020</v>
          </cell>
          <cell r="I192" t="e">
            <v>#N/A</v>
          </cell>
          <cell r="J192">
            <v>6420</v>
          </cell>
          <cell r="K192">
            <v>3785</v>
          </cell>
          <cell r="L192">
            <v>1.6961690885072656</v>
          </cell>
          <cell r="M192"/>
        </row>
        <row r="193">
          <cell r="A193" t="str">
            <v>1110386</v>
          </cell>
          <cell r="B193" t="str">
            <v>5322</v>
          </cell>
          <cell r="C193" t="str">
            <v>TABASCO 62g (CAJA:36 UND)</v>
          </cell>
          <cell r="D193" t="str">
            <v>1110386</v>
          </cell>
          <cell r="E193" t="str">
            <v>MATERIAS PRIMAS PLANTA</v>
          </cell>
          <cell r="F193" t="str">
            <v>1 CAJA</v>
          </cell>
          <cell r="G193">
            <v>500</v>
          </cell>
          <cell r="H193" t="str">
            <v>18/05/2020</v>
          </cell>
          <cell r="I193">
            <v>16139</v>
          </cell>
          <cell r="J193">
            <v>18931</v>
          </cell>
          <cell r="K193">
            <v>2232</v>
          </cell>
          <cell r="L193">
            <v>8.4816308243727594</v>
          </cell>
          <cell r="M193" t="str">
            <v>Gramos</v>
          </cell>
        </row>
        <row r="194">
          <cell r="A194" t="str">
            <v>1110393</v>
          </cell>
          <cell r="B194" t="str">
            <v>5323</v>
          </cell>
          <cell r="C194" t="str">
            <v>PIÑA EN RODAJAS (UND: 3 K)</v>
          </cell>
          <cell r="D194" t="str">
            <v>1110393</v>
          </cell>
          <cell r="E194" t="str">
            <v>MATERIAS PRIMAS PLANTA</v>
          </cell>
          <cell r="F194" t="str">
            <v>1 UND</v>
          </cell>
          <cell r="G194">
            <v>500</v>
          </cell>
          <cell r="H194" t="str">
            <v>12/06/2020</v>
          </cell>
          <cell r="I194">
            <v>3061</v>
          </cell>
          <cell r="J194">
            <v>5234</v>
          </cell>
          <cell r="K194">
            <v>1600</v>
          </cell>
          <cell r="L194">
            <v>3.2712500000000002</v>
          </cell>
          <cell r="M194" t="str">
            <v>Gramos</v>
          </cell>
        </row>
        <row r="195">
          <cell r="A195" t="str">
            <v>1110406</v>
          </cell>
          <cell r="B195" t="str">
            <v>5394</v>
          </cell>
          <cell r="C195" t="str">
            <v>ATUN LOMO TROZOS AGUA (UND:1 K)</v>
          </cell>
          <cell r="D195" t="str">
            <v>1110406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4415</v>
          </cell>
          <cell r="J195">
            <v>5221</v>
          </cell>
          <cell r="K195">
            <v>1000</v>
          </cell>
          <cell r="L195">
            <v>5.2210000000000001</v>
          </cell>
          <cell r="M195"/>
        </row>
        <row r="196">
          <cell r="A196" t="str">
            <v>1110407</v>
          </cell>
          <cell r="B196" t="str">
            <v>5513</v>
          </cell>
          <cell r="C196" t="str">
            <v>VEGETALES MIXTOS LAMB WESTON (PAQ: 1 K)</v>
          </cell>
          <cell r="D196" t="str">
            <v>1110407</v>
          </cell>
          <cell r="E196" t="str">
            <v>MATERIAS PRIMAS PLANTA</v>
          </cell>
          <cell r="F196" t="str">
            <v>1 PAQUETE</v>
          </cell>
          <cell r="G196">
            <v>500</v>
          </cell>
          <cell r="H196" t="str">
            <v>07/05/2020</v>
          </cell>
          <cell r="I196">
            <v>1819</v>
          </cell>
          <cell r="J196">
            <v>2525</v>
          </cell>
          <cell r="K196">
            <v>1000</v>
          </cell>
          <cell r="L196">
            <v>2.5249999999999999</v>
          </cell>
          <cell r="M196"/>
        </row>
        <row r="197">
          <cell r="A197" t="str">
            <v>1110408</v>
          </cell>
          <cell r="B197" t="str">
            <v>5514</v>
          </cell>
          <cell r="C197" t="str">
            <v>GUISANTES LAMB WESTON (PAQ: 1 K)</v>
          </cell>
          <cell r="D197" t="str">
            <v>1110408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09/06/2020</v>
          </cell>
          <cell r="I197">
            <v>1393</v>
          </cell>
          <cell r="J197">
            <v>2168</v>
          </cell>
          <cell r="K197">
            <v>1000</v>
          </cell>
          <cell r="L197">
            <v>2.1680000000000001</v>
          </cell>
          <cell r="M197" t="str">
            <v>Gramos</v>
          </cell>
        </row>
        <row r="198">
          <cell r="A198" t="str">
            <v>1110414</v>
          </cell>
          <cell r="B198" t="str">
            <v>5602</v>
          </cell>
          <cell r="C198" t="str">
            <v>LECHE EVAPORADA (UND: 1 L)</v>
          </cell>
          <cell r="D198" t="str">
            <v>1110414</v>
          </cell>
          <cell r="E198" t="str">
            <v>MATERIAS PRIMAS PLANTA</v>
          </cell>
          <cell r="F198" t="str">
            <v>1 UND</v>
          </cell>
          <cell r="G198">
            <v>500</v>
          </cell>
          <cell r="H198" t="str">
            <v>15/06/2020</v>
          </cell>
          <cell r="I198">
            <v>1786</v>
          </cell>
          <cell r="J198">
            <v>1526</v>
          </cell>
          <cell r="K198">
            <v>1000</v>
          </cell>
          <cell r="L198">
            <v>1.526</v>
          </cell>
          <cell r="M198" t="str">
            <v>Mililitros</v>
          </cell>
        </row>
        <row r="199">
          <cell r="A199" t="str">
            <v>1110415</v>
          </cell>
          <cell r="B199" t="str">
            <v>5515</v>
          </cell>
          <cell r="C199" t="str">
            <v>PETI PIOS CON ZANAHORIA (PAQ: 1 K)</v>
          </cell>
          <cell r="D199" t="str">
            <v>1110415</v>
          </cell>
          <cell r="E199" t="str">
            <v>MATERIAS PRIMAS PLANTA</v>
          </cell>
          <cell r="F199" t="str">
            <v>1 PAQUETE</v>
          </cell>
          <cell r="G199">
            <v>500</v>
          </cell>
          <cell r="H199" t="str">
            <v>28/05/2020</v>
          </cell>
          <cell r="I199">
            <v>1335</v>
          </cell>
          <cell r="J199">
            <v>1597</v>
          </cell>
          <cell r="K199">
            <v>1000</v>
          </cell>
          <cell r="L199">
            <v>1.597</v>
          </cell>
          <cell r="M199" t="str">
            <v>Gramos</v>
          </cell>
        </row>
        <row r="200">
          <cell r="A200" t="str">
            <v>10100315</v>
          </cell>
          <cell r="B200" t="str">
            <v>5237</v>
          </cell>
          <cell r="C200" t="str">
            <v xml:space="preserve">MOSTAZA DIJON GRANULADA (UND: 370 G) </v>
          </cell>
          <cell r="D200" t="str">
            <v>1110418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13/06/2020</v>
          </cell>
          <cell r="I200">
            <v>4505</v>
          </cell>
          <cell r="J200">
            <v>2460</v>
          </cell>
          <cell r="K200">
            <v>370</v>
          </cell>
          <cell r="L200">
            <v>6.6486486486486482</v>
          </cell>
          <cell r="M200" t="str">
            <v>Gramos</v>
          </cell>
        </row>
        <row r="201">
          <cell r="A201" t="str">
            <v>1110419</v>
          </cell>
          <cell r="B201" t="str">
            <v>7089</v>
          </cell>
          <cell r="C201" t="str">
            <v>ANCHOAS FILETAEADAS EN ACEITE (UND:700g)</v>
          </cell>
          <cell r="D201" t="str">
            <v>1110419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30/05/2020</v>
          </cell>
          <cell r="I201">
            <v>13430</v>
          </cell>
          <cell r="J201">
            <v>0</v>
          </cell>
          <cell r="K201">
            <v>700</v>
          </cell>
          <cell r="L201">
            <v>0</v>
          </cell>
          <cell r="M201" t="str">
            <v>Gramos</v>
          </cell>
        </row>
        <row r="202">
          <cell r="A202" t="str">
            <v>1112431</v>
          </cell>
          <cell r="B202" t="str">
            <v>5603</v>
          </cell>
          <cell r="C202" t="str">
            <v>MANJAR LECHE CONDENSADA (PAQ: 4.5 K)</v>
          </cell>
          <cell r="D202" t="str">
            <v>1112431</v>
          </cell>
          <cell r="E202" t="str">
            <v>MATERIAS PRIMAS PLANTA</v>
          </cell>
          <cell r="F202" t="str">
            <v>1 PAQUETE</v>
          </cell>
          <cell r="G202">
            <v>500</v>
          </cell>
          <cell r="H202" t="str">
            <v>15/06/2020</v>
          </cell>
          <cell r="I202">
            <v>11335</v>
          </cell>
          <cell r="J202">
            <v>9403</v>
          </cell>
          <cell r="K202">
            <v>4500</v>
          </cell>
          <cell r="L202">
            <v>2.0895555555555556</v>
          </cell>
          <cell r="M202" t="str">
            <v>Gramos</v>
          </cell>
        </row>
        <row r="203">
          <cell r="A203" t="str">
            <v>1112441</v>
          </cell>
          <cell r="B203" t="str">
            <v>11801</v>
          </cell>
          <cell r="C203" t="str">
            <v>ACEITUNA  C/PIMIENTO (UND:1,7 Kg)</v>
          </cell>
          <cell r="D203" t="str">
            <v>1112441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14/12/2019</v>
          </cell>
          <cell r="I203">
            <v>6906</v>
          </cell>
          <cell r="J203">
            <v>0</v>
          </cell>
          <cell r="K203">
            <v>1700</v>
          </cell>
          <cell r="L203">
            <v>0</v>
          </cell>
          <cell r="M203" t="str">
            <v>Gramos</v>
          </cell>
        </row>
        <row r="204">
          <cell r="A204" t="str">
            <v>1112444</v>
          </cell>
          <cell r="B204" t="str">
            <v>5326</v>
          </cell>
          <cell r="C204" t="str">
            <v>FRIJOL MOLIDO NEGRO D PEDRO (UND=2.2 K)</v>
          </cell>
          <cell r="D204" t="str">
            <v>1112444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12/06/2020</v>
          </cell>
          <cell r="I204">
            <v>2027</v>
          </cell>
          <cell r="J204">
            <v>2162</v>
          </cell>
          <cell r="K204">
            <v>2200</v>
          </cell>
          <cell r="L204">
            <v>0.98272727272727278</v>
          </cell>
          <cell r="M204" t="str">
            <v>Gramos</v>
          </cell>
        </row>
        <row r="205">
          <cell r="A205" t="str">
            <v>1160001</v>
          </cell>
          <cell r="B205" t="str">
            <v>8142</v>
          </cell>
          <cell r="C205" t="str">
            <v>GOMA XANTAN (KILO)</v>
          </cell>
          <cell r="D205" t="str">
            <v>1160001</v>
          </cell>
          <cell r="E205" t="str">
            <v>MATERIAS PRIMAS PLANTA</v>
          </cell>
          <cell r="F205" t="str">
            <v>1 KILOGRAMOS</v>
          </cell>
          <cell r="G205">
            <v>500</v>
          </cell>
          <cell r="H205" t="str">
            <v>05/06/2020</v>
          </cell>
          <cell r="I205">
            <v>3402.67</v>
          </cell>
          <cell r="J205">
            <v>20796</v>
          </cell>
          <cell r="K205">
            <v>1000</v>
          </cell>
          <cell r="L205">
            <v>20.795999999999999</v>
          </cell>
          <cell r="M205" t="str">
            <v>Gramos</v>
          </cell>
        </row>
        <row r="206">
          <cell r="A206" t="str">
            <v>1200003</v>
          </cell>
          <cell r="B206" t="str">
            <v>7096</v>
          </cell>
          <cell r="C206" t="str">
            <v>CHOCOLATE OSCURO BLOSSOMS (KILO)</v>
          </cell>
          <cell r="D206" t="str">
            <v>1200003</v>
          </cell>
          <cell r="E206" t="str">
            <v>MATERIAS PRIMAS PLANTA</v>
          </cell>
          <cell r="F206" t="str">
            <v xml:space="preserve">1 KILO </v>
          </cell>
          <cell r="G206">
            <v>500</v>
          </cell>
          <cell r="H206" t="str">
            <v>15/06/2020</v>
          </cell>
          <cell r="I206">
            <v>9243</v>
          </cell>
          <cell r="J206">
            <v>9705.15</v>
          </cell>
          <cell r="K206">
            <v>1000</v>
          </cell>
          <cell r="L206">
            <v>9.7051499999999997</v>
          </cell>
          <cell r="M206" t="str">
            <v>Gramos</v>
          </cell>
        </row>
        <row r="207">
          <cell r="A207" t="str">
            <v>1210386</v>
          </cell>
          <cell r="B207" t="str">
            <v>5324</v>
          </cell>
          <cell r="C207" t="str">
            <v>COBERTURA CHOCOLATE LECHE (PAQ:5 K)</v>
          </cell>
          <cell r="D207" t="str">
            <v>1210386</v>
          </cell>
          <cell r="E207" t="str">
            <v>MATERIAS PRIMAS PLANTA</v>
          </cell>
          <cell r="F207" t="str">
            <v>1 SACO</v>
          </cell>
          <cell r="G207">
            <v>500</v>
          </cell>
          <cell r="H207" t="str">
            <v>07/05/2020</v>
          </cell>
          <cell r="I207">
            <v>22340</v>
          </cell>
          <cell r="J207">
            <v>22450</v>
          </cell>
          <cell r="K207">
            <v>5000</v>
          </cell>
          <cell r="L207">
            <v>4.49</v>
          </cell>
          <cell r="M207" t="str">
            <v>Gramos</v>
          </cell>
        </row>
        <row r="208">
          <cell r="A208" t="str">
            <v>1210387</v>
          </cell>
          <cell r="B208" t="str">
            <v>5325</v>
          </cell>
          <cell r="C208" t="str">
            <v>COBERTURA CHOCOLATE BLANCO (PAQ:5 K)</v>
          </cell>
          <cell r="D208" t="str">
            <v>1210387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15/06/2020</v>
          </cell>
          <cell r="I208">
            <v>15818</v>
          </cell>
          <cell r="J208">
            <v>17390</v>
          </cell>
          <cell r="K208">
            <v>4500</v>
          </cell>
          <cell r="L208">
            <v>3.8644444444444446</v>
          </cell>
          <cell r="M208" t="str">
            <v>Gramos</v>
          </cell>
        </row>
        <row r="209">
          <cell r="A209" t="str">
            <v>10100289</v>
          </cell>
          <cell r="B209" t="str">
            <v>5526</v>
          </cell>
          <cell r="C209" t="str">
            <v>MARGARINA BAKER TABLETA (CAJA: 25 K)</v>
          </cell>
          <cell r="D209" t="str">
            <v>10100289</v>
          </cell>
          <cell r="E209" t="str">
            <v>MATERIAS PRIMAS PLANTA</v>
          </cell>
          <cell r="F209" t="str">
            <v>1 CAJA</v>
          </cell>
          <cell r="G209">
            <v>500</v>
          </cell>
          <cell r="H209" t="str">
            <v>15/06/2020</v>
          </cell>
          <cell r="I209">
            <v>30786</v>
          </cell>
          <cell r="J209">
            <v>34911</v>
          </cell>
          <cell r="K209">
            <v>25000</v>
          </cell>
          <cell r="L209">
            <v>1.3964399999999999</v>
          </cell>
          <cell r="M209" t="str">
            <v>Gramos</v>
          </cell>
        </row>
        <row r="210">
          <cell r="A210" t="str">
            <v>10100295</v>
          </cell>
          <cell r="B210" t="str">
            <v>17272</v>
          </cell>
          <cell r="C210" t="str">
            <v xml:space="preserve">COBERTURA CHOCOLATE BLANCO (PAQ:1 K) </v>
          </cell>
          <cell r="D210" t="str">
            <v>10100295</v>
          </cell>
          <cell r="E210" t="str">
            <v>MATERIAS PRIMAS PLANTA</v>
          </cell>
          <cell r="F210" t="str">
            <v>1 PAQ</v>
          </cell>
          <cell r="G210">
            <v>500</v>
          </cell>
          <cell r="H210" t="str">
            <v>27/02/2020</v>
          </cell>
          <cell r="I210">
            <v>10000</v>
          </cell>
          <cell r="J210">
            <v>10000</v>
          </cell>
          <cell r="K210">
            <v>1000</v>
          </cell>
          <cell r="L210">
            <v>10</v>
          </cell>
          <cell r="M210" t="str">
            <v>Gramos</v>
          </cell>
        </row>
        <row r="211">
          <cell r="A211" t="str">
            <v>1210396</v>
          </cell>
          <cell r="B211" t="str">
            <v>11328</v>
          </cell>
          <cell r="C211" t="str">
            <v>CHOCOLATE LECHE BELCOLADE (PAQ:2.5 K)</v>
          </cell>
          <cell r="D211" t="str">
            <v>1210396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03/06/2020</v>
          </cell>
          <cell r="I211">
            <v>9380</v>
          </cell>
          <cell r="J211">
            <v>9410</v>
          </cell>
          <cell r="K211">
            <v>2500</v>
          </cell>
          <cell r="L211">
            <v>3.7639999999999998</v>
          </cell>
          <cell r="M211" t="str">
            <v>Gramos</v>
          </cell>
        </row>
        <row r="212">
          <cell r="A212" t="str">
            <v>1210397</v>
          </cell>
          <cell r="B212" t="str">
            <v>14692</v>
          </cell>
          <cell r="C212" t="str">
            <v>TROZOS CHOCOLATE BLANCO (CAJA:1 K)</v>
          </cell>
          <cell r="D212" t="str">
            <v>1210397</v>
          </cell>
          <cell r="E212" t="str">
            <v>MATERIAS PRIMAS PLANTA</v>
          </cell>
          <cell r="F212" t="str">
            <v xml:space="preserve">1 CAJA </v>
          </cell>
          <cell r="G212">
            <v>500</v>
          </cell>
          <cell r="H212" t="str">
            <v>21/12/2019</v>
          </cell>
          <cell r="I212" t="e">
            <v>#N/A</v>
          </cell>
          <cell r="J212">
            <v>0</v>
          </cell>
          <cell r="K212">
            <v>1000</v>
          </cell>
          <cell r="L212">
            <v>0</v>
          </cell>
          <cell r="M212"/>
        </row>
        <row r="213">
          <cell r="A213" t="str">
            <v>1210399</v>
          </cell>
          <cell r="B213" t="str">
            <v>14694</v>
          </cell>
          <cell r="C213" t="str">
            <v>TROZOS CHOCOLATE ROJO (CAJA:1K)</v>
          </cell>
          <cell r="D213" t="str">
            <v>1210399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0</v>
          </cell>
          <cell r="K213">
            <v>1000</v>
          </cell>
          <cell r="L213">
            <v>0</v>
          </cell>
          <cell r="M213"/>
        </row>
        <row r="214">
          <cell r="A214" t="str">
            <v>1210401</v>
          </cell>
          <cell r="B214" t="str">
            <v>5527</v>
          </cell>
          <cell r="C214" t="str">
            <v>MANTECA MAX PAN (CAJA:25 k)</v>
          </cell>
          <cell r="D214" t="str">
            <v>1210401</v>
          </cell>
          <cell r="E214" t="str">
            <v>MATERIAS PRIMAS PLANTA</v>
          </cell>
          <cell r="F214" t="str">
            <v>1 CAJA</v>
          </cell>
          <cell r="G214">
            <v>500</v>
          </cell>
          <cell r="H214" t="str">
            <v>15/06/2020</v>
          </cell>
          <cell r="I214">
            <v>23234</v>
          </cell>
          <cell r="J214">
            <v>37711</v>
          </cell>
          <cell r="K214">
            <v>25000</v>
          </cell>
          <cell r="L214">
            <v>1.50844</v>
          </cell>
          <cell r="M214" t="str">
            <v>Gramos</v>
          </cell>
        </row>
        <row r="215">
          <cell r="A215" t="str">
            <v>1210402</v>
          </cell>
          <cell r="B215" t="str">
            <v>1981</v>
          </cell>
          <cell r="C215" t="str">
            <v>MARGARINA BLOQUE 12.5 KILOS</v>
          </cell>
          <cell r="D215" t="str">
            <v>1210402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16/01/2020</v>
          </cell>
          <cell r="I215" t="e">
            <v>#N/A</v>
          </cell>
          <cell r="J215">
            <v>0</v>
          </cell>
          <cell r="K215">
            <v>12500</v>
          </cell>
          <cell r="L215">
            <v>0</v>
          </cell>
          <cell r="M215"/>
        </row>
        <row r="216">
          <cell r="A216" t="str">
            <v>1210405</v>
          </cell>
          <cell r="B216" t="str">
            <v>5565</v>
          </cell>
          <cell r="C216" t="str">
            <v>PASTA P/LASAG/(PAQ:1 KG)</v>
          </cell>
          <cell r="D216" t="str">
            <v>1210405</v>
          </cell>
          <cell r="E216" t="str">
            <v>MATERIAS PRIMAS PLANTA</v>
          </cell>
          <cell r="F216" t="str">
            <v>1 PAQUETE</v>
          </cell>
          <cell r="G216">
            <v>500</v>
          </cell>
          <cell r="H216" t="str">
            <v>15/06/2020</v>
          </cell>
          <cell r="I216">
            <v>2411</v>
          </cell>
          <cell r="J216">
            <v>2614</v>
          </cell>
          <cell r="K216">
            <v>1000</v>
          </cell>
          <cell r="L216">
            <v>2.6139999999999999</v>
          </cell>
          <cell r="M216" t="str">
            <v>Gramos</v>
          </cell>
        </row>
        <row r="217">
          <cell r="A217" t="str">
            <v>1210413</v>
          </cell>
          <cell r="B217" t="str">
            <v>5551</v>
          </cell>
          <cell r="C217" t="str">
            <v>PASTA WANTAN (PAQ:465g)</v>
          </cell>
          <cell r="D217" t="str">
            <v>1210413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09/06/2020</v>
          </cell>
          <cell r="I217">
            <v>1485.75</v>
          </cell>
          <cell r="J217">
            <v>1663.06</v>
          </cell>
          <cell r="K217">
            <v>465</v>
          </cell>
          <cell r="L217">
            <v>3.5764731182795697</v>
          </cell>
          <cell r="M217" t="str">
            <v>Gramos</v>
          </cell>
        </row>
        <row r="218">
          <cell r="A218" t="str">
            <v>1210420</v>
          </cell>
          <cell r="B218" t="str">
            <v>5539</v>
          </cell>
          <cell r="C218" t="str">
            <v>ESPAGUETTI (PAQ: 1K)</v>
          </cell>
          <cell r="D218" t="str">
            <v>1210420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21/03/2020</v>
          </cell>
          <cell r="I218">
            <v>1510</v>
          </cell>
          <cell r="J218">
            <v>1884</v>
          </cell>
          <cell r="K218">
            <v>1000</v>
          </cell>
          <cell r="L218">
            <v>1.8839999999999999</v>
          </cell>
          <cell r="M218"/>
        </row>
        <row r="219">
          <cell r="A219" t="str">
            <v>1210428</v>
          </cell>
          <cell r="B219" t="str">
            <v>11213</v>
          </cell>
          <cell r="C219" t="str">
            <v>PRUEBA CODIGO</v>
          </cell>
          <cell r="D219" t="str">
            <v>1210428</v>
          </cell>
          <cell r="E219" t="str">
            <v>MATERIAS PRIMAS PLANTA</v>
          </cell>
          <cell r="F219" t="str">
            <v>1 UND</v>
          </cell>
          <cell r="G219">
            <v>500</v>
          </cell>
          <cell r="H219" t="str">
            <v>06/06/2020</v>
          </cell>
          <cell r="I219">
            <v>3461</v>
          </cell>
          <cell r="J219">
            <v>22289</v>
          </cell>
          <cell r="K219"/>
          <cell r="L219" t="e">
            <v>#DIV/0!</v>
          </cell>
          <cell r="M219"/>
        </row>
        <row r="220">
          <cell r="A220" t="str">
            <v>1210437</v>
          </cell>
          <cell r="B220" t="str">
            <v>5540</v>
          </cell>
          <cell r="C220" t="str">
            <v>PASTA CARACOLITOS (PAQ: 1  K)</v>
          </cell>
          <cell r="D220" t="str">
            <v>1210437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12/12/2019</v>
          </cell>
          <cell r="I220">
            <v>1685</v>
          </cell>
          <cell r="J220">
            <v>1937</v>
          </cell>
          <cell r="K220">
            <v>1000</v>
          </cell>
          <cell r="L220">
            <v>1.9370000000000001</v>
          </cell>
          <cell r="M220"/>
        </row>
        <row r="221">
          <cell r="A221" t="str">
            <v>1210441</v>
          </cell>
          <cell r="B221" t="str">
            <v>5577</v>
          </cell>
          <cell r="C221" t="str">
            <v>HUEVO LIQUIDO REFRIG (UND:13.6 K)</v>
          </cell>
          <cell r="D221" t="str">
            <v>1210441</v>
          </cell>
          <cell r="E221" t="str">
            <v>MATERIAS PRIMAS PLANTA</v>
          </cell>
          <cell r="F221" t="str">
            <v>1 UND</v>
          </cell>
          <cell r="G221">
            <v>500</v>
          </cell>
          <cell r="H221" t="str">
            <v>01/06/2020</v>
          </cell>
          <cell r="I221">
            <v>18034</v>
          </cell>
          <cell r="J221">
            <v>0</v>
          </cell>
          <cell r="K221">
            <v>13600</v>
          </cell>
          <cell r="L221">
            <v>0</v>
          </cell>
          <cell r="M221" t="str">
            <v>Gramos</v>
          </cell>
        </row>
        <row r="222">
          <cell r="A222" t="str">
            <v>1210443</v>
          </cell>
          <cell r="B222" t="str">
            <v>5581</v>
          </cell>
          <cell r="C222" t="str">
            <v>YEMA DE HUEVO PASTEURIZADA (CAJA:2 Kg)</v>
          </cell>
          <cell r="D222" t="str">
            <v>1210443</v>
          </cell>
          <cell r="E222" t="str">
            <v>MATERIAS PRIMAS PLANTA</v>
          </cell>
          <cell r="F222" t="str">
            <v>1 CAJA</v>
          </cell>
          <cell r="G222">
            <v>500</v>
          </cell>
          <cell r="H222" t="str">
            <v>11/06/2020</v>
          </cell>
          <cell r="I222">
            <v>4400</v>
          </cell>
          <cell r="J222">
            <v>0</v>
          </cell>
          <cell r="K222">
            <v>2000</v>
          </cell>
          <cell r="L222">
            <v>0</v>
          </cell>
          <cell r="M222" t="str">
            <v>Gramos</v>
          </cell>
        </row>
        <row r="223">
          <cell r="A223" t="str">
            <v>1210445</v>
          </cell>
          <cell r="B223" t="str">
            <v>5582</v>
          </cell>
          <cell r="C223" t="str">
            <v>CLARAS HUEVO DESHIDRATADA (CAJA:22.68 K)</v>
          </cell>
          <cell r="D223" t="str">
            <v>1210445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08/06/2020</v>
          </cell>
          <cell r="I223">
            <v>433431.12959999999</v>
          </cell>
          <cell r="J223">
            <v>748440.2</v>
          </cell>
          <cell r="K223">
            <v>22680</v>
          </cell>
          <cell r="L223">
            <v>33.000008818342152</v>
          </cell>
          <cell r="M223" t="str">
            <v>Gramos</v>
          </cell>
        </row>
        <row r="224">
          <cell r="A224" t="str">
            <v>1210451</v>
          </cell>
          <cell r="B224" t="str">
            <v>11275</v>
          </cell>
          <cell r="C224" t="str">
            <v>CAPUCCINO  LATAM NESCAFE (PAQ:750 g)</v>
          </cell>
          <cell r="D224" t="str">
            <v>1210451</v>
          </cell>
          <cell r="E224" t="str">
            <v>MATERIAS PRIMAS PLANTA</v>
          </cell>
          <cell r="F224" t="str">
            <v>1 PAQUETE</v>
          </cell>
          <cell r="G224">
            <v>500</v>
          </cell>
          <cell r="H224" t="str">
            <v>05/06/2020</v>
          </cell>
          <cell r="I224" t="e">
            <v>#N/A</v>
          </cell>
          <cell r="J224">
            <v>0</v>
          </cell>
          <cell r="K224">
            <v>750</v>
          </cell>
          <cell r="L224">
            <v>0</v>
          </cell>
          <cell r="M224" t="str">
            <v>Gramos</v>
          </cell>
        </row>
        <row r="225">
          <cell r="A225" t="str">
            <v>1210453</v>
          </cell>
          <cell r="B225" t="str">
            <v>5328</v>
          </cell>
          <cell r="C225" t="str">
            <v>CAPUCCINO VAINILLA LATAM (PAQ:750 g)</v>
          </cell>
          <cell r="D225" t="str">
            <v>1210453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20/02/2020</v>
          </cell>
          <cell r="I225" t="e">
            <v>#N/A</v>
          </cell>
          <cell r="J225">
            <v>0</v>
          </cell>
          <cell r="K225">
            <v>750</v>
          </cell>
          <cell r="L225">
            <v>0</v>
          </cell>
          <cell r="M225"/>
        </row>
        <row r="226">
          <cell r="A226" t="str">
            <v>1210461</v>
          </cell>
          <cell r="B226" t="str">
            <v>5269</v>
          </cell>
          <cell r="C226" t="str">
            <v>CHOCOLATE TULIPAN MARMOL (CAJA:150 UND)</v>
          </cell>
          <cell r="D226" t="str">
            <v>1210461</v>
          </cell>
          <cell r="E226" t="str">
            <v>MATERIAS PRIMAS PLANTA</v>
          </cell>
          <cell r="F226" t="str">
            <v xml:space="preserve">1 CAJA </v>
          </cell>
          <cell r="G226">
            <v>500</v>
          </cell>
          <cell r="H226" t="str">
            <v>12/06/2020</v>
          </cell>
          <cell r="I226">
            <v>18000</v>
          </cell>
          <cell r="J226">
            <v>18000</v>
          </cell>
          <cell r="K226">
            <v>150</v>
          </cell>
          <cell r="L226">
            <v>120</v>
          </cell>
          <cell r="M226" t="str">
            <v>Und</v>
          </cell>
        </row>
        <row r="227">
          <cell r="A227" t="str">
            <v>1210462</v>
          </cell>
          <cell r="B227" t="str">
            <v>5270</v>
          </cell>
          <cell r="C227" t="str">
            <v>MONEDAS MARMOLEADAS (CAJA:240 UND)</v>
          </cell>
          <cell r="D227" t="str">
            <v>1210462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12/06/2020</v>
          </cell>
          <cell r="I227">
            <v>10080</v>
          </cell>
          <cell r="J227">
            <v>10080</v>
          </cell>
          <cell r="K227">
            <v>240</v>
          </cell>
          <cell r="L227">
            <v>42</v>
          </cell>
          <cell r="M227" t="str">
            <v>Und</v>
          </cell>
        </row>
        <row r="228">
          <cell r="A228" t="str">
            <v>1210464</v>
          </cell>
          <cell r="B228" t="str">
            <v>7086</v>
          </cell>
          <cell r="C228" t="str">
            <v>CHOCOLATE TRIAN OLEAJE GRD (CAJA:200 UN)</v>
          </cell>
          <cell r="D228" t="str">
            <v>1210464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23000</v>
          </cell>
          <cell r="J228">
            <v>23000</v>
          </cell>
          <cell r="K228">
            <v>200</v>
          </cell>
          <cell r="L228">
            <v>115</v>
          </cell>
          <cell r="M228" t="str">
            <v>Und</v>
          </cell>
        </row>
        <row r="229">
          <cell r="A229" t="str">
            <v>1210473</v>
          </cell>
          <cell r="B229" t="str">
            <v>5274</v>
          </cell>
          <cell r="C229" t="str">
            <v>CHOCOLATE HOJA OTOÑO (CAJA:150 UND)</v>
          </cell>
          <cell r="D229" t="str">
            <v>1210473</v>
          </cell>
          <cell r="E229" t="str">
            <v>MATERIAS PRIMAS PLANTA</v>
          </cell>
          <cell r="F229" t="str">
            <v xml:space="preserve">1 CAJA </v>
          </cell>
          <cell r="G229">
            <v>500</v>
          </cell>
          <cell r="H229" t="str">
            <v>26/05/2020</v>
          </cell>
          <cell r="I229">
            <v>10500</v>
          </cell>
          <cell r="J229">
            <v>0</v>
          </cell>
          <cell r="K229">
            <v>150</v>
          </cell>
          <cell r="L229">
            <v>0</v>
          </cell>
          <cell r="M229" t="str">
            <v>Und</v>
          </cell>
        </row>
        <row r="230">
          <cell r="A230" t="str">
            <v>1210482</v>
          </cell>
          <cell r="B230" t="str">
            <v>5580</v>
          </cell>
          <cell r="C230" t="str">
            <v>HUEVO ENTERO PASTERI INNOVO (CAJA:10 K)</v>
          </cell>
          <cell r="D230" t="str">
            <v>1210482</v>
          </cell>
          <cell r="E230" t="str">
            <v>MATERIAS PRIMAS PLANTA</v>
          </cell>
          <cell r="F230" t="str">
            <v>1 CAJA</v>
          </cell>
          <cell r="G230">
            <v>500</v>
          </cell>
          <cell r="H230" t="str">
            <v>12/06/2020</v>
          </cell>
          <cell r="I230" t="e">
            <v>#N/A</v>
          </cell>
          <cell r="J230">
            <v>19780</v>
          </cell>
          <cell r="K230">
            <v>10000</v>
          </cell>
          <cell r="L230">
            <v>1.978</v>
          </cell>
          <cell r="M230" t="str">
            <v>Gramos</v>
          </cell>
        </row>
        <row r="231">
          <cell r="A231" t="str">
            <v>1210492</v>
          </cell>
          <cell r="B231" t="str">
            <v>5613</v>
          </cell>
          <cell r="C231" t="str">
            <v>CHANTILLY TOP CREAM CHOCOLATE (UND:2 K)</v>
          </cell>
          <cell r="D231" t="str">
            <v>1210492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25/05/2020</v>
          </cell>
          <cell r="I231">
            <v>5323.04</v>
          </cell>
          <cell r="J231">
            <v>5119.6724999999997</v>
          </cell>
          <cell r="K231">
            <v>2000</v>
          </cell>
          <cell r="L231">
            <v>2.55983625</v>
          </cell>
          <cell r="M231" t="str">
            <v>Gramos</v>
          </cell>
        </row>
        <row r="232">
          <cell r="A232" t="str">
            <v>1210494</v>
          </cell>
          <cell r="B232" t="str">
            <v>11352</v>
          </cell>
          <cell r="C232" t="str">
            <v>CUCHARA CHOCOLATE (CAJA: 25 UND)</v>
          </cell>
          <cell r="D232" t="str">
            <v>1210494</v>
          </cell>
          <cell r="E232" t="str">
            <v>MATERIAS PRIMAS PLANTA</v>
          </cell>
          <cell r="F232" t="str">
            <v>1 CAJA</v>
          </cell>
          <cell r="G232">
            <v>500</v>
          </cell>
          <cell r="H232" t="str">
            <v>08/06/2020</v>
          </cell>
          <cell r="I232">
            <v>14975</v>
          </cell>
          <cell r="J232">
            <v>0</v>
          </cell>
          <cell r="K232">
            <v>25</v>
          </cell>
          <cell r="L232">
            <v>0</v>
          </cell>
          <cell r="M232"/>
        </row>
        <row r="233">
          <cell r="A233" t="str">
            <v>1210495</v>
          </cell>
          <cell r="B233" t="str">
            <v>12616</v>
          </cell>
          <cell r="C233" t="str">
            <v>CHOCOLATE TRIANGULO CURVO (CAJA:150 UND)</v>
          </cell>
          <cell r="D233" t="str">
            <v>1210495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12/06/2020</v>
          </cell>
          <cell r="I233">
            <v>12946</v>
          </cell>
          <cell r="J233">
            <v>12946</v>
          </cell>
          <cell r="K233">
            <v>150</v>
          </cell>
          <cell r="L233">
            <v>86.306666666666672</v>
          </cell>
          <cell r="M233" t="str">
            <v>Und</v>
          </cell>
        </row>
        <row r="234">
          <cell r="A234" t="str">
            <v>1210496</v>
          </cell>
          <cell r="B234" t="str">
            <v>14216</v>
          </cell>
          <cell r="C234" t="str">
            <v>MONEDAS ONDEADAS COMBIN (CAJA:240 UND)</v>
          </cell>
          <cell r="D234" t="str">
            <v>1210496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03/12/2019</v>
          </cell>
          <cell r="I234" t="e">
            <v>#N/A</v>
          </cell>
          <cell r="J234">
            <v>0</v>
          </cell>
          <cell r="K234">
            <v>240</v>
          </cell>
          <cell r="L234">
            <v>0</v>
          </cell>
          <cell r="M234"/>
        </row>
        <row r="235">
          <cell r="A235" t="str">
            <v>1210497</v>
          </cell>
          <cell r="B235" t="str">
            <v>16693</v>
          </cell>
          <cell r="C235" t="str">
            <v>COBERTURA CHOCO LECHE VENEZUEL (PAQ:1 K)</v>
          </cell>
          <cell r="D235" t="str">
            <v>1210497</v>
          </cell>
          <cell r="E235" t="str">
            <v>MATERIAS PRIMAS PLANTA</v>
          </cell>
          <cell r="F235" t="str">
            <v>1 PAQUETE</v>
          </cell>
          <cell r="G235">
            <v>500</v>
          </cell>
          <cell r="H235" t="str">
            <v>09/06/2020</v>
          </cell>
          <cell r="I235" t="e">
            <v>#N/A</v>
          </cell>
          <cell r="J235">
            <v>0</v>
          </cell>
          <cell r="K235">
            <v>1000</v>
          </cell>
          <cell r="L235">
            <v>0</v>
          </cell>
          <cell r="M235" t="str">
            <v>Gramos</v>
          </cell>
        </row>
        <row r="236">
          <cell r="A236" t="str">
            <v>1212410</v>
          </cell>
          <cell r="B236" t="str">
            <v>5623</v>
          </cell>
          <cell r="C236" t="str">
            <v>PRESERVANTE 1047S (PAQ=5 KILO)</v>
          </cell>
          <cell r="D236" t="str">
            <v>1212410</v>
          </cell>
          <cell r="E236" t="str">
            <v>MATERIAS PRIMAS PLANTA</v>
          </cell>
          <cell r="F236" t="str">
            <v>1 KILO</v>
          </cell>
          <cell r="G236">
            <v>500</v>
          </cell>
          <cell r="H236" t="str">
            <v>10/06/2020</v>
          </cell>
          <cell r="I236">
            <v>25491.79</v>
          </cell>
          <cell r="J236">
            <v>49514.96</v>
          </cell>
          <cell r="K236">
            <v>5000</v>
          </cell>
          <cell r="L236">
            <v>9.9029919999999994</v>
          </cell>
          <cell r="M236" t="str">
            <v>Gramos</v>
          </cell>
        </row>
        <row r="237">
          <cell r="A237" t="str">
            <v>1212412</v>
          </cell>
          <cell r="B237" t="str">
            <v>5624</v>
          </cell>
          <cell r="C237" t="str">
            <v>PRESERVANTE 1017S (PAQ=5 KILO)</v>
          </cell>
          <cell r="D237" t="str">
            <v>1212412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29/04/2020</v>
          </cell>
          <cell r="I237">
            <v>33757.9</v>
          </cell>
          <cell r="J237">
            <v>58343.15</v>
          </cell>
          <cell r="K237">
            <v>5000</v>
          </cell>
          <cell r="L237">
            <v>11.66863</v>
          </cell>
          <cell r="M237" t="str">
            <v>Gramos</v>
          </cell>
        </row>
        <row r="238">
          <cell r="A238" t="str">
            <v>1212437</v>
          </cell>
          <cell r="B238" t="str">
            <v>5625</v>
          </cell>
          <cell r="C238" t="str">
            <v>PRESERVANTE MIXTO (UND:17 K)</v>
          </cell>
          <cell r="D238" t="str">
            <v>1212437</v>
          </cell>
          <cell r="E238" t="str">
            <v>MATERIAS PRIMAS PLANTA</v>
          </cell>
          <cell r="F238" t="str">
            <v>1 UND</v>
          </cell>
          <cell r="G238">
            <v>500</v>
          </cell>
          <cell r="H238" t="str">
            <v>13/06/2020</v>
          </cell>
          <cell r="I238">
            <v>61710</v>
          </cell>
          <cell r="J238">
            <v>73610</v>
          </cell>
          <cell r="K238">
            <v>17000</v>
          </cell>
          <cell r="L238">
            <v>4.33</v>
          </cell>
          <cell r="M238" t="str">
            <v>Gramos</v>
          </cell>
        </row>
        <row r="239">
          <cell r="A239" t="str">
            <v>1212438</v>
          </cell>
          <cell r="B239" t="str">
            <v>16435</v>
          </cell>
          <cell r="C239" t="str">
            <v>ESTABILIZANTE FRUTAS (SACO:25 K) 97178</v>
          </cell>
          <cell r="D239" t="str">
            <v>1212438</v>
          </cell>
          <cell r="E239" t="str">
            <v>MATERIAS PRIMAS PLANTA</v>
          </cell>
          <cell r="F239" t="str">
            <v>1 SACO</v>
          </cell>
          <cell r="G239">
            <v>500</v>
          </cell>
          <cell r="H239" t="str">
            <v>22/04/2020</v>
          </cell>
          <cell r="I239">
            <v>135625</v>
          </cell>
          <cell r="J239">
            <v>0</v>
          </cell>
          <cell r="K239">
            <v>25000</v>
          </cell>
          <cell r="L239">
            <v>0</v>
          </cell>
          <cell r="M239" t="str">
            <v>Gramos</v>
          </cell>
        </row>
        <row r="240">
          <cell r="A240" t="str">
            <v>1310108</v>
          </cell>
          <cell r="B240" t="str">
            <v>16364</v>
          </cell>
          <cell r="C240" t="str">
            <v>LECHE AZUL DOS PINOS (CAJA: 12 UND)</v>
          </cell>
          <cell r="D240" t="str">
            <v>1310108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06/04/2020</v>
          </cell>
          <cell r="I240">
            <v>471.95</v>
          </cell>
          <cell r="J240">
            <v>0</v>
          </cell>
          <cell r="K240"/>
          <cell r="L240" t="e">
            <v>#DIV/0!</v>
          </cell>
          <cell r="M240"/>
        </row>
        <row r="241">
          <cell r="A241" t="str">
            <v>1700001</v>
          </cell>
          <cell r="B241" t="str">
            <v>5653</v>
          </cell>
          <cell r="C241" t="str">
            <v>SABORIZANTE LIMON ESPAÑA (KILO)</v>
          </cell>
          <cell r="D241" t="str">
            <v>1700001</v>
          </cell>
          <cell r="E241" t="str">
            <v>MATERIAS PRIMAS PLANTA</v>
          </cell>
          <cell r="F241" t="str">
            <v>1 KILO</v>
          </cell>
          <cell r="G241">
            <v>500</v>
          </cell>
          <cell r="H241" t="str">
            <v>26/02/2020</v>
          </cell>
          <cell r="I241">
            <v>26466</v>
          </cell>
          <cell r="J241">
            <v>0</v>
          </cell>
          <cell r="K241">
            <v>1000</v>
          </cell>
          <cell r="L241">
            <v>0</v>
          </cell>
          <cell r="M241" t="str">
            <v>Gramos</v>
          </cell>
        </row>
        <row r="242">
          <cell r="A242" t="str">
            <v>1730535</v>
          </cell>
          <cell r="B242" t="str">
            <v>9814</v>
          </cell>
          <cell r="C242" t="str">
            <v>MANZANA PICADA (PAQ:1 K)</v>
          </cell>
          <cell r="D242" t="str">
            <v>1730535</v>
          </cell>
          <cell r="E242" t="str">
            <v>MATERIAS PRIMAS PLANTA</v>
          </cell>
          <cell r="F242" t="str">
            <v>1 PAQ</v>
          </cell>
          <cell r="G242">
            <v>500</v>
          </cell>
          <cell r="H242" t="str">
            <v>03/02/2020</v>
          </cell>
          <cell r="I242" t="e">
            <v>#N/A</v>
          </cell>
          <cell r="J242">
            <v>0</v>
          </cell>
          <cell r="K242">
            <v>1000</v>
          </cell>
          <cell r="L242">
            <v>0</v>
          </cell>
          <cell r="M242"/>
        </row>
        <row r="243">
          <cell r="A243" t="str">
            <v>1730579</v>
          </cell>
          <cell r="B243" t="str">
            <v>5389</v>
          </cell>
          <cell r="C243" t="str">
            <v>CHULETAS KILO</v>
          </cell>
          <cell r="D243" t="str">
            <v>1730579</v>
          </cell>
          <cell r="E243" t="str">
            <v>MATERIAS PRIMAS PLANTA</v>
          </cell>
          <cell r="F243" t="str">
            <v>1 KILO</v>
          </cell>
          <cell r="G243">
            <v>500</v>
          </cell>
          <cell r="H243" t="str">
            <v>30/05/2020</v>
          </cell>
          <cell r="I243" t="e">
            <v>#N/A</v>
          </cell>
          <cell r="J243">
            <v>3795</v>
          </cell>
          <cell r="K243">
            <v>1000</v>
          </cell>
          <cell r="L243">
            <v>3.7949999999999999</v>
          </cell>
          <cell r="M243" t="str">
            <v>Gramos</v>
          </cell>
        </row>
        <row r="244">
          <cell r="A244" t="str">
            <v>1730580</v>
          </cell>
          <cell r="B244" t="str">
            <v>5373</v>
          </cell>
          <cell r="C244" t="str">
            <v>COSTILLA DE CERDO (PAQ:1 KILO)</v>
          </cell>
          <cell r="D244" t="str">
            <v>1730580</v>
          </cell>
          <cell r="E244" t="str">
            <v>MATERIAS PRIMAS PLANTA</v>
          </cell>
          <cell r="F244" t="str">
            <v>1 PAQUETE</v>
          </cell>
          <cell r="G244">
            <v>500</v>
          </cell>
          <cell r="H244" t="str">
            <v>06/06/2020</v>
          </cell>
          <cell r="I244">
            <v>3995</v>
          </cell>
          <cell r="J244">
            <v>4195</v>
          </cell>
          <cell r="K244">
            <v>1000</v>
          </cell>
          <cell r="L244">
            <v>4.1950000000000003</v>
          </cell>
          <cell r="M244" t="str">
            <v>Gramos</v>
          </cell>
        </row>
        <row r="245">
          <cell r="A245" t="str">
            <v>1730588</v>
          </cell>
          <cell r="B245" t="str">
            <v>5372</v>
          </cell>
          <cell r="C245" t="str">
            <v>LOMO DE AGUJA KILO</v>
          </cell>
          <cell r="D245" t="str">
            <v>1730588</v>
          </cell>
          <cell r="E245" t="str">
            <v>MATERIAS PRIMAS PLANTA</v>
          </cell>
          <cell r="F245" t="str">
            <v>1 KILO</v>
          </cell>
          <cell r="G245">
            <v>500</v>
          </cell>
          <cell r="H245" t="str">
            <v>07/03/2020</v>
          </cell>
          <cell r="I245">
            <v>5690</v>
          </cell>
          <cell r="J245">
            <v>5690</v>
          </cell>
          <cell r="K245">
            <v>1000</v>
          </cell>
          <cell r="L245">
            <v>5.69</v>
          </cell>
          <cell r="M245" t="str">
            <v>Gramos</v>
          </cell>
        </row>
        <row r="246">
          <cell r="A246" t="str">
            <v>1730589</v>
          </cell>
          <cell r="B246" t="str">
            <v>7045</v>
          </cell>
          <cell r="C246" t="str">
            <v>SALCHICHAS KILO</v>
          </cell>
          <cell r="D246" t="str">
            <v>1730589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18/05/2020</v>
          </cell>
          <cell r="I246">
            <v>1850</v>
          </cell>
          <cell r="J246">
            <v>1610</v>
          </cell>
          <cell r="K246">
            <v>1000</v>
          </cell>
          <cell r="L246">
            <v>1.61</v>
          </cell>
          <cell r="M246" t="str">
            <v>Gramos</v>
          </cell>
        </row>
        <row r="247">
          <cell r="A247" t="str">
            <v>1730592</v>
          </cell>
          <cell r="B247" t="str">
            <v>5391</v>
          </cell>
          <cell r="C247" t="str">
            <v>PECHO LIMPIO KILO</v>
          </cell>
          <cell r="D247" t="str">
            <v>1730592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06/06/2020</v>
          </cell>
          <cell r="I247">
            <v>3990</v>
          </cell>
          <cell r="J247">
            <v>4995</v>
          </cell>
          <cell r="K247">
            <v>1000</v>
          </cell>
          <cell r="L247">
            <v>4.9950000000000001</v>
          </cell>
          <cell r="M247" t="str">
            <v>Gramos</v>
          </cell>
        </row>
        <row r="248">
          <cell r="A248" t="str">
            <v>1730594</v>
          </cell>
          <cell r="B248" t="str">
            <v>11359</v>
          </cell>
          <cell r="C248" t="str">
            <v>COSTILLA DE RES</v>
          </cell>
          <cell r="D248" t="str">
            <v>1730594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04/02/2020</v>
          </cell>
          <cell r="I248" t="e">
            <v>#N/A</v>
          </cell>
          <cell r="J248">
            <v>0</v>
          </cell>
          <cell r="K248">
            <v>1000</v>
          </cell>
          <cell r="L248">
            <v>0</v>
          </cell>
          <cell r="M248" t="str">
            <v>Gramos</v>
          </cell>
        </row>
        <row r="249">
          <cell r="A249" t="str">
            <v>1730610</v>
          </cell>
          <cell r="B249" t="str">
            <v>5592</v>
          </cell>
          <cell r="C249" t="str">
            <v>NATILLA GALON (UND:3.785 K)</v>
          </cell>
          <cell r="D249" t="str">
            <v>1730610</v>
          </cell>
          <cell r="E249" t="str">
            <v>MATERIAS PRIMAS PLANTA</v>
          </cell>
          <cell r="F249" t="str">
            <v>1 UND</v>
          </cell>
          <cell r="G249">
            <v>500</v>
          </cell>
          <cell r="H249" t="str">
            <v>30/05/2020</v>
          </cell>
          <cell r="I249">
            <v>5953</v>
          </cell>
          <cell r="J249">
            <v>0</v>
          </cell>
          <cell r="K249">
            <v>3785</v>
          </cell>
          <cell r="L249">
            <v>0</v>
          </cell>
          <cell r="M249" t="str">
            <v>Und</v>
          </cell>
        </row>
        <row r="250">
          <cell r="A250" t="str">
            <v>1730616</v>
          </cell>
          <cell r="B250" t="str">
            <v>5434</v>
          </cell>
          <cell r="C250" t="str">
            <v>REMOLACHA KILO</v>
          </cell>
          <cell r="D250" t="str">
            <v>1730616</v>
          </cell>
          <cell r="E250" t="str">
            <v>MATERIAS PRIMAS PLANTA</v>
          </cell>
          <cell r="F250" t="str">
            <v>1 KILO</v>
          </cell>
          <cell r="G250">
            <v>500</v>
          </cell>
          <cell r="H250" t="str">
            <v>13/06/2020</v>
          </cell>
          <cell r="I250">
            <v>923</v>
          </cell>
          <cell r="J250">
            <v>923</v>
          </cell>
          <cell r="K250">
            <v>1000</v>
          </cell>
          <cell r="L250">
            <v>0.92300000000000004</v>
          </cell>
          <cell r="M250" t="str">
            <v>Gramos</v>
          </cell>
        </row>
        <row r="251">
          <cell r="A251" t="str">
            <v>1730617</v>
          </cell>
          <cell r="B251" t="str">
            <v>5436</v>
          </cell>
          <cell r="C251" t="str">
            <v>REPOLLO VERDE RAYADO KILO</v>
          </cell>
          <cell r="D251" t="str">
            <v>1730617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02/06/2020</v>
          </cell>
          <cell r="I251">
            <v>1384</v>
          </cell>
          <cell r="J251">
            <v>1384</v>
          </cell>
          <cell r="K251">
            <v>1000</v>
          </cell>
          <cell r="L251">
            <v>1.3839999999999999</v>
          </cell>
          <cell r="M251" t="str">
            <v>Gramos</v>
          </cell>
        </row>
        <row r="252">
          <cell r="A252" t="str">
            <v>1730640</v>
          </cell>
          <cell r="B252" t="str">
            <v>5364</v>
          </cell>
          <cell r="C252" t="str">
            <v xml:space="preserve">ALITAS DE POLLO KILO </v>
          </cell>
          <cell r="D252" t="str">
            <v>1730640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05/05/2020</v>
          </cell>
          <cell r="I252">
            <v>2080</v>
          </cell>
          <cell r="J252">
            <v>2200</v>
          </cell>
          <cell r="K252">
            <v>1000</v>
          </cell>
          <cell r="L252">
            <v>2.2000000000000002</v>
          </cell>
          <cell r="M252" t="str">
            <v>Gramos</v>
          </cell>
        </row>
        <row r="253">
          <cell r="A253" t="str">
            <v>1730642</v>
          </cell>
          <cell r="B253" t="str">
            <v>11344</v>
          </cell>
          <cell r="C253" t="str">
            <v>PLATANO VERDE (UND)</v>
          </cell>
          <cell r="D253" t="str">
            <v>1730642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06/06/2020</v>
          </cell>
          <cell r="I253" t="e">
            <v>#N/A</v>
          </cell>
          <cell r="J253">
            <v>195</v>
          </cell>
          <cell r="K253">
            <v>1000</v>
          </cell>
          <cell r="L253">
            <v>0.19500000000000001</v>
          </cell>
          <cell r="M253" t="str">
            <v>Gramos</v>
          </cell>
        </row>
        <row r="254">
          <cell r="A254" t="str">
            <v>1730647</v>
          </cell>
          <cell r="B254" t="str">
            <v>5361</v>
          </cell>
          <cell r="C254" t="str">
            <v>PECHUGA DES FILET LOMITO KILO</v>
          </cell>
          <cell r="D254" t="str">
            <v>1730647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>
            <v>2620</v>
          </cell>
          <cell r="J254">
            <v>0</v>
          </cell>
          <cell r="K254">
            <v>1000</v>
          </cell>
          <cell r="L254">
            <v>0</v>
          </cell>
          <cell r="M254" t="str">
            <v>Gramos</v>
          </cell>
        </row>
        <row r="255">
          <cell r="A255" t="str">
            <v>1730660</v>
          </cell>
          <cell r="B255" t="str">
            <v>5588</v>
          </cell>
          <cell r="C255" t="str">
            <v>QUESO CREMA PANADERO (CAJA: 5 K)</v>
          </cell>
          <cell r="D255" t="str">
            <v>1730660</v>
          </cell>
          <cell r="E255" t="str">
            <v>MATERIAS PRIMAS PLANTA</v>
          </cell>
          <cell r="F255" t="str">
            <v>1 CAJA</v>
          </cell>
          <cell r="G255">
            <v>500</v>
          </cell>
          <cell r="H255" t="str">
            <v>15/06/2020</v>
          </cell>
          <cell r="I255">
            <v>12950</v>
          </cell>
          <cell r="J255">
            <v>15381</v>
          </cell>
          <cell r="K255">
            <v>5000</v>
          </cell>
          <cell r="L255">
            <v>3.0762</v>
          </cell>
          <cell r="M255" t="str">
            <v>Gramos</v>
          </cell>
        </row>
        <row r="256">
          <cell r="A256" t="str">
            <v>1730663</v>
          </cell>
          <cell r="B256" t="str">
            <v>5281</v>
          </cell>
          <cell r="C256" t="str">
            <v>SALSA AJI AMARILLO DOYPACK  (UND:460g)</v>
          </cell>
          <cell r="D256" t="str">
            <v>1730663</v>
          </cell>
          <cell r="E256" t="str">
            <v>MATERIAS PRIMAS PLANTA</v>
          </cell>
          <cell r="F256" t="str">
            <v>1 UND</v>
          </cell>
          <cell r="G256">
            <v>500</v>
          </cell>
          <cell r="H256" t="str">
            <v>12/06/2020</v>
          </cell>
          <cell r="I256">
            <v>3228.98</v>
          </cell>
          <cell r="J256">
            <v>0</v>
          </cell>
          <cell r="K256">
            <v>460</v>
          </cell>
          <cell r="L256">
            <v>0</v>
          </cell>
          <cell r="M256"/>
        </row>
        <row r="257">
          <cell r="A257" t="str">
            <v>1730670</v>
          </cell>
          <cell r="B257" t="str">
            <v>12491</v>
          </cell>
          <cell r="C257" t="str">
            <v>BOLITA FALAFEL CRUDA (PAQ:100 UND)</v>
          </cell>
          <cell r="D257" t="str">
            <v>1730670</v>
          </cell>
          <cell r="E257" t="str">
            <v>MATERIAS PRIMAS PLANTA</v>
          </cell>
          <cell r="F257" t="str">
            <v>1 PAQUETE</v>
          </cell>
          <cell r="G257">
            <v>500</v>
          </cell>
          <cell r="H257" t="str">
            <v>19/05/2020</v>
          </cell>
          <cell r="I257">
            <v>7000</v>
          </cell>
          <cell r="J257">
            <v>7000</v>
          </cell>
          <cell r="K257">
            <v>100</v>
          </cell>
          <cell r="L257">
            <v>70</v>
          </cell>
          <cell r="M257"/>
        </row>
        <row r="258">
          <cell r="A258" t="str">
            <v>1840640</v>
          </cell>
          <cell r="B258" t="str">
            <v>5678</v>
          </cell>
          <cell r="C258" t="str">
            <v>BOLSAS TRANSP EXTRAGRANDE 37x55 KILO</v>
          </cell>
          <cell r="D258" t="str">
            <v>1840640</v>
          </cell>
          <cell r="E258" t="str">
            <v>EMPAQUES PLANTA</v>
          </cell>
          <cell r="F258" t="str">
            <v>1 KILO</v>
          </cell>
          <cell r="G258">
            <v>500</v>
          </cell>
          <cell r="H258" t="str">
            <v>09/06/2020</v>
          </cell>
          <cell r="I258">
            <v>1500</v>
          </cell>
          <cell r="J258">
            <v>2000</v>
          </cell>
          <cell r="K258">
            <v>150</v>
          </cell>
          <cell r="L258">
            <v>13.333333333333334</v>
          </cell>
          <cell r="M258" t="str">
            <v>Gramos</v>
          </cell>
        </row>
        <row r="259">
          <cell r="A259" t="str">
            <v>1900001</v>
          </cell>
          <cell r="B259" t="str">
            <v>7041</v>
          </cell>
          <cell r="C259" t="str">
            <v>QUINUA BLANCA (SACO:25 Kg)</v>
          </cell>
          <cell r="D259" t="str">
            <v>1900001</v>
          </cell>
          <cell r="E259" t="str">
            <v>MATERIAS PRIMAS PLANTA</v>
          </cell>
          <cell r="F259" t="str">
            <v>1 SACO</v>
          </cell>
          <cell r="G259">
            <v>500</v>
          </cell>
          <cell r="H259" t="str">
            <v>17/02/2020</v>
          </cell>
          <cell r="I259">
            <v>69403</v>
          </cell>
          <cell r="J259">
            <v>137.5</v>
          </cell>
          <cell r="K259">
            <v>25000</v>
          </cell>
          <cell r="L259">
            <v>5.4999999999999997E-3</v>
          </cell>
          <cell r="M259" t="str">
            <v>Gramos</v>
          </cell>
        </row>
        <row r="260">
          <cell r="A260" t="str">
            <v>1950387</v>
          </cell>
          <cell r="B260" t="str">
            <v>5863</v>
          </cell>
          <cell r="C260" t="str">
            <v>CONO P/AGUA (CAJA:25 PAQ)</v>
          </cell>
          <cell r="D260" t="str">
            <v>1950387</v>
          </cell>
          <cell r="E260" t="str">
            <v>EMPAQUES PLANTA</v>
          </cell>
          <cell r="F260" t="str">
            <v>1 CAJA</v>
          </cell>
          <cell r="G260">
            <v>500</v>
          </cell>
          <cell r="H260" t="str">
            <v>10/06/2020</v>
          </cell>
          <cell r="I260">
            <v>28400</v>
          </cell>
          <cell r="J260">
            <v>29687.5</v>
          </cell>
          <cell r="K260"/>
          <cell r="L260" t="e">
            <v>#DIV/0!</v>
          </cell>
          <cell r="M260"/>
        </row>
        <row r="261">
          <cell r="A261" t="str">
            <v>1950409</v>
          </cell>
          <cell r="B261" t="str">
            <v>5779</v>
          </cell>
          <cell r="C261" t="str">
            <v>TAPA P/FONDO CAJA BLANCA (PAQ:100 UND)</v>
          </cell>
          <cell r="D261" t="str">
            <v>1950409</v>
          </cell>
          <cell r="E261" t="str">
            <v>EMPAQUES PLANTA</v>
          </cell>
          <cell r="F261" t="str">
            <v>1 PAQUETE</v>
          </cell>
          <cell r="G261">
            <v>500</v>
          </cell>
          <cell r="H261" t="str">
            <v>29/05/2020</v>
          </cell>
          <cell r="I261">
            <v>5725</v>
          </cell>
          <cell r="J261">
            <v>6900</v>
          </cell>
          <cell r="K261">
            <v>100</v>
          </cell>
          <cell r="L261">
            <v>69</v>
          </cell>
          <cell r="M261"/>
        </row>
        <row r="262">
          <cell r="A262" t="str">
            <v>1950672</v>
          </cell>
          <cell r="B262" t="str">
            <v>5809</v>
          </cell>
          <cell r="C262" t="str">
            <v>CONT.48 ON TRAN.TAPA PLANA (CAJA:200UND)</v>
          </cell>
          <cell r="D262" t="str">
            <v>1950672</v>
          </cell>
          <cell r="E262" t="str">
            <v>EMPAQUES PLANTA</v>
          </cell>
          <cell r="F262" t="str">
            <v>1 CAJA</v>
          </cell>
          <cell r="G262">
            <v>500</v>
          </cell>
          <cell r="H262" t="str">
            <v>16/06/2020</v>
          </cell>
          <cell r="I262">
            <v>44000</v>
          </cell>
          <cell r="J262">
            <v>60104</v>
          </cell>
          <cell r="K262">
            <v>200</v>
          </cell>
          <cell r="L262">
            <v>300.52</v>
          </cell>
          <cell r="M262" t="str">
            <v>Und</v>
          </cell>
        </row>
        <row r="263">
          <cell r="A263" t="str">
            <v>1950682</v>
          </cell>
          <cell r="B263" t="str">
            <v>5815</v>
          </cell>
          <cell r="C263" t="str">
            <v>CONTEN LBH 692 PRALINE (CAJA:200 UND)</v>
          </cell>
          <cell r="D263" t="str">
            <v>1950682</v>
          </cell>
          <cell r="E263" t="str">
            <v>EMPAQUES PLANTA</v>
          </cell>
          <cell r="F263" t="str">
            <v xml:space="preserve">1 CAJA </v>
          </cell>
          <cell r="G263">
            <v>500</v>
          </cell>
          <cell r="H263" t="str">
            <v>12/06/2020</v>
          </cell>
          <cell r="I263">
            <v>45124</v>
          </cell>
          <cell r="J263">
            <v>58524</v>
          </cell>
          <cell r="K263">
            <v>200</v>
          </cell>
          <cell r="L263">
            <v>292.62</v>
          </cell>
          <cell r="M263" t="str">
            <v>Und</v>
          </cell>
        </row>
        <row r="264">
          <cell r="A264" t="str">
            <v>1950692</v>
          </cell>
          <cell r="B264" t="str">
            <v>10370</v>
          </cell>
          <cell r="C264" t="str">
            <v>ORLA CARTON 10" DORADA (UND)</v>
          </cell>
          <cell r="D264" t="str">
            <v>1950692</v>
          </cell>
          <cell r="E264" t="str">
            <v>EMPAQUES PLANTA</v>
          </cell>
          <cell r="F264" t="str">
            <v>1 UND</v>
          </cell>
          <cell r="G264">
            <v>500</v>
          </cell>
          <cell r="H264" t="str">
            <v>12/06/2020</v>
          </cell>
          <cell r="I264">
            <v>121</v>
          </cell>
          <cell r="J264">
            <v>137</v>
          </cell>
          <cell r="K264">
            <v>1</v>
          </cell>
          <cell r="L264">
            <v>137</v>
          </cell>
          <cell r="M264" t="str">
            <v>Und</v>
          </cell>
        </row>
        <row r="265">
          <cell r="A265" t="str">
            <v>1950693</v>
          </cell>
          <cell r="B265" t="str">
            <v>11368</v>
          </cell>
          <cell r="C265" t="str">
            <v>ORLA #9  DORADA (UND)</v>
          </cell>
          <cell r="D265" t="str">
            <v>1950693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115</v>
          </cell>
          <cell r="J265">
            <v>135</v>
          </cell>
          <cell r="K265">
            <v>1</v>
          </cell>
          <cell r="L265">
            <v>135</v>
          </cell>
          <cell r="M265" t="str">
            <v>Und</v>
          </cell>
        </row>
        <row r="266">
          <cell r="A266" t="str">
            <v>1950699</v>
          </cell>
          <cell r="B266" t="str">
            <v>5734</v>
          </cell>
          <cell r="C266" t="str">
            <v>BASE PARA ROSQUETE (UND)</v>
          </cell>
          <cell r="D266" t="str">
            <v>1950699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15/06/2020</v>
          </cell>
          <cell r="I266">
            <v>128</v>
          </cell>
          <cell r="J266">
            <v>128</v>
          </cell>
          <cell r="K266">
            <v>1</v>
          </cell>
          <cell r="L266">
            <v>128</v>
          </cell>
          <cell r="M266" t="str">
            <v>Und</v>
          </cell>
        </row>
        <row r="267">
          <cell r="A267" t="str">
            <v>1950702</v>
          </cell>
          <cell r="B267" t="str">
            <v>12144</v>
          </cell>
          <cell r="C267" t="str">
            <v>BOLSA 12x18 TRANSP KILO</v>
          </cell>
          <cell r="D267" t="str">
            <v>1950702</v>
          </cell>
          <cell r="E267" t="str">
            <v>EMPAQUES PLANTA</v>
          </cell>
          <cell r="F267" t="str">
            <v xml:space="preserve">1 KILO </v>
          </cell>
          <cell r="G267">
            <v>500</v>
          </cell>
          <cell r="H267" t="str">
            <v>18/05/2020</v>
          </cell>
          <cell r="I267">
            <v>1500</v>
          </cell>
          <cell r="J267">
            <v>2000</v>
          </cell>
          <cell r="K267">
            <v>125</v>
          </cell>
          <cell r="L267">
            <v>16</v>
          </cell>
          <cell r="M267" t="str">
            <v>Und</v>
          </cell>
        </row>
        <row r="268">
          <cell r="A268" t="str">
            <v>1950703</v>
          </cell>
          <cell r="B268" t="str">
            <v>5750</v>
          </cell>
          <cell r="C268" t="str">
            <v>BOLSA IMP. SPOON CAMI 8*16 KILO</v>
          </cell>
          <cell r="D268" t="str">
            <v>1950703</v>
          </cell>
          <cell r="E268" t="str">
            <v>EMPAQUES PLANTA</v>
          </cell>
          <cell r="F268" t="str">
            <v>1 KILO</v>
          </cell>
          <cell r="G268">
            <v>500</v>
          </cell>
          <cell r="H268" t="str">
            <v>14/02/2020</v>
          </cell>
          <cell r="I268" t="e">
            <v>#N/A</v>
          </cell>
          <cell r="J268">
            <v>0</v>
          </cell>
          <cell r="K268"/>
          <cell r="L268" t="e">
            <v>#DIV/0!</v>
          </cell>
          <cell r="M268" t="str">
            <v>Gramos</v>
          </cell>
        </row>
        <row r="269">
          <cell r="A269" t="str">
            <v>1950704</v>
          </cell>
          <cell r="B269" t="str">
            <v>12088</v>
          </cell>
          <cell r="C269" t="str">
            <v>BOLSA 5x8 TRANSPARENTE KILO</v>
          </cell>
          <cell r="D269" t="str">
            <v>1950704</v>
          </cell>
          <cell r="E269" t="str">
            <v>EMPAQUES PLANTA</v>
          </cell>
          <cell r="F269" t="str">
            <v xml:space="preserve">1 KILO </v>
          </cell>
          <cell r="G269">
            <v>500</v>
          </cell>
          <cell r="H269" t="str">
            <v>05/06/2020</v>
          </cell>
          <cell r="I269">
            <v>1500</v>
          </cell>
          <cell r="J269">
            <v>0</v>
          </cell>
          <cell r="K269">
            <v>500</v>
          </cell>
          <cell r="L269">
            <v>0</v>
          </cell>
          <cell r="M269" t="str">
            <v>Gramos</v>
          </cell>
        </row>
        <row r="270">
          <cell r="A270" t="str">
            <v>1950705</v>
          </cell>
          <cell r="B270" t="str">
            <v>12089</v>
          </cell>
          <cell r="C270" t="str">
            <v>BOLSA 8x12 TRANSPARENTE KILO</v>
          </cell>
          <cell r="D270" t="str">
            <v>1950705</v>
          </cell>
          <cell r="E270" t="str">
            <v>EMPAQUES PLANTA</v>
          </cell>
          <cell r="F270" t="str">
            <v xml:space="preserve">1 KILO  </v>
          </cell>
          <cell r="G270">
            <v>500</v>
          </cell>
          <cell r="H270" t="str">
            <v>09/06/2020</v>
          </cell>
          <cell r="I270">
            <v>1500</v>
          </cell>
          <cell r="J270">
            <v>2000</v>
          </cell>
          <cell r="K270">
            <v>200</v>
          </cell>
          <cell r="L270">
            <v>10</v>
          </cell>
          <cell r="M270" t="str">
            <v>Und</v>
          </cell>
        </row>
        <row r="271">
          <cell r="A271" t="str">
            <v>1950708</v>
          </cell>
          <cell r="B271" t="str">
            <v>5684</v>
          </cell>
          <cell r="C271" t="str">
            <v>BOLSA 17x25 TRANSP KILO</v>
          </cell>
          <cell r="D271" t="str">
            <v>1950708</v>
          </cell>
          <cell r="E271" t="str">
            <v>EMPAQUES PLANTA</v>
          </cell>
          <cell r="F271" t="str">
            <v>1 KILO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2000</v>
          </cell>
          <cell r="K271">
            <v>42</v>
          </cell>
          <cell r="L271">
            <v>47.61904761904762</v>
          </cell>
          <cell r="M271" t="str">
            <v>Und</v>
          </cell>
        </row>
        <row r="272">
          <cell r="A272" t="str">
            <v>1950715</v>
          </cell>
          <cell r="B272" t="str">
            <v>5807</v>
          </cell>
          <cell r="C272" t="str">
            <v>CAPSULA # 2 BLANCA (PAQ:500 UND)</v>
          </cell>
          <cell r="D272" t="str">
            <v>1950715</v>
          </cell>
          <cell r="E272" t="str">
            <v>EMPAQUES PLANTA</v>
          </cell>
          <cell r="F272" t="str">
            <v>1 PAQUETE</v>
          </cell>
          <cell r="G272">
            <v>500</v>
          </cell>
          <cell r="H272" t="str">
            <v>31/03/2020</v>
          </cell>
          <cell r="I272" t="e">
            <v>#N/A</v>
          </cell>
          <cell r="J272">
            <v>0</v>
          </cell>
          <cell r="K272">
            <v>500</v>
          </cell>
          <cell r="L272">
            <v>0</v>
          </cell>
          <cell r="M272"/>
        </row>
        <row r="273">
          <cell r="A273" t="str">
            <v>1950716</v>
          </cell>
          <cell r="B273" t="str">
            <v>5823</v>
          </cell>
          <cell r="C273" t="str">
            <v>BANDEJA  94121 24 OZ (CAJA:200 UND)</v>
          </cell>
          <cell r="D273" t="str">
            <v>1950716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19/05/2020</v>
          </cell>
          <cell r="I273">
            <v>23908</v>
          </cell>
          <cell r="J273">
            <v>35390</v>
          </cell>
          <cell r="K273">
            <v>200</v>
          </cell>
          <cell r="L273">
            <v>176.95</v>
          </cell>
          <cell r="M273" t="str">
            <v>Und</v>
          </cell>
        </row>
        <row r="274">
          <cell r="A274" t="str">
            <v>1950725</v>
          </cell>
          <cell r="B274" t="str">
            <v>5792</v>
          </cell>
          <cell r="C274" t="str">
            <v>CAJA TROQUELADA # 25 (UND)</v>
          </cell>
          <cell r="D274" t="str">
            <v>1950725</v>
          </cell>
          <cell r="E274" t="str">
            <v>EMPAQUES PLANTA</v>
          </cell>
          <cell r="F274" t="str">
            <v>1 UND</v>
          </cell>
          <cell r="G274">
            <v>500</v>
          </cell>
          <cell r="H274" t="str">
            <v>27/03/2020</v>
          </cell>
          <cell r="I274">
            <v>1950</v>
          </cell>
          <cell r="J274">
            <v>3.14</v>
          </cell>
          <cell r="K274">
            <v>1</v>
          </cell>
          <cell r="L274">
            <v>3.14</v>
          </cell>
          <cell r="M274" t="str">
            <v>Und</v>
          </cell>
        </row>
        <row r="275">
          <cell r="A275" t="str">
            <v>1950729</v>
          </cell>
          <cell r="B275" t="str">
            <v>5789</v>
          </cell>
          <cell r="C275" t="str">
            <v>CAJA BLANCA MEDIANA (PAQ:100 UND)</v>
          </cell>
          <cell r="D275" t="str">
            <v>1950729</v>
          </cell>
          <cell r="E275" t="str">
            <v>EMPAQUES PLANTA</v>
          </cell>
          <cell r="F275" t="str">
            <v>1 PAQUETE</v>
          </cell>
          <cell r="G275">
            <v>500</v>
          </cell>
          <cell r="H275" t="str">
            <v>27/03/2020</v>
          </cell>
          <cell r="I275">
            <v>4300</v>
          </cell>
          <cell r="J275">
            <v>4975</v>
          </cell>
          <cell r="K275">
            <v>100</v>
          </cell>
          <cell r="L275">
            <v>49.75</v>
          </cell>
          <cell r="M275" t="str">
            <v>Und</v>
          </cell>
        </row>
        <row r="276">
          <cell r="A276" t="str">
            <v>1950730</v>
          </cell>
          <cell r="B276" t="str">
            <v>5788</v>
          </cell>
          <cell r="C276" t="str">
            <v>CAJA BLANCA PEQUEÑA (PAQ:100 UND)</v>
          </cell>
          <cell r="D276" t="str">
            <v>1950730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12/06/2020</v>
          </cell>
          <cell r="I276">
            <v>2625</v>
          </cell>
          <cell r="J276">
            <v>3050</v>
          </cell>
          <cell r="K276">
            <v>100</v>
          </cell>
          <cell r="L276">
            <v>30.5</v>
          </cell>
          <cell r="M276" t="str">
            <v>Und</v>
          </cell>
        </row>
        <row r="277">
          <cell r="A277" t="str">
            <v>1950731</v>
          </cell>
          <cell r="B277" t="str">
            <v>5805</v>
          </cell>
          <cell r="C277" t="str">
            <v>CAPSULA # 3 LOGO (PAQ:1000 UND)</v>
          </cell>
          <cell r="D277" t="str">
            <v>1950731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15/06/2020</v>
          </cell>
          <cell r="I277">
            <v>7.9</v>
          </cell>
          <cell r="J277">
            <v>9850</v>
          </cell>
          <cell r="K277">
            <v>1000</v>
          </cell>
          <cell r="L277">
            <v>9.85</v>
          </cell>
          <cell r="M277"/>
        </row>
        <row r="278">
          <cell r="A278" t="str">
            <v>1950732</v>
          </cell>
          <cell r="B278" t="str">
            <v>13561</v>
          </cell>
          <cell r="C278" t="str">
            <v>CAPSULA # 3 BLANCA (UND)</v>
          </cell>
          <cell r="D278" t="str">
            <v>1950732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16/12/2019</v>
          </cell>
          <cell r="I278" t="e">
            <v>#N/A</v>
          </cell>
          <cell r="J278">
            <v>0</v>
          </cell>
          <cell r="K278">
            <v>1</v>
          </cell>
          <cell r="L278">
            <v>0</v>
          </cell>
          <cell r="M278"/>
        </row>
        <row r="279">
          <cell r="A279" t="str">
            <v>1950733</v>
          </cell>
          <cell r="B279" t="str">
            <v>12624</v>
          </cell>
          <cell r="C279" t="str">
            <v>CAPSULA # 10 BLANCA (PAQ:500 UND)</v>
          </cell>
          <cell r="D279" t="str">
            <v>1950733</v>
          </cell>
          <cell r="E279" t="str">
            <v>EMPAQUES PLANTA</v>
          </cell>
          <cell r="F279" t="str">
            <v>1 PAQUETE</v>
          </cell>
          <cell r="G279">
            <v>500</v>
          </cell>
          <cell r="H279" t="str">
            <v>18/04/2020</v>
          </cell>
          <cell r="I279">
            <v>2976.7</v>
          </cell>
          <cell r="J279">
            <v>3484.88</v>
          </cell>
          <cell r="K279">
            <v>500</v>
          </cell>
          <cell r="L279">
            <v>6.96976</v>
          </cell>
          <cell r="M279" t="str">
            <v>Und</v>
          </cell>
        </row>
        <row r="280">
          <cell r="A280" t="str">
            <v>1950735</v>
          </cell>
          <cell r="B280" t="str">
            <v>5806</v>
          </cell>
          <cell r="C280" t="str">
            <v>CAPSULA # 5 LOGO (PAQ:1000 UND)</v>
          </cell>
          <cell r="D280" t="str">
            <v>1950735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12/06/2020</v>
          </cell>
          <cell r="I280">
            <v>9911</v>
          </cell>
          <cell r="J280">
            <v>11555</v>
          </cell>
          <cell r="K280">
            <v>1000</v>
          </cell>
          <cell r="L280">
            <v>11.555</v>
          </cell>
          <cell r="M280" t="str">
            <v>Und</v>
          </cell>
        </row>
        <row r="281">
          <cell r="A281" t="str">
            <v>1959752</v>
          </cell>
          <cell r="B281" t="str">
            <v>5787</v>
          </cell>
          <cell r="C281" t="str">
            <v>CAJA BLANCA MINI (PAQ:100 UND)</v>
          </cell>
          <cell r="D281" t="str">
            <v>1959752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15/06/2020</v>
          </cell>
          <cell r="I281">
            <v>19.61</v>
          </cell>
          <cell r="J281">
            <v>2575</v>
          </cell>
          <cell r="K281">
            <v>100</v>
          </cell>
          <cell r="L281">
            <v>25.75</v>
          </cell>
          <cell r="M281" t="str">
            <v>Und</v>
          </cell>
        </row>
        <row r="282">
          <cell r="A282" t="str">
            <v>1950756</v>
          </cell>
          <cell r="B282" t="str">
            <v>5722</v>
          </cell>
          <cell r="C282" t="str">
            <v>BANDEJA ALUMINIO# 4040 6P (CAJA:250 UND)</v>
          </cell>
          <cell r="D282" t="str">
            <v>1950756</v>
          </cell>
          <cell r="E282" t="str">
            <v>EMPAQUES PLANTA</v>
          </cell>
          <cell r="F282" t="str">
            <v>1 CAJA</v>
          </cell>
          <cell r="G282">
            <v>500</v>
          </cell>
          <cell r="H282" t="str">
            <v>15/06/2020</v>
          </cell>
          <cell r="I282">
            <v>53318</v>
          </cell>
          <cell r="J282">
            <v>314.67599999999999</v>
          </cell>
          <cell r="K282">
            <v>1</v>
          </cell>
          <cell r="L282">
            <v>314.67599999999999</v>
          </cell>
          <cell r="M282" t="str">
            <v>Und</v>
          </cell>
        </row>
        <row r="283">
          <cell r="A283" t="str">
            <v>1950767</v>
          </cell>
          <cell r="B283" t="str">
            <v>5842</v>
          </cell>
          <cell r="C283" t="str">
            <v>PAPEL ALUMINIO 12 * 1000 (CAJA)</v>
          </cell>
          <cell r="D283" t="str">
            <v>1950767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16/01/2020</v>
          </cell>
          <cell r="I283">
            <v>16934</v>
          </cell>
          <cell r="J283">
            <v>0</v>
          </cell>
          <cell r="K283">
            <v>10000</v>
          </cell>
          <cell r="L283">
            <v>0</v>
          </cell>
          <cell r="M283" t="str">
            <v>Cm</v>
          </cell>
        </row>
        <row r="284">
          <cell r="A284" t="str">
            <v>1950769</v>
          </cell>
          <cell r="B284" t="str">
            <v>5835</v>
          </cell>
          <cell r="C284" t="str">
            <v>ORLA N°3 DORADA (UND)</v>
          </cell>
          <cell r="D284" t="str">
            <v>1950769</v>
          </cell>
          <cell r="E284" t="str">
            <v>EMPAQUES PLANTA</v>
          </cell>
          <cell r="F284" t="str">
            <v>1 UND</v>
          </cell>
          <cell r="G284">
            <v>500</v>
          </cell>
          <cell r="H284" t="str">
            <v>29/04/2020</v>
          </cell>
          <cell r="I284">
            <v>29</v>
          </cell>
          <cell r="J284">
            <v>34</v>
          </cell>
          <cell r="K284">
            <v>1</v>
          </cell>
          <cell r="L284">
            <v>34</v>
          </cell>
          <cell r="M284" t="str">
            <v>Und</v>
          </cell>
        </row>
        <row r="285">
          <cell r="A285" t="str">
            <v>1950772</v>
          </cell>
          <cell r="B285" t="str">
            <v>5843</v>
          </cell>
          <cell r="C285" t="str">
            <v>PAPEL ENCERADO 10X10 (CAJA)</v>
          </cell>
          <cell r="D285" t="str">
            <v>1950771</v>
          </cell>
          <cell r="E285" t="str">
            <v>EMPAQUES PLANTA</v>
          </cell>
          <cell r="F285" t="str">
            <v>1 CAJA</v>
          </cell>
          <cell r="G285">
            <v>500</v>
          </cell>
          <cell r="H285" t="str">
            <v>17/03/2020</v>
          </cell>
          <cell r="I285">
            <v>3021</v>
          </cell>
          <cell r="J285">
            <v>5321</v>
          </cell>
          <cell r="K285">
            <v>500</v>
          </cell>
          <cell r="L285">
            <v>10.641999999999999</v>
          </cell>
          <cell r="M285" t="str">
            <v>Und</v>
          </cell>
        </row>
        <row r="286">
          <cell r="A286" t="str">
            <v>1950786</v>
          </cell>
          <cell r="B286" t="str">
            <v>5752</v>
          </cell>
          <cell r="C286" t="str">
            <v>BOLSA IMP. SPOON CAMI 12*25 KILO</v>
          </cell>
          <cell r="D286" t="str">
            <v>1950786</v>
          </cell>
          <cell r="E286" t="str">
            <v>EMPAQUES PLANTA</v>
          </cell>
          <cell r="F286" t="str">
            <v>1 KILO</v>
          </cell>
          <cell r="G286">
            <v>500</v>
          </cell>
          <cell r="H286" t="str">
            <v>05/06/2020</v>
          </cell>
          <cell r="I286">
            <v>1850</v>
          </cell>
          <cell r="J286">
            <v>2350</v>
          </cell>
          <cell r="K286"/>
          <cell r="L286" t="e">
            <v>#DIV/0!</v>
          </cell>
          <cell r="M286" t="str">
            <v>Gramos</v>
          </cell>
        </row>
        <row r="287">
          <cell r="A287" t="str">
            <v>1950797</v>
          </cell>
          <cell r="B287" t="str">
            <v>1656</v>
          </cell>
          <cell r="C287" t="str">
            <v>VASO PLAST. TRASL 16OZ (PAQ:50 UND)</v>
          </cell>
          <cell r="D287" t="str">
            <v>1950797</v>
          </cell>
          <cell r="E287" t="str">
            <v>EMPAQUES PLANTA</v>
          </cell>
          <cell r="F287" t="str">
            <v>1 PAQUETE</v>
          </cell>
          <cell r="G287">
            <v>500</v>
          </cell>
          <cell r="H287" t="str">
            <v>29/05/2020</v>
          </cell>
          <cell r="I287">
            <v>4024</v>
          </cell>
          <cell r="J287">
            <v>0</v>
          </cell>
          <cell r="K287">
            <v>50</v>
          </cell>
          <cell r="L287">
            <v>0</v>
          </cell>
          <cell r="M287"/>
        </row>
        <row r="288">
          <cell r="A288" t="str">
            <v>1950808</v>
          </cell>
          <cell r="B288" t="str">
            <v>11369</v>
          </cell>
          <cell r="C288" t="str">
            <v>ORLA CARTON  8" DORADA (UND)</v>
          </cell>
          <cell r="D288" t="str">
            <v>1950808</v>
          </cell>
          <cell r="E288" t="str">
            <v>EMPAQUES PLANTA</v>
          </cell>
          <cell r="F288" t="str">
            <v>1 UND</v>
          </cell>
          <cell r="G288">
            <v>500</v>
          </cell>
          <cell r="H288" t="str">
            <v>12/06/2020</v>
          </cell>
          <cell r="I288">
            <v>85</v>
          </cell>
          <cell r="J288">
            <v>95</v>
          </cell>
          <cell r="K288">
            <v>1</v>
          </cell>
          <cell r="L288">
            <v>95</v>
          </cell>
          <cell r="M288" t="str">
            <v>Und</v>
          </cell>
        </row>
        <row r="289">
          <cell r="A289" t="str">
            <v>1950811</v>
          </cell>
          <cell r="B289" t="str">
            <v>5737</v>
          </cell>
          <cell r="C289" t="str">
            <v>BASE CARTON 15 PORCIONES (UND)</v>
          </cell>
          <cell r="D289" t="str">
            <v>1950811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180</v>
          </cell>
          <cell r="J289">
            <v>200</v>
          </cell>
          <cell r="K289">
            <v>1</v>
          </cell>
          <cell r="L289">
            <v>200</v>
          </cell>
          <cell r="M289" t="str">
            <v>Und</v>
          </cell>
        </row>
        <row r="290">
          <cell r="A290" t="str">
            <v>1950818</v>
          </cell>
          <cell r="B290" t="str">
            <v>5861</v>
          </cell>
          <cell r="C290" t="str">
            <v>QUEQUERA RECT. T41 (CAJA:50 UND)</v>
          </cell>
          <cell r="D290" t="str">
            <v>1950818</v>
          </cell>
          <cell r="E290" t="str">
            <v>EMPAQUES PLANTA</v>
          </cell>
          <cell r="F290" t="str">
            <v>1 CAJA</v>
          </cell>
          <cell r="G290">
            <v>500</v>
          </cell>
          <cell r="H290" t="str">
            <v>11/06/2020</v>
          </cell>
          <cell r="I290">
            <v>42025</v>
          </cell>
          <cell r="J290">
            <v>56388</v>
          </cell>
          <cell r="K290">
            <v>50</v>
          </cell>
          <cell r="L290">
            <v>1127.76</v>
          </cell>
          <cell r="M290" t="str">
            <v>Und</v>
          </cell>
        </row>
        <row r="291">
          <cell r="A291" t="str">
            <v>1950829</v>
          </cell>
          <cell r="B291" t="str">
            <v>5739</v>
          </cell>
          <cell r="C291" t="str">
            <v>BASE CARTON 30 PORCIONES UND</v>
          </cell>
          <cell r="D291" t="str">
            <v>1950829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20/03/2020</v>
          </cell>
          <cell r="I291">
            <v>238</v>
          </cell>
          <cell r="J291">
            <v>287</v>
          </cell>
          <cell r="K291">
            <v>1</v>
          </cell>
          <cell r="L291">
            <v>287</v>
          </cell>
          <cell r="M291" t="str">
            <v>Und</v>
          </cell>
        </row>
        <row r="292">
          <cell r="A292" t="str">
            <v>1950837</v>
          </cell>
          <cell r="B292" t="str">
            <v>5778</v>
          </cell>
          <cell r="C292" t="str">
            <v>FONDO P/CAJA BLANCA (PAQ:100 UND)</v>
          </cell>
          <cell r="D292" t="str">
            <v>1950837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05/06/2020</v>
          </cell>
          <cell r="I292">
            <v>5725</v>
          </cell>
          <cell r="J292">
            <v>6900</v>
          </cell>
          <cell r="K292">
            <v>100</v>
          </cell>
          <cell r="L292">
            <v>69</v>
          </cell>
          <cell r="M292"/>
        </row>
        <row r="293">
          <cell r="A293" t="str">
            <v>1950853</v>
          </cell>
          <cell r="B293" t="str">
            <v>5811</v>
          </cell>
          <cell r="C293" t="str">
            <v>VASO 9oz SUNDA TS9 PAQ:50(CAJA:1000 UND)</v>
          </cell>
          <cell r="D293" t="str">
            <v>1950853</v>
          </cell>
          <cell r="E293" t="str">
            <v>EMPAQUES PLANTA</v>
          </cell>
          <cell r="F293" t="str">
            <v>1 CAJA</v>
          </cell>
          <cell r="G293">
            <v>500</v>
          </cell>
          <cell r="H293" t="str">
            <v>18/05/2020</v>
          </cell>
          <cell r="I293">
            <v>45650</v>
          </cell>
          <cell r="J293">
            <v>45650</v>
          </cell>
          <cell r="K293">
            <v>1000</v>
          </cell>
          <cell r="L293">
            <v>45.65</v>
          </cell>
          <cell r="M293"/>
        </row>
        <row r="294">
          <cell r="A294" t="str">
            <v>1950854</v>
          </cell>
          <cell r="B294" t="str">
            <v>5812</v>
          </cell>
          <cell r="C294" t="str">
            <v>TAPA VASO 9oz P/SUN PAQ:50 (CAJA:2000UN)</v>
          </cell>
          <cell r="D294" t="str">
            <v>1950854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39500</v>
          </cell>
          <cell r="J294">
            <v>43450</v>
          </cell>
          <cell r="K294">
            <v>2000</v>
          </cell>
          <cell r="L294">
            <v>21.725000000000001</v>
          </cell>
          <cell r="M294"/>
        </row>
        <row r="295">
          <cell r="A295" t="str">
            <v>1950865</v>
          </cell>
          <cell r="B295" t="str">
            <v>5859</v>
          </cell>
          <cell r="C295" t="str">
            <v>QUEQUERA 8 ALTA (CAJA:70 UND)</v>
          </cell>
          <cell r="D295" t="str">
            <v>1950865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24/03/2020</v>
          </cell>
          <cell r="I295" t="e">
            <v>#N/A</v>
          </cell>
          <cell r="J295">
            <v>0</v>
          </cell>
          <cell r="K295">
            <v>70</v>
          </cell>
          <cell r="L295">
            <v>0</v>
          </cell>
          <cell r="M295" t="str">
            <v>Und</v>
          </cell>
        </row>
        <row r="296">
          <cell r="A296" t="str">
            <v>1950873</v>
          </cell>
          <cell r="B296" t="str">
            <v>11505</v>
          </cell>
          <cell r="C296" t="str">
            <v>BOLSA CELOFAN 30X45 (KILO)</v>
          </cell>
          <cell r="D296" t="str">
            <v>1950873</v>
          </cell>
          <cell r="E296" t="str">
            <v>EMPAQUES PLANTA</v>
          </cell>
          <cell r="F296" t="str">
            <v>1 KILO</v>
          </cell>
          <cell r="G296">
            <v>500</v>
          </cell>
          <cell r="H296" t="str">
            <v>10/06/2020</v>
          </cell>
          <cell r="I296">
            <v>4874.5600000000004</v>
          </cell>
          <cell r="J296">
            <v>4874.5600000000004</v>
          </cell>
          <cell r="K296">
            <v>100</v>
          </cell>
          <cell r="L296">
            <v>48.745600000000003</v>
          </cell>
          <cell r="M296" t="str">
            <v>Gramos</v>
          </cell>
        </row>
        <row r="297">
          <cell r="A297" t="str">
            <v>1950880</v>
          </cell>
          <cell r="B297" t="str">
            <v>12754</v>
          </cell>
          <cell r="C297" t="str">
            <v>TAPA BANDEJA PLAST 3 DIV (CAJA:250 UND)</v>
          </cell>
          <cell r="D297" t="str">
            <v>1950880</v>
          </cell>
          <cell r="E297" t="str">
            <v>EMPAQUES PLANTA</v>
          </cell>
          <cell r="F297" t="str">
            <v xml:space="preserve">1 CAJA </v>
          </cell>
          <cell r="G297">
            <v>500</v>
          </cell>
          <cell r="H297" t="str">
            <v>04/06/2020</v>
          </cell>
          <cell r="I297">
            <v>20840</v>
          </cell>
          <cell r="J297">
            <v>58602</v>
          </cell>
          <cell r="K297">
            <v>250</v>
          </cell>
          <cell r="L297">
            <v>234.40799999999999</v>
          </cell>
          <cell r="M297"/>
        </row>
        <row r="298">
          <cell r="A298" t="str">
            <v>1950887</v>
          </cell>
          <cell r="B298" t="str">
            <v>5848</v>
          </cell>
          <cell r="C298" t="str">
            <v>PLATO 9 COMPOSTABLE CAJA:500 (UND)</v>
          </cell>
          <cell r="D298" t="str">
            <v>1950887</v>
          </cell>
          <cell r="E298" t="str">
            <v>EMPAQUES PLANTA</v>
          </cell>
          <cell r="F298" t="str">
            <v>1 UND</v>
          </cell>
          <cell r="G298">
            <v>500</v>
          </cell>
          <cell r="H298" t="str">
            <v>10/03/2020</v>
          </cell>
          <cell r="I298">
            <v>61.02</v>
          </cell>
          <cell r="J298">
            <v>0</v>
          </cell>
          <cell r="K298">
            <v>1</v>
          </cell>
          <cell r="L298">
            <v>0</v>
          </cell>
          <cell r="M298"/>
        </row>
        <row r="299">
          <cell r="A299" t="str">
            <v>1950888</v>
          </cell>
          <cell r="B299" t="str">
            <v>5849</v>
          </cell>
          <cell r="C299" t="str">
            <v>PLATO  6 COMPOSTABLE (CAJA:1000 UND)</v>
          </cell>
          <cell r="D299" t="str">
            <v>1950888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25/02/2020</v>
          </cell>
          <cell r="I299">
            <v>29.945</v>
          </cell>
          <cell r="J299">
            <v>0</v>
          </cell>
          <cell r="K299">
            <v>1</v>
          </cell>
          <cell r="L299">
            <v>0</v>
          </cell>
          <cell r="M299"/>
        </row>
        <row r="300">
          <cell r="A300" t="str">
            <v>1950895</v>
          </cell>
          <cell r="B300" t="str">
            <v>5755</v>
          </cell>
          <cell r="C300" t="str">
            <v>BOLSA CELOFAN 6 X 9 (KILO)</v>
          </cell>
          <cell r="D300" t="str">
            <v>1950895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27/02/2020</v>
          </cell>
          <cell r="I300">
            <v>4874.5600000000004</v>
          </cell>
          <cell r="J300">
            <v>4874.5600000000004</v>
          </cell>
          <cell r="K300">
            <v>334</v>
          </cell>
          <cell r="L300">
            <v>14.594491017964073</v>
          </cell>
          <cell r="M300" t="str">
            <v>Unidades</v>
          </cell>
        </row>
        <row r="301">
          <cell r="A301" t="str">
            <v>1950896</v>
          </cell>
          <cell r="B301" t="str">
            <v>5721</v>
          </cell>
          <cell r="C301" t="str">
            <v>BANDEJA 17-1 NEGRA (PAQ:500 UND)</v>
          </cell>
          <cell r="D301" t="str">
            <v>1950896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23/03/2020</v>
          </cell>
          <cell r="I301">
            <v>15040</v>
          </cell>
          <cell r="J301">
            <v>0</v>
          </cell>
          <cell r="K301">
            <v>500</v>
          </cell>
          <cell r="L301">
            <v>0</v>
          </cell>
          <cell r="M301" t="str">
            <v>Und</v>
          </cell>
        </row>
        <row r="302">
          <cell r="A302" t="str">
            <v>1950904</v>
          </cell>
          <cell r="B302" t="str">
            <v>5685</v>
          </cell>
          <cell r="C302" t="str">
            <v>BOLSA TRANSPARENTE  6 X 10 KILO</v>
          </cell>
          <cell r="D302" t="str">
            <v>1950904</v>
          </cell>
          <cell r="E302" t="str">
            <v>EMPAQUES PLANTA</v>
          </cell>
          <cell r="F302" t="str">
            <v>1 KILO</v>
          </cell>
          <cell r="G302">
            <v>500</v>
          </cell>
          <cell r="H302" t="str">
            <v>23/03/2020</v>
          </cell>
          <cell r="I302">
            <v>1400</v>
          </cell>
          <cell r="J302">
            <v>2000</v>
          </cell>
          <cell r="K302">
            <v>334</v>
          </cell>
          <cell r="L302">
            <v>5.9880239520958085</v>
          </cell>
          <cell r="M302" t="str">
            <v>Und</v>
          </cell>
        </row>
        <row r="303">
          <cell r="A303" t="str">
            <v>1950909</v>
          </cell>
          <cell r="B303" t="str">
            <v>14061</v>
          </cell>
          <cell r="C303" t="str">
            <v>CONT.24 ONZ.TAPA PLANA (CAJA:200 UND)</v>
          </cell>
          <cell r="D303" t="str">
            <v>1950909</v>
          </cell>
          <cell r="E303" t="str">
            <v>EMPAQUES PLANTA</v>
          </cell>
          <cell r="F303" t="str">
            <v>1 CAJA</v>
          </cell>
          <cell r="G303">
            <v>500</v>
          </cell>
          <cell r="H303" t="str">
            <v>02/06/2020</v>
          </cell>
          <cell r="I303">
            <v>40470</v>
          </cell>
          <cell r="J303">
            <v>44559</v>
          </cell>
          <cell r="K303">
            <v>200</v>
          </cell>
          <cell r="L303">
            <v>222.79499999999999</v>
          </cell>
          <cell r="M303" t="str">
            <v>Und</v>
          </cell>
        </row>
        <row r="304">
          <cell r="A304" t="str">
            <v>1950914</v>
          </cell>
          <cell r="B304" t="str">
            <v>5733</v>
          </cell>
          <cell r="C304" t="str">
            <v>PORTA VASO 4 CAVIDADES (UND)</v>
          </cell>
          <cell r="D304" t="str">
            <v>1950914</v>
          </cell>
          <cell r="E304" t="str">
            <v>EMPAQUES PLANTA</v>
          </cell>
          <cell r="F304" t="str">
            <v>1 UND</v>
          </cell>
          <cell r="G304">
            <v>500</v>
          </cell>
          <cell r="H304" t="str">
            <v>29/05/2020</v>
          </cell>
          <cell r="I304">
            <v>76.406666666666695</v>
          </cell>
          <cell r="J304">
            <v>131.893333333333</v>
          </cell>
          <cell r="K304">
            <v>1</v>
          </cell>
          <cell r="L304">
            <v>131.893333333333</v>
          </cell>
          <cell r="M304"/>
        </row>
        <row r="305">
          <cell r="A305" t="str">
            <v>50100052</v>
          </cell>
          <cell r="B305" t="str">
            <v>12107</v>
          </cell>
          <cell r="C305" t="str">
            <v>TAPA CONTENEDOR SUFLE 1OZ (PAQ: 100 UND)</v>
          </cell>
          <cell r="D305" t="str">
            <v>1950921</v>
          </cell>
          <cell r="E305" t="str">
            <v>EMPAQUES PLANTA</v>
          </cell>
          <cell r="F305" t="str">
            <v>1 PAQUETE</v>
          </cell>
          <cell r="G305">
            <v>500</v>
          </cell>
          <cell r="H305" t="str">
            <v>05/06/2020</v>
          </cell>
          <cell r="I305">
            <v>591.32000000000005</v>
          </cell>
          <cell r="J305">
            <v>306.60000000000002</v>
          </cell>
          <cell r="K305">
            <v>100</v>
          </cell>
          <cell r="L305">
            <v>3.0660000000000003</v>
          </cell>
          <cell r="M305"/>
        </row>
        <row r="306">
          <cell r="A306" t="str">
            <v>1950928</v>
          </cell>
          <cell r="B306" t="str">
            <v>5686</v>
          </cell>
          <cell r="C306" t="str">
            <v>BOLSA TRANSPARENTE 56X96X1.80 KILO</v>
          </cell>
          <cell r="D306" t="str">
            <v>1950928</v>
          </cell>
          <cell r="E306" t="str">
            <v>EMPAQUES PLANTA</v>
          </cell>
          <cell r="F306" t="str">
            <v>1 KILO</v>
          </cell>
          <cell r="G306">
            <v>500</v>
          </cell>
          <cell r="H306" t="str">
            <v>05/06/2020</v>
          </cell>
          <cell r="I306">
            <v>1500</v>
          </cell>
          <cell r="J306">
            <v>2000</v>
          </cell>
          <cell r="K306">
            <v>40</v>
          </cell>
          <cell r="L306">
            <v>50</v>
          </cell>
          <cell r="M306" t="str">
            <v>Und</v>
          </cell>
        </row>
        <row r="307">
          <cell r="A307" t="str">
            <v>1950942</v>
          </cell>
          <cell r="B307" t="str">
            <v>11370</v>
          </cell>
          <cell r="C307" t="str">
            <v>ORLA #4 AZUL REDONDA (UND)</v>
          </cell>
          <cell r="D307" t="str">
            <v>1950942</v>
          </cell>
          <cell r="E307" t="str">
            <v>EMPAQUES PLANTA</v>
          </cell>
          <cell r="F307" t="str">
            <v>1 UND</v>
          </cell>
          <cell r="G307">
            <v>500</v>
          </cell>
          <cell r="H307" t="str">
            <v>15/06/2020</v>
          </cell>
          <cell r="I307">
            <v>36</v>
          </cell>
          <cell r="J307">
            <v>42</v>
          </cell>
          <cell r="K307">
            <v>1</v>
          </cell>
          <cell r="L307">
            <v>42</v>
          </cell>
          <cell r="M307"/>
        </row>
        <row r="308">
          <cell r="A308" t="str">
            <v>1950959</v>
          </cell>
          <cell r="B308" t="str">
            <v>12110</v>
          </cell>
          <cell r="C308" t="str">
            <v>TAPA PLAST SUFLE 3.25 ONZ (CAJA:20 PAQ)</v>
          </cell>
          <cell r="D308" t="str">
            <v>1950959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11/06/2020</v>
          </cell>
          <cell r="I308">
            <v>24795</v>
          </cell>
          <cell r="J308">
            <v>0</v>
          </cell>
          <cell r="K308">
            <v>20</v>
          </cell>
          <cell r="L308">
            <v>0</v>
          </cell>
          <cell r="M308"/>
        </row>
        <row r="309">
          <cell r="A309" t="str">
            <v>1952378</v>
          </cell>
          <cell r="B309" t="str">
            <v>5819</v>
          </cell>
          <cell r="C309" t="str">
            <v>CONTEN. TAPA PLANA (CAJA: 480 UND)</v>
          </cell>
          <cell r="D309" t="str">
            <v>1952378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30/04/2020</v>
          </cell>
          <cell r="I309">
            <v>28880</v>
          </cell>
          <cell r="J309">
            <v>0</v>
          </cell>
          <cell r="K309">
            <v>480</v>
          </cell>
          <cell r="L309">
            <v>0</v>
          </cell>
          <cell r="M309"/>
        </row>
        <row r="310">
          <cell r="A310" t="str">
            <v>1952400</v>
          </cell>
          <cell r="B310" t="str">
            <v>5759</v>
          </cell>
          <cell r="C310" t="str">
            <v>BOLSA BUCCA PALMERITAS (10*20CM)( KILO )</v>
          </cell>
          <cell r="D310" t="str">
            <v>1952400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01/02/2020</v>
          </cell>
          <cell r="I310">
            <v>4402</v>
          </cell>
          <cell r="J310">
            <v>5227.5</v>
          </cell>
          <cell r="K310">
            <v>1000</v>
          </cell>
          <cell r="L310">
            <v>5.2275</v>
          </cell>
          <cell r="M310" t="str">
            <v>Und</v>
          </cell>
        </row>
        <row r="311">
          <cell r="A311" t="str">
            <v>1952409</v>
          </cell>
          <cell r="B311" t="str">
            <v>5723</v>
          </cell>
          <cell r="C311" t="str">
            <v>BANDEJA ALUMINIO A-42 (4POR)(CAJA:500 U)</v>
          </cell>
          <cell r="D311" t="str">
            <v>1952409</v>
          </cell>
          <cell r="E311" t="str">
            <v>EMPAQUES PLANTA</v>
          </cell>
          <cell r="F311" t="str">
            <v>1 UND</v>
          </cell>
          <cell r="G311">
            <v>500</v>
          </cell>
          <cell r="H311" t="str">
            <v>05/06/2020</v>
          </cell>
          <cell r="I311">
            <v>95.6</v>
          </cell>
          <cell r="J311">
            <v>0</v>
          </cell>
          <cell r="K311">
            <v>1</v>
          </cell>
          <cell r="L311">
            <v>0</v>
          </cell>
          <cell r="M311" t="str">
            <v>Und</v>
          </cell>
        </row>
        <row r="312">
          <cell r="A312" t="str">
            <v>1952410</v>
          </cell>
          <cell r="B312" t="str">
            <v>5724</v>
          </cell>
          <cell r="C312" t="str">
            <v>TAPA CONTE.ALUMI A-42 (4 POR) (CAJA:500)</v>
          </cell>
          <cell r="D312" t="str">
            <v>1952410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66</v>
          </cell>
          <cell r="J312">
            <v>0</v>
          </cell>
          <cell r="K312">
            <v>1</v>
          </cell>
          <cell r="L312">
            <v>0</v>
          </cell>
          <cell r="M312" t="str">
            <v>Und</v>
          </cell>
        </row>
        <row r="313">
          <cell r="A313" t="str">
            <v>1952432</v>
          </cell>
          <cell r="B313" t="str">
            <v>5725</v>
          </cell>
          <cell r="C313" t="str">
            <v>TAPA BAND ALUM 4040 (CAJA:250 UND)</v>
          </cell>
          <cell r="D313" t="str">
            <v>1952432</v>
          </cell>
          <cell r="E313" t="str">
            <v>EMPAQUES PLANTA</v>
          </cell>
          <cell r="F313" t="str">
            <v>1 CAJA</v>
          </cell>
          <cell r="G313">
            <v>500</v>
          </cell>
          <cell r="H313" t="str">
            <v>15/06/2020</v>
          </cell>
          <cell r="I313">
            <v>87.968000000000004</v>
          </cell>
          <cell r="J313">
            <v>146.084</v>
          </cell>
          <cell r="K313">
            <v>1</v>
          </cell>
          <cell r="L313">
            <v>146.084</v>
          </cell>
          <cell r="M313" t="str">
            <v>Und</v>
          </cell>
        </row>
        <row r="314">
          <cell r="A314" t="str">
            <v>1952434</v>
          </cell>
          <cell r="B314" t="str">
            <v>11577</v>
          </cell>
          <cell r="C314" t="str">
            <v>CAJA SPOON #1 (20 UND) (INDUSTRIA)</v>
          </cell>
          <cell r="D314" t="str">
            <v>1952434</v>
          </cell>
          <cell r="E314" t="str">
            <v>EMPAQUES PLANTA</v>
          </cell>
          <cell r="F314" t="str">
            <v>1 UND</v>
          </cell>
          <cell r="G314">
            <v>500</v>
          </cell>
          <cell r="H314" t="str">
            <v>10/06/2020</v>
          </cell>
          <cell r="I314">
            <v>498</v>
          </cell>
          <cell r="J314">
            <v>625</v>
          </cell>
          <cell r="K314">
            <v>1</v>
          </cell>
          <cell r="L314">
            <v>625</v>
          </cell>
          <cell r="M314"/>
        </row>
        <row r="315">
          <cell r="A315" t="str">
            <v>1952445</v>
          </cell>
          <cell r="B315" t="str">
            <v>8129</v>
          </cell>
          <cell r="C315" t="str">
            <v>CAJA SIX PACK MUSMANNI (UND)</v>
          </cell>
          <cell r="D315" t="str">
            <v>1952445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20/05/2020</v>
          </cell>
          <cell r="I315">
            <v>195</v>
          </cell>
          <cell r="J315">
            <v>235</v>
          </cell>
          <cell r="K315">
            <v>1</v>
          </cell>
          <cell r="L315">
            <v>235</v>
          </cell>
          <cell r="M315"/>
        </row>
        <row r="316">
          <cell r="A316" t="str">
            <v>1952826</v>
          </cell>
          <cell r="B316" t="str">
            <v>12114</v>
          </cell>
          <cell r="C316" t="str">
            <v>TAPA DOMO P/VASO TRASL 16onz ( PAQ*100)</v>
          </cell>
          <cell r="D316" t="str">
            <v>1952826</v>
          </cell>
          <cell r="E316" t="str">
            <v>EMPAQUES PLANTA</v>
          </cell>
          <cell r="F316" t="str">
            <v>1 PAQUETE</v>
          </cell>
          <cell r="G316">
            <v>500</v>
          </cell>
          <cell r="H316" t="str">
            <v>22/05/2020</v>
          </cell>
          <cell r="I316">
            <v>4361</v>
          </cell>
          <cell r="J316">
            <v>0</v>
          </cell>
          <cell r="K316">
            <v>100</v>
          </cell>
          <cell r="L316">
            <v>0</v>
          </cell>
          <cell r="M316"/>
        </row>
        <row r="317">
          <cell r="A317" t="str">
            <v>1952831</v>
          </cell>
          <cell r="B317" t="str">
            <v>13333</v>
          </cell>
          <cell r="C317" t="str">
            <v>TAPA NESCAFE 12/14/16  ONZ (PAQ:100 UND)</v>
          </cell>
          <cell r="D317" t="str">
            <v>1952831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27/12/2019</v>
          </cell>
          <cell r="I317" t="e">
            <v>#N/A</v>
          </cell>
          <cell r="J317">
            <v>0</v>
          </cell>
          <cell r="K317">
            <v>100</v>
          </cell>
          <cell r="L317">
            <v>0</v>
          </cell>
          <cell r="M317"/>
        </row>
        <row r="318">
          <cell r="A318" t="str">
            <v>1952851</v>
          </cell>
          <cell r="B318" t="str">
            <v>5855</v>
          </cell>
          <cell r="C318" t="str">
            <v>CONTENEDOR CUADRADO 9X9X5 (CAJA:600 UND)</v>
          </cell>
          <cell r="D318" t="str">
            <v>1952851</v>
          </cell>
          <cell r="E318" t="str">
            <v>EMPAQUES PLANTA</v>
          </cell>
          <cell r="F318" t="str">
            <v>1 CAJA</v>
          </cell>
          <cell r="G318">
            <v>500</v>
          </cell>
          <cell r="H318" t="str">
            <v>09/03/2020</v>
          </cell>
          <cell r="I318" t="e">
            <v>#N/A</v>
          </cell>
          <cell r="J318">
            <v>0</v>
          </cell>
          <cell r="K318">
            <v>600</v>
          </cell>
          <cell r="L318">
            <v>0</v>
          </cell>
          <cell r="M318" t="str">
            <v>Und</v>
          </cell>
        </row>
        <row r="319">
          <cell r="A319" t="str">
            <v>1952856</v>
          </cell>
          <cell r="B319" t="str">
            <v>11225</v>
          </cell>
          <cell r="C319" t="str">
            <v>BOLSA TRANSPARENTE 76X24X210 (KILO)</v>
          </cell>
          <cell r="D319" t="str">
            <v>1952856</v>
          </cell>
          <cell r="E319" t="str">
            <v>EMPAQUES PLANTA</v>
          </cell>
          <cell r="F319" t="str">
            <v>1 KILO</v>
          </cell>
          <cell r="G319">
            <v>500</v>
          </cell>
          <cell r="H319" t="str">
            <v>25/05/2020</v>
          </cell>
          <cell r="I319">
            <v>4402</v>
          </cell>
          <cell r="J319">
            <v>0</v>
          </cell>
          <cell r="K319">
            <v>378</v>
          </cell>
          <cell r="L319">
            <v>0</v>
          </cell>
          <cell r="M319" t="str">
            <v>Und</v>
          </cell>
        </row>
        <row r="320">
          <cell r="A320" t="str">
            <v>1952871</v>
          </cell>
          <cell r="B320" t="str">
            <v>11376</v>
          </cell>
          <cell r="C320" t="str">
            <v>CAJA PRALINE (UND)</v>
          </cell>
          <cell r="D320" t="str">
            <v>1952871</v>
          </cell>
          <cell r="E320" t="str">
            <v>EMPAQUES PLANTA</v>
          </cell>
          <cell r="F320" t="str">
            <v>1 UND</v>
          </cell>
          <cell r="G320">
            <v>500</v>
          </cell>
          <cell r="H320" t="str">
            <v>22/04/2020</v>
          </cell>
          <cell r="I320">
            <v>486</v>
          </cell>
          <cell r="J320">
            <v>576</v>
          </cell>
          <cell r="K320">
            <v>1</v>
          </cell>
          <cell r="L320">
            <v>576</v>
          </cell>
          <cell r="M320"/>
        </row>
        <row r="321">
          <cell r="A321" t="str">
            <v>1952873</v>
          </cell>
          <cell r="B321" t="str">
            <v>14163</v>
          </cell>
          <cell r="C321" t="str">
            <v>CONTENEDOR CUADRADO POTE (CAJA:600 UND)</v>
          </cell>
          <cell r="D321" t="str">
            <v>1952873</v>
          </cell>
          <cell r="E321" t="str">
            <v>EMPAQUES PLANTA</v>
          </cell>
          <cell r="F321" t="str">
            <v xml:space="preserve">1 CAJA </v>
          </cell>
          <cell r="G321">
            <v>500</v>
          </cell>
          <cell r="H321" t="str">
            <v>13/03/2020</v>
          </cell>
          <cell r="I321">
            <v>31800</v>
          </cell>
          <cell r="J321">
            <v>0</v>
          </cell>
          <cell r="K321">
            <v>600</v>
          </cell>
          <cell r="L321">
            <v>0</v>
          </cell>
          <cell r="M321" t="str">
            <v>Und</v>
          </cell>
        </row>
        <row r="322">
          <cell r="A322" t="str">
            <v>1952874</v>
          </cell>
          <cell r="B322" t="str">
            <v>5834</v>
          </cell>
          <cell r="C322" t="str">
            <v>ORLA #8 BUCCA (UND)</v>
          </cell>
          <cell r="D322" t="str">
            <v>1952874</v>
          </cell>
          <cell r="E322" t="str">
            <v>EMPAQUES PLANTA</v>
          </cell>
          <cell r="F322" t="str">
            <v>1 UND</v>
          </cell>
          <cell r="G322">
            <v>500</v>
          </cell>
          <cell r="H322" t="str">
            <v>15/05/2020</v>
          </cell>
          <cell r="I322">
            <v>85</v>
          </cell>
          <cell r="J322">
            <v>95</v>
          </cell>
          <cell r="K322">
            <v>1</v>
          </cell>
          <cell r="L322">
            <v>95</v>
          </cell>
          <cell r="M322" t="str">
            <v>Und</v>
          </cell>
        </row>
        <row r="323">
          <cell r="A323" t="str">
            <v>1952875</v>
          </cell>
          <cell r="B323" t="str">
            <v>5833</v>
          </cell>
          <cell r="C323" t="str">
            <v>ORLA # 10 BUCCA (UND)</v>
          </cell>
          <cell r="D323" t="str">
            <v>1952875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12/06/2020</v>
          </cell>
          <cell r="I323">
            <v>121</v>
          </cell>
          <cell r="J323">
            <v>137</v>
          </cell>
          <cell r="K323">
            <v>1</v>
          </cell>
          <cell r="L323">
            <v>137</v>
          </cell>
          <cell r="M323"/>
        </row>
        <row r="324">
          <cell r="A324" t="str">
            <v>1952910</v>
          </cell>
          <cell r="B324" t="str">
            <v>11377</v>
          </cell>
          <cell r="C324" t="str">
            <v>CAJA CARTON GRANDE (UND)</v>
          </cell>
          <cell r="D324" t="str">
            <v>1952910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10/06/2020</v>
          </cell>
          <cell r="I324">
            <v>598</v>
          </cell>
          <cell r="J324">
            <v>758</v>
          </cell>
          <cell r="K324">
            <v>1</v>
          </cell>
          <cell r="L324">
            <v>758</v>
          </cell>
          <cell r="M324"/>
        </row>
        <row r="325">
          <cell r="A325" t="str">
            <v>1952912</v>
          </cell>
          <cell r="B325" t="str">
            <v>9465</v>
          </cell>
          <cell r="C325" t="str">
            <v>CONTENEDOR TRIANGU ALTO (CAJA:200 UND)</v>
          </cell>
          <cell r="D325" t="str">
            <v>1952912</v>
          </cell>
          <cell r="E325" t="str">
            <v>EMPAQUES PLANTA</v>
          </cell>
          <cell r="F325" t="str">
            <v>1 CAJA</v>
          </cell>
          <cell r="G325">
            <v>500</v>
          </cell>
          <cell r="H325" t="str">
            <v>16/06/2020</v>
          </cell>
          <cell r="I325">
            <v>12340</v>
          </cell>
          <cell r="J325">
            <v>13239</v>
          </cell>
          <cell r="K325">
            <v>200</v>
          </cell>
          <cell r="L325">
            <v>66.194999999999993</v>
          </cell>
          <cell r="M325"/>
        </row>
        <row r="326">
          <cell r="A326" t="str">
            <v>1952915</v>
          </cell>
          <cell r="B326" t="str">
            <v>11475</v>
          </cell>
          <cell r="C326" t="str">
            <v>BANDEJA CONCHA TRANSPAR 4X4 (CJ:500 UND)</v>
          </cell>
          <cell r="D326" t="str">
            <v>1952915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29/05/2020</v>
          </cell>
          <cell r="I326" t="e">
            <v>#N/A</v>
          </cell>
          <cell r="J326">
            <v>0</v>
          </cell>
          <cell r="K326">
            <v>1500</v>
          </cell>
          <cell r="L326">
            <v>0</v>
          </cell>
          <cell r="M326"/>
        </row>
        <row r="327">
          <cell r="A327" t="str">
            <v>1952919</v>
          </cell>
          <cell r="B327" t="str">
            <v>14418</v>
          </cell>
          <cell r="C327" t="str">
            <v>CAJA PRALINE 2 (UND)</v>
          </cell>
          <cell r="D327" t="str">
            <v>1952919</v>
          </cell>
          <cell r="E327" t="str">
            <v>EMPAQUES PLANTA</v>
          </cell>
          <cell r="F327" t="str">
            <v>1 UND</v>
          </cell>
          <cell r="G327">
            <v>500</v>
          </cell>
          <cell r="H327" t="str">
            <v>12/06/2020</v>
          </cell>
          <cell r="I327">
            <v>348</v>
          </cell>
          <cell r="J327">
            <v>410</v>
          </cell>
          <cell r="K327">
            <v>1</v>
          </cell>
          <cell r="L327">
            <v>410</v>
          </cell>
          <cell r="M327" t="str">
            <v>Und</v>
          </cell>
        </row>
        <row r="328">
          <cell r="A328" t="str">
            <v>2000001</v>
          </cell>
          <cell r="B328" t="str">
            <v>11436</v>
          </cell>
          <cell r="C328" t="str">
            <v>SALMON AHUMADO  (PAQ:900g)</v>
          </cell>
          <cell r="D328" t="str">
            <v>2000001</v>
          </cell>
          <cell r="E328" t="str">
            <v>MATERIAS PRIMAS PLANTA</v>
          </cell>
          <cell r="F328" t="str">
            <v>1 PAQUETE</v>
          </cell>
          <cell r="G328">
            <v>500</v>
          </cell>
          <cell r="H328" t="str">
            <v>12/06/2020</v>
          </cell>
          <cell r="I328">
            <v>17520</v>
          </cell>
          <cell r="J328">
            <v>18395</v>
          </cell>
          <cell r="K328">
            <v>900</v>
          </cell>
          <cell r="L328">
            <v>20.43888888888889</v>
          </cell>
          <cell r="M328"/>
        </row>
        <row r="329">
          <cell r="A329" t="str">
            <v>2000002</v>
          </cell>
          <cell r="B329" t="str">
            <v>11484</v>
          </cell>
          <cell r="C329" t="str">
            <v>CARNE ANALOGA POLLO (CAJA:13.6 Kg)</v>
          </cell>
          <cell r="D329" t="str">
            <v>2000002</v>
          </cell>
          <cell r="E329" t="str">
            <v>MATERIAS PRIMAS PLANTA</v>
          </cell>
          <cell r="F329" t="str">
            <v>1 CAJA</v>
          </cell>
          <cell r="G329">
            <v>500</v>
          </cell>
          <cell r="H329" t="str">
            <v>15/04/2020</v>
          </cell>
          <cell r="I329">
            <v>104940</v>
          </cell>
          <cell r="J329">
            <v>144669.51999999999</v>
          </cell>
          <cell r="K329">
            <v>13600</v>
          </cell>
          <cell r="L329">
            <v>10.637464705882353</v>
          </cell>
          <cell r="M329" t="str">
            <v>Gramos</v>
          </cell>
        </row>
        <row r="330">
          <cell r="A330" t="str">
            <v>2001001</v>
          </cell>
          <cell r="B330" t="str">
            <v>11337</v>
          </cell>
          <cell r="C330" t="str">
            <v>PEPINO ENTERO KILO</v>
          </cell>
          <cell r="D330" t="str">
            <v>2001001</v>
          </cell>
          <cell r="E330" t="str">
            <v>MATERIAS PRIMAS PLANTA</v>
          </cell>
          <cell r="F330" t="str">
            <v>1 KILO</v>
          </cell>
          <cell r="G330">
            <v>500</v>
          </cell>
          <cell r="H330" t="str">
            <v>16/06/2020</v>
          </cell>
          <cell r="I330">
            <v>600</v>
          </cell>
          <cell r="J330">
            <v>600</v>
          </cell>
          <cell r="K330">
            <v>1000</v>
          </cell>
          <cell r="L330">
            <v>0.6</v>
          </cell>
          <cell r="M330" t="str">
            <v>Gramos</v>
          </cell>
        </row>
        <row r="331">
          <cell r="A331" t="str">
            <v>2006223</v>
          </cell>
          <cell r="B331" t="str">
            <v>13315</v>
          </cell>
          <cell r="C331" t="str">
            <v>TORTILLA REDONDITA RUMBA (PAQ:1 KG)</v>
          </cell>
          <cell r="D331" t="str">
            <v>2006223</v>
          </cell>
          <cell r="E331" t="str">
            <v>MATERIAS PRIMAS PLANTA</v>
          </cell>
          <cell r="F331" t="str">
            <v>1 PAQUETE</v>
          </cell>
          <cell r="G331">
            <v>500</v>
          </cell>
          <cell r="H331" t="str">
            <v>15/06/2020</v>
          </cell>
          <cell r="I331">
            <v>1560</v>
          </cell>
          <cell r="J331">
            <v>2240</v>
          </cell>
          <cell r="K331">
            <v>1000</v>
          </cell>
          <cell r="L331">
            <v>2.2400000000000002</v>
          </cell>
          <cell r="M331"/>
        </row>
        <row r="332">
          <cell r="A332" t="str">
            <v>2172411</v>
          </cell>
          <cell r="B332" t="str">
            <v>5910</v>
          </cell>
          <cell r="C332" t="str">
            <v>ET. TORTA BUCCA GENERICA PEQUEÑA (UND)</v>
          </cell>
          <cell r="D332" t="str">
            <v>2172411</v>
          </cell>
          <cell r="E332" t="str">
            <v>ETIQUETAS PLANTA</v>
          </cell>
          <cell r="F332" t="str">
            <v>1 UND</v>
          </cell>
          <cell r="G332">
            <v>500</v>
          </cell>
          <cell r="H332" t="str">
            <v>12/06/2020</v>
          </cell>
          <cell r="I332">
            <v>25.8</v>
          </cell>
          <cell r="J332">
            <v>25.8</v>
          </cell>
          <cell r="K332">
            <v>1</v>
          </cell>
          <cell r="L332">
            <v>25.8</v>
          </cell>
          <cell r="M332" t="str">
            <v>Und</v>
          </cell>
        </row>
        <row r="333">
          <cell r="A333" t="str">
            <v>3110271</v>
          </cell>
          <cell r="B333" t="str">
            <v>15979</v>
          </cell>
          <cell r="C333" t="str">
            <v>FILET TILAPIA (5-7 ONZ P/KILO)</v>
          </cell>
          <cell r="D333" t="str">
            <v>3110271</v>
          </cell>
          <cell r="E333" t="str">
            <v>MATERIAS PRIMAS PLANTA</v>
          </cell>
          <cell r="F333" t="str">
            <v>1 KILO</v>
          </cell>
          <cell r="G333">
            <v>500</v>
          </cell>
          <cell r="H333" t="str">
            <v>19/03/2020</v>
          </cell>
          <cell r="I333">
            <v>3056.2</v>
          </cell>
          <cell r="J333">
            <v>4146</v>
          </cell>
          <cell r="K333">
            <v>1000</v>
          </cell>
          <cell r="L333">
            <v>4.1459999999999999</v>
          </cell>
          <cell r="M333" t="str">
            <v>Gramos</v>
          </cell>
        </row>
        <row r="334">
          <cell r="A334" t="str">
            <v>5000001</v>
          </cell>
          <cell r="B334" t="str">
            <v>7101</v>
          </cell>
          <cell r="C334" t="str">
            <v>SAL INDUSTRIA (SACO:25 Kg)</v>
          </cell>
          <cell r="D334" t="str">
            <v>5000001</v>
          </cell>
          <cell r="E334" t="str">
            <v>MATERIAS PRIMAS PLANTA</v>
          </cell>
          <cell r="F334" t="str">
            <v>1 SACO</v>
          </cell>
          <cell r="G334">
            <v>500</v>
          </cell>
          <cell r="H334" t="str">
            <v>05/06/2020</v>
          </cell>
          <cell r="I334">
            <v>4700</v>
          </cell>
          <cell r="J334">
            <v>7812</v>
          </cell>
          <cell r="K334">
            <v>25000</v>
          </cell>
          <cell r="L334">
            <v>0.31247999999999998</v>
          </cell>
          <cell r="M334" t="str">
            <v>Gramos</v>
          </cell>
        </row>
        <row r="335">
          <cell r="A335" t="str">
            <v>5062011</v>
          </cell>
          <cell r="B335" t="str">
            <v>14425</v>
          </cell>
          <cell r="C335" t="str">
            <v>BURBUJA # 5 (CAJA:3/125UND)</v>
          </cell>
          <cell r="D335" t="str">
            <v>5062011</v>
          </cell>
          <cell r="E335" t="str">
            <v>EMPAQUES PLANTA</v>
          </cell>
          <cell r="F335" t="str">
            <v>1 CAJA</v>
          </cell>
          <cell r="G335">
            <v>500</v>
          </cell>
          <cell r="H335" t="str">
            <v>15/06/2020</v>
          </cell>
          <cell r="I335">
            <v>20027</v>
          </cell>
          <cell r="J335">
            <v>24689</v>
          </cell>
          <cell r="K335">
            <v>350</v>
          </cell>
          <cell r="L335">
            <v>70.540000000000006</v>
          </cell>
          <cell r="M335" t="str">
            <v>Und</v>
          </cell>
        </row>
        <row r="336">
          <cell r="A336" t="str">
            <v>10100003</v>
          </cell>
          <cell r="B336" t="str">
            <v>7078</v>
          </cell>
          <cell r="C336" t="str">
            <v>AZUCAR POLVO P.REAL (PAQ:2.5 Kg)</v>
          </cell>
          <cell r="D336" t="str">
            <v>10100003</v>
          </cell>
          <cell r="E336" t="str">
            <v>MATERIAS PRIMAS PLANTA</v>
          </cell>
          <cell r="F336" t="str">
            <v>1 PAQUETE</v>
          </cell>
          <cell r="G336">
            <v>500</v>
          </cell>
          <cell r="H336" t="str">
            <v>13/06/2020</v>
          </cell>
          <cell r="I336">
            <v>3151.8</v>
          </cell>
          <cell r="J336">
            <v>2446.08</v>
          </cell>
          <cell r="K336">
            <v>2500</v>
          </cell>
          <cell r="L336">
            <v>0.97843199999999997</v>
          </cell>
          <cell r="M336" t="str">
            <v>Gramos</v>
          </cell>
        </row>
        <row r="337">
          <cell r="A337" t="str">
            <v>10100033</v>
          </cell>
          <cell r="B337" t="str">
            <v>11351</v>
          </cell>
          <cell r="C337" t="str">
            <v>MOSTAZA DE DIJON (UND:850ML)</v>
          </cell>
          <cell r="D337" t="str">
            <v>10100033</v>
          </cell>
          <cell r="E337" t="str">
            <v>MATERIAS PRIMAS PLANTA</v>
          </cell>
          <cell r="F337" t="str">
            <v>1 UND</v>
          </cell>
          <cell r="G337">
            <v>500</v>
          </cell>
          <cell r="H337" t="str">
            <v>21/03/2020</v>
          </cell>
          <cell r="I337">
            <v>4151.3999999999996</v>
          </cell>
          <cell r="J337">
            <v>0</v>
          </cell>
          <cell r="K337">
            <v>850</v>
          </cell>
          <cell r="L337">
            <v>0</v>
          </cell>
          <cell r="M337" t="str">
            <v>Mililitros</v>
          </cell>
        </row>
        <row r="338">
          <cell r="A338" t="str">
            <v>10100039</v>
          </cell>
          <cell r="B338" t="str">
            <v>8030</v>
          </cell>
          <cell r="C338" t="str">
            <v>CHIPS CHOCOLATE AMARGO (PAQ: 2,5 k)</v>
          </cell>
          <cell r="D338" t="str">
            <v>10100039</v>
          </cell>
          <cell r="E338" t="str">
            <v>MATERIAS PRIMAS PLANTA</v>
          </cell>
          <cell r="F338" t="str">
            <v>1 PAQUETE</v>
          </cell>
          <cell r="G338">
            <v>500</v>
          </cell>
          <cell r="H338" t="str">
            <v>12/05/2020</v>
          </cell>
          <cell r="I338">
            <v>15230</v>
          </cell>
          <cell r="J338">
            <v>15230</v>
          </cell>
          <cell r="K338">
            <v>2500</v>
          </cell>
          <cell r="L338">
            <v>6.0919999999999996</v>
          </cell>
          <cell r="M338" t="str">
            <v>Gramos</v>
          </cell>
        </row>
        <row r="339">
          <cell r="A339" t="str">
            <v>10100041</v>
          </cell>
          <cell r="B339" t="str">
            <v>5299</v>
          </cell>
          <cell r="C339" t="str">
            <v>GARBANZOS (UND:3 K)</v>
          </cell>
          <cell r="D339" t="str">
            <v>10100041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12/06/2020</v>
          </cell>
          <cell r="I339">
            <v>3461</v>
          </cell>
          <cell r="J339">
            <v>612</v>
          </cell>
          <cell r="K339">
            <v>3000</v>
          </cell>
          <cell r="L339">
            <v>0.20399999999999999</v>
          </cell>
          <cell r="M339" t="str">
            <v>Gramos</v>
          </cell>
        </row>
        <row r="340">
          <cell r="A340" t="str">
            <v>10100045</v>
          </cell>
          <cell r="B340" t="str">
            <v>5304</v>
          </cell>
          <cell r="C340" t="str">
            <v>AZUCAR CARAMELO (PAQ:0.5 K)</v>
          </cell>
          <cell r="D340" t="str">
            <v>10100045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08/06/2020</v>
          </cell>
          <cell r="I340">
            <v>686</v>
          </cell>
          <cell r="J340">
            <v>748</v>
          </cell>
          <cell r="K340">
            <v>500</v>
          </cell>
          <cell r="L340">
            <v>1.496</v>
          </cell>
          <cell r="M340" t="str">
            <v>Gramos</v>
          </cell>
        </row>
        <row r="341">
          <cell r="A341" t="str">
            <v>10100046</v>
          </cell>
          <cell r="B341" t="str">
            <v>5630</v>
          </cell>
          <cell r="C341" t="str">
            <v>POLVO HORNEAR FLEISHMAN (PAQ:2.5 K)</v>
          </cell>
          <cell r="D341" t="str">
            <v>10100046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2238</v>
          </cell>
          <cell r="J341">
            <v>2462</v>
          </cell>
          <cell r="K341">
            <v>2500</v>
          </cell>
          <cell r="L341">
            <v>0.98480000000000001</v>
          </cell>
          <cell r="M341" t="str">
            <v>Gramos</v>
          </cell>
        </row>
        <row r="342">
          <cell r="A342" t="str">
            <v>10100047</v>
          </cell>
          <cell r="B342" t="str">
            <v>12770</v>
          </cell>
          <cell r="C342" t="str">
            <v>SIROPE CHOCO. LIQUIDO (UND: 680 g)</v>
          </cell>
          <cell r="D342" t="str">
            <v>10100047</v>
          </cell>
          <cell r="E342" t="str">
            <v>MATERIAS PRIMAS PLANTA</v>
          </cell>
          <cell r="F342" t="str">
            <v>1 UND</v>
          </cell>
          <cell r="G342">
            <v>500</v>
          </cell>
          <cell r="H342" t="str">
            <v>04/01/2020</v>
          </cell>
          <cell r="I342" t="e">
            <v>#N/A</v>
          </cell>
          <cell r="J342">
            <v>0</v>
          </cell>
          <cell r="K342">
            <v>680</v>
          </cell>
          <cell r="L342">
            <v>0</v>
          </cell>
          <cell r="M342"/>
        </row>
        <row r="343">
          <cell r="A343" t="str">
            <v>10100048</v>
          </cell>
          <cell r="B343" t="str">
            <v>5312</v>
          </cell>
          <cell r="C343" t="str">
            <v>SIROPE KARO DARK (UND: 3.78 K)</v>
          </cell>
          <cell r="D343" t="str">
            <v>10100048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15/06/2020</v>
          </cell>
          <cell r="I343">
            <v>9861.5</v>
          </cell>
          <cell r="J343">
            <v>12826.75</v>
          </cell>
          <cell r="K343">
            <v>3780</v>
          </cell>
          <cell r="L343">
            <v>3.3933201058201057</v>
          </cell>
          <cell r="M343" t="str">
            <v>Mililitros</v>
          </cell>
        </row>
        <row r="344">
          <cell r="A344" t="str">
            <v>10100049</v>
          </cell>
          <cell r="B344" t="str">
            <v>12773</v>
          </cell>
          <cell r="C344" t="str">
            <v>ACEITE LIBRE TRANS INOLAS (UND:15.88 L)</v>
          </cell>
          <cell r="D344" t="str">
            <v>10100049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08/06/2020</v>
          </cell>
          <cell r="I344">
            <v>17014</v>
          </cell>
          <cell r="J344">
            <v>33857</v>
          </cell>
          <cell r="K344">
            <v>15880</v>
          </cell>
          <cell r="L344">
            <v>2.1320528967254408</v>
          </cell>
          <cell r="M344" t="str">
            <v>Mililitros</v>
          </cell>
        </row>
        <row r="345">
          <cell r="A345" t="str">
            <v>10100050</v>
          </cell>
          <cell r="B345" t="str">
            <v>5524</v>
          </cell>
          <cell r="C345" t="str">
            <v>ACEITE CAPULLO RBD (UND:17  L)</v>
          </cell>
          <cell r="D345" t="str">
            <v>10100050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21354</v>
          </cell>
          <cell r="J345">
            <v>26889</v>
          </cell>
          <cell r="K345">
            <v>17000</v>
          </cell>
          <cell r="L345">
            <v>1.5817058823529411</v>
          </cell>
          <cell r="M345" t="str">
            <v>Mililitros</v>
          </cell>
        </row>
        <row r="346">
          <cell r="A346" t="str">
            <v>10100051</v>
          </cell>
          <cell r="B346" t="str">
            <v>5313</v>
          </cell>
          <cell r="C346" t="str">
            <v>SALSA CHINA GALON</v>
          </cell>
          <cell r="D346" t="str">
            <v>10100051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19/03/2020</v>
          </cell>
          <cell r="I346">
            <v>3396</v>
          </cell>
          <cell r="J346">
            <v>3497</v>
          </cell>
          <cell r="K346">
            <v>3785</v>
          </cell>
          <cell r="L346">
            <v>0.92391017173051515</v>
          </cell>
          <cell r="M346" t="str">
            <v>Mililitros</v>
          </cell>
        </row>
        <row r="347">
          <cell r="A347" t="str">
            <v>10100053</v>
          </cell>
          <cell r="B347" t="str">
            <v>5315</v>
          </cell>
          <cell r="C347" t="str">
            <v>SALSA TOMATE BANQUETE (PAQ:2 Kg)</v>
          </cell>
          <cell r="D347" t="str">
            <v>10100053</v>
          </cell>
          <cell r="E347" t="str">
            <v>MATERIAS PRIMAS PLANTA</v>
          </cell>
          <cell r="F347" t="str">
            <v>1 PAQUETE</v>
          </cell>
          <cell r="G347">
            <v>500</v>
          </cell>
          <cell r="H347" t="str">
            <v>01/06/2020</v>
          </cell>
          <cell r="I347">
            <v>1552</v>
          </cell>
          <cell r="J347">
            <v>1574</v>
          </cell>
          <cell r="K347">
            <v>2000</v>
          </cell>
          <cell r="L347">
            <v>0.78700000000000003</v>
          </cell>
          <cell r="M347" t="str">
            <v>Gramos</v>
          </cell>
        </row>
        <row r="348">
          <cell r="A348" t="str">
            <v>10100067</v>
          </cell>
          <cell r="B348" t="str">
            <v>5241</v>
          </cell>
          <cell r="C348" t="str">
            <v>MAÍZ DULCE GALON (1.800K= DRENADO)</v>
          </cell>
          <cell r="D348" t="str">
            <v>10100067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04/06/2020</v>
          </cell>
          <cell r="I348">
            <v>2729</v>
          </cell>
          <cell r="J348">
            <v>2710.0695999999998</v>
          </cell>
          <cell r="K348">
            <v>1800</v>
          </cell>
          <cell r="L348">
            <v>1.5055942222222221</v>
          </cell>
          <cell r="M348" t="str">
            <v>Gramos</v>
          </cell>
        </row>
        <row r="349">
          <cell r="A349" t="str">
            <v>10100068</v>
          </cell>
          <cell r="B349" t="str">
            <v>5285</v>
          </cell>
          <cell r="C349" t="str">
            <v>PAPITA RAYADA (PAQ:1.5 KILOS)</v>
          </cell>
          <cell r="D349" t="str">
            <v>10100068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05/06/2020</v>
          </cell>
          <cell r="I349">
            <v>15600</v>
          </cell>
          <cell r="J349">
            <v>13520</v>
          </cell>
          <cell r="K349">
            <v>1500</v>
          </cell>
          <cell r="L349">
            <v>9.0133333333333336</v>
          </cell>
          <cell r="M349"/>
        </row>
        <row r="350">
          <cell r="A350" t="str">
            <v>10100082</v>
          </cell>
          <cell r="B350" t="str">
            <v>11295</v>
          </cell>
          <cell r="C350" t="str">
            <v>MAIZ DULCE ENTERO (UND:425g)</v>
          </cell>
          <cell r="D350" t="str">
            <v>10100082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10/02/2020</v>
          </cell>
          <cell r="I350" t="e">
            <v>#N/A</v>
          </cell>
          <cell r="J350">
            <v>0</v>
          </cell>
          <cell r="K350">
            <v>425</v>
          </cell>
          <cell r="L350">
            <v>0</v>
          </cell>
          <cell r="M350"/>
        </row>
        <row r="351">
          <cell r="A351" t="str">
            <v>10100088</v>
          </cell>
          <cell r="B351" t="str">
            <v>5234</v>
          </cell>
          <cell r="C351" t="str">
            <v>VINAGRE BALSAMICO TINTO (UND:250 ML)**</v>
          </cell>
          <cell r="D351" t="str">
            <v>10100088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28/01/2020</v>
          </cell>
          <cell r="I351">
            <v>2542.11</v>
          </cell>
          <cell r="J351">
            <v>2697</v>
          </cell>
          <cell r="K351">
            <v>250</v>
          </cell>
          <cell r="L351">
            <v>10.788</v>
          </cell>
          <cell r="M351" t="str">
            <v>Mililitros</v>
          </cell>
        </row>
        <row r="352">
          <cell r="A352" t="str">
            <v>10100089</v>
          </cell>
          <cell r="B352" t="str">
            <v>5239</v>
          </cell>
          <cell r="C352" t="str">
            <v>CHILE MORRON LATA (UND:390g) *</v>
          </cell>
          <cell r="D352" t="str">
            <v>10100089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13/06/2020</v>
          </cell>
          <cell r="I352">
            <v>1684.21</v>
          </cell>
          <cell r="J352">
            <v>1563.75</v>
          </cell>
          <cell r="K352">
            <v>390</v>
          </cell>
          <cell r="L352">
            <v>4.009615384615385</v>
          </cell>
          <cell r="M352"/>
        </row>
        <row r="353">
          <cell r="A353" t="str">
            <v>10100098</v>
          </cell>
          <cell r="B353" t="str">
            <v>12654</v>
          </cell>
          <cell r="C353" t="str">
            <v>SAL REFINADA (PAQ:500g)</v>
          </cell>
          <cell r="D353" t="str">
            <v>10100098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08/06/2020</v>
          </cell>
          <cell r="I353">
            <v>237.916666666667</v>
          </cell>
          <cell r="J353">
            <v>200</v>
          </cell>
          <cell r="K353">
            <v>500</v>
          </cell>
          <cell r="L353">
            <v>0.4</v>
          </cell>
          <cell r="M353" t="str">
            <v>Gramos</v>
          </cell>
        </row>
        <row r="354">
          <cell r="A354" t="str">
            <v>10100103</v>
          </cell>
          <cell r="B354" t="str">
            <v>5528</v>
          </cell>
          <cell r="C354" t="str">
            <v>ACEITE EXTRA VIRGEN FILIPPO (UND:250 ML)</v>
          </cell>
          <cell r="D354" t="str">
            <v>10100103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1902.3</v>
          </cell>
          <cell r="J354">
            <v>1861.7550000000001</v>
          </cell>
          <cell r="K354">
            <v>250</v>
          </cell>
          <cell r="L354">
            <v>7.4470200000000002</v>
          </cell>
          <cell r="M354"/>
        </row>
        <row r="355">
          <cell r="A355" t="str">
            <v>10100104</v>
          </cell>
          <cell r="B355" t="str">
            <v>7104</v>
          </cell>
          <cell r="C355" t="str">
            <v>TORTILLA MISION CONG 10.5 (PA:12 UND)</v>
          </cell>
          <cell r="D355" t="str">
            <v>10100104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30/03/2020</v>
          </cell>
          <cell r="I355">
            <v>81.710833333333298</v>
          </cell>
          <cell r="J355">
            <v>0</v>
          </cell>
          <cell r="K355">
            <v>1</v>
          </cell>
          <cell r="L355">
            <v>0</v>
          </cell>
          <cell r="M355" t="str">
            <v>UND</v>
          </cell>
        </row>
        <row r="356">
          <cell r="A356" t="str">
            <v>10100107</v>
          </cell>
          <cell r="B356" t="str">
            <v>11492</v>
          </cell>
          <cell r="C356" t="str">
            <v>TORTILLA (PAQ:50 UND)</v>
          </cell>
          <cell r="D356" t="str">
            <v>10100107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16/06/2020</v>
          </cell>
          <cell r="I356">
            <v>1050</v>
          </cell>
          <cell r="J356">
            <v>1300</v>
          </cell>
          <cell r="K356">
            <v>50</v>
          </cell>
          <cell r="L356">
            <v>26</v>
          </cell>
          <cell r="M356"/>
        </row>
        <row r="357">
          <cell r="A357" t="str">
            <v>10100108</v>
          </cell>
          <cell r="B357" t="str">
            <v>11495</v>
          </cell>
          <cell r="C357" t="str">
            <v>EQUAL SUCRALOSA (CAJA=2000/UND)</v>
          </cell>
          <cell r="D357" t="str">
            <v>10100108</v>
          </cell>
          <cell r="E357" t="str">
            <v>MATERIAS PRIMAS PLANTA</v>
          </cell>
          <cell r="F357" t="str">
            <v>1 CAJA</v>
          </cell>
          <cell r="G357">
            <v>500</v>
          </cell>
          <cell r="H357" t="str">
            <v>24/03/2020</v>
          </cell>
          <cell r="I357">
            <v>11945.85</v>
          </cell>
          <cell r="J357">
            <v>0</v>
          </cell>
          <cell r="K357">
            <v>2000</v>
          </cell>
          <cell r="L357">
            <v>0</v>
          </cell>
          <cell r="M357"/>
        </row>
        <row r="358">
          <cell r="A358" t="str">
            <v>10100109</v>
          </cell>
          <cell r="B358" t="str">
            <v>5549</v>
          </cell>
          <cell r="C358" t="str">
            <v>PAN MOLIDO PAQ (250g)</v>
          </cell>
          <cell r="D358" t="str">
            <v>10100109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18/05/2020</v>
          </cell>
          <cell r="I358" t="e">
            <v>#N/A</v>
          </cell>
          <cell r="J358">
            <v>0</v>
          </cell>
          <cell r="K358">
            <v>250</v>
          </cell>
          <cell r="L358">
            <v>0</v>
          </cell>
          <cell r="M358"/>
        </row>
        <row r="359">
          <cell r="A359" t="str">
            <v>10100116</v>
          </cell>
          <cell r="B359" t="str">
            <v>12620</v>
          </cell>
          <cell r="C359" t="str">
            <v>ACEITUNA VERDE C/PIMIENTO (UND:180g)</v>
          </cell>
          <cell r="D359" t="str">
            <v>10100116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19/05/2020</v>
          </cell>
          <cell r="I359">
            <v>495.83333333333297</v>
          </cell>
          <cell r="J359">
            <v>0</v>
          </cell>
          <cell r="K359">
            <v>180</v>
          </cell>
          <cell r="L359">
            <v>0</v>
          </cell>
          <cell r="M359" t="str">
            <v>Gramos</v>
          </cell>
        </row>
        <row r="360">
          <cell r="A360" t="str">
            <v>10100121</v>
          </cell>
          <cell r="B360" t="str">
            <v>9623</v>
          </cell>
          <cell r="C360" t="str">
            <v>DULCE GRANULADO (UND=900GR)</v>
          </cell>
          <cell r="D360" t="str">
            <v>10100121</v>
          </cell>
          <cell r="E360" t="str">
            <v>MATERIAS PRIMAS PLANTA</v>
          </cell>
          <cell r="F360" t="str">
            <v>1 UNIDAD</v>
          </cell>
          <cell r="G360">
            <v>500</v>
          </cell>
          <cell r="H360" t="str">
            <v>10/12/2019</v>
          </cell>
          <cell r="I360">
            <v>1190</v>
          </cell>
          <cell r="J360">
            <v>0</v>
          </cell>
          <cell r="K360">
            <v>900</v>
          </cell>
          <cell r="L360">
            <v>0</v>
          </cell>
          <cell r="M360"/>
        </row>
        <row r="361">
          <cell r="A361" t="str">
            <v>10100122</v>
          </cell>
          <cell r="B361" t="str">
            <v>11609</v>
          </cell>
          <cell r="C361" t="str">
            <v>CANELA EN POLVO BADIA (UND: 1.82 K)</v>
          </cell>
          <cell r="D361" t="str">
            <v>10100122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28/05/2020</v>
          </cell>
          <cell r="I361">
            <v>10961</v>
          </cell>
          <cell r="J361">
            <v>17098</v>
          </cell>
          <cell r="K361">
            <v>1820</v>
          </cell>
          <cell r="L361">
            <v>9.3945054945054949</v>
          </cell>
          <cell r="M361" t="str">
            <v>Gramos</v>
          </cell>
        </row>
        <row r="362">
          <cell r="A362" t="str">
            <v>10100124</v>
          </cell>
          <cell r="B362" t="str">
            <v>11610</v>
          </cell>
          <cell r="C362" t="str">
            <v>BIDON DE AGUA UND</v>
          </cell>
          <cell r="D362" t="str">
            <v>10100124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15/06/2020</v>
          </cell>
          <cell r="I362">
            <v>2654.86</v>
          </cell>
          <cell r="J362">
            <v>3200</v>
          </cell>
          <cell r="K362"/>
          <cell r="L362" t="e">
            <v>#DIV/0!</v>
          </cell>
          <cell r="M362"/>
        </row>
        <row r="363">
          <cell r="A363" t="str">
            <v>10100125</v>
          </cell>
          <cell r="B363" t="str">
            <v>5320</v>
          </cell>
          <cell r="C363" t="str">
            <v>PASTA TOMATE OLD CALI (UND:3.14 K)</v>
          </cell>
          <cell r="D363" t="str">
            <v>10100125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02/06/2020</v>
          </cell>
          <cell r="I363">
            <v>3375</v>
          </cell>
          <cell r="J363">
            <v>4586</v>
          </cell>
          <cell r="K363">
            <v>3140</v>
          </cell>
          <cell r="L363">
            <v>1.4605095541401274</v>
          </cell>
          <cell r="M363" t="str">
            <v>Gramos</v>
          </cell>
        </row>
        <row r="364">
          <cell r="A364" t="str">
            <v>10100131</v>
          </cell>
          <cell r="B364" t="str">
            <v>12477</v>
          </cell>
          <cell r="C364" t="str">
            <v>PAN TOAST ARTESANAL BRUCHETAS (PAQ)</v>
          </cell>
          <cell r="D364" t="str">
            <v>10100131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15/06/2020</v>
          </cell>
          <cell r="I364">
            <v>923</v>
          </cell>
          <cell r="J364">
            <v>0</v>
          </cell>
          <cell r="K364"/>
          <cell r="L364" t="e">
            <v>#DIV/0!</v>
          </cell>
          <cell r="M364"/>
        </row>
        <row r="365">
          <cell r="A365" t="str">
            <v>10100132</v>
          </cell>
          <cell r="B365" t="str">
            <v>12585</v>
          </cell>
          <cell r="C365" t="str">
            <v>CHIPS RAICES EXOTICAS (CAJA:40 UND)</v>
          </cell>
          <cell r="D365" t="str">
            <v>10100132</v>
          </cell>
          <cell r="E365" t="str">
            <v>MATERIAS PRIMAS PLANTA</v>
          </cell>
          <cell r="F365" t="str">
            <v>1 CAJA</v>
          </cell>
          <cell r="G365">
            <v>500</v>
          </cell>
          <cell r="H365" t="str">
            <v>25/03/2020</v>
          </cell>
          <cell r="I365" t="e">
            <v>#N/A</v>
          </cell>
          <cell r="J365">
            <v>0</v>
          </cell>
          <cell r="K365">
            <v>40</v>
          </cell>
          <cell r="L365">
            <v>0</v>
          </cell>
          <cell r="M365"/>
        </row>
        <row r="366">
          <cell r="A366" t="str">
            <v>10100135</v>
          </cell>
          <cell r="B366" t="str">
            <v>11762</v>
          </cell>
          <cell r="C366" t="str">
            <v>FIDEOS TORNILLITO (PAQ:1 K)</v>
          </cell>
          <cell r="D366" t="str">
            <v>10100135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01/06/2020</v>
          </cell>
          <cell r="I366">
            <v>1655</v>
          </cell>
          <cell r="J366">
            <v>1821</v>
          </cell>
          <cell r="K366">
            <v>1000</v>
          </cell>
          <cell r="L366">
            <v>1.821</v>
          </cell>
          <cell r="M366"/>
        </row>
        <row r="367">
          <cell r="A367" t="str">
            <v>10100145</v>
          </cell>
          <cell r="B367" t="str">
            <v>12434</v>
          </cell>
          <cell r="C367" t="str">
            <v>JALEA DE GUAYABA (PAQ:200g)</v>
          </cell>
          <cell r="D367" t="str">
            <v>10100145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16/06/2020</v>
          </cell>
          <cell r="I367">
            <v>550</v>
          </cell>
          <cell r="J367">
            <v>550</v>
          </cell>
          <cell r="K367">
            <v>200</v>
          </cell>
          <cell r="L367">
            <v>2.75</v>
          </cell>
          <cell r="M367"/>
        </row>
        <row r="368">
          <cell r="A368" t="str">
            <v>10100153</v>
          </cell>
          <cell r="B368" t="str">
            <v>12517</v>
          </cell>
          <cell r="C368" t="str">
            <v>DEDOS DE SEÑORA DIVELLA (PAQ)</v>
          </cell>
          <cell r="D368" t="str">
            <v>10100153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18/01/2020</v>
          </cell>
          <cell r="I368">
            <v>2680</v>
          </cell>
          <cell r="J368">
            <v>0</v>
          </cell>
          <cell r="K368">
            <v>48</v>
          </cell>
          <cell r="L368">
            <v>0</v>
          </cell>
          <cell r="M368" t="str">
            <v>und</v>
          </cell>
        </row>
        <row r="369">
          <cell r="A369" t="str">
            <v>10100155</v>
          </cell>
          <cell r="B369" t="str">
            <v>12939</v>
          </cell>
          <cell r="C369" t="str">
            <v>WAFLE LUTOSA (PAQ: 70g)</v>
          </cell>
          <cell r="D369" t="str">
            <v>10100155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15/06/2020</v>
          </cell>
          <cell r="I369" t="e">
            <v>#N/A</v>
          </cell>
          <cell r="J369">
            <v>445</v>
          </cell>
          <cell r="K369">
            <v>70</v>
          </cell>
          <cell r="L369">
            <v>6.3571428571428568</v>
          </cell>
          <cell r="M369"/>
        </row>
        <row r="370">
          <cell r="A370" t="str">
            <v>10100298</v>
          </cell>
          <cell r="B370" t="str">
            <v>13063</v>
          </cell>
          <cell r="C370" t="str">
            <v>SALSA SABOR OSTION KUM CHUN (UND: 2.2 K)</v>
          </cell>
          <cell r="D370" t="str">
            <v>10100298</v>
          </cell>
          <cell r="E370" t="str">
            <v>MATERIAS PRIMAS PLANTA</v>
          </cell>
          <cell r="F370" t="str">
            <v>1 UND</v>
          </cell>
          <cell r="G370">
            <v>500</v>
          </cell>
          <cell r="H370" t="str">
            <v>24/03/2020</v>
          </cell>
          <cell r="I370">
            <v>4950</v>
          </cell>
          <cell r="J370">
            <v>7640</v>
          </cell>
          <cell r="K370">
            <v>2200</v>
          </cell>
          <cell r="L370">
            <v>3.4727272727272727</v>
          </cell>
          <cell r="M370" t="str">
            <v>Gramos</v>
          </cell>
        </row>
        <row r="371">
          <cell r="A371" t="str">
            <v>10100163</v>
          </cell>
          <cell r="B371" t="str">
            <v>14393</v>
          </cell>
          <cell r="C371" t="str">
            <v>ARROZ PRECOCIDO MI SABOR (SACO:50K)</v>
          </cell>
          <cell r="D371" t="str">
            <v>10100163</v>
          </cell>
          <cell r="E371" t="str">
            <v>MATERIAS PRIMAS PLANTA</v>
          </cell>
          <cell r="F371" t="str">
            <v>1 SACO</v>
          </cell>
          <cell r="G371">
            <v>500</v>
          </cell>
          <cell r="H371" t="str">
            <v>05/06/2020</v>
          </cell>
          <cell r="I371">
            <v>35050.199999999997</v>
          </cell>
          <cell r="J371">
            <v>0</v>
          </cell>
          <cell r="K371">
            <v>50000</v>
          </cell>
          <cell r="L371">
            <v>0</v>
          </cell>
          <cell r="M371"/>
        </row>
        <row r="372">
          <cell r="A372" t="str">
            <v>10100164</v>
          </cell>
          <cell r="B372" t="str">
            <v>14394</v>
          </cell>
          <cell r="C372" t="str">
            <v>MELOCOTON CUBOS MONACO (UND:3 K)</v>
          </cell>
          <cell r="D372" t="str">
            <v>10100164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28/05/2020</v>
          </cell>
          <cell r="I372" t="e">
            <v>#N/A</v>
          </cell>
          <cell r="J372">
            <v>0</v>
          </cell>
          <cell r="K372">
            <v>1800</v>
          </cell>
          <cell r="L372">
            <v>0</v>
          </cell>
          <cell r="M372" t="str">
            <v>Gramos</v>
          </cell>
        </row>
        <row r="373">
          <cell r="A373" t="str">
            <v>10100165</v>
          </cell>
          <cell r="B373" t="str">
            <v>14395</v>
          </cell>
          <cell r="C373" t="str">
            <v>FLAT BREAD REDONDO (PAQ:12 UND)</v>
          </cell>
          <cell r="D373" t="str">
            <v>10100165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08/02/2020</v>
          </cell>
          <cell r="I373" t="e">
            <v>#N/A</v>
          </cell>
          <cell r="J373">
            <v>0</v>
          </cell>
          <cell r="K373"/>
          <cell r="L373" t="e">
            <v>#DIV/0!</v>
          </cell>
          <cell r="M373"/>
        </row>
        <row r="374">
          <cell r="A374" t="str">
            <v>10100171</v>
          </cell>
          <cell r="B374" t="str">
            <v>14743</v>
          </cell>
          <cell r="C374" t="str">
            <v>LECHE CONDENSADA COCINADA ( PAQ:4 K)</v>
          </cell>
          <cell r="D374" t="str">
            <v>10100171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15/02/2020</v>
          </cell>
          <cell r="I374">
            <v>10076</v>
          </cell>
          <cell r="J374">
            <v>11140</v>
          </cell>
          <cell r="K374">
            <v>4000</v>
          </cell>
          <cell r="L374">
            <v>2.7850000000000001</v>
          </cell>
          <cell r="M374" t="str">
            <v>Gramos</v>
          </cell>
        </row>
        <row r="375">
          <cell r="A375" t="str">
            <v>10100172</v>
          </cell>
          <cell r="B375" t="str">
            <v>14845</v>
          </cell>
          <cell r="C375" t="str">
            <v>CHOP SUEY VIGUI 860 G (BULTO:6 UND)</v>
          </cell>
          <cell r="D375" t="str">
            <v>10100172</v>
          </cell>
          <cell r="E375" t="str">
            <v>MATERIAS PRIMAS PLANTA</v>
          </cell>
          <cell r="F375" t="str">
            <v>1 BULTO</v>
          </cell>
          <cell r="G375">
            <v>500</v>
          </cell>
          <cell r="H375" t="str">
            <v>17/03/2020</v>
          </cell>
          <cell r="I375">
            <v>21501</v>
          </cell>
          <cell r="J375">
            <v>32081</v>
          </cell>
          <cell r="K375">
            <v>5160</v>
          </cell>
          <cell r="L375">
            <v>6.2172480620155035</v>
          </cell>
          <cell r="M375" t="str">
            <v>Gramos</v>
          </cell>
        </row>
        <row r="376">
          <cell r="A376" t="str">
            <v>10100173</v>
          </cell>
          <cell r="B376" t="str">
            <v>14895</v>
          </cell>
          <cell r="C376" t="str">
            <v>MOSTAZA HELLMANNS (UND: 4 K)</v>
          </cell>
          <cell r="D376" t="str">
            <v>10100173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12/06/2020</v>
          </cell>
          <cell r="I376">
            <v>6196</v>
          </cell>
          <cell r="J376">
            <v>7162</v>
          </cell>
          <cell r="K376">
            <v>4000</v>
          </cell>
          <cell r="L376">
            <v>1.7905</v>
          </cell>
          <cell r="M376"/>
        </row>
        <row r="377">
          <cell r="A377" t="str">
            <v>10100174</v>
          </cell>
          <cell r="B377" t="str">
            <v>14987</v>
          </cell>
          <cell r="C377" t="str">
            <v>FRIJOL NEGRO TIO PELON (BULTO:15/800 G)</v>
          </cell>
          <cell r="D377" t="str">
            <v>10100174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15/06/2020</v>
          </cell>
          <cell r="I377">
            <v>13881</v>
          </cell>
          <cell r="J377">
            <v>18811</v>
          </cell>
          <cell r="K377">
            <v>12000</v>
          </cell>
          <cell r="L377">
            <v>1.5675833333333333</v>
          </cell>
          <cell r="M377" t="str">
            <v>Gramos</v>
          </cell>
        </row>
        <row r="378">
          <cell r="A378" t="str">
            <v>10100175</v>
          </cell>
          <cell r="B378" t="str">
            <v>15008</v>
          </cell>
          <cell r="C378" t="str">
            <v>SALSITA TOMATE CON CARNE (PAQ:8 UND)</v>
          </cell>
          <cell r="D378" t="str">
            <v>10100175</v>
          </cell>
          <cell r="E378" t="str">
            <v>MATERIAS PRIMAS PLANTA</v>
          </cell>
          <cell r="F378" t="str">
            <v>1 PAQUETE</v>
          </cell>
          <cell r="G378">
            <v>500</v>
          </cell>
          <cell r="H378" t="str">
            <v>21/03/2020</v>
          </cell>
          <cell r="I378" t="e">
            <v>#N/A</v>
          </cell>
          <cell r="J378">
            <v>0</v>
          </cell>
          <cell r="K378"/>
          <cell r="L378" t="e">
            <v>#DIV/0!</v>
          </cell>
          <cell r="M378"/>
        </row>
        <row r="379">
          <cell r="A379" t="str">
            <v>10100178</v>
          </cell>
          <cell r="B379" t="str">
            <v>15112</v>
          </cell>
          <cell r="C379" t="str">
            <v>CHILE ROJO TRITURADO (UND:368G)</v>
          </cell>
          <cell r="D379" t="str">
            <v>10100178</v>
          </cell>
          <cell r="E379" t="str">
            <v>MATERIAS PRIMAS PLANTA</v>
          </cell>
          <cell r="F379" t="str">
            <v>1 UND</v>
          </cell>
          <cell r="G379">
            <v>500</v>
          </cell>
          <cell r="H379" t="str">
            <v>14/12/2019</v>
          </cell>
          <cell r="I379">
            <v>2496</v>
          </cell>
          <cell r="J379">
            <v>3524.0779000000002</v>
          </cell>
          <cell r="K379">
            <v>368</v>
          </cell>
          <cell r="L379">
            <v>9.5762986413043478</v>
          </cell>
          <cell r="M379" t="str">
            <v>Gramos</v>
          </cell>
        </row>
        <row r="380">
          <cell r="A380" t="str">
            <v>10100180</v>
          </cell>
          <cell r="B380" t="str">
            <v>15119</v>
          </cell>
          <cell r="C380" t="str">
            <v>BASE ADEREZO ITALIANO (SACO: 25 KG)</v>
          </cell>
          <cell r="D380" t="str">
            <v>10100180</v>
          </cell>
          <cell r="E380" t="str">
            <v>MATERIAS PRIMAS PLANTA</v>
          </cell>
          <cell r="F380" t="str">
            <v>1 SACO</v>
          </cell>
          <cell r="G380">
            <v>500</v>
          </cell>
          <cell r="H380" t="str">
            <v>17/03/2020</v>
          </cell>
          <cell r="I380">
            <v>59242</v>
          </cell>
          <cell r="J380">
            <v>0</v>
          </cell>
          <cell r="K380">
            <v>25000</v>
          </cell>
          <cell r="L380">
            <v>0</v>
          </cell>
          <cell r="M380"/>
        </row>
        <row r="381">
          <cell r="A381" t="str">
            <v>10100181</v>
          </cell>
          <cell r="B381" t="str">
            <v>15120</v>
          </cell>
          <cell r="C381" t="str">
            <v>VINAGRE SINTETICO CLARO (GALON)</v>
          </cell>
          <cell r="D381" t="str">
            <v>10100181</v>
          </cell>
          <cell r="E381" t="str">
            <v>MATERIAS PRIMAS PLANTA</v>
          </cell>
          <cell r="F381" t="str">
            <v xml:space="preserve">1 GALON </v>
          </cell>
          <cell r="G381">
            <v>500</v>
          </cell>
          <cell r="H381" t="str">
            <v>16/03/2020</v>
          </cell>
          <cell r="I381">
            <v>1215</v>
          </cell>
          <cell r="J381">
            <v>0</v>
          </cell>
          <cell r="K381">
            <v>3785</v>
          </cell>
          <cell r="L381">
            <v>0</v>
          </cell>
          <cell r="M381"/>
        </row>
        <row r="382">
          <cell r="A382" t="str">
            <v>10100182</v>
          </cell>
          <cell r="B382" t="str">
            <v>15121</v>
          </cell>
          <cell r="C382" t="str">
            <v>MEZCLA ADEREZO AJO (PAQ:25 K)</v>
          </cell>
          <cell r="D382" t="str">
            <v>10100182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05/02/2020</v>
          </cell>
          <cell r="I382" t="e">
            <v>#N/A</v>
          </cell>
          <cell r="J382">
            <v>0</v>
          </cell>
          <cell r="K382">
            <v>25000</v>
          </cell>
          <cell r="L382">
            <v>0</v>
          </cell>
          <cell r="M382"/>
        </row>
        <row r="383">
          <cell r="A383" t="str">
            <v>10100183</v>
          </cell>
          <cell r="B383" t="str">
            <v>15122</v>
          </cell>
          <cell r="C383" t="str">
            <v>ADEREZO MAYONESA (UND 10 K)</v>
          </cell>
          <cell r="D383" t="str">
            <v>10100183</v>
          </cell>
          <cell r="E383" t="str">
            <v>MATERIAS PRIMAS PLANTA</v>
          </cell>
          <cell r="F383" t="str">
            <v>1 UND</v>
          </cell>
          <cell r="G383">
            <v>500</v>
          </cell>
          <cell r="H383" t="str">
            <v>19/03/2020</v>
          </cell>
          <cell r="I383" t="e">
            <v>#N/A</v>
          </cell>
          <cell r="J383">
            <v>0</v>
          </cell>
          <cell r="K383">
            <v>10000</v>
          </cell>
          <cell r="L383">
            <v>0</v>
          </cell>
          <cell r="M383"/>
        </row>
        <row r="384">
          <cell r="A384" t="str">
            <v>10100184</v>
          </cell>
          <cell r="B384" t="str">
            <v>15123</v>
          </cell>
          <cell r="C384" t="str">
            <v>PLATANO VERDE PELADO (PAQ: 2 K)</v>
          </cell>
          <cell r="D384" t="str">
            <v>10100184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21/05/2020</v>
          </cell>
          <cell r="I384" t="e">
            <v>#N/A</v>
          </cell>
          <cell r="J384">
            <v>0</v>
          </cell>
          <cell r="K384">
            <v>2000</v>
          </cell>
          <cell r="L384">
            <v>0</v>
          </cell>
          <cell r="M384"/>
        </row>
        <row r="385">
          <cell r="A385" t="str">
            <v>10100185</v>
          </cell>
          <cell r="B385" t="str">
            <v>15124</v>
          </cell>
          <cell r="C385" t="str">
            <v>SALSA TOMATE ROSTIPOLLOS (UND: 4 K)</v>
          </cell>
          <cell r="D385" t="str">
            <v>10100185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23/04/2020</v>
          </cell>
          <cell r="I385">
            <v>2353</v>
          </cell>
          <cell r="J385">
            <v>0</v>
          </cell>
          <cell r="K385">
            <v>4000</v>
          </cell>
          <cell r="L385">
            <v>0</v>
          </cell>
          <cell r="M385"/>
        </row>
        <row r="386">
          <cell r="A386" t="str">
            <v>10100186</v>
          </cell>
          <cell r="B386" t="str">
            <v>15125</v>
          </cell>
          <cell r="C386" t="str">
            <v>PRESERVANTE T (PAQ: 5 KILO)</v>
          </cell>
          <cell r="D386" t="str">
            <v>10100186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14/01/2020</v>
          </cell>
          <cell r="I386" t="e">
            <v>#N/A</v>
          </cell>
          <cell r="J386">
            <v>0</v>
          </cell>
          <cell r="K386">
            <v>5000</v>
          </cell>
          <cell r="L386">
            <v>0</v>
          </cell>
        </row>
        <row r="387">
          <cell r="A387" t="str">
            <v>10100187</v>
          </cell>
          <cell r="B387" t="str">
            <v>15126</v>
          </cell>
          <cell r="C387" t="str">
            <v>CMC AMTEX (PAQ: KILO)</v>
          </cell>
          <cell r="D387" t="str">
            <v>10100187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>
            <v>0</v>
          </cell>
          <cell r="K387">
            <v>1000</v>
          </cell>
          <cell r="L387">
            <v>0</v>
          </cell>
          <cell r="M387"/>
        </row>
        <row r="388">
          <cell r="A388" t="str">
            <v>10100188</v>
          </cell>
          <cell r="B388" t="str">
            <v>15129</v>
          </cell>
          <cell r="C388" t="str">
            <v>YUCA EN TROZO (PAQ:3 K)</v>
          </cell>
          <cell r="D388" t="str">
            <v>10100188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13/06/2020</v>
          </cell>
          <cell r="I388">
            <v>3450</v>
          </cell>
          <cell r="J388">
            <v>0</v>
          </cell>
          <cell r="K388">
            <v>3000</v>
          </cell>
          <cell r="L388">
            <v>0</v>
          </cell>
        </row>
        <row r="389">
          <cell r="A389" t="str">
            <v>10100189</v>
          </cell>
          <cell r="B389" t="str">
            <v>15130</v>
          </cell>
          <cell r="C389" t="str">
            <v>CLORURO DE CALCIO (PAQ: KILO)</v>
          </cell>
          <cell r="D389" t="str">
            <v>10100189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10/06/2020</v>
          </cell>
          <cell r="I389" t="e">
            <v>#N/A</v>
          </cell>
          <cell r="J389">
            <v>0</v>
          </cell>
          <cell r="K389">
            <v>1000</v>
          </cell>
          <cell r="L389">
            <v>0</v>
          </cell>
          <cell r="M389"/>
        </row>
        <row r="390">
          <cell r="A390" t="str">
            <v>10100190</v>
          </cell>
          <cell r="B390" t="str">
            <v>15131</v>
          </cell>
          <cell r="C390" t="str">
            <v>LIMON MANDARINA (GALON)</v>
          </cell>
          <cell r="D390" t="str">
            <v>10100190</v>
          </cell>
          <cell r="E390" t="str">
            <v>MATERIAS PRIMAS PLANTA</v>
          </cell>
          <cell r="F390" t="str">
            <v xml:space="preserve">1 GALON </v>
          </cell>
          <cell r="G390">
            <v>500</v>
          </cell>
          <cell r="H390" t="str">
            <v>06/06/2020</v>
          </cell>
          <cell r="I390">
            <v>4000</v>
          </cell>
          <cell r="J390">
            <v>0</v>
          </cell>
          <cell r="K390">
            <v>3785</v>
          </cell>
          <cell r="L390">
            <v>0</v>
          </cell>
          <cell r="M390"/>
        </row>
        <row r="391">
          <cell r="A391" t="str">
            <v>10100191</v>
          </cell>
          <cell r="B391" t="str">
            <v>15132</v>
          </cell>
          <cell r="C391" t="str">
            <v>SORBATO DE POTASIO (PAQ: KILO)</v>
          </cell>
          <cell r="D391" t="str">
            <v>10100191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27/03/2020</v>
          </cell>
          <cell r="I391">
            <v>4415.5</v>
          </cell>
          <cell r="J391">
            <v>0</v>
          </cell>
          <cell r="K391">
            <v>1000</v>
          </cell>
          <cell r="L391">
            <v>0</v>
          </cell>
        </row>
        <row r="392">
          <cell r="A392" t="str">
            <v>10100193</v>
          </cell>
          <cell r="B392" t="str">
            <v>15138</v>
          </cell>
          <cell r="C392" t="str">
            <v>CONSOME POLLO MAGGI (PAQ:1K)</v>
          </cell>
          <cell r="D392" t="str">
            <v>10100193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21/05/2020</v>
          </cell>
          <cell r="I392">
            <v>3398</v>
          </cell>
          <cell r="J392">
            <v>4254</v>
          </cell>
          <cell r="K392">
            <v>1000</v>
          </cell>
          <cell r="L392">
            <v>4.2539999999999996</v>
          </cell>
          <cell r="M392"/>
        </row>
        <row r="393">
          <cell r="A393" t="str">
            <v>10100194</v>
          </cell>
          <cell r="B393" t="str">
            <v>15139</v>
          </cell>
          <cell r="C393" t="str">
            <v>NATILLA CREMOSITA 18% CON SAL(PAQ:300 G)</v>
          </cell>
          <cell r="D393" t="str">
            <v>10100194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15/06/2020</v>
          </cell>
          <cell r="I393" t="e">
            <v>#N/A</v>
          </cell>
          <cell r="J393">
            <v>0</v>
          </cell>
          <cell r="K393">
            <v>300</v>
          </cell>
          <cell r="L393">
            <v>0</v>
          </cell>
        </row>
        <row r="394">
          <cell r="A394" t="str">
            <v>10100195</v>
          </cell>
          <cell r="B394" t="str">
            <v>15140</v>
          </cell>
          <cell r="C394" t="str">
            <v>QUESO MOLIDO (PAQ:1 K)</v>
          </cell>
          <cell r="D394" t="str">
            <v>10100195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26/05/2020</v>
          </cell>
          <cell r="I394" t="e">
            <v>#N/A</v>
          </cell>
          <cell r="J394">
            <v>0</v>
          </cell>
          <cell r="K394">
            <v>1000</v>
          </cell>
          <cell r="L394">
            <v>0</v>
          </cell>
          <cell r="M394"/>
        </row>
        <row r="395">
          <cell r="A395" t="str">
            <v>10100197</v>
          </cell>
          <cell r="B395" t="str">
            <v>15142</v>
          </cell>
          <cell r="C395" t="str">
            <v>ARROZ PRECOC 95%TIO PELON (BULT:10/1.8K)</v>
          </cell>
          <cell r="D395" t="str">
            <v>10100197</v>
          </cell>
          <cell r="E395" t="str">
            <v>MATERIAS PRIMAS PLANTA</v>
          </cell>
          <cell r="F395" t="str">
            <v>1 BULTO</v>
          </cell>
          <cell r="G395">
            <v>500</v>
          </cell>
          <cell r="H395" t="str">
            <v>16/01/2020</v>
          </cell>
          <cell r="I395">
            <v>18503.636363599999</v>
          </cell>
          <cell r="J395">
            <v>0</v>
          </cell>
          <cell r="K395">
            <v>18000</v>
          </cell>
          <cell r="L395">
            <v>0</v>
          </cell>
          <cell r="M395" t="str">
            <v>Gramos</v>
          </cell>
        </row>
        <row r="396">
          <cell r="A396" t="str">
            <v>10100198</v>
          </cell>
          <cell r="B396" t="str">
            <v>15143</v>
          </cell>
          <cell r="C396" t="str">
            <v>CURCUMA POLVO (PAQ: 1 K)</v>
          </cell>
          <cell r="D396" t="str">
            <v>10100198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17/01/2020</v>
          </cell>
          <cell r="I396" t="e">
            <v>#N/A</v>
          </cell>
          <cell r="J396">
            <v>0</v>
          </cell>
          <cell r="K396">
            <v>1000</v>
          </cell>
          <cell r="L396">
            <v>0</v>
          </cell>
          <cell r="M396"/>
        </row>
        <row r="397">
          <cell r="A397" t="str">
            <v>10100199</v>
          </cell>
          <cell r="B397" t="str">
            <v>15144</v>
          </cell>
          <cell r="C397" t="str">
            <v>PECHUGA VENTANITA CONCASA (KILO)</v>
          </cell>
          <cell r="D397" t="str">
            <v>10100199</v>
          </cell>
          <cell r="E397" t="str">
            <v>MATERIAS PRIMAS PLANTA</v>
          </cell>
          <cell r="F397" t="str">
            <v xml:space="preserve">1 KILO </v>
          </cell>
          <cell r="G397">
            <v>500</v>
          </cell>
          <cell r="H397" t="str">
            <v>15/06/2020</v>
          </cell>
          <cell r="I397">
            <v>4000.82</v>
          </cell>
          <cell r="J397">
            <v>0</v>
          </cell>
          <cell r="K397">
            <v>1000</v>
          </cell>
          <cell r="L397">
            <v>0</v>
          </cell>
          <cell r="M397" t="str">
            <v>Gramos</v>
          </cell>
        </row>
        <row r="398">
          <cell r="A398" t="str">
            <v>10100200</v>
          </cell>
          <cell r="B398" t="str">
            <v>15145</v>
          </cell>
          <cell r="C398" t="str">
            <v>MUSLO VENTANITA CONCASA (KILO)</v>
          </cell>
          <cell r="D398" t="str">
            <v>10100200</v>
          </cell>
          <cell r="E398" t="str">
            <v>MATERIAS PRIMAS PLANTA</v>
          </cell>
          <cell r="F398" t="str">
            <v xml:space="preserve">1 KILO  </v>
          </cell>
          <cell r="G398">
            <v>500</v>
          </cell>
          <cell r="H398" t="str">
            <v>15/06/2020</v>
          </cell>
          <cell r="I398">
            <v>4000</v>
          </cell>
          <cell r="J398">
            <v>0</v>
          </cell>
          <cell r="K398">
            <v>1000</v>
          </cell>
          <cell r="L398">
            <v>0</v>
          </cell>
          <cell r="M398" t="str">
            <v>Gramos</v>
          </cell>
        </row>
        <row r="399">
          <cell r="A399" t="str">
            <v>10100201</v>
          </cell>
          <cell r="B399" t="str">
            <v>15146</v>
          </cell>
          <cell r="C399" t="str">
            <v>COND FRIJOL MOLIDO GRIFF RP 4K(CJ:4 UND)</v>
          </cell>
          <cell r="D399" t="str">
            <v>10100201</v>
          </cell>
          <cell r="E399" t="str">
            <v>MATERIAS PRIMAS PLANTA</v>
          </cell>
          <cell r="F399" t="str">
            <v>1 CAJA</v>
          </cell>
          <cell r="G399">
            <v>500</v>
          </cell>
          <cell r="H399" t="str">
            <v>15/06/2020</v>
          </cell>
          <cell r="I399" t="e">
            <v>#N/A</v>
          </cell>
          <cell r="J399">
            <v>0</v>
          </cell>
          <cell r="K399"/>
          <cell r="L399" t="e">
            <v>#DIV/0!</v>
          </cell>
          <cell r="M399"/>
        </row>
        <row r="400">
          <cell r="A400" t="str">
            <v>10100202</v>
          </cell>
          <cell r="B400" t="str">
            <v>15148</v>
          </cell>
          <cell r="C400" t="str">
            <v>HARINA PALATINA CORRIENTE (SACO:25 K)</v>
          </cell>
          <cell r="D400" t="str">
            <v>10100202</v>
          </cell>
          <cell r="E400" t="str">
            <v>MATERIAS PRIMAS PLANTA</v>
          </cell>
          <cell r="F400" t="str">
            <v>1 SACO</v>
          </cell>
          <cell r="G400">
            <v>500</v>
          </cell>
          <cell r="H400" t="str">
            <v>13/06/2020</v>
          </cell>
          <cell r="I400">
            <v>11386.01</v>
          </cell>
          <cell r="J400">
            <v>0</v>
          </cell>
          <cell r="K400">
            <v>25000</v>
          </cell>
          <cell r="L400">
            <v>0</v>
          </cell>
          <cell r="M400"/>
        </row>
        <row r="401">
          <cell r="A401" t="str">
            <v>10100203</v>
          </cell>
          <cell r="B401" t="str">
            <v>15149</v>
          </cell>
          <cell r="C401" t="str">
            <v>GALLETA MARIA EN POLVO (PAQ:KILO)</v>
          </cell>
          <cell r="D401" t="str">
            <v>10100203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19/03/2020</v>
          </cell>
          <cell r="I401">
            <v>3211</v>
          </cell>
          <cell r="J401">
            <v>0</v>
          </cell>
          <cell r="K401">
            <v>1000</v>
          </cell>
          <cell r="L401">
            <v>0</v>
          </cell>
          <cell r="M401"/>
        </row>
        <row r="402">
          <cell r="A402" t="str">
            <v>10100204</v>
          </cell>
          <cell r="B402" t="str">
            <v>15151</v>
          </cell>
          <cell r="C402" t="str">
            <v>QUESO CREMA IN LINE (UND: 210 G)</v>
          </cell>
          <cell r="D402" t="str">
            <v>10100204</v>
          </cell>
          <cell r="E402" t="str">
            <v>MATERIAS PRIMAS PLANTA</v>
          </cell>
          <cell r="F402" t="str">
            <v>1 UND</v>
          </cell>
          <cell r="G402">
            <v>500</v>
          </cell>
          <cell r="H402" t="str">
            <v>18/04/2020</v>
          </cell>
          <cell r="I402">
            <v>1056</v>
          </cell>
          <cell r="J402">
            <v>0</v>
          </cell>
          <cell r="K402">
            <v>210</v>
          </cell>
          <cell r="L402">
            <v>0</v>
          </cell>
          <cell r="M402"/>
        </row>
        <row r="403">
          <cell r="A403" t="str">
            <v>10100205</v>
          </cell>
          <cell r="B403" t="str">
            <v>15152</v>
          </cell>
          <cell r="C403" t="str">
            <v>CREMA DULCE (GALON) DPR</v>
          </cell>
          <cell r="D403" t="str">
            <v>10100205</v>
          </cell>
          <cell r="E403" t="str">
            <v>MATERIAS PRIMAS PLANTA</v>
          </cell>
          <cell r="F403" t="str">
            <v xml:space="preserve">1 GALON </v>
          </cell>
          <cell r="G403">
            <v>500</v>
          </cell>
          <cell r="H403" t="str">
            <v>11/06/2020</v>
          </cell>
          <cell r="I403">
            <v>9809</v>
          </cell>
          <cell r="J403">
            <v>0</v>
          </cell>
          <cell r="K403">
            <v>3785</v>
          </cell>
          <cell r="L403">
            <v>0</v>
          </cell>
          <cell r="M403" t="str">
            <v>Mililitros</v>
          </cell>
        </row>
        <row r="404">
          <cell r="A404" t="str">
            <v>10100206</v>
          </cell>
          <cell r="B404" t="str">
            <v>15153</v>
          </cell>
          <cell r="C404" t="str">
            <v>SUSTITUTO SUCRALOSA (PAQ: 5 KILOS)</v>
          </cell>
          <cell r="D404" t="str">
            <v>10100206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27/03/2020</v>
          </cell>
          <cell r="I404" t="e">
            <v>#N/A</v>
          </cell>
          <cell r="J404">
            <v>0</v>
          </cell>
          <cell r="K404">
            <v>5000</v>
          </cell>
          <cell r="L404">
            <v>0</v>
          </cell>
          <cell r="M404"/>
        </row>
        <row r="405">
          <cell r="A405" t="str">
            <v>10100207</v>
          </cell>
          <cell r="B405" t="str">
            <v>15154</v>
          </cell>
          <cell r="C405" t="str">
            <v>LECHE DESCREMADA TB DOS PINOS(CAJA:12 L)</v>
          </cell>
          <cell r="D405" t="str">
            <v>10100207</v>
          </cell>
          <cell r="E405" t="str">
            <v>MATERIAS PRIMAS PLANTA</v>
          </cell>
          <cell r="F405" t="str">
            <v>1 CAJA</v>
          </cell>
          <cell r="G405">
            <v>500</v>
          </cell>
          <cell r="H405" t="str">
            <v>18/04/2020</v>
          </cell>
          <cell r="I405">
            <v>9320.5400000000009</v>
          </cell>
          <cell r="J405">
            <v>9796</v>
          </cell>
          <cell r="K405"/>
          <cell r="L405" t="e">
            <v>#DIV/0!</v>
          </cell>
          <cell r="M405"/>
        </row>
        <row r="406">
          <cell r="A406" t="str">
            <v>10100208</v>
          </cell>
          <cell r="B406" t="str">
            <v>15155</v>
          </cell>
          <cell r="C406" t="str">
            <v>MARACUYA (KILO)</v>
          </cell>
          <cell r="D406" t="str">
            <v>10100208</v>
          </cell>
          <cell r="E406" t="str">
            <v>MATERIAS PRIMAS PLANTA</v>
          </cell>
          <cell r="F406" t="str">
            <v xml:space="preserve">1 KILO </v>
          </cell>
          <cell r="G406">
            <v>500</v>
          </cell>
          <cell r="H406" t="str">
            <v>06/04/2020</v>
          </cell>
          <cell r="I406">
            <v>2465</v>
          </cell>
          <cell r="J406">
            <v>0</v>
          </cell>
          <cell r="K406">
            <v>1000</v>
          </cell>
          <cell r="L406">
            <v>0</v>
          </cell>
          <cell r="M406" t="str">
            <v>Gramos</v>
          </cell>
        </row>
        <row r="407">
          <cell r="A407" t="str">
            <v>10100211</v>
          </cell>
          <cell r="B407" t="str">
            <v>15177</v>
          </cell>
          <cell r="C407" t="str">
            <v>MANTECA CLOVER GRUESA 460G (CJ:40 UND)</v>
          </cell>
          <cell r="D407" t="str">
            <v>10100211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28/05/2020</v>
          </cell>
          <cell r="I407" t="e">
            <v>#N/A</v>
          </cell>
          <cell r="J407">
            <v>0</v>
          </cell>
          <cell r="K407">
            <v>40</v>
          </cell>
          <cell r="L407">
            <v>0</v>
          </cell>
          <cell r="M407"/>
        </row>
        <row r="408">
          <cell r="A408" t="str">
            <v>10100212</v>
          </cell>
          <cell r="B408" t="str">
            <v>15188</v>
          </cell>
          <cell r="C408" t="str">
            <v>CEBOLLA ROSTI (PAQ: 2.5K)</v>
          </cell>
          <cell r="D408" t="str">
            <v>10100212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16/06/2020</v>
          </cell>
          <cell r="I408" t="e">
            <v>#N/A</v>
          </cell>
          <cell r="J408">
            <v>0</v>
          </cell>
          <cell r="K408">
            <v>2500</v>
          </cell>
          <cell r="L408">
            <v>0</v>
          </cell>
          <cell r="M408"/>
        </row>
        <row r="409">
          <cell r="A409" t="str">
            <v>10100213</v>
          </cell>
          <cell r="B409" t="str">
            <v>15189</v>
          </cell>
          <cell r="C409" t="str">
            <v>VINAGRE DULCE GRIFF RP 4 K (CAJA:4 UND)</v>
          </cell>
          <cell r="D409" t="str">
            <v>10100213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15/06/2020</v>
          </cell>
          <cell r="I409">
            <v>11616</v>
          </cell>
          <cell r="J409">
            <v>0</v>
          </cell>
          <cell r="K409"/>
          <cell r="L409" t="e">
            <v>#DIV/0!</v>
          </cell>
          <cell r="M409"/>
        </row>
        <row r="410">
          <cell r="A410" t="str">
            <v>10100214</v>
          </cell>
          <cell r="B410" t="str">
            <v>15234</v>
          </cell>
          <cell r="C410" t="str">
            <v>VINAGRE PICANTE GRIFF RP 4K(CAJA:4 UND )</v>
          </cell>
          <cell r="D410" t="str">
            <v>10100214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 t="e">
            <v>#N/A</v>
          </cell>
          <cell r="J410">
            <v>0</v>
          </cell>
          <cell r="K410"/>
          <cell r="L410" t="e">
            <v>#DIV/0!</v>
          </cell>
          <cell r="M410"/>
        </row>
        <row r="411">
          <cell r="A411" t="str">
            <v>10100215</v>
          </cell>
          <cell r="B411" t="str">
            <v>15244</v>
          </cell>
          <cell r="C411" t="str">
            <v>COCO DESHIDRATADO MEDIO (PAQ: KILO)</v>
          </cell>
          <cell r="D411" t="str">
            <v>10100215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22/02/2020</v>
          </cell>
          <cell r="I411">
            <v>2742</v>
          </cell>
          <cell r="J411">
            <v>0</v>
          </cell>
          <cell r="K411">
            <v>1000</v>
          </cell>
          <cell r="L411">
            <v>0</v>
          </cell>
          <cell r="M411"/>
        </row>
        <row r="412">
          <cell r="A412" t="str">
            <v>10100217</v>
          </cell>
          <cell r="B412" t="str">
            <v>15248</v>
          </cell>
          <cell r="C412" t="str">
            <v>CONDIMENTO CAJUN (PAQ:1 K)</v>
          </cell>
          <cell r="D412" t="str">
            <v>10100217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17/01/2020</v>
          </cell>
          <cell r="I412" t="e">
            <v>#N/A</v>
          </cell>
          <cell r="J412">
            <v>0</v>
          </cell>
          <cell r="K412">
            <v>1000</v>
          </cell>
          <cell r="L412">
            <v>0</v>
          </cell>
          <cell r="M412"/>
        </row>
        <row r="413">
          <cell r="A413" t="str">
            <v>10100218</v>
          </cell>
          <cell r="B413" t="str">
            <v>15252</v>
          </cell>
          <cell r="C413" t="str">
            <v>QUESO SEMIDURO DADOS RD (KILO)</v>
          </cell>
          <cell r="D413" t="str">
            <v>10100218</v>
          </cell>
          <cell r="E413" t="str">
            <v>MATERIAS PRIMAS PLANTA</v>
          </cell>
          <cell r="F413" t="str">
            <v xml:space="preserve">1 KILO </v>
          </cell>
          <cell r="G413">
            <v>500</v>
          </cell>
          <cell r="H413" t="str">
            <v>15/06/2020</v>
          </cell>
          <cell r="I413" t="e">
            <v>#N/A</v>
          </cell>
          <cell r="J413">
            <v>0</v>
          </cell>
          <cell r="K413">
            <v>1000</v>
          </cell>
          <cell r="L413">
            <v>0</v>
          </cell>
          <cell r="M413" t="str">
            <v>Gramos</v>
          </cell>
        </row>
        <row r="414">
          <cell r="A414" t="str">
            <v>10100219</v>
          </cell>
          <cell r="B414" t="str">
            <v>15281</v>
          </cell>
          <cell r="C414" t="str">
            <v>POLLO LOMITO S/R FCO (30 KG)</v>
          </cell>
          <cell r="D414" t="str">
            <v>10100219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04/06/2020</v>
          </cell>
          <cell r="I414" t="e">
            <v>#N/A</v>
          </cell>
          <cell r="J414">
            <v>0</v>
          </cell>
          <cell r="K414">
            <v>1000</v>
          </cell>
          <cell r="L414">
            <v>0</v>
          </cell>
          <cell r="M414" t="str">
            <v>Gramos</v>
          </cell>
        </row>
        <row r="415">
          <cell r="A415" t="str">
            <v>10100220</v>
          </cell>
          <cell r="B415" t="str">
            <v>15282</v>
          </cell>
          <cell r="C415" t="str">
            <v>SALSA POLLO ROSTI GRIFF RP 6K (CJ:2 UND)</v>
          </cell>
          <cell r="D415" t="str">
            <v>10100220</v>
          </cell>
          <cell r="E415" t="str">
            <v>MATERIAS PRIMAS PLANTA</v>
          </cell>
          <cell r="F415" t="str">
            <v>1 CAJA</v>
          </cell>
          <cell r="G415">
            <v>500</v>
          </cell>
          <cell r="H415" t="str">
            <v>25/05/2020</v>
          </cell>
          <cell r="I415" t="e">
            <v>#N/A</v>
          </cell>
          <cell r="J415">
            <v>0</v>
          </cell>
          <cell r="K415"/>
          <cell r="L415" t="e">
            <v>#DIV/0!</v>
          </cell>
          <cell r="M415"/>
        </row>
        <row r="416">
          <cell r="A416" t="str">
            <v>10100221</v>
          </cell>
          <cell r="B416" t="str">
            <v>15283</v>
          </cell>
          <cell r="C416" t="str">
            <v>SALSA SOYA KIKOMAN (GALON)</v>
          </cell>
          <cell r="D416" t="str">
            <v>10100221</v>
          </cell>
          <cell r="E416" t="str">
            <v>MATERIAS PRIMAS PLANTA</v>
          </cell>
          <cell r="F416" t="str">
            <v xml:space="preserve">1 GALON </v>
          </cell>
          <cell r="G416">
            <v>500</v>
          </cell>
          <cell r="H416" t="str">
            <v>23/01/2020</v>
          </cell>
          <cell r="I416" t="e">
            <v>#N/A</v>
          </cell>
          <cell r="J416">
            <v>0</v>
          </cell>
          <cell r="K416">
            <v>3785</v>
          </cell>
          <cell r="L416">
            <v>0</v>
          </cell>
          <cell r="M416"/>
        </row>
        <row r="417">
          <cell r="A417" t="str">
            <v>10100222</v>
          </cell>
          <cell r="B417" t="str">
            <v>15284</v>
          </cell>
          <cell r="C417" t="str">
            <v>MAICENA DURYEA (PAQ: 2.3 K)</v>
          </cell>
          <cell r="D417" t="str">
            <v>10100222</v>
          </cell>
          <cell r="E417" t="str">
            <v>MATERIAS PRIMAS PLANTA</v>
          </cell>
          <cell r="F417" t="str">
            <v>1 PAQUETE</v>
          </cell>
          <cell r="G417">
            <v>500</v>
          </cell>
          <cell r="H417" t="str">
            <v>27/03/2020</v>
          </cell>
          <cell r="I417">
            <v>4995</v>
          </cell>
          <cell r="J417">
            <v>0</v>
          </cell>
          <cell r="K417">
            <v>2300</v>
          </cell>
          <cell r="L417">
            <v>0</v>
          </cell>
          <cell r="M417"/>
        </row>
        <row r="418">
          <cell r="A418" t="str">
            <v>10100223</v>
          </cell>
          <cell r="B418" t="str">
            <v>15285</v>
          </cell>
          <cell r="C418" t="str">
            <v>ADEREZO JENGIBRE C/AJONJOLI (UND:3.78 K)</v>
          </cell>
          <cell r="D418" t="str">
            <v>10100223</v>
          </cell>
          <cell r="E418" t="str">
            <v>MATERIAS PRIMAS PLANTA</v>
          </cell>
          <cell r="F418" t="str">
            <v>1 UND</v>
          </cell>
          <cell r="G418">
            <v>500</v>
          </cell>
          <cell r="H418" t="str">
            <v>30/05/2020</v>
          </cell>
          <cell r="I418" t="e">
            <v>#N/A</v>
          </cell>
          <cell r="J418">
            <v>0</v>
          </cell>
          <cell r="K418">
            <v>3780</v>
          </cell>
          <cell r="L418">
            <v>0</v>
          </cell>
          <cell r="M418"/>
        </row>
        <row r="419">
          <cell r="A419" t="str">
            <v>10100224</v>
          </cell>
          <cell r="B419" t="str">
            <v>15305</v>
          </cell>
          <cell r="C419" t="str">
            <v>REPOLLO VERDE GRANEL (KILO)</v>
          </cell>
          <cell r="D419" t="str">
            <v>10100224</v>
          </cell>
          <cell r="E419" t="str">
            <v>MATERIAS PRIMAS PLANTA</v>
          </cell>
          <cell r="F419" t="str">
            <v xml:space="preserve">1 KILO </v>
          </cell>
          <cell r="G419">
            <v>500</v>
          </cell>
          <cell r="H419" t="str">
            <v>16/06/2020</v>
          </cell>
          <cell r="I419">
            <v>600</v>
          </cell>
          <cell r="J419">
            <v>0</v>
          </cell>
          <cell r="K419">
            <v>1000</v>
          </cell>
          <cell r="L419">
            <v>0</v>
          </cell>
          <cell r="M419" t="str">
            <v>Gramos</v>
          </cell>
        </row>
        <row r="420">
          <cell r="A420" t="str">
            <v>10100225</v>
          </cell>
          <cell r="B420" t="str">
            <v>15309</v>
          </cell>
          <cell r="C420" t="str">
            <v>ACEITE POMACE 90% CANOLA OLIVA (GALON)</v>
          </cell>
          <cell r="D420" t="str">
            <v>10100225</v>
          </cell>
          <cell r="E420" t="str">
            <v>MATERIAS PRIMAS PLANTA</v>
          </cell>
          <cell r="F420" t="str">
            <v xml:space="preserve">1 GALON </v>
          </cell>
          <cell r="G420">
            <v>500</v>
          </cell>
          <cell r="H420" t="str">
            <v>28/05/2020</v>
          </cell>
          <cell r="I420">
            <v>8428</v>
          </cell>
          <cell r="J420">
            <v>0</v>
          </cell>
          <cell r="K420">
            <v>3785</v>
          </cell>
          <cell r="L420">
            <v>0</v>
          </cell>
          <cell r="M420" t="str">
            <v>Gramos</v>
          </cell>
        </row>
        <row r="421">
          <cell r="A421" t="str">
            <v>10100226</v>
          </cell>
          <cell r="B421" t="str">
            <v>15322</v>
          </cell>
          <cell r="C421" t="str">
            <v>PANKO COSTRA DE PAN (PAQ:20 LB)</v>
          </cell>
          <cell r="D421" t="str">
            <v>10100226</v>
          </cell>
          <cell r="E421" t="str">
            <v>MATERIAS PRIMAS PLANTA</v>
          </cell>
          <cell r="F421" t="str">
            <v>1 PAQUETE</v>
          </cell>
          <cell r="G421">
            <v>500</v>
          </cell>
          <cell r="H421" t="str">
            <v>17/01/2020</v>
          </cell>
          <cell r="I421" t="e">
            <v>#N/A</v>
          </cell>
          <cell r="J421">
            <v>0</v>
          </cell>
          <cell r="K421"/>
          <cell r="L421" t="e">
            <v>#DIV/0!</v>
          </cell>
          <cell r="M421"/>
        </row>
        <row r="422">
          <cell r="A422" t="str">
            <v>10100227</v>
          </cell>
          <cell r="B422" t="str">
            <v>15325</v>
          </cell>
          <cell r="C422" t="str">
            <v>ROSA JAMAICA (PAQ:KILO)</v>
          </cell>
          <cell r="D422" t="str">
            <v>10100227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02/05/2020</v>
          </cell>
          <cell r="I422">
            <v>7500</v>
          </cell>
          <cell r="J422">
            <v>0</v>
          </cell>
          <cell r="K422">
            <v>1000</v>
          </cell>
          <cell r="L422">
            <v>0</v>
          </cell>
          <cell r="M422"/>
        </row>
        <row r="423">
          <cell r="A423" t="str">
            <v>10100229</v>
          </cell>
          <cell r="B423" t="str">
            <v>15328</v>
          </cell>
          <cell r="C423" t="str">
            <v>NEGRO B100 ESPECIAL (BULTO:36 PAQ)</v>
          </cell>
          <cell r="D423" t="str">
            <v>10100229</v>
          </cell>
          <cell r="E423" t="str">
            <v>MATERIAS PRIMAS PLANTA</v>
          </cell>
          <cell r="F423" t="str">
            <v>1 BULTO</v>
          </cell>
          <cell r="G423">
            <v>500</v>
          </cell>
          <cell r="H423" t="str">
            <v>13/05/2020</v>
          </cell>
          <cell r="I423">
            <v>41400</v>
          </cell>
          <cell r="J423">
            <v>43470</v>
          </cell>
          <cell r="K423">
            <v>3600</v>
          </cell>
          <cell r="L423">
            <v>12.074999999999999</v>
          </cell>
          <cell r="M423"/>
        </row>
        <row r="424">
          <cell r="A424" t="str">
            <v>10100230</v>
          </cell>
          <cell r="B424" t="str">
            <v>15334</v>
          </cell>
          <cell r="C424" t="str">
            <v>FRESA CONGELADA BEGRO (PAQ:1 K)</v>
          </cell>
          <cell r="D424" t="str">
            <v>10100230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08/06/2020</v>
          </cell>
          <cell r="I424">
            <v>1940</v>
          </cell>
          <cell r="J424">
            <v>2470</v>
          </cell>
          <cell r="K424">
            <v>1000</v>
          </cell>
          <cell r="L424">
            <v>2.4700000000000002</v>
          </cell>
          <cell r="M424" t="str">
            <v>Gramos</v>
          </cell>
        </row>
        <row r="425">
          <cell r="A425" t="str">
            <v>10100235</v>
          </cell>
          <cell r="B425" t="str">
            <v>15344</v>
          </cell>
          <cell r="C425" t="str">
            <v>QUESO MOZA RALLADO CONGEL PIZZA (PAQ:2K)</v>
          </cell>
          <cell r="D425" t="str">
            <v>10100235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01/06/2020</v>
          </cell>
          <cell r="I425">
            <v>9356.44</v>
          </cell>
          <cell r="J425">
            <v>0</v>
          </cell>
          <cell r="K425">
            <v>2000</v>
          </cell>
          <cell r="L425">
            <v>0</v>
          </cell>
          <cell r="M425" t="str">
            <v>Gramos</v>
          </cell>
        </row>
        <row r="426">
          <cell r="A426" t="str">
            <v>10100237</v>
          </cell>
          <cell r="B426" t="str">
            <v>15361</v>
          </cell>
          <cell r="C426" t="str">
            <v>PREMEZCLA CHOCOLATE RICHS (SACO:30 LB)</v>
          </cell>
          <cell r="D426" t="str">
            <v>10100237</v>
          </cell>
          <cell r="E426" t="str">
            <v>MATERIAS PRIMAS PLANTA</v>
          </cell>
          <cell r="F426" t="str">
            <v>1 SACO</v>
          </cell>
          <cell r="G426">
            <v>500</v>
          </cell>
          <cell r="H426" t="str">
            <v>08/06/2020</v>
          </cell>
          <cell r="I426">
            <v>28976</v>
          </cell>
          <cell r="J426">
            <v>0</v>
          </cell>
          <cell r="K426"/>
          <cell r="L426" t="e">
            <v>#DIV/0!</v>
          </cell>
          <cell r="M426"/>
        </row>
        <row r="427">
          <cell r="A427" t="str">
            <v>10100238</v>
          </cell>
          <cell r="B427" t="str">
            <v>15366</v>
          </cell>
          <cell r="C427" t="str">
            <v>COBERTURA DONA CHOCOLAT RICH (UND:23 LB)</v>
          </cell>
          <cell r="D427" t="str">
            <v>10100238</v>
          </cell>
          <cell r="E427" t="str">
            <v>MATERIAS PRIMAS PLANTA</v>
          </cell>
          <cell r="F427" t="str">
            <v>1 UND</v>
          </cell>
          <cell r="G427">
            <v>500</v>
          </cell>
          <cell r="H427" t="str">
            <v>10/06/2020</v>
          </cell>
          <cell r="I427">
            <v>30491</v>
          </cell>
          <cell r="J427">
            <v>0</v>
          </cell>
          <cell r="K427">
            <v>10432</v>
          </cell>
          <cell r="L427">
            <v>0</v>
          </cell>
          <cell r="M427" t="str">
            <v>Gramos</v>
          </cell>
        </row>
        <row r="428">
          <cell r="A428" t="str">
            <v>10100239</v>
          </cell>
          <cell r="B428" t="str">
            <v>15370</v>
          </cell>
          <cell r="C428" t="str">
            <v>TOMATE SALSA (KILO)</v>
          </cell>
          <cell r="D428" t="str">
            <v>10100239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26/03/2020</v>
          </cell>
          <cell r="I428">
            <v>1100</v>
          </cell>
          <cell r="J428">
            <v>0</v>
          </cell>
          <cell r="K428">
            <v>1000</v>
          </cell>
          <cell r="L428">
            <v>0</v>
          </cell>
          <cell r="M428" t="str">
            <v>Gramos</v>
          </cell>
        </row>
        <row r="429">
          <cell r="A429" t="str">
            <v>10100241</v>
          </cell>
          <cell r="B429" t="str">
            <v>15372</v>
          </cell>
          <cell r="C429" t="str">
            <v>APIO GRANEL (KILO)</v>
          </cell>
          <cell r="D429" t="str">
            <v>10100241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13/06/2020</v>
          </cell>
          <cell r="I429">
            <v>1000</v>
          </cell>
          <cell r="J429">
            <v>0</v>
          </cell>
          <cell r="K429">
            <v>1000</v>
          </cell>
          <cell r="L429">
            <v>0</v>
          </cell>
          <cell r="M429" t="str">
            <v>Gramos</v>
          </cell>
        </row>
        <row r="430">
          <cell r="A430" t="str">
            <v>10100242</v>
          </cell>
          <cell r="B430" t="str">
            <v>15377</v>
          </cell>
          <cell r="C430" t="str">
            <v>SALSA INGLESA DEL LLANO (GALON)</v>
          </cell>
          <cell r="D430" t="str">
            <v>10100242</v>
          </cell>
          <cell r="E430" t="str">
            <v>MATERIAS PRIMAS PLANTA</v>
          </cell>
          <cell r="F430" t="str">
            <v xml:space="preserve">1 GALON </v>
          </cell>
          <cell r="G430">
            <v>500</v>
          </cell>
          <cell r="H430" t="str">
            <v>16/04/2020</v>
          </cell>
          <cell r="I430">
            <v>4419.3999999999996</v>
          </cell>
          <cell r="J430">
            <v>0</v>
          </cell>
          <cell r="K430">
            <v>3785</v>
          </cell>
          <cell r="L430">
            <v>0</v>
          </cell>
          <cell r="M430" t="str">
            <v>Mililitros</v>
          </cell>
        </row>
        <row r="431">
          <cell r="A431" t="str">
            <v>10100243</v>
          </cell>
          <cell r="B431" t="str">
            <v>15379</v>
          </cell>
          <cell r="C431" t="str">
            <v>BATTER ZFC (PAQ: 1 K)</v>
          </cell>
          <cell r="D431" t="str">
            <v>10100243</v>
          </cell>
          <cell r="E431" t="str">
            <v>MATERIAS PRIMAS PLANTA</v>
          </cell>
          <cell r="F431" t="str">
            <v>1 PAQUETE</v>
          </cell>
          <cell r="G431">
            <v>500</v>
          </cell>
          <cell r="H431" t="str">
            <v>21/01/2020</v>
          </cell>
          <cell r="I431" t="e">
            <v>#N/A</v>
          </cell>
          <cell r="J431">
            <v>0</v>
          </cell>
          <cell r="K431">
            <v>1000</v>
          </cell>
          <cell r="L431">
            <v>0</v>
          </cell>
          <cell r="M431"/>
        </row>
        <row r="432">
          <cell r="A432" t="str">
            <v>10100244</v>
          </cell>
          <cell r="B432" t="str">
            <v>15380</v>
          </cell>
          <cell r="C432" t="str">
            <v>EMPANIZADOR ROSTIPOLLOS (UND: 25 K)</v>
          </cell>
          <cell r="D432" t="str">
            <v>10100244</v>
          </cell>
          <cell r="E432" t="str">
            <v>MATERIAS PRIMAS PLANTA</v>
          </cell>
          <cell r="F432" t="str">
            <v>1 UND</v>
          </cell>
          <cell r="G432">
            <v>500</v>
          </cell>
          <cell r="H432" t="str">
            <v>25/05/2020</v>
          </cell>
          <cell r="I432" t="e">
            <v>#N/A</v>
          </cell>
          <cell r="J432">
            <v>0</v>
          </cell>
          <cell r="K432">
            <v>25000</v>
          </cell>
          <cell r="L432">
            <v>0</v>
          </cell>
          <cell r="M432"/>
        </row>
        <row r="433">
          <cell r="A433" t="str">
            <v>10100245</v>
          </cell>
          <cell r="B433" t="str">
            <v>15387</v>
          </cell>
          <cell r="C433" t="str">
            <v>PREMEZCLA VAINILLA RICHS (SACO:30 LBS)</v>
          </cell>
          <cell r="D433" t="str">
            <v>10100245</v>
          </cell>
          <cell r="E433" t="str">
            <v>MATERIAS PRIMAS PLANTA</v>
          </cell>
          <cell r="F433" t="str">
            <v>1 SACO</v>
          </cell>
          <cell r="G433">
            <v>500</v>
          </cell>
          <cell r="H433" t="str">
            <v>18/05/2020</v>
          </cell>
          <cell r="I433">
            <v>24010</v>
          </cell>
          <cell r="J433">
            <v>0</v>
          </cell>
          <cell r="K433"/>
          <cell r="L433" t="e">
            <v>#DIV/0!</v>
          </cell>
          <cell r="M433"/>
        </row>
        <row r="434">
          <cell r="A434" t="str">
            <v>10100249</v>
          </cell>
          <cell r="B434" t="str">
            <v>15402</v>
          </cell>
          <cell r="C434" t="str">
            <v>SALSA BARBACOA CHIPOTLE MIEL (UND:3.7 K)</v>
          </cell>
          <cell r="D434" t="str">
            <v>10100249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28/01/2020</v>
          </cell>
          <cell r="I434">
            <v>9429</v>
          </cell>
          <cell r="J434">
            <v>0</v>
          </cell>
          <cell r="K434">
            <v>3700</v>
          </cell>
          <cell r="L434">
            <v>0</v>
          </cell>
          <cell r="M434"/>
        </row>
        <row r="435">
          <cell r="A435" t="str">
            <v>10100250</v>
          </cell>
          <cell r="B435" t="str">
            <v>15436</v>
          </cell>
          <cell r="C435" t="str">
            <v>PAPA TOSTADA KITTY (PAQ: 1 K)</v>
          </cell>
          <cell r="D435" t="str">
            <v>10100250</v>
          </cell>
          <cell r="E435" t="str">
            <v>MATERIAS PRIMAS PLANTA</v>
          </cell>
          <cell r="F435" t="str">
            <v>1 PAQUETE</v>
          </cell>
          <cell r="G435">
            <v>500</v>
          </cell>
          <cell r="H435" t="str">
            <v>30/12/2019</v>
          </cell>
          <cell r="I435">
            <v>5777.3329999999996</v>
          </cell>
          <cell r="J435">
            <v>0</v>
          </cell>
          <cell r="K435">
            <v>1000</v>
          </cell>
          <cell r="L435">
            <v>0</v>
          </cell>
          <cell r="M435"/>
        </row>
        <row r="436">
          <cell r="A436" t="str">
            <v>10100252</v>
          </cell>
          <cell r="B436" t="str">
            <v>15479</v>
          </cell>
          <cell r="C436" t="str">
            <v>TORTILLA TRIGO MISION 12" CON (CJ:6 PAQ)</v>
          </cell>
          <cell r="D436" t="str">
            <v>10100252</v>
          </cell>
          <cell r="E436" t="str">
            <v>MATERIAS PRIMAS PLANTA</v>
          </cell>
          <cell r="F436" t="str">
            <v>1 CAJA</v>
          </cell>
          <cell r="G436">
            <v>500</v>
          </cell>
          <cell r="H436" t="str">
            <v>26/02/2020</v>
          </cell>
          <cell r="I436">
            <v>6050</v>
          </cell>
          <cell r="J436">
            <v>9517</v>
          </cell>
          <cell r="K436">
            <v>60</v>
          </cell>
          <cell r="L436">
            <v>158.61666666666667</v>
          </cell>
          <cell r="M436" t="str">
            <v>Unidad</v>
          </cell>
        </row>
        <row r="437">
          <cell r="A437" t="str">
            <v>10100253</v>
          </cell>
          <cell r="B437" t="str">
            <v>15538</v>
          </cell>
          <cell r="C437" t="str">
            <v>LENTEJAS ( PAQ:1 K)</v>
          </cell>
          <cell r="D437" t="str">
            <v>10100253</v>
          </cell>
          <cell r="E437" t="str">
            <v>MATERIAS PRIMAS PLANTA</v>
          </cell>
          <cell r="F437" t="str">
            <v xml:space="preserve">1 PAQUETE </v>
          </cell>
          <cell r="G437">
            <v>500</v>
          </cell>
          <cell r="H437" t="str">
            <v>29/04/2020</v>
          </cell>
          <cell r="I437">
            <v>1250</v>
          </cell>
          <cell r="J437">
            <v>1406</v>
          </cell>
          <cell r="K437">
            <v>1000</v>
          </cell>
          <cell r="L437">
            <v>1.4059999999999999</v>
          </cell>
          <cell r="M437"/>
        </row>
        <row r="438">
          <cell r="A438" t="str">
            <v>10100255</v>
          </cell>
          <cell r="B438" t="str">
            <v>15609</v>
          </cell>
          <cell r="C438" t="str">
            <v>PAPA GAJO CASCARA HIERBA (CAJA:4/2.5k)</v>
          </cell>
          <cell r="D438" t="str">
            <v>10100255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19/12/2019</v>
          </cell>
          <cell r="I438">
            <v>19540</v>
          </cell>
          <cell r="J438">
            <v>0</v>
          </cell>
          <cell r="K438">
            <v>10000</v>
          </cell>
          <cell r="L438">
            <v>0</v>
          </cell>
          <cell r="M438"/>
        </row>
        <row r="439">
          <cell r="A439" t="str">
            <v>10100256</v>
          </cell>
          <cell r="B439" t="str">
            <v>15823</v>
          </cell>
          <cell r="C439" t="str">
            <v>FRIJOLES MOLIDOS SADE (PAQ: 4 K)</v>
          </cell>
          <cell r="D439" t="str">
            <v>10100256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09/06/2020</v>
          </cell>
          <cell r="I439" t="e">
            <v>#N/A</v>
          </cell>
          <cell r="J439">
            <v>0</v>
          </cell>
          <cell r="K439">
            <v>4000</v>
          </cell>
          <cell r="L439">
            <v>0</v>
          </cell>
          <cell r="M439"/>
        </row>
        <row r="440">
          <cell r="A440" t="str">
            <v>10100259</v>
          </cell>
          <cell r="B440" t="str">
            <v>15846</v>
          </cell>
          <cell r="C440" t="str">
            <v>CHAYOTE TIERNO CUBO (PAQ:2K)</v>
          </cell>
          <cell r="D440" t="str">
            <v>10100259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16/06/2020</v>
          </cell>
          <cell r="I440" t="e">
            <v>#N/A</v>
          </cell>
          <cell r="J440">
            <v>0</v>
          </cell>
          <cell r="K440">
            <v>2000</v>
          </cell>
          <cell r="L440">
            <v>0</v>
          </cell>
          <cell r="M440"/>
        </row>
        <row r="441">
          <cell r="A441" t="str">
            <v>10100260</v>
          </cell>
          <cell r="B441" t="str">
            <v>15847</v>
          </cell>
          <cell r="C441" t="str">
            <v>HIERBA BUENA GRANEL (KILO)</v>
          </cell>
          <cell r="D441" t="str">
            <v>10100260</v>
          </cell>
          <cell r="E441" t="str">
            <v>MATERIAS PRIMAS PLANTA</v>
          </cell>
          <cell r="F441" t="str">
            <v>1 KILO</v>
          </cell>
          <cell r="G441">
            <v>500</v>
          </cell>
          <cell r="H441" t="str">
            <v>09/05/2020</v>
          </cell>
          <cell r="I441">
            <v>6000</v>
          </cell>
          <cell r="J441">
            <v>0</v>
          </cell>
          <cell r="K441">
            <v>1000</v>
          </cell>
          <cell r="L441">
            <v>0</v>
          </cell>
          <cell r="M441" t="str">
            <v>Gramos</v>
          </cell>
        </row>
        <row r="442">
          <cell r="A442" t="str">
            <v>10100261</v>
          </cell>
          <cell r="B442" t="str">
            <v>15848</v>
          </cell>
          <cell r="C442" t="str">
            <v>GARBANZO MFS (PAQ:KILO)</v>
          </cell>
          <cell r="D442" t="str">
            <v>10100261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15/06/2020</v>
          </cell>
          <cell r="I442" t="e">
            <v>#N/A</v>
          </cell>
          <cell r="J442">
            <v>612</v>
          </cell>
          <cell r="K442">
            <v>1000</v>
          </cell>
          <cell r="L442">
            <v>0.61199999999999999</v>
          </cell>
          <cell r="M442"/>
        </row>
        <row r="443">
          <cell r="A443" t="str">
            <v>10100262</v>
          </cell>
          <cell r="B443" t="str">
            <v>15849</v>
          </cell>
          <cell r="C443" t="str">
            <v>YOGURT NATURAL (UND:500 G)</v>
          </cell>
          <cell r="D443" t="str">
            <v>10100262</v>
          </cell>
          <cell r="E443" t="str">
            <v>MATERIAS PRIMAS PLANTA</v>
          </cell>
          <cell r="F443" t="str">
            <v>1 UND</v>
          </cell>
          <cell r="G443">
            <v>500</v>
          </cell>
          <cell r="H443" t="str">
            <v>15/06/2020</v>
          </cell>
          <cell r="I443">
            <v>1167</v>
          </cell>
          <cell r="J443">
            <v>0</v>
          </cell>
          <cell r="K443">
            <v>500</v>
          </cell>
          <cell r="L443">
            <v>0</v>
          </cell>
          <cell r="M443" t="str">
            <v>Gramos</v>
          </cell>
        </row>
        <row r="444">
          <cell r="A444" t="str">
            <v>10100263</v>
          </cell>
          <cell r="B444" t="str">
            <v>15850</v>
          </cell>
          <cell r="C444" t="str">
            <v>CHILE DULCE JULIANO (PAQ:KILO)</v>
          </cell>
          <cell r="D444" t="str">
            <v>10100263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17/01/2020</v>
          </cell>
          <cell r="I444">
            <v>2295</v>
          </cell>
          <cell r="J444">
            <v>2295</v>
          </cell>
          <cell r="K444">
            <v>1000</v>
          </cell>
          <cell r="L444">
            <v>2.2949999999999999</v>
          </cell>
          <cell r="M444"/>
        </row>
        <row r="445">
          <cell r="A445" t="str">
            <v>10100264</v>
          </cell>
          <cell r="B445" t="str">
            <v>15854</v>
          </cell>
          <cell r="C445" t="str">
            <v>LIMON MESINO (GALON)</v>
          </cell>
          <cell r="D445" t="str">
            <v>10100264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21/04/2020</v>
          </cell>
          <cell r="I445">
            <v>4000</v>
          </cell>
          <cell r="J445">
            <v>0</v>
          </cell>
          <cell r="K445">
            <v>3785</v>
          </cell>
          <cell r="L445">
            <v>0</v>
          </cell>
          <cell r="M445" t="str">
            <v>Mililitros</v>
          </cell>
        </row>
        <row r="446">
          <cell r="A446" t="str">
            <v>10100270</v>
          </cell>
          <cell r="B446" t="str">
            <v>15919</v>
          </cell>
          <cell r="C446" t="str">
            <v>TABASCO BANQUETE (UND: 1/2 GALON)</v>
          </cell>
          <cell r="D446" t="str">
            <v>10100270</v>
          </cell>
          <cell r="E446" t="str">
            <v>MATERIAS PRIMAS PLANTA</v>
          </cell>
          <cell r="F446" t="str">
            <v>1 UND</v>
          </cell>
          <cell r="G446">
            <v>500</v>
          </cell>
          <cell r="H446" t="str">
            <v>18/05/2020</v>
          </cell>
          <cell r="I446">
            <v>3841</v>
          </cell>
          <cell r="J446">
            <v>4391</v>
          </cell>
          <cell r="K446">
            <v>1892.5</v>
          </cell>
          <cell r="L446">
            <v>2.3202113606340817</v>
          </cell>
          <cell r="M446"/>
        </row>
        <row r="447">
          <cell r="A447" t="str">
            <v>10100271</v>
          </cell>
          <cell r="B447" t="str">
            <v>15978</v>
          </cell>
          <cell r="C447" t="str">
            <v>FRIJOL TIERNO RP (PAQ:1 KG)</v>
          </cell>
          <cell r="D447"/>
          <cell r="E447" t="str">
            <v>MATERIAS PRIMAS PLANTA</v>
          </cell>
          <cell r="F447" t="str">
            <v>1 PAQUETE</v>
          </cell>
          <cell r="G447">
            <v>500</v>
          </cell>
          <cell r="H447" t="str">
            <v>05/06/2020</v>
          </cell>
          <cell r="I447" t="e">
            <v>#N/A</v>
          </cell>
          <cell r="J447">
            <v>0</v>
          </cell>
          <cell r="K447">
            <v>1000</v>
          </cell>
          <cell r="L447">
            <v>0</v>
          </cell>
          <cell r="M447"/>
        </row>
        <row r="448">
          <cell r="A448" t="str">
            <v>10100272</v>
          </cell>
          <cell r="B448" t="str">
            <v>16084</v>
          </cell>
          <cell r="C448" t="str">
            <v>ADEREZO RANCH (UND)</v>
          </cell>
          <cell r="D448" t="str">
            <v>10100272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24/03/2020</v>
          </cell>
          <cell r="I448">
            <v>5625</v>
          </cell>
          <cell r="J448">
            <v>6190</v>
          </cell>
          <cell r="K448">
            <v>1</v>
          </cell>
          <cell r="L448">
            <v>6190</v>
          </cell>
          <cell r="M448"/>
        </row>
        <row r="449">
          <cell r="A449" t="str">
            <v>10100273</v>
          </cell>
          <cell r="B449" t="str">
            <v>16085</v>
          </cell>
          <cell r="C449" t="str">
            <v>ADEREZO MOSTAZA MIEL (UND)</v>
          </cell>
          <cell r="D449" t="str">
            <v>10100273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03/03/2020</v>
          </cell>
          <cell r="I449" t="e">
            <v>#N/A</v>
          </cell>
          <cell r="J449">
            <v>0</v>
          </cell>
          <cell r="K449">
            <v>1</v>
          </cell>
          <cell r="L449">
            <v>0</v>
          </cell>
          <cell r="M449"/>
        </row>
        <row r="450">
          <cell r="A450" t="str">
            <v>10100274</v>
          </cell>
          <cell r="B450" t="str">
            <v>16086</v>
          </cell>
          <cell r="C450" t="str">
            <v>ADEREZO MIL ISLAS (UND)</v>
          </cell>
          <cell r="D450" t="str">
            <v>10100274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14/03/2020</v>
          </cell>
          <cell r="I450">
            <v>5099</v>
          </cell>
          <cell r="J450">
            <v>5709</v>
          </cell>
          <cell r="K450">
            <v>1</v>
          </cell>
          <cell r="L450">
            <v>5709</v>
          </cell>
          <cell r="M450"/>
        </row>
        <row r="451">
          <cell r="A451" t="str">
            <v>10100275</v>
          </cell>
          <cell r="B451" t="str">
            <v>16087</v>
          </cell>
          <cell r="C451" t="str">
            <v>ADEREZO ITALIANO CREMOSO (UND)</v>
          </cell>
          <cell r="D451" t="str">
            <v>10100275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19/03/2020</v>
          </cell>
          <cell r="I451">
            <v>6334</v>
          </cell>
          <cell r="J451">
            <v>9324</v>
          </cell>
          <cell r="K451">
            <v>1</v>
          </cell>
          <cell r="L451">
            <v>9324</v>
          </cell>
          <cell r="M451"/>
        </row>
        <row r="452">
          <cell r="A452" t="str">
            <v>10100276</v>
          </cell>
          <cell r="B452" t="str">
            <v>16088</v>
          </cell>
          <cell r="C452" t="str">
            <v>ADEREZO CESAR (UND)</v>
          </cell>
          <cell r="D452" t="str">
            <v>10100276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07/03/2020</v>
          </cell>
          <cell r="I452">
            <v>5626</v>
          </cell>
          <cell r="J452">
            <v>6191</v>
          </cell>
          <cell r="K452">
            <v>1</v>
          </cell>
          <cell r="L452">
            <v>6191</v>
          </cell>
        </row>
        <row r="453">
          <cell r="A453" t="str">
            <v>10100278</v>
          </cell>
          <cell r="B453" t="str">
            <v>16138</v>
          </cell>
          <cell r="C453" t="str">
            <v>ARROZ LUISINA 95% PRECOCIDO (BULTO:20 K)</v>
          </cell>
          <cell r="D453" t="str">
            <v>10100278</v>
          </cell>
          <cell r="E453" t="str">
            <v>MATERIAS PRIMAS PLANTA</v>
          </cell>
          <cell r="F453" t="str">
            <v>1 BULTO</v>
          </cell>
          <cell r="G453">
            <v>500</v>
          </cell>
          <cell r="H453" t="str">
            <v>20/02/2020</v>
          </cell>
          <cell r="I453" t="e">
            <v>#N/A</v>
          </cell>
          <cell r="J453">
            <v>0</v>
          </cell>
          <cell r="K453">
            <v>20000</v>
          </cell>
          <cell r="L453">
            <v>0</v>
          </cell>
          <cell r="M453" t="str">
            <v>Gramos</v>
          </cell>
        </row>
        <row r="454">
          <cell r="A454" t="str">
            <v>10100279</v>
          </cell>
          <cell r="B454" t="str">
            <v>16467</v>
          </cell>
          <cell r="C454" t="str">
            <v>ADEREZO MAYONESA DELGA-C  (PAQ:400 GR)</v>
          </cell>
          <cell r="D454" t="str">
            <v>10100279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16/04/2020</v>
          </cell>
          <cell r="I454">
            <v>1088.4614999999999</v>
          </cell>
          <cell r="J454">
            <v>0</v>
          </cell>
          <cell r="K454">
            <v>400</v>
          </cell>
          <cell r="L454">
            <v>0</v>
          </cell>
          <cell r="M454"/>
        </row>
        <row r="455">
          <cell r="A455" t="str">
            <v>10100280</v>
          </cell>
          <cell r="B455" t="str">
            <v>16550</v>
          </cell>
          <cell r="C455" t="str">
            <v>SALSITA TOMATE CON CARNE (UND:106 G)</v>
          </cell>
          <cell r="D455" t="str">
            <v>10100280</v>
          </cell>
          <cell r="E455" t="str">
            <v>MATERIAS PRIMAS PLANTA</v>
          </cell>
          <cell r="F455" t="str">
            <v>1 UNIDAD</v>
          </cell>
          <cell r="G455">
            <v>500</v>
          </cell>
          <cell r="H455" t="str">
            <v>03/06/2020</v>
          </cell>
          <cell r="I455" t="e">
            <v>#N/A</v>
          </cell>
          <cell r="J455">
            <v>0</v>
          </cell>
          <cell r="K455">
            <v>106</v>
          </cell>
          <cell r="L455">
            <v>0</v>
          </cell>
          <cell r="M455" t="str">
            <v>Gramos</v>
          </cell>
        </row>
        <row r="456">
          <cell r="A456" t="str">
            <v>10200001</v>
          </cell>
          <cell r="B456" t="str">
            <v>11477</v>
          </cell>
          <cell r="C456" t="str">
            <v>SIROPE DE KOLA (GALON)</v>
          </cell>
          <cell r="D456" t="str">
            <v>10200001</v>
          </cell>
          <cell r="E456" t="str">
            <v>MATERIAS PRIMAS PLANTA</v>
          </cell>
          <cell r="F456" t="str">
            <v>1 GALON</v>
          </cell>
          <cell r="G456">
            <v>500</v>
          </cell>
          <cell r="H456" t="str">
            <v>15/06/2020</v>
          </cell>
          <cell r="I456">
            <v>2931</v>
          </cell>
          <cell r="J456">
            <v>2925</v>
          </cell>
          <cell r="K456">
            <v>3785</v>
          </cell>
          <cell r="L456">
            <v>0.77278731836195513</v>
          </cell>
          <cell r="M456" t="str">
            <v>Mililitros</v>
          </cell>
        </row>
        <row r="457">
          <cell r="A457" t="str">
            <v>10200012</v>
          </cell>
          <cell r="B457" t="str">
            <v>5343</v>
          </cell>
          <cell r="C457" t="str">
            <v>TE CHAI ESPECIES (PAQ:800g)</v>
          </cell>
          <cell r="D457" t="str">
            <v>10200012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24/03/2020</v>
          </cell>
          <cell r="I457">
            <v>4971.33</v>
          </cell>
          <cell r="J457">
            <v>6715.12</v>
          </cell>
          <cell r="K457">
            <v>800</v>
          </cell>
          <cell r="L457">
            <v>8.3939000000000004</v>
          </cell>
          <cell r="M457"/>
        </row>
        <row r="458">
          <cell r="A458" t="str">
            <v>10200018</v>
          </cell>
          <cell r="B458" t="str">
            <v>9991</v>
          </cell>
          <cell r="C458" t="str">
            <v>AGUA EMBOT SPOON (PAQ:20 UND)</v>
          </cell>
          <cell r="D458" t="str">
            <v>10200018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30/04/2020</v>
          </cell>
          <cell r="I458">
            <v>4680</v>
          </cell>
          <cell r="J458">
            <v>4680</v>
          </cell>
          <cell r="K458"/>
          <cell r="L458" t="e">
            <v>#DIV/0!</v>
          </cell>
          <cell r="M458"/>
        </row>
        <row r="459">
          <cell r="A459" t="str">
            <v>10200022</v>
          </cell>
          <cell r="B459" t="str">
            <v>12578</v>
          </cell>
          <cell r="C459" t="str">
            <v>TE PALACIO ROYAL"ARANDANO" (PAQ:12 UND)</v>
          </cell>
          <cell r="D459" t="str">
            <v>10200022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19/05/2020</v>
          </cell>
          <cell r="I459">
            <v>2142</v>
          </cell>
          <cell r="J459">
            <v>4020</v>
          </cell>
          <cell r="K459"/>
          <cell r="L459" t="e">
            <v>#DIV/0!</v>
          </cell>
          <cell r="M459"/>
        </row>
        <row r="460">
          <cell r="A460" t="str">
            <v>10200023</v>
          </cell>
          <cell r="B460" t="str">
            <v>12579</v>
          </cell>
          <cell r="C460" t="str">
            <v>TE ON THE BEACH "VERDE" (PAQ=12 UND)</v>
          </cell>
          <cell r="D460" t="str">
            <v>10200023</v>
          </cell>
          <cell r="E460" t="str">
            <v>MATERIAS PRIMAS PLANTA</v>
          </cell>
          <cell r="F460" t="str">
            <v>1 PAQ</v>
          </cell>
          <cell r="G460">
            <v>500</v>
          </cell>
          <cell r="H460" t="str">
            <v>24/03/2020</v>
          </cell>
          <cell r="I460">
            <v>2142</v>
          </cell>
          <cell r="J460">
            <v>0</v>
          </cell>
          <cell r="K460"/>
          <cell r="L460" t="e">
            <v>#DIV/0!</v>
          </cell>
          <cell r="M460"/>
        </row>
        <row r="461">
          <cell r="A461" t="str">
            <v>10200024</v>
          </cell>
          <cell r="B461" t="str">
            <v>12580</v>
          </cell>
          <cell r="C461" t="str">
            <v>TE MENTA DEGESTIVA (PAQ:12 UND)</v>
          </cell>
          <cell r="D461" t="str">
            <v>10200024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24/03/2020</v>
          </cell>
          <cell r="I461">
            <v>2142</v>
          </cell>
          <cell r="J461">
            <v>2940</v>
          </cell>
          <cell r="K461"/>
          <cell r="L461" t="e">
            <v>#DIV/0!</v>
          </cell>
          <cell r="M461"/>
        </row>
        <row r="462">
          <cell r="A462" t="str">
            <v>10200025</v>
          </cell>
          <cell r="B462" t="str">
            <v>12581</v>
          </cell>
          <cell r="C462" t="str">
            <v>TE SPICY CHAI (PAQ:12 UND)</v>
          </cell>
          <cell r="D462" t="str">
            <v>10200025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07/02/2020</v>
          </cell>
          <cell r="I462" t="e">
            <v>#N/A</v>
          </cell>
          <cell r="J462">
            <v>0</v>
          </cell>
          <cell r="K462"/>
          <cell r="L462" t="e">
            <v>#DIV/0!</v>
          </cell>
        </row>
        <row r="463">
          <cell r="A463" t="str">
            <v>10200026</v>
          </cell>
          <cell r="B463" t="str">
            <v>12582</v>
          </cell>
          <cell r="C463" t="str">
            <v>TE BED TIME "MANZANILLA" (PAQ:12 UND)</v>
          </cell>
          <cell r="D463" t="str">
            <v>10200026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12/06/2020</v>
          </cell>
          <cell r="I463">
            <v>2142</v>
          </cell>
          <cell r="J463">
            <v>3721.32</v>
          </cell>
          <cell r="K463"/>
          <cell r="L463" t="e">
            <v>#DIV/0!</v>
          </cell>
        </row>
        <row r="464">
          <cell r="A464" t="str">
            <v>10200027</v>
          </cell>
          <cell r="B464" t="str">
            <v>12583</v>
          </cell>
          <cell r="C464" t="str">
            <v>TE GINGER FRESH (PAQ:12 UND)</v>
          </cell>
          <cell r="D464" t="str">
            <v>10200027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24/03/2020</v>
          </cell>
          <cell r="I464">
            <v>2142</v>
          </cell>
          <cell r="J464">
            <v>3180</v>
          </cell>
          <cell r="K464"/>
          <cell r="L464" t="e">
            <v>#DIV/0!</v>
          </cell>
        </row>
        <row r="465">
          <cell r="A465" t="str">
            <v>10200028</v>
          </cell>
          <cell r="B465" t="str">
            <v>12584</v>
          </cell>
          <cell r="C465" t="str">
            <v>TE MAGIC TEA "AZUL" (PAQ:12 UND)</v>
          </cell>
          <cell r="D465" t="str">
            <v>10200028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28/01/2020</v>
          </cell>
          <cell r="I465">
            <v>2142</v>
          </cell>
          <cell r="J465">
            <v>3900</v>
          </cell>
          <cell r="K465"/>
          <cell r="L465" t="e">
            <v>#DIV/0!</v>
          </cell>
        </row>
        <row r="466">
          <cell r="A466" t="str">
            <v>10200029</v>
          </cell>
          <cell r="B466" t="str">
            <v>12587</v>
          </cell>
          <cell r="C466" t="str">
            <v>LECHE SABORIZADA FRAPPE MIX (PAQ: 1 K)</v>
          </cell>
          <cell r="D466" t="str">
            <v>10200029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5500</v>
          </cell>
          <cell r="J466">
            <v>5500</v>
          </cell>
          <cell r="K466">
            <v>1000</v>
          </cell>
          <cell r="L466">
            <v>5.5</v>
          </cell>
        </row>
        <row r="467">
          <cell r="A467" t="str">
            <v>10200030</v>
          </cell>
          <cell r="B467" t="str">
            <v>12416</v>
          </cell>
          <cell r="C467" t="str">
            <v>BASE LECHE  MILK SHAKE (PAQ:1 K)</v>
          </cell>
          <cell r="D467" t="str">
            <v>10200030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16/12/2019</v>
          </cell>
          <cell r="I467">
            <v>6500</v>
          </cell>
          <cell r="J467">
            <v>6500</v>
          </cell>
          <cell r="K467">
            <v>1000</v>
          </cell>
          <cell r="L467">
            <v>6.5</v>
          </cell>
        </row>
        <row r="468">
          <cell r="A468" t="str">
            <v>10200088</v>
          </cell>
          <cell r="B468" t="str">
            <v>5346</v>
          </cell>
          <cell r="C468" t="str">
            <v>RON ABUELO RESERVA (UND: LITRO)</v>
          </cell>
          <cell r="D468" t="str">
            <v>10200088</v>
          </cell>
          <cell r="E468" t="str">
            <v>MATERIAS PRIMAS PLANTA</v>
          </cell>
          <cell r="F468" t="str">
            <v>1 UND</v>
          </cell>
          <cell r="G468">
            <v>500</v>
          </cell>
          <cell r="H468" t="str">
            <v>20/05/2020</v>
          </cell>
          <cell r="I468">
            <v>10200</v>
          </cell>
          <cell r="J468">
            <v>6366</v>
          </cell>
          <cell r="K468">
            <v>1000</v>
          </cell>
          <cell r="L468">
            <v>6.3659999999999997</v>
          </cell>
          <cell r="M468" t="str">
            <v>Mililitros</v>
          </cell>
        </row>
        <row r="469">
          <cell r="A469" t="str">
            <v>10200090</v>
          </cell>
          <cell r="B469" t="str">
            <v>14379</v>
          </cell>
          <cell r="C469" t="str">
            <v>CERVEZA AMBAR (UND: 350 ML)</v>
          </cell>
          <cell r="D469" t="str">
            <v>10200090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02/12/2019</v>
          </cell>
          <cell r="I469" t="e">
            <v>#N/A</v>
          </cell>
          <cell r="J469">
            <v>0</v>
          </cell>
          <cell r="K469">
            <v>350</v>
          </cell>
          <cell r="L469">
            <v>0</v>
          </cell>
          <cell r="M469"/>
        </row>
        <row r="470">
          <cell r="A470" t="str">
            <v>10300001</v>
          </cell>
          <cell r="B470" t="str">
            <v>7048</v>
          </cell>
          <cell r="C470" t="str">
            <v>JARRETE PICADO KILO</v>
          </cell>
          <cell r="D470" t="str">
            <v>10300001</v>
          </cell>
          <cell r="E470" t="str">
            <v>MATERIAS PRIMAS PLANTA</v>
          </cell>
          <cell r="F470" t="str">
            <v>1 KILO</v>
          </cell>
          <cell r="G470">
            <v>500</v>
          </cell>
          <cell r="H470" t="str">
            <v>13/06/2020</v>
          </cell>
          <cell r="I470">
            <v>859</v>
          </cell>
          <cell r="J470">
            <v>1295</v>
          </cell>
          <cell r="K470">
            <v>1000</v>
          </cell>
          <cell r="L470">
            <v>1.2949999999999999</v>
          </cell>
          <cell r="M470" t="str">
            <v>Gramos</v>
          </cell>
        </row>
        <row r="471">
          <cell r="A471" t="str">
            <v>10300002</v>
          </cell>
          <cell r="B471" t="str">
            <v>11813</v>
          </cell>
          <cell r="C471" t="str">
            <v>JAMON PAVO PECHUGA (UND:3.1 K)</v>
          </cell>
          <cell r="D471" t="str">
            <v>10300002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13/06/2020</v>
          </cell>
          <cell r="I471">
            <v>8376.3906666599996</v>
          </cell>
          <cell r="J471">
            <v>0</v>
          </cell>
          <cell r="K471">
            <v>3100</v>
          </cell>
          <cell r="L471">
            <v>0</v>
          </cell>
          <cell r="M471"/>
        </row>
        <row r="472">
          <cell r="A472" t="str">
            <v>10300003</v>
          </cell>
          <cell r="B472" t="str">
            <v>5368</v>
          </cell>
          <cell r="C472" t="str">
            <v>JAMON COCIDO EN TROZOS (PAQ:500g)</v>
          </cell>
          <cell r="D472" t="str">
            <v>10300003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19/05/2020</v>
          </cell>
          <cell r="I472">
            <v>1950</v>
          </cell>
          <cell r="J472">
            <v>0</v>
          </cell>
          <cell r="K472">
            <v>500</v>
          </cell>
          <cell r="L472">
            <v>0</v>
          </cell>
          <cell r="M472"/>
        </row>
        <row r="473">
          <cell r="A473" t="str">
            <v>10300004</v>
          </cell>
          <cell r="B473" t="str">
            <v>11803</v>
          </cell>
          <cell r="C473" t="str">
            <v>CARNE MOLIDA DE POLLO (KILO)</v>
          </cell>
          <cell r="D473" t="str">
            <v>10300004</v>
          </cell>
          <cell r="E473" t="str">
            <v>MATERIAS PRIMAS PLANTA</v>
          </cell>
          <cell r="F473" t="str">
            <v>1 KILO</v>
          </cell>
          <cell r="G473">
            <v>500</v>
          </cell>
          <cell r="H473" t="str">
            <v>24/12/2019</v>
          </cell>
          <cell r="I473">
            <v>2800</v>
          </cell>
          <cell r="J473">
            <v>0</v>
          </cell>
          <cell r="K473">
            <v>1000</v>
          </cell>
          <cell r="L473">
            <v>0</v>
          </cell>
          <cell r="M473" t="str">
            <v>Gramos</v>
          </cell>
        </row>
        <row r="474">
          <cell r="A474" t="str">
            <v>10300006</v>
          </cell>
          <cell r="B474" t="str">
            <v>7044</v>
          </cell>
          <cell r="C474" t="str">
            <v>CARNE ANALOGA RES (CAJA:13.6 Kg)</v>
          </cell>
          <cell r="D474" t="str">
            <v>10300006</v>
          </cell>
          <cell r="E474" t="str">
            <v>MATERIAS PRIMAS PLANTA</v>
          </cell>
          <cell r="F474" t="str">
            <v>1 CAJA</v>
          </cell>
          <cell r="G474">
            <v>500</v>
          </cell>
          <cell r="H474" t="str">
            <v>24/03/2020</v>
          </cell>
          <cell r="I474" t="e">
            <v>#N/A</v>
          </cell>
          <cell r="J474">
            <v>141474</v>
          </cell>
          <cell r="K474">
            <v>13600</v>
          </cell>
          <cell r="L474">
            <v>10.4025</v>
          </cell>
          <cell r="M474" t="str">
            <v>Gramos</v>
          </cell>
        </row>
        <row r="475">
          <cell r="A475" t="str">
            <v>10300007</v>
          </cell>
          <cell r="B475" t="str">
            <v>12057</v>
          </cell>
          <cell r="C475" t="str">
            <v>JAMON COCIDO (PAQ:250g)</v>
          </cell>
          <cell r="D475" t="str">
            <v>10300007</v>
          </cell>
          <cell r="E475" t="str">
            <v>MATERIAS PRIMAS PLANTA</v>
          </cell>
          <cell r="F475" t="str">
            <v>1 PAQUETE</v>
          </cell>
          <cell r="G475">
            <v>500</v>
          </cell>
          <cell r="H475" t="str">
            <v>28/05/2020</v>
          </cell>
          <cell r="I475">
            <v>750</v>
          </cell>
          <cell r="J475">
            <v>1400</v>
          </cell>
          <cell r="K475">
            <v>250</v>
          </cell>
          <cell r="L475">
            <v>5.6</v>
          </cell>
          <cell r="M475" t="str">
            <v>Gramos</v>
          </cell>
        </row>
        <row r="476">
          <cell r="A476" t="str">
            <v>10300010</v>
          </cell>
          <cell r="B476" t="str">
            <v>11355</v>
          </cell>
          <cell r="C476" t="str">
            <v>BISTEC ESO. TP MILANESA (KILO)</v>
          </cell>
          <cell r="D476" t="str">
            <v>10300010</v>
          </cell>
          <cell r="E476" t="str">
            <v>MATERIAS PRIMAS PLANTA</v>
          </cell>
          <cell r="F476" t="str">
            <v>1 KILO</v>
          </cell>
          <cell r="G476">
            <v>500</v>
          </cell>
          <cell r="H476" t="str">
            <v>06/04/2020</v>
          </cell>
          <cell r="I476" t="e">
            <v>#N/A</v>
          </cell>
          <cell r="J476">
            <v>0</v>
          </cell>
          <cell r="K476">
            <v>1000</v>
          </cell>
          <cell r="L476">
            <v>0</v>
          </cell>
          <cell r="M476" t="str">
            <v>Gramos</v>
          </cell>
        </row>
        <row r="477">
          <cell r="A477" t="str">
            <v>10300019</v>
          </cell>
          <cell r="B477" t="str">
            <v>5367</v>
          </cell>
          <cell r="C477" t="str">
            <v>TOCINETA(PAQ:2 KILOS)</v>
          </cell>
          <cell r="D477" t="str">
            <v>10300019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13/06/2020</v>
          </cell>
          <cell r="I477">
            <v>9982</v>
          </cell>
          <cell r="J477">
            <v>0</v>
          </cell>
          <cell r="K477">
            <v>2000</v>
          </cell>
          <cell r="L477">
            <v>0</v>
          </cell>
          <cell r="M477"/>
        </row>
        <row r="478">
          <cell r="A478" t="str">
            <v>10300020</v>
          </cell>
          <cell r="B478" t="str">
            <v>11214</v>
          </cell>
          <cell r="C478" t="str">
            <v>CARNITAS PORK (KILO)</v>
          </cell>
          <cell r="D478" t="str">
            <v>10300020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03/12/2019</v>
          </cell>
          <cell r="I478">
            <v>6455</v>
          </cell>
          <cell r="J478">
            <v>0</v>
          </cell>
          <cell r="K478">
            <v>1000</v>
          </cell>
          <cell r="L478">
            <v>0</v>
          </cell>
          <cell r="M478" t="str">
            <v>Gramos</v>
          </cell>
        </row>
        <row r="479">
          <cell r="A479" t="str">
            <v>10300028</v>
          </cell>
          <cell r="B479" t="str">
            <v>12589</v>
          </cell>
          <cell r="C479" t="str">
            <v>CARNE PARA MECHAR TD KILO</v>
          </cell>
          <cell r="D479" t="str">
            <v>10300028</v>
          </cell>
          <cell r="E479" t="str">
            <v>MATERIAS PRIMAS PLANTA</v>
          </cell>
          <cell r="F479" t="str">
            <v xml:space="preserve">1 KILO </v>
          </cell>
          <cell r="G479">
            <v>500</v>
          </cell>
          <cell r="H479" t="str">
            <v>11/06/2020</v>
          </cell>
          <cell r="I479">
            <v>3747.06</v>
          </cell>
          <cell r="J479">
            <v>5950</v>
          </cell>
          <cell r="K479">
            <v>1000</v>
          </cell>
          <cell r="L479">
            <v>5.95</v>
          </cell>
          <cell r="M479" t="str">
            <v>Gramos</v>
          </cell>
        </row>
        <row r="480">
          <cell r="A480" t="str">
            <v>10300029</v>
          </cell>
          <cell r="B480" t="str">
            <v>12766</v>
          </cell>
          <cell r="C480" t="str">
            <v>MARISCADA ECONOMICA (PAQ:1 KILO)</v>
          </cell>
          <cell r="D480" t="str">
            <v>10300029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05/03/2020</v>
          </cell>
          <cell r="I480">
            <v>4700</v>
          </cell>
          <cell r="J480">
            <v>4290</v>
          </cell>
          <cell r="K480">
            <v>1000</v>
          </cell>
          <cell r="L480">
            <v>4.29</v>
          </cell>
          <cell r="M480"/>
        </row>
        <row r="481">
          <cell r="A481" t="str">
            <v>10300030</v>
          </cell>
          <cell r="B481" t="str">
            <v>12921</v>
          </cell>
          <cell r="C481" t="str">
            <v>BISTEC BOLITA TENDER Y MARINADO KILO</v>
          </cell>
          <cell r="D481" t="str">
            <v>10300030</v>
          </cell>
          <cell r="E481" t="str">
            <v>MATERIAS PRIMAS PLANTA</v>
          </cell>
          <cell r="F481" t="str">
            <v xml:space="preserve">1 KILO  </v>
          </cell>
          <cell r="G481">
            <v>500</v>
          </cell>
          <cell r="H481" t="str">
            <v>01/04/2020</v>
          </cell>
          <cell r="I481" t="e">
            <v>#N/A</v>
          </cell>
          <cell r="J481">
            <v>0</v>
          </cell>
          <cell r="K481">
            <v>1000</v>
          </cell>
          <cell r="L481">
            <v>0</v>
          </cell>
          <cell r="M481" t="str">
            <v>Gramos</v>
          </cell>
        </row>
        <row r="482">
          <cell r="A482" t="str">
            <v>10300032</v>
          </cell>
          <cell r="B482" t="str">
            <v>14046</v>
          </cell>
          <cell r="C482" t="str">
            <v>MUSLITO DE MUSLO KILO</v>
          </cell>
          <cell r="D482" t="str">
            <v>10300032</v>
          </cell>
          <cell r="E482" t="str">
            <v>MATERIAS PRIMAS PLANTA</v>
          </cell>
          <cell r="F482" t="str">
            <v>1 KILO</v>
          </cell>
          <cell r="G482">
            <v>500</v>
          </cell>
          <cell r="H482" t="str">
            <v>20/05/2020</v>
          </cell>
          <cell r="I482">
            <v>2295</v>
          </cell>
          <cell r="J482">
            <v>2300</v>
          </cell>
          <cell r="K482">
            <v>1000</v>
          </cell>
          <cell r="L482">
            <v>2.2999999999999998</v>
          </cell>
          <cell r="M482" t="str">
            <v>Gramos</v>
          </cell>
        </row>
        <row r="483">
          <cell r="A483" t="str">
            <v>10300033</v>
          </cell>
          <cell r="B483" t="str">
            <v>14565</v>
          </cell>
          <cell r="C483" t="str">
            <v>JAMON SERRANO (PAQ:250 G)</v>
          </cell>
          <cell r="D483" t="str">
            <v>10300033</v>
          </cell>
          <cell r="E483" t="str">
            <v>MATERIAS PRIMAS PLANTA</v>
          </cell>
          <cell r="F483" t="str">
            <v>1 PAQUETE</v>
          </cell>
          <cell r="G483">
            <v>500</v>
          </cell>
          <cell r="H483" t="str">
            <v>10/06/2020</v>
          </cell>
          <cell r="I483" t="e">
            <v>#N/A</v>
          </cell>
          <cell r="J483">
            <v>0</v>
          </cell>
          <cell r="K483">
            <v>250</v>
          </cell>
          <cell r="L483">
            <v>0</v>
          </cell>
          <cell r="M483"/>
        </row>
        <row r="484">
          <cell r="A484" t="str">
            <v>10300034</v>
          </cell>
          <cell r="B484" t="str">
            <v>14724</v>
          </cell>
          <cell r="C484" t="str">
            <v>CESINA TROZOS ( KILO)</v>
          </cell>
          <cell r="D484" t="str">
            <v>10300034</v>
          </cell>
          <cell r="E484" t="str">
            <v>MATERIAS PRIMAS PLANTA</v>
          </cell>
          <cell r="F484" t="str">
            <v xml:space="preserve">1 KILO </v>
          </cell>
          <cell r="G484">
            <v>500</v>
          </cell>
          <cell r="H484" t="str">
            <v>02/01/2020</v>
          </cell>
          <cell r="I484" t="e">
            <v>#N/A</v>
          </cell>
          <cell r="J484">
            <v>0</v>
          </cell>
          <cell r="K484">
            <v>1000</v>
          </cell>
          <cell r="L484">
            <v>0</v>
          </cell>
          <cell r="M484" t="str">
            <v>Gramos</v>
          </cell>
        </row>
        <row r="485">
          <cell r="A485" t="str">
            <v>10300035</v>
          </cell>
          <cell r="B485" t="str">
            <v>14896</v>
          </cell>
          <cell r="C485" t="str">
            <v>JAMON COCIDO DELIKA GI (PAQ:250 G)</v>
          </cell>
          <cell r="D485" t="str">
            <v>10300035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12/06/2020</v>
          </cell>
          <cell r="I485">
            <v>1294.6500000000001</v>
          </cell>
          <cell r="J485">
            <v>1361.6234999999999</v>
          </cell>
          <cell r="K485">
            <v>250</v>
          </cell>
          <cell r="L485">
            <v>5.4464939999999995</v>
          </cell>
          <cell r="M485"/>
        </row>
        <row r="486">
          <cell r="A486" t="str">
            <v>10300036</v>
          </cell>
          <cell r="B486" t="str">
            <v>15411</v>
          </cell>
          <cell r="C486" t="str">
            <v>ATUN LIGHT LOMO TROZOS AGUA(UND:170 G)</v>
          </cell>
          <cell r="D486" t="str">
            <v>10300036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04/02/2020</v>
          </cell>
          <cell r="I486" t="e">
            <v>#N/A</v>
          </cell>
          <cell r="J486">
            <v>0</v>
          </cell>
          <cell r="K486">
            <v>170</v>
          </cell>
          <cell r="L486">
            <v>0</v>
          </cell>
          <cell r="M486"/>
        </row>
        <row r="487">
          <cell r="A487" t="str">
            <v>10300038</v>
          </cell>
          <cell r="B487" t="str">
            <v>15543</v>
          </cell>
          <cell r="C487" t="str">
            <v>ROAF BEEF REBANADO (PAQ:1 K)</v>
          </cell>
          <cell r="D487" t="str">
            <v>10300038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13/06/2020</v>
          </cell>
          <cell r="I487">
            <v>5835</v>
          </cell>
          <cell r="J487">
            <v>6865</v>
          </cell>
          <cell r="K487">
            <v>1000</v>
          </cell>
          <cell r="L487">
            <v>6.8650000000000002</v>
          </cell>
          <cell r="M487" t="str">
            <v>Gramos</v>
          </cell>
        </row>
        <row r="488">
          <cell r="A488" t="str">
            <v>10300039</v>
          </cell>
          <cell r="B488" t="str">
            <v>15606</v>
          </cell>
          <cell r="C488" t="str">
            <v>FILET TRUCHA PORCIONES (KILO)</v>
          </cell>
          <cell r="D488" t="str">
            <v>10300039</v>
          </cell>
          <cell r="E488" t="str">
            <v>MATERIAS PRIMAS PLANTA</v>
          </cell>
          <cell r="F488" t="str">
            <v xml:space="preserve">1 KILO  </v>
          </cell>
          <cell r="G488">
            <v>500</v>
          </cell>
          <cell r="H488" t="str">
            <v>15/06/2020</v>
          </cell>
          <cell r="I488" t="e">
            <v>#N/A</v>
          </cell>
          <cell r="J488">
            <v>0</v>
          </cell>
          <cell r="K488">
            <v>1000</v>
          </cell>
          <cell r="L488">
            <v>0</v>
          </cell>
          <cell r="M488" t="str">
            <v>Gramos</v>
          </cell>
        </row>
        <row r="489">
          <cell r="A489" t="str">
            <v>10300040</v>
          </cell>
          <cell r="B489" t="str">
            <v>15607</v>
          </cell>
          <cell r="C489" t="str">
            <v>MORTADELITA CUADRADA MIXTA (PAQ:400 G)</v>
          </cell>
          <cell r="D489" t="str">
            <v>10300040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19/12/2019</v>
          </cell>
          <cell r="I489">
            <v>1042</v>
          </cell>
          <cell r="J489">
            <v>0</v>
          </cell>
          <cell r="K489">
            <v>400</v>
          </cell>
          <cell r="L489">
            <v>0</v>
          </cell>
          <cell r="M489"/>
        </row>
        <row r="490">
          <cell r="A490" t="str">
            <v>10300041</v>
          </cell>
          <cell r="B490" t="str">
            <v>15807</v>
          </cell>
          <cell r="C490" t="str">
            <v>JAMON DE PAVO LIGHT (PAQ:250 G)</v>
          </cell>
          <cell r="D490" t="str">
            <v>10300041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18/01/2020</v>
          </cell>
          <cell r="I490">
            <v>2.968</v>
          </cell>
          <cell r="J490">
            <v>0</v>
          </cell>
          <cell r="K490">
            <v>250</v>
          </cell>
          <cell r="L490">
            <v>0</v>
          </cell>
          <cell r="M490" t="str">
            <v>Gramos</v>
          </cell>
        </row>
        <row r="491">
          <cell r="A491" t="str">
            <v>10300042</v>
          </cell>
          <cell r="B491" t="str">
            <v>15884</v>
          </cell>
          <cell r="C491" t="str">
            <v>MUSLO DE POLLO ENTERO (KILO)</v>
          </cell>
          <cell r="D491" t="str">
            <v>10300042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04/06/2020</v>
          </cell>
          <cell r="I491">
            <v>1450</v>
          </cell>
          <cell r="J491">
            <v>1700</v>
          </cell>
          <cell r="K491">
            <v>1000</v>
          </cell>
          <cell r="L491">
            <v>1.7</v>
          </cell>
          <cell r="M491" t="str">
            <v>Gramos</v>
          </cell>
        </row>
        <row r="492">
          <cell r="A492" t="str">
            <v>10300043</v>
          </cell>
          <cell r="B492" t="str">
            <v>15911</v>
          </cell>
          <cell r="C492" t="str">
            <v>CHORIZO COCIDO DE CERDO (PAQ: 600 G)</v>
          </cell>
          <cell r="D492" t="str">
            <v>10300043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 t="e">
            <v>#N/A</v>
          </cell>
          <cell r="J492">
            <v>0</v>
          </cell>
          <cell r="K492">
            <v>600</v>
          </cell>
          <cell r="L492">
            <v>0</v>
          </cell>
          <cell r="M492"/>
        </row>
        <row r="493">
          <cell r="A493" t="str">
            <v>10400001</v>
          </cell>
          <cell r="B493" t="str">
            <v>10292</v>
          </cell>
          <cell r="C493" t="str">
            <v>COLORANTE GEL ELECTRIC GREEN (UD=130ml)</v>
          </cell>
          <cell r="D493" t="str">
            <v>10400001</v>
          </cell>
          <cell r="E493" t="str">
            <v>MATERIAS PRIMAS PLANTA</v>
          </cell>
          <cell r="F493" t="str">
            <v>1 UND</v>
          </cell>
          <cell r="G493">
            <v>500</v>
          </cell>
          <cell r="H493" t="str">
            <v>13/05/2020</v>
          </cell>
          <cell r="I493">
            <v>2400</v>
          </cell>
          <cell r="J493">
            <v>2400</v>
          </cell>
          <cell r="K493">
            <v>130</v>
          </cell>
          <cell r="L493">
            <v>18.46153846153846</v>
          </cell>
          <cell r="M493" t="str">
            <v>Mililitros</v>
          </cell>
        </row>
        <row r="494">
          <cell r="A494" t="str">
            <v>10400002</v>
          </cell>
          <cell r="B494" t="str">
            <v>10069</v>
          </cell>
          <cell r="C494" t="str">
            <v>COLORANTE GEL ELECTRIC PURPLE (UND=4.5)</v>
          </cell>
          <cell r="D494" t="str">
            <v>10400002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10400003</v>
          </cell>
          <cell r="B495" t="str">
            <v>9704</v>
          </cell>
          <cell r="C495" t="str">
            <v>COLORANTE GEL ELECTRIC BLUE (UND=130ml)</v>
          </cell>
          <cell r="D495" t="str">
            <v>10400003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03/06/2020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10400004</v>
          </cell>
          <cell r="B496" t="str">
            <v>9605</v>
          </cell>
          <cell r="C496" t="str">
            <v>COLORANTE GEL MINT GREEN (UND)</v>
          </cell>
          <cell r="D496" t="str">
            <v>10400004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10400005</v>
          </cell>
          <cell r="B497" t="str">
            <v>10068</v>
          </cell>
          <cell r="C497" t="str">
            <v>COLORANTE GEL ELECTRIC PINK (UND=4.5 OZ)</v>
          </cell>
          <cell r="D497" t="str">
            <v>10400005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24/03/2020</v>
          </cell>
          <cell r="I497">
            <v>2400</v>
          </cell>
          <cell r="J497">
            <v>0</v>
          </cell>
          <cell r="K497">
            <v>130</v>
          </cell>
          <cell r="L497">
            <v>0</v>
          </cell>
          <cell r="M497" t="str">
            <v>Mililitros</v>
          </cell>
        </row>
        <row r="498">
          <cell r="A498" t="str">
            <v>10400006</v>
          </cell>
          <cell r="B498" t="str">
            <v>9706</v>
          </cell>
          <cell r="C498" t="str">
            <v>COLORANTE GEL LEMON YELLOW UND 130 ML</v>
          </cell>
          <cell r="D498" t="str">
            <v>10400006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10400007</v>
          </cell>
          <cell r="B499" t="str">
            <v>9705</v>
          </cell>
          <cell r="C499" t="str">
            <v>COLORANTE GEL ELECTRIC ORANGE (UND=130m)</v>
          </cell>
          <cell r="D499" t="str">
            <v>10400007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25/05/2020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10400008</v>
          </cell>
          <cell r="B500" t="str">
            <v>9602</v>
          </cell>
          <cell r="C500" t="str">
            <v>COLORANTE GEL EGG YELLOW  (UND= 130 ML)</v>
          </cell>
          <cell r="D500" t="str">
            <v>10400008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10400009</v>
          </cell>
          <cell r="B501" t="str">
            <v>10301</v>
          </cell>
          <cell r="C501" t="str">
            <v>COLORANTE GEL SUPER RED</v>
          </cell>
          <cell r="D501" t="str">
            <v>10400009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13/05/2020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10400011</v>
          </cell>
          <cell r="B502" t="str">
            <v>16479</v>
          </cell>
          <cell r="C502" t="str">
            <v>COLORANTE ARTIFICIAL ROSADO F225 (LITRO)</v>
          </cell>
          <cell r="D502" t="str">
            <v>10400011</v>
          </cell>
          <cell r="E502" t="str">
            <v>MATERIAS PRIMAS PLANTA</v>
          </cell>
          <cell r="F502" t="str">
            <v>1 LITRO</v>
          </cell>
          <cell r="G502">
            <v>500</v>
          </cell>
          <cell r="H502" t="str">
            <v>28/05/2020</v>
          </cell>
          <cell r="I502">
            <v>5935.78</v>
          </cell>
          <cell r="J502">
            <v>7905.14</v>
          </cell>
          <cell r="K502">
            <v>1000</v>
          </cell>
          <cell r="L502">
            <v>7.9051400000000003</v>
          </cell>
          <cell r="M502" t="str">
            <v>Mililitros</v>
          </cell>
        </row>
        <row r="503">
          <cell r="A503" t="str">
            <v>10500001</v>
          </cell>
          <cell r="B503" t="str">
            <v>11212</v>
          </cell>
          <cell r="C503" t="str">
            <v>CLAVO DE OLOR MOLIDO KG</v>
          </cell>
          <cell r="D503" t="str">
            <v>10500001</v>
          </cell>
          <cell r="E503" t="str">
            <v>MATERIAS PRIMAS PLANTA</v>
          </cell>
          <cell r="F503" t="str">
            <v>1 KILO</v>
          </cell>
          <cell r="G503">
            <v>500</v>
          </cell>
          <cell r="H503" t="str">
            <v>05/03/2020</v>
          </cell>
          <cell r="I503">
            <v>28940.63</v>
          </cell>
          <cell r="J503">
            <v>23155.3</v>
          </cell>
          <cell r="K503">
            <v>1000</v>
          </cell>
          <cell r="L503">
            <v>23.1553</v>
          </cell>
          <cell r="M503" t="str">
            <v>Gramos</v>
          </cell>
        </row>
        <row r="504">
          <cell r="A504" t="str">
            <v>10500016</v>
          </cell>
          <cell r="B504" t="str">
            <v>5398</v>
          </cell>
          <cell r="C504" t="str">
            <v>HOJA DE LAUREL (UND:43g)</v>
          </cell>
          <cell r="D504" t="str">
            <v>10500016</v>
          </cell>
          <cell r="E504" t="str">
            <v>MATERIAS PRIMAS PLANTA</v>
          </cell>
          <cell r="F504" t="str">
            <v>1 UND</v>
          </cell>
          <cell r="G504">
            <v>500</v>
          </cell>
          <cell r="H504" t="str">
            <v>25/05/2020</v>
          </cell>
          <cell r="I504">
            <v>2252</v>
          </cell>
          <cell r="J504">
            <v>2645</v>
          </cell>
          <cell r="K504">
            <v>43</v>
          </cell>
          <cell r="L504">
            <v>61.511627906976742</v>
          </cell>
          <cell r="M504" t="str">
            <v>Gramos</v>
          </cell>
        </row>
        <row r="505">
          <cell r="A505" t="str">
            <v>10700008</v>
          </cell>
          <cell r="B505" t="str">
            <v>8136</v>
          </cell>
          <cell r="C505" t="str">
            <v>CONFITE PALITO CHOCOLATE (PAQ:680 G)</v>
          </cell>
          <cell r="D505" t="str">
            <v>10700008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12/06/2020</v>
          </cell>
          <cell r="I505">
            <v>1810</v>
          </cell>
          <cell r="J505">
            <v>1973</v>
          </cell>
          <cell r="K505">
            <v>680</v>
          </cell>
          <cell r="L505">
            <v>2.901470588235294</v>
          </cell>
          <cell r="M505" t="str">
            <v>Gramos</v>
          </cell>
        </row>
        <row r="506">
          <cell r="A506" t="str">
            <v>10700013</v>
          </cell>
          <cell r="B506" t="str">
            <v>9472</v>
          </cell>
          <cell r="C506" t="str">
            <v>STICK DORADO (CAJA:100 UND)</v>
          </cell>
          <cell r="D506" t="str">
            <v>10700013</v>
          </cell>
          <cell r="E506" t="str">
            <v>MATERIAS PRIMAS PLANTA</v>
          </cell>
          <cell r="F506" t="str">
            <v>1 CAJA</v>
          </cell>
          <cell r="G506">
            <v>500</v>
          </cell>
          <cell r="H506" t="str">
            <v>25/05/2020</v>
          </cell>
          <cell r="I506">
            <v>5838</v>
          </cell>
          <cell r="J506">
            <v>5838</v>
          </cell>
          <cell r="K506">
            <v>100</v>
          </cell>
          <cell r="L506">
            <v>58.38</v>
          </cell>
          <cell r="M506" t="str">
            <v>Und</v>
          </cell>
        </row>
        <row r="507">
          <cell r="A507" t="str">
            <v>10700015</v>
          </cell>
          <cell r="B507" t="str">
            <v>9600</v>
          </cell>
          <cell r="C507" t="str">
            <v>CHOCOLATE ESTRELLA DORADA (CAJA:215 UN)</v>
          </cell>
          <cell r="D507" t="str">
            <v>10700015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01/06/2020</v>
          </cell>
          <cell r="I507">
            <v>15265</v>
          </cell>
          <cell r="J507">
            <v>15265</v>
          </cell>
          <cell r="K507">
            <v>215</v>
          </cell>
          <cell r="L507">
            <v>71</v>
          </cell>
          <cell r="M507" t="str">
            <v>Und</v>
          </cell>
        </row>
        <row r="508">
          <cell r="A508" t="str">
            <v>10700023</v>
          </cell>
          <cell r="B508" t="str">
            <v>14214</v>
          </cell>
          <cell r="C508" t="str">
            <v>CHOCOLATE CORAZON GRANDE ORO(CJ:215 UND)</v>
          </cell>
          <cell r="D508" t="str">
            <v>10700023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03/12/2019</v>
          </cell>
          <cell r="I508" t="e">
            <v>#N/A</v>
          </cell>
          <cell r="J508">
            <v>0</v>
          </cell>
          <cell r="K508">
            <v>215</v>
          </cell>
          <cell r="L508">
            <v>0</v>
          </cell>
          <cell r="M508" t="str">
            <v>Und</v>
          </cell>
        </row>
        <row r="509">
          <cell r="A509" t="str">
            <v>10700026</v>
          </cell>
          <cell r="B509" t="str">
            <v>12988</v>
          </cell>
          <cell r="C509" t="str">
            <v>PLACA DE FONDANT (PAQ:10 UND)</v>
          </cell>
          <cell r="D509" t="str">
            <v>10700026</v>
          </cell>
          <cell r="E509" t="str">
            <v>MATERIAS PRIMAS PLANTA</v>
          </cell>
          <cell r="F509" t="str">
            <v>1 PAQUETE</v>
          </cell>
          <cell r="G509">
            <v>500</v>
          </cell>
          <cell r="H509" t="str">
            <v>15/06/2020</v>
          </cell>
          <cell r="I509">
            <v>700</v>
          </cell>
          <cell r="J509">
            <v>735</v>
          </cell>
          <cell r="K509"/>
          <cell r="L509" t="e">
            <v>#DIV/0!</v>
          </cell>
          <cell r="M509"/>
        </row>
        <row r="510">
          <cell r="A510" t="str">
            <v>10700029</v>
          </cell>
          <cell r="B510" t="str">
            <v>14303</v>
          </cell>
          <cell r="C510" t="str">
            <v>CHOCOLATE CORAZON ROJO PASION (CAJA:200)</v>
          </cell>
          <cell r="D510" t="str">
            <v>10700029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11/02/2020</v>
          </cell>
          <cell r="I510">
            <v>8000</v>
          </cell>
          <cell r="J510">
            <v>0</v>
          </cell>
          <cell r="K510">
            <v>200</v>
          </cell>
          <cell r="L510">
            <v>0</v>
          </cell>
          <cell r="M510" t="str">
            <v>Und</v>
          </cell>
        </row>
        <row r="511">
          <cell r="A511" t="str">
            <v>10700032</v>
          </cell>
          <cell r="B511" t="str">
            <v>15413</v>
          </cell>
          <cell r="C511" t="str">
            <v>MERENGUE  POLVO MERCK BAKE (PAQ:2.27 K)</v>
          </cell>
          <cell r="D511" t="str">
            <v>10700032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01/02/2020</v>
          </cell>
          <cell r="I511" t="e">
            <v>#N/A</v>
          </cell>
          <cell r="J511">
            <v>0</v>
          </cell>
          <cell r="K511">
            <v>2270</v>
          </cell>
          <cell r="L511">
            <v>0</v>
          </cell>
          <cell r="M511" t="str">
            <v>Gramos</v>
          </cell>
        </row>
        <row r="512">
          <cell r="A512" t="str">
            <v>10700033</v>
          </cell>
          <cell r="B512" t="str">
            <v>15654</v>
          </cell>
          <cell r="C512" t="str">
            <v>CHOCOLATE KIT KAT (CAJA:24 X41.5 G)</v>
          </cell>
          <cell r="D512" t="str">
            <v>10700033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04/04/2020</v>
          </cell>
          <cell r="I512" t="e">
            <v>#N/A</v>
          </cell>
          <cell r="J512">
            <v>0</v>
          </cell>
          <cell r="K512">
            <v>996</v>
          </cell>
          <cell r="L512">
            <v>0</v>
          </cell>
          <cell r="M512"/>
        </row>
        <row r="513">
          <cell r="A513" t="str">
            <v>10700034</v>
          </cell>
          <cell r="B513" t="str">
            <v>15871</v>
          </cell>
          <cell r="C513" t="str">
            <v>MINI PERLAS COMBINADAS (CAJA: 312 UND)</v>
          </cell>
          <cell r="D513" t="str">
            <v>10700034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31/01/2020</v>
          </cell>
          <cell r="I513" t="e">
            <v>#N/A</v>
          </cell>
          <cell r="J513">
            <v>0</v>
          </cell>
          <cell r="K513">
            <v>312</v>
          </cell>
          <cell r="L513">
            <v>0</v>
          </cell>
          <cell r="M513" t="str">
            <v>Und</v>
          </cell>
        </row>
        <row r="514">
          <cell r="A514" t="str">
            <v>10700035</v>
          </cell>
          <cell r="B514" t="str">
            <v>15872</v>
          </cell>
          <cell r="C514" t="str">
            <v>DOYPACK FUDGE (UND:650 G)</v>
          </cell>
          <cell r="D514" t="str">
            <v>10700035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16/06/2020</v>
          </cell>
          <cell r="I514" t="e">
            <v>#N/A</v>
          </cell>
          <cell r="J514">
            <v>0</v>
          </cell>
          <cell r="K514">
            <v>650</v>
          </cell>
          <cell r="L514">
            <v>0</v>
          </cell>
          <cell r="M514"/>
        </row>
        <row r="515">
          <cell r="A515" t="str">
            <v>10700036</v>
          </cell>
          <cell r="B515" t="str">
            <v>15873</v>
          </cell>
          <cell r="C515" t="str">
            <v>CHOCOLATE CORAZON MINI COMB (CJ:1500 UD)</v>
          </cell>
          <cell r="D515" t="str">
            <v>10700036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11/02/2020</v>
          </cell>
          <cell r="I515" t="e">
            <v>#N/A</v>
          </cell>
          <cell r="J515">
            <v>0</v>
          </cell>
          <cell r="K515">
            <v>1500</v>
          </cell>
          <cell r="L515">
            <v>0</v>
          </cell>
          <cell r="M515"/>
        </row>
        <row r="516">
          <cell r="A516" t="str">
            <v>10700037</v>
          </cell>
          <cell r="B516" t="str">
            <v>16025</v>
          </cell>
          <cell r="C516" t="str">
            <v>CHOCOLATE HERSHEYS ALMENDRA GIGANT (UND)</v>
          </cell>
          <cell r="D516" t="str">
            <v>10700037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27/03/2020</v>
          </cell>
          <cell r="I516" t="e">
            <v>#N/A</v>
          </cell>
          <cell r="J516">
            <v>0</v>
          </cell>
          <cell r="K516"/>
          <cell r="L516" t="e">
            <v>#DIV/0!</v>
          </cell>
          <cell r="M516"/>
        </row>
        <row r="517">
          <cell r="A517" t="str">
            <v>10700038</v>
          </cell>
          <cell r="B517" t="str">
            <v>16026</v>
          </cell>
          <cell r="C517" t="str">
            <v xml:space="preserve">CHOCOLATE SURTIDO GALLITO (CAJA: 330 G) </v>
          </cell>
          <cell r="D517" t="str">
            <v>10700038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16/03/2020</v>
          </cell>
          <cell r="I517" t="e">
            <v>#N/A</v>
          </cell>
          <cell r="J517">
            <v>0</v>
          </cell>
          <cell r="K517">
            <v>330</v>
          </cell>
          <cell r="L517">
            <v>0</v>
          </cell>
          <cell r="M517" t="str">
            <v>Gramos</v>
          </cell>
        </row>
        <row r="518">
          <cell r="A518" t="str">
            <v>10700040</v>
          </cell>
          <cell r="B518" t="str">
            <v>16619</v>
          </cell>
          <cell r="C518" t="str">
            <v>MONEDA CHOCOLATE SPOON ( CAJA:25 UND)</v>
          </cell>
          <cell r="D518" t="str">
            <v>10700040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13/06/2020</v>
          </cell>
          <cell r="I518" t="e">
            <v>#N/A</v>
          </cell>
          <cell r="J518">
            <v>0</v>
          </cell>
          <cell r="K518">
            <v>25</v>
          </cell>
          <cell r="L518">
            <v>0</v>
          </cell>
          <cell r="M518"/>
        </row>
        <row r="519">
          <cell r="A519" t="str">
            <v>10900004</v>
          </cell>
          <cell r="B519" t="str">
            <v>9416</v>
          </cell>
          <cell r="C519" t="str">
            <v>OLLA DE CARNE MIXTO (PAQ:1KILO)</v>
          </cell>
          <cell r="D519" t="str">
            <v>10900004</v>
          </cell>
          <cell r="E519" t="str">
            <v>MATERIAS PRIMAS PLANTA</v>
          </cell>
          <cell r="F519" t="str">
            <v>1 PAQUETE</v>
          </cell>
          <cell r="G519">
            <v>500</v>
          </cell>
          <cell r="H519" t="str">
            <v>08/06/2020</v>
          </cell>
          <cell r="I519">
            <v>1900</v>
          </cell>
          <cell r="J519">
            <v>1900</v>
          </cell>
          <cell r="K519">
            <v>1000</v>
          </cell>
          <cell r="L519">
            <v>1.9</v>
          </cell>
          <cell r="M519" t="str">
            <v>Gramos</v>
          </cell>
        </row>
        <row r="520">
          <cell r="A520" t="str">
            <v>10900005</v>
          </cell>
          <cell r="B520" t="str">
            <v>11342</v>
          </cell>
          <cell r="C520" t="str">
            <v>MENTA EN RAMAS (PAQ:100g)</v>
          </cell>
          <cell r="D520" t="str">
            <v>10900005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15/06/2020</v>
          </cell>
          <cell r="I520">
            <v>536.5</v>
          </cell>
          <cell r="J520">
            <v>550</v>
          </cell>
          <cell r="K520">
            <v>100</v>
          </cell>
          <cell r="L520">
            <v>5.5</v>
          </cell>
          <cell r="M520"/>
        </row>
        <row r="521">
          <cell r="A521" t="str">
            <v>10900020</v>
          </cell>
          <cell r="B521" t="str">
            <v>10261</v>
          </cell>
          <cell r="C521" t="str">
            <v>ZANAHORIA EN TROZOS (PAQ=2Kg)</v>
          </cell>
          <cell r="D521" t="str">
            <v>10900020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30/05/2020</v>
          </cell>
          <cell r="I521">
            <v>2307</v>
          </cell>
          <cell r="J521">
            <v>2307</v>
          </cell>
          <cell r="K521">
            <v>2000</v>
          </cell>
          <cell r="L521">
            <v>1.1535</v>
          </cell>
          <cell r="M521" t="str">
            <v>Gramos</v>
          </cell>
        </row>
        <row r="522">
          <cell r="A522" t="str">
            <v>10900021</v>
          </cell>
          <cell r="B522" t="str">
            <v>10262</v>
          </cell>
          <cell r="C522" t="str">
            <v>AYOTE SAZON PELADO EN TROZOS (PAQ: 2Kg)</v>
          </cell>
          <cell r="D522" t="str">
            <v>10900021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13/06/2020</v>
          </cell>
          <cell r="I522">
            <v>3241</v>
          </cell>
          <cell r="J522">
            <v>3241</v>
          </cell>
          <cell r="K522">
            <v>2000</v>
          </cell>
          <cell r="L522">
            <v>1.6205000000000001</v>
          </cell>
          <cell r="M522" t="str">
            <v>Gramos</v>
          </cell>
        </row>
        <row r="523">
          <cell r="A523" t="str">
            <v>10900022</v>
          </cell>
          <cell r="B523" t="str">
            <v>10263</v>
          </cell>
          <cell r="C523" t="str">
            <v>CHAYOTE TIERNO EN TROZOS (PAQ:2 KILOS)</v>
          </cell>
          <cell r="D523" t="str">
            <v>10900022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06/06/2020</v>
          </cell>
          <cell r="I523">
            <v>2518</v>
          </cell>
          <cell r="J523">
            <v>2518</v>
          </cell>
          <cell r="K523">
            <v>2000</v>
          </cell>
          <cell r="L523">
            <v>1.2589999999999999</v>
          </cell>
          <cell r="M523"/>
        </row>
        <row r="524">
          <cell r="A524" t="str">
            <v>10900023</v>
          </cell>
          <cell r="B524" t="str">
            <v>10260</v>
          </cell>
          <cell r="C524" t="str">
            <v xml:space="preserve">PAPA EN TROZOS (PAQ: 2 K) </v>
          </cell>
          <cell r="D524" t="str">
            <v>10900023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3641</v>
          </cell>
          <cell r="J524">
            <v>3641</v>
          </cell>
          <cell r="K524">
            <v>2000</v>
          </cell>
          <cell r="L524">
            <v>1.8205</v>
          </cell>
          <cell r="M524" t="str">
            <v>Gramos</v>
          </cell>
        </row>
        <row r="525">
          <cell r="A525" t="str">
            <v>10900024</v>
          </cell>
          <cell r="B525" t="str">
            <v>9425</v>
          </cell>
          <cell r="C525" t="str">
            <v>YUCA EN TROZOS (PAQ: 2K)</v>
          </cell>
          <cell r="D525" t="str">
            <v>10900024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3450</v>
          </cell>
          <cell r="J525">
            <v>3450</v>
          </cell>
          <cell r="K525">
            <v>2000</v>
          </cell>
          <cell r="L525">
            <v>1.7250000000000001</v>
          </cell>
          <cell r="M525" t="str">
            <v>Gramos</v>
          </cell>
        </row>
        <row r="526">
          <cell r="A526" t="str">
            <v>10900025</v>
          </cell>
          <cell r="B526" t="str">
            <v>9426</v>
          </cell>
          <cell r="C526" t="str">
            <v>CAMOTE EN TROZOS (PAQ: 2K)</v>
          </cell>
          <cell r="D526" t="str">
            <v>10900025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4150</v>
          </cell>
          <cell r="J526">
            <v>4150</v>
          </cell>
          <cell r="K526">
            <v>2000</v>
          </cell>
          <cell r="L526">
            <v>2.0750000000000002</v>
          </cell>
          <cell r="M526" t="str">
            <v>Gramos</v>
          </cell>
        </row>
        <row r="527">
          <cell r="A527" t="str">
            <v>10900026</v>
          </cell>
          <cell r="B527" t="str">
            <v>9427</v>
          </cell>
          <cell r="C527" t="str">
            <v>ELOTE BLANCO EN TROZOS (PAQ:2K)</v>
          </cell>
          <cell r="D527" t="str">
            <v>10900026</v>
          </cell>
          <cell r="E527" t="str">
            <v>MATERIAS PRIMAS PLANTA</v>
          </cell>
          <cell r="F527" t="str">
            <v>1 UND</v>
          </cell>
          <cell r="G527">
            <v>500</v>
          </cell>
          <cell r="H527" t="str">
            <v>06/06/2020</v>
          </cell>
          <cell r="I527">
            <v>3651</v>
          </cell>
          <cell r="J527">
            <v>3651</v>
          </cell>
          <cell r="K527">
            <v>2000</v>
          </cell>
          <cell r="L527">
            <v>1.8254999999999999</v>
          </cell>
          <cell r="M527" t="str">
            <v>Gramos</v>
          </cell>
        </row>
        <row r="528">
          <cell r="A528" t="str">
            <v>10900029</v>
          </cell>
          <cell r="B528" t="str">
            <v>5509</v>
          </cell>
          <cell r="C528" t="str">
            <v>ZANAHORIA TIRAS (PAQ:500g)</v>
          </cell>
          <cell r="D528" t="str">
            <v>10900029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15/06/2020</v>
          </cell>
          <cell r="I528">
            <v>428</v>
          </cell>
          <cell r="J528">
            <v>428</v>
          </cell>
          <cell r="K528">
            <v>500</v>
          </cell>
          <cell r="L528">
            <v>0.85599999999999998</v>
          </cell>
          <cell r="M528" t="str">
            <v>Gramos</v>
          </cell>
        </row>
        <row r="529">
          <cell r="A529" t="str">
            <v>10900032</v>
          </cell>
          <cell r="B529" t="str">
            <v>5424</v>
          </cell>
          <cell r="C529" t="str">
            <v>FRESA ENTERA (UND:300 g)</v>
          </cell>
          <cell r="D529" t="str">
            <v>10900032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15/06/2020</v>
          </cell>
          <cell r="I529">
            <v>875</v>
          </cell>
          <cell r="J529">
            <v>875</v>
          </cell>
          <cell r="K529">
            <v>300</v>
          </cell>
          <cell r="L529">
            <v>2.9166666666666665</v>
          </cell>
          <cell r="M529" t="str">
            <v>Gramos</v>
          </cell>
        </row>
        <row r="530">
          <cell r="A530" t="str">
            <v>10900033</v>
          </cell>
          <cell r="B530" t="str">
            <v>5470</v>
          </cell>
          <cell r="C530" t="str">
            <v>ELOTE MINI (PAQ:200g)</v>
          </cell>
          <cell r="D530" t="str">
            <v>10900033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28/05/2020</v>
          </cell>
          <cell r="I530">
            <v>780</v>
          </cell>
          <cell r="J530">
            <v>0</v>
          </cell>
          <cell r="K530">
            <v>200</v>
          </cell>
          <cell r="L530">
            <v>0</v>
          </cell>
          <cell r="M530"/>
        </row>
        <row r="531">
          <cell r="A531" t="str">
            <v>10900034</v>
          </cell>
          <cell r="B531" t="str">
            <v>5478</v>
          </cell>
          <cell r="C531" t="str">
            <v>ALBAHACA (PAQ: 100g)</v>
          </cell>
          <cell r="D531" t="str">
            <v>10900034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15/06/2020</v>
          </cell>
          <cell r="I531">
            <v>521.20000000000005</v>
          </cell>
          <cell r="J531">
            <v>535</v>
          </cell>
          <cell r="K531">
            <v>100</v>
          </cell>
          <cell r="L531">
            <v>5.35</v>
          </cell>
          <cell r="M531"/>
        </row>
        <row r="532">
          <cell r="A532" t="str">
            <v>10900036</v>
          </cell>
          <cell r="B532" t="str">
            <v>5499</v>
          </cell>
          <cell r="C532" t="str">
            <v>LECHUGA AMERICANA ENTERA (PAQ:500g)</v>
          </cell>
          <cell r="D532" t="str">
            <v>10900036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1046.5</v>
          </cell>
          <cell r="J532">
            <v>1075</v>
          </cell>
          <cell r="K532">
            <v>500</v>
          </cell>
          <cell r="L532">
            <v>2.15</v>
          </cell>
          <cell r="M532" t="str">
            <v>Gramos</v>
          </cell>
        </row>
        <row r="533">
          <cell r="A533" t="str">
            <v>10900037</v>
          </cell>
          <cell r="B533" t="str">
            <v>5469</v>
          </cell>
          <cell r="C533" t="str">
            <v>VAINICA BABY (PAQ:200g)</v>
          </cell>
          <cell r="D533" t="str">
            <v>10900037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30/05/2020</v>
          </cell>
          <cell r="I533">
            <v>580</v>
          </cell>
          <cell r="J533">
            <v>0</v>
          </cell>
          <cell r="K533">
            <v>200</v>
          </cell>
          <cell r="L533">
            <v>0</v>
          </cell>
          <cell r="M533"/>
        </row>
        <row r="534">
          <cell r="A534" t="str">
            <v>10900040</v>
          </cell>
          <cell r="B534" t="str">
            <v>5452</v>
          </cell>
          <cell r="C534" t="str">
            <v>PEREJIL (PAQUETE: 32 gr)</v>
          </cell>
          <cell r="D534" t="str">
            <v>10900040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308</v>
          </cell>
          <cell r="J534">
            <v>308</v>
          </cell>
          <cell r="K534">
            <v>32</v>
          </cell>
          <cell r="L534">
            <v>9.625</v>
          </cell>
          <cell r="M534"/>
        </row>
        <row r="535">
          <cell r="A535" t="str">
            <v>10900041</v>
          </cell>
          <cell r="B535" t="str">
            <v>5489</v>
          </cell>
          <cell r="C535" t="str">
            <v>REPOLLO MORADO RALLADO (PAQ:250g)</v>
          </cell>
          <cell r="D535" t="str">
            <v>10900041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449.1</v>
          </cell>
          <cell r="J535">
            <v>462.99</v>
          </cell>
          <cell r="K535">
            <v>250</v>
          </cell>
          <cell r="L535">
            <v>1.8519600000000001</v>
          </cell>
          <cell r="M535"/>
        </row>
        <row r="536">
          <cell r="A536" t="str">
            <v>10900042</v>
          </cell>
          <cell r="B536" t="str">
            <v>5477</v>
          </cell>
          <cell r="C536" t="str">
            <v>HIERBA BUENA (PAQ:100g)</v>
          </cell>
          <cell r="D536" t="str">
            <v>10900042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907.8</v>
          </cell>
          <cell r="J536">
            <v>920</v>
          </cell>
          <cell r="K536">
            <v>100</v>
          </cell>
          <cell r="L536">
            <v>9.1999999999999993</v>
          </cell>
          <cell r="M536"/>
        </row>
        <row r="537">
          <cell r="A537" t="str">
            <v>10900043</v>
          </cell>
          <cell r="B537" t="str">
            <v>5468</v>
          </cell>
          <cell r="C537" t="str">
            <v>TOMATE CHERRY (PAQ:200g)</v>
          </cell>
          <cell r="D537" t="str">
            <v>10900043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16/06/2020</v>
          </cell>
          <cell r="I537">
            <v>450</v>
          </cell>
          <cell r="J537">
            <v>500</v>
          </cell>
          <cell r="K537">
            <v>200</v>
          </cell>
          <cell r="L537">
            <v>2.5</v>
          </cell>
          <cell r="M537"/>
        </row>
        <row r="538">
          <cell r="A538" t="str">
            <v>10900047</v>
          </cell>
          <cell r="B538" t="str">
            <v>5459</v>
          </cell>
          <cell r="C538" t="str">
            <v>ALFALFA (PAQ:150g)</v>
          </cell>
          <cell r="D538" t="str">
            <v>10900047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750</v>
          </cell>
          <cell r="J538">
            <v>950</v>
          </cell>
          <cell r="K538">
            <v>150</v>
          </cell>
          <cell r="L538">
            <v>6.333333333333333</v>
          </cell>
        </row>
        <row r="539">
          <cell r="A539" t="str">
            <v>10900051</v>
          </cell>
          <cell r="B539" t="str">
            <v>11353</v>
          </cell>
          <cell r="C539" t="str">
            <v>AGUACATE KILO</v>
          </cell>
          <cell r="D539" t="str">
            <v>10900051</v>
          </cell>
          <cell r="E539" t="str">
            <v>MATERIAS PRIMAS PLANTA</v>
          </cell>
          <cell r="F539" t="str">
            <v>1 KILO</v>
          </cell>
          <cell r="G539">
            <v>500</v>
          </cell>
          <cell r="H539" t="str">
            <v>15/06/2020</v>
          </cell>
          <cell r="I539">
            <v>2200</v>
          </cell>
          <cell r="J539">
            <v>2792</v>
          </cell>
          <cell r="K539">
            <v>1000</v>
          </cell>
          <cell r="L539">
            <v>2.7919999999999998</v>
          </cell>
          <cell r="M539" t="str">
            <v>Gramos</v>
          </cell>
        </row>
        <row r="540">
          <cell r="A540" t="str">
            <v>10900057</v>
          </cell>
          <cell r="B540" t="str">
            <v>12159</v>
          </cell>
          <cell r="C540" t="str">
            <v>ZUQUINI MINI (PAQ:200g)</v>
          </cell>
          <cell r="D540" t="str">
            <v>10900057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400</v>
          </cell>
          <cell r="J540">
            <v>500</v>
          </cell>
          <cell r="K540">
            <v>200</v>
          </cell>
          <cell r="L540">
            <v>2.5</v>
          </cell>
          <cell r="M540"/>
        </row>
        <row r="541">
          <cell r="A541" t="str">
            <v>10900059</v>
          </cell>
          <cell r="B541" t="str">
            <v>5490</v>
          </cell>
          <cell r="C541" t="str">
            <v>RABANO (PAQ:125g)</v>
          </cell>
          <cell r="D541" t="str">
            <v>10900059</v>
          </cell>
          <cell r="E541" t="str">
            <v>MATERIAS PRIMAS PLANTA</v>
          </cell>
          <cell r="F541" t="str">
            <v xml:space="preserve">1 KILO </v>
          </cell>
          <cell r="G541">
            <v>500</v>
          </cell>
          <cell r="H541" t="str">
            <v>15/06/2020</v>
          </cell>
          <cell r="I541">
            <v>1149</v>
          </cell>
          <cell r="J541">
            <v>1149</v>
          </cell>
          <cell r="K541">
            <v>1000</v>
          </cell>
          <cell r="L541">
            <v>1.149</v>
          </cell>
          <cell r="M541" t="str">
            <v>Gramos</v>
          </cell>
        </row>
        <row r="542">
          <cell r="A542" t="str">
            <v>10900060</v>
          </cell>
          <cell r="B542" t="str">
            <v>8109</v>
          </cell>
          <cell r="C542" t="str">
            <v>CEREZA ROJA C/TALLO MARASCH (UND:GALON)</v>
          </cell>
          <cell r="D542" t="str">
            <v>10900060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08/06/2020</v>
          </cell>
          <cell r="I542">
            <v>11277</v>
          </cell>
          <cell r="J542">
            <v>7467</v>
          </cell>
          <cell r="K542">
            <v>3785</v>
          </cell>
          <cell r="L542">
            <v>1.9727873183619551</v>
          </cell>
          <cell r="M542" t="str">
            <v>Gramos</v>
          </cell>
        </row>
        <row r="543">
          <cell r="A543" t="str">
            <v>10900062</v>
          </cell>
          <cell r="B543" t="str">
            <v>11812</v>
          </cell>
          <cell r="C543" t="str">
            <v>PLATANO MADURO KILO</v>
          </cell>
          <cell r="D543" t="str">
            <v>10900062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13/06/2020</v>
          </cell>
          <cell r="I543">
            <v>700</v>
          </cell>
          <cell r="J543">
            <v>700</v>
          </cell>
          <cell r="K543">
            <v>1000</v>
          </cell>
          <cell r="L543">
            <v>0.7</v>
          </cell>
          <cell r="M543" t="str">
            <v>Gramos</v>
          </cell>
        </row>
        <row r="544">
          <cell r="A544" t="str">
            <v>10900066</v>
          </cell>
          <cell r="B544" t="str">
            <v>12599</v>
          </cell>
          <cell r="C544" t="str">
            <v>PIÑA PICADA (PAQ:1 kg)</v>
          </cell>
          <cell r="D544" t="str">
            <v>10900066</v>
          </cell>
          <cell r="E544" t="str">
            <v>MATERIAS PRIMAS PLANTA</v>
          </cell>
          <cell r="F544" t="str">
            <v>1 PAQUETE</v>
          </cell>
          <cell r="G544">
            <v>500</v>
          </cell>
          <cell r="H544" t="str">
            <v>23/03/2020</v>
          </cell>
          <cell r="I544">
            <v>1950</v>
          </cell>
          <cell r="J544">
            <v>1365</v>
          </cell>
          <cell r="K544">
            <v>1000</v>
          </cell>
          <cell r="L544">
            <v>1.365</v>
          </cell>
          <cell r="M544" t="str">
            <v>Gramos</v>
          </cell>
        </row>
        <row r="545">
          <cell r="A545" t="str">
            <v>11000006</v>
          </cell>
          <cell r="B545" t="str">
            <v>14894</v>
          </cell>
          <cell r="C545" t="str">
            <v>ORLA 6.5'' (UND)</v>
          </cell>
          <cell r="D545" t="str">
            <v>11000006</v>
          </cell>
          <cell r="E545" t="str">
            <v>EMPAQUES PLANTA</v>
          </cell>
          <cell r="F545" t="str">
            <v>1 UND</v>
          </cell>
          <cell r="G545">
            <v>500</v>
          </cell>
          <cell r="H545" t="str">
            <v>13/03/2020</v>
          </cell>
          <cell r="I545">
            <v>76</v>
          </cell>
          <cell r="J545">
            <v>76</v>
          </cell>
          <cell r="K545">
            <v>1</v>
          </cell>
          <cell r="L545">
            <v>76</v>
          </cell>
          <cell r="M545"/>
        </row>
        <row r="546">
          <cell r="A546" t="str">
            <v>11100002</v>
          </cell>
          <cell r="B546" t="str">
            <v>12716</v>
          </cell>
          <cell r="C546" t="str">
            <v>MARGARINA LIQUIDA 17.5LB (CAJA:2 UND)</v>
          </cell>
          <cell r="D546" t="str">
            <v>11100002</v>
          </cell>
          <cell r="E546" t="str">
            <v>MATERIAS PRIMAS PLANTA</v>
          </cell>
          <cell r="F546" t="str">
            <v>1 CAJA</v>
          </cell>
          <cell r="G546">
            <v>500</v>
          </cell>
          <cell r="H546" t="str">
            <v>07/01/2020</v>
          </cell>
          <cell r="I546" t="e">
            <v>#N/A</v>
          </cell>
          <cell r="J546">
            <v>0</v>
          </cell>
          <cell r="K546">
            <v>0</v>
          </cell>
          <cell r="L546" t="e">
            <v>#DIV/0!</v>
          </cell>
          <cell r="M546"/>
        </row>
        <row r="547">
          <cell r="A547" t="str">
            <v>11100006</v>
          </cell>
          <cell r="B547" t="str">
            <v>11434</v>
          </cell>
          <cell r="C547" t="str">
            <v>MANTEQUILLA BLISTER 7g  (CAJA:120 UND)</v>
          </cell>
          <cell r="D547" t="str">
            <v>11100006</v>
          </cell>
          <cell r="E547" t="str">
            <v>MATERIAS PRIMAS PLANTA</v>
          </cell>
          <cell r="F547" t="str">
            <v xml:space="preserve">1 CAJA </v>
          </cell>
          <cell r="G547">
            <v>500</v>
          </cell>
          <cell r="H547" t="str">
            <v>20/03/2020</v>
          </cell>
          <cell r="I547">
            <v>6880</v>
          </cell>
          <cell r="J547">
            <v>8365</v>
          </cell>
          <cell r="K547">
            <v>120</v>
          </cell>
          <cell r="L547">
            <v>69.708333333333329</v>
          </cell>
          <cell r="M547" t="str">
            <v>Und</v>
          </cell>
        </row>
        <row r="548">
          <cell r="A548" t="str">
            <v>11200004</v>
          </cell>
          <cell r="B548" t="str">
            <v>11440</v>
          </cell>
          <cell r="C548" t="str">
            <v>PAN TRENZA(PAQ:10 UND)</v>
          </cell>
          <cell r="D548" t="str">
            <v>11200004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12/06/2020</v>
          </cell>
          <cell r="I548">
            <v>2050</v>
          </cell>
          <cell r="J548">
            <v>2130</v>
          </cell>
          <cell r="K548">
            <v>10</v>
          </cell>
          <cell r="L548">
            <v>213</v>
          </cell>
          <cell r="M548" t="str">
            <v>Und</v>
          </cell>
        </row>
        <row r="549">
          <cell r="A549" t="str">
            <v>11200005</v>
          </cell>
          <cell r="B549" t="str">
            <v>11441</v>
          </cell>
          <cell r="C549" t="str">
            <v>PAN BAGUETTINO (PAQ:20 UND)</v>
          </cell>
          <cell r="D549" t="str">
            <v>11200005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2400</v>
          </cell>
          <cell r="J549">
            <v>2560</v>
          </cell>
          <cell r="K549">
            <v>20</v>
          </cell>
          <cell r="L549">
            <v>128</v>
          </cell>
          <cell r="M549" t="str">
            <v>Und</v>
          </cell>
        </row>
        <row r="550">
          <cell r="A550" t="str">
            <v>11200019</v>
          </cell>
          <cell r="B550" t="str">
            <v>5573</v>
          </cell>
          <cell r="C550" t="str">
            <v>PAN MINI BAGUET (PAQ:5 UND)</v>
          </cell>
          <cell r="D550" t="str">
            <v>11200019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950</v>
          </cell>
          <cell r="J550">
            <v>1015</v>
          </cell>
          <cell r="K550">
            <v>5</v>
          </cell>
          <cell r="L550">
            <v>203</v>
          </cell>
          <cell r="M550" t="str">
            <v>Und</v>
          </cell>
        </row>
        <row r="551">
          <cell r="A551" t="str">
            <v>11200041</v>
          </cell>
          <cell r="B551" t="str">
            <v>5572</v>
          </cell>
          <cell r="C551" t="str">
            <v>CONCHA PIZZA (PAQ:5 UND)</v>
          </cell>
          <cell r="D551" t="str">
            <v>11200041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845</v>
          </cell>
          <cell r="J551">
            <v>631.25</v>
          </cell>
          <cell r="K551">
            <v>5</v>
          </cell>
          <cell r="L551">
            <v>126.25</v>
          </cell>
          <cell r="M551" t="str">
            <v>Und</v>
          </cell>
        </row>
        <row r="552">
          <cell r="A552" t="str">
            <v>11200043</v>
          </cell>
          <cell r="B552" t="str">
            <v>11326</v>
          </cell>
          <cell r="C552" t="str">
            <v>PREMEZCLA TEGRAL QQ VAINILLA (SACO:25K)</v>
          </cell>
          <cell r="D552" t="str">
            <v>11200043</v>
          </cell>
          <cell r="E552" t="str">
            <v>MATERIAS PRIMAS PLANTA</v>
          </cell>
          <cell r="F552" t="str">
            <v>1 SACO</v>
          </cell>
          <cell r="G552">
            <v>500</v>
          </cell>
          <cell r="H552" t="str">
            <v>13/06/2020</v>
          </cell>
          <cell r="I552">
            <v>24875</v>
          </cell>
          <cell r="J552">
            <v>29949.255000000001</v>
          </cell>
          <cell r="K552">
            <v>25000</v>
          </cell>
          <cell r="L552">
            <v>1.1979702000000001</v>
          </cell>
          <cell r="M552" t="str">
            <v>Gramos</v>
          </cell>
        </row>
        <row r="553">
          <cell r="A553" t="str">
            <v>11200048</v>
          </cell>
          <cell r="B553" t="str">
            <v>12603</v>
          </cell>
          <cell r="C553" t="str">
            <v>PREMEZCLA TEGRAL QQ CHOCOLATE (SACO:20K)</v>
          </cell>
          <cell r="D553" t="str">
            <v>11200048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25100</v>
          </cell>
          <cell r="J553">
            <v>30928.272000000001</v>
          </cell>
          <cell r="K553">
            <v>20000</v>
          </cell>
          <cell r="L553">
            <v>1.5464135999999999</v>
          </cell>
          <cell r="M553" t="str">
            <v>Gramos</v>
          </cell>
        </row>
        <row r="554">
          <cell r="A554" t="str">
            <v>11200058</v>
          </cell>
          <cell r="B554" t="str">
            <v>14508</v>
          </cell>
          <cell r="C554" t="str">
            <v>PAN ARABE BLANCO 15 CM (PAQ:5 UND)</v>
          </cell>
          <cell r="D554" t="str">
            <v>11200058</v>
          </cell>
          <cell r="E554" t="str">
            <v>MATERIAS PRIMAS PLANTA</v>
          </cell>
          <cell r="F554" t="str">
            <v>1 PAQUETE</v>
          </cell>
          <cell r="G554">
            <v>500</v>
          </cell>
          <cell r="H554" t="str">
            <v>15/06/2020</v>
          </cell>
          <cell r="I554">
            <v>910</v>
          </cell>
          <cell r="J554">
            <v>825</v>
          </cell>
          <cell r="K554">
            <v>5</v>
          </cell>
          <cell r="L554">
            <v>165</v>
          </cell>
          <cell r="M554"/>
        </row>
        <row r="555">
          <cell r="A555" t="str">
            <v>11200060</v>
          </cell>
          <cell r="B555" t="str">
            <v>14555</v>
          </cell>
          <cell r="C555" t="str">
            <v>PAN BRIOCHE (PAQ= 20 UND)</v>
          </cell>
          <cell r="D555" t="str">
            <v>11200060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07/01/2020</v>
          </cell>
          <cell r="I555" t="e">
            <v>#N/A</v>
          </cell>
          <cell r="J555">
            <v>0</v>
          </cell>
          <cell r="K555">
            <v>20</v>
          </cell>
          <cell r="L555">
            <v>0</v>
          </cell>
          <cell r="M555"/>
        </row>
        <row r="556">
          <cell r="A556" t="str">
            <v>11200063</v>
          </cell>
          <cell r="B556" t="str">
            <v>15186</v>
          </cell>
          <cell r="C556" t="str">
            <v>PAN CIABATTA 16 CM (PAQ:10 UND)</v>
          </cell>
          <cell r="D556" t="str">
            <v>11200063</v>
          </cell>
          <cell r="E556" t="str">
            <v>MATERIAS PRIMAS PLANTA</v>
          </cell>
          <cell r="F556" t="str">
            <v xml:space="preserve">1 PAQUETE  </v>
          </cell>
          <cell r="G556">
            <v>500</v>
          </cell>
          <cell r="H556" t="str">
            <v>15/06/2020</v>
          </cell>
          <cell r="I556">
            <v>2200</v>
          </cell>
          <cell r="J556">
            <v>2350</v>
          </cell>
          <cell r="K556">
            <v>10</v>
          </cell>
          <cell r="L556">
            <v>235</v>
          </cell>
          <cell r="M556"/>
        </row>
        <row r="557">
          <cell r="A557" t="str">
            <v>11200064</v>
          </cell>
          <cell r="B557" t="str">
            <v>15550</v>
          </cell>
          <cell r="C557" t="str">
            <v>HARINA TRIGO NACARINA (SACO: 25 K)</v>
          </cell>
          <cell r="D557" t="str">
            <v>11200064</v>
          </cell>
          <cell r="E557" t="str">
            <v>MATERIAS PRIMAS PLANTA</v>
          </cell>
          <cell r="F557" t="str">
            <v>1 SACO</v>
          </cell>
          <cell r="G557">
            <v>500</v>
          </cell>
          <cell r="H557" t="str">
            <v>12/06/2020</v>
          </cell>
          <cell r="I557">
            <v>13486</v>
          </cell>
          <cell r="J557">
            <v>18833</v>
          </cell>
          <cell r="K557">
            <v>25000</v>
          </cell>
          <cell r="L557">
            <v>0.75331999999999999</v>
          </cell>
          <cell r="M557" t="str">
            <v>Gramos</v>
          </cell>
        </row>
        <row r="558">
          <cell r="A558" t="str">
            <v>11200065</v>
          </cell>
          <cell r="B558" t="str">
            <v>15852</v>
          </cell>
          <cell r="C558" t="str">
            <v>BAGUETTE FRANCES LAPIZ (CAJA:17 UND)</v>
          </cell>
          <cell r="D558" t="str">
            <v>11200065</v>
          </cell>
          <cell r="E558" t="str">
            <v>MATERIAS PRIMAS PLANTA</v>
          </cell>
          <cell r="F558" t="str">
            <v>1 CAJA</v>
          </cell>
          <cell r="G558">
            <v>500</v>
          </cell>
          <cell r="H558" t="str">
            <v>02/06/2020</v>
          </cell>
          <cell r="I558">
            <v>6480</v>
          </cell>
          <cell r="J558">
            <v>0</v>
          </cell>
          <cell r="K558"/>
          <cell r="L558" t="e">
            <v>#DIV/0!</v>
          </cell>
          <cell r="M558"/>
        </row>
        <row r="559">
          <cell r="A559" t="str">
            <v>11200066</v>
          </cell>
          <cell r="B559" t="str">
            <v>15882</v>
          </cell>
          <cell r="C559" t="str">
            <v>PREMEZCLA RED VELVET (SACO:25 K)</v>
          </cell>
          <cell r="D559" t="str">
            <v>11200066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15/02/2020</v>
          </cell>
          <cell r="I559" t="e">
            <v>#N/A</v>
          </cell>
          <cell r="J559">
            <v>0</v>
          </cell>
          <cell r="K559">
            <v>25000</v>
          </cell>
          <cell r="L559">
            <v>0</v>
          </cell>
          <cell r="M559"/>
        </row>
        <row r="560">
          <cell r="A560" t="str">
            <v>11200067</v>
          </cell>
          <cell r="B560" t="str">
            <v>15895</v>
          </cell>
          <cell r="C560" t="str">
            <v>PREMEZCLA PUDING CAKE PILLSB (SC:22.6 K)</v>
          </cell>
          <cell r="D560" t="str">
            <v>11200067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11/05/2020</v>
          </cell>
          <cell r="I560">
            <v>27590</v>
          </cell>
          <cell r="J560">
            <v>32232</v>
          </cell>
          <cell r="K560">
            <v>22600</v>
          </cell>
          <cell r="L560">
            <v>1.4261946902654867</v>
          </cell>
          <cell r="M560"/>
        </row>
        <row r="561">
          <cell r="A561" t="str">
            <v>11200068</v>
          </cell>
          <cell r="B561" t="str">
            <v>15913</v>
          </cell>
          <cell r="C561" t="str">
            <v xml:space="preserve">PAN FOCACCIA ( PAQ:10 UND) </v>
          </cell>
          <cell r="D561" t="str">
            <v>11200068</v>
          </cell>
          <cell r="E561" t="str">
            <v>MATERIAS PRIMAS PLANTA</v>
          </cell>
          <cell r="F561" t="str">
            <v>1 PAQUETE</v>
          </cell>
          <cell r="G561">
            <v>500</v>
          </cell>
          <cell r="H561" t="str">
            <v>15/06/2020</v>
          </cell>
          <cell r="I561" t="e">
            <v>#N/A</v>
          </cell>
          <cell r="J561">
            <v>0</v>
          </cell>
          <cell r="K561">
            <v>10</v>
          </cell>
          <cell r="L561">
            <v>0</v>
          </cell>
          <cell r="M561"/>
        </row>
        <row r="562">
          <cell r="A562" t="str">
            <v>11300001</v>
          </cell>
          <cell r="B562" t="str">
            <v>7092</v>
          </cell>
          <cell r="C562" t="str">
            <v>CLARA HUEVO PASTE DEB-EL (CAJA:2.267 K)</v>
          </cell>
          <cell r="D562" t="str">
            <v>11300001</v>
          </cell>
          <cell r="E562" t="str">
            <v>MATERIAS PRIMAS PLANTA</v>
          </cell>
          <cell r="F562" t="str">
            <v>1 Uds.</v>
          </cell>
          <cell r="G562">
            <v>500</v>
          </cell>
          <cell r="H562" t="str">
            <v>15/06/2020</v>
          </cell>
          <cell r="I562" t="e">
            <v>#N/A</v>
          </cell>
          <cell r="J562">
            <v>0</v>
          </cell>
          <cell r="K562">
            <v>2267</v>
          </cell>
          <cell r="L562">
            <v>0</v>
          </cell>
          <cell r="M562" t="str">
            <v>Gramos</v>
          </cell>
        </row>
        <row r="563">
          <cell r="A563" t="str">
            <v>11300005</v>
          </cell>
          <cell r="B563" t="str">
            <v>5579</v>
          </cell>
          <cell r="C563" t="str">
            <v>HUEVOS EN CARTON (30UNID)</v>
          </cell>
          <cell r="D563" t="str">
            <v>11300005</v>
          </cell>
          <cell r="E563" t="str">
            <v>MATERIAS PRIMAS PLANTA</v>
          </cell>
          <cell r="F563" t="str">
            <v>1 CARTON</v>
          </cell>
          <cell r="G563">
            <v>500</v>
          </cell>
          <cell r="H563" t="str">
            <v>15/06/2020</v>
          </cell>
          <cell r="I563">
            <v>2310.375</v>
          </cell>
          <cell r="J563">
            <v>2700.0531999999998</v>
          </cell>
          <cell r="K563">
            <v>30</v>
          </cell>
          <cell r="L563">
            <v>90.001773333333333</v>
          </cell>
          <cell r="M563"/>
        </row>
        <row r="564">
          <cell r="A564" t="str">
            <v>11300009</v>
          </cell>
          <cell r="B564" t="str">
            <v>15167</v>
          </cell>
          <cell r="C564" t="str">
            <v xml:space="preserve">CLARA DE HUEVO (CAJA:5 K) </v>
          </cell>
          <cell r="D564" t="str">
            <v>11300009</v>
          </cell>
          <cell r="E564" t="str">
            <v>MATERIAS PRIMAS PLANTA</v>
          </cell>
          <cell r="F564" t="str">
            <v>1 CAJA</v>
          </cell>
          <cell r="G564">
            <v>500</v>
          </cell>
          <cell r="H564" t="str">
            <v>21/02/2020</v>
          </cell>
          <cell r="I564">
            <v>9250</v>
          </cell>
          <cell r="J564">
            <v>11500</v>
          </cell>
          <cell r="K564">
            <v>5000</v>
          </cell>
          <cell r="L564">
            <v>2.2999999999999998</v>
          </cell>
          <cell r="M564" t="str">
            <v>Gramos</v>
          </cell>
        </row>
        <row r="565">
          <cell r="A565" t="str">
            <v>11300010</v>
          </cell>
          <cell r="B565" t="str">
            <v>15597</v>
          </cell>
          <cell r="C565" t="str">
            <v>HUEVO DURO (PAQ:4 UND)</v>
          </cell>
          <cell r="D565" t="str">
            <v>11300010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680</v>
          </cell>
          <cell r="J565">
            <v>680</v>
          </cell>
          <cell r="K565">
            <v>4</v>
          </cell>
          <cell r="L565">
            <v>170</v>
          </cell>
          <cell r="M565"/>
        </row>
        <row r="566">
          <cell r="A566" t="str">
            <v>11300011</v>
          </cell>
          <cell r="B566" t="str">
            <v>16203</v>
          </cell>
          <cell r="C566" t="str">
            <v>YEMA DE HUEVO (UND: 8.34 K)</v>
          </cell>
          <cell r="D566" t="str">
            <v>11300011</v>
          </cell>
          <cell r="E566" t="str">
            <v>MATERIAS PRIMAS PLANTA</v>
          </cell>
          <cell r="F566" t="str">
            <v>1 UND</v>
          </cell>
          <cell r="G566">
            <v>500</v>
          </cell>
          <cell r="H566" t="str">
            <v>05/03/2020</v>
          </cell>
          <cell r="I566" t="e">
            <v>#N/A</v>
          </cell>
          <cell r="J566">
            <v>23978</v>
          </cell>
          <cell r="K566">
            <v>8340</v>
          </cell>
          <cell r="L566">
            <v>2.8750599520383693</v>
          </cell>
          <cell r="M566"/>
        </row>
        <row r="567">
          <cell r="A567" t="str">
            <v>11400014</v>
          </cell>
          <cell r="B567" t="str">
            <v>5605</v>
          </cell>
          <cell r="C567" t="str">
            <v>YOGURTH IN LINE NATURAL (UND:500g)</v>
          </cell>
          <cell r="D567" t="str">
            <v>11400014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05/05/2020</v>
          </cell>
          <cell r="I567" t="e">
            <v>#N/A</v>
          </cell>
          <cell r="J567">
            <v>1056</v>
          </cell>
          <cell r="K567">
            <v>500</v>
          </cell>
          <cell r="L567">
            <v>2.1120000000000001</v>
          </cell>
          <cell r="M567" t="str">
            <v>Gramos</v>
          </cell>
        </row>
        <row r="568">
          <cell r="A568" t="str">
            <v>11400015</v>
          </cell>
          <cell r="B568" t="str">
            <v>5606</v>
          </cell>
          <cell r="C568" t="str">
            <v>QUESO GOUDA (PAQ:160g)</v>
          </cell>
          <cell r="D568" t="str">
            <v>11400015</v>
          </cell>
          <cell r="E568" t="str">
            <v>MATERIAS PRIMAS PLANTA</v>
          </cell>
          <cell r="F568" t="str">
            <v>1 PAQUETE</v>
          </cell>
          <cell r="G568">
            <v>500</v>
          </cell>
          <cell r="H568" t="str">
            <v>15/06/2020</v>
          </cell>
          <cell r="I568">
            <v>2039</v>
          </cell>
          <cell r="J568">
            <v>1887.204</v>
          </cell>
          <cell r="K568">
            <v>160</v>
          </cell>
          <cell r="L568">
            <v>11.795024999999999</v>
          </cell>
          <cell r="M568"/>
        </row>
        <row r="569">
          <cell r="A569" t="str">
            <v>11400024</v>
          </cell>
          <cell r="B569" t="str">
            <v>5590</v>
          </cell>
          <cell r="C569" t="str">
            <v>QUESO TURRIALBA (PAQ: 3 K)</v>
          </cell>
          <cell r="D569" t="str">
            <v>11400024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9124</v>
          </cell>
          <cell r="J569">
            <v>10111</v>
          </cell>
          <cell r="K569">
            <v>3000</v>
          </cell>
          <cell r="L569">
            <v>3.3703333333333334</v>
          </cell>
          <cell r="M569" t="str">
            <v>Gramos</v>
          </cell>
        </row>
        <row r="570">
          <cell r="A570" t="str">
            <v>11400027</v>
          </cell>
          <cell r="B570" t="str">
            <v>5596</v>
          </cell>
          <cell r="C570" t="str">
            <v>CREMA BETTERCREAM DOBLE CHOCO (UND:4 K)</v>
          </cell>
          <cell r="D570" t="str">
            <v>11400027</v>
          </cell>
          <cell r="E570" t="str">
            <v>MATERIAS PRIMAS PLANTA</v>
          </cell>
          <cell r="F570" t="str">
            <v>1 UND</v>
          </cell>
          <cell r="G570">
            <v>500</v>
          </cell>
          <cell r="H570" t="str">
            <v>15/06/2020</v>
          </cell>
          <cell r="I570">
            <v>9152</v>
          </cell>
          <cell r="J570">
            <v>11477</v>
          </cell>
          <cell r="K570">
            <v>4000</v>
          </cell>
          <cell r="L570">
            <v>2.8692500000000001</v>
          </cell>
          <cell r="M570" t="str">
            <v>Gramos</v>
          </cell>
        </row>
        <row r="571">
          <cell r="A571" t="str">
            <v>11400029</v>
          </cell>
          <cell r="B571" t="str">
            <v>5598</v>
          </cell>
          <cell r="C571" t="str">
            <v>CREMA BETTER DULCE LECHE RICH (UND:4 K)</v>
          </cell>
          <cell r="D571" t="str">
            <v>11400029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9838</v>
          </cell>
          <cell r="J571">
            <v>11830</v>
          </cell>
          <cell r="K571">
            <v>4000</v>
          </cell>
          <cell r="L571">
            <v>2.9575</v>
          </cell>
          <cell r="M571" t="str">
            <v>Gramos</v>
          </cell>
        </row>
        <row r="572">
          <cell r="A572" t="str">
            <v>11400031</v>
          </cell>
          <cell r="B572" t="str">
            <v>5600</v>
          </cell>
          <cell r="C572" t="str">
            <v>CREMA PRESTIGE GRAND (UND:4 K) *</v>
          </cell>
          <cell r="D572" t="str">
            <v>11400031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6966</v>
          </cell>
          <cell r="J572">
            <v>9015</v>
          </cell>
          <cell r="K572">
            <v>4000</v>
          </cell>
          <cell r="L572">
            <v>2.2537500000000001</v>
          </cell>
          <cell r="M572" t="str">
            <v>Gramos</v>
          </cell>
        </row>
        <row r="573">
          <cell r="A573" t="str">
            <v>11400032</v>
          </cell>
          <cell r="B573" t="str">
            <v>5601</v>
          </cell>
          <cell r="C573" t="str">
            <v>LECHE CONDENSADA NEST CHILE  (PAQ:4.5 K)</v>
          </cell>
          <cell r="D573" t="str">
            <v>11400032</v>
          </cell>
          <cell r="E573" t="str">
            <v>MATERIAS PRIMAS PLANTA</v>
          </cell>
          <cell r="F573" t="str">
            <v>1 PAQUETE</v>
          </cell>
          <cell r="G573">
            <v>500</v>
          </cell>
          <cell r="H573" t="str">
            <v>12/06/2020</v>
          </cell>
          <cell r="I573">
            <v>9273</v>
          </cell>
          <cell r="J573">
            <v>8077</v>
          </cell>
          <cell r="K573">
            <v>4500</v>
          </cell>
          <cell r="L573">
            <v>1.794888888888889</v>
          </cell>
          <cell r="M573" t="str">
            <v>Gramos</v>
          </cell>
        </row>
        <row r="574">
          <cell r="A574" t="str">
            <v>11400036</v>
          </cell>
          <cell r="B574" t="str">
            <v>5616</v>
          </cell>
          <cell r="C574" t="str">
            <v>QUESO FETTA (PAQ:200g)</v>
          </cell>
          <cell r="D574" t="str">
            <v>11400036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2945</v>
          </cell>
          <cell r="J574">
            <v>3090</v>
          </cell>
          <cell r="K574">
            <v>200</v>
          </cell>
          <cell r="L574">
            <v>15.45</v>
          </cell>
          <cell r="M574"/>
        </row>
        <row r="575">
          <cell r="A575" t="str">
            <v>11400038</v>
          </cell>
          <cell r="B575" t="str">
            <v>5619</v>
          </cell>
          <cell r="C575" t="str">
            <v>LECHE COND COCINADA (CAJA:18.96 K)</v>
          </cell>
          <cell r="D575" t="str">
            <v>11400038</v>
          </cell>
          <cell r="E575" t="str">
            <v>MATERIAS PRIMAS PLANTA</v>
          </cell>
          <cell r="F575" t="str">
            <v>1 CAJA</v>
          </cell>
          <cell r="G575">
            <v>500</v>
          </cell>
          <cell r="H575" t="str">
            <v>15/06/2020</v>
          </cell>
          <cell r="I575">
            <v>43392</v>
          </cell>
          <cell r="J575">
            <v>50496</v>
          </cell>
          <cell r="K575">
            <v>18960</v>
          </cell>
          <cell r="L575">
            <v>2.6632911392405063</v>
          </cell>
          <cell r="M575"/>
        </row>
        <row r="576">
          <cell r="A576" t="str">
            <v>11400040</v>
          </cell>
          <cell r="B576" t="str">
            <v>11364</v>
          </cell>
          <cell r="C576" t="str">
            <v>YOGURT BATIDO NATURAL (UND:1 K)</v>
          </cell>
          <cell r="D576" t="str">
            <v>11400040</v>
          </cell>
          <cell r="E576" t="str">
            <v>MATERIAS PRIMAS PLANTA</v>
          </cell>
          <cell r="F576" t="str">
            <v>1 UND</v>
          </cell>
          <cell r="G576">
            <v>500</v>
          </cell>
          <cell r="H576" t="str">
            <v>03/06/2020</v>
          </cell>
          <cell r="I576">
            <v>1750</v>
          </cell>
          <cell r="J576">
            <v>1750</v>
          </cell>
          <cell r="K576">
            <v>1000</v>
          </cell>
          <cell r="L576">
            <v>1.75</v>
          </cell>
          <cell r="M576"/>
        </row>
        <row r="577">
          <cell r="A577" t="str">
            <v>11400045</v>
          </cell>
          <cell r="B577" t="str">
            <v>12901</v>
          </cell>
          <cell r="C577" t="str">
            <v>QUESO RALLADO RICO DOS PINO SP (PAQ:2 K)</v>
          </cell>
          <cell r="D577" t="str">
            <v>11400045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6825</v>
          </cell>
          <cell r="J577">
            <v>7794</v>
          </cell>
          <cell r="K577">
            <v>2000</v>
          </cell>
          <cell r="L577">
            <v>3.8969999999999998</v>
          </cell>
          <cell r="M577" t="str">
            <v>Gramos</v>
          </cell>
        </row>
        <row r="578">
          <cell r="A578" t="str">
            <v>11400046</v>
          </cell>
          <cell r="B578" t="str">
            <v>14097</v>
          </cell>
          <cell r="C578" t="str">
            <v>LECHE CONDENSADA (PAQ:11 K)</v>
          </cell>
          <cell r="D578" t="str">
            <v>11400046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21499</v>
          </cell>
          <cell r="J578">
            <v>18725</v>
          </cell>
          <cell r="K578">
            <v>11000</v>
          </cell>
          <cell r="L578">
            <v>1.7022727272727274</v>
          </cell>
          <cell r="M578" t="str">
            <v>Gramos</v>
          </cell>
        </row>
        <row r="579">
          <cell r="A579" t="str">
            <v>11400047</v>
          </cell>
          <cell r="B579" t="str">
            <v>14289</v>
          </cell>
          <cell r="C579" t="str">
            <v>LECHE 2% PASTEURIZADA (UND)</v>
          </cell>
          <cell r="D579" t="str">
            <v>11400047</v>
          </cell>
          <cell r="E579" t="str">
            <v>MATERIAS PRIMAS PLANTA</v>
          </cell>
          <cell r="F579" t="str">
            <v>1 UND</v>
          </cell>
          <cell r="G579">
            <v>500</v>
          </cell>
          <cell r="H579" t="str">
            <v>15/06/2020</v>
          </cell>
          <cell r="I579">
            <v>2031</v>
          </cell>
          <cell r="J579">
            <v>2271</v>
          </cell>
          <cell r="K579">
            <v>3785</v>
          </cell>
          <cell r="L579">
            <v>0.6</v>
          </cell>
          <cell r="M579" t="str">
            <v>Mililitros</v>
          </cell>
        </row>
        <row r="580">
          <cell r="A580" t="str">
            <v>11400048</v>
          </cell>
          <cell r="B580" t="str">
            <v>14290</v>
          </cell>
          <cell r="C580" t="str">
            <v>QUESO AMERI CHEESE NESTLE (PAQ:52 UND)</v>
          </cell>
          <cell r="D580" t="str">
            <v>11400048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28/05/2020</v>
          </cell>
          <cell r="I580">
            <v>3705</v>
          </cell>
          <cell r="J580">
            <v>3705</v>
          </cell>
          <cell r="K580">
            <v>52</v>
          </cell>
          <cell r="L580">
            <v>71.25</v>
          </cell>
          <cell r="M580" t="str">
            <v>Und</v>
          </cell>
        </row>
        <row r="581">
          <cell r="A581" t="str">
            <v>11400051</v>
          </cell>
          <cell r="B581" t="str">
            <v>15513</v>
          </cell>
          <cell r="C581" t="str">
            <v>CREMA PRESTIGE GRAND (UND:1 K)</v>
          </cell>
          <cell r="D581" t="str">
            <v>11400051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12/06/2020</v>
          </cell>
          <cell r="I581">
            <v>2271.3333333333298</v>
          </cell>
          <cell r="J581">
            <v>2350.5833333333298</v>
          </cell>
          <cell r="K581">
            <v>1000</v>
          </cell>
          <cell r="L581">
            <v>2.3505833333333297</v>
          </cell>
          <cell r="M581" t="str">
            <v>Gramos</v>
          </cell>
        </row>
        <row r="582">
          <cell r="A582" t="str">
            <v>11400053</v>
          </cell>
          <cell r="B582" t="str">
            <v>15608</v>
          </cell>
          <cell r="C582" t="str">
            <v>SALSA QUESO CHEDDAR SYSCO (UND:3.03 K)</v>
          </cell>
          <cell r="D582" t="str">
            <v>11400053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06/03/2020</v>
          </cell>
          <cell r="I582">
            <v>5805</v>
          </cell>
          <cell r="J582">
            <v>0</v>
          </cell>
          <cell r="K582">
            <v>3030</v>
          </cell>
          <cell r="L582">
            <v>0</v>
          </cell>
          <cell r="M582"/>
        </row>
        <row r="583">
          <cell r="A583" t="str">
            <v>11400054</v>
          </cell>
          <cell r="B583" t="str">
            <v>15634</v>
          </cell>
          <cell r="C583" t="str">
            <v>QUESO BOCCOCINI (PAQ:250 G)</v>
          </cell>
          <cell r="D583" t="str">
            <v>11400054</v>
          </cell>
          <cell r="E583" t="str">
            <v>MATERIAS PRIMAS PLANTA</v>
          </cell>
          <cell r="F583" t="str">
            <v>1 PAQUETE</v>
          </cell>
          <cell r="G583">
            <v>500</v>
          </cell>
          <cell r="H583" t="str">
            <v>14/05/2020</v>
          </cell>
          <cell r="I583" t="e">
            <v>#N/A</v>
          </cell>
          <cell r="J583">
            <v>0</v>
          </cell>
          <cell r="K583">
            <v>250</v>
          </cell>
          <cell r="L583">
            <v>0</v>
          </cell>
          <cell r="M583"/>
        </row>
        <row r="584">
          <cell r="A584" t="str">
            <v>11400057</v>
          </cell>
          <cell r="B584" t="str">
            <v>16027</v>
          </cell>
          <cell r="C584" t="str">
            <v>MARGARINA INDUSTRIAL OLMECA (CAJA:25 K)</v>
          </cell>
          <cell r="D584" t="str">
            <v>11400057</v>
          </cell>
          <cell r="E584" t="str">
            <v>MATERIAS PRIMAS PLANTA</v>
          </cell>
          <cell r="F584" t="str">
            <v>1 CAJA</v>
          </cell>
          <cell r="G584">
            <v>500</v>
          </cell>
          <cell r="H584" t="str">
            <v>19/05/2020</v>
          </cell>
          <cell r="I584" t="e">
            <v>#N/A</v>
          </cell>
          <cell r="J584">
            <v>0</v>
          </cell>
          <cell r="K584">
            <v>25000</v>
          </cell>
          <cell r="L584">
            <v>0</v>
          </cell>
          <cell r="M584"/>
        </row>
        <row r="585">
          <cell r="A585" t="str">
            <v>11400058</v>
          </cell>
          <cell r="B585" t="str">
            <v>16285</v>
          </cell>
          <cell r="C585" t="str">
            <v xml:space="preserve">QUESO RICOTTA (PAQ:500 GR) </v>
          </cell>
          <cell r="D585" t="str">
            <v>11400058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02/03/2020</v>
          </cell>
          <cell r="I585" t="e">
            <v>#N/A</v>
          </cell>
          <cell r="J585">
            <v>0</v>
          </cell>
          <cell r="K585">
            <v>500</v>
          </cell>
          <cell r="L585">
            <v>0</v>
          </cell>
          <cell r="M585"/>
        </row>
        <row r="586">
          <cell r="A586" t="str">
            <v>11700002</v>
          </cell>
          <cell r="B586" t="str">
            <v>8031</v>
          </cell>
          <cell r="C586" t="str">
            <v>DULCE LECHE LA CIABATA (UND:5 K )</v>
          </cell>
          <cell r="D586" t="str">
            <v>11700002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13/06/2020</v>
          </cell>
          <cell r="I586">
            <v>7365</v>
          </cell>
          <cell r="J586">
            <v>8425</v>
          </cell>
          <cell r="K586">
            <v>5000</v>
          </cell>
          <cell r="L586">
            <v>1.6850000000000001</v>
          </cell>
          <cell r="M586" t="str">
            <v>Gramos</v>
          </cell>
        </row>
        <row r="587">
          <cell r="A587" t="str">
            <v>11800012</v>
          </cell>
          <cell r="B587" t="str">
            <v>14247</v>
          </cell>
          <cell r="C587" t="str">
            <v>SABORIZANTE NARANJA A-0191 KILO</v>
          </cell>
          <cell r="D587" t="str">
            <v>11800012</v>
          </cell>
          <cell r="E587" t="str">
            <v>MATERIAS PRIMAS PLANTA</v>
          </cell>
          <cell r="F587" t="str">
            <v xml:space="preserve">1 KILO   </v>
          </cell>
          <cell r="G587">
            <v>500</v>
          </cell>
          <cell r="H587" t="str">
            <v>30/03/2020</v>
          </cell>
          <cell r="I587">
            <v>20686.18</v>
          </cell>
          <cell r="J587">
            <v>0</v>
          </cell>
          <cell r="K587">
            <v>1000</v>
          </cell>
          <cell r="L587">
            <v>0</v>
          </cell>
          <cell r="M587" t="str">
            <v>Gramos</v>
          </cell>
        </row>
        <row r="588">
          <cell r="A588" t="str">
            <v>11900001</v>
          </cell>
          <cell r="B588" t="str">
            <v>9601</v>
          </cell>
          <cell r="C588" t="str">
            <v>NUEZ PECANA QUEBRADURA (CAJA:10 Kg)</v>
          </cell>
          <cell r="D588" t="str">
            <v>11900001</v>
          </cell>
          <cell r="E588" t="str">
            <v>MATERIAS PRIMAS PLANTA</v>
          </cell>
          <cell r="F588" t="str">
            <v>1 CAJA</v>
          </cell>
          <cell r="G588">
            <v>500</v>
          </cell>
          <cell r="H588" t="str">
            <v>08/06/2020</v>
          </cell>
          <cell r="I588">
            <v>104876</v>
          </cell>
          <cell r="J588">
            <v>170</v>
          </cell>
          <cell r="K588">
            <v>10000</v>
          </cell>
          <cell r="L588">
            <v>1.7000000000000001E-2</v>
          </cell>
          <cell r="M588" t="str">
            <v>Gramos</v>
          </cell>
        </row>
        <row r="589">
          <cell r="A589" t="str">
            <v>11900010</v>
          </cell>
          <cell r="B589" t="str">
            <v>11431</v>
          </cell>
          <cell r="C589" t="str">
            <v>NUEZ PECANA PICADA (CAJA:13.6KG)</v>
          </cell>
          <cell r="D589" t="str">
            <v>11900010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05/05/2020</v>
          </cell>
          <cell r="I589" t="e">
            <v>#N/A</v>
          </cell>
          <cell r="J589">
            <v>0</v>
          </cell>
          <cell r="K589">
            <v>13600</v>
          </cell>
          <cell r="L589">
            <v>0</v>
          </cell>
          <cell r="M589" t="str">
            <v>Gramos</v>
          </cell>
        </row>
        <row r="590">
          <cell r="A590" t="str">
            <v>11900016</v>
          </cell>
          <cell r="B590" t="str">
            <v>15551</v>
          </cell>
          <cell r="C590" t="str">
            <v>AJONJOLI NEGRO (UND:454 G)</v>
          </cell>
          <cell r="D590" t="str">
            <v>11900016</v>
          </cell>
          <cell r="E590" t="str">
            <v>MATERIAS PRIMAS PLANTA</v>
          </cell>
          <cell r="F590" t="str">
            <v>1 UND</v>
          </cell>
          <cell r="G590">
            <v>500</v>
          </cell>
          <cell r="H590" t="str">
            <v>15/06/2020</v>
          </cell>
          <cell r="I590">
            <v>2893</v>
          </cell>
          <cell r="J590">
            <v>0</v>
          </cell>
          <cell r="K590">
            <v>454</v>
          </cell>
          <cell r="L590">
            <v>0</v>
          </cell>
          <cell r="M590" t="str">
            <v>Gramos</v>
          </cell>
        </row>
        <row r="591">
          <cell r="A591" t="str">
            <v>12000003</v>
          </cell>
          <cell r="B591" t="str">
            <v>9618</v>
          </cell>
          <cell r="C591" t="str">
            <v>CREMA VERSATIE (UND: L)</v>
          </cell>
          <cell r="D591" t="str">
            <v>12000003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1780</v>
          </cell>
          <cell r="J591">
            <v>1844</v>
          </cell>
          <cell r="K591">
            <v>1000</v>
          </cell>
          <cell r="L591">
            <v>1.8440000000000001</v>
          </cell>
          <cell r="M591" t="str">
            <v>Mililitros</v>
          </cell>
        </row>
        <row r="592">
          <cell r="A592" t="str">
            <v>12100006</v>
          </cell>
          <cell r="B592" t="str">
            <v>8134</v>
          </cell>
          <cell r="C592" t="str">
            <v>CHOCOLATE GUAYABITA (PAQ=36 UND)</v>
          </cell>
          <cell r="D592" t="str">
            <v>12100006</v>
          </cell>
          <cell r="E592" t="str">
            <v>MATERIAS PRIMAS PLANTA</v>
          </cell>
          <cell r="F592" t="str">
            <v>1 PAQ</v>
          </cell>
          <cell r="G592">
            <v>500</v>
          </cell>
          <cell r="H592" t="str">
            <v>30/03/2020</v>
          </cell>
          <cell r="I592">
            <v>1809</v>
          </cell>
          <cell r="J592">
            <v>2113.34</v>
          </cell>
          <cell r="K592">
            <v>234</v>
          </cell>
          <cell r="L592">
            <v>9.0313675213675229</v>
          </cell>
          <cell r="M592" t="str">
            <v>Gramos</v>
          </cell>
        </row>
        <row r="593">
          <cell r="A593" t="str">
            <v>12300004</v>
          </cell>
          <cell r="B593" t="str">
            <v>12690</v>
          </cell>
          <cell r="C593" t="str">
            <v>PURE PAPA KFC 24/22.05OZ (CAJA)</v>
          </cell>
          <cell r="D593" t="str">
            <v>12300004</v>
          </cell>
          <cell r="E593" t="str">
            <v>MATERIAS PRIMAS PLANTA</v>
          </cell>
          <cell r="F593" t="str">
            <v>1 CAJA</v>
          </cell>
          <cell r="G593">
            <v>500</v>
          </cell>
          <cell r="H593" t="str">
            <v>02/06/2020</v>
          </cell>
          <cell r="I593" t="e">
            <v>#N/A</v>
          </cell>
          <cell r="J593">
            <v>0</v>
          </cell>
          <cell r="K593"/>
          <cell r="L593" t="e">
            <v>#DIV/0!</v>
          </cell>
          <cell r="M593"/>
        </row>
        <row r="594">
          <cell r="A594" t="str">
            <v>12300005</v>
          </cell>
          <cell r="B594" t="str">
            <v>5280</v>
          </cell>
          <cell r="C594" t="str">
            <v>SALSA AJI AMARILLO (UND:160 ML)</v>
          </cell>
          <cell r="D594" t="str">
            <v>12300005</v>
          </cell>
          <cell r="E594" t="str">
            <v>MATERIAS PRIMAS PLANTA</v>
          </cell>
          <cell r="F594" t="str">
            <v>1 UND</v>
          </cell>
          <cell r="G594">
            <v>500</v>
          </cell>
          <cell r="H594" t="str">
            <v>18/05/2020</v>
          </cell>
          <cell r="I594">
            <v>1206.1300000000001</v>
          </cell>
          <cell r="J594">
            <v>1398.23</v>
          </cell>
          <cell r="K594">
            <v>160</v>
          </cell>
          <cell r="L594">
            <v>8.7389375000000005</v>
          </cell>
          <cell r="M594"/>
        </row>
        <row r="595">
          <cell r="A595" t="str">
            <v>19508791</v>
          </cell>
          <cell r="B595" t="str">
            <v>12759</v>
          </cell>
          <cell r="C595" t="str">
            <v>BANDEJA PLAST 3 DIV (CAJA:250 UND)</v>
          </cell>
          <cell r="D595" t="str">
            <v>19508791</v>
          </cell>
          <cell r="E595" t="str">
            <v>EMPAQUES PLANTA</v>
          </cell>
          <cell r="F595" t="str">
            <v>1 CAJA</v>
          </cell>
          <cell r="G595">
            <v>500</v>
          </cell>
          <cell r="H595" t="str">
            <v>03/06/2020</v>
          </cell>
          <cell r="I595" t="e">
            <v>#N/A</v>
          </cell>
          <cell r="J595">
            <v>0</v>
          </cell>
          <cell r="K595">
            <v>250</v>
          </cell>
          <cell r="L595">
            <v>0</v>
          </cell>
          <cell r="M595"/>
        </row>
        <row r="596">
          <cell r="A596" t="str">
            <v>20200036</v>
          </cell>
          <cell r="B596" t="str">
            <v>12480</v>
          </cell>
          <cell r="C596" t="str">
            <v>GALLETA PARA DECORAR MENU INFANTIL</v>
          </cell>
          <cell r="D596" t="str">
            <v>20200036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15/06/2020</v>
          </cell>
          <cell r="I596">
            <v>625</v>
          </cell>
          <cell r="J596">
            <v>656.25</v>
          </cell>
          <cell r="K596"/>
          <cell r="L596" t="e">
            <v>#DIV/0!</v>
          </cell>
          <cell r="M596"/>
        </row>
        <row r="597">
          <cell r="A597" t="str">
            <v>20300005</v>
          </cell>
          <cell r="B597" t="str">
            <v>11503</v>
          </cell>
          <cell r="C597" t="str">
            <v>CUP CAKE FONDANT  (UND)</v>
          </cell>
          <cell r="D597" t="str">
            <v>20300005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13/06/2020</v>
          </cell>
          <cell r="I597">
            <v>500</v>
          </cell>
          <cell r="J597">
            <v>0</v>
          </cell>
          <cell r="K597">
            <v>1</v>
          </cell>
          <cell r="L597">
            <v>0</v>
          </cell>
          <cell r="M597"/>
        </row>
        <row r="598">
          <cell r="A598" t="str">
            <v>20300007</v>
          </cell>
          <cell r="B598" t="str">
            <v>12615</v>
          </cell>
          <cell r="C598" t="str">
            <v>CUCHARA CHOCOLATE BELGA (CAJA:20 UND)</v>
          </cell>
          <cell r="D598" t="str">
            <v>20300007</v>
          </cell>
          <cell r="E598" t="str">
            <v>MATERIAS PRIMAS PLANTA</v>
          </cell>
          <cell r="F598" t="str">
            <v>1 CAJA</v>
          </cell>
          <cell r="G598">
            <v>500</v>
          </cell>
          <cell r="H598" t="str">
            <v>12/06/2020</v>
          </cell>
          <cell r="I598">
            <v>13000</v>
          </cell>
          <cell r="J598">
            <v>0</v>
          </cell>
          <cell r="K598">
            <v>20</v>
          </cell>
          <cell r="L598">
            <v>0</v>
          </cell>
        </row>
        <row r="599">
          <cell r="A599" t="str">
            <v>20300008</v>
          </cell>
          <cell r="B599" t="str">
            <v>12481</v>
          </cell>
          <cell r="C599" t="str">
            <v>GALLETA DE FIGURA BOLSA</v>
          </cell>
          <cell r="D599" t="str">
            <v>20300008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 t="e">
            <v>#N/A</v>
          </cell>
          <cell r="J599">
            <v>0</v>
          </cell>
          <cell r="K599"/>
          <cell r="L599" t="e">
            <v>#DIV/0!</v>
          </cell>
        </row>
        <row r="600">
          <cell r="A600" t="str">
            <v>20400022</v>
          </cell>
          <cell r="B600" t="str">
            <v>11409</v>
          </cell>
          <cell r="C600" t="str">
            <v>CAJETA GRANDE (CAJA:6 UND)</v>
          </cell>
          <cell r="D600" t="str">
            <v>20400022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16/06/2020</v>
          </cell>
          <cell r="I600" t="e">
            <v>#N/A</v>
          </cell>
          <cell r="J600">
            <v>1938</v>
          </cell>
          <cell r="K600"/>
          <cell r="L600" t="e">
            <v>#DIV/0!</v>
          </cell>
        </row>
        <row r="601">
          <cell r="A601" t="str">
            <v>20400051</v>
          </cell>
          <cell r="B601" t="str">
            <v>13081</v>
          </cell>
          <cell r="C601" t="str">
            <v>CROCANTE DE NUEZ (CAJA:6 UND)</v>
          </cell>
          <cell r="D601" t="str">
            <v>20400051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15/06/2020</v>
          </cell>
          <cell r="I601">
            <v>3510</v>
          </cell>
          <cell r="J601">
            <v>3850</v>
          </cell>
          <cell r="K601"/>
          <cell r="L601" t="e">
            <v>#DIV/0!</v>
          </cell>
          <cell r="M601"/>
        </row>
        <row r="602">
          <cell r="A602" t="str">
            <v>20400118</v>
          </cell>
          <cell r="B602" t="str">
            <v>16622</v>
          </cell>
          <cell r="C602" t="str">
            <v>EMPANIZADOR DE POLLO (PAQ:KILO) COMEDOR</v>
          </cell>
          <cell r="D602" t="str">
            <v>20400118</v>
          </cell>
          <cell r="E602" t="str">
            <v>MATERIAS PRIMAS PLANTA</v>
          </cell>
          <cell r="F602" t="str">
            <v>1 PAQUETE</v>
          </cell>
          <cell r="G602">
            <v>500</v>
          </cell>
          <cell r="H602" t="str">
            <v>05/06/2020</v>
          </cell>
          <cell r="I602">
            <v>2057</v>
          </cell>
          <cell r="J602">
            <v>2160</v>
          </cell>
          <cell r="K602">
            <v>1000</v>
          </cell>
          <cell r="L602">
            <v>2.16</v>
          </cell>
          <cell r="M602"/>
        </row>
        <row r="603">
          <cell r="A603" t="str">
            <v>20400120</v>
          </cell>
          <cell r="B603" t="str">
            <v>16632</v>
          </cell>
          <cell r="C603" t="str">
            <v>CHOCO SNICKERS ALMENDRA (CJ:24 Paq)COMED</v>
          </cell>
          <cell r="D603" t="str">
            <v>20400120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05/06/2020</v>
          </cell>
          <cell r="I603">
            <v>11216</v>
          </cell>
          <cell r="J603">
            <v>0</v>
          </cell>
          <cell r="K603"/>
          <cell r="L603" t="e">
            <v>#DIV/0!</v>
          </cell>
          <cell r="M603"/>
        </row>
        <row r="604">
          <cell r="A604" t="str">
            <v>20400121</v>
          </cell>
          <cell r="B604" t="str">
            <v>16633</v>
          </cell>
          <cell r="C604" t="str">
            <v>CHOCOLATE SNICKERS (CAJA:48 PAQ) COMEDOR</v>
          </cell>
          <cell r="D604" t="str">
            <v>20400121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22567</v>
          </cell>
          <cell r="J604">
            <v>23924</v>
          </cell>
          <cell r="K604"/>
          <cell r="L604" t="e">
            <v>#DIV/0!</v>
          </cell>
          <cell r="M604"/>
        </row>
        <row r="605">
          <cell r="A605" t="str">
            <v>20400122</v>
          </cell>
          <cell r="B605" t="str">
            <v>16634</v>
          </cell>
          <cell r="C605" t="str">
            <v>CHOCOLATE M&amp;M ( CAJA:36 PAQ ) COMEDOR</v>
          </cell>
          <cell r="D605" t="str">
            <v>20400122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 t="e">
            <v>#N/A</v>
          </cell>
          <cell r="J605">
            <v>0</v>
          </cell>
          <cell r="K605"/>
          <cell r="L605" t="e">
            <v>#DIV/0!</v>
          </cell>
          <cell r="M605"/>
        </row>
        <row r="606">
          <cell r="A606" t="str">
            <v>20400123</v>
          </cell>
          <cell r="B606" t="str">
            <v>16635</v>
          </cell>
          <cell r="C606" t="str">
            <v>CHOCOLATE M&amp;M PEANUT (CJ:48 PAQ ) COMEDO</v>
          </cell>
          <cell r="D606" t="str">
            <v>20400123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0</v>
          </cell>
          <cell r="K606"/>
          <cell r="L606" t="e">
            <v>#DIV/0!</v>
          </cell>
          <cell r="M606"/>
        </row>
        <row r="607">
          <cell r="A607" t="str">
            <v>20400124</v>
          </cell>
          <cell r="B607" t="str">
            <v>16636</v>
          </cell>
          <cell r="C607" t="str">
            <v>MAYONESA ( UNIDAD ) COMEDOR</v>
          </cell>
          <cell r="D607" t="str">
            <v>20400124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8074</v>
          </cell>
          <cell r="J607">
            <v>6868</v>
          </cell>
          <cell r="K607"/>
          <cell r="L607" t="e">
            <v>#DIV/0!</v>
          </cell>
          <cell r="M607"/>
        </row>
        <row r="608">
          <cell r="A608" t="str">
            <v>20400125</v>
          </cell>
          <cell r="B608" t="str">
            <v>16637</v>
          </cell>
          <cell r="C608" t="str">
            <v>CHILERA ( UNIDAD ) COMEDOR</v>
          </cell>
          <cell r="D608" t="str">
            <v>20400125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2657</v>
          </cell>
          <cell r="J608">
            <v>3038</v>
          </cell>
          <cell r="L608" t="e">
            <v>#DIV/0!</v>
          </cell>
        </row>
        <row r="609">
          <cell r="A609" t="str">
            <v>20400134</v>
          </cell>
          <cell r="B609" t="str">
            <v>16646</v>
          </cell>
          <cell r="C609" t="str">
            <v>PLATANO VERDE LIMON PRO (PAQ:24 UND)COME</v>
          </cell>
          <cell r="D609" t="str">
            <v>20400134</v>
          </cell>
          <cell r="E609" t="str">
            <v>MATERIAS PRIMAS PLANTA</v>
          </cell>
          <cell r="F609" t="str">
            <v>1 PAQUETE</v>
          </cell>
          <cell r="G609">
            <v>500</v>
          </cell>
          <cell r="H609" t="str">
            <v>09/06/2020</v>
          </cell>
          <cell r="I609" t="e">
            <v>#N/A</v>
          </cell>
          <cell r="J609">
            <v>0</v>
          </cell>
          <cell r="K609">
            <v>24</v>
          </cell>
          <cell r="L609">
            <v>0</v>
          </cell>
        </row>
        <row r="610">
          <cell r="A610" t="str">
            <v>20400135</v>
          </cell>
          <cell r="B610" t="str">
            <v>16647</v>
          </cell>
          <cell r="C610" t="str">
            <v>PLATANO MADURO NAT PRO (PAQ:24 UND)COMED</v>
          </cell>
          <cell r="D610" t="str">
            <v>20400135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05/06/2020</v>
          </cell>
          <cell r="I610" t="e">
            <v>#N/A</v>
          </cell>
          <cell r="J610">
            <v>0</v>
          </cell>
          <cell r="K610">
            <v>24</v>
          </cell>
          <cell r="L610">
            <v>0</v>
          </cell>
        </row>
        <row r="611">
          <cell r="A611" t="str">
            <v>20400136</v>
          </cell>
          <cell r="B611" t="str">
            <v>16648</v>
          </cell>
          <cell r="C611" t="str">
            <v>YUCA CREMA Y CEBOLLA (PAQ:24 UND)COMEDOR</v>
          </cell>
          <cell r="D611" t="str">
            <v>20400136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>
            <v>0</v>
          </cell>
          <cell r="K611">
            <v>24</v>
          </cell>
          <cell r="L611">
            <v>0</v>
          </cell>
        </row>
        <row r="612">
          <cell r="A612" t="str">
            <v>20400137</v>
          </cell>
          <cell r="B612" t="str">
            <v>16649</v>
          </cell>
          <cell r="C612" t="str">
            <v>YUCA CON SAL (PAQ: 24 UND) COMEDOR</v>
          </cell>
          <cell r="D612" t="str">
            <v>20400137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08/06/2020</v>
          </cell>
          <cell r="I612" t="e">
            <v>#N/A</v>
          </cell>
          <cell r="J612">
            <v>0</v>
          </cell>
          <cell r="K612">
            <v>24</v>
          </cell>
          <cell r="L612">
            <v>0</v>
          </cell>
        </row>
        <row r="613">
          <cell r="A613" t="str">
            <v>50100028</v>
          </cell>
          <cell r="B613" t="str">
            <v>15349</v>
          </cell>
          <cell r="C613" t="str">
            <v>BANDEJA ALUM 34*25 108 ONZ 394 (CJ:100)</v>
          </cell>
          <cell r="D613" t="str">
            <v>50100028</v>
          </cell>
          <cell r="E613" t="str">
            <v>EMPAQUES PLANTA</v>
          </cell>
          <cell r="F613" t="str">
            <v>1 CAJA</v>
          </cell>
          <cell r="G613">
            <v>500</v>
          </cell>
          <cell r="H613" t="str">
            <v>30/05/2020</v>
          </cell>
          <cell r="I613">
            <v>38609</v>
          </cell>
          <cell r="J613">
            <v>0</v>
          </cell>
          <cell r="K613">
            <v>100</v>
          </cell>
          <cell r="L613">
            <v>0</v>
          </cell>
        </row>
        <row r="614">
          <cell r="A614" t="str">
            <v>50100031</v>
          </cell>
          <cell r="B614" t="str">
            <v>15825</v>
          </cell>
          <cell r="C614" t="str">
            <v>RECIPIENTE DELI DARNEL 24OZ (CAJA:225 U)</v>
          </cell>
          <cell r="D614" t="str">
            <v>50100031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05/05/2020</v>
          </cell>
          <cell r="I614">
            <v>25300</v>
          </cell>
          <cell r="J614">
            <v>0</v>
          </cell>
          <cell r="K614">
            <v>225</v>
          </cell>
          <cell r="L614">
            <v>0</v>
          </cell>
        </row>
        <row r="615">
          <cell r="A615" t="str">
            <v>50100035</v>
          </cell>
          <cell r="B615" t="str">
            <v>15893</v>
          </cell>
          <cell r="C615" t="str">
            <v>TAPA CONT ALUMINIO 16 ONZ (CAJA:500 UND)</v>
          </cell>
          <cell r="D615" t="str">
            <v>50100035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23/03/2020</v>
          </cell>
          <cell r="I615" t="e">
            <v>#N/A</v>
          </cell>
          <cell r="J615">
            <v>0</v>
          </cell>
          <cell r="K615">
            <v>500</v>
          </cell>
          <cell r="L615">
            <v>0</v>
          </cell>
        </row>
        <row r="616">
          <cell r="A616" t="str">
            <v>50100036</v>
          </cell>
          <cell r="B616" t="str">
            <v>15894</v>
          </cell>
          <cell r="C616" t="str">
            <v>MOLDE ALUMINIO 16 ONZ (CAJA:500 UND)</v>
          </cell>
          <cell r="D616" t="str">
            <v>50100036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>
            <v>0</v>
          </cell>
          <cell r="K616">
            <v>500</v>
          </cell>
          <cell r="L616">
            <v>0</v>
          </cell>
        </row>
        <row r="617">
          <cell r="A617" t="str">
            <v>50100037</v>
          </cell>
          <cell r="B617" t="str">
            <v>16462</v>
          </cell>
          <cell r="C617" t="str">
            <v>MOLDE ALUMINIO RED 2058 (CAJA:500 UND)</v>
          </cell>
          <cell r="D617" t="str">
            <v>50100037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13/06/2020</v>
          </cell>
          <cell r="I617">
            <v>34500</v>
          </cell>
          <cell r="J617">
            <v>0</v>
          </cell>
          <cell r="K617">
            <v>1</v>
          </cell>
          <cell r="L617">
            <v>0</v>
          </cell>
        </row>
        <row r="618">
          <cell r="A618" t="str">
            <v>50100038</v>
          </cell>
          <cell r="B618" t="str">
            <v>16465</v>
          </cell>
          <cell r="C618" t="str">
            <v>TAPA MOLDE ALUMINIO RED 2058 (CAJA:500u)</v>
          </cell>
          <cell r="D618"/>
          <cell r="E618" t="str">
            <v>EMPAQUES PLANTA</v>
          </cell>
          <cell r="F618" t="str">
            <v>1 CAJA</v>
          </cell>
          <cell r="G618"/>
          <cell r="H618" t="str">
            <v>15/06/2020</v>
          </cell>
          <cell r="I618">
            <v>15750</v>
          </cell>
          <cell r="J618">
            <v>0</v>
          </cell>
          <cell r="K618">
            <v>1</v>
          </cell>
          <cell r="L618">
            <v>0</v>
          </cell>
        </row>
        <row r="619">
          <cell r="A619" t="str">
            <v>50200002</v>
          </cell>
          <cell r="B619" t="str">
            <v>16480</v>
          </cell>
          <cell r="C619" t="str">
            <v>BANDEJA ALUMINIO 18X14 (CAJA: 600 UND)</v>
          </cell>
          <cell r="D619" t="str">
            <v>50200002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85</v>
          </cell>
          <cell r="J619">
            <v>0</v>
          </cell>
          <cell r="K619">
            <v>600</v>
          </cell>
          <cell r="L619">
            <v>0</v>
          </cell>
        </row>
        <row r="620">
          <cell r="A620" t="str">
            <v>50200003</v>
          </cell>
          <cell r="B620" t="str">
            <v>16482</v>
          </cell>
          <cell r="C620" t="str">
            <v>TAPA ALUMINIO 18X14 (CAJA: 600 UND)</v>
          </cell>
          <cell r="D620" t="str">
            <v>50200003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73</v>
          </cell>
          <cell r="J620">
            <v>0</v>
          </cell>
          <cell r="K620">
            <v>600</v>
          </cell>
          <cell r="L620">
            <v>0</v>
          </cell>
        </row>
        <row r="621">
          <cell r="A621" t="str">
            <v>50400003</v>
          </cell>
          <cell r="B621" t="str">
            <v>11379</v>
          </cell>
          <cell r="C621" t="str">
            <v>CAJA MUSMANNI #2 (UND)</v>
          </cell>
          <cell r="D621" t="str">
            <v>50400003</v>
          </cell>
          <cell r="E621" t="str">
            <v>EMPAQUES PLANTA</v>
          </cell>
          <cell r="F621" t="str">
            <v>1 UND</v>
          </cell>
          <cell r="G621">
            <v>500</v>
          </cell>
          <cell r="H621" t="str">
            <v>10/06/2020</v>
          </cell>
          <cell r="I621">
            <v>205</v>
          </cell>
          <cell r="J621">
            <v>239</v>
          </cell>
          <cell r="K621">
            <v>1</v>
          </cell>
          <cell r="L621">
            <v>239</v>
          </cell>
          <cell r="M621" t="str">
            <v>Und</v>
          </cell>
        </row>
        <row r="622">
          <cell r="A622" t="str">
            <v>50400014</v>
          </cell>
          <cell r="B622" t="str">
            <v>15527</v>
          </cell>
          <cell r="C622" t="str">
            <v>CAJA PEQUEÑA OFFICE BREAK (CAJA:625 UND)</v>
          </cell>
          <cell r="D622" t="str">
            <v>50400014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15/06/2020</v>
          </cell>
          <cell r="I622">
            <v>43437.5</v>
          </cell>
          <cell r="J622">
            <v>60000</v>
          </cell>
          <cell r="K622">
            <v>625</v>
          </cell>
          <cell r="L622">
            <v>96</v>
          </cell>
          <cell r="M622"/>
        </row>
        <row r="623">
          <cell r="A623" t="str">
            <v>50400015</v>
          </cell>
          <cell r="B623" t="str">
            <v>15528</v>
          </cell>
          <cell r="C623" t="str">
            <v>CAJA MEDIANA OFFICE BREAK (CAJA:400 UND)</v>
          </cell>
          <cell r="D623" t="str">
            <v>50400015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34000</v>
          </cell>
          <cell r="J623">
            <v>45600</v>
          </cell>
          <cell r="K623">
            <v>400</v>
          </cell>
          <cell r="L623">
            <v>114</v>
          </cell>
          <cell r="M623"/>
        </row>
        <row r="624">
          <cell r="A624" t="str">
            <v>50400016</v>
          </cell>
          <cell r="B624" t="str">
            <v>15529</v>
          </cell>
          <cell r="C624" t="str">
            <v>CAJA GRANDE OFFICE BREAK (CAJA:280 UND)</v>
          </cell>
          <cell r="D624" t="str">
            <v>50400016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08/05/2020</v>
          </cell>
          <cell r="I624">
            <v>32760</v>
          </cell>
          <cell r="J624">
            <v>0</v>
          </cell>
          <cell r="K624">
            <v>280</v>
          </cell>
          <cell r="L624">
            <v>0</v>
          </cell>
          <cell r="M624"/>
        </row>
        <row r="625">
          <cell r="A625" t="str">
            <v>50400017</v>
          </cell>
          <cell r="B625" t="str">
            <v>15530</v>
          </cell>
          <cell r="C625" t="str">
            <v>CAJA PORCION OFFICE BREAK (CAJA:950 UND)</v>
          </cell>
          <cell r="D625" t="str">
            <v>50400017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27/05/2020</v>
          </cell>
          <cell r="I625">
            <v>56050</v>
          </cell>
          <cell r="J625">
            <v>80750</v>
          </cell>
          <cell r="K625">
            <v>950</v>
          </cell>
          <cell r="L625">
            <v>85</v>
          </cell>
          <cell r="M625"/>
        </row>
        <row r="626">
          <cell r="A626" t="str">
            <v>50500003</v>
          </cell>
          <cell r="B626" t="str">
            <v>12118</v>
          </cell>
          <cell r="C626" t="str">
            <v>CANDELA CARITAS COLORES (UND)</v>
          </cell>
          <cell r="D626" t="str">
            <v>50500003</v>
          </cell>
          <cell r="E626" t="str">
            <v>EMPAQUES PLANTA</v>
          </cell>
          <cell r="F626" t="str">
            <v>1 UND</v>
          </cell>
          <cell r="G626">
            <v>500</v>
          </cell>
          <cell r="H626" t="str">
            <v>23/05/2020</v>
          </cell>
          <cell r="I626">
            <v>765</v>
          </cell>
          <cell r="J626">
            <v>726.75</v>
          </cell>
          <cell r="K626">
            <v>1</v>
          </cell>
          <cell r="L626">
            <v>726.75</v>
          </cell>
          <cell r="M626"/>
        </row>
        <row r="627">
          <cell r="A627" t="str">
            <v>50500004</v>
          </cell>
          <cell r="B627" t="str">
            <v>12119</v>
          </cell>
          <cell r="C627" t="str">
            <v>CANDELA GLOBOS SURTIDO COLORES (UND)</v>
          </cell>
          <cell r="D627" t="str">
            <v>50500004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08/06/2020</v>
          </cell>
          <cell r="I627">
            <v>725</v>
          </cell>
          <cell r="J627">
            <v>688.75</v>
          </cell>
          <cell r="K627">
            <v>1</v>
          </cell>
          <cell r="L627">
            <v>688.75</v>
          </cell>
          <cell r="M627"/>
        </row>
        <row r="628">
          <cell r="A628" t="str">
            <v>50500005</v>
          </cell>
          <cell r="B628" t="str">
            <v>12120</v>
          </cell>
          <cell r="C628" t="str">
            <v>CANDELA FELIZ ESCARCHA SURTIDA (UND)</v>
          </cell>
          <cell r="D628" t="str">
            <v>50500005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750</v>
          </cell>
          <cell r="J628">
            <v>712.5</v>
          </cell>
          <cell r="K628"/>
          <cell r="L628" t="e">
            <v>#DIV/0!</v>
          </cell>
        </row>
        <row r="629">
          <cell r="A629" t="str">
            <v>50600003</v>
          </cell>
          <cell r="B629" t="str">
            <v>15524</v>
          </cell>
          <cell r="C629" t="str">
            <v>CAPSULA # 5 BLANCA (PAQ:1000 UND)</v>
          </cell>
          <cell r="D629" t="str">
            <v>50600003</v>
          </cell>
          <cell r="E629" t="str">
            <v>EMPAQUES PLANTA</v>
          </cell>
          <cell r="F629" t="str">
            <v>1 PAQUETE</v>
          </cell>
          <cell r="G629">
            <v>500</v>
          </cell>
          <cell r="H629" t="str">
            <v>27/12/2019</v>
          </cell>
          <cell r="I629">
            <v>8600</v>
          </cell>
          <cell r="J629">
            <v>11555</v>
          </cell>
          <cell r="K629">
            <v>1000</v>
          </cell>
          <cell r="L629">
            <v>11.555</v>
          </cell>
        </row>
        <row r="630">
          <cell r="A630" t="str">
            <v>50700006</v>
          </cell>
          <cell r="B630" t="str">
            <v>11250</v>
          </cell>
          <cell r="C630" t="str">
            <v xml:space="preserve">CONTENEDOR FOAM KFC 8OZ (CAJA:1000 UND) </v>
          </cell>
          <cell r="D630" t="str">
            <v>50700006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10/06/2020</v>
          </cell>
          <cell r="I630">
            <v>26392</v>
          </cell>
          <cell r="J630">
            <v>0</v>
          </cell>
          <cell r="K630">
            <v>1000</v>
          </cell>
          <cell r="L630">
            <v>0</v>
          </cell>
          <cell r="M630" t="str">
            <v>Und</v>
          </cell>
        </row>
        <row r="631">
          <cell r="A631" t="str">
            <v>50700007</v>
          </cell>
          <cell r="B631" t="str">
            <v>12723</v>
          </cell>
          <cell r="C631" t="str">
            <v>TAPA PLAST CONT KFC 4-8-16OZ (CAJA:1000)</v>
          </cell>
          <cell r="D631" t="str">
            <v>50700007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15140</v>
          </cell>
          <cell r="J631">
            <v>0</v>
          </cell>
          <cell r="K631">
            <v>1000</v>
          </cell>
          <cell r="L631">
            <v>0</v>
          </cell>
          <cell r="M631" t="str">
            <v>Und</v>
          </cell>
        </row>
        <row r="632">
          <cell r="A632" t="str">
            <v>50700016</v>
          </cell>
          <cell r="B632" t="str">
            <v>5810</v>
          </cell>
          <cell r="C632" t="str">
            <v>CONT.24 ONZ.TAPA PLANA (CAJA:200 UND)</v>
          </cell>
          <cell r="D632" t="str">
            <v>50700016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14/02/2020</v>
          </cell>
          <cell r="I632" t="e">
            <v>#N/A</v>
          </cell>
          <cell r="J632">
            <v>0</v>
          </cell>
          <cell r="K632">
            <v>200</v>
          </cell>
          <cell r="L632">
            <v>0</v>
          </cell>
          <cell r="M632" t="str">
            <v>Und</v>
          </cell>
        </row>
        <row r="633">
          <cell r="A633" t="str">
            <v>50100051</v>
          </cell>
          <cell r="B633" t="str">
            <v>13581</v>
          </cell>
          <cell r="C633" t="str">
            <v>CONTENEDOR SUFLE 1 OZ (PAQ: 250 UND)</v>
          </cell>
          <cell r="D633" t="str">
            <v>50700028</v>
          </cell>
          <cell r="E633" t="str">
            <v>EMPAQUES PLANTA</v>
          </cell>
          <cell r="F633" t="str">
            <v>1 PAQUETE</v>
          </cell>
          <cell r="G633">
            <v>500</v>
          </cell>
          <cell r="H633" t="str">
            <v>15/06/2020</v>
          </cell>
          <cell r="I633">
            <v>1320.32</v>
          </cell>
          <cell r="J633">
            <v>580.70000000000005</v>
          </cell>
          <cell r="K633">
            <v>250</v>
          </cell>
          <cell r="L633">
            <v>2.3228</v>
          </cell>
          <cell r="M633"/>
        </row>
        <row r="634">
          <cell r="A634" t="str">
            <v>50700029</v>
          </cell>
          <cell r="B634" t="str">
            <v>14055</v>
          </cell>
          <cell r="C634" t="str">
            <v>CONTENEDOR SUFLE 2 ONZ (PAQ:200 UND)</v>
          </cell>
          <cell r="D634" t="str">
            <v>50700029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21/05/2020</v>
          </cell>
          <cell r="I634">
            <v>1615.9166666666699</v>
          </cell>
          <cell r="J634">
            <v>0</v>
          </cell>
          <cell r="K634">
            <v>200</v>
          </cell>
          <cell r="L634">
            <v>0</v>
          </cell>
          <cell r="M634"/>
        </row>
        <row r="635">
          <cell r="A635" t="str">
            <v>50700039</v>
          </cell>
          <cell r="B635" t="str">
            <v>15135</v>
          </cell>
          <cell r="C635" t="str">
            <v>TAPA UNIVERL POLI BOTE 16PP (CJ:500 UND)</v>
          </cell>
          <cell r="D635" t="str">
            <v>50700039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12/06/2020</v>
          </cell>
          <cell r="I635">
            <v>10825.22</v>
          </cell>
          <cell r="J635">
            <v>0</v>
          </cell>
          <cell r="K635">
            <v>500</v>
          </cell>
          <cell r="L635">
            <v>0</v>
          </cell>
          <cell r="M635"/>
        </row>
        <row r="636">
          <cell r="A636" t="str">
            <v>50700040</v>
          </cell>
          <cell r="B636" t="str">
            <v>15136</v>
          </cell>
          <cell r="C636" t="str">
            <v>CONTENEDOR PLAST 4 OZ (CAJA: 15 PAQ)</v>
          </cell>
          <cell r="D636" t="str">
            <v>50700040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19/03/2020</v>
          </cell>
          <cell r="I636">
            <v>51805</v>
          </cell>
          <cell r="J636">
            <v>0</v>
          </cell>
          <cell r="K636"/>
          <cell r="L636" t="e">
            <v>#DIV/0!</v>
          </cell>
          <cell r="M636"/>
        </row>
        <row r="637">
          <cell r="A637" t="str">
            <v>50700042</v>
          </cell>
          <cell r="B637" t="str">
            <v>15147</v>
          </cell>
          <cell r="C637" t="str">
            <v>CONT COSTILLA BASE DOMO OP3 (CJ:250 UND)</v>
          </cell>
          <cell r="D637" t="str">
            <v>50700042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04/06/2020</v>
          </cell>
          <cell r="I637">
            <v>23825.1</v>
          </cell>
          <cell r="J637">
            <v>0</v>
          </cell>
          <cell r="K637">
            <v>250</v>
          </cell>
          <cell r="L637">
            <v>0</v>
          </cell>
          <cell r="M637"/>
        </row>
        <row r="638">
          <cell r="A638" t="str">
            <v>50700043</v>
          </cell>
          <cell r="B638" t="str">
            <v>15157</v>
          </cell>
          <cell r="C638" t="str">
            <v>BISAGRA P/PASTEL ROSCA (CAJA: 180 UND)</v>
          </cell>
          <cell r="D638" t="str">
            <v>50700043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21/05/2020</v>
          </cell>
          <cell r="I638">
            <v>39375.800000000003</v>
          </cell>
          <cell r="J638">
            <v>0</v>
          </cell>
          <cell r="K638">
            <v>180</v>
          </cell>
          <cell r="L638">
            <v>0</v>
          </cell>
          <cell r="M638"/>
        </row>
        <row r="639">
          <cell r="A639" t="str">
            <v>50700044</v>
          </cell>
          <cell r="B639" t="str">
            <v>15311</v>
          </cell>
          <cell r="C639" t="str">
            <v>CONTENEDOR POLIPROP 8 ONZ (CJ:500 UND)</v>
          </cell>
          <cell r="D639" t="str">
            <v>50700044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12/06/2020</v>
          </cell>
          <cell r="I639">
            <v>16576.87</v>
          </cell>
          <cell r="J639">
            <v>0</v>
          </cell>
          <cell r="K639">
            <v>500</v>
          </cell>
          <cell r="L639">
            <v>0</v>
          </cell>
        </row>
        <row r="640">
          <cell r="A640" t="str">
            <v>50700045</v>
          </cell>
          <cell r="B640" t="str">
            <v>15390</v>
          </cell>
          <cell r="C640" t="str">
            <v>BISAGRA 6 MANTECADA 24*16*8 (CJ:250 UND)</v>
          </cell>
          <cell r="D640" t="str">
            <v>50700045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20/02/2020</v>
          </cell>
          <cell r="I640" t="e">
            <v>#N/A</v>
          </cell>
          <cell r="J640">
            <v>0</v>
          </cell>
          <cell r="K640">
            <v>250</v>
          </cell>
          <cell r="L640">
            <v>0</v>
          </cell>
        </row>
        <row r="641">
          <cell r="A641" t="str">
            <v>51000003</v>
          </cell>
          <cell r="B641" t="str">
            <v>9473</v>
          </cell>
          <cell r="C641" t="str">
            <v>ORLA 14.5" (UND)</v>
          </cell>
          <cell r="D641" t="str">
            <v>51000003</v>
          </cell>
          <cell r="E641" t="str">
            <v>EMPAQUES PLANTA</v>
          </cell>
          <cell r="F641" t="str">
            <v>1 UND</v>
          </cell>
          <cell r="G641">
            <v>500</v>
          </cell>
          <cell r="H641" t="str">
            <v>20/03/2020</v>
          </cell>
          <cell r="I641">
            <v>305</v>
          </cell>
          <cell r="J641">
            <v>0</v>
          </cell>
          <cell r="K641">
            <v>1</v>
          </cell>
          <cell r="L641">
            <v>0</v>
          </cell>
          <cell r="M641" t="str">
            <v>Und</v>
          </cell>
        </row>
        <row r="642">
          <cell r="A642" t="str">
            <v>51100018</v>
          </cell>
          <cell r="B642" t="str">
            <v>14562</v>
          </cell>
          <cell r="C642" t="str">
            <v>PAPEL ENCERADO 12X12 (PAQ:1000 UND)</v>
          </cell>
          <cell r="D642" t="str">
            <v>51100018</v>
          </cell>
          <cell r="E642" t="str">
            <v>EMPAQUES PLANTA</v>
          </cell>
          <cell r="F642" t="str">
            <v>1 PAQUETE</v>
          </cell>
          <cell r="G642">
            <v>500</v>
          </cell>
          <cell r="H642" t="str">
            <v>19/05/2020</v>
          </cell>
          <cell r="I642">
            <v>14092.2</v>
          </cell>
          <cell r="J642">
            <v>0</v>
          </cell>
          <cell r="K642">
            <v>1000</v>
          </cell>
          <cell r="L642">
            <v>0</v>
          </cell>
          <cell r="M642"/>
        </row>
        <row r="643">
          <cell r="A643" t="str">
            <v>51400001</v>
          </cell>
          <cell r="B643" t="str">
            <v>10089</v>
          </cell>
          <cell r="C643" t="str">
            <v>QUEQUERA RECTANGULAR 1/2 (CAJA:35 UND)</v>
          </cell>
          <cell r="D643" t="str">
            <v>51400001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05/06/2020</v>
          </cell>
          <cell r="I643">
            <v>42933</v>
          </cell>
          <cell r="J643">
            <v>60587</v>
          </cell>
          <cell r="K643">
            <v>35</v>
          </cell>
          <cell r="L643">
            <v>1731.0571428571429</v>
          </cell>
          <cell r="M643" t="str">
            <v>Und</v>
          </cell>
        </row>
        <row r="644">
          <cell r="A644" t="str">
            <v>51400015</v>
          </cell>
          <cell r="B644" t="str">
            <v>12720</v>
          </cell>
          <cell r="C644" t="str">
            <v>QUEQUERA CHILENA (CAJA:50 UND)</v>
          </cell>
          <cell r="D644" t="str">
            <v>51400015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10/06/2020</v>
          </cell>
          <cell r="I644">
            <v>25542</v>
          </cell>
          <cell r="J644">
            <v>41353</v>
          </cell>
          <cell r="K644">
            <v>50</v>
          </cell>
          <cell r="L644">
            <v>827.06</v>
          </cell>
          <cell r="M644" t="str">
            <v>Und</v>
          </cell>
        </row>
        <row r="645">
          <cell r="A645" t="str">
            <v>51400016</v>
          </cell>
          <cell r="B645" t="str">
            <v>12721</v>
          </cell>
          <cell r="C645" t="str">
            <v>DOMO QUEQUERA 8" ALTA (CAJA:100 UND)</v>
          </cell>
          <cell r="D645" t="str">
            <v>51400016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12/06/2020</v>
          </cell>
          <cell r="I645">
            <v>18595</v>
          </cell>
          <cell r="J645">
            <v>29654</v>
          </cell>
          <cell r="K645">
            <v>100</v>
          </cell>
          <cell r="L645">
            <v>296.54000000000002</v>
          </cell>
          <cell r="M645" t="str">
            <v>Und</v>
          </cell>
        </row>
        <row r="646">
          <cell r="A646" t="str">
            <v>51400017</v>
          </cell>
          <cell r="B646" t="str">
            <v>12722</v>
          </cell>
          <cell r="C646" t="str">
            <v>BASE QUEQUERA 8" ALTA (CAJA:200 UND)</v>
          </cell>
          <cell r="D646" t="str">
            <v>51400017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08/06/2020</v>
          </cell>
          <cell r="I646">
            <v>22127</v>
          </cell>
          <cell r="J646">
            <v>32004</v>
          </cell>
          <cell r="K646">
            <v>200</v>
          </cell>
          <cell r="L646">
            <v>160.02000000000001</v>
          </cell>
          <cell r="M646" t="str">
            <v>Und</v>
          </cell>
        </row>
        <row r="647">
          <cell r="A647" t="str">
            <v>51400020</v>
          </cell>
          <cell r="B647" t="str">
            <v>14983</v>
          </cell>
          <cell r="C647" t="str">
            <v>BURBUJA I-3 ALTA (CAJA:250 UND)</v>
          </cell>
          <cell r="D647" t="str">
            <v>51400020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12/06/2020</v>
          </cell>
          <cell r="I647">
            <v>7528.32</v>
          </cell>
          <cell r="J647">
            <v>7528.32</v>
          </cell>
          <cell r="K647">
            <v>250</v>
          </cell>
          <cell r="L647">
            <v>30.11328</v>
          </cell>
          <cell r="M647"/>
        </row>
        <row r="648">
          <cell r="A648" t="str">
            <v>51400021</v>
          </cell>
          <cell r="B648" t="str">
            <v>15022</v>
          </cell>
          <cell r="C648" t="str">
            <v>QUEQUERA RED C/BASE ALTA 9" (CAJA:100 U)</v>
          </cell>
          <cell r="D648" t="str">
            <v>51400021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36645</v>
          </cell>
          <cell r="J648">
            <v>52551</v>
          </cell>
          <cell r="K648">
            <v>100</v>
          </cell>
          <cell r="L648">
            <v>525.51</v>
          </cell>
          <cell r="M648" t="str">
            <v>Und</v>
          </cell>
        </row>
        <row r="649">
          <cell r="A649" t="str">
            <v>51400022</v>
          </cell>
          <cell r="B649" t="str">
            <v>15028</v>
          </cell>
          <cell r="C649" t="str">
            <v>BOWL FIBRA 24 ONZ COMPOST (PAQ:125 UND)</v>
          </cell>
          <cell r="D649" t="str">
            <v>51400022</v>
          </cell>
          <cell r="E649" t="str">
            <v>EMPAQUES PLANTA</v>
          </cell>
          <cell r="F649" t="str">
            <v>1 PAQUETE</v>
          </cell>
          <cell r="G649">
            <v>500</v>
          </cell>
          <cell r="H649" t="str">
            <v>27/05/2020</v>
          </cell>
          <cell r="I649">
            <v>23.75</v>
          </cell>
          <cell r="J649">
            <v>22814.325000000001</v>
          </cell>
          <cell r="K649">
            <v>125</v>
          </cell>
          <cell r="L649">
            <v>182.5146</v>
          </cell>
          <cell r="M649"/>
        </row>
        <row r="650">
          <cell r="A650" t="str">
            <v>51400023</v>
          </cell>
          <cell r="B650" t="str">
            <v>15029</v>
          </cell>
          <cell r="C650" t="str">
            <v>BOWL FIBRA 32 ONZ COMPOST (PAQ:125 UND)</v>
          </cell>
          <cell r="D650" t="str">
            <v>51400023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29/05/2020</v>
          </cell>
          <cell r="I650">
            <v>25.5</v>
          </cell>
          <cell r="J650">
            <v>23524.2</v>
          </cell>
          <cell r="K650">
            <v>125</v>
          </cell>
          <cell r="L650">
            <v>188.1936</v>
          </cell>
          <cell r="M650"/>
        </row>
        <row r="651">
          <cell r="A651" t="str">
            <v>51400024</v>
          </cell>
          <cell r="B651" t="str">
            <v>15030</v>
          </cell>
          <cell r="C651" t="str">
            <v>TAPA  BOWL 16/24/32 ONZ (PAQ:125 UND)</v>
          </cell>
          <cell r="D651" t="str">
            <v>51400024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08/06/2020</v>
          </cell>
          <cell r="I651">
            <v>17.125</v>
          </cell>
          <cell r="J651">
            <v>18589.45</v>
          </cell>
          <cell r="K651">
            <v>125</v>
          </cell>
          <cell r="L651">
            <v>148.71559999999999</v>
          </cell>
          <cell r="M651"/>
        </row>
        <row r="652">
          <cell r="A652" t="str">
            <v>51400025</v>
          </cell>
          <cell r="B652" t="str">
            <v>15031</v>
          </cell>
          <cell r="C652" t="str">
            <v>BANDEJA FIBRA 2 DIVISIONES (PAQ:50 UND)</v>
          </cell>
          <cell r="D652" t="str">
            <v>51400025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11/06/2020</v>
          </cell>
          <cell r="I652">
            <v>9.4</v>
          </cell>
          <cell r="J652">
            <v>9125.73</v>
          </cell>
          <cell r="K652">
            <v>50</v>
          </cell>
          <cell r="L652">
            <v>182.5146</v>
          </cell>
          <cell r="M652"/>
        </row>
        <row r="653">
          <cell r="A653" t="str">
            <v>51400026</v>
          </cell>
          <cell r="B653" t="str">
            <v>15032</v>
          </cell>
          <cell r="C653" t="str">
            <v>BANDEJA FIBRA 3 DIVISIONES (PAQ:50 UND)</v>
          </cell>
          <cell r="D653" t="str">
            <v>51400026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11.15</v>
          </cell>
          <cell r="J653">
            <v>10040.1</v>
          </cell>
          <cell r="K653">
            <v>50</v>
          </cell>
          <cell r="L653">
            <v>200.80200000000002</v>
          </cell>
          <cell r="M653"/>
        </row>
        <row r="654">
          <cell r="A654" t="str">
            <v>51400027</v>
          </cell>
          <cell r="B654" t="str">
            <v>15033</v>
          </cell>
          <cell r="C654" t="str">
            <v>TAPA BOWL SOPA 8 ONZ (PAQ:50 UND)</v>
          </cell>
          <cell r="D654" t="str">
            <v>51400027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09/06/2020</v>
          </cell>
          <cell r="I654">
            <v>4.8499999999999996</v>
          </cell>
          <cell r="J654">
            <v>4169.8999999999996</v>
          </cell>
          <cell r="K654">
            <v>50</v>
          </cell>
          <cell r="L654">
            <v>83.397999999999996</v>
          </cell>
          <cell r="M654"/>
        </row>
        <row r="655">
          <cell r="A655" t="str">
            <v>51400028</v>
          </cell>
          <cell r="B655" t="str">
            <v>15034</v>
          </cell>
          <cell r="C655" t="str">
            <v>BOWL FIBRA SOPA 16 ONZ (PAQ:50 UND)</v>
          </cell>
          <cell r="D655" t="str">
            <v>51400028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27/03/2020</v>
          </cell>
          <cell r="I655">
            <v>7.65</v>
          </cell>
          <cell r="J655">
            <v>8065.44</v>
          </cell>
          <cell r="K655">
            <v>50</v>
          </cell>
          <cell r="L655">
            <v>161.30879999999999</v>
          </cell>
        </row>
        <row r="656">
          <cell r="A656" t="str">
            <v>51400029</v>
          </cell>
          <cell r="B656" t="str">
            <v>15035</v>
          </cell>
          <cell r="C656" t="str">
            <v>BOWL FIBRA 16 ONZ COMPOST (PAQ:125 UND)</v>
          </cell>
          <cell r="D656" t="str">
            <v>51400029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03/06/2020</v>
          </cell>
          <cell r="I656">
            <v>16.5</v>
          </cell>
          <cell r="J656">
            <v>0</v>
          </cell>
          <cell r="K656">
            <v>125</v>
          </cell>
          <cell r="L656">
            <v>0</v>
          </cell>
        </row>
        <row r="657">
          <cell r="A657" t="str">
            <v>51400030</v>
          </cell>
          <cell r="B657" t="str">
            <v>15036</v>
          </cell>
          <cell r="C657" t="str">
            <v>TAPA FIBRA BANDEJA 2 DIV (PAQ:50 UND)</v>
          </cell>
          <cell r="D657" t="str">
            <v>51400030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11/06/2020</v>
          </cell>
          <cell r="I657">
            <v>7.85</v>
          </cell>
          <cell r="J657">
            <v>0</v>
          </cell>
          <cell r="K657">
            <v>50</v>
          </cell>
          <cell r="L657">
            <v>0</v>
          </cell>
          <cell r="M657"/>
        </row>
        <row r="658">
          <cell r="A658" t="str">
            <v>51400031</v>
          </cell>
          <cell r="B658" t="str">
            <v>15037</v>
          </cell>
          <cell r="C658" t="str">
            <v>TAPA FIBRA BANDEJA 3 DIV  (PAQ:50 UND)</v>
          </cell>
          <cell r="D658" t="str">
            <v>51400031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13/06/2020</v>
          </cell>
          <cell r="I658">
            <v>9.75</v>
          </cell>
          <cell r="J658">
            <v>10633.28</v>
          </cell>
          <cell r="K658">
            <v>50</v>
          </cell>
          <cell r="L658">
            <v>212.66560000000001</v>
          </cell>
        </row>
        <row r="659">
          <cell r="A659" t="str">
            <v>51400032</v>
          </cell>
          <cell r="B659" t="str">
            <v>15038</v>
          </cell>
          <cell r="C659" t="str">
            <v>BOWL FIBRA SOPA 12 ONZ (PAQ:50 UND)</v>
          </cell>
          <cell r="D659" t="str">
            <v>51400032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08/06/2020</v>
          </cell>
          <cell r="I659">
            <v>6.85</v>
          </cell>
          <cell r="J659">
            <v>6602.4049999999997</v>
          </cell>
          <cell r="K659">
            <v>50</v>
          </cell>
          <cell r="L659">
            <v>132.04810000000001</v>
          </cell>
          <cell r="M659"/>
        </row>
        <row r="660">
          <cell r="A660" t="str">
            <v>51400033</v>
          </cell>
          <cell r="B660" t="str">
            <v>15039</v>
          </cell>
          <cell r="C660" t="str">
            <v>TAPA BOWL SOPA 12/16/32 ONZ (PAQ:50 UND)</v>
          </cell>
          <cell r="D660" t="str">
            <v>51400033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09/06/2020</v>
          </cell>
          <cell r="I660">
            <v>94.147000000000006</v>
          </cell>
          <cell r="J660">
            <v>6083.82</v>
          </cell>
          <cell r="K660">
            <v>50</v>
          </cell>
          <cell r="L660">
            <v>121.6764</v>
          </cell>
          <cell r="M660"/>
        </row>
        <row r="661">
          <cell r="A661" t="str">
            <v>51400034</v>
          </cell>
          <cell r="B661" t="str">
            <v>15040</v>
          </cell>
          <cell r="C661" t="str">
            <v>BOWL FIBRA SOPA 8 ONZ (PAQ:50 UND)</v>
          </cell>
          <cell r="D661" t="str">
            <v>51400034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08/06/2020</v>
          </cell>
          <cell r="I661">
            <v>5.35</v>
          </cell>
          <cell r="J661">
            <v>3474.95</v>
          </cell>
          <cell r="K661">
            <v>50</v>
          </cell>
          <cell r="L661">
            <v>69.498999999999995</v>
          </cell>
          <cell r="M661"/>
        </row>
        <row r="662">
          <cell r="A662" t="str">
            <v>51400035</v>
          </cell>
          <cell r="B662" t="str">
            <v>15369</v>
          </cell>
          <cell r="C662" t="str">
            <v>QUEQUERA PLAST RED 12" ALTA (CJ:50 UND)</v>
          </cell>
          <cell r="D662" t="str">
            <v>51400035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08/06/2020</v>
          </cell>
          <cell r="I662">
            <v>52578</v>
          </cell>
          <cell r="J662">
            <v>0</v>
          </cell>
          <cell r="K662">
            <v>50</v>
          </cell>
          <cell r="L662">
            <v>0</v>
          </cell>
          <cell r="M662"/>
        </row>
        <row r="663">
          <cell r="A663" t="str">
            <v>51400036</v>
          </cell>
          <cell r="B663" t="str">
            <v>15383</v>
          </cell>
          <cell r="C663" t="str">
            <v>QUEQUERA PLAST RECT 48*13*11 (CJ:25 UND)</v>
          </cell>
          <cell r="D663" t="str">
            <v>51400036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21/03/2020</v>
          </cell>
          <cell r="I663">
            <v>34082</v>
          </cell>
          <cell r="J663">
            <v>0</v>
          </cell>
          <cell r="K663">
            <v>25</v>
          </cell>
          <cell r="L663">
            <v>0</v>
          </cell>
          <cell r="M663"/>
        </row>
        <row r="664">
          <cell r="A664" t="str">
            <v>51500012</v>
          </cell>
          <cell r="B664" t="str">
            <v>12129</v>
          </cell>
          <cell r="C664" t="str">
            <v>VASO BIODEGRADABLE 12 ONZ (PAQ:25 UND)</v>
          </cell>
          <cell r="D664" t="str">
            <v>51500012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10/06/2020</v>
          </cell>
          <cell r="I664">
            <v>1510.35</v>
          </cell>
          <cell r="J664">
            <v>1795.9</v>
          </cell>
          <cell r="K664">
            <v>25</v>
          </cell>
          <cell r="L664">
            <v>71.835999999999999</v>
          </cell>
          <cell r="M664"/>
        </row>
        <row r="665">
          <cell r="A665" t="str">
            <v>51500013</v>
          </cell>
          <cell r="B665" t="str">
            <v>12130</v>
          </cell>
          <cell r="C665" t="str">
            <v>TAPA VASO BIODEGR 12,16 onz (PAQ:50 UND)</v>
          </cell>
          <cell r="D665" t="str">
            <v>51500013</v>
          </cell>
          <cell r="E665" t="str">
            <v>EMPAQUES PLANTA</v>
          </cell>
          <cell r="F665" t="str">
            <v>1 PAQ</v>
          </cell>
          <cell r="G665">
            <v>500</v>
          </cell>
          <cell r="H665" t="str">
            <v>21/05/2020</v>
          </cell>
          <cell r="I665">
            <v>924</v>
          </cell>
          <cell r="J665">
            <v>1551.45</v>
          </cell>
          <cell r="K665">
            <v>50</v>
          </cell>
          <cell r="L665">
            <v>31.029</v>
          </cell>
          <cell r="M665"/>
        </row>
        <row r="666">
          <cell r="A666" t="str">
            <v>51500014</v>
          </cell>
          <cell r="B666" t="str">
            <v>12131</v>
          </cell>
          <cell r="C666" t="str">
            <v>VASO BIODEGRADABLE 8 onz (PAQ:25 UND)</v>
          </cell>
          <cell r="D666" t="str">
            <v>51500014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15/06/2020</v>
          </cell>
          <cell r="I666">
            <v>1703.25</v>
          </cell>
          <cell r="J666">
            <v>2018.55</v>
          </cell>
          <cell r="K666">
            <v>25</v>
          </cell>
          <cell r="L666">
            <v>80.742000000000004</v>
          </cell>
        </row>
        <row r="667">
          <cell r="A667" t="str">
            <v>51500015</v>
          </cell>
          <cell r="B667" t="str">
            <v>12132</v>
          </cell>
          <cell r="C667" t="str">
            <v>TAPA VASO BIO 8 ONZ (PAQ:50 UND)</v>
          </cell>
          <cell r="D667" t="str">
            <v>51500015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04/06/2020</v>
          </cell>
          <cell r="I667">
            <v>990.1</v>
          </cell>
          <cell r="J667">
            <v>1446.55</v>
          </cell>
          <cell r="K667">
            <v>50</v>
          </cell>
          <cell r="L667">
            <v>28.930999999999997</v>
          </cell>
        </row>
        <row r="668">
          <cell r="A668" t="str">
            <v>51500032</v>
          </cell>
          <cell r="B668" t="str">
            <v>14054</v>
          </cell>
          <cell r="C668" t="str">
            <v>TAPA SUFLE 1,5-2-2,5 (PAQ:100 UND)</v>
          </cell>
          <cell r="D668" t="str">
            <v>51500032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30/04/2020</v>
          </cell>
          <cell r="I668">
            <v>824.04166666666697</v>
          </cell>
          <cell r="J668">
            <v>0</v>
          </cell>
          <cell r="K668">
            <v>100</v>
          </cell>
          <cell r="L668">
            <v>0</v>
          </cell>
        </row>
        <row r="669">
          <cell r="A669" t="str">
            <v>51500033</v>
          </cell>
          <cell r="B669" t="str">
            <v>15232</v>
          </cell>
          <cell r="C669" t="str">
            <v>VASO PLASTICO FABRIK 9 ONZ (CAJA:20 PAQ)</v>
          </cell>
          <cell r="D669" t="str">
            <v>51500033</v>
          </cell>
          <cell r="E669" t="str">
            <v>EMPAQUES PLANTA</v>
          </cell>
          <cell r="F669" t="str">
            <v>1 CAJA</v>
          </cell>
          <cell r="G669">
            <v>500</v>
          </cell>
          <cell r="H669" t="str">
            <v>07/05/2020</v>
          </cell>
          <cell r="I669" t="e">
            <v>#N/A</v>
          </cell>
          <cell r="J669">
            <v>0</v>
          </cell>
          <cell r="K669"/>
          <cell r="L669" t="e">
            <v>#DIV/0!</v>
          </cell>
        </row>
        <row r="670">
          <cell r="A670" t="str">
            <v>51500034</v>
          </cell>
          <cell r="B670" t="str">
            <v>15233</v>
          </cell>
          <cell r="C670" t="str">
            <v>TAPA PLAST DOMO SUND POLAR 9 (CJ:10 PAQ)</v>
          </cell>
          <cell r="D670" t="str">
            <v>51500034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04/05/2020</v>
          </cell>
          <cell r="I670" t="e">
            <v>#N/A</v>
          </cell>
          <cell r="J670">
            <v>0</v>
          </cell>
          <cell r="K670"/>
          <cell r="L670" t="e">
            <v>#DIV/0!</v>
          </cell>
        </row>
        <row r="671">
          <cell r="A671" t="str">
            <v>51500035</v>
          </cell>
          <cell r="B671" t="str">
            <v>15350</v>
          </cell>
          <cell r="C671" t="str">
            <v>TAPA DOMO PLAST BAND ALUM 394 (CJ:100)</v>
          </cell>
          <cell r="D671" t="str">
            <v>51500035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27/04/2020</v>
          </cell>
          <cell r="I671">
            <v>25840</v>
          </cell>
          <cell r="J671">
            <v>0</v>
          </cell>
          <cell r="K671">
            <v>100</v>
          </cell>
          <cell r="L671">
            <v>0</v>
          </cell>
        </row>
        <row r="672">
          <cell r="A672" t="str">
            <v>51500036</v>
          </cell>
          <cell r="B672" t="str">
            <v>15853</v>
          </cell>
          <cell r="C672" t="str">
            <v xml:space="preserve">TAPA PLAN S/HOYO 9/12/20 (CJ:10 PAQ ) </v>
          </cell>
          <cell r="D672" t="str">
            <v>51500036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30/04/2020</v>
          </cell>
          <cell r="I672" t="e">
            <v>#N/A</v>
          </cell>
          <cell r="J672">
            <v>0</v>
          </cell>
          <cell r="K672"/>
          <cell r="L672" t="e">
            <v>#DIV/0!</v>
          </cell>
        </row>
        <row r="673">
          <cell r="A673" t="str">
            <v>51600004</v>
          </cell>
          <cell r="B673" t="str">
            <v>9469</v>
          </cell>
          <cell r="C673" t="str">
            <v>LAZOS ROJOS (UND)</v>
          </cell>
          <cell r="D673" t="str">
            <v>51600004</v>
          </cell>
          <cell r="E673" t="str">
            <v>EMPAQUES PLANTA</v>
          </cell>
          <cell r="F673" t="str">
            <v>1 UND</v>
          </cell>
          <cell r="G673">
            <v>500</v>
          </cell>
          <cell r="H673" t="str">
            <v>03/06/2020</v>
          </cell>
          <cell r="I673">
            <v>20</v>
          </cell>
          <cell r="J673">
            <v>62</v>
          </cell>
          <cell r="K673">
            <v>1</v>
          </cell>
          <cell r="L673">
            <v>62</v>
          </cell>
        </row>
        <row r="674">
          <cell r="A674" t="str">
            <v>51600006</v>
          </cell>
          <cell r="B674" t="str">
            <v>11828</v>
          </cell>
          <cell r="C674" t="str">
            <v>ROLLO CINTA RASO 45 MTS COLOR ORO (UND)</v>
          </cell>
          <cell r="D674" t="str">
            <v>51600006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06/01/2020</v>
          </cell>
          <cell r="I674" t="e">
            <v>#N/A</v>
          </cell>
          <cell r="J674">
            <v>0</v>
          </cell>
          <cell r="K674"/>
          <cell r="L674" t="e">
            <v>#DIV/0!</v>
          </cell>
        </row>
        <row r="675">
          <cell r="A675" t="str">
            <v>51600014</v>
          </cell>
          <cell r="B675" t="str">
            <v>9667</v>
          </cell>
          <cell r="C675" t="str">
            <v>ROLLO DE CINTA DE RASO DE 45MTS COLOR FU</v>
          </cell>
          <cell r="D675" t="str">
            <v>51600014</v>
          </cell>
          <cell r="E675" t="str">
            <v>EMPAQUES PLANTA</v>
          </cell>
          <cell r="F675" t="str">
            <v>1 ROLLO</v>
          </cell>
          <cell r="G675">
            <v>500</v>
          </cell>
          <cell r="H675" t="str">
            <v>23/03/2020</v>
          </cell>
          <cell r="I675" t="e">
            <v>#N/A</v>
          </cell>
          <cell r="J675">
            <v>0</v>
          </cell>
          <cell r="K675">
            <v>45000</v>
          </cell>
          <cell r="L675">
            <v>0</v>
          </cell>
        </row>
        <row r="676">
          <cell r="A676" t="str">
            <v>51600015</v>
          </cell>
          <cell r="B676" t="str">
            <v>13573</v>
          </cell>
          <cell r="C676" t="str">
            <v>CINTA TRANS 1X40 (DELGADA)</v>
          </cell>
          <cell r="D676" t="str">
            <v>51600015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07/02/2020</v>
          </cell>
          <cell r="I676" t="e">
            <v>#N/A</v>
          </cell>
          <cell r="J676">
            <v>0</v>
          </cell>
          <cell r="K676"/>
          <cell r="L676" t="e">
            <v>#DIV/0!</v>
          </cell>
        </row>
        <row r="677">
          <cell r="A677" t="str">
            <v>51600022</v>
          </cell>
          <cell r="B677" t="str">
            <v>15567</v>
          </cell>
          <cell r="C677" t="str">
            <v>ROLLO SELLO SEGURIDAD ROJO (ROLLO)</v>
          </cell>
          <cell r="D677" t="str">
            <v>51600022</v>
          </cell>
          <cell r="E677" t="str">
            <v>ETIQUETAS PLANTA</v>
          </cell>
          <cell r="F677" t="str">
            <v>1 ROLLO</v>
          </cell>
          <cell r="G677">
            <v>500</v>
          </cell>
          <cell r="H677" t="str">
            <v>12/06/2020</v>
          </cell>
          <cell r="I677">
            <v>12500</v>
          </cell>
          <cell r="J677">
            <v>13250</v>
          </cell>
          <cell r="K677">
            <v>1000</v>
          </cell>
          <cell r="L677">
            <v>13.25</v>
          </cell>
        </row>
        <row r="678">
          <cell r="A678" t="str">
            <v>51600026</v>
          </cell>
          <cell r="B678" t="str">
            <v>16289</v>
          </cell>
          <cell r="C678" t="str">
            <v>BANDEJA FIBRA 10X7.5X1.5 (PAQ:50 UND)</v>
          </cell>
          <cell r="D678" t="str">
            <v>51600026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01/06/2020</v>
          </cell>
          <cell r="I678">
            <v>10.75</v>
          </cell>
          <cell r="J678">
            <v>9801.73</v>
          </cell>
          <cell r="K678">
            <v>50</v>
          </cell>
          <cell r="L678">
            <v>196.03459999999998</v>
          </cell>
        </row>
        <row r="679">
          <cell r="A679" t="str">
            <v>51600027</v>
          </cell>
          <cell r="B679" t="str">
            <v>16292</v>
          </cell>
          <cell r="C679" t="str">
            <v>TAPA TRANSPARENT 10X7.5X1.5 (PAQ:50 UND)</v>
          </cell>
          <cell r="D679" t="str">
            <v>51600027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17/03/2020</v>
          </cell>
          <cell r="I679">
            <v>16.149999999999999</v>
          </cell>
          <cell r="J679">
            <v>13721.47</v>
          </cell>
          <cell r="K679">
            <v>50</v>
          </cell>
          <cell r="L679">
            <v>274.42939999999999</v>
          </cell>
        </row>
        <row r="680">
          <cell r="A680" t="str">
            <v>60100001</v>
          </cell>
          <cell r="B680" t="str">
            <v>10459</v>
          </cell>
          <cell r="C680" t="str">
            <v>ETIQUETA LOGO MUSMANNI (UND)</v>
          </cell>
          <cell r="D680" t="str">
            <v>60100001</v>
          </cell>
          <cell r="E680" t="str">
            <v>ETIQUETAS PLANTA</v>
          </cell>
          <cell r="F680" t="str">
            <v>1 UND</v>
          </cell>
          <cell r="G680">
            <v>500</v>
          </cell>
          <cell r="H680" t="str">
            <v>21/05/2020</v>
          </cell>
          <cell r="I680">
            <v>5</v>
          </cell>
          <cell r="J680">
            <v>5</v>
          </cell>
          <cell r="K680">
            <v>1</v>
          </cell>
          <cell r="L680">
            <v>5</v>
          </cell>
        </row>
        <row r="681">
          <cell r="A681" t="str">
            <v>60100007</v>
          </cell>
          <cell r="B681" t="str">
            <v>10898</v>
          </cell>
          <cell r="C681" t="str">
            <v>ETiQUETA BLANCA  R-17 (UND)</v>
          </cell>
          <cell r="D681" t="str">
            <v>60100007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02/01/2020</v>
          </cell>
          <cell r="I681">
            <v>3.2</v>
          </cell>
          <cell r="J681">
            <v>3.2</v>
          </cell>
          <cell r="K681">
            <v>1</v>
          </cell>
          <cell r="L681">
            <v>3.2</v>
          </cell>
        </row>
        <row r="682">
          <cell r="A682" t="str">
            <v>60100010</v>
          </cell>
          <cell r="B682" t="str">
            <v>11570</v>
          </cell>
          <cell r="C682" t="str">
            <v>ETIQUETA ROJA LETRA ALERJENO (UND)</v>
          </cell>
          <cell r="D682" t="str">
            <v>60100010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02/06/2020</v>
          </cell>
          <cell r="I682">
            <v>3.6</v>
          </cell>
          <cell r="J682">
            <v>3.6</v>
          </cell>
          <cell r="K682">
            <v>1</v>
          </cell>
          <cell r="L682">
            <v>3.6</v>
          </cell>
          <cell r="M682" t="str">
            <v>Und</v>
          </cell>
        </row>
        <row r="683">
          <cell r="A683" t="str">
            <v>60100011</v>
          </cell>
          <cell r="B683" t="str">
            <v>11571</v>
          </cell>
          <cell r="C683" t="str">
            <v>ETIQ TORTA GENERICA BUCCA GRANDE (UND)</v>
          </cell>
          <cell r="D683" t="str">
            <v>60100011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15/05/2020</v>
          </cell>
          <cell r="I683">
            <v>43.5</v>
          </cell>
          <cell r="J683">
            <v>43.5</v>
          </cell>
          <cell r="K683">
            <v>1</v>
          </cell>
          <cell r="L683">
            <v>43.5</v>
          </cell>
          <cell r="M683" t="str">
            <v>Und</v>
          </cell>
        </row>
        <row r="684">
          <cell r="A684" t="str">
            <v>60100013</v>
          </cell>
          <cell r="B684" t="str">
            <v>12920</v>
          </cell>
          <cell r="C684" t="str">
            <v>ETIQ CIRCULO BUCCA DULCE (UND)</v>
          </cell>
          <cell r="D684" t="str">
            <v>60100013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17/01/2020</v>
          </cell>
          <cell r="I684">
            <v>3.5</v>
          </cell>
          <cell r="J684">
            <v>0</v>
          </cell>
          <cell r="K684">
            <v>1</v>
          </cell>
          <cell r="L684">
            <v>0</v>
          </cell>
          <cell r="M684" t="str">
            <v>Und</v>
          </cell>
        </row>
        <row r="685">
          <cell r="A685" t="str">
            <v>60100014</v>
          </cell>
          <cell r="B685" t="str">
            <v>9489</v>
          </cell>
          <cell r="C685" t="str">
            <v>ETIQUETA LOGO SPOON DORADO (ROLLO:1000)</v>
          </cell>
          <cell r="D685" t="str">
            <v>60100014</v>
          </cell>
          <cell r="E685" t="str">
            <v>ETIQUETAS PLANTA</v>
          </cell>
          <cell r="F685" t="str">
            <v>1 ROLLO</v>
          </cell>
          <cell r="G685">
            <v>500</v>
          </cell>
          <cell r="H685" t="str">
            <v>04/02/2020</v>
          </cell>
          <cell r="I685">
            <v>6000</v>
          </cell>
          <cell r="J685">
            <v>0</v>
          </cell>
          <cell r="K685">
            <v>1000</v>
          </cell>
          <cell r="L685">
            <v>0</v>
          </cell>
          <cell r="M685"/>
        </row>
        <row r="686">
          <cell r="A686" t="str">
            <v>60100023</v>
          </cell>
          <cell r="B686" t="str">
            <v>9210</v>
          </cell>
          <cell r="C686" t="str">
            <v>ETIQ APP SPOONERS CARD CUADRADA (UND)</v>
          </cell>
          <cell r="D686" t="str">
            <v>60100023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02/06/2020</v>
          </cell>
          <cell r="I686">
            <v>5.6</v>
          </cell>
          <cell r="J686">
            <v>0</v>
          </cell>
          <cell r="K686">
            <v>1</v>
          </cell>
          <cell r="L686">
            <v>0</v>
          </cell>
          <cell r="M686"/>
        </row>
        <row r="687">
          <cell r="A687" t="str">
            <v>60100024</v>
          </cell>
          <cell r="B687" t="str">
            <v>9211</v>
          </cell>
          <cell r="C687" t="str">
            <v>ETIQ CIRCULO APP SPOONERS CARD (UND)</v>
          </cell>
          <cell r="D687" t="str">
            <v>60100024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4</v>
          </cell>
          <cell r="J687">
            <v>4</v>
          </cell>
          <cell r="K687">
            <v>1</v>
          </cell>
          <cell r="L687">
            <v>4</v>
          </cell>
          <cell r="M687" t="str">
            <v>Und</v>
          </cell>
        </row>
        <row r="688">
          <cell r="A688" t="str">
            <v>60100026</v>
          </cell>
          <cell r="B688" t="str">
            <v>11509</v>
          </cell>
          <cell r="C688" t="str">
            <v>LOGO OVALADO SPOON GRANDE (ROLLO:1000 U)</v>
          </cell>
          <cell r="D688" t="str">
            <v>60100026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12/06/2020</v>
          </cell>
          <cell r="I688">
            <v>3961</v>
          </cell>
          <cell r="J688">
            <v>12000</v>
          </cell>
          <cell r="K688">
            <v>1000</v>
          </cell>
          <cell r="L688">
            <v>12</v>
          </cell>
          <cell r="M688" t="str">
            <v>Und</v>
          </cell>
        </row>
        <row r="689">
          <cell r="A689" t="str">
            <v>60100027</v>
          </cell>
          <cell r="B689" t="str">
            <v>11511</v>
          </cell>
          <cell r="C689" t="str">
            <v>LOGO OVALADO SPOON PEQ  (ROLLO:1000 U)</v>
          </cell>
          <cell r="D689" t="str">
            <v>60100027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15/06/2020</v>
          </cell>
          <cell r="I689">
            <v>992</v>
          </cell>
          <cell r="J689">
            <v>15000</v>
          </cell>
          <cell r="K689">
            <v>1000</v>
          </cell>
          <cell r="L689">
            <v>15</v>
          </cell>
          <cell r="M689" t="str">
            <v>Und</v>
          </cell>
        </row>
        <row r="690">
          <cell r="A690" t="str">
            <v>60100044</v>
          </cell>
          <cell r="B690" t="str">
            <v>15128</v>
          </cell>
          <cell r="C690" t="str">
            <v>ETIQUETA RP CIRCULO (UND)</v>
          </cell>
          <cell r="D690" t="str">
            <v>60100044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06/02/2020</v>
          </cell>
          <cell r="I690">
            <v>4.0179999999999998</v>
          </cell>
          <cell r="J690">
            <v>0</v>
          </cell>
          <cell r="K690">
            <v>1</v>
          </cell>
          <cell r="L690">
            <v>0</v>
          </cell>
          <cell r="M690"/>
        </row>
        <row r="691">
          <cell r="A691" t="str">
            <v>60100046</v>
          </cell>
          <cell r="B691" t="str">
            <v>15481</v>
          </cell>
          <cell r="C691" t="str">
            <v>ETIQUETA ROMPOPE (UND)</v>
          </cell>
          <cell r="D691" t="str">
            <v>60100046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18/12/2019</v>
          </cell>
          <cell r="I691">
            <v>94</v>
          </cell>
          <cell r="J691">
            <v>0</v>
          </cell>
          <cell r="K691">
            <v>1</v>
          </cell>
          <cell r="L691">
            <v>0</v>
          </cell>
          <cell r="M691"/>
        </row>
        <row r="692">
          <cell r="A692" t="str">
            <v>60100047</v>
          </cell>
          <cell r="B692" t="str">
            <v>15611</v>
          </cell>
          <cell r="C692" t="str">
            <v>ETIQUETA TE CHAI FRENTE (UND)</v>
          </cell>
          <cell r="D692" t="str">
            <v>60100047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09/12/2019</v>
          </cell>
          <cell r="I692">
            <v>42</v>
          </cell>
          <cell r="J692">
            <v>0</v>
          </cell>
          <cell r="K692">
            <v>1</v>
          </cell>
          <cell r="L692">
            <v>0</v>
          </cell>
          <cell r="M692"/>
        </row>
        <row r="693">
          <cell r="A693" t="str">
            <v>60100048</v>
          </cell>
          <cell r="B693" t="str">
            <v>15612</v>
          </cell>
          <cell r="C693" t="str">
            <v>ETIQUETA TE CHAI REVERSO (UND)</v>
          </cell>
          <cell r="D693" t="str">
            <v>60100048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39</v>
          </cell>
          <cell r="J693">
            <v>0</v>
          </cell>
          <cell r="K693">
            <v>1</v>
          </cell>
          <cell r="L693">
            <v>0</v>
          </cell>
          <cell r="M693"/>
        </row>
        <row r="694">
          <cell r="A694" t="str">
            <v>60100049</v>
          </cell>
          <cell r="B694" t="str">
            <v>16178</v>
          </cell>
          <cell r="C694" t="str">
            <v>ETIQUETA DATA VARIABLE (UND)</v>
          </cell>
          <cell r="D694" t="str">
            <v>60100049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28/02/2020</v>
          </cell>
          <cell r="I694">
            <v>7.0144399999999996</v>
          </cell>
          <cell r="J694">
            <v>0</v>
          </cell>
          <cell r="K694">
            <v>1</v>
          </cell>
          <cell r="L694">
            <v>0</v>
          </cell>
          <cell r="M694"/>
        </row>
        <row r="695">
          <cell r="A695" t="str">
            <v>60100050</v>
          </cell>
          <cell r="B695" t="str">
            <v>16179</v>
          </cell>
          <cell r="C695" t="str">
            <v>ETIQUETA TE LLEVA A LA PLAYA (UND)</v>
          </cell>
          <cell r="D695" t="str">
            <v>60100050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5.8</v>
          </cell>
          <cell r="J695">
            <v>0</v>
          </cell>
          <cell r="K695">
            <v>1</v>
          </cell>
          <cell r="L695">
            <v>0</v>
          </cell>
          <cell r="M695"/>
        </row>
        <row r="696">
          <cell r="A696" t="str">
            <v>60100051</v>
          </cell>
          <cell r="B696" t="str">
            <v>16441</v>
          </cell>
          <cell r="C696" t="str">
            <v xml:space="preserve">ETIQ. JUNTOS A LA DISTANCIA(ROLLO:500 U </v>
          </cell>
          <cell r="D696" t="str">
            <v>60100051</v>
          </cell>
          <cell r="E696" t="str">
            <v>ETIQUETAS PLANTA</v>
          </cell>
          <cell r="F696" t="str">
            <v>1 ROLLO</v>
          </cell>
          <cell r="G696">
            <v>500</v>
          </cell>
          <cell r="H696" t="str">
            <v>02/06/2020</v>
          </cell>
          <cell r="I696">
            <v>8800</v>
          </cell>
          <cell r="J696">
            <v>0</v>
          </cell>
          <cell r="K696">
            <v>500</v>
          </cell>
          <cell r="L696">
            <v>0</v>
          </cell>
        </row>
        <row r="697">
          <cell r="A697" t="str">
            <v>60100052</v>
          </cell>
          <cell r="B697" t="str">
            <v>16442</v>
          </cell>
          <cell r="C697" t="str">
            <v>ETIQ. PRONTO VOLVEREMOS JUNTOS (ROLLO)</v>
          </cell>
          <cell r="D697" t="str">
            <v>60100052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12/05/2020</v>
          </cell>
          <cell r="I697">
            <v>3000</v>
          </cell>
          <cell r="J697">
            <v>0</v>
          </cell>
          <cell r="K697"/>
          <cell r="L697" t="e">
            <v>#DIV/0!</v>
          </cell>
        </row>
        <row r="698">
          <cell r="A698" t="str">
            <v>60100053</v>
          </cell>
          <cell r="B698" t="str">
            <v>16443</v>
          </cell>
          <cell r="C698" t="str">
            <v>ETIQ. DESINFECTAR CELULAR (ROLLO: 500 U)</v>
          </cell>
          <cell r="D698" t="str">
            <v>60100053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11/05/2020</v>
          </cell>
          <cell r="I698">
            <v>5.8</v>
          </cell>
          <cell r="J698">
            <v>0</v>
          </cell>
          <cell r="K698">
            <v>500</v>
          </cell>
          <cell r="L698">
            <v>0</v>
          </cell>
          <cell r="M698"/>
        </row>
        <row r="699">
          <cell r="A699" t="str">
            <v>60100054</v>
          </cell>
          <cell r="B699" t="str">
            <v>16444</v>
          </cell>
          <cell r="C699" t="str">
            <v>ETIQ. RECUERDE LAVAR MANOS (ROLLO:500 U)</v>
          </cell>
          <cell r="D699" t="str">
            <v>60100054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>
            <v>0</v>
          </cell>
          <cell r="K699">
            <v>500</v>
          </cell>
          <cell r="L699">
            <v>0</v>
          </cell>
          <cell r="M699"/>
        </row>
        <row r="700">
          <cell r="A700" t="str">
            <v>60100055</v>
          </cell>
          <cell r="B700" t="str">
            <v>16500</v>
          </cell>
          <cell r="C700" t="str">
            <v>STICKER TORTA KAHLUA (ROLLO: 1000 UND)</v>
          </cell>
          <cell r="D700" t="str">
            <v>60100055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08/05/2020</v>
          </cell>
          <cell r="I700">
            <v>16000</v>
          </cell>
          <cell r="J700">
            <v>16000</v>
          </cell>
          <cell r="K700">
            <v>1000</v>
          </cell>
          <cell r="L700">
            <v>16</v>
          </cell>
          <cell r="M700"/>
        </row>
        <row r="701">
          <cell r="A701" t="str">
            <v>101000015</v>
          </cell>
          <cell r="B701" t="str">
            <v>5245</v>
          </cell>
          <cell r="C701" t="str">
            <v>AZUCAR REFINADA VICTORIA (PAQ:1 K)</v>
          </cell>
          <cell r="D701" t="str">
            <v>101000015</v>
          </cell>
          <cell r="E701" t="str">
            <v>MATERIAS PRIMAS PLANTA</v>
          </cell>
          <cell r="F701" t="str">
            <v>1 PAQUETE</v>
          </cell>
          <cell r="G701">
            <v>500</v>
          </cell>
          <cell r="H701" t="str">
            <v>09/06/2020</v>
          </cell>
          <cell r="I701">
            <v>691.16666666666697</v>
          </cell>
          <cell r="J701">
            <v>732.63333333333298</v>
          </cell>
          <cell r="K701">
            <v>1000</v>
          </cell>
          <cell r="L701">
            <v>0.73263333333333303</v>
          </cell>
          <cell r="M701" t="str">
            <v>Gramos</v>
          </cell>
        </row>
        <row r="702">
          <cell r="A702" t="str">
            <v>101000073</v>
          </cell>
          <cell r="B702" t="str">
            <v>5303</v>
          </cell>
          <cell r="C702" t="str">
            <v>AZUCAR GLASS MOLIDA (PAQ: 4 K)</v>
          </cell>
          <cell r="D702" t="str">
            <v>101000073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15/06/2020</v>
          </cell>
          <cell r="I702">
            <v>6526</v>
          </cell>
          <cell r="J702">
            <v>7467</v>
          </cell>
          <cell r="K702">
            <v>4000</v>
          </cell>
          <cell r="L702">
            <v>1.8667499999999999</v>
          </cell>
          <cell r="M702" t="str">
            <v>Gramos</v>
          </cell>
        </row>
        <row r="703">
          <cell r="A703" t="str">
            <v>101000104</v>
          </cell>
          <cell r="B703" t="str">
            <v>7077</v>
          </cell>
          <cell r="C703" t="str">
            <v>SALSA OSTION PANDA (UND:5LBS)</v>
          </cell>
          <cell r="D703" t="str">
            <v>101000104</v>
          </cell>
          <cell r="E703" t="str">
            <v>MATERIAS PRIMAS PLANTA</v>
          </cell>
          <cell r="F703" t="str">
            <v>1 UND</v>
          </cell>
          <cell r="G703">
            <v>500</v>
          </cell>
          <cell r="H703" t="str">
            <v>24/03/2020</v>
          </cell>
          <cell r="I703">
            <v>4995</v>
          </cell>
          <cell r="J703">
            <v>0</v>
          </cell>
          <cell r="K703">
            <v>2268</v>
          </cell>
          <cell r="L703">
            <v>0</v>
          </cell>
          <cell r="M703" t="str">
            <v>Mililitros</v>
          </cell>
        </row>
        <row r="704">
          <cell r="A704" t="str">
            <v>101000114</v>
          </cell>
          <cell r="B704" t="str">
            <v>7087</v>
          </cell>
          <cell r="C704" t="str">
            <v>MAIZ DULCE GALON MONACO (UND:2.5K)</v>
          </cell>
          <cell r="D704" t="str">
            <v>101000114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28/01/2020</v>
          </cell>
          <cell r="I704" t="e">
            <v>#N/A</v>
          </cell>
          <cell r="J704">
            <v>0</v>
          </cell>
          <cell r="K704">
            <v>2500</v>
          </cell>
          <cell r="L704">
            <v>0</v>
          </cell>
          <cell r="M704"/>
        </row>
        <row r="705">
          <cell r="A705" t="str">
            <v>102000024</v>
          </cell>
          <cell r="B705" t="str">
            <v>5353</v>
          </cell>
          <cell r="C705" t="str">
            <v>MEZCLA BEBIDA MARACUYA (UND:946ML)</v>
          </cell>
          <cell r="D705" t="str">
            <v>102000024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04/02/2020</v>
          </cell>
          <cell r="I705">
            <v>3164</v>
          </cell>
          <cell r="J705">
            <v>3753</v>
          </cell>
          <cell r="K705">
            <v>946</v>
          </cell>
          <cell r="L705">
            <v>3.9672304439746302</v>
          </cell>
          <cell r="M705" t="str">
            <v>Mililitros</v>
          </cell>
        </row>
        <row r="706">
          <cell r="A706" t="str">
            <v>102000028</v>
          </cell>
          <cell r="B706" t="str">
            <v>5357</v>
          </cell>
          <cell r="C706" t="str">
            <v>JUGO DE NARANJA NATURAL (UND:3.785 L)</v>
          </cell>
          <cell r="D706" t="str">
            <v>102000028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15/06/2020</v>
          </cell>
          <cell r="I706">
            <v>4170</v>
          </cell>
          <cell r="J706">
            <v>4170</v>
          </cell>
          <cell r="K706">
            <v>3785</v>
          </cell>
          <cell r="L706">
            <v>1.1017173051519153</v>
          </cell>
          <cell r="M706"/>
        </row>
        <row r="707">
          <cell r="A707" t="str">
            <v>102000035</v>
          </cell>
          <cell r="B707" t="str">
            <v>12925</v>
          </cell>
          <cell r="C707" t="str">
            <v>JUGO LIMON (UND=930 ml)</v>
          </cell>
          <cell r="D707" t="str">
            <v>102000035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10/06/2020</v>
          </cell>
          <cell r="I707">
            <v>1495.44</v>
          </cell>
          <cell r="J707">
            <v>1644.98</v>
          </cell>
          <cell r="K707">
            <v>930</v>
          </cell>
          <cell r="L707">
            <v>1.7687956989247311</v>
          </cell>
          <cell r="M707"/>
        </row>
        <row r="708">
          <cell r="A708" t="str">
            <v>102000037</v>
          </cell>
          <cell r="B708" t="str">
            <v>15159</v>
          </cell>
          <cell r="C708" t="str">
            <v xml:space="preserve">TE FRIO MELOCOTON (CAJA: 6 PAQ) </v>
          </cell>
          <cell r="D708" t="str">
            <v>102000037</v>
          </cell>
          <cell r="E708" t="str">
            <v>MATERIAS PRIMAS PLANTA</v>
          </cell>
          <cell r="F708" t="str">
            <v>1 CAJA</v>
          </cell>
          <cell r="G708">
            <v>500</v>
          </cell>
          <cell r="H708" t="str">
            <v>15/06/2020</v>
          </cell>
          <cell r="I708">
            <v>9553</v>
          </cell>
          <cell r="J708">
            <v>11177</v>
          </cell>
          <cell r="K708"/>
          <cell r="L708" t="e">
            <v>#DIV/0!</v>
          </cell>
          <cell r="M708"/>
        </row>
        <row r="709">
          <cell r="A709" t="str">
            <v>102000038</v>
          </cell>
          <cell r="B709" t="str">
            <v>15160</v>
          </cell>
          <cell r="C709" t="str">
            <v>TE VERDE DE MANZANA (CAJA: 8 PAQ)</v>
          </cell>
          <cell r="D709" t="str">
            <v>102000038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 t="e">
            <v>#N/A</v>
          </cell>
          <cell r="J709">
            <v>0</v>
          </cell>
          <cell r="K709"/>
          <cell r="L709" t="e">
            <v>#DIV/0!</v>
          </cell>
          <cell r="M709"/>
        </row>
        <row r="710">
          <cell r="A710" t="str">
            <v>102000039</v>
          </cell>
          <cell r="B710" t="str">
            <v>15504</v>
          </cell>
          <cell r="C710" t="str">
            <v>ROMPOPE SPOON (UND:510 G)</v>
          </cell>
          <cell r="D710" t="str">
            <v>102000039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20/12/2019</v>
          </cell>
          <cell r="I710">
            <v>2460</v>
          </cell>
          <cell r="J710">
            <v>0</v>
          </cell>
          <cell r="K710">
            <v>510</v>
          </cell>
          <cell r="L710">
            <v>0</v>
          </cell>
          <cell r="M710"/>
        </row>
        <row r="711">
          <cell r="A711" t="str">
            <v>102000040</v>
          </cell>
          <cell r="B711" t="str">
            <v>15624</v>
          </cell>
          <cell r="C711" t="str">
            <v>TE MATCHA NARANJA (PAQ: 20/50 G)</v>
          </cell>
          <cell r="D711" t="str">
            <v>102000040</v>
          </cell>
          <cell r="E711" t="str">
            <v>MATERIAS PRIMAS PLANTA</v>
          </cell>
          <cell r="F711" t="str">
            <v>1 PAQ</v>
          </cell>
          <cell r="G711">
            <v>500</v>
          </cell>
          <cell r="H711" t="str">
            <v>18/03/2020</v>
          </cell>
          <cell r="I711" t="e">
            <v>#N/A</v>
          </cell>
          <cell r="J711">
            <v>0</v>
          </cell>
          <cell r="K711"/>
          <cell r="L711" t="e">
            <v>#DIV/0!</v>
          </cell>
          <cell r="M711"/>
        </row>
        <row r="712">
          <cell r="A712" t="str">
            <v>102000041</v>
          </cell>
          <cell r="B712" t="str">
            <v>15625</v>
          </cell>
          <cell r="C712" t="str">
            <v>TE FRIO LIMON (PAQ:500 G)</v>
          </cell>
          <cell r="D712" t="str">
            <v>102000041</v>
          </cell>
          <cell r="E712" t="str">
            <v>MATERIAS PRIMAS PLANTA</v>
          </cell>
          <cell r="F712" t="str">
            <v>1 PAQUETE</v>
          </cell>
          <cell r="G712">
            <v>500</v>
          </cell>
          <cell r="H712" t="str">
            <v>19/05/2020</v>
          </cell>
          <cell r="I712">
            <v>1650</v>
          </cell>
          <cell r="J712">
            <v>0</v>
          </cell>
          <cell r="K712">
            <v>500</v>
          </cell>
          <cell r="L712">
            <v>0</v>
          </cell>
        </row>
        <row r="713">
          <cell r="A713" t="str">
            <v>102000046</v>
          </cell>
          <cell r="B713" t="str">
            <v>15630</v>
          </cell>
          <cell r="C713" t="str">
            <v>BEBIDA TE CHAI (PAQ: 300 G)</v>
          </cell>
          <cell r="D713" t="str">
            <v>102000046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05/06/2020</v>
          </cell>
          <cell r="I713">
            <v>2445</v>
          </cell>
          <cell r="J713">
            <v>2843.58</v>
          </cell>
          <cell r="K713">
            <v>300</v>
          </cell>
          <cell r="L713">
            <v>9.4786000000000001</v>
          </cell>
          <cell r="M713"/>
        </row>
        <row r="714">
          <cell r="A714" t="str">
            <v>102000048</v>
          </cell>
          <cell r="B714" t="str">
            <v>15881</v>
          </cell>
          <cell r="C714" t="str">
            <v>PIPA (UND)</v>
          </cell>
          <cell r="D714" t="str">
            <v>102000048</v>
          </cell>
          <cell r="E714" t="str">
            <v>MATERIAS PRIMAS PLANTA</v>
          </cell>
          <cell r="F714" t="str">
            <v>1 UND</v>
          </cell>
          <cell r="G714">
            <v>500</v>
          </cell>
          <cell r="H714" t="str">
            <v>19/03/2020</v>
          </cell>
          <cell r="I714" t="e">
            <v>#N/A</v>
          </cell>
          <cell r="J714">
            <v>0</v>
          </cell>
          <cell r="K714"/>
          <cell r="L714" t="e">
            <v>#DIV/0!</v>
          </cell>
          <cell r="M714"/>
        </row>
        <row r="715">
          <cell r="A715" t="str">
            <v>102000049</v>
          </cell>
          <cell r="B715" t="str">
            <v>16321</v>
          </cell>
          <cell r="C715" t="str">
            <v>KAHLUA LICOR DE CAFÉ (UND: 750 ML)</v>
          </cell>
          <cell r="D715" t="str">
            <v>102000049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01/06/2020</v>
          </cell>
          <cell r="I715">
            <v>7457</v>
          </cell>
          <cell r="J715">
            <v>6711.3</v>
          </cell>
          <cell r="K715">
            <v>750</v>
          </cell>
          <cell r="L715">
            <v>8.9483999999999995</v>
          </cell>
          <cell r="M715" t="str">
            <v>Mililitros</v>
          </cell>
        </row>
        <row r="716">
          <cell r="A716" t="str">
            <v>102000051</v>
          </cell>
          <cell r="B716" t="str">
            <v>16466</v>
          </cell>
          <cell r="C716" t="str">
            <v>SIROPE CHOCOLATE HERSHEYS (UND:7.5 LBS)</v>
          </cell>
          <cell r="D716" t="str">
            <v>102000051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05/05/2020</v>
          </cell>
          <cell r="I716" t="e">
            <v>#N/A</v>
          </cell>
          <cell r="J716">
            <v>0</v>
          </cell>
          <cell r="K716"/>
          <cell r="L716" t="e">
            <v>#DIV/0!</v>
          </cell>
          <cell r="M716"/>
        </row>
        <row r="717">
          <cell r="A717" t="str">
            <v>102000052</v>
          </cell>
          <cell r="B717" t="str">
            <v>16488</v>
          </cell>
          <cell r="C717" t="str">
            <v>JUGO DE NARANJA 100% NATURAL (UND)</v>
          </cell>
          <cell r="D717" t="str">
            <v>102000052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04/05/2020</v>
          </cell>
          <cell r="I717" t="e">
            <v>#N/A</v>
          </cell>
          <cell r="J717">
            <v>0</v>
          </cell>
          <cell r="K717"/>
          <cell r="L717" t="e">
            <v>#DIV/0!</v>
          </cell>
          <cell r="M717"/>
        </row>
        <row r="718">
          <cell r="A718" t="str">
            <v>103000001</v>
          </cell>
          <cell r="B718" t="str">
            <v>5358</v>
          </cell>
          <cell r="C718" t="str">
            <v>SALMON EN MEDALLON KILO</v>
          </cell>
          <cell r="D718" t="str">
            <v>103000001</v>
          </cell>
          <cell r="E718" t="str">
            <v>MATERIAS PRIMAS PLANTA</v>
          </cell>
          <cell r="F718" t="str">
            <v>1 KILO</v>
          </cell>
          <cell r="G718">
            <v>500</v>
          </cell>
          <cell r="H718" t="str">
            <v>15/06/2020</v>
          </cell>
          <cell r="I718">
            <v>7189.56</v>
          </cell>
          <cell r="J718">
            <v>11670.81</v>
          </cell>
          <cell r="K718">
            <v>1000</v>
          </cell>
          <cell r="L718">
            <v>11.670809999999999</v>
          </cell>
          <cell r="M718" t="str">
            <v>Gramos</v>
          </cell>
        </row>
        <row r="719">
          <cell r="A719" t="str">
            <v>103000021</v>
          </cell>
          <cell r="B719" t="str">
            <v>5378</v>
          </cell>
          <cell r="C719" t="str">
            <v>CARNE OSOBUCO PICADO (KILO)</v>
          </cell>
          <cell r="D719" t="str">
            <v>103000021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06/06/2020</v>
          </cell>
          <cell r="I719">
            <v>2995</v>
          </cell>
          <cell r="J719">
            <v>3295</v>
          </cell>
          <cell r="K719">
            <v>1000</v>
          </cell>
          <cell r="L719">
            <v>3.2949999999999999</v>
          </cell>
          <cell r="M719" t="str">
            <v>Gramos</v>
          </cell>
        </row>
        <row r="720">
          <cell r="A720" t="str">
            <v>103000027</v>
          </cell>
          <cell r="B720" t="str">
            <v>13164</v>
          </cell>
          <cell r="C720" t="str">
            <v>CHORIZO PASTA KILO</v>
          </cell>
          <cell r="D720" t="str">
            <v>103000027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13/06/2020</v>
          </cell>
          <cell r="I720">
            <v>2050</v>
          </cell>
          <cell r="J720">
            <v>0</v>
          </cell>
          <cell r="K720">
            <v>1000</v>
          </cell>
          <cell r="L720">
            <v>0</v>
          </cell>
          <cell r="M720" t="str">
            <v>Gramos</v>
          </cell>
        </row>
        <row r="721">
          <cell r="A721" t="str">
            <v>103000035</v>
          </cell>
          <cell r="B721" t="str">
            <v>14621</v>
          </cell>
          <cell r="C721" t="str">
            <v>ALBONDIGA ITAL COC 1.5 ONZ (1/4.53K)</v>
          </cell>
          <cell r="D721" t="str">
            <v>103000035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11/02/2020</v>
          </cell>
          <cell r="I721" t="e">
            <v>#N/A</v>
          </cell>
          <cell r="J721">
            <v>0</v>
          </cell>
          <cell r="K721">
            <v>1000</v>
          </cell>
          <cell r="L721">
            <v>0</v>
          </cell>
          <cell r="M721" t="str">
            <v>Gramos</v>
          </cell>
        </row>
        <row r="722">
          <cell r="A722" t="str">
            <v>103000036</v>
          </cell>
          <cell r="B722" t="str">
            <v>5393</v>
          </cell>
          <cell r="C722" t="str">
            <v>FILET TILAPIA (5-7 ONZ P/KILO)</v>
          </cell>
          <cell r="D722" t="str">
            <v>103000036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30/04/2020</v>
          </cell>
          <cell r="I722" t="e">
            <v>#N/A</v>
          </cell>
          <cell r="J722">
            <v>0</v>
          </cell>
          <cell r="K722">
            <v>1000</v>
          </cell>
          <cell r="L722">
            <v>0</v>
          </cell>
          <cell r="M722" t="str">
            <v>Gramos</v>
          </cell>
        </row>
        <row r="723">
          <cell r="A723" t="str">
            <v>105000001</v>
          </cell>
          <cell r="B723" t="str">
            <v>5405</v>
          </cell>
          <cell r="C723" t="str">
            <v>CURRY POLVO (UND:454 G)</v>
          </cell>
          <cell r="D723" t="str">
            <v>105000001</v>
          </cell>
          <cell r="E723" t="str">
            <v>MATERIAS PRIMAS PLANTA</v>
          </cell>
          <cell r="F723" t="str">
            <v>1 UND</v>
          </cell>
          <cell r="G723">
            <v>500</v>
          </cell>
          <cell r="H723" t="str">
            <v>28/04/2020</v>
          </cell>
          <cell r="I723">
            <v>2763</v>
          </cell>
          <cell r="J723">
            <v>3263</v>
          </cell>
          <cell r="K723">
            <v>454</v>
          </cell>
          <cell r="L723">
            <v>7.1872246696035242</v>
          </cell>
          <cell r="M723" t="str">
            <v>Gramos</v>
          </cell>
        </row>
        <row r="724">
          <cell r="A724" t="str">
            <v>105000002</v>
          </cell>
          <cell r="B724" t="str">
            <v>5399</v>
          </cell>
          <cell r="C724" t="str">
            <v>OREGANO (UND: 156 G)</v>
          </cell>
          <cell r="D724" t="str">
            <v>105000002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28/05/2020</v>
          </cell>
          <cell r="I724">
            <v>1879</v>
          </cell>
          <cell r="J724">
            <v>2201</v>
          </cell>
          <cell r="K724">
            <v>156</v>
          </cell>
          <cell r="L724">
            <v>14.108974358974359</v>
          </cell>
          <cell r="M724" t="str">
            <v>Gramos</v>
          </cell>
        </row>
        <row r="725">
          <cell r="A725" t="str">
            <v>105000003</v>
          </cell>
          <cell r="B725" t="str">
            <v>5400</v>
          </cell>
          <cell r="C725" t="str">
            <v>PEREJIL SECO (UND:57 G)</v>
          </cell>
          <cell r="D725" t="str">
            <v>105000003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01/06/2020</v>
          </cell>
          <cell r="I725">
            <v>1411.53</v>
          </cell>
          <cell r="J725">
            <v>1925</v>
          </cell>
          <cell r="K725">
            <v>57</v>
          </cell>
          <cell r="L725">
            <v>33.771929824561404</v>
          </cell>
          <cell r="M725" t="str">
            <v>Gramos</v>
          </cell>
        </row>
        <row r="726">
          <cell r="A726" t="str">
            <v>105000007</v>
          </cell>
          <cell r="B726" t="str">
            <v>5407</v>
          </cell>
          <cell r="C726" t="str">
            <v>PIMIENTA NEGRA MOLIDA (UND:510 G)</v>
          </cell>
          <cell r="D726" t="str">
            <v>105000007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19/03/2020</v>
          </cell>
          <cell r="I726">
            <v>7486</v>
          </cell>
          <cell r="J726">
            <v>0</v>
          </cell>
          <cell r="K726">
            <v>510</v>
          </cell>
          <cell r="L726">
            <v>0</v>
          </cell>
          <cell r="M726" t="str">
            <v>Gramos</v>
          </cell>
        </row>
        <row r="727">
          <cell r="A727" t="str">
            <v>10100311</v>
          </cell>
          <cell r="B727" t="str">
            <v>7070</v>
          </cell>
          <cell r="C727" t="str">
            <v>CANELA EN ASTILLAS BADIA ( UND: 340,2 G)</v>
          </cell>
          <cell r="D727" t="str">
            <v>105000008</v>
          </cell>
          <cell r="E727" t="str">
            <v>MATERIAS PRIMAS PLANTA</v>
          </cell>
          <cell r="F727" t="str">
            <v>1 PAQUETE</v>
          </cell>
          <cell r="G727">
            <v>500</v>
          </cell>
          <cell r="H727" t="str">
            <v>05/06/2020</v>
          </cell>
          <cell r="I727">
            <v>4836.3</v>
          </cell>
          <cell r="J727">
            <v>5143</v>
          </cell>
          <cell r="K727">
            <v>340</v>
          </cell>
          <cell r="L727">
            <v>15.126470588235295</v>
          </cell>
          <cell r="M727" t="str">
            <v>Gramos</v>
          </cell>
        </row>
        <row r="728">
          <cell r="A728" t="str">
            <v>105000009</v>
          </cell>
          <cell r="B728" t="str">
            <v>5412</v>
          </cell>
          <cell r="C728" t="str">
            <v>ACHIOTE (UND:850g)</v>
          </cell>
          <cell r="D728" t="str">
            <v>105000009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05/06/2020</v>
          </cell>
          <cell r="I728">
            <v>3137</v>
          </cell>
          <cell r="J728">
            <v>3778</v>
          </cell>
          <cell r="K728">
            <v>850</v>
          </cell>
          <cell r="L728">
            <v>4.4447058823529408</v>
          </cell>
          <cell r="M728" t="str">
            <v>Gramos</v>
          </cell>
        </row>
        <row r="729">
          <cell r="A729" t="str">
            <v>105000029</v>
          </cell>
          <cell r="B729" t="str">
            <v>10237</v>
          </cell>
          <cell r="C729" t="str">
            <v>CONSOME CONCEN. DE RES (UND:2 K)</v>
          </cell>
          <cell r="D729" t="str">
            <v>105000029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28/05/2020</v>
          </cell>
          <cell r="I729">
            <v>5988</v>
          </cell>
          <cell r="J729">
            <v>7324</v>
          </cell>
          <cell r="K729">
            <v>2000</v>
          </cell>
          <cell r="L729">
            <v>3.6619999999999999</v>
          </cell>
          <cell r="M729" t="str">
            <v>Gramos</v>
          </cell>
        </row>
        <row r="730">
          <cell r="A730" t="str">
            <v>105000046</v>
          </cell>
          <cell r="B730" t="str">
            <v>15114</v>
          </cell>
          <cell r="C730" t="str">
            <v>JENGIBRE MOLIDO (UND:354 G)</v>
          </cell>
          <cell r="D730" t="str">
            <v>105000046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07/05/2020</v>
          </cell>
          <cell r="I730">
            <v>6125</v>
          </cell>
          <cell r="J730">
            <v>2412</v>
          </cell>
          <cell r="K730">
            <v>354</v>
          </cell>
          <cell r="L730">
            <v>6.8135593220338979</v>
          </cell>
          <cell r="M730" t="str">
            <v>Gramos</v>
          </cell>
        </row>
        <row r="731">
          <cell r="A731" t="str">
            <v>105000047</v>
          </cell>
          <cell r="B731" t="str">
            <v>15115</v>
          </cell>
          <cell r="C731" t="str">
            <v>CLAVOS DE OLOR MOLIDO (UND:453G)</v>
          </cell>
          <cell r="D731" t="str">
            <v>105000047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10/12/2019</v>
          </cell>
          <cell r="I731" t="e">
            <v>#N/A</v>
          </cell>
          <cell r="J731">
            <v>0</v>
          </cell>
          <cell r="K731">
            <v>453</v>
          </cell>
          <cell r="L731">
            <v>0</v>
          </cell>
          <cell r="M731" t="str">
            <v>Gramos</v>
          </cell>
        </row>
        <row r="732">
          <cell r="A732" t="str">
            <v>105000048</v>
          </cell>
          <cell r="B732" t="str">
            <v>16318</v>
          </cell>
          <cell r="C732" t="str">
            <v>AJO EN POLVO BADIA (UND:1.8 K)</v>
          </cell>
          <cell r="D732" t="str">
            <v>105000048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 t="e">
            <v>#N/A</v>
          </cell>
          <cell r="J732">
            <v>0</v>
          </cell>
          <cell r="K732">
            <v>1800</v>
          </cell>
          <cell r="L732">
            <v>0</v>
          </cell>
          <cell r="M732"/>
        </row>
        <row r="733">
          <cell r="A733" t="str">
            <v>105000049</v>
          </cell>
          <cell r="B733" t="str">
            <v>16484</v>
          </cell>
          <cell r="C733" t="str">
            <v>PIMIENTA EN SOBRES (PAQ:1000 UND)</v>
          </cell>
          <cell r="D733" t="str">
            <v>105000049</v>
          </cell>
          <cell r="E733" t="str">
            <v>MATERIAS PRIMAS PLANTA</v>
          </cell>
          <cell r="F733" t="str">
            <v>1 PAQUETE</v>
          </cell>
          <cell r="G733">
            <v>500</v>
          </cell>
          <cell r="H733" t="str">
            <v>06/05/2020</v>
          </cell>
          <cell r="I733" t="e">
            <v>#N/A</v>
          </cell>
          <cell r="J733">
            <v>0</v>
          </cell>
          <cell r="K733">
            <v>1000</v>
          </cell>
          <cell r="L733">
            <v>0</v>
          </cell>
          <cell r="M733"/>
        </row>
        <row r="734">
          <cell r="A734" t="str">
            <v>105000050</v>
          </cell>
          <cell r="B734" t="str">
            <v>16486</v>
          </cell>
          <cell r="C734" t="str">
            <v>SAL EN SOBRES (PAQ:1000 UND)</v>
          </cell>
          <cell r="D734" t="str">
            <v>105000050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12/06/2020</v>
          </cell>
          <cell r="I734" t="e">
            <v>#N/A</v>
          </cell>
          <cell r="J734">
            <v>0</v>
          </cell>
          <cell r="K734">
            <v>1000</v>
          </cell>
          <cell r="L734">
            <v>0</v>
          </cell>
          <cell r="M734"/>
        </row>
        <row r="735">
          <cell r="A735" t="str">
            <v>106000001</v>
          </cell>
          <cell r="B735" t="str">
            <v>5415</v>
          </cell>
          <cell r="C735" t="str">
            <v>HIGOS EN ALMIBAR (UND:23 K)</v>
          </cell>
          <cell r="D735" t="str">
            <v>106000001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11/12/2019</v>
          </cell>
          <cell r="I735">
            <v>48300</v>
          </cell>
          <cell r="J735">
            <v>80000</v>
          </cell>
          <cell r="K735">
            <v>23000</v>
          </cell>
          <cell r="L735">
            <v>3.4782608695652173</v>
          </cell>
          <cell r="M735"/>
        </row>
        <row r="736">
          <cell r="A736" t="str">
            <v>106000007</v>
          </cell>
          <cell r="B736" t="str">
            <v>16293</v>
          </cell>
          <cell r="C736" t="str">
            <v>CHIVERRE CONSERVA (UND:25 K)</v>
          </cell>
          <cell r="D736" t="str">
            <v>106000007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12/03/2020</v>
          </cell>
          <cell r="I736">
            <v>55000</v>
          </cell>
          <cell r="J736">
            <v>0</v>
          </cell>
          <cell r="K736">
            <v>25000</v>
          </cell>
          <cell r="L736">
            <v>0</v>
          </cell>
          <cell r="M736"/>
        </row>
        <row r="737">
          <cell r="A737" t="str">
            <v>107000012</v>
          </cell>
          <cell r="B737" t="str">
            <v>8693</v>
          </cell>
          <cell r="C737" t="str">
            <v>CONFITILLO CORAZON MAVALERIO (PAQ:150G)</v>
          </cell>
          <cell r="D737" t="str">
            <v>107000012</v>
          </cell>
          <cell r="E737" t="str">
            <v>MATERIAS PRIMAS PLANTA</v>
          </cell>
          <cell r="F737" t="str">
            <v>1 PAQ</v>
          </cell>
          <cell r="G737">
            <v>500</v>
          </cell>
          <cell r="H737" t="str">
            <v>13/02/2020</v>
          </cell>
          <cell r="I737">
            <v>875.5</v>
          </cell>
          <cell r="J737">
            <v>0</v>
          </cell>
          <cell r="K737">
            <v>150</v>
          </cell>
          <cell r="L737">
            <v>0</v>
          </cell>
          <cell r="M737" t="str">
            <v>Gramos</v>
          </cell>
        </row>
        <row r="738">
          <cell r="A738" t="str">
            <v>109000106</v>
          </cell>
          <cell r="B738" t="str">
            <v>9364</v>
          </cell>
          <cell r="C738" t="str">
            <v>FRESAS CONGEL  BEGRO (PAQ: 1 K)</v>
          </cell>
          <cell r="D738" t="str">
            <v>109000106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12/06/2020</v>
          </cell>
          <cell r="I738">
            <v>1940</v>
          </cell>
          <cell r="J738">
            <v>0</v>
          </cell>
          <cell r="K738">
            <v>1000</v>
          </cell>
          <cell r="L738">
            <v>0</v>
          </cell>
          <cell r="M738"/>
        </row>
        <row r="739">
          <cell r="A739" t="str">
            <v>109000121</v>
          </cell>
          <cell r="B739" t="str">
            <v>15410</v>
          </cell>
          <cell r="C739" t="str">
            <v>TOMATE DESHIDRATADO SECO (UND: 800 G)</v>
          </cell>
          <cell r="D739" t="str">
            <v>109000121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14/01/2020</v>
          </cell>
          <cell r="I739" t="e">
            <v>#N/A</v>
          </cell>
          <cell r="J739">
            <v>0</v>
          </cell>
          <cell r="K739">
            <v>800</v>
          </cell>
          <cell r="L739">
            <v>0</v>
          </cell>
          <cell r="M739"/>
        </row>
        <row r="740">
          <cell r="A740" t="str">
            <v>109000122</v>
          </cell>
          <cell r="B740" t="str">
            <v>15868</v>
          </cell>
          <cell r="C740" t="str">
            <v>RELLENO PULPA DE PIÑA (KILO)</v>
          </cell>
          <cell r="D740" t="str">
            <v>109000122</v>
          </cell>
          <cell r="E740" t="str">
            <v>MATERIAS PRIMAS PLANTA</v>
          </cell>
          <cell r="F740" t="str">
            <v>1 KILOGramos</v>
          </cell>
          <cell r="G740">
            <v>500</v>
          </cell>
          <cell r="H740" t="str">
            <v>27/05/2020</v>
          </cell>
          <cell r="I740" t="e">
            <v>#N/A</v>
          </cell>
          <cell r="J740">
            <v>0</v>
          </cell>
          <cell r="K740">
            <v>1000</v>
          </cell>
          <cell r="L740">
            <v>0</v>
          </cell>
          <cell r="M740" t="str">
            <v>Gramos</v>
          </cell>
        </row>
        <row r="741">
          <cell r="A741" t="str">
            <v>109000123</v>
          </cell>
          <cell r="B741" t="str">
            <v>15869</v>
          </cell>
          <cell r="C741" t="str">
            <v>RELLENO PULPA DE GUANABANA (KILO)</v>
          </cell>
          <cell r="D741" t="str">
            <v>109000123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20/05/2020</v>
          </cell>
          <cell r="I741" t="e">
            <v>#N/A</v>
          </cell>
          <cell r="J741">
            <v>0</v>
          </cell>
          <cell r="K741">
            <v>1000</v>
          </cell>
          <cell r="L741">
            <v>0</v>
          </cell>
          <cell r="M741" t="str">
            <v>Gramos</v>
          </cell>
        </row>
        <row r="742">
          <cell r="A742" t="str">
            <v>109000124</v>
          </cell>
          <cell r="B742" t="str">
            <v>15927</v>
          </cell>
          <cell r="C742" t="str">
            <v>PITAHAYA INPAK (PAQ: 3 KILOS)</v>
          </cell>
          <cell r="D742" t="str">
            <v>109000124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30/01/2020</v>
          </cell>
          <cell r="I742" t="e">
            <v>#N/A</v>
          </cell>
          <cell r="J742">
            <v>0</v>
          </cell>
          <cell r="K742">
            <v>3000</v>
          </cell>
          <cell r="L742">
            <v>0</v>
          </cell>
          <cell r="M742"/>
        </row>
        <row r="743">
          <cell r="A743" t="str">
            <v>109000125</v>
          </cell>
          <cell r="B743" t="str">
            <v>15928</v>
          </cell>
          <cell r="C743" t="str">
            <v>MARACUYA ( PAQ: 3 KILOS)</v>
          </cell>
          <cell r="D743" t="str">
            <v>0159281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>
            <v>0</v>
          </cell>
          <cell r="K743">
            <v>3000</v>
          </cell>
          <cell r="L743">
            <v>0</v>
          </cell>
          <cell r="M743"/>
        </row>
        <row r="744">
          <cell r="A744" t="str">
            <v>109000127</v>
          </cell>
          <cell r="B744" t="str">
            <v>16666</v>
          </cell>
          <cell r="C744" t="str">
            <v>MELOCOTON EN CUBOS COUNTREE (UND:3 K)</v>
          </cell>
          <cell r="D744" t="str">
            <v>109000127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15/06/2020</v>
          </cell>
          <cell r="I744">
            <v>3338</v>
          </cell>
          <cell r="J744">
            <v>4269</v>
          </cell>
          <cell r="K744">
            <v>1800</v>
          </cell>
          <cell r="L744">
            <v>2.3716666666666666</v>
          </cell>
          <cell r="M744" t="str">
            <v>Gramos</v>
          </cell>
        </row>
        <row r="745">
          <cell r="A745" t="str">
            <v>111000002</v>
          </cell>
          <cell r="B745" t="str">
            <v>5522</v>
          </cell>
          <cell r="C745" t="str">
            <v xml:space="preserve">ACEITE DE SESAMO (UND:1656 ml) </v>
          </cell>
          <cell r="D745" t="str">
            <v>111000002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10/06/2020</v>
          </cell>
          <cell r="I745">
            <v>13178.8</v>
          </cell>
          <cell r="J745">
            <v>0</v>
          </cell>
          <cell r="K745">
            <v>1656</v>
          </cell>
          <cell r="L745">
            <v>0</v>
          </cell>
          <cell r="M745" t="str">
            <v>Gramos</v>
          </cell>
        </row>
        <row r="746">
          <cell r="A746" t="str">
            <v>112000004</v>
          </cell>
          <cell r="B746" t="str">
            <v>5537</v>
          </cell>
          <cell r="C746" t="str">
            <v>GALLETA OREO TROZOS (PAQ:1.13 K)</v>
          </cell>
          <cell r="D746" t="str">
            <v>112000004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12/05/2020</v>
          </cell>
          <cell r="I746" t="e">
            <v>#N/A</v>
          </cell>
          <cell r="J746">
            <v>0</v>
          </cell>
          <cell r="K746">
            <v>1130</v>
          </cell>
          <cell r="L746">
            <v>0</v>
          </cell>
          <cell r="M746"/>
        </row>
        <row r="747">
          <cell r="A747" t="str">
            <v>112000009</v>
          </cell>
          <cell r="B747" t="str">
            <v>5542</v>
          </cell>
          <cell r="C747" t="str">
            <v>MASECA GRANEL (SACO:20 K)</v>
          </cell>
          <cell r="D747" t="str">
            <v>112000009</v>
          </cell>
          <cell r="E747" t="str">
            <v>MATERIAS PRIMAS PLANTA</v>
          </cell>
          <cell r="F747" t="str">
            <v xml:space="preserve">1 SACO </v>
          </cell>
          <cell r="G747">
            <v>500</v>
          </cell>
          <cell r="H747" t="str">
            <v>15/01/2020</v>
          </cell>
          <cell r="I747">
            <v>30890</v>
          </cell>
          <cell r="J747">
            <v>12896.4</v>
          </cell>
          <cell r="K747">
            <v>20000</v>
          </cell>
          <cell r="L747">
            <v>0.64481999999999995</v>
          </cell>
          <cell r="M747" t="str">
            <v>Gramos</v>
          </cell>
        </row>
        <row r="748">
          <cell r="A748" t="str">
            <v>112000047</v>
          </cell>
          <cell r="B748" t="str">
            <v>7074</v>
          </cell>
          <cell r="C748" t="str">
            <v>EMPANIZADOR PANKO (PAQ: 3 K)</v>
          </cell>
          <cell r="D748" t="str">
            <v>112000047</v>
          </cell>
          <cell r="E748" t="str">
            <v>MATERIAS PRIMAS PLANTA</v>
          </cell>
          <cell r="F748" t="str">
            <v>1 PAQUETE</v>
          </cell>
          <cell r="G748">
            <v>500</v>
          </cell>
          <cell r="H748" t="str">
            <v>28/02/2020</v>
          </cell>
          <cell r="I748">
            <v>15946.32</v>
          </cell>
          <cell r="J748">
            <v>16260.3</v>
          </cell>
          <cell r="K748">
            <v>3000</v>
          </cell>
          <cell r="L748">
            <v>5.4200999999999997</v>
          </cell>
          <cell r="M748"/>
        </row>
        <row r="749">
          <cell r="A749" t="str">
            <v>112000061</v>
          </cell>
          <cell r="B749" t="str">
            <v>14101</v>
          </cell>
          <cell r="C749" t="str">
            <v>PAN MUFFIN 70G (PAQ:6 UND)</v>
          </cell>
          <cell r="D749" t="str">
            <v>112000061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15/06/2020</v>
          </cell>
          <cell r="I749">
            <v>1140</v>
          </cell>
          <cell r="J749">
            <v>1060.5</v>
          </cell>
          <cell r="K749">
            <v>6</v>
          </cell>
          <cell r="L749">
            <v>176.75</v>
          </cell>
          <cell r="M749"/>
        </row>
        <row r="750">
          <cell r="A750" t="str">
            <v>112000065</v>
          </cell>
          <cell r="B750" t="str">
            <v>15821</v>
          </cell>
          <cell r="C750" t="str">
            <v>PANINI PARRILADA 8" (PAQ:10 UND)</v>
          </cell>
          <cell r="D750" t="str">
            <v>112000065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13/01/2020</v>
          </cell>
          <cell r="I750" t="e">
            <v>#N/A</v>
          </cell>
          <cell r="J750">
            <v>0</v>
          </cell>
          <cell r="K750">
            <v>10</v>
          </cell>
          <cell r="L750">
            <v>0</v>
          </cell>
          <cell r="M750"/>
        </row>
        <row r="751">
          <cell r="A751" t="str">
            <v>114000002</v>
          </cell>
          <cell r="B751" t="str">
            <v>5584</v>
          </cell>
          <cell r="C751" t="str">
            <v>LECHE HOMOGENIZ TB 3.5%  (CAJA:12 UND)</v>
          </cell>
          <cell r="D751" t="str">
            <v>0310108</v>
          </cell>
          <cell r="E751" t="str">
            <v>MATERIAS PRIMAS PLANTA</v>
          </cell>
          <cell r="F751" t="str">
            <v>1 CAJA</v>
          </cell>
          <cell r="G751">
            <v>500</v>
          </cell>
          <cell r="H751" t="str">
            <v>08/06/2020</v>
          </cell>
          <cell r="I751">
            <v>7867</v>
          </cell>
          <cell r="J751">
            <v>9062</v>
          </cell>
          <cell r="K751">
            <v>12000</v>
          </cell>
          <cell r="L751">
            <v>0.75516666666666665</v>
          </cell>
          <cell r="M751" t="str">
            <v>Mililitros</v>
          </cell>
        </row>
        <row r="752">
          <cell r="A752" t="str">
            <v>114000017</v>
          </cell>
          <cell r="B752" t="str">
            <v>5599</v>
          </cell>
          <cell r="C752" t="str">
            <v>BETTERCREAM CHOCOLATE (UND:4 Kg)</v>
          </cell>
          <cell r="D752" t="str">
            <v>114000017</v>
          </cell>
          <cell r="E752" t="str">
            <v>MATERIAS PRIMAS PLANTA</v>
          </cell>
          <cell r="F752" t="str">
            <v>1 UND</v>
          </cell>
          <cell r="G752">
            <v>500</v>
          </cell>
          <cell r="H752" t="str">
            <v>12/06/2020</v>
          </cell>
          <cell r="I752">
            <v>8906</v>
          </cell>
          <cell r="J752">
            <v>11309</v>
          </cell>
          <cell r="K752">
            <v>4000</v>
          </cell>
          <cell r="L752">
            <v>2.8272499999999998</v>
          </cell>
          <cell r="M752" t="str">
            <v>Gramos</v>
          </cell>
        </row>
        <row r="753">
          <cell r="A753" t="str">
            <v>116000009</v>
          </cell>
          <cell r="B753" t="str">
            <v>9534</v>
          </cell>
          <cell r="C753" t="str">
            <v>PRESERVANTE OPTIFORM PD4 (UND:25K)</v>
          </cell>
          <cell r="D753" t="str">
            <v>116000009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05/06/2020</v>
          </cell>
          <cell r="I753">
            <v>49853</v>
          </cell>
          <cell r="J753">
            <v>80</v>
          </cell>
          <cell r="K753">
            <v>25000</v>
          </cell>
          <cell r="L753">
            <v>3.2000000000000002E-3</v>
          </cell>
          <cell r="M753" t="str">
            <v>Gramos</v>
          </cell>
        </row>
        <row r="754">
          <cell r="A754" t="str">
            <v>118000004</v>
          </cell>
          <cell r="B754" t="str">
            <v>5655</v>
          </cell>
          <cell r="C754" t="str">
            <v>VAINILLA OSCURA (UND: 3.78 L)</v>
          </cell>
          <cell r="D754" t="str">
            <v>118000004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03/06/2020</v>
          </cell>
          <cell r="I754">
            <v>3900</v>
          </cell>
          <cell r="J754">
            <v>4648</v>
          </cell>
          <cell r="K754">
            <v>3780</v>
          </cell>
          <cell r="L754">
            <v>1.2296296296296296</v>
          </cell>
          <cell r="M754" t="str">
            <v>Mililitros</v>
          </cell>
        </row>
        <row r="755">
          <cell r="A755" t="str">
            <v>118000007</v>
          </cell>
          <cell r="B755" t="str">
            <v>7062</v>
          </cell>
          <cell r="C755" t="str">
            <v>SABORIZANTE MELO (KILO)</v>
          </cell>
          <cell r="D755" t="str">
            <v>118000007</v>
          </cell>
          <cell r="E755" t="str">
            <v>MATERIAS PRIMAS PLANTA</v>
          </cell>
          <cell r="F755" t="str">
            <v xml:space="preserve">1 KILO </v>
          </cell>
          <cell r="G755">
            <v>500</v>
          </cell>
          <cell r="H755" t="str">
            <v>07/02/2020</v>
          </cell>
          <cell r="I755">
            <v>7795</v>
          </cell>
          <cell r="J755">
            <v>9658.64</v>
          </cell>
          <cell r="K755">
            <v>1000</v>
          </cell>
          <cell r="L755">
            <v>9.6586400000000001</v>
          </cell>
          <cell r="M755" t="str">
            <v>Gramos</v>
          </cell>
        </row>
        <row r="756">
          <cell r="A756" t="str">
            <v>118000014</v>
          </cell>
          <cell r="B756" t="str">
            <v>9606</v>
          </cell>
          <cell r="C756" t="str">
            <v>SABORIZANTE MENTA (KILO)</v>
          </cell>
          <cell r="D756" t="str">
            <v>118000014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20470.53</v>
          </cell>
          <cell r="J756">
            <v>0</v>
          </cell>
          <cell r="K756">
            <v>1000</v>
          </cell>
          <cell r="L756">
            <v>0</v>
          </cell>
          <cell r="M756" t="str">
            <v>Gramos</v>
          </cell>
        </row>
        <row r="757">
          <cell r="A757" t="str">
            <v>118000017</v>
          </cell>
          <cell r="B757" t="str">
            <v>16320</v>
          </cell>
          <cell r="C757" t="str">
            <v>SABORIZANTE RON (UND)</v>
          </cell>
          <cell r="D757" t="str">
            <v>118000017</v>
          </cell>
          <cell r="E757" t="str">
            <v>MATERIAS PRIMAS PLANTA</v>
          </cell>
          <cell r="F757" t="str">
            <v>1 UNIDAD</v>
          </cell>
          <cell r="G757">
            <v>500</v>
          </cell>
          <cell r="H757" t="str">
            <v>29/05/2020</v>
          </cell>
          <cell r="I757">
            <v>8372.98</v>
          </cell>
          <cell r="J757">
            <v>0</v>
          </cell>
          <cell r="K757"/>
          <cell r="L757" t="e">
            <v>#DIV/0!</v>
          </cell>
          <cell r="M757"/>
        </row>
        <row r="758">
          <cell r="A758" t="str">
            <v>119000012</v>
          </cell>
          <cell r="B758" t="str">
            <v>5668</v>
          </cell>
          <cell r="C758" t="str">
            <v>MACADAMIA ENTERA (PAQ=1 KILO)</v>
          </cell>
          <cell r="D758" t="str">
            <v>119000012</v>
          </cell>
          <cell r="E758" t="str">
            <v>MATERIAS PRIMAS PLANTA</v>
          </cell>
          <cell r="F758" t="str">
            <v>1 PAQUETE</v>
          </cell>
          <cell r="G758">
            <v>500</v>
          </cell>
          <cell r="H758" t="str">
            <v>15/06/2020</v>
          </cell>
          <cell r="I758" t="e">
            <v>#N/A</v>
          </cell>
          <cell r="J758">
            <v>0</v>
          </cell>
          <cell r="K758">
            <v>1000</v>
          </cell>
          <cell r="L758">
            <v>0</v>
          </cell>
          <cell r="M758"/>
        </row>
        <row r="759">
          <cell r="A759" t="str">
            <v>119000026</v>
          </cell>
          <cell r="B759" t="str">
            <v>14850</v>
          </cell>
          <cell r="C759" t="str">
            <v>SEMILLA DE AMAPOLA (UND: 566 G)</v>
          </cell>
          <cell r="D759" t="str">
            <v>119000026</v>
          </cell>
          <cell r="E759" t="str">
            <v>MATERIAS PRIMAS PLANTA</v>
          </cell>
          <cell r="F759" t="str">
            <v>1 Uds.</v>
          </cell>
          <cell r="G759">
            <v>500</v>
          </cell>
          <cell r="H759" t="str">
            <v>15/06/2020</v>
          </cell>
          <cell r="I759">
            <v>5188</v>
          </cell>
          <cell r="J759">
            <v>5878</v>
          </cell>
          <cell r="K759">
            <v>566</v>
          </cell>
          <cell r="L759">
            <v>10.385159010600706</v>
          </cell>
          <cell r="M759" t="str">
            <v>Gramos</v>
          </cell>
        </row>
        <row r="760">
          <cell r="A760" t="str">
            <v>120000012</v>
          </cell>
          <cell r="B760" t="str">
            <v>10290</v>
          </cell>
          <cell r="C760" t="str">
            <v>ARO CHOCOLATE BLANCO (CAJA:150 UND)</v>
          </cell>
          <cell r="D760" t="str">
            <v>120000012</v>
          </cell>
          <cell r="E760" t="str">
            <v>MATERIAS PRIMAS PLANTA</v>
          </cell>
          <cell r="F760" t="str">
            <v>1 CAJA</v>
          </cell>
          <cell r="G760">
            <v>500</v>
          </cell>
          <cell r="H760" t="str">
            <v>03/12/2019</v>
          </cell>
          <cell r="I760" t="e">
            <v>#N/A</v>
          </cell>
          <cell r="J760">
            <v>0</v>
          </cell>
          <cell r="K760">
            <v>150</v>
          </cell>
          <cell r="L760">
            <v>0</v>
          </cell>
          <cell r="M760"/>
        </row>
        <row r="761">
          <cell r="A761" t="str">
            <v>120000017</v>
          </cell>
          <cell r="B761" t="str">
            <v>14824</v>
          </cell>
          <cell r="C761" t="str">
            <v>GALLETA DE CHOCOLATE (PAQ:3 UND)</v>
          </cell>
          <cell r="D761" t="str">
            <v>120000017</v>
          </cell>
          <cell r="E761" t="str">
            <v>MATERIAS PRIMAS PLANTA</v>
          </cell>
          <cell r="F761" t="str">
            <v>1 PAQ</v>
          </cell>
          <cell r="G761">
            <v>500</v>
          </cell>
          <cell r="H761" t="str">
            <v>13/05/2020</v>
          </cell>
          <cell r="I761" t="e">
            <v>#N/A</v>
          </cell>
          <cell r="J761">
            <v>0</v>
          </cell>
          <cell r="K761"/>
          <cell r="L761" t="e">
            <v>#DIV/0!</v>
          </cell>
          <cell r="M761"/>
        </row>
        <row r="762">
          <cell r="A762" t="str">
            <v>120000018</v>
          </cell>
          <cell r="B762" t="str">
            <v>14825</v>
          </cell>
          <cell r="C762" t="str">
            <v>GALLETA DE CRAMBERRY (PAQ:5 UND)</v>
          </cell>
          <cell r="D762" t="str">
            <v>120000018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>
            <v>0</v>
          </cell>
          <cell r="K762"/>
          <cell r="L762" t="e">
            <v>#DIV/0!</v>
          </cell>
          <cell r="M762"/>
        </row>
        <row r="763">
          <cell r="A763" t="str">
            <v>120000019</v>
          </cell>
          <cell r="B763" t="str">
            <v>14826</v>
          </cell>
          <cell r="C763" t="str">
            <v>GALLETA DE CANELA (PAQ:4 UND)</v>
          </cell>
          <cell r="D763" t="str">
            <v>120000019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05/06/2020</v>
          </cell>
          <cell r="I763" t="e">
            <v>#N/A</v>
          </cell>
          <cell r="J763">
            <v>0</v>
          </cell>
          <cell r="K763"/>
          <cell r="L763" t="e">
            <v>#DIV/0!</v>
          </cell>
          <cell r="M763"/>
        </row>
        <row r="764">
          <cell r="A764" t="str">
            <v>120000022</v>
          </cell>
          <cell r="B764" t="str">
            <v>15912</v>
          </cell>
          <cell r="C764" t="str">
            <v>GALLETA OREO ( PAQ: 126 G)</v>
          </cell>
          <cell r="D764" t="str">
            <v>120000022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21/05/2020</v>
          </cell>
          <cell r="I764" t="e">
            <v>#N/A</v>
          </cell>
          <cell r="J764">
            <v>0</v>
          </cell>
          <cell r="K764">
            <v>126</v>
          </cell>
          <cell r="L764">
            <v>0</v>
          </cell>
          <cell r="M764"/>
        </row>
        <row r="765">
          <cell r="A765" t="str">
            <v>120000023</v>
          </cell>
          <cell r="B765" t="str">
            <v>16424</v>
          </cell>
          <cell r="C765" t="str">
            <v>HELADO VAINILLA CARAMELO 1/4 GALON</v>
          </cell>
          <cell r="D765" t="str">
            <v>120000023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16/04/2020</v>
          </cell>
          <cell r="I765" t="e">
            <v>#N/A</v>
          </cell>
          <cell r="J765">
            <v>0</v>
          </cell>
          <cell r="K765"/>
          <cell r="L765" t="e">
            <v>#DIV/0!</v>
          </cell>
          <cell r="M765"/>
        </row>
        <row r="766">
          <cell r="A766" t="str">
            <v>203000096</v>
          </cell>
          <cell r="B766" t="str">
            <v>12763</v>
          </cell>
          <cell r="C766" t="str">
            <v>TARJETA CARTULINA CUCHARA BELGA</v>
          </cell>
          <cell r="D766" t="str">
            <v>203000096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03/02/2020</v>
          </cell>
          <cell r="I766" t="e">
            <v>#N/A</v>
          </cell>
          <cell r="J766">
            <v>0</v>
          </cell>
          <cell r="K766"/>
          <cell r="L766" t="e">
            <v>#DIV/0!</v>
          </cell>
          <cell r="M766"/>
        </row>
        <row r="767">
          <cell r="A767" t="str">
            <v>207000001</v>
          </cell>
          <cell r="B767" t="str">
            <v>11323</v>
          </cell>
          <cell r="C767" t="str">
            <v>BATIDO DE PIÑA,PEPINO Y ALBAHACA (UND)</v>
          </cell>
          <cell r="D767" t="str">
            <v>207000001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05/06/2020</v>
          </cell>
          <cell r="I767">
            <v>515</v>
          </cell>
          <cell r="J767">
            <v>0</v>
          </cell>
          <cell r="K767"/>
          <cell r="L767" t="e">
            <v>#DIV/0!</v>
          </cell>
          <cell r="M767"/>
        </row>
        <row r="768">
          <cell r="A768" t="str">
            <v>207000002</v>
          </cell>
          <cell r="B768" t="str">
            <v>11324</v>
          </cell>
          <cell r="C768" t="str">
            <v>BATIDO DE MORA Y JENJIBRE (UND)</v>
          </cell>
          <cell r="D768" t="str">
            <v>207000002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>
            <v>0</v>
          </cell>
          <cell r="K768"/>
          <cell r="L768" t="e">
            <v>#DIV/0!</v>
          </cell>
          <cell r="M768"/>
        </row>
        <row r="769">
          <cell r="A769" t="str">
            <v>207000003</v>
          </cell>
          <cell r="B769" t="str">
            <v>11325</v>
          </cell>
          <cell r="C769" t="str">
            <v>BATIDO MANGO, NARANJA Y MARACUYA (UND)</v>
          </cell>
          <cell r="D769" t="str">
            <v>207000003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13/06/2020</v>
          </cell>
          <cell r="I769">
            <v>515</v>
          </cell>
          <cell r="J769">
            <v>0</v>
          </cell>
          <cell r="K769"/>
          <cell r="L769" t="e">
            <v>#DIV/0!</v>
          </cell>
          <cell r="M769"/>
        </row>
        <row r="770">
          <cell r="A770" t="str">
            <v>401000002</v>
          </cell>
          <cell r="B770" t="str">
            <v>5679</v>
          </cell>
          <cell r="C770" t="str">
            <v>BOLSA TRANSPARENTE 6X6X4 KILO</v>
          </cell>
          <cell r="D770" t="str">
            <v>401000002</v>
          </cell>
          <cell r="E770" t="str">
            <v>EMPAQUES PLANTA</v>
          </cell>
          <cell r="F770" t="str">
            <v>1 KILO</v>
          </cell>
          <cell r="G770">
            <v>500</v>
          </cell>
          <cell r="H770" t="str">
            <v>04/05/2020</v>
          </cell>
          <cell r="I770">
            <v>1400</v>
          </cell>
          <cell r="J770">
            <v>2000</v>
          </cell>
          <cell r="K770">
            <v>430</v>
          </cell>
          <cell r="L770">
            <v>4.6511627906976747</v>
          </cell>
          <cell r="M770" t="str">
            <v>Und</v>
          </cell>
        </row>
        <row r="771">
          <cell r="A771" t="str">
            <v>401000003</v>
          </cell>
          <cell r="B771" t="str">
            <v>5680</v>
          </cell>
          <cell r="C771" t="str">
            <v>BOLSA TRANSPARENTE 6X8X4 KILO</v>
          </cell>
          <cell r="D771" t="str">
            <v>401000003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23/03/2020</v>
          </cell>
          <cell r="I771">
            <v>1400</v>
          </cell>
          <cell r="J771">
            <v>2000</v>
          </cell>
          <cell r="K771">
            <v>340</v>
          </cell>
          <cell r="L771">
            <v>5.882352941176471</v>
          </cell>
          <cell r="M771" t="str">
            <v>Und</v>
          </cell>
        </row>
        <row r="772">
          <cell r="A772" t="str">
            <v>401000004</v>
          </cell>
          <cell r="B772" t="str">
            <v>5681</v>
          </cell>
          <cell r="C772" t="str">
            <v>BOLSA TRANSPARENTE 7X9X4 KILO</v>
          </cell>
          <cell r="D772" t="str">
            <v>401000004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27/01/2020</v>
          </cell>
          <cell r="I772">
            <v>1400</v>
          </cell>
          <cell r="J772">
            <v>0</v>
          </cell>
          <cell r="K772">
            <v>250</v>
          </cell>
          <cell r="L772">
            <v>0</v>
          </cell>
          <cell r="M772" t="str">
            <v>Und</v>
          </cell>
        </row>
        <row r="773">
          <cell r="A773" t="str">
            <v>401000005</v>
          </cell>
          <cell r="B773" t="str">
            <v>5682</v>
          </cell>
          <cell r="C773" t="str">
            <v>BOLSA TRANSPARENTE 8X10X4 KILO</v>
          </cell>
          <cell r="D773" t="str">
            <v>401000005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07/02/2020</v>
          </cell>
          <cell r="I773">
            <v>1400</v>
          </cell>
          <cell r="J773">
            <v>0</v>
          </cell>
          <cell r="K773">
            <v>196</v>
          </cell>
          <cell r="L773">
            <v>0</v>
          </cell>
          <cell r="M773" t="str">
            <v>Und</v>
          </cell>
        </row>
        <row r="774">
          <cell r="A774" t="str">
            <v>401000006</v>
          </cell>
          <cell r="B774" t="str">
            <v>5683</v>
          </cell>
          <cell r="C774" t="str">
            <v>BOLSA TRANSPARENTE 10X12X4 KILO</v>
          </cell>
          <cell r="D774" t="str">
            <v>401000006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27/01/2020</v>
          </cell>
          <cell r="I774">
            <v>1400</v>
          </cell>
          <cell r="J774">
            <v>0</v>
          </cell>
          <cell r="K774">
            <v>126</v>
          </cell>
          <cell r="L774">
            <v>0</v>
          </cell>
          <cell r="M774" t="str">
            <v>Und</v>
          </cell>
        </row>
        <row r="775">
          <cell r="A775" t="str">
            <v>503000036</v>
          </cell>
          <cell r="B775" t="str">
            <v>14741</v>
          </cell>
          <cell r="C775" t="str">
            <v>BICARBONATO DE SODIO (PAQ:2.5 K)</v>
          </cell>
          <cell r="D775" t="str">
            <v>503000036</v>
          </cell>
          <cell r="E775" t="str">
            <v>MATERIAS PRIMAS PLANTA</v>
          </cell>
          <cell r="F775" t="str">
            <v>1 PAQUETE</v>
          </cell>
          <cell r="G775">
            <v>500</v>
          </cell>
          <cell r="H775" t="str">
            <v>21/03/2020</v>
          </cell>
          <cell r="I775">
            <v>1766.45</v>
          </cell>
          <cell r="J775">
            <v>0</v>
          </cell>
          <cell r="K775">
            <v>2500</v>
          </cell>
          <cell r="L775">
            <v>0</v>
          </cell>
          <cell r="M775" t="str">
            <v>Gramos</v>
          </cell>
        </row>
        <row r="776">
          <cell r="A776" t="str">
            <v>510000013</v>
          </cell>
          <cell r="B776" t="str">
            <v>8045</v>
          </cell>
          <cell r="C776" t="str">
            <v>ORLA 13" C163 (UND)</v>
          </cell>
          <cell r="D776" t="str">
            <v>510000013</v>
          </cell>
          <cell r="E776" t="str">
            <v>EMPAQUES PLANTA</v>
          </cell>
          <cell r="F776" t="str">
            <v>1 UND</v>
          </cell>
          <cell r="G776">
            <v>500</v>
          </cell>
          <cell r="H776" t="str">
            <v>17/03/2020</v>
          </cell>
          <cell r="I776">
            <v>230</v>
          </cell>
          <cell r="J776">
            <v>0</v>
          </cell>
          <cell r="K776">
            <v>1</v>
          </cell>
          <cell r="L776">
            <v>0</v>
          </cell>
          <cell r="M776" t="str">
            <v>Und</v>
          </cell>
        </row>
        <row r="777">
          <cell r="A777" t="str">
            <v>510000014</v>
          </cell>
          <cell r="B777" t="str">
            <v>15367</v>
          </cell>
          <cell r="C777" t="str">
            <v>BASE CARTON ALUMINIO REDONDA # 12 (UND)</v>
          </cell>
          <cell r="D777" t="str">
            <v>510000014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28/01/2020</v>
          </cell>
          <cell r="I777" t="e">
            <v>#N/A</v>
          </cell>
          <cell r="J777">
            <v>0</v>
          </cell>
          <cell r="K777">
            <v>1</v>
          </cell>
          <cell r="L777">
            <v>0</v>
          </cell>
          <cell r="M777"/>
        </row>
        <row r="778">
          <cell r="A778" t="str">
            <v>510000015</v>
          </cell>
          <cell r="B778" t="str">
            <v>15384</v>
          </cell>
          <cell r="C778" t="str">
            <v>BASE RECTAGULAR GRANDE (UND)</v>
          </cell>
          <cell r="D778" t="str">
            <v>510000015</v>
          </cell>
          <cell r="E778" t="str">
            <v>EMPAQUES PLANTA</v>
          </cell>
          <cell r="F778" t="str">
            <v xml:space="preserve">1 UND </v>
          </cell>
          <cell r="G778">
            <v>500</v>
          </cell>
          <cell r="H778" t="str">
            <v>28/01/2020</v>
          </cell>
          <cell r="I778" t="e">
            <v>#N/A</v>
          </cell>
          <cell r="J778">
            <v>0</v>
          </cell>
          <cell r="K778">
            <v>1</v>
          </cell>
          <cell r="L778">
            <v>0</v>
          </cell>
          <cell r="M778"/>
        </row>
        <row r="779">
          <cell r="A779" t="str">
            <v>510000016</v>
          </cell>
          <cell r="B779" t="str">
            <v>15385</v>
          </cell>
          <cell r="C779" t="str">
            <v>CARTON RECTA PEQ 1/2 QUEQUE CRISTAL(UND)</v>
          </cell>
          <cell r="D779" t="str">
            <v>510000016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28/01/2020</v>
          </cell>
          <cell r="I779">
            <v>180</v>
          </cell>
          <cell r="J779">
            <v>0</v>
          </cell>
          <cell r="K779"/>
          <cell r="L779" t="e">
            <v>#DIV/0!</v>
          </cell>
          <cell r="M779"/>
        </row>
        <row r="780">
          <cell r="A780" t="str">
            <v>512000001</v>
          </cell>
          <cell r="B780" t="str">
            <v>5845</v>
          </cell>
          <cell r="C780" t="str">
            <v>PLASTICO P PALETIZAR 18X1500</v>
          </cell>
          <cell r="D780" t="str">
            <v>512000001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12/06/2020</v>
          </cell>
          <cell r="I780">
            <v>4800</v>
          </cell>
          <cell r="J780">
            <v>6900</v>
          </cell>
          <cell r="K780">
            <v>15000</v>
          </cell>
          <cell r="L780">
            <v>0.46</v>
          </cell>
          <cell r="M780" t="str">
            <v>Centimetros</v>
          </cell>
        </row>
        <row r="781">
          <cell r="A781" t="str">
            <v>512000002</v>
          </cell>
          <cell r="B781" t="str">
            <v>5846</v>
          </cell>
          <cell r="C781" t="str">
            <v>PLASTICO  AUTOAD (UND: 18 * 2000 M)</v>
          </cell>
          <cell r="D781" t="str">
            <v>51200002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11857</v>
          </cell>
          <cell r="J781">
            <v>16042</v>
          </cell>
          <cell r="K781">
            <v>20000</v>
          </cell>
          <cell r="L781">
            <v>0.80210000000000004</v>
          </cell>
          <cell r="M781" t="str">
            <v>Centimetros</v>
          </cell>
        </row>
        <row r="782">
          <cell r="A782" t="str">
            <v>515000012</v>
          </cell>
          <cell r="B782" t="str">
            <v>5874</v>
          </cell>
          <cell r="C782" t="str">
            <v>VASO CARTON NESCAFE 8OZ (PAQ:50 UND)</v>
          </cell>
          <cell r="D782" t="str">
            <v>515000012</v>
          </cell>
          <cell r="E782" t="str">
            <v>EMPAQUES PLANTA</v>
          </cell>
          <cell r="F782" t="str">
            <v>1 PAQUETE</v>
          </cell>
          <cell r="G782">
            <v>500</v>
          </cell>
          <cell r="H782" t="str">
            <v>22/02/2020</v>
          </cell>
          <cell r="I782" t="e">
            <v>#N/A</v>
          </cell>
          <cell r="J782">
            <v>0</v>
          </cell>
          <cell r="K782">
            <v>50</v>
          </cell>
          <cell r="L782">
            <v>0</v>
          </cell>
          <cell r="M782"/>
        </row>
        <row r="783">
          <cell r="A783" t="str">
            <v>516000002</v>
          </cell>
          <cell r="B783" t="str">
            <v>8074</v>
          </cell>
          <cell r="C783" t="str">
            <v>LAMINA ACETATO (UND)</v>
          </cell>
          <cell r="D783" t="str">
            <v>516000002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26/12/2019</v>
          </cell>
          <cell r="I783">
            <v>100</v>
          </cell>
          <cell r="J783">
            <v>0</v>
          </cell>
          <cell r="K783">
            <v>1</v>
          </cell>
          <cell r="L783">
            <v>0</v>
          </cell>
          <cell r="M783"/>
        </row>
        <row r="784">
          <cell r="A784" t="str">
            <v>906000010</v>
          </cell>
          <cell r="B784" t="str">
            <v>11228</v>
          </cell>
          <cell r="C784" t="str">
            <v>PREMEZCLA CHOCOMIX (SACO:25k)</v>
          </cell>
          <cell r="D784" t="str">
            <v>906000010</v>
          </cell>
          <cell r="E784" t="str">
            <v>MATERIAS PRIMAS PLANTA</v>
          </cell>
          <cell r="F784" t="str">
            <v>1 SACO</v>
          </cell>
          <cell r="G784">
            <v>500</v>
          </cell>
          <cell r="H784" t="str">
            <v>13/06/2020</v>
          </cell>
          <cell r="I784">
            <v>35505</v>
          </cell>
          <cell r="J784">
            <v>40623</v>
          </cell>
          <cell r="K784">
            <v>25000</v>
          </cell>
          <cell r="L784">
            <v>1.6249199999999999</v>
          </cell>
          <cell r="M784" t="str">
            <v>Gramos</v>
          </cell>
        </row>
        <row r="785">
          <cell r="A785" t="str">
            <v>403000007</v>
          </cell>
          <cell r="B785" t="str">
            <v>5717</v>
          </cell>
          <cell r="C785" t="str">
            <v>GUANTE LATEX CORRIENTE (CAJA:100 UND)</v>
          </cell>
          <cell r="D785"/>
          <cell r="E785" t="str">
            <v>ASEO</v>
          </cell>
          <cell r="F785" t="str">
            <v>1 CAJA</v>
          </cell>
          <cell r="G785">
            <v>500</v>
          </cell>
          <cell r="H785"/>
          <cell r="I785">
            <v>4295</v>
          </cell>
          <cell r="J785">
            <v>2975</v>
          </cell>
          <cell r="K785">
            <v>100</v>
          </cell>
          <cell r="L785">
            <v>29.75</v>
          </cell>
          <cell r="M785" t="str">
            <v>Und</v>
          </cell>
        </row>
        <row r="786">
          <cell r="A786" t="str">
            <v>10415</v>
          </cell>
          <cell r="B786" t="str">
            <v/>
          </cell>
          <cell r="C786" t="str">
            <v>AGUA PLANTA</v>
          </cell>
          <cell r="D786"/>
          <cell r="E786" t="str">
            <v>MATERIAS PRIMAS PLANTA</v>
          </cell>
          <cell r="F786" t="str">
            <v>LITRO</v>
          </cell>
          <cell r="G786"/>
          <cell r="H786"/>
          <cell r="I786">
            <v>100</v>
          </cell>
          <cell r="J786">
            <v>0</v>
          </cell>
          <cell r="K786">
            <v>1000</v>
          </cell>
          <cell r="L786">
            <v>0.1</v>
          </cell>
          <cell r="M786" t="str">
            <v>Mililitros</v>
          </cell>
        </row>
        <row r="787">
          <cell r="A787" t="str">
            <v>10416</v>
          </cell>
          <cell r="B787" t="str">
            <v/>
          </cell>
          <cell r="C787" t="str">
            <v>MANO OBRA</v>
          </cell>
          <cell r="D787"/>
          <cell r="E787" t="str">
            <v>MANO OBRA</v>
          </cell>
          <cell r="F787" t="str">
            <v>Minuto</v>
          </cell>
          <cell r="G787"/>
          <cell r="H787"/>
          <cell r="I787">
            <v>56</v>
          </cell>
          <cell r="J787">
            <v>0</v>
          </cell>
          <cell r="K787">
            <v>1</v>
          </cell>
          <cell r="L787">
            <v>0</v>
          </cell>
          <cell r="M787" t="str">
            <v>Minutos</v>
          </cell>
        </row>
        <row r="788">
          <cell r="A788" t="str">
            <v>1210415</v>
          </cell>
          <cell r="B788" t="str">
            <v>11830</v>
          </cell>
          <cell r="C788" t="str">
            <v>PABILO ROJO</v>
          </cell>
          <cell r="D788"/>
          <cell r="E788" t="str">
            <v>EMPAQUES PLANTA</v>
          </cell>
          <cell r="F788" t="str">
            <v>UND</v>
          </cell>
          <cell r="G788"/>
          <cell r="H788"/>
          <cell r="I788">
            <v>8990</v>
          </cell>
          <cell r="J788">
            <v>0</v>
          </cell>
          <cell r="K788">
            <v>14000</v>
          </cell>
          <cell r="L788">
            <v>0</v>
          </cell>
          <cell r="M788" t="str">
            <v>Centimetros</v>
          </cell>
        </row>
        <row r="789">
          <cell r="A789" t="str">
            <v>18406411</v>
          </cell>
          <cell r="B789" t="str">
            <v/>
          </cell>
          <cell r="C789" t="str">
            <v>CLORO 5% MFS (UND:GL)</v>
          </cell>
          <cell r="D789"/>
          <cell r="E789" t="str">
            <v>MATERIAS PRIMAS PLANTA</v>
          </cell>
          <cell r="F789"/>
          <cell r="G789"/>
          <cell r="H789"/>
          <cell r="I789" t="e">
            <v>#N/A</v>
          </cell>
          <cell r="J789">
            <v>1921</v>
          </cell>
          <cell r="K789">
            <v>3785</v>
          </cell>
          <cell r="L789">
            <v>0.50752972258916773</v>
          </cell>
          <cell r="M789" t="str">
            <v>Mililitros</v>
          </cell>
        </row>
        <row r="790">
          <cell r="A790" t="str">
            <v>1010339</v>
          </cell>
          <cell r="B790" t="str">
            <v/>
          </cell>
          <cell r="C790" t="str">
            <v xml:space="preserve">TRIPLE SEC </v>
          </cell>
          <cell r="D790"/>
          <cell r="E790" t="str">
            <v>MATERIAS PRIMAS PLANTA</v>
          </cell>
          <cell r="F790" t="str">
            <v>UND</v>
          </cell>
          <cell r="G790"/>
          <cell r="H790"/>
          <cell r="I790">
            <v>5600</v>
          </cell>
          <cell r="J790">
            <v>0</v>
          </cell>
          <cell r="K790">
            <v>750</v>
          </cell>
          <cell r="L790">
            <v>0</v>
          </cell>
          <cell r="M790" t="str">
            <v>Mililitros</v>
          </cell>
        </row>
        <row r="791">
          <cell r="A791" t="str">
            <v>10100285</v>
          </cell>
          <cell r="B791" t="str">
            <v/>
          </cell>
          <cell r="C791" t="str">
            <v>MERMELADA DE NARANJA SMUCKER (UND:361 G)</v>
          </cell>
          <cell r="D791"/>
          <cell r="E791" t="str">
            <v>MATERIAS PRIMAS PLANTA</v>
          </cell>
          <cell r="F791" t="str">
            <v>UND</v>
          </cell>
          <cell r="G791">
            <v>500</v>
          </cell>
          <cell r="H791"/>
          <cell r="I791">
            <v>2323</v>
          </cell>
          <cell r="J791">
            <v>0</v>
          </cell>
          <cell r="K791">
            <v>361</v>
          </cell>
          <cell r="L791">
            <v>0</v>
          </cell>
          <cell r="M791" t="str">
            <v>Gramos</v>
          </cell>
        </row>
        <row r="792">
          <cell r="A792" t="str">
            <v>512316</v>
          </cell>
          <cell r="B792" t="str">
            <v/>
          </cell>
          <cell r="C792" t="str">
            <v>CAFÉ INSTANTANEO (PAQ: 500 G)</v>
          </cell>
          <cell r="D792"/>
          <cell r="E792" t="str">
            <v>MATERIAS PRIMAS PLANTA</v>
          </cell>
          <cell r="F792" t="str">
            <v>PAQUETE</v>
          </cell>
          <cell r="G792"/>
          <cell r="H792"/>
          <cell r="I792">
            <v>8555</v>
          </cell>
          <cell r="J792">
            <v>9252</v>
          </cell>
          <cell r="K792">
            <v>500</v>
          </cell>
          <cell r="L792">
            <v>18.504000000000001</v>
          </cell>
          <cell r="M792" t="str">
            <v>Gramos</v>
          </cell>
        </row>
        <row r="793">
          <cell r="A793" t="str">
            <v>0702007</v>
          </cell>
          <cell r="B793" t="str">
            <v/>
          </cell>
          <cell r="C793" t="str">
            <v>ETIQ.FECHA VENCIMIENTO BLANCO (ROLLO)</v>
          </cell>
          <cell r="D793"/>
          <cell r="E793" t="str">
            <v>EMPAQUES PLANTA</v>
          </cell>
          <cell r="F793" t="str">
            <v>rollo</v>
          </cell>
          <cell r="G793"/>
          <cell r="H793"/>
          <cell r="I793">
            <v>205</v>
          </cell>
          <cell r="J793">
            <v>300</v>
          </cell>
          <cell r="K793">
            <v>900</v>
          </cell>
          <cell r="L793">
            <v>0.33333333333333331</v>
          </cell>
          <cell r="M793" t="str">
            <v>Gramos</v>
          </cell>
        </row>
        <row r="794">
          <cell r="A794" t="str">
            <v>109000137</v>
          </cell>
          <cell r="B794" t="str">
            <v/>
          </cell>
          <cell r="C794" t="str">
            <v>TOMATE PELADO ENTERO (UND: 2.89 K)</v>
          </cell>
          <cell r="D794" t="str">
            <v>109000137</v>
          </cell>
          <cell r="E794"/>
          <cell r="F794"/>
          <cell r="G794"/>
          <cell r="H794"/>
          <cell r="I794">
            <v>2728</v>
          </cell>
          <cell r="J794">
            <v>3717</v>
          </cell>
          <cell r="K794">
            <v>2890</v>
          </cell>
          <cell r="L794">
            <v>1.2861591695501731</v>
          </cell>
          <cell r="M794" t="str">
            <v>Gramos</v>
          </cell>
        </row>
        <row r="795">
          <cell r="A795" t="str">
            <v>10300049</v>
          </cell>
          <cell r="B795" t="str">
            <v/>
          </cell>
          <cell r="C795" t="str">
            <v>CARNE MOLIDA 80-20 (KILO)</v>
          </cell>
          <cell r="D795" t="str">
            <v>10300049</v>
          </cell>
          <cell r="E795"/>
          <cell r="F795"/>
          <cell r="G795"/>
          <cell r="H795"/>
          <cell r="I795">
            <v>3195</v>
          </cell>
          <cell r="J795">
            <v>3395</v>
          </cell>
          <cell r="K795">
            <v>1000</v>
          </cell>
          <cell r="L795">
            <v>3.395</v>
          </cell>
          <cell r="M795" t="str">
            <v>Gramos</v>
          </cell>
        </row>
        <row r="796">
          <cell r="A796" t="str">
            <v>112000050</v>
          </cell>
          <cell r="B796" t="str">
            <v/>
          </cell>
          <cell r="C796" t="str">
            <v>GALLETA CHOCOLATE (PAQ:KG)</v>
          </cell>
          <cell r="D796" t="str">
            <v>112000050</v>
          </cell>
          <cell r="E796"/>
          <cell r="F796"/>
          <cell r="G796"/>
          <cell r="H796"/>
          <cell r="I796">
            <v>3135</v>
          </cell>
          <cell r="J796">
            <v>3656</v>
          </cell>
          <cell r="K796">
            <v>1000</v>
          </cell>
          <cell r="L796">
            <v>3.6560000000000001</v>
          </cell>
          <cell r="M796" t="str">
            <v>Gramos</v>
          </cell>
        </row>
        <row r="797">
          <cell r="A797" t="str">
            <v>11400062</v>
          </cell>
          <cell r="B797" t="str">
            <v/>
          </cell>
          <cell r="C797" t="str">
            <v>LECHE CONDENSADA UNTABLE (PAQ:4.5 K)</v>
          </cell>
          <cell r="D797" t="str">
            <v>11400062</v>
          </cell>
          <cell r="E797"/>
          <cell r="F797"/>
          <cell r="G797"/>
          <cell r="H797"/>
          <cell r="I797">
            <v>11910</v>
          </cell>
          <cell r="J797">
            <v>11910</v>
          </cell>
          <cell r="K797">
            <v>4500</v>
          </cell>
          <cell r="L797">
            <v>2.6466666666666665</v>
          </cell>
          <cell r="M797" t="str">
            <v>Gramos</v>
          </cell>
        </row>
        <row r="798">
          <cell r="A798" t="str">
            <v>51600043</v>
          </cell>
          <cell r="B798" t="str">
            <v/>
          </cell>
          <cell r="C798" t="str">
            <v>BOLSA DOYPACK KRAFT 11X19 (UND)</v>
          </cell>
          <cell r="D798" t="str">
            <v>51600043</v>
          </cell>
          <cell r="E798"/>
          <cell r="F798"/>
          <cell r="G798"/>
          <cell r="H798"/>
          <cell r="I798">
            <v>98.76</v>
          </cell>
          <cell r="J798">
            <v>115.04</v>
          </cell>
          <cell r="K798">
            <v>1</v>
          </cell>
          <cell r="L798">
            <v>115.04</v>
          </cell>
          <cell r="M798" t="str">
            <v>Und</v>
          </cell>
        </row>
        <row r="799">
          <cell r="A799" t="str">
            <v>401000005</v>
          </cell>
          <cell r="B799" t="str">
            <v/>
          </cell>
          <cell r="C799" t="str">
            <v>BOLSA TRANSPARENTE 8X10X4 KILO</v>
          </cell>
          <cell r="D799" t="str">
            <v>401000005</v>
          </cell>
          <cell r="E799"/>
          <cell r="F799"/>
          <cell r="G799"/>
          <cell r="H799"/>
          <cell r="I799">
            <v>1400</v>
          </cell>
          <cell r="J799">
            <v>0</v>
          </cell>
          <cell r="K799">
            <v>196</v>
          </cell>
          <cell r="L799">
            <v>0</v>
          </cell>
          <cell r="M799" t="str">
            <v>Und</v>
          </cell>
        </row>
        <row r="800">
          <cell r="A800" t="str">
            <v>10200019</v>
          </cell>
          <cell r="B800" t="str">
            <v/>
          </cell>
          <cell r="C800" t="str">
            <v>RON PLATA ESPECIAL (UND: LITRO)</v>
          </cell>
          <cell r="D800" t="str">
            <v>10200019</v>
          </cell>
          <cell r="E800"/>
          <cell r="F800"/>
          <cell r="G800"/>
          <cell r="H800"/>
          <cell r="I800">
            <v>5720</v>
          </cell>
          <cell r="J800">
            <v>0</v>
          </cell>
          <cell r="K800">
            <v>1000</v>
          </cell>
          <cell r="L800">
            <v>0</v>
          </cell>
          <cell r="M800" t="str">
            <v>Mililitros</v>
          </cell>
        </row>
        <row r="801">
          <cell r="A801" t="str">
            <v>11400061</v>
          </cell>
          <cell r="B801" t="str">
            <v/>
          </cell>
          <cell r="C801" t="str">
            <v>CREMA ROSSANA (351g)</v>
          </cell>
          <cell r="D801" t="str">
            <v>11400061</v>
          </cell>
          <cell r="E801"/>
          <cell r="F801"/>
          <cell r="G801"/>
          <cell r="H801"/>
          <cell r="I801">
            <v>1345</v>
          </cell>
          <cell r="J801">
            <v>0</v>
          </cell>
          <cell r="K801">
            <v>200</v>
          </cell>
          <cell r="L801">
            <v>0</v>
          </cell>
          <cell r="M801" t="str">
            <v>Gramos</v>
          </cell>
        </row>
        <row r="802">
          <cell r="A802" t="str">
            <v>11200007</v>
          </cell>
          <cell r="B802" t="str">
            <v/>
          </cell>
          <cell r="C802" t="str">
            <v>PREMEZCLA DAWN BROWNIE (SACO=22.68K)</v>
          </cell>
          <cell r="D802" t="str">
            <v>11200007</v>
          </cell>
          <cell r="E802"/>
          <cell r="F802"/>
          <cell r="G802"/>
          <cell r="H802"/>
          <cell r="I802">
            <v>40000</v>
          </cell>
          <cell r="J802">
            <v>42566.37</v>
          </cell>
          <cell r="K802">
            <v>22680</v>
          </cell>
          <cell r="L802">
            <v>1.8768240740740743</v>
          </cell>
          <cell r="M802" t="str">
            <v>Gramos</v>
          </cell>
        </row>
        <row r="803">
          <cell r="A803" t="str">
            <v>118000018</v>
          </cell>
          <cell r="B803" t="str">
            <v/>
          </cell>
          <cell r="C803" t="str">
            <v xml:space="preserve">SABORIZANTE AVELLANA 1595 </v>
          </cell>
          <cell r="D803" t="str">
            <v>118000018</v>
          </cell>
          <cell r="E803"/>
          <cell r="F803"/>
          <cell r="G803"/>
          <cell r="H803"/>
          <cell r="I803">
            <v>10974</v>
          </cell>
          <cell r="J803">
            <v>0</v>
          </cell>
          <cell r="K803">
            <v>1000</v>
          </cell>
          <cell r="L803">
            <v>0</v>
          </cell>
          <cell r="M803" t="str">
            <v>Gramos</v>
          </cell>
        </row>
        <row r="804">
          <cell r="A804" t="str">
            <v>51600042</v>
          </cell>
          <cell r="B804" t="str">
            <v/>
          </cell>
          <cell r="C804" t="str">
            <v>CHOCOLATE LOGO ROSSANA UND</v>
          </cell>
          <cell r="D804" t="str">
            <v>51600042</v>
          </cell>
          <cell r="E804"/>
          <cell r="F804"/>
          <cell r="G804"/>
          <cell r="H804"/>
          <cell r="I804">
            <v>9750</v>
          </cell>
          <cell r="J804">
            <v>0</v>
          </cell>
          <cell r="K804">
            <v>50</v>
          </cell>
          <cell r="L804">
            <v>0</v>
          </cell>
          <cell r="M804" t="str">
            <v>UND</v>
          </cell>
        </row>
        <row r="805">
          <cell r="A805" t="str">
            <v>11400063</v>
          </cell>
          <cell r="B805" t="str">
            <v/>
          </cell>
          <cell r="C805" t="str">
            <v>MEZCLA QUESO UNIVERSAL</v>
          </cell>
          <cell r="D805" t="str">
            <v>11400063</v>
          </cell>
          <cell r="E805"/>
          <cell r="F805"/>
          <cell r="G805"/>
          <cell r="H805"/>
          <cell r="I805">
            <v>3456</v>
          </cell>
          <cell r="J805">
            <v>0</v>
          </cell>
          <cell r="K805">
            <v>1000</v>
          </cell>
          <cell r="L805">
            <v>0</v>
          </cell>
          <cell r="M805" t="str">
            <v>Gramos</v>
          </cell>
        </row>
        <row r="806">
          <cell r="A806" t="str">
            <v>109000131</v>
          </cell>
          <cell r="B806" t="str">
            <v/>
          </cell>
          <cell r="C806" t="str">
            <v>FRUTOS DEL BOSQUE (PAQ: 500 G)</v>
          </cell>
          <cell r="D806" t="str">
            <v>109000131</v>
          </cell>
          <cell r="E806"/>
          <cell r="F806"/>
          <cell r="G806"/>
          <cell r="H806"/>
          <cell r="I806">
            <v>951</v>
          </cell>
          <cell r="J806">
            <v>0</v>
          </cell>
          <cell r="K806">
            <v>500</v>
          </cell>
          <cell r="L806">
            <v>0</v>
          </cell>
          <cell r="M806" t="str">
            <v>Gramos</v>
          </cell>
        </row>
        <row r="807">
          <cell r="A807" t="str">
            <v>11400060</v>
          </cell>
          <cell r="B807" t="str">
            <v/>
          </cell>
          <cell r="C807" t="str">
            <v>CREMA PASTELERA (UND: 1 KILO)</v>
          </cell>
          <cell r="D807" t="str">
            <v>11400060</v>
          </cell>
          <cell r="E807"/>
          <cell r="F807"/>
          <cell r="G807"/>
          <cell r="H807"/>
          <cell r="I807">
            <v>1750</v>
          </cell>
          <cell r="J807">
            <v>0</v>
          </cell>
          <cell r="K807">
            <v>1000</v>
          </cell>
          <cell r="L807">
            <v>0</v>
          </cell>
          <cell r="M807" t="str">
            <v>Gramos</v>
          </cell>
        </row>
        <row r="808">
          <cell r="A808" t="str">
            <v>503000006</v>
          </cell>
          <cell r="B808" t="str">
            <v/>
          </cell>
          <cell r="C808" t="str">
            <v>BOLSA AL VACIO 10X15 UND</v>
          </cell>
          <cell r="D808" t="str">
            <v>503000006</v>
          </cell>
          <cell r="E808"/>
          <cell r="F808"/>
          <cell r="G808"/>
          <cell r="H808"/>
          <cell r="I808">
            <v>83</v>
          </cell>
          <cell r="J808">
            <v>0</v>
          </cell>
          <cell r="K808">
            <v>1</v>
          </cell>
          <cell r="L808">
            <v>0</v>
          </cell>
          <cell r="M808" t="str">
            <v>Und</v>
          </cell>
        </row>
        <row r="809">
          <cell r="A809" t="str">
            <v>10100161</v>
          </cell>
          <cell r="B809" t="str">
            <v/>
          </cell>
          <cell r="C809" t="str">
            <v>MERMELADA NARANJA UJARRAS (UND: 4.5 K)</v>
          </cell>
          <cell r="D809" t="str">
            <v>10100161</v>
          </cell>
          <cell r="E809"/>
          <cell r="F809"/>
          <cell r="G809"/>
          <cell r="H809"/>
          <cell r="I809"/>
          <cell r="J809">
            <v>0</v>
          </cell>
          <cell r="K809">
            <v>4500</v>
          </cell>
          <cell r="L809">
            <v>0</v>
          </cell>
          <cell r="M809"/>
        </row>
        <row r="810">
          <cell r="A810" t="str">
            <v>50400012</v>
          </cell>
          <cell r="B810" t="str">
            <v/>
          </cell>
          <cell r="C810" t="str">
            <v>CAJA QUEQUE NAVIDEÑO 700g (UNIDAD)</v>
          </cell>
          <cell r="D810" t="str">
            <v>50400012</v>
          </cell>
          <cell r="E810"/>
          <cell r="F810"/>
          <cell r="G810"/>
          <cell r="H810"/>
          <cell r="I810"/>
          <cell r="J810">
            <v>0</v>
          </cell>
          <cell r="K810"/>
          <cell r="L810" t="e">
            <v>#DIV/0!</v>
          </cell>
          <cell r="M810" t="str">
            <v>Und</v>
          </cell>
        </row>
        <row r="811">
          <cell r="A811" t="str">
            <v>11000008</v>
          </cell>
          <cell r="B811" t="str">
            <v/>
          </cell>
          <cell r="C811" t="str">
            <v>ORLA NAVIDEÑA GRANDE (UND)</v>
          </cell>
          <cell r="D811" t="str">
            <v>11000008</v>
          </cell>
          <cell r="E811"/>
          <cell r="F811"/>
          <cell r="G811"/>
          <cell r="H811"/>
          <cell r="I811">
            <v>140</v>
          </cell>
          <cell r="J811">
            <v>0</v>
          </cell>
          <cell r="K811">
            <v>1</v>
          </cell>
          <cell r="L811">
            <v>0</v>
          </cell>
          <cell r="M811" t="str">
            <v>und</v>
          </cell>
        </row>
        <row r="812">
          <cell r="A812" t="str">
            <v>1952393</v>
          </cell>
          <cell r="B812" t="str">
            <v/>
          </cell>
          <cell r="C812" t="str">
            <v>BOLSA AL VACIO 8*10 ( 100 * PAQ )</v>
          </cell>
          <cell r="D812" t="str">
            <v>1952393</v>
          </cell>
          <cell r="E812"/>
          <cell r="F812"/>
          <cell r="G812"/>
          <cell r="H812"/>
          <cell r="I812">
            <v>39</v>
          </cell>
          <cell r="J812">
            <v>0</v>
          </cell>
          <cell r="K812">
            <v>1</v>
          </cell>
          <cell r="L812">
            <v>0</v>
          </cell>
          <cell r="M812" t="str">
            <v>und</v>
          </cell>
        </row>
        <row r="813">
          <cell r="A813" t="str">
            <v>11000007</v>
          </cell>
          <cell r="B813" t="str">
            <v/>
          </cell>
          <cell r="C813" t="str">
            <v>ORLA NAVIDEÑA PEQUEÑA (UND)</v>
          </cell>
          <cell r="D813" t="str">
            <v>11000007</v>
          </cell>
          <cell r="E813"/>
          <cell r="F813"/>
          <cell r="G813"/>
          <cell r="H813"/>
          <cell r="I813">
            <v>57</v>
          </cell>
          <cell r="J813">
            <v>0</v>
          </cell>
          <cell r="K813">
            <v>1</v>
          </cell>
          <cell r="L813">
            <v>0</v>
          </cell>
          <cell r="M813" t="str">
            <v>und</v>
          </cell>
        </row>
        <row r="814">
          <cell r="A814" t="str">
            <v>50400031</v>
          </cell>
          <cell r="B814" t="str">
            <v/>
          </cell>
          <cell r="C814" t="str">
            <v>CAJA NAVIDEÑA PEQ</v>
          </cell>
          <cell r="D814" t="str">
            <v>50400031</v>
          </cell>
          <cell r="E814"/>
          <cell r="F814"/>
          <cell r="G814"/>
          <cell r="H814"/>
          <cell r="I814">
            <v>566</v>
          </cell>
          <cell r="J814">
            <v>0</v>
          </cell>
          <cell r="K814">
            <v>1</v>
          </cell>
          <cell r="L814">
            <v>0</v>
          </cell>
          <cell r="M814" t="str">
            <v>und</v>
          </cell>
        </row>
        <row r="815">
          <cell r="A815" t="str">
            <v>10100284</v>
          </cell>
          <cell r="B815" t="str">
            <v/>
          </cell>
          <cell r="C815" t="str">
            <v>CHILE MORRON ASADO (UND:2.9 K)</v>
          </cell>
          <cell r="D815" t="str">
            <v>10100284</v>
          </cell>
          <cell r="E815"/>
          <cell r="F815"/>
          <cell r="G815"/>
          <cell r="H815"/>
          <cell r="I815">
            <v>5450</v>
          </cell>
          <cell r="J815">
            <v>0</v>
          </cell>
          <cell r="K815">
            <v>2900</v>
          </cell>
          <cell r="L815">
            <v>0</v>
          </cell>
          <cell r="M815" t="str">
            <v>Gramos</v>
          </cell>
        </row>
        <row r="816">
          <cell r="A816" t="str">
            <v>1110372</v>
          </cell>
          <cell r="B816" t="str">
            <v/>
          </cell>
          <cell r="C816" t="str">
            <v>MANTEQUILLA MANI (2.27 Kg)</v>
          </cell>
          <cell r="D816" t="str">
            <v>1110372</v>
          </cell>
          <cell r="E816"/>
          <cell r="F816"/>
          <cell r="G816"/>
          <cell r="H816"/>
          <cell r="I816">
            <v>7736</v>
          </cell>
          <cell r="J816">
            <v>0</v>
          </cell>
          <cell r="K816">
            <v>2270</v>
          </cell>
          <cell r="L816">
            <v>0</v>
          </cell>
          <cell r="M816" t="str">
            <v>Gramos</v>
          </cell>
        </row>
        <row r="817">
          <cell r="A817" t="str">
            <v>109000136</v>
          </cell>
          <cell r="B817" t="str">
            <v/>
          </cell>
          <cell r="C817" t="str">
            <v>BANANO CONGELADO (PAQ: 3 KILOS)</v>
          </cell>
          <cell r="D817" t="str">
            <v>109000136</v>
          </cell>
          <cell r="E817"/>
          <cell r="F817"/>
          <cell r="G817"/>
          <cell r="I817">
            <v>3000</v>
          </cell>
          <cell r="J817">
            <v>0</v>
          </cell>
          <cell r="K817">
            <v>3000</v>
          </cell>
          <cell r="L817">
            <v>0</v>
          </cell>
          <cell r="M817" t="str">
            <v>Gramos</v>
          </cell>
        </row>
        <row r="818">
          <cell r="A818" t="str">
            <v>50100056</v>
          </cell>
          <cell r="B818" t="str">
            <v/>
          </cell>
          <cell r="C818" t="str">
            <v>CONTENEDOR PLASTICO FABRIKA 8oz/1/500</v>
          </cell>
          <cell r="D818" t="str">
            <v>50100056</v>
          </cell>
          <cell r="E818"/>
          <cell r="F818"/>
          <cell r="I818">
            <v>24912</v>
          </cell>
          <cell r="J818">
            <v>0</v>
          </cell>
          <cell r="K818">
            <v>500</v>
          </cell>
          <cell r="L818">
            <v>0</v>
          </cell>
          <cell r="M818" t="str">
            <v>und</v>
          </cell>
        </row>
        <row r="819">
          <cell r="A819" t="str">
            <v>50100055</v>
          </cell>
          <cell r="B819" t="str">
            <v/>
          </cell>
          <cell r="C819" t="str">
            <v>TAPA PLAST CONTENEDOR FABRIKA 8/16OZ/500</v>
          </cell>
          <cell r="D819" t="str">
            <v>50100055</v>
          </cell>
          <cell r="E819"/>
          <cell r="F819"/>
          <cell r="I819">
            <v>18041</v>
          </cell>
          <cell r="J819">
            <v>0</v>
          </cell>
          <cell r="K819">
            <v>500</v>
          </cell>
          <cell r="L819">
            <v>0</v>
          </cell>
          <cell r="M819" t="str">
            <v>und</v>
          </cell>
        </row>
        <row r="820">
          <cell r="A820" t="str">
            <v>106000006</v>
          </cell>
          <cell r="B820" t="str">
            <v/>
          </cell>
          <cell r="C820" t="str">
            <v>ENCURTIDO EN MOSTAZA (UND:960 G)</v>
          </cell>
          <cell r="D820" t="str">
            <v>106000006</v>
          </cell>
          <cell r="E820"/>
          <cell r="F820"/>
          <cell r="I820">
            <v>2590</v>
          </cell>
          <cell r="J820">
            <v>0</v>
          </cell>
          <cell r="K820">
            <v>960</v>
          </cell>
          <cell r="L820">
            <v>0</v>
          </cell>
          <cell r="M820" t="str">
            <v>Gramos</v>
          </cell>
        </row>
        <row r="821">
          <cell r="A821" t="str">
            <v>50700018</v>
          </cell>
          <cell r="B821" t="str">
            <v/>
          </cell>
          <cell r="C821" t="str">
            <v>COMBO PACK DOBLE USO 8 onz (CAJA:200 UN)</v>
          </cell>
          <cell r="D821" t="str">
            <v>50700018</v>
          </cell>
          <cell r="E821"/>
          <cell r="F821"/>
          <cell r="I821">
            <v>13985</v>
          </cell>
          <cell r="J821">
            <v>15627.5</v>
          </cell>
          <cell r="K821">
            <v>200</v>
          </cell>
          <cell r="L821">
            <v>78.137500000000003</v>
          </cell>
          <cell r="M821" t="str">
            <v>und</v>
          </cell>
        </row>
        <row r="822">
          <cell r="A822" t="str">
            <v>60100062</v>
          </cell>
          <cell r="B822" t="str">
            <v/>
          </cell>
          <cell r="C822" t="str">
            <v>ETIQUETA GALLETA MEDIA LUNA DARK ( UND)</v>
          </cell>
          <cell r="D822" t="str">
            <v>60100062</v>
          </cell>
          <cell r="E822"/>
          <cell r="F822"/>
          <cell r="I822">
            <v>42.5</v>
          </cell>
          <cell r="J822">
            <v>0</v>
          </cell>
          <cell r="K822">
            <v>1</v>
          </cell>
          <cell r="L822">
            <v>0</v>
          </cell>
          <cell r="M822" t="str">
            <v>und</v>
          </cell>
        </row>
        <row r="823">
          <cell r="A823" t="str">
            <v>10700045</v>
          </cell>
          <cell r="B823" t="str">
            <v/>
          </cell>
          <cell r="C823" t="str">
            <v>CHOCOLATE DARK MONEDAS (PAQ: 1 K)</v>
          </cell>
          <cell r="D823" t="str">
            <v>10700045</v>
          </cell>
          <cell r="E823"/>
          <cell r="F823"/>
          <cell r="G823"/>
          <cell r="I823">
            <v>9000</v>
          </cell>
          <cell r="J823">
            <v>9000</v>
          </cell>
          <cell r="K823">
            <v>1000</v>
          </cell>
          <cell r="L823">
            <v>9</v>
          </cell>
          <cell r="M823" t="str">
            <v>Gramos</v>
          </cell>
        </row>
      </sheetData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1949.6412355246994</v>
          </cell>
          <cell r="H2">
            <v>1.9496412355246995</v>
          </cell>
          <cell r="I2">
            <v>17.530113019260611</v>
          </cell>
          <cell r="J2">
            <v>1.753011301926061E-2</v>
          </cell>
          <cell r="K2">
            <v>354.09084273791279</v>
          </cell>
          <cell r="L2">
            <v>0.3540908427379128</v>
          </cell>
          <cell r="M2">
            <v>2321.2621912818727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1939.3541520052427</v>
          </cell>
          <cell r="H3">
            <v>1.9393541520052426</v>
          </cell>
          <cell r="I3">
            <v>17.526098393150953</v>
          </cell>
          <cell r="J3">
            <v>1.7526098393150953E-2</v>
          </cell>
          <cell r="K3">
            <v>352.23844507171083</v>
          </cell>
          <cell r="L3">
            <v>0.35223844507171082</v>
          </cell>
          <cell r="M3">
            <v>2309.1186954701043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2169.3709645769231</v>
          </cell>
          <cell r="H4">
            <v>2.169370964576923</v>
          </cell>
          <cell r="I4">
            <v>18.192522657452383</v>
          </cell>
          <cell r="J4">
            <v>1.8192522657452383E-2</v>
          </cell>
          <cell r="K4">
            <v>393.76142770218752</v>
          </cell>
          <cell r="L4">
            <v>0.39376142770218753</v>
          </cell>
          <cell r="M4">
            <v>2581.3249149365629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>
            <v>2172.2939650000003</v>
          </cell>
          <cell r="H5">
            <v>2.1722939650000002</v>
          </cell>
          <cell r="I5">
            <v>1.2689600000000002E-2</v>
          </cell>
          <cell r="J5">
            <v>1.2689600000000003E-5</v>
          </cell>
          <cell r="K5">
            <v>391.01519782800005</v>
          </cell>
          <cell r="L5">
            <v>0.39101519782800004</v>
          </cell>
          <cell r="M5">
            <v>2563.3218524280005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3650.4961688698349</v>
          </cell>
          <cell r="H6">
            <v>3.650496168869835</v>
          </cell>
          <cell r="I6">
            <v>3.9077118168688711</v>
          </cell>
          <cell r="J6">
            <v>3.9077118168688715E-3</v>
          </cell>
          <cell r="K6">
            <v>657.79269852360665</v>
          </cell>
          <cell r="L6">
            <v>0.65779269852360667</v>
          </cell>
          <cell r="M6">
            <v>4312.1965792103101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>
            <v>74.698656974358983</v>
          </cell>
          <cell r="H7">
            <v>7.4698656974358985E-2</v>
          </cell>
          <cell r="I7">
            <v>5.7822429714285715</v>
          </cell>
          <cell r="J7">
            <v>5.7822429714285712E-3</v>
          </cell>
          <cell r="K7">
            <v>14.486561990241759</v>
          </cell>
          <cell r="L7">
            <v>1.4486561990241759E-2</v>
          </cell>
          <cell r="M7">
            <v>94.967461936029309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2894.9318021452368</v>
          </cell>
          <cell r="H8">
            <v>2.8949318021452366</v>
          </cell>
          <cell r="I8">
            <v>2.9771595809523808</v>
          </cell>
          <cell r="J8">
            <v>2.9771595809523809E-3</v>
          </cell>
          <cell r="K8">
            <v>521.62361311071402</v>
          </cell>
          <cell r="L8">
            <v>0.52162361311071404</v>
          </cell>
          <cell r="M8">
            <v>3419.5325748369032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1357.0566029411766</v>
          </cell>
          <cell r="H9">
            <v>1.3570566029411766</v>
          </cell>
          <cell r="I9">
            <v>8.6732172909083793</v>
          </cell>
          <cell r="J9">
            <v>8.6732172909083794E-3</v>
          </cell>
          <cell r="K9">
            <v>245.83136764177527</v>
          </cell>
          <cell r="L9">
            <v>0.24583136764177527</v>
          </cell>
          <cell r="M9">
            <v>1611.56118787386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2872.2691955238897</v>
          </cell>
          <cell r="H10">
            <v>2.8722691955238897</v>
          </cell>
          <cell r="I10">
            <v>1.7966666666666666</v>
          </cell>
          <cell r="J10">
            <v>1.7966666666666667E-3</v>
          </cell>
          <cell r="K10">
            <v>517.33185519430015</v>
          </cell>
          <cell r="L10">
            <v>0.51733185519430014</v>
          </cell>
          <cell r="M10">
            <v>3391.3977173848566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650.20895657798246</v>
          </cell>
          <cell r="H11">
            <v>0.6502089565779825</v>
          </cell>
          <cell r="I11">
            <v>8.0011161209722932</v>
          </cell>
          <cell r="J11">
            <v>8.0011161209722938E-3</v>
          </cell>
          <cell r="K11">
            <v>118.47781308581185</v>
          </cell>
          <cell r="L11">
            <v>0.11847781308581185</v>
          </cell>
          <cell r="M11">
            <v>776.68788578476654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906.89651051130204</v>
          </cell>
          <cell r="H12">
            <v>0.90689651051130205</v>
          </cell>
          <cell r="I12">
            <v>2.6623333333333332</v>
          </cell>
          <cell r="J12">
            <v>2.6623333333333334E-3</v>
          </cell>
          <cell r="K12">
            <v>163.72059189203435</v>
          </cell>
          <cell r="L12">
            <v>0.16372059189203436</v>
          </cell>
          <cell r="M12">
            <v>1073.2794357366697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1139.1086497044425</v>
          </cell>
          <cell r="H13">
            <v>1.1391086497044425</v>
          </cell>
          <cell r="I13">
            <v>17.495226042137656</v>
          </cell>
          <cell r="J13">
            <v>1.7495226042137657E-2</v>
          </cell>
          <cell r="K13">
            <v>208.18869763438443</v>
          </cell>
          <cell r="L13">
            <v>0.20818869763438441</v>
          </cell>
          <cell r="M13">
            <v>1364.7925733809645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2213.1788399071929</v>
          </cell>
          <cell r="H14">
            <v>2.2131788399071928</v>
          </cell>
          <cell r="I14">
            <v>2.7068832173240529</v>
          </cell>
          <cell r="J14">
            <v>2.7068832173240531E-3</v>
          </cell>
          <cell r="K14">
            <v>398.85943016241305</v>
          </cell>
          <cell r="L14">
            <v>0.39885943016241304</v>
          </cell>
          <cell r="M14">
            <v>2614.74515328693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955.81877142103883</v>
          </cell>
          <cell r="H15">
            <v>0.95581877142103888</v>
          </cell>
          <cell r="I15">
            <v>5.2697324645650507</v>
          </cell>
          <cell r="J15">
            <v>5.2697324645650506E-3</v>
          </cell>
          <cell r="K15">
            <v>172.99593069940869</v>
          </cell>
          <cell r="L15">
            <v>0.17299593069940869</v>
          </cell>
          <cell r="M15">
            <v>1134.0844345850126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>
            <v>1402.4782408590308</v>
          </cell>
          <cell r="H16">
            <v>1.4024782408590308</v>
          </cell>
          <cell r="I16">
            <v>15.247467862500002</v>
          </cell>
          <cell r="J16">
            <v>1.5247467862500003E-2</v>
          </cell>
          <cell r="K16">
            <v>255.19062756987552</v>
          </cell>
          <cell r="L16">
            <v>0.25519062756987554</v>
          </cell>
          <cell r="M16">
            <v>1672.9163362914062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1743.6379999999999</v>
          </cell>
          <cell r="H17">
            <v>1.743638</v>
          </cell>
          <cell r="I17">
            <v>52.656906187624749</v>
          </cell>
          <cell r="J17">
            <v>5.2656906187624745E-2</v>
          </cell>
          <cell r="K17">
            <v>323.33308311377243</v>
          </cell>
          <cell r="L17">
            <v>0.32333308311377246</v>
          </cell>
          <cell r="M17">
            <v>2119.6279893013971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938.90079985404805</v>
          </cell>
          <cell r="H18">
            <v>0.93890079985404806</v>
          </cell>
          <cell r="I18">
            <v>6.8288356771823144</v>
          </cell>
          <cell r="J18">
            <v>6.8288356771823147E-3</v>
          </cell>
          <cell r="K18">
            <v>170.23133439562145</v>
          </cell>
          <cell r="L18">
            <v>0.17023133439562144</v>
          </cell>
          <cell r="M18">
            <v>1115.9609699268517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>
            <v>2658.0325418832772</v>
          </cell>
          <cell r="H19">
            <v>2.6580325418832773</v>
          </cell>
          <cell r="I19">
            <v>7.3431699122998655</v>
          </cell>
          <cell r="J19">
            <v>7.3431699122998651E-3</v>
          </cell>
          <cell r="K19">
            <v>479.76762812320385</v>
          </cell>
          <cell r="L19">
            <v>0.47976762812320384</v>
          </cell>
          <cell r="M19">
            <v>3145.1433399187808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1548.4602280798583</v>
          </cell>
          <cell r="H20">
            <v>1.5484602280798583</v>
          </cell>
          <cell r="I20">
            <v>5.5348829312598813</v>
          </cell>
          <cell r="J20">
            <v>5.5348829312598814E-3</v>
          </cell>
          <cell r="K20">
            <v>279.7191199820013</v>
          </cell>
          <cell r="L20">
            <v>0.27971911998200133</v>
          </cell>
          <cell r="M20">
            <v>1833.7142309931196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>
            <v>975.32413261801537</v>
          </cell>
          <cell r="H21">
            <v>0.97532413261801532</v>
          </cell>
          <cell r="I21">
            <v>9.2341961955505525</v>
          </cell>
          <cell r="J21">
            <v>9.2341961955505533E-3</v>
          </cell>
          <cell r="K21">
            <v>177.22049918644186</v>
          </cell>
          <cell r="L21">
            <v>0.17722049918644187</v>
          </cell>
          <cell r="M21">
            <v>1161.7788280000077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>
            <v>4085.5321809020488</v>
          </cell>
          <cell r="H22">
            <v>4.0855321809020486</v>
          </cell>
          <cell r="I22">
            <v>60.157862702323911</v>
          </cell>
          <cell r="J22">
            <v>6.0157862702323914E-2</v>
          </cell>
          <cell r="K22">
            <v>746.22420784878705</v>
          </cell>
          <cell r="L22">
            <v>0.74622420784878707</v>
          </cell>
          <cell r="M22">
            <v>4891.9142514531595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>
            <v>1920.2452025208677</v>
          </cell>
          <cell r="H23">
            <v>1.9202452025208676</v>
          </cell>
          <cell r="I23">
            <v>0</v>
          </cell>
          <cell r="J23">
            <v>0</v>
          </cell>
          <cell r="K23">
            <v>345.64413645375618</v>
          </cell>
          <cell r="L23">
            <v>0.34564413645375619</v>
          </cell>
          <cell r="M23">
            <v>2265.889338974624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1609.7571692307695</v>
          </cell>
          <cell r="H24">
            <v>1.6097571692307695</v>
          </cell>
          <cell r="I24">
            <v>7.251200000000001E-3</v>
          </cell>
          <cell r="J24">
            <v>7.251200000000001E-6</v>
          </cell>
          <cell r="K24">
            <v>289.75759567753846</v>
          </cell>
          <cell r="L24">
            <v>0.28975759567753845</v>
          </cell>
          <cell r="M24">
            <v>1899.522016108308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2273.6338869585625</v>
          </cell>
          <cell r="H25">
            <v>2.2736338869585624</v>
          </cell>
          <cell r="I25">
            <v>3.8896363817239297</v>
          </cell>
          <cell r="J25">
            <v>3.8896363817239295E-3</v>
          </cell>
          <cell r="K25">
            <v>409.95423420125155</v>
          </cell>
          <cell r="L25">
            <v>0.40995423420125154</v>
          </cell>
          <cell r="M25">
            <v>2687.4777575415378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>
            <v>1336.2699084964981</v>
          </cell>
          <cell r="H26">
            <v>1.3362699084964982</v>
          </cell>
          <cell r="I26">
            <v>26.261076083127865</v>
          </cell>
          <cell r="J26">
            <v>2.6261076083127863E-2</v>
          </cell>
          <cell r="K26">
            <v>245.25557722433265</v>
          </cell>
          <cell r="L26">
            <v>0.24525557722433267</v>
          </cell>
          <cell r="M26">
            <v>1607.7865618039586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2671.0632072904891</v>
          </cell>
          <cell r="H27">
            <v>2.671063207290489</v>
          </cell>
          <cell r="I27">
            <v>9.2296894379805234</v>
          </cell>
          <cell r="J27">
            <v>9.2296894379805226E-3</v>
          </cell>
          <cell r="K27">
            <v>482.45272141112451</v>
          </cell>
          <cell r="L27">
            <v>0.4824527214111245</v>
          </cell>
          <cell r="M27">
            <v>3162.7456181395942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2534.2812306425722</v>
          </cell>
          <cell r="H28">
            <v>2.5342812306425722</v>
          </cell>
          <cell r="I28">
            <v>2.3875190384061249E-2</v>
          </cell>
          <cell r="J28">
            <v>2.3875190384061249E-5</v>
          </cell>
          <cell r="K28">
            <v>456.1749190499321</v>
          </cell>
          <cell r="L28">
            <v>0.45617491904993213</v>
          </cell>
          <cell r="M28">
            <v>2990.4800248828883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>
            <v>5988.7116022727269</v>
          </cell>
          <cell r="H29">
            <v>5.9887116022727271</v>
          </cell>
          <cell r="I29">
            <v>35.517727272727271</v>
          </cell>
          <cell r="J29">
            <v>3.551772727272727E-2</v>
          </cell>
          <cell r="K29">
            <v>1084.3612793181817</v>
          </cell>
          <cell r="L29">
            <v>1.0843612793181816</v>
          </cell>
          <cell r="M29">
            <v>7108.5906088636357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4255.5969303797465</v>
          </cell>
          <cell r="H30">
            <v>4.2555969303797463</v>
          </cell>
          <cell r="I30">
            <v>22.189240506329114</v>
          </cell>
          <cell r="J30">
            <v>2.2189240506329113E-2</v>
          </cell>
          <cell r="K30">
            <v>770.00151075949361</v>
          </cell>
          <cell r="L30">
            <v>0.77000151075949363</v>
          </cell>
          <cell r="M30">
            <v>5047.7876816455691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>
            <v>15.207069488335563</v>
          </cell>
          <cell r="J31">
            <v>1.5207069488335563E-2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1408.7496497328627</v>
          </cell>
          <cell r="H33">
            <v>1.4087496497328627</v>
          </cell>
          <cell r="I33">
            <v>10.59276419047619</v>
          </cell>
          <cell r="J33">
            <v>1.059276419047619E-2</v>
          </cell>
          <cell r="K33">
            <v>255.48163450620098</v>
          </cell>
          <cell r="L33">
            <v>0.25548163450620098</v>
          </cell>
          <cell r="M33">
            <v>1674.8240484295397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>
            <v>1448.4863418449668</v>
          </cell>
          <cell r="H34">
            <v>1.4484863418449667</v>
          </cell>
          <cell r="I34">
            <v>2.2269327807486632</v>
          </cell>
          <cell r="J34">
            <v>2.2269327807486632E-3</v>
          </cell>
          <cell r="K34">
            <v>261.12838943262875</v>
          </cell>
          <cell r="L34">
            <v>0.26112838943262873</v>
          </cell>
          <cell r="M34">
            <v>1711.8416640583441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58.103739170086641</v>
          </cell>
          <cell r="H35">
            <v>58.103739170086641</v>
          </cell>
          <cell r="I35">
            <v>1.460407694516222E-2</v>
          </cell>
          <cell r="J35">
            <v>1.460407694516222E-2</v>
          </cell>
          <cell r="K35">
            <v>10.461301784465723</v>
          </cell>
          <cell r="L35">
            <v>10.461301784465723</v>
          </cell>
          <cell r="M35">
            <v>68.57964503149752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2929.9315313494058</v>
          </cell>
          <cell r="H36">
            <v>2.9299315313494056</v>
          </cell>
          <cell r="I36">
            <v>3.0823203156957577</v>
          </cell>
          <cell r="J36">
            <v>3.0823203156957577E-3</v>
          </cell>
          <cell r="K36">
            <v>527.94249329971819</v>
          </cell>
          <cell r="L36">
            <v>0.52794249329971821</v>
          </cell>
          <cell r="M36">
            <v>3460.9563449648194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478.85473583333334</v>
          </cell>
          <cell r="H37">
            <v>0.47885473583333332</v>
          </cell>
          <cell r="I37">
            <v>0.21686335238095236</v>
          </cell>
          <cell r="J37">
            <v>2.1686335238095235E-4</v>
          </cell>
          <cell r="K37">
            <v>86.232887853428565</v>
          </cell>
          <cell r="L37">
            <v>8.6232887853428558E-2</v>
          </cell>
          <cell r="M37">
            <v>565.30448703914283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4255.5969303797465</v>
          </cell>
          <cell r="H39">
            <v>4.2555969303797463</v>
          </cell>
          <cell r="I39">
            <v>28.171590506329114</v>
          </cell>
          <cell r="J39">
            <v>2.8171590506329114E-2</v>
          </cell>
          <cell r="K39">
            <v>771.0783337594936</v>
          </cell>
          <cell r="L39">
            <v>0.77107833375949364</v>
          </cell>
          <cell r="M39">
            <v>5054.8468546455697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1670.39</v>
          </cell>
          <cell r="H40">
            <v>1.67039</v>
          </cell>
          <cell r="I40">
            <v>2.1280000000000001</v>
          </cell>
          <cell r="J40">
            <v>2.1280000000000001E-3</v>
          </cell>
          <cell r="K40">
            <v>301.05324000000002</v>
          </cell>
          <cell r="L40">
            <v>0.30105324</v>
          </cell>
          <cell r="M40">
            <v>1973.57124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22.60429465500486</v>
          </cell>
          <cell r="J41">
            <v>2.260429465500486E-2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3479.846888235294</v>
          </cell>
          <cell r="H42">
            <v>3.479846888235294</v>
          </cell>
          <cell r="I42">
            <v>4.4333081904761906</v>
          </cell>
          <cell r="J42">
            <v>4.4333081904761908E-3</v>
          </cell>
          <cell r="K42">
            <v>627.17043535663856</v>
          </cell>
          <cell r="L42">
            <v>0.62717043535663852</v>
          </cell>
          <cell r="M42">
            <v>4111.4506317824089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1574.5329572116402</v>
          </cell>
          <cell r="H43">
            <v>1.5745329572116402</v>
          </cell>
          <cell r="I43">
            <v>4.3118252952380951</v>
          </cell>
          <cell r="J43">
            <v>4.3118252952380953E-3</v>
          </cell>
          <cell r="K43">
            <v>284.19206085123807</v>
          </cell>
          <cell r="L43">
            <v>0.28419206085123805</v>
          </cell>
          <cell r="M43">
            <v>1863.0368433581164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196.9434009044366</v>
          </cell>
          <cell r="H44">
            <v>196.9434009044366</v>
          </cell>
          <cell r="I44">
            <v>1.2219826024094682</v>
          </cell>
          <cell r="J44">
            <v>1.2219826024094682</v>
          </cell>
          <cell r="K44">
            <v>35.669769031232292</v>
          </cell>
          <cell r="L44">
            <v>35.669769031232292</v>
          </cell>
          <cell r="M44">
            <v>233.83515253807838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>
            <v>2932.3803668095452</v>
          </cell>
          <cell r="H45">
            <v>2.9323803668095452</v>
          </cell>
          <cell r="I45">
            <v>1.4186666666666667</v>
          </cell>
          <cell r="J45">
            <v>1.4186666666666668E-3</v>
          </cell>
          <cell r="K45">
            <v>528.08382602571805</v>
          </cell>
          <cell r="L45">
            <v>0.52808382602571802</v>
          </cell>
          <cell r="M45">
            <v>3461.8828595019295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>
            <v>1030.3747178670974</v>
          </cell>
          <cell r="H47">
            <v>1.0303747178670974</v>
          </cell>
          <cell r="I47">
            <v>5.1077566476190475</v>
          </cell>
          <cell r="J47">
            <v>5.1077566476190476E-3</v>
          </cell>
          <cell r="K47">
            <v>186.38684541264894</v>
          </cell>
          <cell r="L47">
            <v>0.18638684541264894</v>
          </cell>
          <cell r="M47">
            <v>1221.8693199273653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3349.0237349344998</v>
          </cell>
          <cell r="H48">
            <v>3.3490237349344998</v>
          </cell>
          <cell r="I48">
            <v>42.052640971118812</v>
          </cell>
          <cell r="J48">
            <v>4.2052640971118813E-2</v>
          </cell>
          <cell r="K48">
            <v>610.39374766301137</v>
          </cell>
          <cell r="L48">
            <v>0.61039374766301135</v>
          </cell>
          <cell r="M48">
            <v>4001.4701235686298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>
            <v>893.2482705882353</v>
          </cell>
          <cell r="H49">
            <v>0.8932482705882353</v>
          </cell>
          <cell r="I49">
            <v>0</v>
          </cell>
          <cell r="J49">
            <v>0</v>
          </cell>
          <cell r="K49">
            <v>160.78468870588236</v>
          </cell>
          <cell r="L49">
            <v>0.16078468870588236</v>
          </cell>
          <cell r="M49">
            <v>1054.0329592941177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>
            <v>896.43767519315611</v>
          </cell>
          <cell r="H50">
            <v>0.89643767519315609</v>
          </cell>
          <cell r="I50">
            <v>25.292380952380952</v>
          </cell>
          <cell r="J50">
            <v>2.5292380952380952E-2</v>
          </cell>
          <cell r="K50">
            <v>165.91141010619668</v>
          </cell>
          <cell r="L50">
            <v>0.16591141010619667</v>
          </cell>
          <cell r="M50">
            <v>1087.6414662517338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1890.2718194067372</v>
          </cell>
          <cell r="H51">
            <v>1.8902718194067372</v>
          </cell>
          <cell r="I51">
            <v>8.3258119658119671</v>
          </cell>
          <cell r="J51">
            <v>8.3258119658119675E-3</v>
          </cell>
          <cell r="K51">
            <v>341.74757364705886</v>
          </cell>
          <cell r="L51">
            <v>0.34174757364705888</v>
          </cell>
          <cell r="M51">
            <v>2240.3452050196079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3.59</v>
          </cell>
          <cell r="H52">
            <v>3.5899999999999999E-3</v>
          </cell>
          <cell r="I52">
            <v>9.949409523809523</v>
          </cell>
          <cell r="J52">
            <v>9.9494095238095229E-3</v>
          </cell>
          <cell r="K52">
            <v>2.4370937142857141</v>
          </cell>
          <cell r="L52">
            <v>2.4370937142857139E-3</v>
          </cell>
          <cell r="M52">
            <v>15.976503238095237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33.330521904761909</v>
          </cell>
          <cell r="J53">
            <v>3.3330521904761906E-2</v>
          </cell>
          <cell r="K53">
            <v>76.260693942857145</v>
          </cell>
          <cell r="L53">
            <v>7.6260693942857144E-2</v>
          </cell>
          <cell r="M53">
            <v>499.93121584761906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18.128</v>
          </cell>
          <cell r="J54">
            <v>1.8128000000000002E-2</v>
          </cell>
          <cell r="K54">
            <v>82.398239999999987</v>
          </cell>
          <cell r="L54">
            <v>8.2398239999999984E-2</v>
          </cell>
          <cell r="M54">
            <v>540.16624000000002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649.46406400000001</v>
          </cell>
          <cell r="H55">
            <v>0.64946406400000001</v>
          </cell>
          <cell r="I55">
            <v>9.949409523809523</v>
          </cell>
          <cell r="J55">
            <v>9.9494095238095229E-3</v>
          </cell>
          <cell r="K55">
            <v>118.69442523428572</v>
          </cell>
          <cell r="L55">
            <v>0.11869442523428572</v>
          </cell>
          <cell r="M55">
            <v>778.1078987580953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312.47999999999996</v>
          </cell>
          <cell r="H56">
            <v>0.31247999999999998</v>
          </cell>
          <cell r="I56">
            <v>3.6256000000000004</v>
          </cell>
          <cell r="J56">
            <v>3.6256000000000005E-3</v>
          </cell>
          <cell r="K56">
            <v>56.899007999999995</v>
          </cell>
          <cell r="L56">
            <v>5.6899007999999994E-2</v>
          </cell>
          <cell r="M56">
            <v>373.00460799999996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1346.5131531089617</v>
          </cell>
          <cell r="H57">
            <v>1346.5131531089617</v>
          </cell>
          <cell r="I57">
            <v>14.951508022028669</v>
          </cell>
          <cell r="J57">
            <v>14.951508022028669</v>
          </cell>
          <cell r="K57">
            <v>245.06363900357826</v>
          </cell>
          <cell r="L57">
            <v>245.06363900357826</v>
          </cell>
          <cell r="M57">
            <v>1606.5283001345688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167.95847408250557</v>
          </cell>
          <cell r="H58">
            <v>167.95847408250557</v>
          </cell>
          <cell r="I58">
            <v>2.3045042484126985</v>
          </cell>
          <cell r="J58">
            <v>2.3045042484126985</v>
          </cell>
          <cell r="K58">
            <v>30.64733609956529</v>
          </cell>
          <cell r="L58">
            <v>30.64733609956529</v>
          </cell>
          <cell r="M58">
            <v>200.91031443048357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992.90384086421352</v>
          </cell>
          <cell r="H59">
            <v>0.99290384086421357</v>
          </cell>
          <cell r="I59">
            <v>1.3208555809523808</v>
          </cell>
          <cell r="J59">
            <v>1.3208555809523807E-3</v>
          </cell>
          <cell r="K59">
            <v>178.96044536012985</v>
          </cell>
          <cell r="L59">
            <v>0.17896044536012987</v>
          </cell>
          <cell r="M59">
            <v>1173.1851418052959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>
            <v>1639.6739596065008</v>
          </cell>
          <cell r="H60">
            <v>1.6396739596065009</v>
          </cell>
          <cell r="I60">
            <v>0</v>
          </cell>
          <cell r="J60">
            <v>0</v>
          </cell>
          <cell r="K60">
            <v>295.14131272917012</v>
          </cell>
          <cell r="L60">
            <v>0.2951413127291701</v>
          </cell>
          <cell r="M60">
            <v>1934.8152723356709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>
            <v>6.0664893617021267</v>
          </cell>
          <cell r="J61">
            <v>6.066489361702127E-3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1949.6412355246994</v>
          </cell>
          <cell r="H62">
            <v>1.9496412355246995</v>
          </cell>
          <cell r="I62">
            <v>7.823636828784422</v>
          </cell>
          <cell r="J62">
            <v>7.8236368287844214E-3</v>
          </cell>
          <cell r="K62">
            <v>352.34367702362704</v>
          </cell>
          <cell r="L62">
            <v>0.35234367702362701</v>
          </cell>
          <cell r="M62">
            <v>2309.8085493771109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1939.3541520052427</v>
          </cell>
          <cell r="H63">
            <v>1.9393541520052426</v>
          </cell>
          <cell r="I63">
            <v>7.819622202674763</v>
          </cell>
          <cell r="J63">
            <v>7.8196222026747624E-3</v>
          </cell>
          <cell r="K63">
            <v>350.49127935742513</v>
          </cell>
          <cell r="L63">
            <v>0.35049127935742513</v>
          </cell>
          <cell r="M63">
            <v>2297.6650535653425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2169.3709645769231</v>
          </cell>
          <cell r="H64">
            <v>2.169370964576923</v>
          </cell>
          <cell r="I64">
            <v>9.7358559907857138</v>
          </cell>
          <cell r="J64">
            <v>9.7358559907857137E-3</v>
          </cell>
          <cell r="K64">
            <v>392.23922770218758</v>
          </cell>
          <cell r="L64">
            <v>0.39223922770218755</v>
          </cell>
          <cell r="M64">
            <v>2571.3460482698965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1369.6110610576923</v>
          </cell>
          <cell r="H65">
            <v>1.3696110610576924</v>
          </cell>
          <cell r="I65">
            <v>0</v>
          </cell>
          <cell r="J65">
            <v>0</v>
          </cell>
          <cell r="K65">
            <v>246.52999099038459</v>
          </cell>
          <cell r="L65">
            <v>0.24652999099038458</v>
          </cell>
          <cell r="M65">
            <v>1616.1410520480767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1369.6110610576923</v>
          </cell>
          <cell r="H66">
            <v>1.3696110610576924</v>
          </cell>
          <cell r="I66">
            <v>4.2283333333333326</v>
          </cell>
          <cell r="J66">
            <v>4.2283333333333322E-3</v>
          </cell>
          <cell r="K66">
            <v>247.29109099038459</v>
          </cell>
          <cell r="L66">
            <v>0.2472910909903846</v>
          </cell>
          <cell r="M66">
            <v>1621.1304853814102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1650.343695</v>
          </cell>
          <cell r="H67">
            <v>1.6503436950000001</v>
          </cell>
          <cell r="I67">
            <v>5.4251782857142858</v>
          </cell>
          <cell r="J67">
            <v>5.4251782857142857E-3</v>
          </cell>
          <cell r="K67">
            <v>298.03839719142854</v>
          </cell>
          <cell r="L67">
            <v>0.29803839719142855</v>
          </cell>
          <cell r="M67">
            <v>1953.807270477143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538.18622690903737</v>
          </cell>
          <cell r="H68">
            <v>0.53818622690903739</v>
          </cell>
          <cell r="I68">
            <v>1.3428148148148149E-2</v>
          </cell>
          <cell r="J68">
            <v>1.3428148148148149E-5</v>
          </cell>
          <cell r="K68">
            <v>96.875937910293388</v>
          </cell>
          <cell r="L68">
            <v>9.6875937910293392E-2</v>
          </cell>
          <cell r="M68">
            <v>635.07559296747888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4326.5235458860752</v>
          </cell>
          <cell r="H69">
            <v>4.3265235458860749</v>
          </cell>
          <cell r="I69">
            <v>42.392394514767929</v>
          </cell>
          <cell r="J69">
            <v>4.239239451476793E-2</v>
          </cell>
          <cell r="K69">
            <v>786.40486927215181</v>
          </cell>
          <cell r="L69">
            <v>0.78640486927215181</v>
          </cell>
          <cell r="M69">
            <v>5155.320809672995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2004.6566788783489</v>
          </cell>
          <cell r="H70">
            <v>2.0046566788783489</v>
          </cell>
          <cell r="I70">
            <v>14.096077961341537</v>
          </cell>
          <cell r="J70">
            <v>1.4096077961341538E-2</v>
          </cell>
          <cell r="K70">
            <v>363.37549623114427</v>
          </cell>
          <cell r="L70">
            <v>0.36337549623114429</v>
          </cell>
          <cell r="M70">
            <v>2382.1282530708345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6775.4711341176471</v>
          </cell>
          <cell r="H71">
            <v>6.7754711341176472</v>
          </cell>
          <cell r="I71">
            <v>2.9004800000000004E-2</v>
          </cell>
          <cell r="J71">
            <v>2.9004800000000004E-5</v>
          </cell>
          <cell r="K71">
            <v>1219.5900250051764</v>
          </cell>
          <cell r="L71">
            <v>1.2195900250051763</v>
          </cell>
          <cell r="M71">
            <v>7995.0901639228232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>
            <v>2164.8507346000001</v>
          </cell>
          <cell r="H72">
            <v>2.1648507346000003</v>
          </cell>
          <cell r="I72">
            <v>2.5342944000000006E-2</v>
          </cell>
          <cell r="J72">
            <v>2.5342944000000005E-5</v>
          </cell>
          <cell r="K72">
            <v>389.67769395791998</v>
          </cell>
          <cell r="L72">
            <v>0.38967769395791996</v>
          </cell>
          <cell r="M72">
            <v>2554.55377150192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1276.6642129817446</v>
          </cell>
          <cell r="H73">
            <v>1.2766642129817447</v>
          </cell>
          <cell r="I73">
            <v>0.16021371051001446</v>
          </cell>
          <cell r="J73">
            <v>1.6021371051001446E-4</v>
          </cell>
          <cell r="K73">
            <v>229.82839680460586</v>
          </cell>
          <cell r="L73">
            <v>0.22982839680460587</v>
          </cell>
          <cell r="M73">
            <v>1506.6528234968605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1070.815728995964</v>
          </cell>
          <cell r="H74">
            <v>1.0708157289959641</v>
          </cell>
          <cell r="I74">
            <v>6.9300069300069298E-3</v>
          </cell>
          <cell r="J74">
            <v>6.9300069300069297E-6</v>
          </cell>
          <cell r="K74">
            <v>192.74807862052091</v>
          </cell>
          <cell r="L74">
            <v>0.1927480786205209</v>
          </cell>
          <cell r="M74">
            <v>1263.570737623415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1463.0780198533482</v>
          </cell>
          <cell r="H75">
            <v>1.4630780198533482</v>
          </cell>
          <cell r="I75">
            <v>0.78419338608102351</v>
          </cell>
          <cell r="J75">
            <v>7.8419338608102347E-4</v>
          </cell>
          <cell r="K75">
            <v>263.49519838309726</v>
          </cell>
          <cell r="L75">
            <v>0.26349519838309726</v>
          </cell>
          <cell r="M75">
            <v>1727.3574116225263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812.17074839999987</v>
          </cell>
          <cell r="H76">
            <v>0.81217074839999992</v>
          </cell>
          <cell r="I76">
            <v>0</v>
          </cell>
          <cell r="J76">
            <v>0</v>
          </cell>
          <cell r="K76">
            <v>146.19073471199997</v>
          </cell>
          <cell r="L76">
            <v>0.14619073471199998</v>
          </cell>
          <cell r="M76">
            <v>958.36148311199986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1292.3138092010754</v>
          </cell>
          <cell r="H77">
            <v>1.2923138092010753</v>
          </cell>
          <cell r="I77">
            <v>8.1887333333333315E-3</v>
          </cell>
          <cell r="J77">
            <v>8.1887333333333318E-6</v>
          </cell>
          <cell r="K77">
            <v>232.61795962819357</v>
          </cell>
          <cell r="L77">
            <v>0.23261795962819357</v>
          </cell>
          <cell r="M77">
            <v>1524.9399575626023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543.60891898148157</v>
          </cell>
          <cell r="H78">
            <v>0.54360891898148156</v>
          </cell>
          <cell r="I78">
            <v>16.510047619047622</v>
          </cell>
          <cell r="J78">
            <v>1.6510047619047622E-2</v>
          </cell>
          <cell r="K78">
            <v>100.82141398809526</v>
          </cell>
          <cell r="L78">
            <v>0.10082141398809526</v>
          </cell>
          <cell r="M78">
            <v>660.94038058862452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>
            <v>979.73214677243163</v>
          </cell>
          <cell r="H79">
            <v>0.97973214677243159</v>
          </cell>
          <cell r="I79">
            <v>0</v>
          </cell>
          <cell r="J79">
            <v>0</v>
          </cell>
          <cell r="K79">
            <v>176.35178641903769</v>
          </cell>
          <cell r="L79">
            <v>0.1763517864190377</v>
          </cell>
          <cell r="M79">
            <v>1156.0839331914694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415.49267444808743</v>
          </cell>
          <cell r="H80">
            <v>0.41549267444808741</v>
          </cell>
          <cell r="I80">
            <v>5.4374186833203222</v>
          </cell>
          <cell r="J80">
            <v>5.4374186833203225E-3</v>
          </cell>
          <cell r="K80">
            <v>75.767416763653401</v>
          </cell>
          <cell r="L80">
            <v>7.5767416763653395E-2</v>
          </cell>
          <cell r="M80">
            <v>496.69750989506116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1572.5663220008714</v>
          </cell>
          <cell r="H81">
            <v>1.5725663220008714</v>
          </cell>
          <cell r="I81">
            <v>0</v>
          </cell>
          <cell r="J81">
            <v>0</v>
          </cell>
          <cell r="K81">
            <v>283.06193796015685</v>
          </cell>
          <cell r="L81">
            <v>0.28306193796015683</v>
          </cell>
          <cell r="M81">
            <v>1855.6282599610283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1203.0919927927928</v>
          </cell>
          <cell r="H82">
            <v>1.2030919927927928</v>
          </cell>
          <cell r="I82">
            <v>1.4714714714714716</v>
          </cell>
          <cell r="J82">
            <v>1.4714714714714717E-3</v>
          </cell>
          <cell r="K82">
            <v>216.82142356756756</v>
          </cell>
          <cell r="L82">
            <v>0.21682142356756756</v>
          </cell>
          <cell r="M82">
            <v>1421.3848878318317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1374.4402791946309</v>
          </cell>
          <cell r="H83">
            <v>1.3744402791946309</v>
          </cell>
          <cell r="I83">
            <v>21.536385000000003</v>
          </cell>
          <cell r="J83">
            <v>2.1536385000000002E-2</v>
          </cell>
          <cell r="K83">
            <v>251.27579955503356</v>
          </cell>
          <cell r="L83">
            <v>0.25127579955503354</v>
          </cell>
          <cell r="M83">
            <v>1647.2524637496645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2268.2376101280029</v>
          </cell>
          <cell r="H84">
            <v>2.2682376101280028</v>
          </cell>
          <cell r="I84">
            <v>1.4007611851851851</v>
          </cell>
          <cell r="J84">
            <v>1.400761185185185E-3</v>
          </cell>
          <cell r="K84">
            <v>408.53490683637386</v>
          </cell>
          <cell r="L84">
            <v>0.40853490683637389</v>
          </cell>
          <cell r="M84">
            <v>2678.1732781495621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>
            <v>2555.1829395970367</v>
          </cell>
          <cell r="H85">
            <v>2.5551829395970369</v>
          </cell>
          <cell r="I85">
            <v>2.3980769230769225E-3</v>
          </cell>
          <cell r="J85">
            <v>2.3980769230769227E-6</v>
          </cell>
          <cell r="K85">
            <v>459.93336078131273</v>
          </cell>
          <cell r="L85">
            <v>0.45993336078131275</v>
          </cell>
          <cell r="M85">
            <v>3015.1186984552724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329.30364651320235</v>
          </cell>
          <cell r="H86">
            <v>329.30364651320235</v>
          </cell>
          <cell r="I86">
            <v>2.0876286704351963</v>
          </cell>
          <cell r="J86">
            <v>2.0876286704351963</v>
          </cell>
          <cell r="K86">
            <v>59.650429533054762</v>
          </cell>
          <cell r="L86">
            <v>59.650429533054762</v>
          </cell>
          <cell r="M86">
            <v>391.04170471669232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863.91436296296297</v>
          </cell>
          <cell r="H87">
            <v>0.86391436296296298</v>
          </cell>
          <cell r="I87">
            <v>1.8446035087719299</v>
          </cell>
          <cell r="J87">
            <v>1.84460350877193E-3</v>
          </cell>
          <cell r="K87">
            <v>155.83661396491226</v>
          </cell>
          <cell r="L87">
            <v>0.15583661396491227</v>
          </cell>
          <cell r="M87">
            <v>1021.5955804366472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2413.6713177831139</v>
          </cell>
          <cell r="H88">
            <v>2.4136713177831139</v>
          </cell>
          <cell r="I88">
            <v>10.99969636895926</v>
          </cell>
          <cell r="J88">
            <v>1.099969636895926E-2</v>
          </cell>
          <cell r="K88">
            <v>436.44078254737315</v>
          </cell>
          <cell r="L88">
            <v>0.43644078254737317</v>
          </cell>
          <cell r="M88">
            <v>2861.1117966994461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1877.7522222222224</v>
          </cell>
          <cell r="H89">
            <v>1.8777522222222223</v>
          </cell>
          <cell r="I89">
            <v>3.6674500000000001</v>
          </cell>
          <cell r="J89">
            <v>3.6674500000000001E-3</v>
          </cell>
          <cell r="K89">
            <v>338.65554099999997</v>
          </cell>
          <cell r="L89">
            <v>0.33865554099999995</v>
          </cell>
          <cell r="M89">
            <v>2220.0752132222224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1764.3182408080811</v>
          </cell>
          <cell r="H90">
            <v>1.7643182408080811</v>
          </cell>
          <cell r="I90">
            <v>0</v>
          </cell>
          <cell r="J90">
            <v>0</v>
          </cell>
          <cell r="K90">
            <v>317.57728334545459</v>
          </cell>
          <cell r="L90">
            <v>0.3175772833454546</v>
          </cell>
          <cell r="M90">
            <v>2081.8955241535359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3534.4220625000003</v>
          </cell>
          <cell r="H91">
            <v>3.5344220625000005</v>
          </cell>
          <cell r="I91">
            <v>0</v>
          </cell>
          <cell r="J91">
            <v>0</v>
          </cell>
          <cell r="K91">
            <v>636.19597125000007</v>
          </cell>
          <cell r="L91">
            <v>0.63619597125000005</v>
          </cell>
          <cell r="M91">
            <v>4170.61803375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4111.1111111111104</v>
          </cell>
          <cell r="H92">
            <v>4.1111111111111107</v>
          </cell>
          <cell r="I92">
            <v>0.45276595744680853</v>
          </cell>
          <cell r="J92">
            <v>4.5276595744680851E-4</v>
          </cell>
          <cell r="K92">
            <v>740.08149787234026</v>
          </cell>
          <cell r="L92">
            <v>0.74008149787234023</v>
          </cell>
          <cell r="M92">
            <v>4851.6453749408975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1388.2350597530865</v>
          </cell>
          <cell r="H93">
            <v>1.3882350597530866</v>
          </cell>
          <cell r="I93">
            <v>0.68512739470899475</v>
          </cell>
          <cell r="J93">
            <v>6.8512739470899477E-4</v>
          </cell>
          <cell r="K93">
            <v>250.0056336866032</v>
          </cell>
          <cell r="L93">
            <v>0.25000563368660322</v>
          </cell>
          <cell r="M93">
            <v>1638.9258208343988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2357.2325039323</v>
          </cell>
          <cell r="H94">
            <v>2357.2325039323</v>
          </cell>
          <cell r="I94">
            <v>19.864579180323449</v>
          </cell>
          <cell r="J94">
            <v>19.864579180323449</v>
          </cell>
          <cell r="K94">
            <v>427.8774749602722</v>
          </cell>
          <cell r="L94">
            <v>427.8774749602722</v>
          </cell>
          <cell r="M94">
            <v>2804.9745580728954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2097.6815087034447</v>
          </cell>
          <cell r="H95">
            <v>2.0976815087034448</v>
          </cell>
          <cell r="I95">
            <v>7.4358974358974348E-3</v>
          </cell>
          <cell r="J95">
            <v>7.4358974358974352E-6</v>
          </cell>
          <cell r="K95">
            <v>377.58401002815845</v>
          </cell>
          <cell r="L95">
            <v>0.37758401002815845</v>
          </cell>
          <cell r="M95">
            <v>2475.2729546290388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>
            <v>476.18287219673095</v>
          </cell>
          <cell r="H96">
            <v>476.18287219673095</v>
          </cell>
          <cell r="I96">
            <v>0.28180393985507252</v>
          </cell>
          <cell r="J96">
            <v>0.28180393985507252</v>
          </cell>
          <cell r="K96">
            <v>85.763641704585481</v>
          </cell>
          <cell r="L96">
            <v>85.763641704585481</v>
          </cell>
          <cell r="M96">
            <v>562.22831784117147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6831.8571846037476</v>
          </cell>
          <cell r="H97">
            <v>6831.8571846037476</v>
          </cell>
          <cell r="I97">
            <v>32</v>
          </cell>
          <cell r="J97">
            <v>32</v>
          </cell>
          <cell r="K97">
            <v>1235.4942932286745</v>
          </cell>
          <cell r="L97">
            <v>1235.4942932286745</v>
          </cell>
          <cell r="M97">
            <v>8099.3514778324225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>
            <v>1165.8167820170022</v>
          </cell>
          <cell r="H98">
            <v>1165.8167820170022</v>
          </cell>
          <cell r="I98">
            <v>89.036214397777769</v>
          </cell>
          <cell r="J98">
            <v>89.036214397777769</v>
          </cell>
          <cell r="K98">
            <v>225.87353935466038</v>
          </cell>
          <cell r="L98">
            <v>225.87353935466038</v>
          </cell>
          <cell r="M98">
            <v>1480.7265357694403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374.1199286163814</v>
          </cell>
          <cell r="H99">
            <v>374.1199286163814</v>
          </cell>
          <cell r="I99">
            <v>0.22628643002599999</v>
          </cell>
          <cell r="J99">
            <v>0.22628643002599999</v>
          </cell>
          <cell r="K99">
            <v>67.382318708353324</v>
          </cell>
          <cell r="L99">
            <v>67.382318708353324</v>
          </cell>
          <cell r="M99">
            <v>441.72853375476075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1162.0559085511984</v>
          </cell>
          <cell r="H100">
            <v>1162.0559085511984</v>
          </cell>
          <cell r="I100">
            <v>61.976761904761908</v>
          </cell>
          <cell r="J100">
            <v>61.976761904761908</v>
          </cell>
          <cell r="K100">
            <v>220.32588068207284</v>
          </cell>
          <cell r="L100">
            <v>220.32588068207284</v>
          </cell>
          <cell r="M100">
            <v>1444.3585511380331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208.52489945055927</v>
          </cell>
          <cell r="H101">
            <v>208.52489945055927</v>
          </cell>
          <cell r="I101">
            <v>323.18450547777775</v>
          </cell>
          <cell r="J101">
            <v>323.18450547777775</v>
          </cell>
          <cell r="K101">
            <v>95.707692887100649</v>
          </cell>
          <cell r="L101">
            <v>95.707692887100649</v>
          </cell>
          <cell r="M101">
            <v>627.41709781543761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355.29749208411636</v>
          </cell>
          <cell r="H102">
            <v>355.29749208411636</v>
          </cell>
          <cell r="I102">
            <v>10.743098145079363</v>
          </cell>
          <cell r="J102">
            <v>10.743098145079363</v>
          </cell>
          <cell r="K102">
            <v>65.887306241255231</v>
          </cell>
          <cell r="L102">
            <v>65.887306241255231</v>
          </cell>
          <cell r="M102">
            <v>431.92789647045095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105.58664706191705</v>
          </cell>
          <cell r="H103">
            <v>105.58664706191705</v>
          </cell>
          <cell r="I103">
            <v>9.4914416844322336</v>
          </cell>
          <cell r="J103">
            <v>9.4914416844322336</v>
          </cell>
          <cell r="K103">
            <v>20.71405597434287</v>
          </cell>
          <cell r="L103">
            <v>20.71405597434287</v>
          </cell>
          <cell r="M103">
            <v>135.79214472069214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96.182540486578105</v>
          </cell>
          <cell r="H104">
            <v>96.182540486578105</v>
          </cell>
          <cell r="I104">
            <v>1.4336167149080459</v>
          </cell>
          <cell r="J104">
            <v>1.4336167149080459</v>
          </cell>
          <cell r="K104">
            <v>17.570908296267504</v>
          </cell>
          <cell r="L104">
            <v>17.570908296267504</v>
          </cell>
          <cell r="M104">
            <v>115.18706549775365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480.73631478935692</v>
          </cell>
          <cell r="H105">
            <v>480.73631478935692</v>
          </cell>
          <cell r="I105">
            <v>4.8216887665165169</v>
          </cell>
          <cell r="J105">
            <v>4.8216887665165169</v>
          </cell>
          <cell r="K105">
            <v>87.400440640057212</v>
          </cell>
          <cell r="L105">
            <v>87.400440640057212</v>
          </cell>
          <cell r="M105">
            <v>572.95844419593061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334.20860188164187</v>
          </cell>
          <cell r="H106">
            <v>334.20860188164187</v>
          </cell>
          <cell r="I106">
            <v>3.8948880405392599</v>
          </cell>
          <cell r="J106">
            <v>3.8948880405392599</v>
          </cell>
          <cell r="K106">
            <v>60.858628185992607</v>
          </cell>
          <cell r="L106">
            <v>60.858628185992607</v>
          </cell>
          <cell r="M106">
            <v>398.96211810817374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184.53051038511796</v>
          </cell>
          <cell r="H107">
            <v>184.53051038511796</v>
          </cell>
          <cell r="I107">
            <v>2.8672181586021503</v>
          </cell>
          <cell r="J107">
            <v>2.8672181586021503</v>
          </cell>
          <cell r="K107">
            <v>33.731591137869621</v>
          </cell>
          <cell r="L107">
            <v>33.731591137869621</v>
          </cell>
          <cell r="M107">
            <v>221.12931968158975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2001.3919189528697</v>
          </cell>
          <cell r="H108">
            <v>2001.3919189528697</v>
          </cell>
          <cell r="I108">
            <v>26.197938902913215</v>
          </cell>
          <cell r="J108">
            <v>26.197938902913215</v>
          </cell>
          <cell r="K108">
            <v>364.96617441404089</v>
          </cell>
          <cell r="L108">
            <v>364.96617441404089</v>
          </cell>
          <cell r="M108">
            <v>2392.5560322698238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1746.060123738192</v>
          </cell>
          <cell r="H109">
            <v>1746.060123738192</v>
          </cell>
          <cell r="I109">
            <v>13.344161011077844</v>
          </cell>
          <cell r="J109">
            <v>13.344161011077844</v>
          </cell>
          <cell r="K109">
            <v>316.69277125486855</v>
          </cell>
          <cell r="L109">
            <v>316.69277125486855</v>
          </cell>
          <cell r="M109">
            <v>2076.0970560041383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394.90839941198595</v>
          </cell>
          <cell r="H110">
            <v>394.90839941198595</v>
          </cell>
          <cell r="I110">
            <v>4.9127828999449372</v>
          </cell>
          <cell r="J110">
            <v>4.9127828999449372</v>
          </cell>
          <cell r="K110">
            <v>71.967812816147557</v>
          </cell>
          <cell r="L110">
            <v>71.967812816147557</v>
          </cell>
          <cell r="M110">
            <v>471.78899512807845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457.2723876180616</v>
          </cell>
          <cell r="H111">
            <v>457.2723876180616</v>
          </cell>
          <cell r="I111">
            <v>4.8474173849396944</v>
          </cell>
          <cell r="J111">
            <v>4.8474173849396944</v>
          </cell>
          <cell r="K111">
            <v>83.181564900540238</v>
          </cell>
          <cell r="L111">
            <v>83.181564900540238</v>
          </cell>
          <cell r="M111">
            <v>545.30136990354151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>
            <v>77.492132516470591</v>
          </cell>
          <cell r="H112">
            <v>77.492132516470591</v>
          </cell>
          <cell r="I112">
            <v>8.3269061876247505</v>
          </cell>
          <cell r="J112">
            <v>8.3269061876247505</v>
          </cell>
          <cell r="K112">
            <v>15.44742696673716</v>
          </cell>
          <cell r="L112">
            <v>15.44742696673716</v>
          </cell>
          <cell r="M112">
            <v>101.26646567083249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638.77549519855984</v>
          </cell>
          <cell r="H113">
            <v>638.77549519855984</v>
          </cell>
          <cell r="I113">
            <v>26.326301454088444</v>
          </cell>
          <cell r="J113">
            <v>26.326301454088444</v>
          </cell>
          <cell r="K113">
            <v>119.71832339747669</v>
          </cell>
          <cell r="L113">
            <v>119.71832339747669</v>
          </cell>
          <cell r="M113">
            <v>784.82012005012507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1127.1891653067423</v>
          </cell>
          <cell r="H114">
            <v>1.1271891653067423</v>
          </cell>
          <cell r="I114">
            <v>4.9176877279476425</v>
          </cell>
          <cell r="J114">
            <v>4.9176877279476427E-3</v>
          </cell>
          <cell r="K114">
            <v>203.77923354624417</v>
          </cell>
          <cell r="L114">
            <v>0.20377923354624417</v>
          </cell>
          <cell r="M114">
            <v>1335.886086580934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>
            <v>197.52128845663506</v>
          </cell>
          <cell r="H115">
            <v>197.52128845663506</v>
          </cell>
          <cell r="I115">
            <v>3.1664621213240505</v>
          </cell>
          <cell r="J115">
            <v>3.1664621213240505</v>
          </cell>
          <cell r="K115">
            <v>36.123795104032638</v>
          </cell>
          <cell r="L115">
            <v>36.123795104032638</v>
          </cell>
          <cell r="M115">
            <v>236.81154568199176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11.124917021395646</v>
          </cell>
          <cell r="H116">
            <v>11.124917021395646</v>
          </cell>
          <cell r="I116">
            <v>4.7186384627688094E-2</v>
          </cell>
          <cell r="J116">
            <v>4.7186384627688094E-2</v>
          </cell>
          <cell r="K116">
            <v>2.0109786130842</v>
          </cell>
          <cell r="L116">
            <v>2.0109786130842</v>
          </cell>
          <cell r="M116">
            <v>13.183082019107534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>
            <v>153.68430141795727</v>
          </cell>
          <cell r="H117">
            <v>153.68430141795727</v>
          </cell>
          <cell r="I117">
            <v>1.1027213302731091</v>
          </cell>
          <cell r="J117">
            <v>1.1027213302731091</v>
          </cell>
          <cell r="K117">
            <v>27.861664094681469</v>
          </cell>
          <cell r="L117">
            <v>27.861664094681469</v>
          </cell>
          <cell r="M117">
            <v>182.64868684291184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>
            <v>80.861116214986012</v>
          </cell>
          <cell r="H118">
            <v>80.861116214986012</v>
          </cell>
          <cell r="I118">
            <v>1.3088645629854605</v>
          </cell>
          <cell r="J118">
            <v>1.3088645629854605</v>
          </cell>
          <cell r="K118">
            <v>14.790596540034866</v>
          </cell>
          <cell r="L118">
            <v>14.790596540034866</v>
          </cell>
          <cell r="M118">
            <v>96.960577318006344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737.20144217212783</v>
          </cell>
          <cell r="H119">
            <v>737.20144217212783</v>
          </cell>
          <cell r="I119">
            <v>13.300281626629499</v>
          </cell>
          <cell r="J119">
            <v>13.300281626629499</v>
          </cell>
          <cell r="K119">
            <v>135.09031028377632</v>
          </cell>
          <cell r="L119">
            <v>135.09031028377632</v>
          </cell>
          <cell r="M119">
            <v>885.5920340825337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574.12395552686064</v>
          </cell>
          <cell r="H120">
            <v>574.12395552686064</v>
          </cell>
          <cell r="I120">
            <v>1.4407043113950002</v>
          </cell>
          <cell r="J120">
            <v>1.4407043113950002</v>
          </cell>
          <cell r="K120">
            <v>103.60163877088603</v>
          </cell>
          <cell r="L120">
            <v>103.60163877088603</v>
          </cell>
          <cell r="M120">
            <v>679.16629860914168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1.6902493777216936</v>
          </cell>
          <cell r="J121">
            <v>1.6902493777216936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50.414162401066655</v>
          </cell>
          <cell r="H122">
            <v>50.414162401066655</v>
          </cell>
          <cell r="I122">
            <v>0.31976190476190475</v>
          </cell>
          <cell r="J122">
            <v>0.31976190476190475</v>
          </cell>
          <cell r="K122">
            <v>9.1321063750491405</v>
          </cell>
          <cell r="L122">
            <v>9.1321063750491405</v>
          </cell>
          <cell r="M122">
            <v>59.866030680877699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>
            <v>263.23265239268454</v>
          </cell>
          <cell r="H123">
            <v>263.23265239268454</v>
          </cell>
          <cell r="I123">
            <v>2.2578016058070545</v>
          </cell>
          <cell r="J123">
            <v>2.2578016058070545</v>
          </cell>
          <cell r="K123">
            <v>47.788281719728488</v>
          </cell>
          <cell r="L123">
            <v>47.788281719728488</v>
          </cell>
          <cell r="M123">
            <v>313.2787357182201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20.164779185254904</v>
          </cell>
          <cell r="H124">
            <v>20.164779185254904</v>
          </cell>
          <cell r="I124">
            <v>0.10319654528478056</v>
          </cell>
          <cell r="J124">
            <v>0.10319654528478056</v>
          </cell>
          <cell r="K124">
            <v>3.6482356314971431</v>
          </cell>
          <cell r="L124">
            <v>3.6482356314971431</v>
          </cell>
          <cell r="M124">
            <v>23.91621136203683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31.895010763607846</v>
          </cell>
          <cell r="H125">
            <v>31.895010763607846</v>
          </cell>
          <cell r="I125">
            <v>0.16511447245564889</v>
          </cell>
          <cell r="J125">
            <v>0.16511447245564889</v>
          </cell>
          <cell r="K125">
            <v>5.7708225424914295</v>
          </cell>
          <cell r="L125">
            <v>5.7708225424914295</v>
          </cell>
          <cell r="M125">
            <v>37.830947778554929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24.019132404705886</v>
          </cell>
          <cell r="H126">
            <v>24.019132404705886</v>
          </cell>
          <cell r="I126">
            <v>0.12383585434173668</v>
          </cell>
          <cell r="J126">
            <v>0.12383585434173668</v>
          </cell>
          <cell r="K126">
            <v>4.3457342866285718</v>
          </cell>
          <cell r="L126">
            <v>4.3457342866285718</v>
          </cell>
          <cell r="M126">
            <v>28.488702545676198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>
            <v>25.021328441618635</v>
          </cell>
          <cell r="H127">
            <v>25.021328441618635</v>
          </cell>
          <cell r="I127">
            <v>0.13953946840423667</v>
          </cell>
          <cell r="J127">
            <v>0.13953946840423667</v>
          </cell>
          <cell r="K127">
            <v>4.5289562238041166</v>
          </cell>
          <cell r="L127">
            <v>4.5289562238041166</v>
          </cell>
          <cell r="M127">
            <v>29.689824133826988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17.996581549889061</v>
          </cell>
          <cell r="H128">
            <v>17.996581549889061</v>
          </cell>
          <cell r="I128">
            <v>0.11551570278145126</v>
          </cell>
          <cell r="J128">
            <v>0.11551570278145126</v>
          </cell>
          <cell r="K128">
            <v>3.2601775054806921</v>
          </cell>
          <cell r="L128">
            <v>3.2601775054806921</v>
          </cell>
          <cell r="M128">
            <v>21.372274758151203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33.371285131353993</v>
          </cell>
          <cell r="H129">
            <v>33.371285131353993</v>
          </cell>
          <cell r="I129">
            <v>0.21659194271522111</v>
          </cell>
          <cell r="J129">
            <v>0.21659194271522111</v>
          </cell>
          <cell r="K129">
            <v>6.0458178733324583</v>
          </cell>
          <cell r="L129">
            <v>6.0458178733324583</v>
          </cell>
          <cell r="M129">
            <v>39.633694947401672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97.770409055286677</v>
          </cell>
          <cell r="H130">
            <v>97.770409055286677</v>
          </cell>
          <cell r="I130">
            <v>0.37036100550000006</v>
          </cell>
          <cell r="J130">
            <v>0.37036100550000006</v>
          </cell>
          <cell r="K130">
            <v>17.6653386109416</v>
          </cell>
          <cell r="L130">
            <v>17.6653386109416</v>
          </cell>
          <cell r="M130">
            <v>115.80610867172828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1111.1105979254573</v>
          </cell>
          <cell r="H131">
            <v>1.1111105979254574</v>
          </cell>
          <cell r="I131">
            <v>7.0281628825932625</v>
          </cell>
          <cell r="J131">
            <v>7.0281628825932625E-3</v>
          </cell>
          <cell r="K131">
            <v>201.26497694544909</v>
          </cell>
          <cell r="L131">
            <v>0.20126497694544909</v>
          </cell>
          <cell r="M131">
            <v>1319.4037377534996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17.05858239223603</v>
          </cell>
          <cell r="H132">
            <v>17.05858239223603</v>
          </cell>
          <cell r="I132">
            <v>0.10676870748299321</v>
          </cell>
          <cell r="J132">
            <v>0.10676870748299321</v>
          </cell>
          <cell r="K132">
            <v>3.089763197949424</v>
          </cell>
          <cell r="L132">
            <v>3.089763197949424</v>
          </cell>
          <cell r="M132">
            <v>20.255114297668445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17.459846158639255</v>
          </cell>
          <cell r="H133">
            <v>17.459846158639255</v>
          </cell>
          <cell r="I133">
            <v>7.5521632964910226E-2</v>
          </cell>
          <cell r="J133">
            <v>7.5521632964910226E-2</v>
          </cell>
          <cell r="K133">
            <v>3.15636620248875</v>
          </cell>
          <cell r="L133">
            <v>3.15636620248875</v>
          </cell>
          <cell r="M133">
            <v>20.691733994092917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74.356785103247134</v>
          </cell>
          <cell r="H134">
            <v>74.356785103247134</v>
          </cell>
          <cell r="I134">
            <v>2.9973657132111082</v>
          </cell>
          <cell r="J134">
            <v>2.9973657132111082</v>
          </cell>
          <cell r="K134">
            <v>13.923747146962484</v>
          </cell>
          <cell r="L134">
            <v>13.923747146962484</v>
          </cell>
          <cell r="M134">
            <v>91.277897963420727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71.366671995027176</v>
          </cell>
          <cell r="H135">
            <v>71.366671995027176</v>
          </cell>
          <cell r="I135">
            <v>0.2743414855555556</v>
          </cell>
          <cell r="J135">
            <v>0.2743414855555556</v>
          </cell>
          <cell r="K135">
            <v>12.89538242650489</v>
          </cell>
          <cell r="L135">
            <v>12.89538242650489</v>
          </cell>
          <cell r="M135">
            <v>84.536395907087623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2065.7138590009872</v>
          </cell>
          <cell r="H136">
            <v>2.0657138590009874</v>
          </cell>
          <cell r="I136">
            <v>18.448496951582491</v>
          </cell>
          <cell r="J136">
            <v>1.8448496951582492E-2</v>
          </cell>
          <cell r="K136">
            <v>375.14922407146253</v>
          </cell>
          <cell r="L136">
            <v>0.37514922407146251</v>
          </cell>
          <cell r="M136">
            <v>2459.3115800240321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>
            <v>994.32677066597023</v>
          </cell>
          <cell r="H138">
            <v>0.99432677066597019</v>
          </cell>
          <cell r="I138">
            <v>4.7187830687830692</v>
          </cell>
          <cell r="J138">
            <v>4.7187830687830693E-3</v>
          </cell>
          <cell r="K138">
            <v>179.82819967225558</v>
          </cell>
          <cell r="L138">
            <v>0.17982819967225558</v>
          </cell>
          <cell r="M138">
            <v>1178.873753407009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>
            <v>1352.8676339899425</v>
          </cell>
          <cell r="H139">
            <v>1.3528676339899426</v>
          </cell>
          <cell r="I139">
            <v>2.2736692913385825</v>
          </cell>
          <cell r="J139">
            <v>2.2736692913385825E-3</v>
          </cell>
          <cell r="K139">
            <v>243.9254345906306</v>
          </cell>
          <cell r="L139">
            <v>0.2439254345906306</v>
          </cell>
          <cell r="M139">
            <v>1599.0667378719118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2271.1665452662724</v>
          </cell>
          <cell r="H140">
            <v>2.2711665452662722</v>
          </cell>
          <cell r="I140">
            <v>0.385625</v>
          </cell>
          <cell r="J140">
            <v>3.8562500000000001E-4</v>
          </cell>
          <cell r="K140">
            <v>408.87939064792897</v>
          </cell>
          <cell r="L140">
            <v>0.408879390647929</v>
          </cell>
          <cell r="M140">
            <v>2680.4315609142013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>
            <v>843.37340622959209</v>
          </cell>
          <cell r="H141">
            <v>0.84337340622959212</v>
          </cell>
          <cell r="I141">
            <v>21.782539682539685</v>
          </cell>
          <cell r="J141">
            <v>2.1782539682539685E-2</v>
          </cell>
          <cell r="K141">
            <v>155.72807026418371</v>
          </cell>
          <cell r="L141">
            <v>0.15572807026418373</v>
          </cell>
          <cell r="M141">
            <v>1020.8840161763155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>
            <v>2311.4156719550401</v>
          </cell>
          <cell r="H143">
            <v>2.3114156719550403</v>
          </cell>
          <cell r="I143">
            <v>0.88238993653910436</v>
          </cell>
          <cell r="J143">
            <v>8.8238993653910432E-4</v>
          </cell>
          <cell r="K143">
            <v>416.21365114048427</v>
          </cell>
          <cell r="L143">
            <v>0.41621365114048425</v>
          </cell>
          <cell r="M143">
            <v>2728.5117130320637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>
            <v>1852.3829062013331</v>
          </cell>
          <cell r="H146">
            <v>1.8523829062013331</v>
          </cell>
          <cell r="I146">
            <v>24.634860549783554</v>
          </cell>
          <cell r="J146">
            <v>2.4634860549783553E-2</v>
          </cell>
          <cell r="K146">
            <v>337.86319801520096</v>
          </cell>
          <cell r="L146">
            <v>0.33786319801520098</v>
          </cell>
          <cell r="M146">
            <v>2214.8809647663174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>
            <v>1829.1144435830888</v>
          </cell>
          <cell r="H147">
            <v>1.8291144435830888</v>
          </cell>
          <cell r="I147">
            <v>2.0263279655867694</v>
          </cell>
          <cell r="J147">
            <v>2.0263279655867695E-3</v>
          </cell>
          <cell r="K147">
            <v>329.60533887876159</v>
          </cell>
          <cell r="L147">
            <v>0.32960533887876159</v>
          </cell>
          <cell r="M147">
            <v>2160.7461104274371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3237.1169253921566</v>
          </cell>
          <cell r="H148">
            <v>3.2371169253921566</v>
          </cell>
          <cell r="I148">
            <v>2.9813000000000001</v>
          </cell>
          <cell r="J148">
            <v>2.9813000000000001E-3</v>
          </cell>
          <cell r="K148">
            <v>583.21768057058819</v>
          </cell>
          <cell r="L148">
            <v>0.5832176805705882</v>
          </cell>
          <cell r="M148">
            <v>3823.3159059627446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>
            <v>3118.7782368140674</v>
          </cell>
          <cell r="H149">
            <v>3.1187782368140673</v>
          </cell>
          <cell r="I149">
            <v>2.9249851632047474</v>
          </cell>
          <cell r="J149">
            <v>2.9249851632047476E-3</v>
          </cell>
          <cell r="K149">
            <v>561.90657995590902</v>
          </cell>
          <cell r="L149">
            <v>0.56190657995590898</v>
          </cell>
          <cell r="M149">
            <v>3683.6098019331812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>
            <v>20.63336667611064</v>
          </cell>
          <cell r="H150">
            <v>20.63336667611064</v>
          </cell>
          <cell r="I150">
            <v>0.18995501378625559</v>
          </cell>
          <cell r="J150">
            <v>0.18995501378625559</v>
          </cell>
          <cell r="K150">
            <v>3.7481979041814415</v>
          </cell>
          <cell r="L150">
            <v>3.7481979041814415</v>
          </cell>
          <cell r="M150">
            <v>24.571519594078339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>
            <v>146.44815496592585</v>
          </cell>
          <cell r="H151">
            <v>146.44815496592585</v>
          </cell>
          <cell r="I151">
            <v>0.30698408929244192</v>
          </cell>
          <cell r="J151">
            <v>0.30698408929244192</v>
          </cell>
          <cell r="K151">
            <v>26.415925029939295</v>
          </cell>
          <cell r="L151">
            <v>26.415925029939295</v>
          </cell>
          <cell r="M151">
            <v>173.17106408515761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>
            <v>74.698656974358983</v>
          </cell>
          <cell r="H152">
            <v>7.4698656974358985E-2</v>
          </cell>
          <cell r="I152">
            <v>0.20084297142857141</v>
          </cell>
          <cell r="J152">
            <v>2.0084297142857141E-4</v>
          </cell>
          <cell r="K152">
            <v>13.481909990241759</v>
          </cell>
          <cell r="L152">
            <v>1.3481909990241759E-2</v>
          </cell>
          <cell r="M152">
            <v>88.381409936029314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674.55631484374999</v>
          </cell>
          <cell r="H153">
            <v>0.67455631484375</v>
          </cell>
          <cell r="I153">
            <v>0.73530939285714281</v>
          </cell>
          <cell r="J153">
            <v>7.3530939285714283E-4</v>
          </cell>
          <cell r="K153">
            <v>121.55249236258929</v>
          </cell>
          <cell r="L153">
            <v>0.12155249236258929</v>
          </cell>
          <cell r="M153">
            <v>796.84411659919647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2733.832063092199</v>
          </cell>
          <cell r="H155">
            <v>2.7338320630921991</v>
          </cell>
          <cell r="I155">
            <v>9.6664680851063824</v>
          </cell>
          <cell r="J155">
            <v>9.666468085106383E-3</v>
          </cell>
          <cell r="K155">
            <v>493.82973561191494</v>
          </cell>
          <cell r="L155">
            <v>0.49382973561191496</v>
          </cell>
          <cell r="M155">
            <v>3237.3282667892204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>
            <v>3197.7230720946345</v>
          </cell>
          <cell r="H156">
            <v>3.1977230720946346</v>
          </cell>
          <cell r="I156">
            <v>22.073035384300038</v>
          </cell>
          <cell r="J156">
            <v>2.2073035384300038E-2</v>
          </cell>
          <cell r="K156">
            <v>579.56329934620817</v>
          </cell>
          <cell r="L156">
            <v>0.5795632993462082</v>
          </cell>
          <cell r="M156">
            <v>3799.3594068251427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>
            <v>345.47432507488986</v>
          </cell>
          <cell r="H157">
            <v>0.34547432507488984</v>
          </cell>
          <cell r="I157">
            <v>19.250399999999999</v>
          </cell>
          <cell r="J157">
            <v>1.9250399999999997E-2</v>
          </cell>
          <cell r="K157">
            <v>65.65045051348018</v>
          </cell>
          <cell r="L157">
            <v>6.5650450513480174E-2</v>
          </cell>
          <cell r="M157">
            <v>430.37517558837004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>
            <v>786.7699663983143</v>
          </cell>
          <cell r="H158">
            <v>0.78676996639831431</v>
          </cell>
          <cell r="I158">
            <v>0.4195121951219512</v>
          </cell>
          <cell r="J158">
            <v>4.1951219512195118E-4</v>
          </cell>
          <cell r="K158">
            <v>141.69410614681851</v>
          </cell>
          <cell r="L158">
            <v>0.14169410614681852</v>
          </cell>
          <cell r="M158">
            <v>928.88358474025472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2022.8413155242406</v>
          </cell>
          <cell r="H159">
            <v>2.0228413155242406</v>
          </cell>
          <cell r="I159">
            <v>22.635074153035958</v>
          </cell>
          <cell r="J159">
            <v>2.2635074153035957E-2</v>
          </cell>
          <cell r="K159">
            <v>368.18575014190975</v>
          </cell>
          <cell r="L159">
            <v>0.36818575014190974</v>
          </cell>
          <cell r="M159">
            <v>2413.6621398191865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3250.5430822915569</v>
          </cell>
          <cell r="H160">
            <v>3.2505430822915566</v>
          </cell>
          <cell r="I160">
            <v>10.457021041720253</v>
          </cell>
          <cell r="J160">
            <v>1.0457021041720253E-2</v>
          </cell>
          <cell r="K160">
            <v>586.98001859998988</v>
          </cell>
          <cell r="L160">
            <v>0.58698001859998983</v>
          </cell>
          <cell r="M160">
            <v>3847.9801219332667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>
            <v>3065.3532596191235</v>
          </cell>
          <cell r="H161">
            <v>3.0653532596191235</v>
          </cell>
          <cell r="I161">
            <v>33.575727587708244</v>
          </cell>
          <cell r="J161">
            <v>3.3575727587708243E-2</v>
          </cell>
          <cell r="K161">
            <v>557.8072176972297</v>
          </cell>
          <cell r="L161">
            <v>0.55780721769722974</v>
          </cell>
          <cell r="M161">
            <v>3656.7362049040612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4169.3859473000002</v>
          </cell>
          <cell r="H162">
            <v>4.1693859473000003</v>
          </cell>
          <cell r="I162">
            <v>11.123712234298731</v>
          </cell>
          <cell r="J162">
            <v>1.1123712234298731E-2</v>
          </cell>
          <cell r="K162">
            <v>752.49173871617381</v>
          </cell>
          <cell r="L162">
            <v>0.75249173871617381</v>
          </cell>
          <cell r="M162">
            <v>4933.0013982504734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1731.2694774235827</v>
          </cell>
          <cell r="H164">
            <v>1.7312694774235826</v>
          </cell>
          <cell r="I164">
            <v>6.3061469376409365</v>
          </cell>
          <cell r="J164">
            <v>6.3061469376409366E-3</v>
          </cell>
          <cell r="K164">
            <v>312.76361238502022</v>
          </cell>
          <cell r="L164">
            <v>0.31276361238502021</v>
          </cell>
          <cell r="M164">
            <v>2050.3392367462438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>
            <v>1700.8062727272729</v>
          </cell>
          <cell r="H165">
            <v>1.700806272727273</v>
          </cell>
          <cell r="I165">
            <v>0</v>
          </cell>
          <cell r="J165">
            <v>0</v>
          </cell>
          <cell r="K165">
            <v>306.14512909090911</v>
          </cell>
          <cell r="L165">
            <v>0.30614512909090913</v>
          </cell>
          <cell r="M165">
            <v>2006.9514018181821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2905.2996276363638</v>
          </cell>
          <cell r="H166">
            <v>2.9052996276363636</v>
          </cell>
          <cell r="I166">
            <v>0</v>
          </cell>
          <cell r="J166">
            <v>0</v>
          </cell>
          <cell r="K166">
            <v>522.95393297454541</v>
          </cell>
          <cell r="L166">
            <v>0.5229539329745454</v>
          </cell>
          <cell r="M166">
            <v>3428.2535606109091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4705.4037711398687</v>
          </cell>
          <cell r="H167">
            <v>4.7054037711398689</v>
          </cell>
          <cell r="I167">
            <v>0.61866952345679005</v>
          </cell>
          <cell r="J167">
            <v>6.1866952345679003E-4</v>
          </cell>
          <cell r="K167">
            <v>847.08403931939847</v>
          </cell>
          <cell r="L167">
            <v>0.84708403931939846</v>
          </cell>
          <cell r="M167">
            <v>5553.1064799827236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1690.1221517287279</v>
          </cell>
          <cell r="H168">
            <v>1.6901221517287279</v>
          </cell>
          <cell r="I168">
            <v>4.4023736927223727</v>
          </cell>
          <cell r="J168">
            <v>4.4023736927223727E-3</v>
          </cell>
          <cell r="K168">
            <v>305.01441457586105</v>
          </cell>
          <cell r="L168">
            <v>0.30501441457586104</v>
          </cell>
          <cell r="M168">
            <v>1999.5389399973114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2080.2293827160493</v>
          </cell>
          <cell r="H169">
            <v>2.0802293827160492</v>
          </cell>
          <cell r="I169">
            <v>0</v>
          </cell>
          <cell r="J169">
            <v>0</v>
          </cell>
          <cell r="K169">
            <v>374.44128888888883</v>
          </cell>
          <cell r="L169">
            <v>0.37444128888888883</v>
          </cell>
          <cell r="M169">
            <v>2454.670671604938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2311.5165807692306</v>
          </cell>
          <cell r="H170">
            <v>2.3115165807692306</v>
          </cell>
          <cell r="I170">
            <v>0.10230769230769231</v>
          </cell>
          <cell r="J170">
            <v>1.023076923076923E-4</v>
          </cell>
          <cell r="K170">
            <v>416.09139992307684</v>
          </cell>
          <cell r="L170">
            <v>0.41609139992307681</v>
          </cell>
          <cell r="M170">
            <v>2727.7102883846151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2548.8797543999999</v>
          </cell>
          <cell r="H171">
            <v>2.5488797543999997</v>
          </cell>
          <cell r="I171">
            <v>0</v>
          </cell>
          <cell r="J171">
            <v>0</v>
          </cell>
          <cell r="K171">
            <v>458.798355792</v>
          </cell>
          <cell r="L171">
            <v>0.45879835579200001</v>
          </cell>
          <cell r="M171">
            <v>3007.6781101920001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2570.0837697959182</v>
          </cell>
          <cell r="H172">
            <v>2.570083769795918</v>
          </cell>
          <cell r="I172">
            <v>0</v>
          </cell>
          <cell r="J172">
            <v>0</v>
          </cell>
          <cell r="K172">
            <v>462.61507856326529</v>
          </cell>
          <cell r="L172">
            <v>0.46261507856326528</v>
          </cell>
          <cell r="M172">
            <v>3032.6988483591836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2552.0617917739405</v>
          </cell>
          <cell r="H173">
            <v>2.5520617917739403</v>
          </cell>
          <cell r="I173">
            <v>0</v>
          </cell>
          <cell r="J173">
            <v>0</v>
          </cell>
          <cell r="K173">
            <v>459.37112251930927</v>
          </cell>
          <cell r="L173">
            <v>0.45937112251930928</v>
          </cell>
          <cell r="M173">
            <v>3011.4329142932497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4671.1972836666673</v>
          </cell>
          <cell r="H174">
            <v>4.6711972836666673</v>
          </cell>
          <cell r="I174">
            <v>0</v>
          </cell>
          <cell r="J174">
            <v>0</v>
          </cell>
          <cell r="K174">
            <v>840.81551106000006</v>
          </cell>
          <cell r="L174">
            <v>0.84081551106000008</v>
          </cell>
          <cell r="M174">
            <v>5512.0127947266674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3036.7236488398689</v>
          </cell>
          <cell r="H175">
            <v>3.0367236488398688</v>
          </cell>
          <cell r="I175">
            <v>2.1354365079365079</v>
          </cell>
          <cell r="J175">
            <v>2.1354365079365081E-3</v>
          </cell>
          <cell r="K175">
            <v>546.99463536260498</v>
          </cell>
          <cell r="L175">
            <v>0.54699463536260495</v>
          </cell>
          <cell r="M175">
            <v>3585.8537207104105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2500.8875739644973</v>
          </cell>
          <cell r="H176">
            <v>2.5008875739644973</v>
          </cell>
          <cell r="I176">
            <v>20.512820512820515</v>
          </cell>
          <cell r="J176">
            <v>2.0512820512820516E-2</v>
          </cell>
          <cell r="K176">
            <v>453.85207100591714</v>
          </cell>
          <cell r="L176">
            <v>0.45385207100591712</v>
          </cell>
          <cell r="M176">
            <v>2975.2524654832346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980.72025084666097</v>
          </cell>
          <cell r="H177">
            <v>980.72025084666097</v>
          </cell>
          <cell r="I177">
            <v>3.7389025408215</v>
          </cell>
          <cell r="J177">
            <v>3.7389025408215</v>
          </cell>
          <cell r="K177">
            <v>177.20264760974683</v>
          </cell>
          <cell r="L177">
            <v>177.20264760974683</v>
          </cell>
          <cell r="M177">
            <v>1161.6618009972294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>
            <v>1219.9338583397016</v>
          </cell>
          <cell r="H178">
            <v>1219.9338583397016</v>
          </cell>
          <cell r="I178">
            <v>5.4291053587279157</v>
          </cell>
          <cell r="J178">
            <v>5.4291053587279157</v>
          </cell>
          <cell r="K178">
            <v>220.56533346571729</v>
          </cell>
          <cell r="L178">
            <v>220.56533346571729</v>
          </cell>
          <cell r="M178">
            <v>1445.9282971641467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14.736820000000002</v>
          </cell>
          <cell r="H179">
            <v>1.4736820000000001E-2</v>
          </cell>
          <cell r="I179">
            <v>0</v>
          </cell>
          <cell r="J179">
            <v>0</v>
          </cell>
          <cell r="K179">
            <v>2.6526276000000002</v>
          </cell>
          <cell r="L179">
            <v>2.6526276000000001E-3</v>
          </cell>
          <cell r="M179">
            <v>17.3894476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8.6841975000000016</v>
          </cell>
          <cell r="H180">
            <v>8.6841975000000009E-3</v>
          </cell>
          <cell r="I180">
            <v>0</v>
          </cell>
          <cell r="J180">
            <v>0</v>
          </cell>
          <cell r="K180">
            <v>1.5631555500000003</v>
          </cell>
          <cell r="L180">
            <v>1.5631555500000003E-3</v>
          </cell>
          <cell r="M180">
            <v>10.247353050000001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2435.7769357988163</v>
          </cell>
          <cell r="H181">
            <v>2.4357769357988164</v>
          </cell>
          <cell r="I181">
            <v>0.10230769230769231</v>
          </cell>
          <cell r="J181">
            <v>1.023076923076923E-4</v>
          </cell>
          <cell r="K181">
            <v>438.45826382840227</v>
          </cell>
          <cell r="L181">
            <v>0.43845826382840225</v>
          </cell>
          <cell r="M181">
            <v>2874.3375073195261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2420.5462213289939</v>
          </cell>
          <cell r="H182">
            <v>2.4205462213289937</v>
          </cell>
          <cell r="I182">
            <v>0.10230769230769231</v>
          </cell>
          <cell r="J182">
            <v>1.023076923076923E-4</v>
          </cell>
          <cell r="K182">
            <v>435.71673522383423</v>
          </cell>
          <cell r="L182">
            <v>0.43571673522383425</v>
          </cell>
          <cell r="M182">
            <v>2856.3652642451357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151.01027803078128</v>
          </cell>
          <cell r="H183">
            <v>151.01027803078128</v>
          </cell>
          <cell r="I183">
            <v>0.61688794952619053</v>
          </cell>
          <cell r="J183">
            <v>0.61688794952619053</v>
          </cell>
          <cell r="K183">
            <v>27.292889876455344</v>
          </cell>
          <cell r="L183">
            <v>27.292889876455344</v>
          </cell>
          <cell r="M183">
            <v>178.92005585676281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116.59004176522339</v>
          </cell>
          <cell r="H184">
            <v>116.59004176522339</v>
          </cell>
          <cell r="I184">
            <v>0.45266345116666673</v>
          </cell>
          <cell r="J184">
            <v>0.45266345116666673</v>
          </cell>
          <cell r="K184">
            <v>21.06768693895021</v>
          </cell>
          <cell r="L184">
            <v>21.06768693895021</v>
          </cell>
          <cell r="M184">
            <v>138.11039215534026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>
            <v>92.427997222678115</v>
          </cell>
          <cell r="H185">
            <v>92.427997222678115</v>
          </cell>
          <cell r="I185">
            <v>1.834987631804917</v>
          </cell>
          <cell r="J185">
            <v>1.834987631804917</v>
          </cell>
          <cell r="K185">
            <v>16.967337273806947</v>
          </cell>
          <cell r="L185">
            <v>16.967337273806947</v>
          </cell>
          <cell r="M185">
            <v>111.23032212828998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32.482304723896284</v>
          </cell>
          <cell r="H186">
            <v>32.482304723896284</v>
          </cell>
          <cell r="I186">
            <v>1.2355198612274827</v>
          </cell>
          <cell r="J186">
            <v>1.2355198612274827</v>
          </cell>
          <cell r="K186">
            <v>6.0692084253222776</v>
          </cell>
          <cell r="L186">
            <v>6.0692084253222776</v>
          </cell>
          <cell r="M186">
            <v>39.787033010446045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>
            <v>211.86587793396512</v>
          </cell>
          <cell r="H187">
            <v>211.86587793396512</v>
          </cell>
          <cell r="I187">
            <v>1.9865808882750822</v>
          </cell>
          <cell r="J187">
            <v>1.9865808882750822</v>
          </cell>
          <cell r="K187">
            <v>38.493442588003234</v>
          </cell>
          <cell r="L187">
            <v>38.493442588003234</v>
          </cell>
          <cell r="M187">
            <v>252.34590141024344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1047.3570193317335</v>
          </cell>
          <cell r="H188">
            <v>1.0473570193317334</v>
          </cell>
          <cell r="I188">
            <v>24.830661681879363</v>
          </cell>
          <cell r="J188">
            <v>2.4830661681879362E-2</v>
          </cell>
          <cell r="K188">
            <v>192.99378258245028</v>
          </cell>
          <cell r="L188">
            <v>0.19299378258245029</v>
          </cell>
          <cell r="M188">
            <v>1265.1814635960629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18.183517746549324</v>
          </cell>
          <cell r="H189">
            <v>18.183517746549324</v>
          </cell>
          <cell r="I189">
            <v>8.6446774180772845E-2</v>
          </cell>
          <cell r="J189">
            <v>8.6446774180772845E-2</v>
          </cell>
          <cell r="K189">
            <v>3.2885936137314169</v>
          </cell>
          <cell r="L189">
            <v>3.2885936137314169</v>
          </cell>
          <cell r="M189">
            <v>21.558558134461514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855.10302868734209</v>
          </cell>
          <cell r="H190">
            <v>855.10302868734209</v>
          </cell>
          <cell r="I190">
            <v>34.469705701927744</v>
          </cell>
          <cell r="J190">
            <v>34.469705701927744</v>
          </cell>
          <cell r="K190">
            <v>160.12309219006858</v>
          </cell>
          <cell r="L190">
            <v>160.12309219006858</v>
          </cell>
          <cell r="M190">
            <v>1049.6958265793385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28.199463329978187</v>
          </cell>
          <cell r="H191">
            <v>28.199463329978187</v>
          </cell>
          <cell r="I191">
            <v>0.24066015584415587</v>
          </cell>
          <cell r="J191">
            <v>0.24066015584415587</v>
          </cell>
          <cell r="K191">
            <v>5.1192222274480219</v>
          </cell>
          <cell r="L191">
            <v>5.1192222274480219</v>
          </cell>
          <cell r="M191">
            <v>33.559345713270368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13.020592326936573</v>
          </cell>
          <cell r="H192">
            <v>13.020592326936573</v>
          </cell>
          <cell r="I192">
            <v>0.14106612087472528</v>
          </cell>
          <cell r="J192">
            <v>0.14106612087472528</v>
          </cell>
          <cell r="K192">
            <v>2.3690985206060335</v>
          </cell>
          <cell r="L192">
            <v>2.3690985206060335</v>
          </cell>
          <cell r="M192">
            <v>15.530756968417332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>
            <v>123.23849357252328</v>
          </cell>
          <cell r="H193">
            <v>123.23849357252328</v>
          </cell>
          <cell r="I193">
            <v>0.40817757283177664</v>
          </cell>
          <cell r="J193">
            <v>0.40817757283177664</v>
          </cell>
          <cell r="K193">
            <v>22.25640080616391</v>
          </cell>
          <cell r="L193">
            <v>22.25640080616391</v>
          </cell>
          <cell r="M193">
            <v>145.90307195151897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>
            <v>1119.0113017476708</v>
          </cell>
          <cell r="H194">
            <v>1.1190113017476708</v>
          </cell>
          <cell r="I194">
            <v>31.393851377074341</v>
          </cell>
          <cell r="J194">
            <v>3.1393851377074344E-2</v>
          </cell>
          <cell r="K194">
            <v>207.07292756245411</v>
          </cell>
          <cell r="L194">
            <v>0.2070729275624541</v>
          </cell>
          <cell r="M194">
            <v>1357.4780806871993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787.10724549019619</v>
          </cell>
          <cell r="H195">
            <v>0.78710724549019617</v>
          </cell>
          <cell r="I195">
            <v>4.1278618113912229</v>
          </cell>
          <cell r="J195">
            <v>4.1278618113912225E-3</v>
          </cell>
          <cell r="K195">
            <v>142.42231931428572</v>
          </cell>
          <cell r="L195">
            <v>0.14242231931428573</v>
          </cell>
          <cell r="M195">
            <v>933.65742661587308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5107.0512754004876</v>
          </cell>
          <cell r="H196">
            <v>5.1070512754004875</v>
          </cell>
          <cell r="I196">
            <v>6.0775174193548374</v>
          </cell>
          <cell r="J196">
            <v>6.0775174193548375E-3</v>
          </cell>
          <cell r="K196">
            <v>920.36318270757158</v>
          </cell>
          <cell r="L196">
            <v>0.92036318270757156</v>
          </cell>
          <cell r="M196">
            <v>6033.4919755274141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729.56181257871094</v>
          </cell>
          <cell r="H197">
            <v>0.72956181257871089</v>
          </cell>
          <cell r="I197">
            <v>4.8131542825604692</v>
          </cell>
          <cell r="J197">
            <v>4.813154282560469E-3</v>
          </cell>
          <cell r="K197">
            <v>132.18749403502886</v>
          </cell>
          <cell r="L197">
            <v>0.13218749403502886</v>
          </cell>
          <cell r="M197">
            <v>866.56246089630031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1043.0402741254074</v>
          </cell>
          <cell r="H198">
            <v>1.0430402741254075</v>
          </cell>
          <cell r="I198">
            <v>4.1151222833333341</v>
          </cell>
          <cell r="J198">
            <v>4.1151222833333339E-3</v>
          </cell>
          <cell r="K198">
            <v>188.4879713535733</v>
          </cell>
          <cell r="L198">
            <v>0.18848797135357331</v>
          </cell>
          <cell r="M198">
            <v>1235.643367762314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1808.4456904080816</v>
          </cell>
          <cell r="H199">
            <v>1.8084456904080817</v>
          </cell>
          <cell r="I199">
            <v>17.485861229722659</v>
          </cell>
          <cell r="J199">
            <v>1.7485861229722659E-2</v>
          </cell>
          <cell r="K199">
            <v>328.66767929480477</v>
          </cell>
          <cell r="L199">
            <v>0.32866767929480478</v>
          </cell>
          <cell r="M199">
            <v>2154.5992309326089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1566.6368516654547</v>
          </cell>
          <cell r="H200">
            <v>1.5666368516654547</v>
          </cell>
          <cell r="I200">
            <v>13.370008658008659</v>
          </cell>
          <cell r="J200">
            <v>1.3370008658008659E-2</v>
          </cell>
          <cell r="K200">
            <v>284.4012348582234</v>
          </cell>
          <cell r="L200">
            <v>0.28440123485822338</v>
          </cell>
          <cell r="M200">
            <v>1864.4080951816868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1245.5018045996612</v>
          </cell>
          <cell r="H201">
            <v>1.2455018045996613</v>
          </cell>
          <cell r="I201">
            <v>13.899775837776851</v>
          </cell>
          <cell r="J201">
            <v>1.3899775837776851E-2</v>
          </cell>
          <cell r="K201">
            <v>226.69228447873883</v>
          </cell>
          <cell r="L201">
            <v>0.22669228447873882</v>
          </cell>
          <cell r="M201">
            <v>1486.0938649161769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>
            <v>6.8179820607260249</v>
          </cell>
          <cell r="H202">
            <v>6.8179820607260249</v>
          </cell>
          <cell r="I202">
            <v>0.18995501378625559</v>
          </cell>
          <cell r="J202">
            <v>0.18995501378625559</v>
          </cell>
          <cell r="K202">
            <v>1.2614286734122104</v>
          </cell>
          <cell r="L202">
            <v>1.2614286734122104</v>
          </cell>
          <cell r="M202">
            <v>8.2693657479244909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70.858984800828509</v>
          </cell>
          <cell r="H203">
            <v>70.858984800828509</v>
          </cell>
          <cell r="I203">
            <v>0.60472549160173161</v>
          </cell>
          <cell r="J203">
            <v>0.60472549160173161</v>
          </cell>
          <cell r="K203">
            <v>12.863467852637442</v>
          </cell>
          <cell r="L203">
            <v>12.863467852637442</v>
          </cell>
          <cell r="M203">
            <v>84.327178145067677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1217.2279999043506</v>
          </cell>
          <cell r="H204">
            <v>1.2172279999043505</v>
          </cell>
          <cell r="I204">
            <v>4.8023477046500007</v>
          </cell>
          <cell r="J204">
            <v>4.8023477046500009E-3</v>
          </cell>
          <cell r="K204">
            <v>219.96546256962009</v>
          </cell>
          <cell r="L204">
            <v>0.21996546256962007</v>
          </cell>
          <cell r="M204">
            <v>1441.9958101786206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29.656299705185152</v>
          </cell>
          <cell r="H205">
            <v>29.656299705185152</v>
          </cell>
          <cell r="I205">
            <v>0.13531173214622094</v>
          </cell>
          <cell r="J205">
            <v>0.13531173214622094</v>
          </cell>
          <cell r="K205">
            <v>5.3624900587196471</v>
          </cell>
          <cell r="L205">
            <v>5.3624900587196471</v>
          </cell>
          <cell r="M205">
            <v>35.15410149605102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745.83316963709694</v>
          </cell>
          <cell r="H207">
            <v>0.74583316963709689</v>
          </cell>
          <cell r="I207">
            <v>9.6928763440860219</v>
          </cell>
          <cell r="J207">
            <v>9.6928763440860214E-3</v>
          </cell>
          <cell r="K207">
            <v>135.99468827661292</v>
          </cell>
          <cell r="L207">
            <v>0.13599468827661293</v>
          </cell>
          <cell r="M207">
            <v>891.52073425779588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1743.6379999999999</v>
          </cell>
          <cell r="H208">
            <v>1.743638</v>
          </cell>
          <cell r="I208">
            <v>52.656906187624749</v>
          </cell>
          <cell r="J208">
            <v>5.2656906187624745E-2</v>
          </cell>
          <cell r="K208">
            <v>323.33308311377243</v>
          </cell>
          <cell r="L208">
            <v>0.32333308311377246</v>
          </cell>
          <cell r="M208">
            <v>2119.6279893013971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1743.6379999999999</v>
          </cell>
          <cell r="H209">
            <v>1.743638</v>
          </cell>
          <cell r="I209">
            <v>89.341317365269461</v>
          </cell>
          <cell r="J209">
            <v>8.9341317365269457E-2</v>
          </cell>
          <cell r="K209">
            <v>329.93627712574852</v>
          </cell>
          <cell r="L209">
            <v>0.32993627712574852</v>
          </cell>
          <cell r="M209">
            <v>2162.9155944910181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9902.9920000000002</v>
          </cell>
          <cell r="H210">
            <v>9.9029919999999994</v>
          </cell>
          <cell r="I210">
            <v>7.2466666666666661</v>
          </cell>
          <cell r="J210">
            <v>7.246666666666666E-3</v>
          </cell>
          <cell r="K210">
            <v>1783.8429599999999</v>
          </cell>
          <cell r="L210">
            <v>1.7838429599999999</v>
          </cell>
          <cell r="M210">
            <v>11694.081626666666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9902.9920000000002</v>
          </cell>
          <cell r="H211">
            <v>9.9029919999999994</v>
          </cell>
          <cell r="I211">
            <v>13.333333333333332</v>
          </cell>
          <cell r="J211">
            <v>1.3333333333333332E-2</v>
          </cell>
          <cell r="K211">
            <v>1784.9385600000001</v>
          </cell>
          <cell r="L211">
            <v>1.7849385600000001</v>
          </cell>
          <cell r="M211">
            <v>11701.263893333335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1743.6379999999999</v>
          </cell>
          <cell r="H212">
            <v>1.743638</v>
          </cell>
          <cell r="I212">
            <v>112.97604790419163</v>
          </cell>
          <cell r="J212">
            <v>0.11297604790419163</v>
          </cell>
          <cell r="K212">
            <v>334.19052862275447</v>
          </cell>
          <cell r="L212">
            <v>0.33419052862275445</v>
          </cell>
          <cell r="M212">
            <v>2190.8045765269458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887.91940479805646</v>
          </cell>
          <cell r="H213">
            <v>0.88791940479805642</v>
          </cell>
          <cell r="I213">
            <v>6.0698740474021369</v>
          </cell>
          <cell r="J213">
            <v>6.0698740474021372E-3</v>
          </cell>
          <cell r="K213">
            <v>160.91807019218254</v>
          </cell>
          <cell r="L213">
            <v>0.16091807019218254</v>
          </cell>
          <cell r="M213">
            <v>1054.9073490376411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710.50830069705091</v>
          </cell>
          <cell r="H214">
            <v>0.71050830069705095</v>
          </cell>
          <cell r="I214">
            <v>4.5151946891357078</v>
          </cell>
          <cell r="J214">
            <v>4.5151946891357079E-3</v>
          </cell>
          <cell r="K214">
            <v>128.70422916951358</v>
          </cell>
          <cell r="L214">
            <v>0.12870422916951357</v>
          </cell>
          <cell r="M214">
            <v>843.72772455570021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2063.4384707287932</v>
          </cell>
          <cell r="H215">
            <v>2.0634384707287934</v>
          </cell>
          <cell r="I215">
            <v>21.189622802526028</v>
          </cell>
          <cell r="J215">
            <v>2.1189622802526027E-2</v>
          </cell>
          <cell r="K215">
            <v>375.23305683563746</v>
          </cell>
          <cell r="L215">
            <v>0.37523305683563746</v>
          </cell>
          <cell r="M215">
            <v>2459.8611503669567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457.04124051197903</v>
          </cell>
          <cell r="H216">
            <v>0.45704124051197903</v>
          </cell>
          <cell r="I216">
            <v>15.950114867082375</v>
          </cell>
          <cell r="J216">
            <v>1.5950114867082376E-2</v>
          </cell>
          <cell r="K216">
            <v>85.138443968231059</v>
          </cell>
          <cell r="L216">
            <v>8.5138443968231059E-2</v>
          </cell>
          <cell r="M216">
            <v>558.12979934729242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9902.9920000000002</v>
          </cell>
          <cell r="H217">
            <v>9.9029919999999994</v>
          </cell>
          <cell r="I217">
            <v>6.1726666666666663</v>
          </cell>
          <cell r="J217">
            <v>6.1726666666666666E-3</v>
          </cell>
          <cell r="K217">
            <v>1783.6496400000001</v>
          </cell>
          <cell r="L217">
            <v>1.7836496400000001</v>
          </cell>
          <cell r="M217">
            <v>11692.814306666667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1575.6340909284838</v>
          </cell>
          <cell r="H218">
            <v>1.5756340909284838</v>
          </cell>
          <cell r="I218">
            <v>0.78660031695238108</v>
          </cell>
          <cell r="J218">
            <v>7.8660031695238105E-4</v>
          </cell>
          <cell r="K218">
            <v>283.75572442417854</v>
          </cell>
          <cell r="L218">
            <v>0.28375572442417851</v>
          </cell>
          <cell r="M218">
            <v>1860.1764156696149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2805.1123787540432</v>
          </cell>
          <cell r="H219">
            <v>2.8051123787540431</v>
          </cell>
          <cell r="I219">
            <v>1.84845204906981</v>
          </cell>
          <cell r="J219">
            <v>1.8484520490698101E-3</v>
          </cell>
          <cell r="K219">
            <v>505.25294954456029</v>
          </cell>
          <cell r="L219">
            <v>0.50525294954456035</v>
          </cell>
          <cell r="M219">
            <v>3312.213780347673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2254.9061866666666</v>
          </cell>
          <cell r="H220">
            <v>2.2549061866666666</v>
          </cell>
          <cell r="I220">
            <v>2.726E-2</v>
          </cell>
          <cell r="J220">
            <v>2.726E-5</v>
          </cell>
          <cell r="K220">
            <v>405.88802039999996</v>
          </cell>
          <cell r="L220">
            <v>0.40588802039999994</v>
          </cell>
          <cell r="M220">
            <v>2660.8214670666666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>
            <v>1423.3544205714286</v>
          </cell>
          <cell r="H221">
            <v>1.4233544205714286</v>
          </cell>
          <cell r="I221">
            <v>0</v>
          </cell>
          <cell r="J221">
            <v>0</v>
          </cell>
          <cell r="K221">
            <v>256.20379570285712</v>
          </cell>
          <cell r="L221">
            <v>0.25620379570285712</v>
          </cell>
          <cell r="M221">
            <v>1679.5582162742858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1399.525113880874</v>
          </cell>
          <cell r="H222">
            <v>1.399525113880874</v>
          </cell>
          <cell r="I222">
            <v>10.132160525108107</v>
          </cell>
          <cell r="J222">
            <v>1.0132160525108107E-2</v>
          </cell>
          <cell r="K222">
            <v>253.73830939307675</v>
          </cell>
          <cell r="L222">
            <v>0.25373830939307673</v>
          </cell>
          <cell r="M222">
            <v>1663.3955837990588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2280.6412075640264</v>
          </cell>
          <cell r="H223">
            <v>2.2806412075640266</v>
          </cell>
          <cell r="I223">
            <v>15.966807853805742</v>
          </cell>
          <cell r="J223">
            <v>1.5966807853805741E-2</v>
          </cell>
          <cell r="K223">
            <v>413.38944277520977</v>
          </cell>
          <cell r="L223">
            <v>0.41338944277520978</v>
          </cell>
          <cell r="M223">
            <v>2709.9974581930419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814.03703703703673</v>
          </cell>
          <cell r="H224">
            <v>0.81403703703703667</v>
          </cell>
          <cell r="I224">
            <v>0</v>
          </cell>
          <cell r="J224">
            <v>0</v>
          </cell>
          <cell r="K224">
            <v>146.52666666666661</v>
          </cell>
          <cell r="L224">
            <v>0.14652666666666661</v>
          </cell>
          <cell r="M224">
            <v>960.56370370370337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2441.91</v>
          </cell>
          <cell r="H225">
            <v>2.44191</v>
          </cell>
          <cell r="I225">
            <v>32</v>
          </cell>
          <cell r="J225">
            <v>3.2000000000000001E-2</v>
          </cell>
          <cell r="K225">
            <v>445.30379999999997</v>
          </cell>
          <cell r="L225">
            <v>0.44530379999999997</v>
          </cell>
          <cell r="M225">
            <v>2919.2138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2589.2930639597316</v>
          </cell>
          <cell r="H226">
            <v>2.5892930639597318</v>
          </cell>
          <cell r="I226">
            <v>41.07681925</v>
          </cell>
          <cell r="J226">
            <v>4.107681925E-2</v>
          </cell>
          <cell r="K226">
            <v>473.46657897775168</v>
          </cell>
          <cell r="L226">
            <v>0.47346657897775168</v>
          </cell>
          <cell r="M226">
            <v>3103.8364621874834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>
            <v>1531.6634364444446</v>
          </cell>
          <cell r="H227">
            <v>1.5316634364444446</v>
          </cell>
          <cell r="I227">
            <v>0</v>
          </cell>
          <cell r="J227">
            <v>0</v>
          </cell>
          <cell r="K227">
            <v>275.69941856000003</v>
          </cell>
          <cell r="L227">
            <v>0.27569941856000002</v>
          </cell>
          <cell r="M227">
            <v>1807.3628550044446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10.666666666666668</v>
          </cell>
          <cell r="H228">
            <v>1.0666666666666668E-2</v>
          </cell>
          <cell r="I228">
            <v>21.826666666666668</v>
          </cell>
          <cell r="J228">
            <v>2.1826666666666668E-2</v>
          </cell>
          <cell r="K228">
            <v>5.8488000000000007</v>
          </cell>
          <cell r="L228">
            <v>5.8488000000000004E-3</v>
          </cell>
          <cell r="M228">
            <v>38.342133333333337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2335.1705555555554</v>
          </cell>
          <cell r="H229">
            <v>2.3351705555555555</v>
          </cell>
          <cell r="I229" t="e">
            <v>#N/A</v>
          </cell>
          <cell r="J229" t="e">
            <v>#N/A</v>
          </cell>
          <cell r="K229" t="e">
            <v>#N/A</v>
          </cell>
          <cell r="L229" t="e">
            <v>#N/A</v>
          </cell>
          <cell r="M229" t="e">
            <v>#N/A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1340.6354640908969</v>
          </cell>
          <cell r="H230">
            <v>1.3406354640908968</v>
          </cell>
          <cell r="I230">
            <v>7.3806029934814825</v>
          </cell>
          <cell r="J230">
            <v>7.3806029934814828E-3</v>
          </cell>
          <cell r="K230">
            <v>242.64289207518812</v>
          </cell>
          <cell r="L230">
            <v>0.2426428920751881</v>
          </cell>
          <cell r="M230">
            <v>1590.6589591595666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805.89666666666631</v>
          </cell>
          <cell r="H231">
            <v>0.80589666666666626</v>
          </cell>
          <cell r="I231">
            <v>16</v>
          </cell>
          <cell r="J231">
            <v>1.6E-2</v>
          </cell>
          <cell r="K231">
            <v>147.94139999999993</v>
          </cell>
          <cell r="L231">
            <v>0.14794139999999992</v>
          </cell>
          <cell r="M231">
            <v>969.83806666666624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1713.8206818356355</v>
          </cell>
          <cell r="H232">
            <v>1.7138206818356354</v>
          </cell>
          <cell r="I232">
            <v>2.4281402852571432</v>
          </cell>
          <cell r="J232">
            <v>2.4281402852571431E-3</v>
          </cell>
          <cell r="K232">
            <v>308.92478798176063</v>
          </cell>
          <cell r="L232">
            <v>0.30892478798176065</v>
          </cell>
          <cell r="M232">
            <v>2025.1736101026531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1274.6030711111111</v>
          </cell>
          <cell r="H233">
            <v>1274.6030711111111</v>
          </cell>
          <cell r="I233">
            <v>2.5824449122807018</v>
          </cell>
          <cell r="J233">
            <v>2.5824449122807018</v>
          </cell>
          <cell r="K233">
            <v>229.8933928842105</v>
          </cell>
          <cell r="L233">
            <v>229.8933928842105</v>
          </cell>
          <cell r="M233">
            <v>1507.0789089076022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>
            <v>2407.3901546666671</v>
          </cell>
          <cell r="H234">
            <v>2407.3901546666671</v>
          </cell>
          <cell r="I234">
            <v>314.67599999999999</v>
          </cell>
          <cell r="J234">
            <v>314.67599999999999</v>
          </cell>
          <cell r="K234">
            <v>489.97190784000003</v>
          </cell>
          <cell r="L234">
            <v>489.97190784000003</v>
          </cell>
          <cell r="M234">
            <v>3212.0380625066668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>
            <v>788.18571822222225</v>
          </cell>
          <cell r="H235">
            <v>788.18571822222225</v>
          </cell>
          <cell r="I235">
            <v>0</v>
          </cell>
          <cell r="J235">
            <v>0</v>
          </cell>
          <cell r="K235">
            <v>141.87342928000001</v>
          </cell>
          <cell r="L235">
            <v>141.87342928000001</v>
          </cell>
          <cell r="M235">
            <v>930.05914750222223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>
            <v>1970.9132059654839</v>
          </cell>
          <cell r="H236">
            <v>1970.9132059654839</v>
          </cell>
          <cell r="I236">
            <v>0.37915448430519944</v>
          </cell>
          <cell r="J236">
            <v>0.37915448430519944</v>
          </cell>
          <cell r="K236">
            <v>354.83262488096204</v>
          </cell>
          <cell r="L236">
            <v>354.83262488096204</v>
          </cell>
          <cell r="M236">
            <v>2326.1249853307513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505.53094086401262</v>
          </cell>
          <cell r="H237">
            <v>505.53094086401262</v>
          </cell>
          <cell r="I237">
            <v>0.40217174750014539</v>
          </cell>
          <cell r="J237">
            <v>0.40217174750014539</v>
          </cell>
          <cell r="K237">
            <v>91.067960270072291</v>
          </cell>
          <cell r="L237">
            <v>91.067960270072291</v>
          </cell>
          <cell r="M237">
            <v>597.00107288158506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1276.6642129817446</v>
          </cell>
          <cell r="H238">
            <v>1.2766642129817447</v>
          </cell>
          <cell r="I238">
            <v>0.16021371051001446</v>
          </cell>
          <cell r="J238">
            <v>1.6021371051001446E-4</v>
          </cell>
          <cell r="K238">
            <v>229.82839680460586</v>
          </cell>
          <cell r="L238">
            <v>0.22982839680460587</v>
          </cell>
          <cell r="M238">
            <v>1506.6528234968605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59.547564468330542</v>
          </cell>
          <cell r="H239">
            <v>59.547564468330542</v>
          </cell>
          <cell r="I239">
            <v>1.1738770678710937</v>
          </cell>
          <cell r="J239">
            <v>1.1738770678710937</v>
          </cell>
          <cell r="K239">
            <v>10.929859476516295</v>
          </cell>
          <cell r="L239">
            <v>10.929859476516295</v>
          </cell>
          <cell r="M239">
            <v>71.651301012717937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>
            <v>774.89781919999996</v>
          </cell>
          <cell r="H240">
            <v>0.7748978192</v>
          </cell>
          <cell r="I240">
            <v>9.3461538461538467</v>
          </cell>
          <cell r="J240">
            <v>9.346153846153846E-3</v>
          </cell>
          <cell r="K240">
            <v>141.16391514830767</v>
          </cell>
          <cell r="L240">
            <v>0.14116391514830767</v>
          </cell>
          <cell r="M240">
            <v>925.40788819446141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292.4530276508338</v>
          </cell>
          <cell r="H241">
            <v>292.4530276508338</v>
          </cell>
          <cell r="I241">
            <v>2.7092906382728672</v>
          </cell>
          <cell r="J241">
            <v>2.7092906382728672</v>
          </cell>
          <cell r="K241">
            <v>53.129217292039201</v>
          </cell>
          <cell r="L241">
            <v>53.129217292039201</v>
          </cell>
          <cell r="M241">
            <v>348.29153558114587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916.57361040986723</v>
          </cell>
          <cell r="H242">
            <v>0.91657361040986718</v>
          </cell>
          <cell r="I242">
            <v>0.25745669950421735</v>
          </cell>
          <cell r="J242">
            <v>2.5745669950421734E-4</v>
          </cell>
          <cell r="K242">
            <v>165.02959207968686</v>
          </cell>
          <cell r="L242">
            <v>0.16502959207968687</v>
          </cell>
          <cell r="M242">
            <v>1081.8606591890584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>
            <v>351.19233605583895</v>
          </cell>
          <cell r="H243">
            <v>351.19233605583895</v>
          </cell>
          <cell r="I243">
            <v>19.102501806410256</v>
          </cell>
          <cell r="J243">
            <v>19.102501806410256</v>
          </cell>
          <cell r="K243">
            <v>66.653070815204856</v>
          </cell>
          <cell r="L243">
            <v>66.653070815204856</v>
          </cell>
          <cell r="M243">
            <v>436.94790867745405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866.35822793796569</v>
          </cell>
          <cell r="H244">
            <v>0.86635822793796569</v>
          </cell>
          <cell r="I244">
            <v>0.77464921114467944</v>
          </cell>
          <cell r="J244">
            <v>7.7464921114467941E-4</v>
          </cell>
          <cell r="K244">
            <v>156.08391788683986</v>
          </cell>
          <cell r="L244">
            <v>0.15608391788683987</v>
          </cell>
          <cell r="M244">
            <v>1023.2167950359503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312.25784765262273</v>
          </cell>
          <cell r="H245">
            <v>312.25784765262273</v>
          </cell>
          <cell r="I245">
            <v>2.6294533881578945</v>
          </cell>
          <cell r="J245">
            <v>2.6294533881578945</v>
          </cell>
          <cell r="K245">
            <v>56.679714187340515</v>
          </cell>
          <cell r="L245">
            <v>56.679714187340515</v>
          </cell>
          <cell r="M245">
            <v>371.56701522812114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>
            <v>1149.3234986666666</v>
          </cell>
          <cell r="H246">
            <v>1.1493234986666667</v>
          </cell>
          <cell r="I246">
            <v>6.7777777777777777</v>
          </cell>
          <cell r="J246">
            <v>6.7777777777777775E-3</v>
          </cell>
          <cell r="K246">
            <v>208.09822976000001</v>
          </cell>
          <cell r="L246">
            <v>0.20809822976</v>
          </cell>
          <cell r="M246">
            <v>1364.1995062044446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2050.3041099999996</v>
          </cell>
          <cell r="H247">
            <v>2.0503041099999995</v>
          </cell>
          <cell r="I247">
            <v>1.1573750000000001E-2</v>
          </cell>
          <cell r="J247">
            <v>1.1573750000000001E-5</v>
          </cell>
          <cell r="K247">
            <v>369.0568230749999</v>
          </cell>
          <cell r="L247">
            <v>0.36905682307499987</v>
          </cell>
          <cell r="M247">
            <v>2419.3725068249996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2413.6713177831139</v>
          </cell>
          <cell r="H248">
            <v>2.4136713177831139</v>
          </cell>
          <cell r="I248">
            <v>2.1910563689592588</v>
          </cell>
          <cell r="J248">
            <v>2.1910563689592588E-3</v>
          </cell>
          <cell r="K248">
            <v>434.85522734737316</v>
          </cell>
          <cell r="L248">
            <v>0.43485522734737314</v>
          </cell>
          <cell r="M248">
            <v>2850.7176014994466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1462.08031632389</v>
          </cell>
          <cell r="H249">
            <v>1462.08031632389</v>
          </cell>
          <cell r="I249">
            <v>15.553409456707275</v>
          </cell>
          <cell r="J249">
            <v>15.553409456707275</v>
          </cell>
          <cell r="K249">
            <v>265.97407064050748</v>
          </cell>
          <cell r="L249">
            <v>265.97407064050748</v>
          </cell>
          <cell r="M249">
            <v>1743.6077964211047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258.33727931520275</v>
          </cell>
          <cell r="H250">
            <v>258.33727931520275</v>
          </cell>
          <cell r="I250">
            <v>4.6020344289855064</v>
          </cell>
          <cell r="J250">
            <v>4.6020344289855064</v>
          </cell>
          <cell r="K250">
            <v>47.32907647395389</v>
          </cell>
          <cell r="L250">
            <v>47.32907647395389</v>
          </cell>
          <cell r="M250">
            <v>310.26839021814214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1083.2456032136222</v>
          </cell>
          <cell r="H251">
            <v>1.0832456032136222</v>
          </cell>
          <cell r="I251">
            <v>0.3151437125748503</v>
          </cell>
          <cell r="J251">
            <v>3.151437125748503E-4</v>
          </cell>
          <cell r="K251">
            <v>195.04093444671545</v>
          </cell>
          <cell r="L251">
            <v>0.19504093444671544</v>
          </cell>
          <cell r="M251">
            <v>1278.6016813729125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3135.7937617777779</v>
          </cell>
          <cell r="H252">
            <v>3.1357937617777778</v>
          </cell>
          <cell r="I252">
            <v>0</v>
          </cell>
          <cell r="J252">
            <v>0</v>
          </cell>
          <cell r="K252">
            <v>564.44287712000005</v>
          </cell>
          <cell r="L252">
            <v>0.56444287712000007</v>
          </cell>
          <cell r="M252">
            <v>3700.236638897778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618.44698956971695</v>
          </cell>
          <cell r="H253">
            <v>618.44698956971695</v>
          </cell>
          <cell r="I253">
            <v>57.67671428571429</v>
          </cell>
          <cell r="J253">
            <v>57.67671428571429</v>
          </cell>
          <cell r="K253">
            <v>121.70226669397762</v>
          </cell>
          <cell r="L253">
            <v>121.70226669397762</v>
          </cell>
          <cell r="M253">
            <v>797.82597054940891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3754.240751347495</v>
          </cell>
          <cell r="H254">
            <v>3754.240751347495</v>
          </cell>
          <cell r="I254">
            <v>57.67671428571429</v>
          </cell>
          <cell r="J254">
            <v>57.67671428571429</v>
          </cell>
          <cell r="K254">
            <v>686.1451438139776</v>
          </cell>
          <cell r="L254">
            <v>686.1451438139776</v>
          </cell>
          <cell r="M254">
            <v>4498.0626094471872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1439.8384839703704</v>
          </cell>
          <cell r="H255">
            <v>1.4398384839703704</v>
          </cell>
          <cell r="I255">
            <v>7.1297989417989429</v>
          </cell>
          <cell r="J255">
            <v>7.1297989417989432E-3</v>
          </cell>
          <cell r="K255">
            <v>260.45429092419045</v>
          </cell>
          <cell r="L255">
            <v>0.26045429092419042</v>
          </cell>
          <cell r="M255">
            <v>1707.4225738363598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2954.8665287250542</v>
          </cell>
          <cell r="H256">
            <v>2954.8665287250542</v>
          </cell>
          <cell r="I256">
            <v>60.000338624338625</v>
          </cell>
          <cell r="J256">
            <v>60.000338624338625</v>
          </cell>
          <cell r="K256">
            <v>542.67603612289076</v>
          </cell>
          <cell r="L256">
            <v>542.67603612289076</v>
          </cell>
          <cell r="M256">
            <v>3557.5429034722838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632.7036825161473</v>
          </cell>
          <cell r="H257">
            <v>0.63270368251614728</v>
          </cell>
          <cell r="I257">
            <v>10.811826533477756</v>
          </cell>
          <cell r="J257">
            <v>1.0811826533477757E-2</v>
          </cell>
          <cell r="K257">
            <v>115.83279162893251</v>
          </cell>
          <cell r="L257">
            <v>0.11583279162893251</v>
          </cell>
          <cell r="M257">
            <v>759.34830067855751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1101.0603619130438</v>
          </cell>
          <cell r="H258">
            <v>1.1010603619130439</v>
          </cell>
          <cell r="I258">
            <v>6.9523809523809526</v>
          </cell>
          <cell r="J258">
            <v>6.9523809523809529E-3</v>
          </cell>
          <cell r="K258">
            <v>199.44229371577646</v>
          </cell>
          <cell r="L258">
            <v>0.19944229371577646</v>
          </cell>
          <cell r="M258">
            <v>1307.4550365812013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892.79828305829699</v>
          </cell>
          <cell r="H259">
            <v>892.79828305829699</v>
          </cell>
          <cell r="I259">
            <v>13.65929851388889</v>
          </cell>
          <cell r="J259">
            <v>13.65929851388889</v>
          </cell>
          <cell r="K259">
            <v>163.16236468299346</v>
          </cell>
          <cell r="L259">
            <v>163.16236468299346</v>
          </cell>
          <cell r="M259">
            <v>1069.6199462551792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624.94482752465331</v>
          </cell>
          <cell r="H260">
            <v>624.94482752465331</v>
          </cell>
          <cell r="I260">
            <v>4.5659412041762444</v>
          </cell>
          <cell r="J260">
            <v>4.5659412041762444</v>
          </cell>
          <cell r="K260">
            <v>113.31193837118933</v>
          </cell>
          <cell r="L260">
            <v>113.31193837118933</v>
          </cell>
          <cell r="M260">
            <v>742.82270710001887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164.23964247046629</v>
          </cell>
          <cell r="H261">
            <v>164.23964247046629</v>
          </cell>
          <cell r="I261">
            <v>0.26103051666666666</v>
          </cell>
          <cell r="J261">
            <v>0.26103051666666666</v>
          </cell>
          <cell r="K261">
            <v>29.610121137683933</v>
          </cell>
          <cell r="L261">
            <v>29.610121137683933</v>
          </cell>
          <cell r="M261">
            <v>194.11079412481689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505.53094086401262</v>
          </cell>
          <cell r="H262">
            <v>505.53094086401262</v>
          </cell>
          <cell r="I262">
            <v>4.7714496115778156</v>
          </cell>
          <cell r="J262">
            <v>4.7714496115778156</v>
          </cell>
          <cell r="K262">
            <v>91.85443028560627</v>
          </cell>
          <cell r="L262">
            <v>91.85443028560627</v>
          </cell>
          <cell r="M262">
            <v>602.15682076119674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293.29014142389258</v>
          </cell>
          <cell r="H263">
            <v>293.29014142389258</v>
          </cell>
          <cell r="I263">
            <v>5.1999398212121219</v>
          </cell>
          <cell r="J263">
            <v>5.1999398212121219</v>
          </cell>
          <cell r="K263">
            <v>53.728214624118841</v>
          </cell>
          <cell r="L263">
            <v>53.728214624118841</v>
          </cell>
          <cell r="M263">
            <v>352.21829586922354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648.325073021089</v>
          </cell>
          <cell r="H264">
            <v>648.325073021089</v>
          </cell>
          <cell r="I264">
            <v>10.631959238217522</v>
          </cell>
          <cell r="J264">
            <v>10.631959238217522</v>
          </cell>
          <cell r="K264">
            <v>116.91251860667518</v>
          </cell>
          <cell r="L264">
            <v>116.91251860667518</v>
          </cell>
          <cell r="M264">
            <v>775.86955086598164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680.49477611800967</v>
          </cell>
          <cell r="H265">
            <v>680.49477611800967</v>
          </cell>
          <cell r="I265">
            <v>12.245955778642454</v>
          </cell>
          <cell r="J265">
            <v>12.245955778642454</v>
          </cell>
          <cell r="K265">
            <v>124.69333174139739</v>
          </cell>
          <cell r="L265">
            <v>124.69333174139739</v>
          </cell>
          <cell r="M265">
            <v>817.43406363804957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>
            <v>1399.9868107763707</v>
          </cell>
          <cell r="H266">
            <v>1.3999868107763707</v>
          </cell>
          <cell r="I266">
            <v>25.446453812199067</v>
          </cell>
          <cell r="J266">
            <v>2.5446453812199066E-2</v>
          </cell>
          <cell r="K266">
            <v>256.57798762594257</v>
          </cell>
          <cell r="L266">
            <v>0.25657798762594258</v>
          </cell>
          <cell r="M266">
            <v>1682.0112522145123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1256.396727750438</v>
          </cell>
          <cell r="H267">
            <v>1.256396727750438</v>
          </cell>
          <cell r="I267">
            <v>32.753753500000002</v>
          </cell>
          <cell r="J267">
            <v>3.2753753500000003E-2</v>
          </cell>
          <cell r="K267">
            <v>232.0470866250788</v>
          </cell>
          <cell r="L267">
            <v>0.23204708662507881</v>
          </cell>
          <cell r="M267">
            <v>1521.1975678755166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3540.6546363636357</v>
          </cell>
          <cell r="H268">
            <v>3.5406546363636355</v>
          </cell>
          <cell r="I268">
            <v>93.751948051948062</v>
          </cell>
          <cell r="J268">
            <v>9.3751948051948059E-2</v>
          </cell>
          <cell r="K268">
            <v>654.1931851948051</v>
          </cell>
          <cell r="L268">
            <v>0.65419318519480507</v>
          </cell>
          <cell r="M268">
            <v>4288.5997696103886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>
            <v>85.859340659340674</v>
          </cell>
          <cell r="H270">
            <v>8.5859340659340672E-2</v>
          </cell>
          <cell r="I270">
            <v>0</v>
          </cell>
          <cell r="J270">
            <v>0</v>
          </cell>
          <cell r="K270">
            <v>15.45468131868132</v>
          </cell>
          <cell r="L270">
            <v>1.5454681318681321E-2</v>
          </cell>
          <cell r="M270">
            <v>101.314021978022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11304.66085</v>
          </cell>
          <cell r="H271">
            <v>11.304660849999999</v>
          </cell>
          <cell r="I271">
            <v>10.847163466753445</v>
          </cell>
          <cell r="J271">
            <v>1.0847163466753445E-2</v>
          </cell>
          <cell r="K271">
            <v>2036.7914424240155</v>
          </cell>
          <cell r="L271">
            <v>2.0367914424240157</v>
          </cell>
          <cell r="M271">
            <v>13352.299455890769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3031.1271490976992</v>
          </cell>
          <cell r="H272">
            <v>3.0311271490976992</v>
          </cell>
          <cell r="I272">
            <v>37.500779220779222</v>
          </cell>
          <cell r="J272">
            <v>3.7500779220779219E-2</v>
          </cell>
          <cell r="K272">
            <v>552.35302709732616</v>
          </cell>
          <cell r="L272">
            <v>0.55235302709732614</v>
          </cell>
          <cell r="M272">
            <v>3620.9809554158046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>
            <v>1197.5227629725202</v>
          </cell>
          <cell r="H274">
            <v>1.1975227629725202</v>
          </cell>
          <cell r="I274">
            <v>0</v>
          </cell>
          <cell r="J274">
            <v>0</v>
          </cell>
          <cell r="K274">
            <v>215.55409733505363</v>
          </cell>
          <cell r="L274">
            <v>0.21555409733505362</v>
          </cell>
          <cell r="M274">
            <v>1413.076860307574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>
            <v>1218.2821520589678</v>
          </cell>
          <cell r="H275">
            <v>1.2182821520589677</v>
          </cell>
          <cell r="I275">
            <v>5.5795021850245803</v>
          </cell>
          <cell r="J275">
            <v>5.5795021850245799E-3</v>
          </cell>
          <cell r="K275">
            <v>220.29509776391859</v>
          </cell>
          <cell r="L275">
            <v>0.22029509776391859</v>
          </cell>
          <cell r="M275">
            <v>1444.1567520079109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>
            <v>325.0494770807843</v>
          </cell>
          <cell r="H276">
            <v>0.3250494770807843</v>
          </cell>
          <cell r="I276">
            <v>10.250838</v>
          </cell>
          <cell r="J276">
            <v>1.0250838E-2</v>
          </cell>
          <cell r="K276">
            <v>60.354056714541173</v>
          </cell>
          <cell r="L276">
            <v>6.0354056714541172E-2</v>
          </cell>
          <cell r="M276">
            <v>395.65437179532546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2076.0630178422784</v>
          </cell>
          <cell r="H277">
            <v>2.0760630178422783</v>
          </cell>
          <cell r="I277">
            <v>8.1006444549019623</v>
          </cell>
          <cell r="J277">
            <v>8.1006444549019622E-3</v>
          </cell>
          <cell r="K277">
            <v>375.14945921349249</v>
          </cell>
          <cell r="L277">
            <v>0.37514945921349246</v>
          </cell>
          <cell r="M277">
            <v>2459.3131215106732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1572.1220749826598</v>
          </cell>
          <cell r="H278">
            <v>1.5721220749826599</v>
          </cell>
          <cell r="I278">
            <v>0</v>
          </cell>
          <cell r="J278">
            <v>0</v>
          </cell>
          <cell r="K278">
            <v>282.98197349687877</v>
          </cell>
          <cell r="L278">
            <v>0.28298197349687876</v>
          </cell>
          <cell r="M278">
            <v>1855.1040484795385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3296.0385073529415</v>
          </cell>
          <cell r="H279">
            <v>3.2960385073529412</v>
          </cell>
          <cell r="I279">
            <v>83.552083333333343</v>
          </cell>
          <cell r="J279">
            <v>8.3552083333333346E-2</v>
          </cell>
          <cell r="K279">
            <v>608.32630632352948</v>
          </cell>
          <cell r="L279">
            <v>0.60832630632352946</v>
          </cell>
          <cell r="M279">
            <v>3987.9168970098044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8.2362661620939779</v>
          </cell>
          <cell r="J281">
            <v>8.2362661620939779E-3</v>
          </cell>
          <cell r="K281">
            <v>219.12607095553452</v>
          </cell>
          <cell r="L281">
            <v>0.21912607095553452</v>
          </cell>
          <cell r="M281">
            <v>1436.4931318196152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29.445276844915181</v>
          </cell>
          <cell r="J282">
            <v>2.9445276844915182E-2</v>
          </cell>
          <cell r="K282">
            <v>171.7593968420847</v>
          </cell>
          <cell r="L282">
            <v>0.17175939684208469</v>
          </cell>
          <cell r="M282">
            <v>1125.9782681869997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0.35671497584541068</v>
          </cell>
          <cell r="J283">
            <v>3.5671497584541066E-4</v>
          </cell>
          <cell r="K283">
            <v>332.7511652173913</v>
          </cell>
          <cell r="L283">
            <v>0.33275116521739129</v>
          </cell>
          <cell r="M283">
            <v>2181.3687497584542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3917.7710372119082</v>
          </cell>
          <cell r="H284">
            <v>3.9177710372119083</v>
          </cell>
          <cell r="I284">
            <v>37.811593022236636</v>
          </cell>
          <cell r="J284">
            <v>3.7811593022236634E-2</v>
          </cell>
          <cell r="K284">
            <v>712.00487344214605</v>
          </cell>
          <cell r="L284">
            <v>0.71200487344214602</v>
          </cell>
          <cell r="M284">
            <v>4667.5875036762909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3836.977886977887</v>
          </cell>
          <cell r="H285">
            <v>3.8369778869778872</v>
          </cell>
          <cell r="I285">
            <v>1.4250614250614248E-2</v>
          </cell>
          <cell r="J285">
            <v>1.4250614250614247E-5</v>
          </cell>
          <cell r="K285">
            <v>690.6585847665848</v>
          </cell>
          <cell r="L285">
            <v>0.69065858476658482</v>
          </cell>
          <cell r="M285">
            <v>4527.6507223587223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636.36300000000006</v>
          </cell>
          <cell r="H286">
            <v>0.63636300000000001</v>
          </cell>
          <cell r="I286">
            <v>5.5491430000000008</v>
          </cell>
          <cell r="J286">
            <v>5.5491430000000012E-3</v>
          </cell>
          <cell r="K286">
            <v>115.54418574</v>
          </cell>
          <cell r="L286">
            <v>0.11554418574</v>
          </cell>
          <cell r="M286">
            <v>757.45632874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>
            <v>100.00014515350065</v>
          </cell>
          <cell r="H287">
            <v>0.10000014515350066</v>
          </cell>
          <cell r="I287">
            <v>0</v>
          </cell>
          <cell r="J287">
            <v>0</v>
          </cell>
          <cell r="K287">
            <v>18.000026127630118</v>
          </cell>
          <cell r="L287">
            <v>1.8000026127630117E-2</v>
          </cell>
          <cell r="M287">
            <v>118.00017128113078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3273.5122763212653</v>
          </cell>
          <cell r="H288">
            <v>3.2735122763212652</v>
          </cell>
          <cell r="I288">
            <v>0</v>
          </cell>
          <cell r="J288">
            <v>0</v>
          </cell>
          <cell r="K288">
            <v>589.2322097378277</v>
          </cell>
          <cell r="L288">
            <v>0.58923220973782775</v>
          </cell>
          <cell r="M288">
            <v>3862.7444860590931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5161.2001984126973</v>
          </cell>
          <cell r="H289">
            <v>5.1612001984126969</v>
          </cell>
          <cell r="I289">
            <v>22.917142857142856</v>
          </cell>
          <cell r="J289">
            <v>2.2917142857142855E-2</v>
          </cell>
          <cell r="K289">
            <v>933.14112142857118</v>
          </cell>
          <cell r="L289">
            <v>0.9331411214285712</v>
          </cell>
          <cell r="M289">
            <v>6117.2584626984108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3509.8510179566574</v>
          </cell>
          <cell r="H290">
            <v>3.5098510179566573</v>
          </cell>
          <cell r="I290">
            <v>84.431578947368436</v>
          </cell>
          <cell r="J290">
            <v>8.4431578947368441E-2</v>
          </cell>
          <cell r="K290">
            <v>646.97086744272463</v>
          </cell>
          <cell r="L290">
            <v>0.64697086744272458</v>
          </cell>
          <cell r="M290">
            <v>4241.2534643467507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11528.645971736596</v>
          </cell>
          <cell r="H291">
            <v>11.528645971736596</v>
          </cell>
          <cell r="I291">
            <v>5.6766899766899765</v>
          </cell>
          <cell r="J291">
            <v>5.6766899766899767E-3</v>
          </cell>
          <cell r="K291">
            <v>2076.1780791083916</v>
          </cell>
          <cell r="L291">
            <v>2.0761780791083915</v>
          </cell>
          <cell r="M291">
            <v>13610.500740821677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>
            <v>1585.9981362644039</v>
          </cell>
          <cell r="H292">
            <v>1.585998136264404</v>
          </cell>
          <cell r="I292">
            <v>2.6436666666666671E-2</v>
          </cell>
          <cell r="J292">
            <v>2.643666666666667E-5</v>
          </cell>
          <cell r="K292">
            <v>285.48442312759272</v>
          </cell>
          <cell r="L292">
            <v>0.2854844231275927</v>
          </cell>
          <cell r="M292">
            <v>1871.5089960586633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1648.6538567901234</v>
          </cell>
          <cell r="H293">
            <v>1.6486538567901234</v>
          </cell>
          <cell r="I293">
            <v>9.4160493827160501</v>
          </cell>
          <cell r="J293">
            <v>9.4160493827160508E-3</v>
          </cell>
          <cell r="K293">
            <v>298.4525831111111</v>
          </cell>
          <cell r="L293">
            <v>0.29845258311111111</v>
          </cell>
          <cell r="M293">
            <v>1956.5224892839506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>
            <v>327.40196874999998</v>
          </cell>
          <cell r="H294">
            <v>0.32740196874999999</v>
          </cell>
          <cell r="I294">
            <v>1</v>
          </cell>
          <cell r="J294">
            <v>1E-3</v>
          </cell>
          <cell r="K294">
            <v>59.112354374999995</v>
          </cell>
          <cell r="L294">
            <v>5.9112354374999995E-2</v>
          </cell>
          <cell r="M294">
            <v>387.51432312499998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4705.1119327731085</v>
          </cell>
          <cell r="H295">
            <v>4.7051119327731081</v>
          </cell>
          <cell r="I295">
            <v>0</v>
          </cell>
          <cell r="J295">
            <v>0</v>
          </cell>
          <cell r="K295">
            <v>846.92014789915947</v>
          </cell>
          <cell r="L295">
            <v>0.84692014789915948</v>
          </cell>
          <cell r="M295">
            <v>5552.0320806722684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615.72089386554626</v>
          </cell>
          <cell r="H296">
            <v>0.61572089386554629</v>
          </cell>
          <cell r="I296">
            <v>4.6614857142857152E-2</v>
          </cell>
          <cell r="J296">
            <v>4.661485714285715E-5</v>
          </cell>
          <cell r="K296">
            <v>110.83815157008405</v>
          </cell>
          <cell r="L296">
            <v>0.11083815157008405</v>
          </cell>
          <cell r="M296">
            <v>726.60566029277322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213.10144444444447</v>
          </cell>
          <cell r="H297">
            <v>0.21310144444444445</v>
          </cell>
          <cell r="I297">
            <v>26.736666666666668</v>
          </cell>
          <cell r="J297">
            <v>2.6736666666666669E-2</v>
          </cell>
          <cell r="K297">
            <v>43.170860000000005</v>
          </cell>
          <cell r="L297">
            <v>4.3170860000000005E-2</v>
          </cell>
          <cell r="M297">
            <v>283.00897111111112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3527.0930232558144</v>
          </cell>
          <cell r="H298">
            <v>3.5270930232558144</v>
          </cell>
          <cell r="I298">
            <v>1.9715503875968996</v>
          </cell>
          <cell r="J298">
            <v>1.9715503875968998E-3</v>
          </cell>
          <cell r="K298">
            <v>635.23162325581404</v>
          </cell>
          <cell r="L298">
            <v>0.63523162325581406</v>
          </cell>
          <cell r="M298">
            <v>4164.2961968992249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205.90227617021276</v>
          </cell>
          <cell r="H299">
            <v>0.20590227617021276</v>
          </cell>
          <cell r="I299">
            <v>7.2978723404255312</v>
          </cell>
          <cell r="J299">
            <v>7.297872340425531E-3</v>
          </cell>
          <cell r="K299">
            <v>38.376026731914891</v>
          </cell>
          <cell r="L299">
            <v>3.837602673191489E-2</v>
          </cell>
          <cell r="M299">
            <v>251.57617524255318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>
            <v>786.7699663983143</v>
          </cell>
          <cell r="H300">
            <v>0.78676996639831431</v>
          </cell>
          <cell r="I300">
            <v>6.567136195121952</v>
          </cell>
          <cell r="J300">
            <v>6.5671361951219519E-3</v>
          </cell>
          <cell r="K300">
            <v>142.80067846681851</v>
          </cell>
          <cell r="L300">
            <v>0.14280067846681851</v>
          </cell>
          <cell r="M300">
            <v>936.13778106025484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>
            <v>1313.328752248291</v>
          </cell>
          <cell r="H301">
            <v>1.313328752248291</v>
          </cell>
          <cell r="I301">
            <v>7.8318615967940106</v>
          </cell>
          <cell r="J301">
            <v>7.8318615967940108E-3</v>
          </cell>
          <cell r="K301">
            <v>237.80891049211527</v>
          </cell>
          <cell r="L301">
            <v>0.23780891049211528</v>
          </cell>
          <cell r="M301">
            <v>1558.9695243372003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>
            <v>1352.8676339899425</v>
          </cell>
          <cell r="H302">
            <v>1.3528676339899426</v>
          </cell>
          <cell r="I302">
            <v>13.760780402449694</v>
          </cell>
          <cell r="J302">
            <v>1.3760780402449694E-2</v>
          </cell>
          <cell r="K302">
            <v>245.9931145906306</v>
          </cell>
          <cell r="L302">
            <v>0.24599311459063058</v>
          </cell>
          <cell r="M302">
            <v>1612.6215289830227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2076.0630178422784</v>
          </cell>
          <cell r="H303">
            <v>2.0760630178422783</v>
          </cell>
          <cell r="I303">
            <v>17.164811121568626</v>
          </cell>
          <cell r="J303">
            <v>1.7164811121568625E-2</v>
          </cell>
          <cell r="K303">
            <v>376.78100921349244</v>
          </cell>
          <cell r="L303">
            <v>0.37678100921349245</v>
          </cell>
          <cell r="M303">
            <v>2470.0088381773394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615.72089386554626</v>
          </cell>
          <cell r="H304">
            <v>0.61572089386554629</v>
          </cell>
          <cell r="I304">
            <v>9.9960910476190481</v>
          </cell>
          <cell r="J304">
            <v>9.9960910476190479E-3</v>
          </cell>
          <cell r="K304">
            <v>112.62905728436975</v>
          </cell>
          <cell r="L304">
            <v>0.11262905728436975</v>
          </cell>
          <cell r="M304">
            <v>738.3460421975351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>
            <v>1448.4863418449668</v>
          </cell>
          <cell r="H305">
            <v>1.4484863418449667</v>
          </cell>
          <cell r="I305">
            <v>18.297377225193106</v>
          </cell>
          <cell r="J305">
            <v>1.8297377225193107E-2</v>
          </cell>
          <cell r="K305">
            <v>264.02106943262874</v>
          </cell>
          <cell r="L305">
            <v>0.26402106943262871</v>
          </cell>
          <cell r="M305">
            <v>1730.8047885027886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205.90227617021276</v>
          </cell>
          <cell r="H306">
            <v>0.20590227617021276</v>
          </cell>
          <cell r="I306">
            <v>17.313948530901719</v>
          </cell>
          <cell r="J306">
            <v>1.7313948530901718E-2</v>
          </cell>
          <cell r="K306">
            <v>40.1789204462006</v>
          </cell>
          <cell r="L306">
            <v>4.0178920446200597E-2</v>
          </cell>
          <cell r="M306">
            <v>263.39514514731508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3250.5430822915569</v>
          </cell>
          <cell r="H307">
            <v>3.2505430822915566</v>
          </cell>
          <cell r="I307">
            <v>16.610798819498029</v>
          </cell>
          <cell r="J307">
            <v>1.6610798819498028E-2</v>
          </cell>
          <cell r="K307">
            <v>588.08769859998984</v>
          </cell>
          <cell r="L307">
            <v>0.58808769859998988</v>
          </cell>
          <cell r="M307">
            <v>3855.2415797110448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4255.5969303797465</v>
          </cell>
          <cell r="H308">
            <v>4.2555969303797463</v>
          </cell>
          <cell r="I308">
            <v>38.155316696805315</v>
          </cell>
          <cell r="J308">
            <v>3.8155316696805316E-2</v>
          </cell>
          <cell r="K308">
            <v>772.87540447377921</v>
          </cell>
          <cell r="L308">
            <v>0.77287540447377923</v>
          </cell>
          <cell r="M308">
            <v>5066.6276515503305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3036.7236488398689</v>
          </cell>
          <cell r="H309">
            <v>3.0367236488398688</v>
          </cell>
          <cell r="I309">
            <v>10.550436507936507</v>
          </cell>
          <cell r="J309">
            <v>1.0550436507936507E-2</v>
          </cell>
          <cell r="K309">
            <v>548.50933536260493</v>
          </cell>
          <cell r="L309">
            <v>0.54850933536260493</v>
          </cell>
          <cell r="M309">
            <v>3595.7834207104102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2413.6713177831139</v>
          </cell>
          <cell r="H310">
            <v>2.4136713177831139</v>
          </cell>
          <cell r="I310">
            <v>10.99969636895926</v>
          </cell>
          <cell r="J310">
            <v>1.099969636895926E-2</v>
          </cell>
          <cell r="K310">
            <v>436.44078254737315</v>
          </cell>
          <cell r="L310">
            <v>0.43644078254737317</v>
          </cell>
          <cell r="M310">
            <v>2861.1117966994461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>
            <v>2225.7325147259262</v>
          </cell>
          <cell r="H311">
            <v>2225.7325147259262</v>
          </cell>
          <cell r="I311">
            <v>0</v>
          </cell>
          <cell r="J311">
            <v>0</v>
          </cell>
          <cell r="K311">
            <v>400.6318526506667</v>
          </cell>
          <cell r="L311">
            <v>400.6318526506667</v>
          </cell>
          <cell r="M311">
            <v>2626.3643673765928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1963.8590909090908</v>
          </cell>
          <cell r="H312">
            <v>1.9638590909090907</v>
          </cell>
          <cell r="I312">
            <v>0</v>
          </cell>
          <cell r="J312">
            <v>0</v>
          </cell>
          <cell r="K312">
            <v>353.49463636363635</v>
          </cell>
          <cell r="L312">
            <v>0.35349463636363637</v>
          </cell>
          <cell r="M312">
            <v>2317.3537272727272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>
            <v>475.28873760077784</v>
          </cell>
          <cell r="H313">
            <v>0.47528873760077783</v>
          </cell>
          <cell r="I313">
            <v>14.239343471074381</v>
          </cell>
          <cell r="J313">
            <v>1.4239343471074381E-2</v>
          </cell>
          <cell r="K313">
            <v>88.115054592933404</v>
          </cell>
          <cell r="L313">
            <v>8.8115054592933409E-2</v>
          </cell>
          <cell r="M313">
            <v>577.64313566478563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1147.8468556499388</v>
          </cell>
          <cell r="H314">
            <v>1.1478468556499388</v>
          </cell>
          <cell r="I314">
            <v>4.8511202218666671</v>
          </cell>
          <cell r="J314">
            <v>4.851120221866667E-3</v>
          </cell>
          <cell r="K314">
            <v>207.48563565692498</v>
          </cell>
          <cell r="L314">
            <v>0.20748563565692499</v>
          </cell>
          <cell r="M314">
            <v>1360.1836115287306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>
            <v>3779.80717753315</v>
          </cell>
          <cell r="H315">
            <v>3.7798071775331499</v>
          </cell>
          <cell r="I315">
            <v>11.779794544444444</v>
          </cell>
          <cell r="J315">
            <v>1.1779794544444444E-2</v>
          </cell>
          <cell r="K315">
            <v>682.48565497396703</v>
          </cell>
          <cell r="L315">
            <v>0.68248565497396707</v>
          </cell>
          <cell r="M315">
            <v>4474.0726270515615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2199.477166666667</v>
          </cell>
          <cell r="H316">
            <v>2.199477166666667</v>
          </cell>
          <cell r="I316">
            <v>2.2996333333333334</v>
          </cell>
          <cell r="J316">
            <v>2.2996333333333333E-3</v>
          </cell>
          <cell r="K316">
            <v>396.3198240000001</v>
          </cell>
          <cell r="L316">
            <v>0.3963198240000001</v>
          </cell>
          <cell r="M316">
            <v>2598.0966240000007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4.9299688473520256</v>
          </cell>
          <cell r="J317">
            <v>4.9299688473520252E-3</v>
          </cell>
          <cell r="K317">
            <v>353.74720747663554</v>
          </cell>
          <cell r="L317">
            <v>0.35374720747663552</v>
          </cell>
          <cell r="M317">
            <v>2319.0094712357218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7693.8508623313128</v>
          </cell>
          <cell r="H318">
            <v>7.6938508623313124</v>
          </cell>
          <cell r="I318">
            <v>4.9449723542857145</v>
          </cell>
          <cell r="J318">
            <v>4.9449723542857142E-3</v>
          </cell>
          <cell r="K318">
            <v>1385.7832502434076</v>
          </cell>
          <cell r="L318">
            <v>1.3857832502434075</v>
          </cell>
          <cell r="M318">
            <v>9084.5790849290061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4111.1111111111104</v>
          </cell>
          <cell r="H319">
            <v>4.1111111111111107</v>
          </cell>
          <cell r="I319">
            <v>0.12340425531914893</v>
          </cell>
          <cell r="J319">
            <v>1.2340425531914893E-4</v>
          </cell>
          <cell r="K319">
            <v>740.02221276595719</v>
          </cell>
          <cell r="L319">
            <v>0.74002221276595714</v>
          </cell>
          <cell r="M319">
            <v>4851.2567281323863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10.131712259371835</v>
          </cell>
          <cell r="J320">
            <v>1.0131712259371834E-2</v>
          </cell>
          <cell r="K320">
            <v>861.69244012158049</v>
          </cell>
          <cell r="L320">
            <v>0.86169244012158053</v>
          </cell>
          <cell r="M320">
            <v>5648.8726630192496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6.4432500000000008</v>
          </cell>
          <cell r="H321">
            <v>6.4432500000000011E-3</v>
          </cell>
          <cell r="I321">
            <v>0</v>
          </cell>
          <cell r="J321">
            <v>0</v>
          </cell>
          <cell r="K321">
            <v>1.1597850000000001</v>
          </cell>
          <cell r="L321">
            <v>1.159785E-3</v>
          </cell>
          <cell r="M321">
            <v>7.6030350000000011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1304.7295591329691</v>
          </cell>
          <cell r="H322">
            <v>1.3047295591329691</v>
          </cell>
          <cell r="I322">
            <v>48.179604863108786</v>
          </cell>
          <cell r="J322">
            <v>4.8179604863108787E-2</v>
          </cell>
          <cell r="K322">
            <v>243.52364951929403</v>
          </cell>
          <cell r="L322">
            <v>0.24352364951929403</v>
          </cell>
          <cell r="M322">
            <v>1596.4328135153719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14.583240000000002</v>
          </cell>
          <cell r="H323">
            <v>1.4583240000000003E-2</v>
          </cell>
          <cell r="I323">
            <v>50.131250000000001</v>
          </cell>
          <cell r="J323">
            <v>5.0131250000000002E-2</v>
          </cell>
          <cell r="K323">
            <v>11.6486082</v>
          </cell>
          <cell r="L323">
            <v>1.16486082E-2</v>
          </cell>
          <cell r="M323">
            <v>76.363098199999996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2396.5216897626465</v>
          </cell>
          <cell r="H324">
            <v>2.3965216897626465</v>
          </cell>
          <cell r="I324">
            <v>0.10203788060417167</v>
          </cell>
          <cell r="J324">
            <v>1.0203788060417167E-4</v>
          </cell>
          <cell r="K324">
            <v>431.3922709757851</v>
          </cell>
          <cell r="L324">
            <v>0.43139227097578509</v>
          </cell>
          <cell r="M324">
            <v>2828.0159986190356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4677.4983573964491</v>
          </cell>
          <cell r="H325">
            <v>4.6774983573964493</v>
          </cell>
          <cell r="I325">
            <v>5.5769230769230758E-2</v>
          </cell>
          <cell r="J325">
            <v>5.5769230769230759E-5</v>
          </cell>
          <cell r="K325">
            <v>841.95974279289931</v>
          </cell>
          <cell r="L325">
            <v>0.84195974279289931</v>
          </cell>
          <cell r="M325">
            <v>5519.5138694201178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2291.9048555555551</v>
          </cell>
          <cell r="H326">
            <v>2.291904855555555</v>
          </cell>
          <cell r="I326">
            <v>9.8518518518518519E-2</v>
          </cell>
          <cell r="J326">
            <v>9.8518518518518521E-5</v>
          </cell>
          <cell r="K326">
            <v>412.56060733333322</v>
          </cell>
          <cell r="L326">
            <v>0.41256060733333322</v>
          </cell>
          <cell r="M326">
            <v>2704.563981407407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2534.2812306425722</v>
          </cell>
          <cell r="H327">
            <v>2.5342812306425722</v>
          </cell>
          <cell r="I327">
            <v>2.3875190384061249E-2</v>
          </cell>
          <cell r="J327">
            <v>2.3875190384061249E-5</v>
          </cell>
          <cell r="K327">
            <v>456.1749190499321</v>
          </cell>
          <cell r="L327">
            <v>0.45617491904993213</v>
          </cell>
          <cell r="M327">
            <v>2990.4800248828883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>
            <v>2343.8621249212474</v>
          </cell>
          <cell r="H328">
            <v>2.3438621249212472</v>
          </cell>
          <cell r="I328">
            <v>2.7884615384615379E-2</v>
          </cell>
          <cell r="J328">
            <v>2.7884615384615379E-5</v>
          </cell>
          <cell r="K328">
            <v>421.90020171659376</v>
          </cell>
          <cell r="L328">
            <v>0.42190020171659376</v>
          </cell>
          <cell r="M328">
            <v>2765.7902112532256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2942.8205128205127</v>
          </cell>
          <cell r="H329">
            <v>2.9428205128205125</v>
          </cell>
          <cell r="I329">
            <v>66.666666666666671</v>
          </cell>
          <cell r="J329">
            <v>6.6666666666666666E-2</v>
          </cell>
          <cell r="K329">
            <v>541.70769230769224</v>
          </cell>
          <cell r="L329">
            <v>0.54170769230769222</v>
          </cell>
          <cell r="M329">
            <v>3551.1948717948717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>
            <v>6477.7777777777774</v>
          </cell>
          <cell r="H330">
            <v>6.477777777777777</v>
          </cell>
          <cell r="I330">
            <v>5.1943750000000009</v>
          </cell>
          <cell r="J330">
            <v>5.1943750000000011E-3</v>
          </cell>
          <cell r="K330">
            <v>1166.9349874999998</v>
          </cell>
          <cell r="L330">
            <v>1.1669349874999999</v>
          </cell>
          <cell r="M330">
            <v>7649.9071402777772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3518.8611111111113</v>
          </cell>
          <cell r="H331">
            <v>3.5188611111111112</v>
          </cell>
          <cell r="I331">
            <v>0</v>
          </cell>
          <cell r="J331">
            <v>0</v>
          </cell>
          <cell r="K331">
            <v>633.39499999999998</v>
          </cell>
          <cell r="L331">
            <v>0.63339499999999993</v>
          </cell>
          <cell r="M331">
            <v>4152.2561111111117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708.62107520295524</v>
          </cell>
          <cell r="H332">
            <v>708.62107520295524</v>
          </cell>
          <cell r="I332">
            <v>4.9852033877619997</v>
          </cell>
          <cell r="J332">
            <v>4.9852033877619997</v>
          </cell>
          <cell r="K332">
            <v>128.44913014632911</v>
          </cell>
          <cell r="L332">
            <v>128.44913014632911</v>
          </cell>
          <cell r="M332">
            <v>842.05540873704638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549.93609489671178</v>
          </cell>
          <cell r="H333">
            <v>0.5499360948967118</v>
          </cell>
          <cell r="I333">
            <v>36.728777738640368</v>
          </cell>
          <cell r="J333">
            <v>3.6728777738640368E-2</v>
          </cell>
          <cell r="K333">
            <v>105.59967707436338</v>
          </cell>
          <cell r="L333">
            <v>0.10559967707436338</v>
          </cell>
          <cell r="M333">
            <v>692.26454970971554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877.30827447023205</v>
          </cell>
          <cell r="H334">
            <v>0.87730827447023207</v>
          </cell>
          <cell r="I334">
            <v>7.2844601412714427</v>
          </cell>
          <cell r="J334">
            <v>7.2844601412714429E-3</v>
          </cell>
          <cell r="K334">
            <v>159.22669223007063</v>
          </cell>
          <cell r="L334">
            <v>0.15922669223007063</v>
          </cell>
          <cell r="M334">
            <v>1043.8194268415741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>
            <v>1507.5943916512326</v>
          </cell>
          <cell r="H335">
            <v>1507.5943916512326</v>
          </cell>
          <cell r="I335" t="e">
            <v>#N/A</v>
          </cell>
          <cell r="J335" t="e">
            <v>#N/A</v>
          </cell>
          <cell r="K335" t="e">
            <v>#N/A</v>
          </cell>
          <cell r="L335" t="e">
            <v>#N/A</v>
          </cell>
          <cell r="M335" t="e">
            <v>#N/A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401.62933025404163</v>
          </cell>
          <cell r="H336">
            <v>0.40162933025404163</v>
          </cell>
          <cell r="I336">
            <v>16.786139187986766</v>
          </cell>
          <cell r="J336">
            <v>1.6786139187986767E-2</v>
          </cell>
          <cell r="K336">
            <v>75.314784499565107</v>
          </cell>
          <cell r="L336">
            <v>7.5314784499565107E-2</v>
          </cell>
          <cell r="M336">
            <v>493.7302539415935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560.69315077424608</v>
          </cell>
          <cell r="H337">
            <v>0.56069315077424609</v>
          </cell>
          <cell r="I337">
            <v>16.571583808747622</v>
          </cell>
          <cell r="J337">
            <v>1.6571583808747622E-2</v>
          </cell>
          <cell r="K337">
            <v>103.90765222493886</v>
          </cell>
          <cell r="L337">
            <v>0.10390765222493886</v>
          </cell>
          <cell r="M337">
            <v>681.17238680793253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515.93150087173115</v>
          </cell>
          <cell r="H338">
            <v>0.51593150087173112</v>
          </cell>
          <cell r="I338">
            <v>10.326355531834983</v>
          </cell>
          <cell r="J338">
            <v>1.0326355531834983E-2</v>
          </cell>
          <cell r="K338">
            <v>94.726414152641908</v>
          </cell>
          <cell r="L338">
            <v>9.4726414152641908E-2</v>
          </cell>
          <cell r="M338">
            <v>620.98427055620812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1347.3650545454545</v>
          </cell>
          <cell r="H339">
            <v>1.3473650545454545</v>
          </cell>
          <cell r="I339">
            <v>17.418798766104157</v>
          </cell>
          <cell r="J339">
            <v>1.7418798766104159E-2</v>
          </cell>
          <cell r="K339">
            <v>245.66109359608055</v>
          </cell>
          <cell r="L339">
            <v>0.24566109359608054</v>
          </cell>
          <cell r="M339">
            <v>1610.4449469076392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816.55123530322578</v>
          </cell>
          <cell r="H340">
            <v>0.81655123530322582</v>
          </cell>
          <cell r="I340">
            <v>8.43010752688172</v>
          </cell>
          <cell r="J340">
            <v>8.4301075268817197E-3</v>
          </cell>
          <cell r="K340">
            <v>148.49664170941932</v>
          </cell>
          <cell r="L340">
            <v>0.14849664170941931</v>
          </cell>
          <cell r="M340">
            <v>973.4779845395268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987.94150326159308</v>
          </cell>
          <cell r="H341">
            <v>0.98794150326159313</v>
          </cell>
          <cell r="I341">
            <v>17.72111107589253</v>
          </cell>
          <cell r="J341">
            <v>1.772111107589253E-2</v>
          </cell>
          <cell r="K341">
            <v>181.01927058074739</v>
          </cell>
          <cell r="L341">
            <v>0.18101927058074738</v>
          </cell>
          <cell r="M341">
            <v>1186.681884918233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1408.7496497328627</v>
          </cell>
          <cell r="H342">
            <v>1.4087496497328627</v>
          </cell>
          <cell r="I342">
            <v>0.57668800000000009</v>
          </cell>
          <cell r="J342">
            <v>5.7668800000000011E-4</v>
          </cell>
          <cell r="K342">
            <v>253.67874079191529</v>
          </cell>
          <cell r="L342">
            <v>0.25367874079191527</v>
          </cell>
          <cell r="M342">
            <v>1663.0050785247781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10687.735208333334</v>
          </cell>
          <cell r="H343">
            <v>10.687735208333333</v>
          </cell>
          <cell r="I343">
            <v>12.812619047619048</v>
          </cell>
          <cell r="J343">
            <v>1.2812619047619048E-2</v>
          </cell>
          <cell r="K343">
            <v>1926.0986089285716</v>
          </cell>
          <cell r="L343">
            <v>1.9260986089285717</v>
          </cell>
          <cell r="M343">
            <v>12626.646436309526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1033.1120671599999</v>
          </cell>
          <cell r="H344">
            <v>1.0331120671599998</v>
          </cell>
          <cell r="I344">
            <v>4.0759523809523817</v>
          </cell>
          <cell r="J344">
            <v>4.0759523809523815E-3</v>
          </cell>
          <cell r="K344">
            <v>186.69384351737142</v>
          </cell>
          <cell r="L344">
            <v>0.18669384351737142</v>
          </cell>
          <cell r="M344">
            <v>1223.8818630583237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>
            <v>1251.8050179183344</v>
          </cell>
          <cell r="H345">
            <v>1.2518050179183344</v>
          </cell>
          <cell r="I345">
            <v>0</v>
          </cell>
          <cell r="J345">
            <v>0</v>
          </cell>
          <cell r="K345">
            <v>225.3249032253002</v>
          </cell>
          <cell r="L345">
            <v>0.22532490322530022</v>
          </cell>
          <cell r="M345">
            <v>1477.1299211436346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1131.0209386000001</v>
          </cell>
          <cell r="H346">
            <v>1.1310209386000001</v>
          </cell>
          <cell r="I346">
            <v>4.9390476190476189</v>
          </cell>
          <cell r="J346">
            <v>4.939047619047619E-3</v>
          </cell>
          <cell r="K346">
            <v>204.47279751942858</v>
          </cell>
          <cell r="L346">
            <v>0.2044727975194286</v>
          </cell>
          <cell r="M346">
            <v>1340.4327837384762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884.85541719233152</v>
          </cell>
          <cell r="H347">
            <v>0.88485541719233152</v>
          </cell>
          <cell r="I347">
            <v>5.9325028712783823</v>
          </cell>
          <cell r="J347">
            <v>5.932502871278382E-3</v>
          </cell>
          <cell r="K347">
            <v>160.34182561144979</v>
          </cell>
          <cell r="L347">
            <v>0.1603418256114498</v>
          </cell>
          <cell r="M347">
            <v>1051.1297456750597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686.62027304156868</v>
          </cell>
          <cell r="H348">
            <v>0.6866202730415687</v>
          </cell>
          <cell r="I348">
            <v>15.012360000000001</v>
          </cell>
          <cell r="J348">
            <v>1.5012360000000001E-2</v>
          </cell>
          <cell r="K348">
            <v>126.29387394748235</v>
          </cell>
          <cell r="L348">
            <v>0.12629387394748234</v>
          </cell>
          <cell r="M348">
            <v>827.92650698905095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2311.5165807692306</v>
          </cell>
          <cell r="H350">
            <v>2.3115165807692306</v>
          </cell>
          <cell r="I350">
            <v>2.7884615384615379E-2</v>
          </cell>
          <cell r="J350">
            <v>2.7884615384615379E-5</v>
          </cell>
          <cell r="K350">
            <v>416.07800376923075</v>
          </cell>
          <cell r="L350">
            <v>0.41607800376923076</v>
          </cell>
          <cell r="M350">
            <v>2727.6224691538459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2713.5306756020941</v>
          </cell>
          <cell r="H351">
            <v>2.7135306756020943</v>
          </cell>
          <cell r="I351">
            <v>8.5120000000000001E-2</v>
          </cell>
          <cell r="J351">
            <v>8.5119999999999998E-5</v>
          </cell>
          <cell r="K351">
            <v>488.45084320837697</v>
          </cell>
          <cell r="L351">
            <v>0.48845084320837695</v>
          </cell>
          <cell r="M351">
            <v>3202.0666388104714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537.29821225246872</v>
          </cell>
          <cell r="H352">
            <v>537.29821225246872</v>
          </cell>
          <cell r="I352">
            <v>0.34458252542133339</v>
          </cell>
          <cell r="J352">
            <v>0.34458252542133339</v>
          </cell>
          <cell r="K352">
            <v>96.775703060020192</v>
          </cell>
          <cell r="L352">
            <v>96.775703060020192</v>
          </cell>
          <cell r="M352">
            <v>634.41849783791019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13.015453767078794</v>
          </cell>
          <cell r="H353">
            <v>13.015453767078794</v>
          </cell>
          <cell r="I353">
            <v>0.12240102860805861</v>
          </cell>
          <cell r="J353">
            <v>0.12240102860805861</v>
          </cell>
          <cell r="K353">
            <v>2.3648138632236333</v>
          </cell>
          <cell r="L353">
            <v>2.3648138632236333</v>
          </cell>
          <cell r="M353">
            <v>15.502668658910485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>
            <v>188.81118881118883</v>
          </cell>
          <cell r="H355">
            <v>0.18881118881118883</v>
          </cell>
          <cell r="I355">
            <v>0</v>
          </cell>
          <cell r="J355">
            <v>0</v>
          </cell>
          <cell r="K355">
            <v>33.986013986013987</v>
          </cell>
          <cell r="L355">
            <v>3.3986013986013988E-2</v>
          </cell>
          <cell r="M355">
            <v>222.79720279720283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310.6498950316593</v>
          </cell>
          <cell r="H357">
            <v>310.6498950316593</v>
          </cell>
          <cell r="I357">
            <v>4.6512023477011502</v>
          </cell>
          <cell r="J357">
            <v>4.6512023477011502</v>
          </cell>
          <cell r="K357">
            <v>56.754197528284877</v>
          </cell>
          <cell r="L357">
            <v>56.754197528284877</v>
          </cell>
          <cell r="M357">
            <v>372.0552949076453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>
            <v>91.319654528868796</v>
          </cell>
          <cell r="H358">
            <v>91.319654528868796</v>
          </cell>
          <cell r="I358">
            <v>1.7070609782374488</v>
          </cell>
          <cell r="J358">
            <v>1.7070609782374488</v>
          </cell>
          <cell r="K358">
            <v>16.744808791279123</v>
          </cell>
          <cell r="L358">
            <v>16.744808791279123</v>
          </cell>
          <cell r="M358">
            <v>109.77152429838537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83.979237041252787</v>
          </cell>
          <cell r="H359">
            <v>83.979237041252787</v>
          </cell>
          <cell r="I359">
            <v>2.6611410130952384</v>
          </cell>
          <cell r="J359">
            <v>2.6611410130952384</v>
          </cell>
          <cell r="K359">
            <v>15.595268049782643</v>
          </cell>
          <cell r="L359">
            <v>15.595268049782643</v>
          </cell>
          <cell r="M359">
            <v>102.23564610413067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2680.3210540408163</v>
          </cell>
          <cell r="H360">
            <v>2.6803210540408164</v>
          </cell>
          <cell r="I360">
            <v>8.5120000000000001E-2</v>
          </cell>
          <cell r="J360">
            <v>8.5119999999999998E-5</v>
          </cell>
          <cell r="K360">
            <v>482.47311132734694</v>
          </cell>
          <cell r="L360">
            <v>0.48247311132734694</v>
          </cell>
          <cell r="M360">
            <v>3162.8792853681634</v>
          </cell>
        </row>
        <row r="361">
          <cell r="A361" t="str">
            <v>904000018</v>
          </cell>
          <cell r="B361" t="str">
            <v/>
          </cell>
          <cell r="C361" t="str">
            <v/>
          </cell>
          <cell r="D361" t="str">
            <v/>
          </cell>
          <cell r="E361" t="str">
            <v>Kilo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 t="str">
            <v>907000255</v>
          </cell>
          <cell r="B362" t="str">
            <v xml:space="preserve">Rosquete Vainilla Puratos 700g </v>
          </cell>
          <cell r="C362">
            <v>0</v>
          </cell>
          <cell r="D362">
            <v>0</v>
          </cell>
          <cell r="E362" t="str">
            <v>Und</v>
          </cell>
          <cell r="F362" t="str">
            <v>Und</v>
          </cell>
          <cell r="G362">
            <v>669.49123416679333</v>
          </cell>
          <cell r="H362">
            <v>669.49123416679333</v>
          </cell>
          <cell r="I362">
            <v>10.917717961890375</v>
          </cell>
          <cell r="J362">
            <v>10.917717961890375</v>
          </cell>
          <cell r="K362">
            <v>130.5184698974488</v>
          </cell>
          <cell r="L362">
            <v>130.5184698974488</v>
          </cell>
          <cell r="M362">
            <v>810.92742202613249</v>
          </cell>
        </row>
        <row r="363">
          <cell r="A363"/>
          <cell r="B363" t="str">
            <v/>
          </cell>
          <cell r="C363" t="str">
            <v/>
          </cell>
          <cell r="D363" t="str">
            <v/>
          </cell>
          <cell r="E363"/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</row>
        <row r="364">
          <cell r="A364"/>
          <cell r="B364" t="str">
            <v/>
          </cell>
          <cell r="C364" t="str">
            <v/>
          </cell>
          <cell r="D364" t="str">
            <v/>
          </cell>
          <cell r="E364"/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3">
          <cell r="B373"/>
          <cell r="C373"/>
          <cell r="D373"/>
          <cell r="F373"/>
          <cell r="G373"/>
          <cell r="H373"/>
          <cell r="I373"/>
          <cell r="J373"/>
          <cell r="K373"/>
          <cell r="L373"/>
          <cell r="M373"/>
        </row>
        <row r="374">
          <cell r="B374"/>
          <cell r="C374"/>
          <cell r="D374"/>
          <cell r="F374"/>
          <cell r="G374"/>
          <cell r="H374"/>
          <cell r="I374"/>
          <cell r="J374"/>
          <cell r="K374"/>
          <cell r="L374"/>
          <cell r="M374"/>
        </row>
        <row r="375">
          <cell r="B375"/>
          <cell r="C375"/>
          <cell r="D375"/>
          <cell r="F375"/>
          <cell r="G375"/>
          <cell r="H375"/>
          <cell r="I375"/>
          <cell r="J375"/>
          <cell r="K375"/>
          <cell r="L375"/>
          <cell r="M375"/>
        </row>
        <row r="382">
          <cell r="G382" t="str">
            <v xml:space="preserve"> </v>
          </cell>
        </row>
        <row r="383">
          <cell r="G383"/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2"/>
    </sheetNames>
    <sheetDataSet>
      <sheetData sheetId="0" refreshError="1">
        <row r="2">
          <cell r="A2" t="str">
            <v>0512334</v>
          </cell>
          <cell r="B2" t="str">
            <v>BENZOATO SODIO (KILO)</v>
          </cell>
          <cell r="C2" t="str">
            <v>1 KILO</v>
          </cell>
          <cell r="D2" t="str">
            <v>26/12/2019</v>
          </cell>
          <cell r="E2">
            <v>1651.7</v>
          </cell>
          <cell r="F2" t="str">
            <v>Gramo</v>
          </cell>
          <cell r="G2">
            <v>1.6516999999999999</v>
          </cell>
        </row>
        <row r="3">
          <cell r="A3" t="str">
            <v>10300041</v>
          </cell>
          <cell r="B3" t="str">
            <v>JAMON DE PAVO LIGHT (PAQ:250 G)</v>
          </cell>
          <cell r="C3" t="str">
            <v>1 PAQUETE</v>
          </cell>
          <cell r="D3" t="str">
            <v>18/01/2020</v>
          </cell>
          <cell r="E3">
            <v>2.9678</v>
          </cell>
        </row>
        <row r="4">
          <cell r="A4" t="str">
            <v>0512262</v>
          </cell>
          <cell r="B4" t="str">
            <v>PROPIANATO CALCIO (KILO)</v>
          </cell>
          <cell r="C4" t="str">
            <v>1 KILO</v>
          </cell>
          <cell r="D4" t="str">
            <v>03/02/2020</v>
          </cell>
          <cell r="E4">
            <v>1779</v>
          </cell>
          <cell r="F4" t="str">
            <v>Gramo</v>
          </cell>
          <cell r="G4">
            <v>1.7789999999999999</v>
          </cell>
        </row>
        <row r="5">
          <cell r="A5" t="str">
            <v>510179</v>
          </cell>
          <cell r="B5" t="str">
            <v>CONFITURA COLORES(PAQ:1 KILO)</v>
          </cell>
          <cell r="C5" t="str">
            <v>1 PAQUETE</v>
          </cell>
          <cell r="D5" t="str">
            <v>13/02/2020</v>
          </cell>
          <cell r="E5">
            <v>3.5640000000000001</v>
          </cell>
        </row>
        <row r="6">
          <cell r="A6" t="str">
            <v>510174</v>
          </cell>
          <cell r="B6" t="str">
            <v>COCO RALLADO (PAQ: 1 K)</v>
          </cell>
          <cell r="C6" t="str">
            <v>1 PAQUETE</v>
          </cell>
          <cell r="D6" t="str">
            <v>03/03/2020</v>
          </cell>
          <cell r="E6">
            <v>2154</v>
          </cell>
          <cell r="F6" t="str">
            <v>Gramo</v>
          </cell>
          <cell r="G6">
            <v>2.1539999999999999</v>
          </cell>
        </row>
        <row r="7">
          <cell r="A7" t="str">
            <v>119000009</v>
          </cell>
          <cell r="B7" t="str">
            <v>MANI SIMPLE (PAQ:1 K)</v>
          </cell>
          <cell r="C7" t="str">
            <v>1 PAQUETE</v>
          </cell>
          <cell r="D7" t="str">
            <v>28/01/2020</v>
          </cell>
          <cell r="E7">
            <v>4</v>
          </cell>
        </row>
        <row r="8">
          <cell r="A8" t="str">
            <v>10100210</v>
          </cell>
          <cell r="B8" t="str">
            <v>COCOA NATURAL (PAQ:1 K)</v>
          </cell>
          <cell r="C8" t="str">
            <v>1 PAQUETE</v>
          </cell>
          <cell r="D8" t="str">
            <v>03/11/2019</v>
          </cell>
          <cell r="E8">
            <v>4.5030000000000001</v>
          </cell>
        </row>
        <row r="9">
          <cell r="A9" t="str">
            <v>0510146</v>
          </cell>
          <cell r="B9" t="str">
            <v>AJONJOLI (PAQ:1 KILO)</v>
          </cell>
          <cell r="C9" t="str">
            <v>1 PAQUETE</v>
          </cell>
          <cell r="D9" t="str">
            <v>05/02/2020</v>
          </cell>
          <cell r="E9">
            <v>5</v>
          </cell>
        </row>
        <row r="10">
          <cell r="A10" t="str">
            <v>10700030</v>
          </cell>
          <cell r="B10" t="str">
            <v>CONFITE MENTA STARLIGHT (PAQ:3 LIBRAS)</v>
          </cell>
          <cell r="C10" t="str">
            <v>1 PAQUETE</v>
          </cell>
          <cell r="D10" t="str">
            <v>03/11/2019</v>
          </cell>
          <cell r="E10">
            <v>5.3139705882352901</v>
          </cell>
        </row>
        <row r="11">
          <cell r="A11" t="str">
            <v>107000012</v>
          </cell>
          <cell r="B11" t="str">
            <v>CONFITILLO CORAZON MAVALERIO (PAQ:150G)</v>
          </cell>
          <cell r="C11" t="str">
            <v>1 PAQ</v>
          </cell>
          <cell r="D11" t="str">
            <v>13/02/2020</v>
          </cell>
          <cell r="E11">
            <v>6.4203333333333301</v>
          </cell>
        </row>
        <row r="12">
          <cell r="A12" t="str">
            <v>512261</v>
          </cell>
          <cell r="B12" t="str">
            <v>ACIDO SORBICO (KILO)</v>
          </cell>
          <cell r="C12" t="str">
            <v>1 KILO</v>
          </cell>
          <cell r="D12" t="str">
            <v>16/12/2019</v>
          </cell>
          <cell r="E12">
            <v>7163.04</v>
          </cell>
          <cell r="F12" t="str">
            <v>Gramo</v>
          </cell>
          <cell r="G12">
            <v>7.1630399999999996</v>
          </cell>
        </row>
        <row r="13">
          <cell r="A13" t="str">
            <v>11900015</v>
          </cell>
          <cell r="B13" t="str">
            <v>PASAS (CAJA:10 k)</v>
          </cell>
          <cell r="C13" t="str">
            <v xml:space="preserve">1 CAJA </v>
          </cell>
          <cell r="D13" t="str">
            <v>29/11/2019</v>
          </cell>
          <cell r="E13">
            <v>32.5</v>
          </cell>
        </row>
        <row r="14">
          <cell r="A14" t="str">
            <v>510173</v>
          </cell>
          <cell r="B14" t="str">
            <v>CIRUELA (CAJA:10 Kg)</v>
          </cell>
          <cell r="C14" t="str">
            <v>1 CAJA</v>
          </cell>
          <cell r="D14" t="str">
            <v>16/01/2020</v>
          </cell>
          <cell r="E14">
            <v>40</v>
          </cell>
        </row>
        <row r="15">
          <cell r="A15" t="str">
            <v>1210462</v>
          </cell>
          <cell r="B15" t="str">
            <v>MONEDAS MARMOLEADAS (CAJA:240 UND)</v>
          </cell>
          <cell r="C15" t="str">
            <v>1 UND</v>
          </cell>
          <cell r="D15" t="str">
            <v>02/03/2020</v>
          </cell>
          <cell r="E15">
            <v>42</v>
          </cell>
          <cell r="F15" t="str">
            <v>UND</v>
          </cell>
          <cell r="G15">
            <v>42</v>
          </cell>
        </row>
        <row r="16">
          <cell r="A16" t="str">
            <v>510215</v>
          </cell>
          <cell r="B16" t="str">
            <v xml:space="preserve">ALMIDON MODIFICADO (SACO:25 K) </v>
          </cell>
          <cell r="C16" t="str">
            <v>1 SACO</v>
          </cell>
          <cell r="D16" t="str">
            <v>03/03/2020</v>
          </cell>
          <cell r="E16">
            <v>28581</v>
          </cell>
          <cell r="F16" t="str">
            <v>Gramo</v>
          </cell>
          <cell r="G16">
            <v>1.14324</v>
          </cell>
        </row>
        <row r="17">
          <cell r="A17" t="str">
            <v>203000096</v>
          </cell>
          <cell r="B17" t="str">
            <v>TARJETA CARTULINA CUCHARA BELGA</v>
          </cell>
          <cell r="C17" t="str">
            <v>1 UND</v>
          </cell>
          <cell r="D17" t="str">
            <v>03/02/2020</v>
          </cell>
          <cell r="E17">
            <v>50.189086666000001</v>
          </cell>
        </row>
        <row r="18">
          <cell r="A18" t="str">
            <v>2000001</v>
          </cell>
          <cell r="B18" t="str">
            <v>SALMON AHUMADO  (PAQ:900g)</v>
          </cell>
          <cell r="C18" t="str">
            <v>1 PAQUETE</v>
          </cell>
          <cell r="D18" t="str">
            <v>03/03/2020</v>
          </cell>
          <cell r="E18">
            <v>50.647058823529399</v>
          </cell>
        </row>
        <row r="19">
          <cell r="A19" t="str">
            <v>0510200</v>
          </cell>
          <cell r="B19" t="str">
            <v>PASAS (CAJAS:13.6KG)</v>
          </cell>
          <cell r="C19" t="str">
            <v xml:space="preserve">1 CAJA </v>
          </cell>
          <cell r="D19" t="str">
            <v>17/02/2020</v>
          </cell>
          <cell r="E19">
            <v>36843</v>
          </cell>
          <cell r="F19" t="str">
            <v>Gramo</v>
          </cell>
          <cell r="G19">
            <v>2.7090441176470588</v>
          </cell>
        </row>
        <row r="20">
          <cell r="A20" t="str">
            <v>116000009</v>
          </cell>
          <cell r="B20" t="str">
            <v>PRESERVANTE OPTIFORM PD4 (UND:25K)</v>
          </cell>
          <cell r="C20" t="str">
            <v>1 UND</v>
          </cell>
          <cell r="D20" t="str">
            <v>09/12/2019</v>
          </cell>
          <cell r="E20">
            <v>80</v>
          </cell>
        </row>
        <row r="21">
          <cell r="A21" t="str">
            <v>1900001</v>
          </cell>
          <cell r="B21" t="str">
            <v>QUINUA BLANCA (SACO:25 Kg)</v>
          </cell>
          <cell r="C21" t="str">
            <v>1 SACO</v>
          </cell>
          <cell r="D21" t="str">
            <v>17/02/2020</v>
          </cell>
          <cell r="E21">
            <v>112.5</v>
          </cell>
        </row>
        <row r="22">
          <cell r="A22" t="str">
            <v>510148</v>
          </cell>
          <cell r="B22" t="str">
            <v>ALMENDRA FILETEADA (CAJA: 11,34KG)</v>
          </cell>
          <cell r="C22" t="str">
            <v xml:space="preserve">1 CAJA </v>
          </cell>
          <cell r="D22" t="str">
            <v>03/03/2020</v>
          </cell>
          <cell r="E22">
            <v>64675</v>
          </cell>
          <cell r="F22" t="str">
            <v>Gramo</v>
          </cell>
          <cell r="G22">
            <v>5.7032627865961203</v>
          </cell>
        </row>
        <row r="23">
          <cell r="A23" t="str">
            <v>510149</v>
          </cell>
          <cell r="B23" t="str">
            <v>ALMENDRA ENTERA (CAJA:12 KG)</v>
          </cell>
          <cell r="C23" t="str">
            <v xml:space="preserve">1 CAJA </v>
          </cell>
          <cell r="D23" t="str">
            <v>24/12/2019</v>
          </cell>
          <cell r="E23">
            <v>66639</v>
          </cell>
          <cell r="F23" t="str">
            <v>Gramo</v>
          </cell>
          <cell r="G23">
            <v>5.5532500000000002</v>
          </cell>
        </row>
        <row r="24">
          <cell r="A24" t="str">
            <v>0101130</v>
          </cell>
          <cell r="B24" t="str">
            <v>LIMONES MAYA (UND)</v>
          </cell>
          <cell r="C24" t="str">
            <v>1 UND</v>
          </cell>
          <cell r="D24" t="str">
            <v>05/03/2020</v>
          </cell>
          <cell r="E24">
            <v>145</v>
          </cell>
          <cell r="F24" t="str">
            <v>UND</v>
          </cell>
          <cell r="G24">
            <v>145</v>
          </cell>
        </row>
        <row r="25">
          <cell r="A25" t="str">
            <v>101050</v>
          </cell>
          <cell r="B25" t="str">
            <v>CHAYOTE (UND)</v>
          </cell>
          <cell r="C25" t="str">
            <v>1 UND</v>
          </cell>
          <cell r="D25" t="str">
            <v>24/02/2020</v>
          </cell>
          <cell r="E25">
            <v>150</v>
          </cell>
        </row>
        <row r="26">
          <cell r="A26" t="str">
            <v>11900001</v>
          </cell>
          <cell r="B26" t="str">
            <v>NUEZ PECANA QUEBRADURA (CAJA:10 Kg)</v>
          </cell>
          <cell r="C26" t="str">
            <v>1 CAJA</v>
          </cell>
          <cell r="D26" t="str">
            <v>27/02/2020</v>
          </cell>
          <cell r="E26">
            <v>131157</v>
          </cell>
          <cell r="F26" t="str">
            <v>Gramo</v>
          </cell>
          <cell r="G26">
            <v>13.1157</v>
          </cell>
        </row>
        <row r="27">
          <cell r="A27" t="str">
            <v>10100098</v>
          </cell>
          <cell r="B27" t="str">
            <v>SAL REFINADA (PAQ:500g)</v>
          </cell>
          <cell r="C27" t="str">
            <v>1 PAQUETE</v>
          </cell>
          <cell r="D27" t="str">
            <v>29/02/2020</v>
          </cell>
          <cell r="E27">
            <v>173.833333333333</v>
          </cell>
          <cell r="F27" t="str">
            <v>Gramo</v>
          </cell>
          <cell r="G27">
            <v>0.34766666666666601</v>
          </cell>
        </row>
        <row r="28">
          <cell r="A28" t="str">
            <v>1730642</v>
          </cell>
          <cell r="B28" t="str">
            <v>PLATANO VERDE (UND)</v>
          </cell>
          <cell r="C28" t="str">
            <v>1 KILO</v>
          </cell>
          <cell r="D28" t="str">
            <v>13/01/2020</v>
          </cell>
          <cell r="E28">
            <v>195</v>
          </cell>
        </row>
        <row r="29">
          <cell r="A29" t="str">
            <v>112000065</v>
          </cell>
          <cell r="B29" t="str">
            <v>PANINI PARRILADA 8" (PAQ:10 UND)</v>
          </cell>
          <cell r="C29" t="str">
            <v>1 PAQUETE</v>
          </cell>
          <cell r="D29" t="str">
            <v>13/01/2020</v>
          </cell>
          <cell r="E29">
            <v>203.1</v>
          </cell>
        </row>
        <row r="30">
          <cell r="A30" t="str">
            <v>0512255</v>
          </cell>
          <cell r="B30" t="str">
            <v>COCOA DUTCH PROCESS (25 KG)</v>
          </cell>
          <cell r="C30" t="str">
            <v>1 SACO</v>
          </cell>
          <cell r="D30" t="str">
            <v>02/03/2020</v>
          </cell>
          <cell r="E30">
            <v>121620</v>
          </cell>
          <cell r="F30" t="str">
            <v>Gramo</v>
          </cell>
          <cell r="G30">
            <v>4.8647999999999998</v>
          </cell>
        </row>
        <row r="31">
          <cell r="A31" t="str">
            <v>0510262</v>
          </cell>
          <cell r="B31" t="str">
            <v>PECANA ENTERA (CAJA:13.6 K)</v>
          </cell>
          <cell r="C31" t="str">
            <v xml:space="preserve">1 CAJA </v>
          </cell>
          <cell r="D31" t="str">
            <v>24/02/2020</v>
          </cell>
          <cell r="E31">
            <v>133018</v>
          </cell>
          <cell r="F31" t="str">
            <v>Gramo</v>
          </cell>
          <cell r="G31">
            <v>9.7807352941176475</v>
          </cell>
        </row>
        <row r="32">
          <cell r="A32" t="str">
            <v>10200018</v>
          </cell>
          <cell r="B32" t="str">
            <v>AGUA EMBOT SPOON (PAQ: 20/600 ML)</v>
          </cell>
          <cell r="C32" t="str">
            <v>1 UND</v>
          </cell>
          <cell r="D32" t="str">
            <v>18/02/2020</v>
          </cell>
          <cell r="E32">
            <v>234</v>
          </cell>
        </row>
        <row r="33">
          <cell r="A33" t="str">
            <v>1212310</v>
          </cell>
          <cell r="B33" t="str">
            <v>FIBRA CITRICA F1 200 FG (UND:20 K)</v>
          </cell>
          <cell r="C33" t="str">
            <v>1 UND</v>
          </cell>
          <cell r="D33" t="str">
            <v>13/11/2019</v>
          </cell>
          <cell r="E33">
            <v>150265</v>
          </cell>
          <cell r="F33" t="str">
            <v>Gramo</v>
          </cell>
          <cell r="G33">
            <v>7.5132500000000002</v>
          </cell>
        </row>
        <row r="34">
          <cell r="A34" t="str">
            <v>2006223</v>
          </cell>
          <cell r="B34" t="str">
            <v>TORTILLA REDONDITA RUMBA (PAQ:1 KG)</v>
          </cell>
          <cell r="C34" t="str">
            <v>1 PAQUETE</v>
          </cell>
          <cell r="D34" t="str">
            <v>28/12/2019</v>
          </cell>
          <cell r="E34">
            <v>275.16666666666703</v>
          </cell>
        </row>
        <row r="35">
          <cell r="A35" t="str">
            <v>10900040</v>
          </cell>
          <cell r="B35" t="str">
            <v>PEREJIL (PAQUETE: 32 gr)</v>
          </cell>
          <cell r="C35" t="str">
            <v>1 PAQUETE</v>
          </cell>
          <cell r="D35" t="str">
            <v>04/03/2020</v>
          </cell>
          <cell r="E35">
            <v>308</v>
          </cell>
        </row>
        <row r="36">
          <cell r="A36" t="str">
            <v>10100155</v>
          </cell>
          <cell r="B36" t="str">
            <v>WAFLE LUTOSA (PAQ: 70g)</v>
          </cell>
          <cell r="C36" t="str">
            <v>1 PAQUETE</v>
          </cell>
          <cell r="D36" t="str">
            <v>29/02/2020</v>
          </cell>
          <cell r="E36">
            <v>347.82</v>
          </cell>
        </row>
        <row r="37">
          <cell r="A37" t="str">
            <v>101072</v>
          </cell>
          <cell r="B37" t="str">
            <v>CULANTRO DESINFECTADO (PAQ:100g)</v>
          </cell>
          <cell r="C37" t="str">
            <v>1 PAQUETE</v>
          </cell>
          <cell r="D37" t="str">
            <v>04/03/2020</v>
          </cell>
          <cell r="E37">
            <v>359</v>
          </cell>
          <cell r="F37" t="str">
            <v>Gramo</v>
          </cell>
          <cell r="G37">
            <v>3.59</v>
          </cell>
        </row>
        <row r="38">
          <cell r="A38" t="str">
            <v>10100082</v>
          </cell>
          <cell r="B38" t="str">
            <v>MAIZ DULCE ENTERO (UND:425g)</v>
          </cell>
          <cell r="C38" t="str">
            <v>1 UND</v>
          </cell>
          <cell r="D38" t="str">
            <v>10/02/2020</v>
          </cell>
          <cell r="E38">
            <v>374</v>
          </cell>
        </row>
        <row r="39">
          <cell r="A39" t="str">
            <v>10100211</v>
          </cell>
          <cell r="B39" t="str">
            <v>MANTECA CLOVER GRUESA (UND:460 G)</v>
          </cell>
          <cell r="C39" t="str">
            <v>1 UND</v>
          </cell>
          <cell r="D39" t="str">
            <v>13/02/2020</v>
          </cell>
          <cell r="E39">
            <v>378</v>
          </cell>
        </row>
        <row r="40">
          <cell r="A40" t="str">
            <v>10100224</v>
          </cell>
          <cell r="B40" t="str">
            <v>REPOLLO VERDE GRANEL (KILO)</v>
          </cell>
          <cell r="C40" t="str">
            <v xml:space="preserve">1 KILO </v>
          </cell>
          <cell r="D40" t="str">
            <v>05/03/2020</v>
          </cell>
          <cell r="E40">
            <v>380</v>
          </cell>
          <cell r="F40" t="str">
            <v>Gramo</v>
          </cell>
          <cell r="G40">
            <v>0.38</v>
          </cell>
        </row>
        <row r="41">
          <cell r="A41" t="str">
            <v>10900041</v>
          </cell>
          <cell r="B41" t="str">
            <v>REPOLLO MORADO RALLADO (PAQ:250g)</v>
          </cell>
          <cell r="C41" t="str">
            <v>1 PAQUETE</v>
          </cell>
          <cell r="D41" t="str">
            <v>05/03/2020</v>
          </cell>
          <cell r="E41">
            <v>399</v>
          </cell>
          <cell r="F41" t="str">
            <v>Gramo</v>
          </cell>
          <cell r="G41">
            <v>1.5960000000000001</v>
          </cell>
        </row>
        <row r="42">
          <cell r="A42" t="str">
            <v>10900057</v>
          </cell>
          <cell r="B42" t="str">
            <v>ZUQUINI MINI (PAQ:200g)</v>
          </cell>
          <cell r="C42" t="str">
            <v>1 PAQUETE</v>
          </cell>
          <cell r="D42" t="str">
            <v>05/03/2020</v>
          </cell>
          <cell r="E42">
            <v>400</v>
          </cell>
        </row>
        <row r="43">
          <cell r="A43" t="str">
            <v>10900029</v>
          </cell>
          <cell r="B43" t="str">
            <v>ZANAHORIA TIRAS (PAQ:500g)</v>
          </cell>
          <cell r="C43" t="str">
            <v>1 PAQUETE</v>
          </cell>
          <cell r="D43" t="str">
            <v>05/03/2020</v>
          </cell>
          <cell r="E43">
            <v>428</v>
          </cell>
          <cell r="F43" t="str">
            <v>Gramo</v>
          </cell>
          <cell r="G43">
            <v>0.85599999999999998</v>
          </cell>
        </row>
        <row r="44">
          <cell r="A44" t="str">
            <v>1110386</v>
          </cell>
          <cell r="B44" t="str">
            <v>TABASCO (UND: 62g)</v>
          </cell>
          <cell r="C44" t="str">
            <v>1 UND</v>
          </cell>
          <cell r="D44" t="str">
            <v>27/02/2020</v>
          </cell>
          <cell r="E44">
            <v>435.25</v>
          </cell>
          <cell r="F44" t="str">
            <v>Gramo</v>
          </cell>
          <cell r="G44">
            <v>7.020161290322581</v>
          </cell>
        </row>
        <row r="45">
          <cell r="A45" t="str">
            <v>20300004</v>
          </cell>
          <cell r="B45" t="str">
            <v>GALLETA FONDANT TEMPORADA PAQ</v>
          </cell>
          <cell r="C45" t="str">
            <v>1 PAQ</v>
          </cell>
          <cell r="D45" t="str">
            <v>25/11/2019</v>
          </cell>
          <cell r="E45">
            <v>450</v>
          </cell>
        </row>
        <row r="46">
          <cell r="A46" t="str">
            <v>20300005</v>
          </cell>
          <cell r="B46" t="str">
            <v>CUP CAKE FONDANT  (UND)</v>
          </cell>
          <cell r="C46" t="str">
            <v>1 UND</v>
          </cell>
          <cell r="D46" t="str">
            <v>14/02/2020</v>
          </cell>
          <cell r="E46">
            <v>450</v>
          </cell>
        </row>
        <row r="47">
          <cell r="A47" t="str">
            <v>10900043</v>
          </cell>
          <cell r="B47" t="str">
            <v>TOMATE CHERRY (PAQ:200g)</v>
          </cell>
          <cell r="C47" t="str">
            <v>1 PAQUETE</v>
          </cell>
          <cell r="D47" t="str">
            <v>05/03/2020</v>
          </cell>
          <cell r="E47">
            <v>450</v>
          </cell>
        </row>
        <row r="48">
          <cell r="A48" t="str">
            <v>10100116</v>
          </cell>
          <cell r="B48" t="str">
            <v>ACEITUNA VERDE C/PIMIENTO (UND:180g)</v>
          </cell>
          <cell r="C48" t="str">
            <v>1 UND</v>
          </cell>
          <cell r="D48" t="str">
            <v>24/02/2020</v>
          </cell>
          <cell r="E48">
            <v>495.83333333333297</v>
          </cell>
        </row>
        <row r="49">
          <cell r="A49" t="str">
            <v>120000022</v>
          </cell>
          <cell r="B49" t="str">
            <v>GALLETA OREO ( PAQ: 126 G)</v>
          </cell>
          <cell r="C49" t="str">
            <v>1 PAQUETE</v>
          </cell>
          <cell r="D49" t="str">
            <v>11/02/2020</v>
          </cell>
          <cell r="E49">
            <v>510</v>
          </cell>
          <cell r="F49" t="str">
            <v>Gramo</v>
          </cell>
          <cell r="G49">
            <v>4.0476190476190474</v>
          </cell>
        </row>
        <row r="50">
          <cell r="A50" t="str">
            <v>10900034</v>
          </cell>
          <cell r="B50" t="str">
            <v>ALBAHACA (PAQ: 100g)</v>
          </cell>
          <cell r="C50" t="str">
            <v>1 PAQUETE</v>
          </cell>
          <cell r="D50" t="str">
            <v>04/03/2020</v>
          </cell>
          <cell r="E50">
            <v>511</v>
          </cell>
        </row>
        <row r="51">
          <cell r="A51" t="str">
            <v>207000001</v>
          </cell>
          <cell r="B51" t="str">
            <v>BATIDO DE PIÑA,PEPINO Y ALBAHACA (UND)</v>
          </cell>
          <cell r="C51" t="str">
            <v>1 UND</v>
          </cell>
          <cell r="D51" t="str">
            <v>02/03/2020</v>
          </cell>
          <cell r="E51">
            <v>515</v>
          </cell>
        </row>
        <row r="52">
          <cell r="A52" t="str">
            <v>207000002</v>
          </cell>
          <cell r="B52" t="str">
            <v>BATIDO DE MORA Y JENJIBRE (UND)</v>
          </cell>
          <cell r="C52" t="str">
            <v>1 UND</v>
          </cell>
          <cell r="D52" t="str">
            <v>02/03/2020</v>
          </cell>
          <cell r="E52">
            <v>515</v>
          </cell>
        </row>
        <row r="53">
          <cell r="A53" t="str">
            <v>207000003</v>
          </cell>
          <cell r="B53" t="str">
            <v>BATIDO MANGO, NARANJA Y MARACUYA (UND)</v>
          </cell>
          <cell r="C53" t="str">
            <v>1 UND</v>
          </cell>
          <cell r="D53" t="str">
            <v>02/03/2020</v>
          </cell>
          <cell r="E53">
            <v>515</v>
          </cell>
        </row>
        <row r="54">
          <cell r="A54" t="str">
            <v>10100175</v>
          </cell>
          <cell r="B54" t="str">
            <v>SALSITA TOMATE CON CARNE (UND: 307 G)</v>
          </cell>
          <cell r="C54" t="str">
            <v>1 UND</v>
          </cell>
          <cell r="D54" t="str">
            <v>27/02/2020</v>
          </cell>
          <cell r="E54">
            <v>515.375</v>
          </cell>
        </row>
        <row r="55">
          <cell r="A55" t="str">
            <v>10900005</v>
          </cell>
          <cell r="B55" t="str">
            <v>MENTA EN RAMAS (PAQ:100g)</v>
          </cell>
          <cell r="C55" t="str">
            <v>1 PAQUETE</v>
          </cell>
          <cell r="D55" t="str">
            <v>04/03/2020</v>
          </cell>
          <cell r="E55">
            <v>526</v>
          </cell>
        </row>
        <row r="56">
          <cell r="A56" t="str">
            <v>10100145</v>
          </cell>
          <cell r="B56" t="str">
            <v>JALEA DE GUAYABA (PAQ:200g)</v>
          </cell>
          <cell r="C56" t="str">
            <v>1 PAQUETE</v>
          </cell>
          <cell r="D56" t="str">
            <v>05/03/2020</v>
          </cell>
          <cell r="E56">
            <v>550</v>
          </cell>
        </row>
        <row r="57">
          <cell r="A57" t="str">
            <v>20300008</v>
          </cell>
          <cell r="B57" t="str">
            <v>GALLETA DE FIGURA BOLSA</v>
          </cell>
          <cell r="C57" t="str">
            <v>1 UND</v>
          </cell>
          <cell r="D57" t="str">
            <v>04/03/2020</v>
          </cell>
          <cell r="E57">
            <v>570</v>
          </cell>
        </row>
        <row r="58">
          <cell r="A58" t="str">
            <v>120000018</v>
          </cell>
          <cell r="B58" t="str">
            <v>GALLETA DE CRAMBERRY (PAQ:5 UND)</v>
          </cell>
          <cell r="C58" t="str">
            <v>1 PAQ</v>
          </cell>
          <cell r="D58" t="str">
            <v>28/02/2020</v>
          </cell>
          <cell r="E58">
            <v>573.1</v>
          </cell>
        </row>
        <row r="59">
          <cell r="A59" t="str">
            <v>120000019</v>
          </cell>
          <cell r="B59" t="str">
            <v>GALLETA DE CANELA (PAQ:4 UND)</v>
          </cell>
          <cell r="C59" t="str">
            <v>1 PAQ</v>
          </cell>
          <cell r="D59" t="str">
            <v>28/02/2020</v>
          </cell>
          <cell r="E59">
            <v>573.1</v>
          </cell>
        </row>
        <row r="60">
          <cell r="A60" t="str">
            <v>10900037</v>
          </cell>
          <cell r="B60" t="str">
            <v>VAINICA BABY (PAQ:200g)</v>
          </cell>
          <cell r="C60" t="str">
            <v>1 PAQUETE</v>
          </cell>
          <cell r="D60" t="str">
            <v>04/02/2020</v>
          </cell>
          <cell r="E60">
            <v>580</v>
          </cell>
        </row>
        <row r="61">
          <cell r="A61" t="str">
            <v>2001001</v>
          </cell>
          <cell r="B61" t="str">
            <v>PEPINO ENTERO KILO</v>
          </cell>
          <cell r="C61" t="str">
            <v>1 KILO</v>
          </cell>
          <cell r="D61" t="str">
            <v>05/03/2020</v>
          </cell>
          <cell r="E61">
            <v>600</v>
          </cell>
          <cell r="G61">
            <v>0.6</v>
          </cell>
        </row>
        <row r="62">
          <cell r="A62" t="str">
            <v>10100239</v>
          </cell>
          <cell r="B62" t="str">
            <v>TOMATE SALSA (KILO)</v>
          </cell>
          <cell r="C62" t="str">
            <v xml:space="preserve">1 KILO </v>
          </cell>
          <cell r="D62" t="str">
            <v>05/03/2020</v>
          </cell>
          <cell r="E62">
            <v>600</v>
          </cell>
        </row>
        <row r="63">
          <cell r="A63" t="str">
            <v>10100194</v>
          </cell>
          <cell r="B63" t="str">
            <v>NATILLA CREMOSITA 18% CON SAL(PAQ:300 G)</v>
          </cell>
          <cell r="C63" t="str">
            <v>1 PAQUETE</v>
          </cell>
          <cell r="D63" t="str">
            <v>05/03/2020</v>
          </cell>
          <cell r="E63">
            <v>602</v>
          </cell>
          <cell r="F63" t="str">
            <v>Gramo</v>
          </cell>
          <cell r="G63">
            <v>2.0066666666666668</v>
          </cell>
        </row>
        <row r="64">
          <cell r="A64" t="str">
            <v>0101240</v>
          </cell>
          <cell r="B64" t="str">
            <v>ZANAHORIA ENTERA KILO</v>
          </cell>
          <cell r="C64" t="str">
            <v>1 KILO</v>
          </cell>
          <cell r="D64" t="str">
            <v>04/03/2020</v>
          </cell>
          <cell r="E64">
            <v>615</v>
          </cell>
          <cell r="F64" t="str">
            <v>Gramo</v>
          </cell>
          <cell r="G64">
            <v>0.61499999999999999</v>
          </cell>
        </row>
        <row r="65">
          <cell r="A65" t="str">
            <v>120000017</v>
          </cell>
          <cell r="B65" t="str">
            <v>GALLETA DE CHOCOLATE (PAQ:3 UND)</v>
          </cell>
          <cell r="C65" t="str">
            <v>1 PAQ</v>
          </cell>
          <cell r="D65" t="str">
            <v>28/02/2020</v>
          </cell>
          <cell r="E65">
            <v>623.1</v>
          </cell>
        </row>
        <row r="66">
          <cell r="A66" t="str">
            <v>20200036</v>
          </cell>
          <cell r="B66" t="str">
            <v>GALLETA PARA DECORAR MENU INFANTIL</v>
          </cell>
          <cell r="C66" t="str">
            <v>1 UND</v>
          </cell>
          <cell r="D66" t="str">
            <v>29/02/2020</v>
          </cell>
          <cell r="E66">
            <v>625</v>
          </cell>
        </row>
        <row r="67">
          <cell r="A67" t="str">
            <v>0310108</v>
          </cell>
          <cell r="B67" t="str">
            <v>LECHE HOMOGENIZADA TB 3.5%  (UND:1 L)</v>
          </cell>
          <cell r="C67" t="str">
            <v>1 UND</v>
          </cell>
          <cell r="D67" t="str">
            <v>18/02/2020</v>
          </cell>
          <cell r="E67">
            <v>648.75</v>
          </cell>
          <cell r="F67" t="str">
            <v>Mililitro</v>
          </cell>
          <cell r="G67">
            <v>0.64875000000000005</v>
          </cell>
        </row>
        <row r="68">
          <cell r="A68" t="str">
            <v>0810288</v>
          </cell>
          <cell r="B68" t="str">
            <v>JUGO DE NARANJA TB (UND: L)</v>
          </cell>
          <cell r="C68" t="str">
            <v>1 UND</v>
          </cell>
          <cell r="D68" t="str">
            <v>06/02/2020</v>
          </cell>
          <cell r="E68">
            <v>650.5</v>
          </cell>
          <cell r="F68" t="str">
            <v>Mililitro</v>
          </cell>
          <cell r="G68">
            <v>0.65049999999999997</v>
          </cell>
        </row>
        <row r="69">
          <cell r="A69" t="str">
            <v>101073</v>
          </cell>
          <cell r="B69" t="str">
            <v>CULANTRO DESINFECTADO (PAQ:250g)</v>
          </cell>
          <cell r="C69" t="str">
            <v>1 PAQUETE</v>
          </cell>
          <cell r="D69" t="str">
            <v>04/03/2020</v>
          </cell>
          <cell r="E69">
            <v>667</v>
          </cell>
          <cell r="F69" t="str">
            <v>Gramo</v>
          </cell>
          <cell r="G69">
            <v>2.6680000000000001</v>
          </cell>
        </row>
        <row r="70">
          <cell r="A70" t="str">
            <v>102000048</v>
          </cell>
          <cell r="B70" t="str">
            <v>PIPA (UND)</v>
          </cell>
          <cell r="C70" t="str">
            <v>1 UND</v>
          </cell>
          <cell r="D70" t="str">
            <v>02/03/2020</v>
          </cell>
          <cell r="E70">
            <v>675</v>
          </cell>
        </row>
        <row r="71">
          <cell r="A71" t="str">
            <v>0101210</v>
          </cell>
          <cell r="B71" t="str">
            <v>TOMATE KILO</v>
          </cell>
          <cell r="C71" t="str">
            <v>1 KILO</v>
          </cell>
          <cell r="D71" t="str">
            <v>05/03/2020</v>
          </cell>
          <cell r="E71">
            <v>680</v>
          </cell>
          <cell r="F71" t="str">
            <v>Gramo</v>
          </cell>
          <cell r="G71">
            <v>0.68</v>
          </cell>
        </row>
        <row r="72">
          <cell r="A72" t="str">
            <v>11300010</v>
          </cell>
          <cell r="B72" t="str">
            <v>HUEVO DURO (PAQ:4 UND)</v>
          </cell>
          <cell r="C72" t="str">
            <v>1 PAQUETE</v>
          </cell>
          <cell r="D72" t="str">
            <v>05/03/2020</v>
          </cell>
          <cell r="E72">
            <v>680</v>
          </cell>
        </row>
        <row r="73">
          <cell r="A73" t="str">
            <v>10900062</v>
          </cell>
          <cell r="B73" t="str">
            <v>PLATANO MADURO KILO</v>
          </cell>
          <cell r="C73" t="str">
            <v xml:space="preserve">1 KILO </v>
          </cell>
          <cell r="D73" t="str">
            <v>04/03/2020</v>
          </cell>
          <cell r="E73">
            <v>685</v>
          </cell>
          <cell r="F73" t="str">
            <v>Gramo</v>
          </cell>
          <cell r="G73">
            <v>0.68500000000000005</v>
          </cell>
        </row>
        <row r="74">
          <cell r="A74" t="str">
            <v>10100045</v>
          </cell>
          <cell r="B74" t="str">
            <v>AZUCAR CARAMELO (PAQ:0.5 K)</v>
          </cell>
          <cell r="C74" t="str">
            <v>1 PAQUETE</v>
          </cell>
          <cell r="D74" t="str">
            <v>27/02/2020</v>
          </cell>
          <cell r="E74">
            <v>686</v>
          </cell>
          <cell r="F74" t="str">
            <v>Gramo</v>
          </cell>
          <cell r="G74">
            <v>1.3720000000000001</v>
          </cell>
        </row>
        <row r="75">
          <cell r="A75" t="str">
            <v>101000015</v>
          </cell>
          <cell r="B75" t="str">
            <v>AZUCAR REFINADA VICTORIA (PAQ:1 K)</v>
          </cell>
          <cell r="C75" t="str">
            <v>1 PAQUETE</v>
          </cell>
          <cell r="D75" t="str">
            <v>25/02/2020</v>
          </cell>
          <cell r="E75">
            <v>691.16666666666697</v>
          </cell>
          <cell r="F75" t="str">
            <v>Gramo</v>
          </cell>
          <cell r="G75">
            <v>0.69116666666666693</v>
          </cell>
        </row>
        <row r="76">
          <cell r="A76" t="str">
            <v>10700026</v>
          </cell>
          <cell r="B76" t="str">
            <v>PLACA DE FONDANT (PAQ:10 UND)</v>
          </cell>
          <cell r="C76" t="str">
            <v>1 PAQUETE</v>
          </cell>
          <cell r="D76" t="str">
            <v>04/03/2020</v>
          </cell>
          <cell r="E76">
            <v>700</v>
          </cell>
        </row>
        <row r="77">
          <cell r="A77" t="str">
            <v>210085</v>
          </cell>
          <cell r="B77" t="str">
            <v>CARCASA DE POLLO KILO</v>
          </cell>
          <cell r="C77" t="str">
            <v>1 KILO</v>
          </cell>
          <cell r="D77" t="str">
            <v>27/01/2020</v>
          </cell>
          <cell r="E77">
            <v>740</v>
          </cell>
          <cell r="F77" t="str">
            <v>Gramo</v>
          </cell>
          <cell r="G77">
            <v>0.74</v>
          </cell>
        </row>
        <row r="78">
          <cell r="A78" t="str">
            <v>10900047</v>
          </cell>
          <cell r="B78" t="str">
            <v>ALFALFA (PAQ:150g)</v>
          </cell>
          <cell r="C78" t="str">
            <v>1 PAQUETE</v>
          </cell>
          <cell r="D78" t="str">
            <v>05/03/2020</v>
          </cell>
          <cell r="E78">
            <v>750</v>
          </cell>
        </row>
        <row r="79">
          <cell r="A79" t="str">
            <v>1212419</v>
          </cell>
          <cell r="B79" t="str">
            <v>GUARNICION BROCOLI COCIDO (PAQ:240g)</v>
          </cell>
          <cell r="C79" t="str">
            <v>1 PAQUETE</v>
          </cell>
          <cell r="D79" t="str">
            <v>25/11/2019</v>
          </cell>
          <cell r="E79">
            <v>765</v>
          </cell>
        </row>
        <row r="80">
          <cell r="A80" t="str">
            <v>10900033</v>
          </cell>
          <cell r="B80" t="str">
            <v>ELOTE MINI (PAQ:200g)</v>
          </cell>
          <cell r="C80" t="str">
            <v>1 PAQUETE</v>
          </cell>
          <cell r="D80" t="str">
            <v>02/03/2020</v>
          </cell>
          <cell r="E80">
            <v>780</v>
          </cell>
        </row>
        <row r="81">
          <cell r="A81" t="str">
            <v>0101022</v>
          </cell>
          <cell r="B81" t="str">
            <v>PAPA MINI KILO</v>
          </cell>
          <cell r="C81" t="str">
            <v>1 KILO</v>
          </cell>
          <cell r="D81" t="str">
            <v>15/01/2020</v>
          </cell>
          <cell r="E81">
            <v>800</v>
          </cell>
        </row>
        <row r="82">
          <cell r="A82" t="str">
            <v>10300036</v>
          </cell>
          <cell r="B82" t="str">
            <v>ATUN LIGHT LOMO TROZOS AGUA(UND:170 G)</v>
          </cell>
          <cell r="C82" t="str">
            <v>1 UND</v>
          </cell>
          <cell r="D82" t="str">
            <v>04/02/2020</v>
          </cell>
          <cell r="E82">
            <v>823</v>
          </cell>
        </row>
        <row r="83">
          <cell r="A83" t="str">
            <v>11200041</v>
          </cell>
          <cell r="B83" t="str">
            <v>CONCHA PIZZA (PAQ:5 UND)</v>
          </cell>
          <cell r="C83" t="str">
            <v>1 PAQUETE</v>
          </cell>
          <cell r="D83" t="str">
            <v>05/03/2020</v>
          </cell>
          <cell r="E83">
            <v>845</v>
          </cell>
        </row>
        <row r="84">
          <cell r="A84" t="str">
            <v>10300001</v>
          </cell>
          <cell r="B84" t="str">
            <v>JARRETE PICADO KILO</v>
          </cell>
          <cell r="C84" t="str">
            <v>1 KILO</v>
          </cell>
          <cell r="D84" t="str">
            <v>05/03/2020</v>
          </cell>
          <cell r="E84">
            <v>859</v>
          </cell>
          <cell r="F84" t="str">
            <v>Gramo</v>
          </cell>
          <cell r="G84">
            <v>0.85899999999999999</v>
          </cell>
        </row>
        <row r="85">
          <cell r="A85" t="str">
            <v>101150</v>
          </cell>
          <cell r="B85" t="str">
            <v>APIO PICADO (PAQ:500gr)</v>
          </cell>
          <cell r="C85" t="str">
            <v>1 PAQUETE</v>
          </cell>
          <cell r="D85" t="str">
            <v>04/03/2020</v>
          </cell>
          <cell r="E85">
            <v>872</v>
          </cell>
          <cell r="F85" t="str">
            <v>Gramo</v>
          </cell>
          <cell r="G85">
            <v>1.744</v>
          </cell>
        </row>
        <row r="86">
          <cell r="A86" t="str">
            <v>10900032</v>
          </cell>
          <cell r="B86" t="str">
            <v>FRESA ENTERA (UND:300 g)</v>
          </cell>
          <cell r="C86" t="str">
            <v>1 UND</v>
          </cell>
          <cell r="D86" t="str">
            <v>04/03/2020</v>
          </cell>
          <cell r="E86">
            <v>875</v>
          </cell>
        </row>
        <row r="87">
          <cell r="A87" t="str">
            <v>10900042</v>
          </cell>
          <cell r="B87" t="str">
            <v>HIERBA BUENA (PAQ:100g)</v>
          </cell>
          <cell r="C87" t="str">
            <v>1 PAQUETE</v>
          </cell>
          <cell r="D87" t="str">
            <v>04/03/2020</v>
          </cell>
          <cell r="E87">
            <v>890</v>
          </cell>
        </row>
        <row r="88">
          <cell r="A88" t="str">
            <v>505605</v>
          </cell>
          <cell r="B88" t="str">
            <v>LECHE CONDENSADA NESTLE (UND:395 G)</v>
          </cell>
          <cell r="C88" t="str">
            <v>1 UND</v>
          </cell>
          <cell r="D88" t="str">
            <v>03/03/2020</v>
          </cell>
          <cell r="E88">
            <v>895</v>
          </cell>
          <cell r="F88" t="str">
            <v>Gramo</v>
          </cell>
          <cell r="G88">
            <v>2.2658227848101267</v>
          </cell>
        </row>
        <row r="89">
          <cell r="A89" t="str">
            <v>11200058</v>
          </cell>
          <cell r="B89" t="str">
            <v>PAN ARABE BLANCO 15 CM (PAQ:5 UND)</v>
          </cell>
          <cell r="C89" t="str">
            <v>1 PAQUETE</v>
          </cell>
          <cell r="D89" t="str">
            <v>02/03/2020</v>
          </cell>
          <cell r="E89">
            <v>910</v>
          </cell>
        </row>
        <row r="90">
          <cell r="A90" t="str">
            <v>10300035</v>
          </cell>
          <cell r="B90" t="str">
            <v>JAMON COCIDO DELIKA GI (PAQ:250 G)</v>
          </cell>
          <cell r="C90" t="str">
            <v>1 PAQUETE</v>
          </cell>
          <cell r="D90" t="str">
            <v>02/03/2020</v>
          </cell>
          <cell r="E90">
            <v>912.6</v>
          </cell>
          <cell r="F90" t="str">
            <v>Gramo</v>
          </cell>
          <cell r="G90">
            <v>3.6504000000000003</v>
          </cell>
        </row>
        <row r="91">
          <cell r="A91" t="str">
            <v>1730616</v>
          </cell>
          <cell r="B91" t="str">
            <v>REMOLACHA KILO</v>
          </cell>
          <cell r="C91" t="str">
            <v>1 KILO</v>
          </cell>
          <cell r="D91" t="str">
            <v>02/03/2020</v>
          </cell>
          <cell r="E91">
            <v>923</v>
          </cell>
        </row>
        <row r="92">
          <cell r="A92" t="str">
            <v>10100131</v>
          </cell>
          <cell r="B92" t="str">
            <v>PAN TOAST ARTESANAL BRUCHETAS (PAQ)</v>
          </cell>
          <cell r="C92" t="str">
            <v>1 PAQUETE</v>
          </cell>
          <cell r="D92" t="str">
            <v>05/03/2020</v>
          </cell>
          <cell r="E92">
            <v>923</v>
          </cell>
        </row>
        <row r="93">
          <cell r="A93" t="str">
            <v>10300007</v>
          </cell>
          <cell r="B93" t="str">
            <v>JAMON COCIDO (PAQ:250g)</v>
          </cell>
          <cell r="C93" t="str">
            <v>1 PAQUETE</v>
          </cell>
          <cell r="D93" t="str">
            <v>04/03/2020</v>
          </cell>
          <cell r="E93">
            <v>930</v>
          </cell>
          <cell r="F93" t="str">
            <v>Gramo</v>
          </cell>
          <cell r="G93">
            <v>3.72</v>
          </cell>
        </row>
        <row r="94">
          <cell r="A94" t="str">
            <v>11200026</v>
          </cell>
          <cell r="B94" t="str">
            <v>PAN ARABE BLANCO (PAQ:5 UND)</v>
          </cell>
          <cell r="C94" t="str">
            <v>1 PAQUETE</v>
          </cell>
          <cell r="D94" t="str">
            <v>25/11/2019</v>
          </cell>
          <cell r="E94">
            <v>940.9</v>
          </cell>
          <cell r="F94" t="str">
            <v>UND</v>
          </cell>
          <cell r="G94">
            <v>188.18</v>
          </cell>
        </row>
        <row r="95">
          <cell r="A95" t="str">
            <v>11200019</v>
          </cell>
          <cell r="B95" t="str">
            <v>PAN MINI BAGUET (PAQ:5 UND)</v>
          </cell>
          <cell r="C95" t="str">
            <v>1 PAQUETE</v>
          </cell>
          <cell r="D95" t="str">
            <v>05/03/2020</v>
          </cell>
          <cell r="E95">
            <v>950</v>
          </cell>
        </row>
        <row r="96">
          <cell r="A96" t="str">
            <v>44074</v>
          </cell>
          <cell r="B96" t="str">
            <v>PAPITA RAYADA (UND:70g)</v>
          </cell>
          <cell r="C96" t="str">
            <v>1 UND</v>
          </cell>
          <cell r="D96" t="str">
            <v>17/02/2020</v>
          </cell>
          <cell r="E96">
            <v>980</v>
          </cell>
        </row>
        <row r="97">
          <cell r="A97" t="str">
            <v>0710261</v>
          </cell>
          <cell r="B97" t="str">
            <v>PAN CUADRADO BLANCO (PAQ=22 REBANADAS )</v>
          </cell>
          <cell r="C97" t="str">
            <v>1 PAQUETE</v>
          </cell>
          <cell r="D97" t="str">
            <v>04/03/2020</v>
          </cell>
          <cell r="E97">
            <v>1000</v>
          </cell>
          <cell r="F97" t="str">
            <v>REBA</v>
          </cell>
          <cell r="G97">
            <v>45.454545454545453</v>
          </cell>
        </row>
        <row r="98">
          <cell r="A98" t="str">
            <v>10100107</v>
          </cell>
          <cell r="B98" t="str">
            <v>TORTILLA (PAQ:50 UND)</v>
          </cell>
          <cell r="C98" t="str">
            <v>1 PAQUETE</v>
          </cell>
          <cell r="D98" t="str">
            <v>05/03/2020</v>
          </cell>
          <cell r="E98">
            <v>1000</v>
          </cell>
          <cell r="F98" t="str">
            <v>UND</v>
          </cell>
          <cell r="G98">
            <v>20</v>
          </cell>
        </row>
        <row r="99">
          <cell r="A99" t="str">
            <v>10100241</v>
          </cell>
          <cell r="B99" t="str">
            <v>APIO GRANEL (KILO)</v>
          </cell>
          <cell r="C99" t="str">
            <v xml:space="preserve">1 KILO </v>
          </cell>
          <cell r="D99" t="str">
            <v>05/03/2020</v>
          </cell>
          <cell r="E99">
            <v>1000</v>
          </cell>
        </row>
        <row r="100">
          <cell r="A100" t="str">
            <v>0101248</v>
          </cell>
          <cell r="B100" t="str">
            <v>ZUQUINI KILO</v>
          </cell>
          <cell r="C100" t="str">
            <v>1 KILO</v>
          </cell>
          <cell r="D100" t="str">
            <v>03/03/2020</v>
          </cell>
          <cell r="E100">
            <v>1008.11688311</v>
          </cell>
        </row>
        <row r="101">
          <cell r="A101" t="str">
            <v>10100252</v>
          </cell>
          <cell r="B101" t="str">
            <v>TORTILLA TRIGO MISION 12" CON (CJ:6 PAQ)</v>
          </cell>
          <cell r="C101" t="str">
            <v>1 PAQUETE</v>
          </cell>
          <cell r="D101" t="str">
            <v>26/02/2020</v>
          </cell>
          <cell r="E101">
            <v>1008.33333333333</v>
          </cell>
          <cell r="F101" t="str">
            <v>UND</v>
          </cell>
          <cell r="G101">
            <v>168.055555555555</v>
          </cell>
        </row>
        <row r="102">
          <cell r="A102" t="str">
            <v>0510298</v>
          </cell>
          <cell r="B102" t="str">
            <v>PREMEZCLA TEGRAL BIZCO MELOC (PAQ:6K)</v>
          </cell>
          <cell r="C102" t="str">
            <v>1 KILO</v>
          </cell>
          <cell r="D102" t="str">
            <v>27/02/2020</v>
          </cell>
          <cell r="E102">
            <v>1010</v>
          </cell>
          <cell r="F102" t="str">
            <v>Gramo</v>
          </cell>
          <cell r="G102">
            <v>1.01</v>
          </cell>
        </row>
        <row r="103">
          <cell r="A103" t="str">
            <v>0101241</v>
          </cell>
          <cell r="B103" t="str">
            <v>ZANAHORIA PICADA (PAQ:1 KILO)</v>
          </cell>
          <cell r="C103" t="str">
            <v>1 PAQUETE</v>
          </cell>
          <cell r="D103" t="str">
            <v>04/03/2020</v>
          </cell>
          <cell r="E103">
            <v>1020</v>
          </cell>
        </row>
        <row r="104">
          <cell r="A104" t="str">
            <v>10900036</v>
          </cell>
          <cell r="B104" t="str">
            <v>LECHUGA AMERICANA ENTERA (PAQ:500g)</v>
          </cell>
          <cell r="C104" t="str">
            <v>1 PAQUETE</v>
          </cell>
          <cell r="D104" t="str">
            <v>04/03/2020</v>
          </cell>
          <cell r="E104">
            <v>1026</v>
          </cell>
          <cell r="F104" t="str">
            <v>Gramo</v>
          </cell>
          <cell r="G104">
            <v>2.052</v>
          </cell>
        </row>
        <row r="105">
          <cell r="A105" t="str">
            <v>101051</v>
          </cell>
          <cell r="B105" t="str">
            <v>CHAYOTE PICADO (PAQ:1 KILO)</v>
          </cell>
          <cell r="C105" t="str">
            <v>1 PAQUETE</v>
          </cell>
          <cell r="D105" t="str">
            <v>04/03/2020</v>
          </cell>
          <cell r="E105">
            <v>1029</v>
          </cell>
        </row>
        <row r="106">
          <cell r="A106" t="str">
            <v>10300040</v>
          </cell>
          <cell r="B106" t="str">
            <v>MORTADELITA CUADRADA MIXTA (PAQ:400 G)</v>
          </cell>
          <cell r="C106" t="str">
            <v>1 PAQUETE</v>
          </cell>
          <cell r="D106" t="str">
            <v>19/12/2019</v>
          </cell>
          <cell r="E106">
            <v>1042</v>
          </cell>
        </row>
        <row r="107">
          <cell r="A107" t="str">
            <v>12300005</v>
          </cell>
          <cell r="B107" t="str">
            <v>SALSA AJI AMARILLO 160 ML (UND)</v>
          </cell>
          <cell r="C107" t="str">
            <v>1 UND</v>
          </cell>
          <cell r="D107" t="str">
            <v>06/12/2019</v>
          </cell>
          <cell r="E107">
            <v>1048.7</v>
          </cell>
        </row>
        <row r="108">
          <cell r="A108" t="str">
            <v>10100204</v>
          </cell>
          <cell r="B108" t="str">
            <v>QUESO CREMA IN LINE (UND: 210 G)</v>
          </cell>
          <cell r="C108" t="str">
            <v>1 UND</v>
          </cell>
          <cell r="D108" t="str">
            <v>22/02/2020</v>
          </cell>
          <cell r="E108">
            <v>1056</v>
          </cell>
        </row>
        <row r="109">
          <cell r="A109">
            <v>101133</v>
          </cell>
          <cell r="B109" t="str">
            <v>LECHUGA MIX CUADRO # 2 (PAQ:500g)</v>
          </cell>
          <cell r="C109" t="str">
            <v>1 PAQUETE</v>
          </cell>
          <cell r="D109" t="str">
            <v>05/03/2020</v>
          </cell>
          <cell r="E109">
            <v>1057</v>
          </cell>
          <cell r="F109" t="str">
            <v>Gramo</v>
          </cell>
          <cell r="G109">
            <v>2.1139999999999999</v>
          </cell>
        </row>
        <row r="110">
          <cell r="A110" t="str">
            <v>10100271</v>
          </cell>
          <cell r="B110" t="str">
            <v>FRIJOL TIERNO RP (PAQ:1 KG)</v>
          </cell>
          <cell r="C110" t="str">
            <v>1 PAQUETE</v>
          </cell>
          <cell r="D110" t="str">
            <v>05/03/2020</v>
          </cell>
          <cell r="E110">
            <v>1066.3699999999999</v>
          </cell>
        </row>
        <row r="111">
          <cell r="A111" t="str">
            <v>101055</v>
          </cell>
          <cell r="B111" t="str">
            <v>CHILE DULCE ENTERO KILO</v>
          </cell>
          <cell r="C111" t="str">
            <v xml:space="preserve">1 KILO </v>
          </cell>
          <cell r="D111" t="str">
            <v>05/03/2020</v>
          </cell>
          <cell r="E111">
            <v>1095</v>
          </cell>
          <cell r="F111" t="str">
            <v>Gramo</v>
          </cell>
          <cell r="G111">
            <v>1.095</v>
          </cell>
        </row>
        <row r="112">
          <cell r="A112" t="str">
            <v>0710260</v>
          </cell>
          <cell r="B112" t="str">
            <v>PAN CUADRADO INTEGRAL (PAQ=22 REBANADAS)</v>
          </cell>
          <cell r="C112" t="str">
            <v>1 PAQUETE</v>
          </cell>
          <cell r="D112" t="str">
            <v>04/03/2020</v>
          </cell>
          <cell r="E112">
            <v>1100</v>
          </cell>
        </row>
        <row r="113">
          <cell r="A113" t="str">
            <v>101115</v>
          </cell>
          <cell r="B113" t="str">
            <v>CHILE DULCE PICADO (PAQ:500g)</v>
          </cell>
          <cell r="C113" t="str">
            <v>1 PAQUETE</v>
          </cell>
          <cell r="D113" t="str">
            <v>04/03/2020</v>
          </cell>
          <cell r="E113">
            <v>1121.7</v>
          </cell>
          <cell r="F113" t="str">
            <v>Gramo</v>
          </cell>
          <cell r="G113">
            <v>2.2434000000000003</v>
          </cell>
        </row>
        <row r="114">
          <cell r="A114" t="str">
            <v>10700037</v>
          </cell>
          <cell r="B114" t="str">
            <v>CHOCOLATE HERSHEYS ALMENDRA GIGANT (UND)</v>
          </cell>
          <cell r="C114" t="str">
            <v>1 UND</v>
          </cell>
          <cell r="D114" t="str">
            <v>04/02/2020</v>
          </cell>
          <cell r="E114">
            <v>1137.58</v>
          </cell>
        </row>
        <row r="115">
          <cell r="A115" t="str">
            <v>112000061</v>
          </cell>
          <cell r="B115" t="str">
            <v>PAN MUFFIN 70G (PAQ:6 UND)</v>
          </cell>
          <cell r="C115" t="str">
            <v>1 PAQUETE</v>
          </cell>
          <cell r="D115" t="str">
            <v>05/03/2020</v>
          </cell>
          <cell r="E115">
            <v>1140</v>
          </cell>
          <cell r="F115" t="str">
            <v>UND</v>
          </cell>
          <cell r="G115">
            <v>190</v>
          </cell>
        </row>
        <row r="116">
          <cell r="A116" t="str">
            <v>10900059</v>
          </cell>
          <cell r="B116" t="str">
            <v>RABANO (PAQ:125g)</v>
          </cell>
          <cell r="C116" t="str">
            <v xml:space="preserve">1 KILO </v>
          </cell>
          <cell r="D116" t="str">
            <v>04/03/2020</v>
          </cell>
          <cell r="E116">
            <v>1149</v>
          </cell>
          <cell r="F116" t="str">
            <v>Gramo</v>
          </cell>
          <cell r="G116">
            <v>1.149</v>
          </cell>
        </row>
        <row r="117">
          <cell r="A117" t="str">
            <v>10100229</v>
          </cell>
          <cell r="B117" t="str">
            <v>NEGRO B100 ESPECIAL (PAQ:100 UND)</v>
          </cell>
          <cell r="C117" t="str">
            <v>1 PAQUETE</v>
          </cell>
          <cell r="D117" t="str">
            <v>13/02/2020</v>
          </cell>
          <cell r="E117">
            <v>1150</v>
          </cell>
        </row>
        <row r="118">
          <cell r="A118" t="str">
            <v>10100262</v>
          </cell>
          <cell r="B118" t="str">
            <v>YOGURT NATURAL (UND:500 G)</v>
          </cell>
          <cell r="C118" t="str">
            <v>1 UND</v>
          </cell>
          <cell r="D118" t="str">
            <v>20/02/2020</v>
          </cell>
          <cell r="E118">
            <v>1161</v>
          </cell>
          <cell r="F118" t="str">
            <v>Gramo</v>
          </cell>
          <cell r="G118">
            <v>2.3220000000000001</v>
          </cell>
        </row>
        <row r="119">
          <cell r="A119" t="str">
            <v>10100121</v>
          </cell>
          <cell r="B119" t="str">
            <v>DULCE GRANULADO (UND=900GR)</v>
          </cell>
          <cell r="C119" t="str">
            <v>1 UNIDAD</v>
          </cell>
          <cell r="D119" t="str">
            <v>10/12/2019</v>
          </cell>
          <cell r="E119">
            <v>1190</v>
          </cell>
        </row>
        <row r="120">
          <cell r="A120" t="str">
            <v>11000003</v>
          </cell>
          <cell r="B120" t="str">
            <v>BATERIA MAXELL ALKALINA TI D (PAQ:2 UND)</v>
          </cell>
          <cell r="C120" t="str">
            <v>1 PAQ</v>
          </cell>
          <cell r="D120" t="str">
            <v>12/12/2019</v>
          </cell>
          <cell r="E120">
            <v>1200</v>
          </cell>
        </row>
        <row r="121">
          <cell r="A121" t="str">
            <v>10100181</v>
          </cell>
          <cell r="B121" t="str">
            <v>VINAGRE SINTETICO CLARO (GALON)</v>
          </cell>
          <cell r="C121" t="str">
            <v xml:space="preserve">1 GALON </v>
          </cell>
          <cell r="D121" t="str">
            <v>19/02/2020</v>
          </cell>
          <cell r="E121">
            <v>1215</v>
          </cell>
        </row>
        <row r="122">
          <cell r="A122" t="str">
            <v>10100253</v>
          </cell>
          <cell r="B122" t="str">
            <v>LENTEJAS ( PAQ:1 K)</v>
          </cell>
          <cell r="C122" t="str">
            <v xml:space="preserve">1 PAQUETE </v>
          </cell>
          <cell r="D122" t="str">
            <v>26/11/2019</v>
          </cell>
          <cell r="E122">
            <v>1250</v>
          </cell>
        </row>
        <row r="123">
          <cell r="A123" t="str">
            <v>1110415</v>
          </cell>
          <cell r="B123" t="str">
            <v>PETI PIOS CON ZANAHORIA (PAQ: 1 K)</v>
          </cell>
          <cell r="C123" t="str">
            <v>1 PAQUETE</v>
          </cell>
          <cell r="D123" t="str">
            <v>29/02/2020</v>
          </cell>
          <cell r="E123">
            <v>1298</v>
          </cell>
          <cell r="F123" t="str">
            <v>Gramo</v>
          </cell>
          <cell r="G123">
            <v>1.298</v>
          </cell>
        </row>
        <row r="124">
          <cell r="A124" t="str">
            <v>510207</v>
          </cell>
          <cell r="B124" t="str">
            <v>FRIJOL BLANCO (PAQ:1KILO)</v>
          </cell>
          <cell r="C124" t="str">
            <v>1 PAQUETE</v>
          </cell>
          <cell r="D124" t="str">
            <v>04/03/2020</v>
          </cell>
          <cell r="E124">
            <v>1300</v>
          </cell>
        </row>
        <row r="125">
          <cell r="A125" t="str">
            <v>10400010</v>
          </cell>
          <cell r="B125" t="str">
            <v>COLORANTE ROJO (50ML)</v>
          </cell>
          <cell r="C125" t="str">
            <v>1 UND</v>
          </cell>
          <cell r="D125" t="str">
            <v>27/11/2019</v>
          </cell>
          <cell r="E125">
            <v>1301.74</v>
          </cell>
          <cell r="F125" t="str">
            <v>Mililitro</v>
          </cell>
          <cell r="G125">
            <v>26.034800000000001</v>
          </cell>
        </row>
        <row r="126">
          <cell r="A126" t="str">
            <v>1110408</v>
          </cell>
          <cell r="B126" t="str">
            <v>GUISANTES LAMB WESTON (PAQ: 1 K)</v>
          </cell>
          <cell r="C126" t="str">
            <v>1 PAQUETE</v>
          </cell>
          <cell r="D126" t="str">
            <v>23/01/2020</v>
          </cell>
          <cell r="E126">
            <v>1324</v>
          </cell>
          <cell r="F126" t="str">
            <v>Gramo</v>
          </cell>
          <cell r="G126">
            <v>1.3240000000000001</v>
          </cell>
        </row>
        <row r="127">
          <cell r="A127" t="str">
            <v>510414</v>
          </cell>
          <cell r="B127" t="str">
            <v>SNACK MIX PLATANO-YUCA (PAQ:500g)</v>
          </cell>
          <cell r="C127" t="str">
            <v>1 PAQUETE</v>
          </cell>
          <cell r="D127" t="str">
            <v>03/03/2020</v>
          </cell>
          <cell r="E127">
            <v>1327.4333329999999</v>
          </cell>
        </row>
        <row r="128">
          <cell r="A128" t="str">
            <v>10200090</v>
          </cell>
          <cell r="B128" t="str">
            <v>CERVEZA AMBAR (UND: 350 ML)</v>
          </cell>
          <cell r="C128" t="str">
            <v>1 UND</v>
          </cell>
          <cell r="D128" t="str">
            <v>02/12/2019</v>
          </cell>
          <cell r="E128">
            <v>1350</v>
          </cell>
        </row>
        <row r="129">
          <cell r="A129" t="str">
            <v>10100261</v>
          </cell>
          <cell r="B129" t="str">
            <v>GARBANZO MFS (PAQ:KILO)</v>
          </cell>
          <cell r="C129" t="str">
            <v>1 PAQUETE</v>
          </cell>
          <cell r="D129" t="str">
            <v>03/03/2020</v>
          </cell>
          <cell r="E129">
            <v>1380</v>
          </cell>
        </row>
        <row r="130">
          <cell r="A130" t="str">
            <v>1730617</v>
          </cell>
          <cell r="B130" t="str">
            <v>REPOLLO VERDE RAYADO KILO</v>
          </cell>
          <cell r="C130" t="str">
            <v>1 KILO</v>
          </cell>
          <cell r="D130" t="str">
            <v>27/02/2020</v>
          </cell>
          <cell r="E130">
            <v>1384</v>
          </cell>
          <cell r="F130" t="str">
            <v>Gramo</v>
          </cell>
          <cell r="G130">
            <v>1.3839999999999999</v>
          </cell>
        </row>
        <row r="131">
          <cell r="A131" t="str">
            <v>0610212</v>
          </cell>
          <cell r="B131" t="str">
            <v>JENGIBRE ENTERO KILO</v>
          </cell>
          <cell r="C131" t="str">
            <v>1 KILO</v>
          </cell>
          <cell r="D131" t="str">
            <v>03/03/2020</v>
          </cell>
          <cell r="E131">
            <v>1390</v>
          </cell>
          <cell r="F131" t="str">
            <v>Gramo</v>
          </cell>
          <cell r="G131">
            <v>1.39</v>
          </cell>
        </row>
        <row r="132">
          <cell r="A132" t="str">
            <v>1210413</v>
          </cell>
          <cell r="B132" t="str">
            <v>PASTA WANTAN (PAQ:465g)</v>
          </cell>
          <cell r="C132" t="str">
            <v>1 PAQUETE</v>
          </cell>
          <cell r="D132" t="str">
            <v>03/03/2020</v>
          </cell>
          <cell r="E132">
            <v>1415</v>
          </cell>
          <cell r="F132" t="str">
            <v>Gramo</v>
          </cell>
          <cell r="G132">
            <v>3.043010752688172</v>
          </cell>
        </row>
        <row r="133">
          <cell r="A133" t="str">
            <v>0101100</v>
          </cell>
          <cell r="B133" t="str">
            <v>HOJA TAMAL KILO</v>
          </cell>
          <cell r="C133" t="str">
            <v>1 KILO</v>
          </cell>
          <cell r="D133" t="str">
            <v>16/12/2019</v>
          </cell>
          <cell r="E133">
            <v>1425</v>
          </cell>
        </row>
        <row r="134">
          <cell r="A134" t="str">
            <v>102000035</v>
          </cell>
          <cell r="B134" t="str">
            <v>JUGO LIMON (UND=930 ml)</v>
          </cell>
          <cell r="C134" t="str">
            <v>1 UND</v>
          </cell>
          <cell r="D134" t="str">
            <v>25/02/2020</v>
          </cell>
          <cell r="E134">
            <v>1425</v>
          </cell>
        </row>
        <row r="135">
          <cell r="A135" t="str">
            <v>0101075</v>
          </cell>
          <cell r="B135" t="str">
            <v>ESPINACA EN HOJA (PAQ:500g)</v>
          </cell>
          <cell r="C135" t="str">
            <v>1 PAQUETE</v>
          </cell>
          <cell r="D135" t="str">
            <v>04/03/2020</v>
          </cell>
          <cell r="E135">
            <v>1436</v>
          </cell>
          <cell r="F135" t="str">
            <v>Gramo</v>
          </cell>
          <cell r="G135">
            <v>2.8719999999999999</v>
          </cell>
        </row>
        <row r="136">
          <cell r="A136" t="str">
            <v>10300042</v>
          </cell>
          <cell r="B136" t="str">
            <v>MUSLO DE POLLO ENTERO (KILO)</v>
          </cell>
          <cell r="C136" t="str">
            <v>1 KILO</v>
          </cell>
          <cell r="D136" t="str">
            <v>27/02/2020</v>
          </cell>
          <cell r="E136">
            <v>1450</v>
          </cell>
        </row>
        <row r="137">
          <cell r="A137" t="str">
            <v>10100165</v>
          </cell>
          <cell r="B137" t="str">
            <v>FLAT BREAD REDONDO (PAQ:12 UND)</v>
          </cell>
          <cell r="C137" t="str">
            <v>1 PAQUETE</v>
          </cell>
          <cell r="D137" t="str">
            <v>08/02/2020</v>
          </cell>
          <cell r="E137">
            <v>1455</v>
          </cell>
        </row>
        <row r="138">
          <cell r="A138" t="str">
            <v>1210420</v>
          </cell>
          <cell r="B138" t="str">
            <v>ESPAGUETTI (PAQ: 1K)</v>
          </cell>
          <cell r="C138" t="str">
            <v>1 PAQUETE</v>
          </cell>
          <cell r="D138" t="str">
            <v>03/03/2020</v>
          </cell>
          <cell r="E138">
            <v>1465</v>
          </cell>
        </row>
        <row r="139">
          <cell r="A139" t="str">
            <v>0710290</v>
          </cell>
          <cell r="B139" t="str">
            <v>PAPEL DE ARROZ (PAQ:36 UND)</v>
          </cell>
          <cell r="C139" t="str">
            <v>1 PAQUETE</v>
          </cell>
          <cell r="D139" t="str">
            <v>05/03/2020</v>
          </cell>
          <cell r="E139">
            <v>1467.39</v>
          </cell>
        </row>
        <row r="140">
          <cell r="A140" t="str">
            <v>0110085</v>
          </cell>
          <cell r="B140" t="str">
            <v>PLATANO VERDE PICADO KILO</v>
          </cell>
          <cell r="C140" t="str">
            <v>1 KILO</v>
          </cell>
          <cell r="D140" t="str">
            <v>04/03/2020</v>
          </cell>
          <cell r="E140">
            <v>1474</v>
          </cell>
          <cell r="F140" t="str">
            <v>Gramo</v>
          </cell>
          <cell r="G140">
            <v>1.474</v>
          </cell>
        </row>
        <row r="141">
          <cell r="A141" t="str">
            <v>0110080</v>
          </cell>
          <cell r="B141" t="str">
            <v>CEBOLLA MORADA KILO</v>
          </cell>
          <cell r="C141" t="str">
            <v xml:space="preserve">1 KILO </v>
          </cell>
          <cell r="D141" t="str">
            <v>03/03/2020</v>
          </cell>
          <cell r="E141">
            <v>1500</v>
          </cell>
        </row>
        <row r="142">
          <cell r="A142" t="str">
            <v>0110060</v>
          </cell>
          <cell r="B142" t="str">
            <v>PULPA DE TAMARINDO KILO</v>
          </cell>
          <cell r="C142" t="str">
            <v>1 KILO</v>
          </cell>
          <cell r="D142" t="str">
            <v>04/03/2020</v>
          </cell>
          <cell r="E142">
            <v>1500</v>
          </cell>
          <cell r="F142" t="str">
            <v>Gramo</v>
          </cell>
          <cell r="G142">
            <v>1.5</v>
          </cell>
        </row>
        <row r="143">
          <cell r="A143" t="str">
            <v>10100053</v>
          </cell>
          <cell r="B143" t="str">
            <v>SALSA TOMATE BANQUETE (PAQ:2 Kg)</v>
          </cell>
          <cell r="C143" t="str">
            <v>1 PAQUETE</v>
          </cell>
          <cell r="D143" t="str">
            <v>03/03/2020</v>
          </cell>
          <cell r="E143">
            <v>1510</v>
          </cell>
          <cell r="F143" t="str">
            <v>Gramo</v>
          </cell>
          <cell r="G143">
            <v>0.755</v>
          </cell>
        </row>
        <row r="144">
          <cell r="A144" t="str">
            <v>10100243</v>
          </cell>
          <cell r="B144" t="str">
            <v>BATTER ZFC (PAQ: 1 K)</v>
          </cell>
          <cell r="C144" t="str">
            <v>1 PAQUETE</v>
          </cell>
          <cell r="D144" t="str">
            <v>21/01/2020</v>
          </cell>
          <cell r="E144">
            <v>1514</v>
          </cell>
          <cell r="F144" t="str">
            <v>Gramo</v>
          </cell>
          <cell r="G144">
            <v>1.514</v>
          </cell>
        </row>
        <row r="145">
          <cell r="A145" t="str">
            <v>0212254</v>
          </cell>
          <cell r="B145" t="str">
            <v>MANTECA DE CERDO</v>
          </cell>
          <cell r="C145" t="str">
            <v xml:space="preserve">1 KILO </v>
          </cell>
          <cell r="D145" t="str">
            <v>17/12/2019</v>
          </cell>
          <cell r="E145">
            <v>1545</v>
          </cell>
        </row>
        <row r="146">
          <cell r="A146" t="str">
            <v>111000032</v>
          </cell>
          <cell r="B146" t="str">
            <v>BISCOTTI ALMENDRAS 50 G (BOLSA:3 PAQ)</v>
          </cell>
          <cell r="C146" t="str">
            <v>1 BOLSA</v>
          </cell>
          <cell r="D146" t="str">
            <v>10/02/2020</v>
          </cell>
          <cell r="E146">
            <v>1545</v>
          </cell>
        </row>
        <row r="147">
          <cell r="A147" t="str">
            <v>10100089</v>
          </cell>
          <cell r="B147" t="str">
            <v>CHILE MORRON LATA (UND:390g)</v>
          </cell>
          <cell r="C147" t="str">
            <v>1 UND</v>
          </cell>
          <cell r="D147" t="str">
            <v>22/02/2020</v>
          </cell>
          <cell r="E147">
            <v>1600</v>
          </cell>
        </row>
        <row r="148">
          <cell r="A148" t="str">
            <v>105000003</v>
          </cell>
          <cell r="B148" t="str">
            <v>PEREJIL SECO (UND:57 G)</v>
          </cell>
          <cell r="C148" t="str">
            <v>1 UND</v>
          </cell>
          <cell r="D148" t="str">
            <v>03/03/2020</v>
          </cell>
          <cell r="E148">
            <v>1614</v>
          </cell>
        </row>
        <row r="149">
          <cell r="A149" t="str">
            <v>111000031</v>
          </cell>
          <cell r="B149" t="str">
            <v>GALLETA MANTEQ ALMEND 50G (BOLSA:3 PAQ)</v>
          </cell>
          <cell r="C149" t="str">
            <v>1 BOLSA</v>
          </cell>
          <cell r="D149" t="str">
            <v>10/02/2020</v>
          </cell>
          <cell r="E149">
            <v>1624</v>
          </cell>
        </row>
        <row r="150">
          <cell r="A150" t="str">
            <v>102000041</v>
          </cell>
          <cell r="B150" t="str">
            <v>TE FRIO LIMON (PAQ:500 G)</v>
          </cell>
          <cell r="C150" t="str">
            <v>1 PAQUETE</v>
          </cell>
          <cell r="D150" t="str">
            <v>04/03/2020</v>
          </cell>
          <cell r="E150">
            <v>1650</v>
          </cell>
        </row>
        <row r="151">
          <cell r="A151" t="str">
            <v>10100135</v>
          </cell>
          <cell r="B151" t="str">
            <v>FIDEOS TORNILLITO (PAQ:1 K)</v>
          </cell>
          <cell r="C151" t="str">
            <v>1 PAQUETE</v>
          </cell>
          <cell r="D151" t="str">
            <v>28/01/2020</v>
          </cell>
          <cell r="E151">
            <v>1655</v>
          </cell>
        </row>
        <row r="152">
          <cell r="A152" t="str">
            <v>109000122</v>
          </cell>
          <cell r="B152" t="str">
            <v>RELLENO PULPA DE PIÑA (KILO)</v>
          </cell>
          <cell r="C152" t="str">
            <v>1 KILOGramos</v>
          </cell>
          <cell r="D152" t="str">
            <v>25/02/2020</v>
          </cell>
          <cell r="E152">
            <v>1655</v>
          </cell>
        </row>
        <row r="153">
          <cell r="A153" t="str">
            <v>101040</v>
          </cell>
          <cell r="B153" t="str">
            <v>CEBOLLA TRENZA KILO</v>
          </cell>
          <cell r="C153" t="str">
            <v>1 KILO</v>
          </cell>
          <cell r="D153" t="str">
            <v>05/03/2020</v>
          </cell>
          <cell r="E153">
            <v>1657</v>
          </cell>
        </row>
        <row r="154">
          <cell r="A154" t="str">
            <v>10300037</v>
          </cell>
          <cell r="B154" t="str">
            <v>ANCHOAS FILET OLIVA ROLAND (UND:56 G)</v>
          </cell>
          <cell r="C154" t="str">
            <v>1 UND</v>
          </cell>
          <cell r="D154" t="str">
            <v>18/11/2019</v>
          </cell>
          <cell r="E154">
            <v>1660</v>
          </cell>
        </row>
        <row r="155">
          <cell r="A155" t="str">
            <v>1210437</v>
          </cell>
          <cell r="B155" t="str">
            <v>PASTA CARACOLITOS (PAQ: 1  K)</v>
          </cell>
          <cell r="C155" t="str">
            <v>1 PAQUETE</v>
          </cell>
          <cell r="D155" t="str">
            <v>12/12/2019</v>
          </cell>
          <cell r="E155">
            <v>1685</v>
          </cell>
        </row>
        <row r="156">
          <cell r="A156" t="str">
            <v>10100047</v>
          </cell>
          <cell r="B156" t="str">
            <v>SIROPE CHOCO. LIQUIDO (UND: 680 g)</v>
          </cell>
          <cell r="C156" t="str">
            <v>1 UND</v>
          </cell>
          <cell r="D156" t="str">
            <v>04/01/2020</v>
          </cell>
          <cell r="E156">
            <v>1691</v>
          </cell>
        </row>
        <row r="157">
          <cell r="A157" t="str">
            <v>1010047</v>
          </cell>
          <cell r="B157" t="str">
            <v>SIROPE CHOCOLATE HERSHEY (UND:24 ONZ)</v>
          </cell>
          <cell r="C157" t="str">
            <v>1 UND</v>
          </cell>
          <cell r="D157" t="str">
            <v>25/02/2020</v>
          </cell>
          <cell r="E157">
            <v>1691</v>
          </cell>
        </row>
        <row r="158">
          <cell r="A158" t="str">
            <v>0212275</v>
          </cell>
          <cell r="B158" t="str">
            <v>MORTADELA ESPECIAL KILO</v>
          </cell>
          <cell r="C158" t="str">
            <v>1 KILO</v>
          </cell>
          <cell r="D158" t="str">
            <v>05/03/2020</v>
          </cell>
          <cell r="E158">
            <v>1695</v>
          </cell>
        </row>
        <row r="159">
          <cell r="A159" t="str">
            <v>510268</v>
          </cell>
          <cell r="B159" t="str">
            <v>FRIJOL TIERNO (PAQ:1KILO)</v>
          </cell>
          <cell r="C159" t="str">
            <v>1 PAQUETE</v>
          </cell>
          <cell r="D159" t="str">
            <v>04/03/2020</v>
          </cell>
          <cell r="E159">
            <v>1700</v>
          </cell>
          <cell r="F159" t="str">
            <v>Gramo</v>
          </cell>
          <cell r="G159">
            <v>1.7</v>
          </cell>
        </row>
        <row r="160">
          <cell r="A160" t="str">
            <v>610220</v>
          </cell>
          <cell r="B160" t="str">
            <v>CONSOME POLLO ALSERRO (PAQ: 1 K)</v>
          </cell>
          <cell r="C160" t="str">
            <v>1 PAQUETE</v>
          </cell>
          <cell r="D160" t="str">
            <v>03/03/2020</v>
          </cell>
          <cell r="E160">
            <v>1708</v>
          </cell>
          <cell r="F160" t="str">
            <v>Gramo</v>
          </cell>
          <cell r="G160">
            <v>1.708</v>
          </cell>
        </row>
        <row r="161">
          <cell r="A161" t="str">
            <v>0710282</v>
          </cell>
          <cell r="B161" t="str">
            <v>GALLETA POZUELO ENTERA KILO</v>
          </cell>
          <cell r="C161" t="str">
            <v>1 KILO</v>
          </cell>
          <cell r="D161" t="str">
            <v>04/03/2020</v>
          </cell>
          <cell r="E161">
            <v>1726.34</v>
          </cell>
          <cell r="F161" t="str">
            <v>Gramo</v>
          </cell>
          <cell r="G161">
            <v>1.72634</v>
          </cell>
        </row>
        <row r="162">
          <cell r="A162" t="str">
            <v>1110407</v>
          </cell>
          <cell r="B162" t="str">
            <v>VEGETALES MIXTOS LAMB WESTON (PAQ: 1 K)</v>
          </cell>
          <cell r="C162" t="str">
            <v>1 PAQUETE</v>
          </cell>
          <cell r="D162" t="str">
            <v>03/03/2020</v>
          </cell>
          <cell r="E162">
            <v>1728</v>
          </cell>
        </row>
        <row r="163">
          <cell r="A163" t="str">
            <v>11400040</v>
          </cell>
          <cell r="B163" t="str">
            <v>YOGURT BATIDO NATURAL (UND:1 K)</v>
          </cell>
          <cell r="C163" t="str">
            <v>1 UND</v>
          </cell>
          <cell r="D163" t="str">
            <v>03/03/2020</v>
          </cell>
          <cell r="E163">
            <v>1750</v>
          </cell>
        </row>
        <row r="164">
          <cell r="A164" t="str">
            <v>105000002</v>
          </cell>
          <cell r="B164" t="str">
            <v>OREGANO (UND: 156 G)</v>
          </cell>
          <cell r="C164" t="str">
            <v>1 UND</v>
          </cell>
          <cell r="D164" t="str">
            <v>27/02/2020</v>
          </cell>
          <cell r="E164">
            <v>1765</v>
          </cell>
          <cell r="F164" t="str">
            <v>Gramo</v>
          </cell>
          <cell r="G164">
            <v>11.314102564102564</v>
          </cell>
        </row>
        <row r="165">
          <cell r="A165" t="str">
            <v>503000036</v>
          </cell>
          <cell r="B165" t="str">
            <v>BICARBONATO DE SODIO (PAQ:2.5 K)</v>
          </cell>
          <cell r="C165" t="str">
            <v>1 PAQUETE</v>
          </cell>
          <cell r="D165" t="str">
            <v>15/02/2020</v>
          </cell>
          <cell r="E165">
            <v>1766.45</v>
          </cell>
          <cell r="F165" t="str">
            <v>Gramo</v>
          </cell>
          <cell r="G165">
            <v>0.70657999999999999</v>
          </cell>
        </row>
        <row r="166">
          <cell r="A166" t="str">
            <v>1730602</v>
          </cell>
          <cell r="B166" t="str">
            <v>MUSLO DE POLLO DESHUESADO KILO</v>
          </cell>
          <cell r="C166" t="str">
            <v>1 KILO</v>
          </cell>
          <cell r="D166" t="str">
            <v>25/11/2019</v>
          </cell>
          <cell r="E166">
            <v>1770</v>
          </cell>
        </row>
        <row r="167">
          <cell r="A167" t="str">
            <v>710305</v>
          </cell>
          <cell r="B167" t="str">
            <v>GALLETA DE CHOCOLATE KILO</v>
          </cell>
          <cell r="C167" t="str">
            <v>1 KILO</v>
          </cell>
          <cell r="D167" t="str">
            <v>16/12/2019</v>
          </cell>
          <cell r="E167">
            <v>1782</v>
          </cell>
        </row>
        <row r="168">
          <cell r="A168" t="str">
            <v>12100006</v>
          </cell>
          <cell r="B168" t="str">
            <v>CHOCOLATE GUAYABITA (PAQ=36 UND)</v>
          </cell>
          <cell r="C168" t="str">
            <v>1 PAQ</v>
          </cell>
          <cell r="D168" t="str">
            <v>02/03/2020</v>
          </cell>
          <cell r="E168">
            <v>1782</v>
          </cell>
        </row>
        <row r="169">
          <cell r="A169" t="str">
            <v>1110414</v>
          </cell>
          <cell r="B169" t="str">
            <v>LECHE EVAPORADA (UND: 1 L)</v>
          </cell>
          <cell r="C169" t="str">
            <v>1 UND</v>
          </cell>
          <cell r="D169" t="str">
            <v>03/03/2020</v>
          </cell>
          <cell r="E169">
            <v>1786</v>
          </cell>
          <cell r="F169" t="str">
            <v>Mililitro</v>
          </cell>
          <cell r="G169">
            <v>1.786</v>
          </cell>
        </row>
        <row r="170">
          <cell r="A170" t="str">
            <v>510157</v>
          </cell>
          <cell r="B170" t="str">
            <v>AZUCAR MORENO (PAQ:2 K)</v>
          </cell>
          <cell r="C170" t="str">
            <v>1 PAQUETE</v>
          </cell>
          <cell r="D170" t="str">
            <v>03/03/2020</v>
          </cell>
          <cell r="E170">
            <v>1788</v>
          </cell>
          <cell r="F170" t="str">
            <v>Gramo</v>
          </cell>
          <cell r="G170">
            <v>0.89400000000000002</v>
          </cell>
        </row>
        <row r="171">
          <cell r="A171" t="str">
            <v>101045</v>
          </cell>
          <cell r="B171" t="str">
            <v>CEBOLLINO KILO</v>
          </cell>
          <cell r="C171" t="str">
            <v>1 KILO</v>
          </cell>
          <cell r="D171" t="str">
            <v>04/03/2020</v>
          </cell>
          <cell r="E171">
            <v>1795</v>
          </cell>
          <cell r="F171" t="str">
            <v>Gramo</v>
          </cell>
          <cell r="G171">
            <v>1.7949999999999999</v>
          </cell>
        </row>
        <row r="172">
          <cell r="A172" t="str">
            <v>10700008</v>
          </cell>
          <cell r="B172" t="str">
            <v>CONFITE PALITO CHOCOLATE (PAQ:680 G)</v>
          </cell>
          <cell r="C172" t="str">
            <v>1 PAQUETE</v>
          </cell>
          <cell r="D172" t="str">
            <v>29/02/2020</v>
          </cell>
          <cell r="E172">
            <v>1810</v>
          </cell>
          <cell r="F172" t="str">
            <v>Gramo</v>
          </cell>
          <cell r="G172">
            <v>2.6617647058823528</v>
          </cell>
        </row>
        <row r="173">
          <cell r="A173" t="str">
            <v>10100254</v>
          </cell>
          <cell r="B173" t="str">
            <v>GRANOLA (PAQ:500 G)</v>
          </cell>
          <cell r="C173" t="str">
            <v>1 PAQUETE</v>
          </cell>
          <cell r="D173" t="str">
            <v>30/11/2019</v>
          </cell>
          <cell r="E173">
            <v>1815</v>
          </cell>
        </row>
        <row r="174">
          <cell r="A174" t="str">
            <v>0510304</v>
          </cell>
          <cell r="B174" t="str">
            <v>PREMEZCLA PASTEL SUPER ESPONJA</v>
          </cell>
          <cell r="C174" t="str">
            <v>1 KILO</v>
          </cell>
          <cell r="D174" t="str">
            <v>19/02/2020</v>
          </cell>
          <cell r="E174">
            <v>1823.5</v>
          </cell>
          <cell r="F174" t="str">
            <v>Gramo</v>
          </cell>
          <cell r="G174">
            <v>1.8234999999999999</v>
          </cell>
        </row>
        <row r="175">
          <cell r="A175" t="str">
            <v>20400022</v>
          </cell>
          <cell r="B175" t="str">
            <v>CAJETA GRANDE (CAJA:6 UND)</v>
          </cell>
          <cell r="C175" t="str">
            <v>1 CAJA</v>
          </cell>
          <cell r="D175" t="str">
            <v>05/03/2020</v>
          </cell>
          <cell r="E175">
            <v>1830</v>
          </cell>
        </row>
        <row r="176">
          <cell r="A176" t="str">
            <v>10700014</v>
          </cell>
          <cell r="B176" t="str">
            <v>CONFITE FIGURA NAVIDAD (PAQ:500 G)</v>
          </cell>
          <cell r="C176" t="str">
            <v>1 PAQUETE</v>
          </cell>
          <cell r="D176" t="str">
            <v>23/11/2019</v>
          </cell>
          <cell r="E176">
            <v>1836.01</v>
          </cell>
        </row>
        <row r="177">
          <cell r="A177" t="str">
            <v>0101236</v>
          </cell>
          <cell r="B177" t="str">
            <v>ZANAHORIA JULIANA (PAQ:1 KILO)</v>
          </cell>
          <cell r="C177" t="str">
            <v>1 PAQUETE</v>
          </cell>
          <cell r="D177" t="str">
            <v>04/03/2020</v>
          </cell>
          <cell r="E177">
            <v>1841</v>
          </cell>
          <cell r="F177" t="str">
            <v>Gramo</v>
          </cell>
          <cell r="G177">
            <v>1.841</v>
          </cell>
        </row>
        <row r="178">
          <cell r="A178" t="str">
            <v>10100230</v>
          </cell>
          <cell r="B178" t="str">
            <v>FRESA CONGELADA BEGRO (PAQ:1 K)</v>
          </cell>
          <cell r="C178" t="str">
            <v>1 PAQUETE</v>
          </cell>
          <cell r="D178" t="str">
            <v>01/02/2020</v>
          </cell>
          <cell r="E178">
            <v>1861</v>
          </cell>
          <cell r="F178" t="str">
            <v>Gramo</v>
          </cell>
          <cell r="G178">
            <v>1.861</v>
          </cell>
        </row>
        <row r="179">
          <cell r="A179" t="str">
            <v>1112444</v>
          </cell>
          <cell r="B179" t="str">
            <v>FRIJOL MOLIDO NEGRO D PEDRO (UND=2.2 K)</v>
          </cell>
          <cell r="C179" t="str">
            <v>1 UND</v>
          </cell>
          <cell r="D179" t="str">
            <v>03/03/2020</v>
          </cell>
          <cell r="E179">
            <v>1879</v>
          </cell>
          <cell r="F179" t="str">
            <v>Gramo</v>
          </cell>
          <cell r="G179">
            <v>0.85409090909090912</v>
          </cell>
        </row>
        <row r="180">
          <cell r="A180" t="str">
            <v>111000028</v>
          </cell>
          <cell r="B180" t="str">
            <v>CROCANTE CHOCO Y ALMENDRA (BOLSA:3 PAQ)</v>
          </cell>
          <cell r="C180" t="str">
            <v>1 BOLSA</v>
          </cell>
          <cell r="D180" t="str">
            <v>04/03/2020</v>
          </cell>
          <cell r="E180">
            <v>1890</v>
          </cell>
        </row>
        <row r="181">
          <cell r="A181" t="str">
            <v>10900004</v>
          </cell>
          <cell r="B181" t="str">
            <v>OLLA DE CARNE MIXTO (PAQ:1KILO)</v>
          </cell>
          <cell r="C181" t="str">
            <v>1 PAQUETE</v>
          </cell>
          <cell r="D181" t="str">
            <v>03/03/2020</v>
          </cell>
          <cell r="E181">
            <v>1900</v>
          </cell>
        </row>
        <row r="182">
          <cell r="A182" t="str">
            <v>10100259</v>
          </cell>
          <cell r="B182" t="str">
            <v>CHAYOTE TIERNO CUBO (PAQ:2K)</v>
          </cell>
          <cell r="C182" t="str">
            <v>1 PAQUETE</v>
          </cell>
          <cell r="D182" t="str">
            <v>05/03/2020</v>
          </cell>
          <cell r="E182">
            <v>1900</v>
          </cell>
        </row>
        <row r="183">
          <cell r="A183" t="str">
            <v>10100103</v>
          </cell>
          <cell r="B183" t="str">
            <v>ACEITE EXTRA VIRGEN FILIPPO (UND:250 ML)</v>
          </cell>
          <cell r="C183" t="str">
            <v>1 UND</v>
          </cell>
          <cell r="D183" t="str">
            <v>29/02/2020</v>
          </cell>
          <cell r="E183">
            <v>1902.3</v>
          </cell>
        </row>
        <row r="184">
          <cell r="A184" t="str">
            <v>11400051</v>
          </cell>
          <cell r="B184" t="str">
            <v>CREMA PRESTIGE GRAND (UND:1 K)</v>
          </cell>
          <cell r="C184" t="str">
            <v>1 UND</v>
          </cell>
          <cell r="D184" t="str">
            <v>30/12/2019</v>
          </cell>
          <cell r="E184">
            <v>1903.25</v>
          </cell>
          <cell r="F184" t="str">
            <v>Gramo</v>
          </cell>
          <cell r="G184">
            <v>1.9032500000000001</v>
          </cell>
        </row>
        <row r="185">
          <cell r="A185" t="str">
            <v>11400015</v>
          </cell>
          <cell r="B185" t="str">
            <v>QUESO GOUDA (PAQ:160g)</v>
          </cell>
          <cell r="C185" t="str">
            <v>1 PAQUETE</v>
          </cell>
          <cell r="D185" t="str">
            <v>03/03/2020</v>
          </cell>
          <cell r="E185">
            <v>1922</v>
          </cell>
        </row>
        <row r="186">
          <cell r="A186" t="str">
            <v>101043</v>
          </cell>
          <cell r="B186" t="str">
            <v>CEBOLLA BLANCA JULIANA (PAQ:1 KILO )</v>
          </cell>
          <cell r="C186" t="str">
            <v>1 PAQUETE</v>
          </cell>
          <cell r="D186" t="str">
            <v>04/03/2020</v>
          </cell>
          <cell r="E186">
            <v>1928</v>
          </cell>
          <cell r="F186" t="str">
            <v>Gramo</v>
          </cell>
          <cell r="G186">
            <v>1.9279999999999999</v>
          </cell>
        </row>
        <row r="187">
          <cell r="A187" t="str">
            <v>0101166</v>
          </cell>
          <cell r="B187" t="str">
            <v>PAPA PICADA (PAQ:1 KILO)</v>
          </cell>
          <cell r="C187" t="str">
            <v>1 PAQUETE</v>
          </cell>
          <cell r="D187" t="str">
            <v>04/03/2020</v>
          </cell>
          <cell r="E187">
            <v>1943</v>
          </cell>
          <cell r="F187" t="str">
            <v>Gramo</v>
          </cell>
          <cell r="G187">
            <v>1.9430000000000001</v>
          </cell>
        </row>
        <row r="188">
          <cell r="A188" t="str">
            <v>10300003</v>
          </cell>
          <cell r="B188" t="str">
            <v>JAMON COCIDO EN TROZOS (PAQ:500g)</v>
          </cell>
          <cell r="C188" t="str">
            <v>1 PAQUETE</v>
          </cell>
          <cell r="D188" t="str">
            <v>29/02/2020</v>
          </cell>
          <cell r="E188">
            <v>1950</v>
          </cell>
          <cell r="F188" t="str">
            <v>Gramo</v>
          </cell>
          <cell r="G188">
            <v>3.9</v>
          </cell>
        </row>
        <row r="189">
          <cell r="A189" t="str">
            <v>11200068</v>
          </cell>
          <cell r="B189" t="str">
            <v xml:space="preserve">PAN FOCACCIA ( PAQ:10 UND) </v>
          </cell>
          <cell r="C189" t="str">
            <v>1 PAQUETE</v>
          </cell>
          <cell r="D189" t="str">
            <v>05/03/2020</v>
          </cell>
          <cell r="E189">
            <v>1950</v>
          </cell>
        </row>
        <row r="190">
          <cell r="A190" t="str">
            <v>12000003</v>
          </cell>
          <cell r="B190" t="str">
            <v>CREMA VERSATIE (UND: L)</v>
          </cell>
          <cell r="C190" t="str">
            <v>1 UND</v>
          </cell>
          <cell r="D190" t="str">
            <v>03/03/2020</v>
          </cell>
          <cell r="E190">
            <v>1962</v>
          </cell>
          <cell r="F190" t="str">
            <v>Mililitro</v>
          </cell>
          <cell r="G190">
            <v>1.962</v>
          </cell>
        </row>
        <row r="191">
          <cell r="A191" t="str">
            <v>101035</v>
          </cell>
          <cell r="B191" t="str">
            <v>CEBOLLA PICADA (PAQ:KILO)</v>
          </cell>
          <cell r="C191" t="str">
            <v xml:space="preserve">1 KILO   </v>
          </cell>
          <cell r="D191" t="str">
            <v>04/03/2020</v>
          </cell>
          <cell r="E191">
            <v>1975</v>
          </cell>
          <cell r="F191" t="str">
            <v>Gramo</v>
          </cell>
          <cell r="G191">
            <v>1.9750000000000001</v>
          </cell>
        </row>
        <row r="192">
          <cell r="A192" t="str">
            <v>0410174</v>
          </cell>
          <cell r="B192" t="str">
            <v>RELLENO PIÑA COLADA KILO</v>
          </cell>
          <cell r="C192" t="str">
            <v>1 KILO</v>
          </cell>
          <cell r="D192" t="str">
            <v>02/03/2020</v>
          </cell>
          <cell r="E192">
            <v>1982</v>
          </cell>
          <cell r="F192" t="str">
            <v>Gramo</v>
          </cell>
          <cell r="G192">
            <v>1.982</v>
          </cell>
        </row>
        <row r="193">
          <cell r="A193" t="str">
            <v>0210056</v>
          </cell>
          <cell r="B193" t="str">
            <v>MONDONGO ENTERO KILO</v>
          </cell>
          <cell r="C193" t="str">
            <v>1 KILO</v>
          </cell>
          <cell r="D193" t="str">
            <v>22/01/2020</v>
          </cell>
          <cell r="E193">
            <v>1995</v>
          </cell>
        </row>
        <row r="194">
          <cell r="A194" t="str">
            <v>120000020</v>
          </cell>
          <cell r="B194" t="str">
            <v>CURITAS COLORES (CAJA:100 UND)</v>
          </cell>
          <cell r="C194" t="str">
            <v>1 CAJA</v>
          </cell>
          <cell r="D194" t="str">
            <v>13/11/2019</v>
          </cell>
          <cell r="E194">
            <v>2000</v>
          </cell>
        </row>
        <row r="195">
          <cell r="A195" t="str">
            <v>0101155</v>
          </cell>
          <cell r="B195" t="str">
            <v>PALMITO CRUDO KILO</v>
          </cell>
          <cell r="C195" t="str">
            <v>1 KILO</v>
          </cell>
          <cell r="D195" t="str">
            <v>03/03/2020</v>
          </cell>
          <cell r="E195">
            <v>2000</v>
          </cell>
          <cell r="F195" t="str">
            <v>Gramo</v>
          </cell>
          <cell r="G195">
            <v>2</v>
          </cell>
        </row>
        <row r="196">
          <cell r="A196" t="str">
            <v>1730589</v>
          </cell>
          <cell r="B196" t="str">
            <v>SALCHICHAS KILO</v>
          </cell>
          <cell r="C196" t="str">
            <v>1 KILO</v>
          </cell>
          <cell r="D196" t="str">
            <v>05/03/2020</v>
          </cell>
          <cell r="E196">
            <v>2010</v>
          </cell>
        </row>
        <row r="197">
          <cell r="A197" t="str">
            <v>10100198</v>
          </cell>
          <cell r="B197" t="str">
            <v>CURCUMA POLVO (PAQ: 1 K)</v>
          </cell>
          <cell r="C197" t="str">
            <v>1 PAQUETE</v>
          </cell>
          <cell r="D197" t="str">
            <v>17/01/2020</v>
          </cell>
          <cell r="E197">
            <v>2013.48</v>
          </cell>
        </row>
        <row r="198">
          <cell r="A198" t="str">
            <v>11200004</v>
          </cell>
          <cell r="B198" t="str">
            <v>PAN TRENZA(PAQ:10 UND)</v>
          </cell>
          <cell r="C198" t="str">
            <v>1 PAQUETE</v>
          </cell>
          <cell r="D198" t="str">
            <v>04/03/2020</v>
          </cell>
          <cell r="E198">
            <v>2050</v>
          </cell>
        </row>
        <row r="199">
          <cell r="A199" t="str">
            <v>103000027</v>
          </cell>
          <cell r="B199" t="str">
            <v>CHORIZO PASTA KILO</v>
          </cell>
          <cell r="C199" t="str">
            <v>1 KILO</v>
          </cell>
          <cell r="D199" t="str">
            <v>05/03/2020</v>
          </cell>
          <cell r="E199">
            <v>2050</v>
          </cell>
        </row>
        <row r="200">
          <cell r="A200" t="str">
            <v>0101074</v>
          </cell>
          <cell r="B200" t="str">
            <v>PEREJIL DESINFECTADO (PAQ: 250g)</v>
          </cell>
          <cell r="C200" t="str">
            <v>1 PAQUETE</v>
          </cell>
          <cell r="D200" t="str">
            <v>04/03/2020</v>
          </cell>
          <cell r="E200">
            <v>2051</v>
          </cell>
          <cell r="F200" t="str">
            <v>Gramo</v>
          </cell>
          <cell r="G200">
            <v>8.2040000000000006</v>
          </cell>
        </row>
        <row r="201">
          <cell r="A201" t="str">
            <v>0410153</v>
          </cell>
          <cell r="B201" t="str">
            <v>TOOPING MELOCOTON KILO</v>
          </cell>
          <cell r="C201" t="str">
            <v>1 KILO</v>
          </cell>
          <cell r="D201" t="str">
            <v>05/03/2020</v>
          </cell>
          <cell r="E201">
            <v>2060</v>
          </cell>
          <cell r="F201" t="str">
            <v>Gramo</v>
          </cell>
          <cell r="G201">
            <v>2.06</v>
          </cell>
        </row>
        <row r="202">
          <cell r="A202" t="str">
            <v>11400047</v>
          </cell>
          <cell r="B202" t="str">
            <v>LECHE 2% PASTEURIZADA (UND)</v>
          </cell>
          <cell r="C202" t="str">
            <v>1 UND</v>
          </cell>
          <cell r="D202" t="str">
            <v>03/03/2020</v>
          </cell>
          <cell r="E202">
            <v>2071.92</v>
          </cell>
          <cell r="F202" t="str">
            <v>Mililitro</v>
          </cell>
          <cell r="G202">
            <v>0.54740290620871868</v>
          </cell>
        </row>
        <row r="203">
          <cell r="A203" t="str">
            <v>10100215</v>
          </cell>
          <cell r="B203" t="str">
            <v>COCO DESHIDRATADO MEDIO (PAQ: KILO)</v>
          </cell>
          <cell r="C203" t="str">
            <v>1 PAQUETE</v>
          </cell>
          <cell r="D203" t="str">
            <v>22/02/2020</v>
          </cell>
          <cell r="E203">
            <v>2078</v>
          </cell>
        </row>
        <row r="204">
          <cell r="A204" t="str">
            <v>1730640</v>
          </cell>
          <cell r="B204" t="str">
            <v xml:space="preserve">ALITAS DE POLLO KILO </v>
          </cell>
          <cell r="C204" t="str">
            <v>1 KILO</v>
          </cell>
          <cell r="D204" t="str">
            <v>05/02/2020</v>
          </cell>
          <cell r="E204">
            <v>2080</v>
          </cell>
        </row>
        <row r="205">
          <cell r="A205" t="str">
            <v>410127</v>
          </cell>
          <cell r="B205" t="str">
            <v>CREMA PASTELERA KILO</v>
          </cell>
          <cell r="C205" t="str">
            <v>1 KILO</v>
          </cell>
          <cell r="D205" t="str">
            <v>02/03/2020</v>
          </cell>
          <cell r="E205">
            <v>2080</v>
          </cell>
        </row>
        <row r="206">
          <cell r="A206" t="str">
            <v>10300043</v>
          </cell>
          <cell r="B206" t="str">
            <v>CHORIZO COCIDO DE CERDO (PAQ: 600 G)</v>
          </cell>
          <cell r="C206" t="str">
            <v>1 PAQUETE</v>
          </cell>
          <cell r="D206" t="str">
            <v>05/03/2020</v>
          </cell>
          <cell r="E206">
            <v>2080</v>
          </cell>
        </row>
        <row r="207">
          <cell r="A207" t="str">
            <v>0210080</v>
          </cell>
          <cell r="B207" t="str">
            <v>HUESO DE PESCUEZO PICADO KILO</v>
          </cell>
          <cell r="C207" t="str">
            <v>1 KILO</v>
          </cell>
          <cell r="D207" t="str">
            <v>17/02/2020</v>
          </cell>
          <cell r="E207">
            <v>2095</v>
          </cell>
        </row>
        <row r="208">
          <cell r="A208" t="str">
            <v>812389</v>
          </cell>
          <cell r="B208" t="str">
            <v>JUGO LIMON (UND= 1 LITRO)</v>
          </cell>
          <cell r="C208" t="str">
            <v>1 UND</v>
          </cell>
          <cell r="D208" t="str">
            <v>25/11/2019</v>
          </cell>
          <cell r="E208">
            <v>2100</v>
          </cell>
        </row>
        <row r="209">
          <cell r="A209" t="str">
            <v>10100169</v>
          </cell>
          <cell r="B209" t="str">
            <v>ARUGULA EN HOJAS ( PAQ = 400g)</v>
          </cell>
          <cell r="C209" t="str">
            <v>1 PAQUETE</v>
          </cell>
          <cell r="D209" t="str">
            <v>05/12/2019</v>
          </cell>
          <cell r="E209">
            <v>2100</v>
          </cell>
        </row>
        <row r="210">
          <cell r="A210" t="str">
            <v>0410110</v>
          </cell>
          <cell r="B210" t="str">
            <v>RELLENO MELOCOTON BUCCA KILO</v>
          </cell>
          <cell r="C210" t="str">
            <v>1 KILO</v>
          </cell>
          <cell r="D210" t="str">
            <v>04/03/2020</v>
          </cell>
          <cell r="E210">
            <v>2133</v>
          </cell>
          <cell r="F210" t="str">
            <v>Gramo</v>
          </cell>
          <cell r="G210">
            <v>2.133</v>
          </cell>
        </row>
        <row r="211">
          <cell r="A211" t="str">
            <v>11300005</v>
          </cell>
          <cell r="B211" t="str">
            <v>HUEVOS EN CARTON (30UNID)</v>
          </cell>
          <cell r="C211" t="str">
            <v>1 CARTON</v>
          </cell>
          <cell r="D211" t="str">
            <v>05/03/2020</v>
          </cell>
          <cell r="E211">
            <v>2140.6</v>
          </cell>
          <cell r="F211" t="str">
            <v>UND</v>
          </cell>
          <cell r="G211">
            <v>71.353333333333325</v>
          </cell>
        </row>
        <row r="212">
          <cell r="A212" t="str">
            <v>10200027</v>
          </cell>
          <cell r="B212" t="str">
            <v>TE GINGER FRESH (PAQ:12 UND)</v>
          </cell>
          <cell r="C212" t="str">
            <v>1 PAQUETE</v>
          </cell>
          <cell r="D212" t="str">
            <v>28/01/2020</v>
          </cell>
          <cell r="E212">
            <v>2142</v>
          </cell>
        </row>
        <row r="213">
          <cell r="A213" t="str">
            <v>10200025</v>
          </cell>
          <cell r="B213" t="str">
            <v>TE SPICY CHAI (PAQ:12 UND)</v>
          </cell>
          <cell r="C213" t="str">
            <v>1 PAQUETE</v>
          </cell>
          <cell r="D213" t="str">
            <v>07/02/2020</v>
          </cell>
          <cell r="E213">
            <v>2142</v>
          </cell>
        </row>
        <row r="214">
          <cell r="A214" t="str">
            <v>10200022</v>
          </cell>
          <cell r="B214" t="str">
            <v>TE PALACIO ROYAL"ARANDANO" (PAQ:12 UND)</v>
          </cell>
          <cell r="C214" t="str">
            <v>1 PAQUETE</v>
          </cell>
          <cell r="D214" t="str">
            <v>25/02/2020</v>
          </cell>
          <cell r="E214">
            <v>2142</v>
          </cell>
        </row>
        <row r="215">
          <cell r="A215" t="str">
            <v>10200026</v>
          </cell>
          <cell r="B215" t="str">
            <v>TE BED TIME "MANZANILLA" (PAQ:12 UND)</v>
          </cell>
          <cell r="C215" t="str">
            <v>1 PAQUETE</v>
          </cell>
          <cell r="D215" t="str">
            <v>25/02/2020</v>
          </cell>
          <cell r="E215">
            <v>2142</v>
          </cell>
          <cell r="F215" t="str">
            <v>UND</v>
          </cell>
          <cell r="G215">
            <v>178.5</v>
          </cell>
        </row>
        <row r="216">
          <cell r="A216" t="str">
            <v>10200024</v>
          </cell>
          <cell r="B216" t="str">
            <v>TE MENTA DEGESTIVA (PAQ:12 UND)</v>
          </cell>
          <cell r="C216" t="str">
            <v>1 PAQUETE</v>
          </cell>
          <cell r="D216" t="str">
            <v>03/03/2020</v>
          </cell>
          <cell r="E216">
            <v>2142</v>
          </cell>
        </row>
        <row r="217">
          <cell r="A217" t="str">
            <v>0210117</v>
          </cell>
          <cell r="B217" t="str">
            <v>RECORTE FILET Nº1358 KILO</v>
          </cell>
          <cell r="C217" t="str">
            <v>1 KILO</v>
          </cell>
          <cell r="D217" t="str">
            <v>05/03/2020</v>
          </cell>
          <cell r="E217">
            <v>2170</v>
          </cell>
          <cell r="F217" t="str">
            <v>Gramo</v>
          </cell>
          <cell r="G217">
            <v>2.17</v>
          </cell>
        </row>
        <row r="218">
          <cell r="A218" t="str">
            <v>101065</v>
          </cell>
          <cell r="B218" t="str">
            <v>COLIFLOR KILO</v>
          </cell>
          <cell r="C218" t="str">
            <v>1 KILO</v>
          </cell>
          <cell r="D218" t="str">
            <v>29/02/2020</v>
          </cell>
          <cell r="E218">
            <v>2179</v>
          </cell>
        </row>
        <row r="219">
          <cell r="A219" t="str">
            <v>0210093</v>
          </cell>
          <cell r="B219" t="str">
            <v>SALCHICHON KILO</v>
          </cell>
          <cell r="C219" t="str">
            <v>1 KILO</v>
          </cell>
          <cell r="D219" t="str">
            <v>04/03/2020</v>
          </cell>
          <cell r="E219">
            <v>2190</v>
          </cell>
        </row>
        <row r="220">
          <cell r="A220" t="str">
            <v>103000021</v>
          </cell>
          <cell r="B220" t="str">
            <v>CARNE OSOBUCO PICADO (KILO)</v>
          </cell>
          <cell r="C220" t="str">
            <v>1 KILO</v>
          </cell>
          <cell r="D220" t="str">
            <v>13/01/2020</v>
          </cell>
          <cell r="E220">
            <v>2195</v>
          </cell>
        </row>
        <row r="221">
          <cell r="A221" t="str">
            <v>1730594</v>
          </cell>
          <cell r="B221" t="str">
            <v>COSTILLA DE RES</v>
          </cell>
          <cell r="C221" t="str">
            <v>1 KILO</v>
          </cell>
          <cell r="D221" t="str">
            <v>04/02/2020</v>
          </cell>
          <cell r="E221">
            <v>2195</v>
          </cell>
        </row>
        <row r="222">
          <cell r="A222" t="str">
            <v>210060</v>
          </cell>
          <cell r="B222" t="str">
            <v>CHORIZO  CRIOLLO KILO</v>
          </cell>
          <cell r="C222" t="str">
            <v>1 KILO</v>
          </cell>
          <cell r="D222" t="str">
            <v>29/02/2020</v>
          </cell>
          <cell r="E222">
            <v>2195</v>
          </cell>
          <cell r="F222" t="str">
            <v>Gramo</v>
          </cell>
          <cell r="G222">
            <v>2.1949999999999998</v>
          </cell>
        </row>
        <row r="223">
          <cell r="A223" t="str">
            <v>10100184</v>
          </cell>
          <cell r="B223" t="str">
            <v>PLATANO VERDE PELADO (PAQ: 2 K)</v>
          </cell>
          <cell r="C223" t="str">
            <v>1 PAQUETE</v>
          </cell>
          <cell r="D223" t="str">
            <v>04/03/2020</v>
          </cell>
          <cell r="E223">
            <v>2200</v>
          </cell>
          <cell r="F223" t="str">
            <v>Gramo</v>
          </cell>
          <cell r="G223">
            <v>1.1000000000000001</v>
          </cell>
        </row>
        <row r="224">
          <cell r="A224" t="str">
            <v>11200063</v>
          </cell>
          <cell r="B224" t="str">
            <v>PAN CIABATTA 16 CM (PAQ:10 UND)</v>
          </cell>
          <cell r="C224" t="str">
            <v xml:space="preserve">1 PAQUETE  </v>
          </cell>
          <cell r="D224" t="str">
            <v>05/03/2020</v>
          </cell>
          <cell r="E224">
            <v>2200</v>
          </cell>
          <cell r="F224" t="str">
            <v>UND</v>
          </cell>
          <cell r="G224">
            <v>220</v>
          </cell>
        </row>
        <row r="225">
          <cell r="A225" t="str">
            <v>10100256</v>
          </cell>
          <cell r="B225" t="str">
            <v>FRIJOLES MOLIDOS SADE (PAQ: 4 K)</v>
          </cell>
          <cell r="C225" t="str">
            <v>1 PAQUETE</v>
          </cell>
          <cell r="D225" t="str">
            <v>05/03/2020</v>
          </cell>
          <cell r="E225">
            <v>2205.3200000000002</v>
          </cell>
        </row>
        <row r="226">
          <cell r="A226" t="str">
            <v>10100046</v>
          </cell>
          <cell r="B226" t="str">
            <v>POLVO HORNEAR FLEISHMAN (PAQ:2.5 K)</v>
          </cell>
          <cell r="C226" t="str">
            <v>1 PAQUETE</v>
          </cell>
          <cell r="D226" t="str">
            <v>25/02/2020</v>
          </cell>
          <cell r="E226">
            <v>2238</v>
          </cell>
          <cell r="F226" t="str">
            <v>Gramo</v>
          </cell>
          <cell r="G226">
            <v>0.8952</v>
          </cell>
        </row>
        <row r="227">
          <cell r="A227" t="str">
            <v>10700038</v>
          </cell>
          <cell r="B227" t="str">
            <v xml:space="preserve">CHOCOLATE SURTIDO GALLITO (CAJA: 330 G) </v>
          </cell>
          <cell r="C227" t="str">
            <v>1 CAJA</v>
          </cell>
          <cell r="D227" t="str">
            <v>05/02/2020</v>
          </cell>
          <cell r="E227">
            <v>2252.27</v>
          </cell>
        </row>
        <row r="228">
          <cell r="A228" t="str">
            <v>105000042</v>
          </cell>
          <cell r="B228" t="str">
            <v>CONSOME RES PRIMA (PAQ:1 KILO)</v>
          </cell>
          <cell r="C228" t="str">
            <v>1 PAQUETE</v>
          </cell>
          <cell r="D228" t="str">
            <v>29/11/2019</v>
          </cell>
          <cell r="E228">
            <v>2255</v>
          </cell>
          <cell r="F228" t="str">
            <v>Gramo</v>
          </cell>
          <cell r="G228">
            <v>2.2549999999999999</v>
          </cell>
        </row>
        <row r="229">
          <cell r="A229" t="str">
            <v>10100263</v>
          </cell>
          <cell r="B229" t="str">
            <v>CHILE DULCE JULIANO (PAQ:KILO)</v>
          </cell>
          <cell r="C229" t="str">
            <v>1 PAQUETE</v>
          </cell>
          <cell r="D229" t="str">
            <v>17/01/2020</v>
          </cell>
          <cell r="E229">
            <v>2295</v>
          </cell>
        </row>
        <row r="230">
          <cell r="A230" t="str">
            <v>106000006</v>
          </cell>
          <cell r="B230" t="str">
            <v>ENCURTIDO EN MOSTAZA (UND:960 G)</v>
          </cell>
          <cell r="C230" t="str">
            <v>1 UND</v>
          </cell>
          <cell r="D230" t="str">
            <v>02/11/2019</v>
          </cell>
          <cell r="E230">
            <v>2305</v>
          </cell>
        </row>
        <row r="231">
          <cell r="A231" t="str">
            <v>10900020</v>
          </cell>
          <cell r="B231" t="str">
            <v>ZANAHORIA EN TROZOS (PAQ=2Kg)</v>
          </cell>
          <cell r="C231" t="str">
            <v>1 PAQUETE</v>
          </cell>
          <cell r="D231" t="str">
            <v>04/03/2020</v>
          </cell>
          <cell r="E231">
            <v>2307</v>
          </cell>
        </row>
        <row r="232">
          <cell r="A232" t="str">
            <v>10300032</v>
          </cell>
          <cell r="B232" t="str">
            <v>MUSLITO DE MUSLO KILO</v>
          </cell>
          <cell r="C232" t="str">
            <v>1 KILO</v>
          </cell>
          <cell r="D232" t="str">
            <v>10/02/2020</v>
          </cell>
          <cell r="E232">
            <v>2310</v>
          </cell>
        </row>
        <row r="233">
          <cell r="A233" t="str">
            <v>111000037</v>
          </cell>
          <cell r="B233" t="str">
            <v>BISCOTTI ALMENDRAS 75GR (BOLSA:3 PAQ)</v>
          </cell>
          <cell r="C233" t="str">
            <v>1 BOLSA</v>
          </cell>
          <cell r="D233" t="str">
            <v>04/03/2020</v>
          </cell>
          <cell r="E233">
            <v>2310</v>
          </cell>
        </row>
        <row r="234">
          <cell r="A234" t="str">
            <v>10100189</v>
          </cell>
          <cell r="B234" t="str">
            <v>CLORURO DE CALCIO (PAQ: KILO)</v>
          </cell>
          <cell r="C234" t="str">
            <v>1 PAQUETE</v>
          </cell>
          <cell r="D234" t="str">
            <v>26/02/2020</v>
          </cell>
          <cell r="E234">
            <v>2338.9499999999998</v>
          </cell>
          <cell r="F234" t="str">
            <v>Gramo</v>
          </cell>
          <cell r="G234">
            <v>2.3389499999999996</v>
          </cell>
        </row>
        <row r="235">
          <cell r="A235" t="str">
            <v>10100185</v>
          </cell>
          <cell r="B235" t="str">
            <v>SALSA TOMATE ROSTIPOLLOS (UND: 4 K)</v>
          </cell>
          <cell r="C235" t="str">
            <v>1 UND</v>
          </cell>
          <cell r="D235" t="str">
            <v>05/03/2020</v>
          </cell>
          <cell r="E235">
            <v>2353</v>
          </cell>
        </row>
        <row r="236">
          <cell r="A236" t="str">
            <v>10500016</v>
          </cell>
          <cell r="B236" t="str">
            <v>HOJA DE LAUREL (UND:43g)</v>
          </cell>
          <cell r="C236" t="str">
            <v>1 UND</v>
          </cell>
          <cell r="D236" t="str">
            <v>13/02/2020</v>
          </cell>
          <cell r="E236">
            <v>2358</v>
          </cell>
          <cell r="F236" t="str">
            <v>Gramo</v>
          </cell>
          <cell r="G236">
            <v>54.837209302325583</v>
          </cell>
        </row>
        <row r="237">
          <cell r="A237" t="str">
            <v>0410172</v>
          </cell>
          <cell r="B237" t="str">
            <v>RELLENO DE FRESA KILO</v>
          </cell>
          <cell r="C237" t="str">
            <v>1 KILO</v>
          </cell>
          <cell r="D237" t="str">
            <v>05/03/2020</v>
          </cell>
          <cell r="E237">
            <v>2397</v>
          </cell>
          <cell r="F237" t="str">
            <v>Gramo</v>
          </cell>
          <cell r="G237">
            <v>2.3969999999999998</v>
          </cell>
        </row>
        <row r="238">
          <cell r="A238" t="str">
            <v>10400002</v>
          </cell>
          <cell r="B238" t="str">
            <v>COLORANTE GEL ELECTRIC PURPLE (UND=4.5)</v>
          </cell>
          <cell r="C238" t="str">
            <v>1 UND</v>
          </cell>
          <cell r="D238" t="str">
            <v>16/12/2019</v>
          </cell>
          <cell r="E238">
            <v>2400</v>
          </cell>
        </row>
        <row r="239">
          <cell r="A239" t="str">
            <v>10400001</v>
          </cell>
          <cell r="B239" t="str">
            <v>COLORANTE GEL ELECTRIC GREEN (UD=130ml)</v>
          </cell>
          <cell r="C239" t="str">
            <v>1 UND</v>
          </cell>
          <cell r="D239" t="str">
            <v>07/01/2020</v>
          </cell>
          <cell r="E239">
            <v>2400</v>
          </cell>
        </row>
        <row r="240">
          <cell r="A240" t="str">
            <v>10400006</v>
          </cell>
          <cell r="B240" t="str">
            <v>COLORANTE GEL LEMON YELLOW UND 130 ML</v>
          </cell>
          <cell r="C240" t="str">
            <v>1 UND</v>
          </cell>
          <cell r="D240" t="str">
            <v>07/02/2020</v>
          </cell>
          <cell r="E240">
            <v>2400</v>
          </cell>
        </row>
        <row r="241">
          <cell r="A241" t="str">
            <v>10400008</v>
          </cell>
          <cell r="B241" t="str">
            <v>COLORANTE GEL EGG YELLOW  (UND= 130 ML)</v>
          </cell>
          <cell r="C241" t="str">
            <v>1 UND</v>
          </cell>
          <cell r="D241" t="str">
            <v>18/02/2020</v>
          </cell>
          <cell r="E241">
            <v>2400</v>
          </cell>
          <cell r="F241" t="str">
            <v>Gramo</v>
          </cell>
          <cell r="G241">
            <v>18.46153846153846</v>
          </cell>
        </row>
        <row r="242">
          <cell r="A242" t="str">
            <v>10400004</v>
          </cell>
          <cell r="B242" t="str">
            <v>COLORANTE GEL MINT GREEN (UND)</v>
          </cell>
          <cell r="C242" t="str">
            <v>1 UND</v>
          </cell>
          <cell r="D242" t="str">
            <v>18/02/2020</v>
          </cell>
          <cell r="E242">
            <v>2400</v>
          </cell>
        </row>
        <row r="243">
          <cell r="A243" t="str">
            <v>10400003</v>
          </cell>
          <cell r="B243" t="str">
            <v>COLORANTE GEL ELECTRIC BLUE (UND=130ml)</v>
          </cell>
          <cell r="C243" t="str">
            <v>1 UND</v>
          </cell>
          <cell r="D243" t="str">
            <v>18/02/2020</v>
          </cell>
          <cell r="E243">
            <v>2400</v>
          </cell>
        </row>
        <row r="244">
          <cell r="A244" t="str">
            <v>10400005</v>
          </cell>
          <cell r="B244" t="str">
            <v>COLORANTE GEL ELECTRIC PINK (UND=4.5 OZ)</v>
          </cell>
          <cell r="C244" t="str">
            <v>1 UND</v>
          </cell>
          <cell r="D244" t="str">
            <v>18/02/2020</v>
          </cell>
          <cell r="E244">
            <v>2400</v>
          </cell>
        </row>
        <row r="245">
          <cell r="A245" t="str">
            <v>10400009</v>
          </cell>
          <cell r="B245" t="str">
            <v>COLORANTE GEL SUPER RED</v>
          </cell>
          <cell r="C245" t="str">
            <v>1 UND</v>
          </cell>
          <cell r="D245" t="str">
            <v>18/02/2020</v>
          </cell>
          <cell r="E245">
            <v>2400</v>
          </cell>
        </row>
        <row r="246">
          <cell r="A246" t="str">
            <v>11200005</v>
          </cell>
          <cell r="B246" t="str">
            <v>PAN BAGUETTINO (PAQ:20 UND)</v>
          </cell>
          <cell r="C246" t="str">
            <v>1 PAQUETE</v>
          </cell>
          <cell r="D246" t="str">
            <v>05/03/2020</v>
          </cell>
          <cell r="E246">
            <v>2400</v>
          </cell>
        </row>
        <row r="247">
          <cell r="A247" t="str">
            <v>1210405</v>
          </cell>
          <cell r="B247" t="str">
            <v>PASTA P/LASAG/(PAQ:1 KG)</v>
          </cell>
          <cell r="C247" t="str">
            <v>1 PAQUETE</v>
          </cell>
          <cell r="D247" t="str">
            <v>03/03/2020</v>
          </cell>
          <cell r="E247">
            <v>2411</v>
          </cell>
          <cell r="F247" t="str">
            <v>Gramo</v>
          </cell>
          <cell r="G247">
            <v>2.411</v>
          </cell>
        </row>
        <row r="248">
          <cell r="A248" t="str">
            <v>10100088</v>
          </cell>
          <cell r="B248" t="str">
            <v>VINAGRE BALSAMICO TINTO (UND:250 ML)**</v>
          </cell>
          <cell r="C248" t="str">
            <v>1 UND</v>
          </cell>
          <cell r="D248" t="str">
            <v>28/01/2020</v>
          </cell>
          <cell r="E248">
            <v>2415</v>
          </cell>
          <cell r="F248" t="str">
            <v>Mililitro</v>
          </cell>
          <cell r="G248">
            <v>9.66</v>
          </cell>
        </row>
        <row r="249">
          <cell r="A249" t="str">
            <v>101081</v>
          </cell>
          <cell r="B249" t="str">
            <v>FRESA PICADA KILO</v>
          </cell>
          <cell r="C249" t="str">
            <v>1 KILO</v>
          </cell>
          <cell r="D249" t="str">
            <v>04/03/2020</v>
          </cell>
          <cell r="E249">
            <v>2425</v>
          </cell>
          <cell r="F249" t="str">
            <v>Gramo</v>
          </cell>
          <cell r="G249">
            <v>2.4249999999999998</v>
          </cell>
        </row>
        <row r="250">
          <cell r="A250" t="str">
            <v>102000046</v>
          </cell>
          <cell r="B250" t="str">
            <v>BEBIDA TE CHAI (PAQ: 300 G)</v>
          </cell>
          <cell r="C250" t="str">
            <v>1 PAQUETE</v>
          </cell>
          <cell r="D250" t="str">
            <v>20/01/2020</v>
          </cell>
          <cell r="E250">
            <v>2445</v>
          </cell>
        </row>
        <row r="251">
          <cell r="A251" t="str">
            <v>10900022</v>
          </cell>
          <cell r="B251" t="str">
            <v>CHAYOTE TIERNO EN TROZOS (PAQ:2 KILOS)</v>
          </cell>
          <cell r="C251" t="str">
            <v>1 PAQUETE</v>
          </cell>
          <cell r="D251" t="str">
            <v>25/02/2020</v>
          </cell>
          <cell r="E251">
            <v>2455</v>
          </cell>
        </row>
        <row r="252">
          <cell r="A252" t="str">
            <v>102000039</v>
          </cell>
          <cell r="B252" t="str">
            <v>ROMPOPE SPOON (UND:510 G)</v>
          </cell>
          <cell r="C252" t="str">
            <v>1 UND</v>
          </cell>
          <cell r="D252" t="str">
            <v>20/12/2019</v>
          </cell>
          <cell r="E252">
            <v>2460</v>
          </cell>
        </row>
        <row r="253">
          <cell r="A253" t="str">
            <v>10100208</v>
          </cell>
          <cell r="B253" t="str">
            <v>MARACUYA (KILO)</v>
          </cell>
          <cell r="C253" t="str">
            <v xml:space="preserve">1 KILO </v>
          </cell>
          <cell r="D253" t="str">
            <v>15/02/2020</v>
          </cell>
          <cell r="E253">
            <v>2465</v>
          </cell>
        </row>
        <row r="254">
          <cell r="A254" t="str">
            <v>10100164</v>
          </cell>
          <cell r="B254" t="str">
            <v>MELOCOTON CUBOS MONACO (UND)</v>
          </cell>
          <cell r="C254" t="str">
            <v>1 UND</v>
          </cell>
          <cell r="D254" t="str">
            <v>19/11/2019</v>
          </cell>
          <cell r="E254">
            <v>2619</v>
          </cell>
          <cell r="F254" t="str">
            <v>Gramo</v>
          </cell>
          <cell r="G254">
            <v>1.4550000000000001</v>
          </cell>
        </row>
        <row r="255">
          <cell r="A255" t="str">
            <v>111000038</v>
          </cell>
          <cell r="B255" t="str">
            <v>GALLETA MANTEQU ALMEND 75GR(BOLSA:3 PAQ)</v>
          </cell>
          <cell r="C255" t="str">
            <v>1 BOLSA</v>
          </cell>
          <cell r="D255" t="str">
            <v>04/03/2020</v>
          </cell>
          <cell r="E255">
            <v>2490</v>
          </cell>
        </row>
        <row r="256">
          <cell r="A256" t="str">
            <v>0101145</v>
          </cell>
          <cell r="B256" t="str">
            <v>ROMERO FRESCO KILO</v>
          </cell>
          <cell r="C256" t="str">
            <v xml:space="preserve">1 KILO </v>
          </cell>
          <cell r="D256" t="str">
            <v>20/12/2019</v>
          </cell>
          <cell r="E256">
            <v>2500</v>
          </cell>
        </row>
        <row r="257">
          <cell r="A257" t="str">
            <v>101151</v>
          </cell>
          <cell r="B257" t="str">
            <v>AJI PERUANO (KILO)</v>
          </cell>
          <cell r="C257" t="str">
            <v xml:space="preserve">1 KILO </v>
          </cell>
          <cell r="D257" t="str">
            <v>31/12/2019</v>
          </cell>
          <cell r="E257">
            <v>2500</v>
          </cell>
        </row>
        <row r="258">
          <cell r="A258" t="str">
            <v>105000001</v>
          </cell>
          <cell r="B258" t="str">
            <v>CURRY POLVO (UND:454 G)</v>
          </cell>
          <cell r="C258" t="str">
            <v>1 UND</v>
          </cell>
          <cell r="D258" t="str">
            <v>22/02/2020</v>
          </cell>
          <cell r="E258">
            <v>2511</v>
          </cell>
          <cell r="F258" t="str">
            <v>Gramo</v>
          </cell>
          <cell r="G258">
            <v>5.5308370044052859</v>
          </cell>
        </row>
        <row r="259">
          <cell r="A259" t="str">
            <v>101000114</v>
          </cell>
          <cell r="B259" t="str">
            <v>MAIZ DULCE GALON MONACO (UND:2.5K)</v>
          </cell>
          <cell r="C259" t="str">
            <v>1 UND</v>
          </cell>
          <cell r="D259" t="str">
            <v>28/01/2020</v>
          </cell>
          <cell r="E259">
            <v>2516</v>
          </cell>
        </row>
        <row r="260">
          <cell r="A260" t="str">
            <v>0410152</v>
          </cell>
          <cell r="B260" t="str">
            <v>RELLENO MELOCOTON KILO</v>
          </cell>
          <cell r="C260" t="str">
            <v>1 KILO</v>
          </cell>
          <cell r="D260" t="str">
            <v>05/03/2020</v>
          </cell>
          <cell r="E260">
            <v>2525</v>
          </cell>
          <cell r="F260" t="str">
            <v>Gramo</v>
          </cell>
          <cell r="G260">
            <v>2.5249999999999999</v>
          </cell>
        </row>
        <row r="261">
          <cell r="A261" t="str">
            <v>0410189</v>
          </cell>
          <cell r="B261" t="str">
            <v>RELLENO DE FRESA ESPESA KILO</v>
          </cell>
          <cell r="C261" t="str">
            <v>1 KILO</v>
          </cell>
          <cell r="D261" t="str">
            <v>23/01/2020</v>
          </cell>
          <cell r="E261">
            <v>2540</v>
          </cell>
        </row>
        <row r="262">
          <cell r="A262" t="str">
            <v>10100153</v>
          </cell>
          <cell r="B262" t="str">
            <v>DEDOS DE SEÑORA DIVELLA</v>
          </cell>
          <cell r="C262" t="str">
            <v>1 PAQUETE</v>
          </cell>
          <cell r="D262" t="str">
            <v>18/01/2020</v>
          </cell>
          <cell r="E262">
            <v>2550</v>
          </cell>
        </row>
        <row r="263">
          <cell r="A263" t="str">
            <v>10700035</v>
          </cell>
          <cell r="B263" t="str">
            <v>DOYPACK FUDGE (UND:650 G)</v>
          </cell>
          <cell r="C263" t="str">
            <v>1 UND</v>
          </cell>
          <cell r="D263" t="str">
            <v>04/03/2020</v>
          </cell>
          <cell r="E263">
            <v>2599</v>
          </cell>
        </row>
        <row r="264">
          <cell r="A264" t="str">
            <v>101025</v>
          </cell>
          <cell r="B264" t="str">
            <v>BROCOLI KILO</v>
          </cell>
          <cell r="C264" t="str">
            <v>1 KILO</v>
          </cell>
          <cell r="D264" t="str">
            <v>02/03/2020</v>
          </cell>
          <cell r="E264">
            <v>2600</v>
          </cell>
        </row>
        <row r="265">
          <cell r="A265" t="str">
            <v>10500</v>
          </cell>
          <cell r="B265" t="str">
            <v>PAPRIKA (UND:454g)</v>
          </cell>
          <cell r="C265" t="str">
            <v>1 UND</v>
          </cell>
          <cell r="D265" t="str">
            <v>22/02/2020</v>
          </cell>
          <cell r="E265">
            <v>2606</v>
          </cell>
          <cell r="F265" t="str">
            <v>Gramo</v>
          </cell>
          <cell r="G265">
            <v>5.7400881057268727</v>
          </cell>
        </row>
        <row r="266">
          <cell r="A266" t="str">
            <v>1730647</v>
          </cell>
          <cell r="B266" t="str">
            <v>PECHUGA DES FILET LOMITO KILO</v>
          </cell>
          <cell r="C266" t="str">
            <v>1 KILO</v>
          </cell>
          <cell r="D266" t="str">
            <v>02/03/2020</v>
          </cell>
          <cell r="E266">
            <v>2620</v>
          </cell>
          <cell r="F266" t="str">
            <v>Gramo</v>
          </cell>
          <cell r="G266">
            <v>2.62</v>
          </cell>
        </row>
        <row r="267">
          <cell r="A267" t="str">
            <v>10200028</v>
          </cell>
          <cell r="B267" t="str">
            <v>TE MAGIC TEA "AZUL" (PAQ:12 UND)</v>
          </cell>
          <cell r="C267" t="str">
            <v>1 PAQUETE</v>
          </cell>
          <cell r="D267" t="str">
            <v>28/01/2020</v>
          </cell>
          <cell r="E267">
            <v>2640</v>
          </cell>
        </row>
        <row r="268">
          <cell r="A268" t="str">
            <v>10100124</v>
          </cell>
          <cell r="B268" t="str">
            <v>BIDON DE AGUA UND</v>
          </cell>
          <cell r="C268" t="str">
            <v>1 UND</v>
          </cell>
          <cell r="D268" t="str">
            <v>21/02/2020</v>
          </cell>
          <cell r="E268">
            <v>2654.84</v>
          </cell>
        </row>
        <row r="269">
          <cell r="A269" t="str">
            <v>610218</v>
          </cell>
          <cell r="B269" t="str">
            <v>COMINO (UND:454G)</v>
          </cell>
          <cell r="C269" t="str">
            <v>1 UND</v>
          </cell>
          <cell r="D269" t="str">
            <v>20/02/2020</v>
          </cell>
          <cell r="E269">
            <v>2656</v>
          </cell>
          <cell r="F269" t="str">
            <v>Gramo</v>
          </cell>
          <cell r="G269">
            <v>5.8502202643171808</v>
          </cell>
        </row>
        <row r="270">
          <cell r="A270" t="str">
            <v>11900016</v>
          </cell>
          <cell r="B270" t="str">
            <v>AJONJOLI NEGRO (UND:454 G)</v>
          </cell>
          <cell r="C270" t="str">
            <v>1 UND</v>
          </cell>
          <cell r="D270" t="str">
            <v>13/02/2020</v>
          </cell>
          <cell r="E270">
            <v>2660</v>
          </cell>
        </row>
        <row r="271">
          <cell r="A271" t="str">
            <v>10100067</v>
          </cell>
          <cell r="B271" t="str">
            <v>MAÍZ DULCE GALON (1.800K= DRENADO)</v>
          </cell>
          <cell r="C271" t="str">
            <v>1 UND</v>
          </cell>
          <cell r="D271" t="str">
            <v>26/02/2020</v>
          </cell>
          <cell r="E271">
            <v>2729</v>
          </cell>
        </row>
        <row r="272">
          <cell r="A272" t="str">
            <v>11400053</v>
          </cell>
          <cell r="B272" t="str">
            <v>SALSA QUESO CHEDDAR SYSCO (UND:3.03 K)</v>
          </cell>
          <cell r="C272" t="str">
            <v>1 UND</v>
          </cell>
          <cell r="D272" t="str">
            <v>18/12/2019</v>
          </cell>
          <cell r="E272">
            <v>2730</v>
          </cell>
        </row>
        <row r="273">
          <cell r="A273" t="str">
            <v>0510181</v>
          </cell>
          <cell r="B273" t="str">
            <v>CREMOR TARTARO (PAQ: 1 KILO)</v>
          </cell>
          <cell r="C273" t="str">
            <v>1 PAQUETE</v>
          </cell>
          <cell r="D273" t="str">
            <v>22/02/2020</v>
          </cell>
          <cell r="E273">
            <v>2765.55</v>
          </cell>
          <cell r="F273" t="str">
            <v>Gramo</v>
          </cell>
          <cell r="G273">
            <v>2.7655500000000002</v>
          </cell>
        </row>
        <row r="274">
          <cell r="A274" t="str">
            <v>0610244</v>
          </cell>
          <cell r="B274" t="str">
            <v>JENGIBRE MOLIDO (UND:340g)</v>
          </cell>
          <cell r="C274" t="str">
            <v>1 UND</v>
          </cell>
          <cell r="D274" t="str">
            <v>16/01/2020</v>
          </cell>
          <cell r="E274">
            <v>2771</v>
          </cell>
          <cell r="F274" t="str">
            <v>Gramo</v>
          </cell>
          <cell r="G274">
            <v>8.15</v>
          </cell>
        </row>
        <row r="275">
          <cell r="A275" t="str">
            <v>1730535</v>
          </cell>
          <cell r="B275" t="str">
            <v>MANZANA PICADA (PAQ:1 K)</v>
          </cell>
          <cell r="C275" t="str">
            <v>1 PAQ</v>
          </cell>
          <cell r="D275" t="str">
            <v>03/02/2020</v>
          </cell>
          <cell r="E275">
            <v>2795</v>
          </cell>
        </row>
        <row r="276">
          <cell r="A276" t="str">
            <v>10300004</v>
          </cell>
          <cell r="B276" t="str">
            <v>CARNE MOLIDA DE POLLO (KILO)</v>
          </cell>
          <cell r="C276" t="str">
            <v>1 KILO</v>
          </cell>
          <cell r="D276" t="str">
            <v>24/12/2019</v>
          </cell>
          <cell r="E276">
            <v>2800</v>
          </cell>
        </row>
        <row r="277">
          <cell r="A277" t="str">
            <v>0510190</v>
          </cell>
          <cell r="B277" t="str">
            <v>HARINA GOLD MEDAL (PAQ:4.5 K)</v>
          </cell>
          <cell r="C277" t="str">
            <v>1 PAQUETE</v>
          </cell>
          <cell r="D277" t="str">
            <v>02/03/2020</v>
          </cell>
          <cell r="E277">
            <v>2833.83</v>
          </cell>
          <cell r="F277" t="str">
            <v>Gramo</v>
          </cell>
          <cell r="G277">
            <v>0.62973999999999997</v>
          </cell>
        </row>
        <row r="278">
          <cell r="A278" t="str">
            <v>0210070</v>
          </cell>
          <cell r="B278" t="str">
            <v>PECHUGA FILET S/ PIEL Y S/ GRASA KILO</v>
          </cell>
          <cell r="C278" t="str">
            <v>1 KILO</v>
          </cell>
          <cell r="D278" t="str">
            <v>05/03/2020</v>
          </cell>
          <cell r="E278">
            <v>2900</v>
          </cell>
          <cell r="F278" t="str">
            <v>Gramo</v>
          </cell>
          <cell r="G278">
            <v>2.9</v>
          </cell>
        </row>
        <row r="279">
          <cell r="A279" t="str">
            <v>10100213</v>
          </cell>
          <cell r="B279" t="str">
            <v>VINAGRE DULCE GRIFFITH RP (UND:4 K)</v>
          </cell>
          <cell r="C279" t="str">
            <v>1 UND</v>
          </cell>
          <cell r="D279" t="str">
            <v>22/01/2020</v>
          </cell>
          <cell r="E279">
            <v>2904</v>
          </cell>
          <cell r="F279" t="str">
            <v>Gramo</v>
          </cell>
          <cell r="G279">
            <v>0.72599999999999998</v>
          </cell>
        </row>
        <row r="280">
          <cell r="A280" t="str">
            <v>11400054</v>
          </cell>
          <cell r="B280" t="str">
            <v>QUESO BOCCOCINI (PAQ:250 G)</v>
          </cell>
          <cell r="C280" t="str">
            <v>1 PAQUETE</v>
          </cell>
          <cell r="D280" t="str">
            <v>28/02/2020</v>
          </cell>
          <cell r="E280">
            <v>2918</v>
          </cell>
        </row>
        <row r="281">
          <cell r="A281" t="str">
            <v>111000027</v>
          </cell>
          <cell r="B281" t="str">
            <v>BISCOTTI ALMENDRAS/ARAND (BOLSA:3 PAQ)</v>
          </cell>
          <cell r="C281" t="str">
            <v>1 BOLSA</v>
          </cell>
          <cell r="D281" t="str">
            <v>10/02/2020</v>
          </cell>
          <cell r="E281">
            <v>2925</v>
          </cell>
        </row>
        <row r="282">
          <cell r="A282" t="str">
            <v>10200001</v>
          </cell>
          <cell r="B282" t="str">
            <v>SIROPE DE KOLA (GALON)</v>
          </cell>
          <cell r="C282" t="str">
            <v>1 GALON</v>
          </cell>
          <cell r="D282" t="str">
            <v>02/03/2020</v>
          </cell>
          <cell r="E282">
            <v>2931</v>
          </cell>
        </row>
        <row r="283">
          <cell r="A283" t="str">
            <v>103000036</v>
          </cell>
          <cell r="B283" t="str">
            <v>FILET TILAPIA (5-7 ONZ P/KILO)</v>
          </cell>
          <cell r="C283" t="str">
            <v>1 KILO</v>
          </cell>
          <cell r="D283" t="str">
            <v>09/01/2020</v>
          </cell>
          <cell r="E283">
            <v>2932.5221238938102</v>
          </cell>
        </row>
        <row r="284">
          <cell r="A284" t="str">
            <v>3110271</v>
          </cell>
          <cell r="B284" t="str">
            <v>FILET TILAPIA (5-7 ONZ P/KILO)</v>
          </cell>
          <cell r="C284" t="str">
            <v>1 KILO</v>
          </cell>
          <cell r="D284" t="str">
            <v>15/02/2020</v>
          </cell>
          <cell r="E284">
            <v>2933</v>
          </cell>
        </row>
        <row r="285">
          <cell r="A285" t="str">
            <v>11400036</v>
          </cell>
          <cell r="B285" t="str">
            <v>QUESO FETTA (PAQ:200g)</v>
          </cell>
          <cell r="C285" t="str">
            <v>1 PAQUETE</v>
          </cell>
          <cell r="D285" t="str">
            <v>21/02/2020</v>
          </cell>
          <cell r="E285">
            <v>2940.49</v>
          </cell>
        </row>
        <row r="286">
          <cell r="A286" t="str">
            <v>0210096</v>
          </cell>
          <cell r="B286" t="str">
            <v>POSTA DE CERDO KILO</v>
          </cell>
          <cell r="C286" t="str">
            <v>1 KILO</v>
          </cell>
          <cell r="D286" t="str">
            <v>05/03/2020</v>
          </cell>
          <cell r="E286">
            <v>2990</v>
          </cell>
          <cell r="F286" t="str">
            <v>Gramo</v>
          </cell>
          <cell r="G286">
            <v>2.99</v>
          </cell>
        </row>
        <row r="287">
          <cell r="A287" t="str">
            <v>109000123</v>
          </cell>
          <cell r="B287" t="str">
            <v>RELLENO PULPA DE GUANABANA (KILO)</v>
          </cell>
          <cell r="C287" t="str">
            <v>1 KILOGramos</v>
          </cell>
          <cell r="D287" t="str">
            <v>25/02/2020</v>
          </cell>
          <cell r="E287">
            <v>2995</v>
          </cell>
        </row>
        <row r="288">
          <cell r="A288" t="str">
            <v>102000010</v>
          </cell>
          <cell r="B288" t="str">
            <v>SIROPE MENTA VERDE (UND:750 ML)</v>
          </cell>
          <cell r="C288" t="str">
            <v>1 UND</v>
          </cell>
          <cell r="D288" t="str">
            <v>06/11/2019</v>
          </cell>
          <cell r="E288">
            <v>3000</v>
          </cell>
        </row>
        <row r="289">
          <cell r="A289" t="str">
            <v>10100178</v>
          </cell>
          <cell r="B289" t="str">
            <v>CHILE ROJO TRITURADO (UND:368G)</v>
          </cell>
          <cell r="C289" t="str">
            <v>1 UND</v>
          </cell>
          <cell r="D289" t="str">
            <v>14/12/2019</v>
          </cell>
          <cell r="E289">
            <v>3000</v>
          </cell>
        </row>
        <row r="290">
          <cell r="A290" t="str">
            <v>102000024</v>
          </cell>
          <cell r="B290" t="str">
            <v>MEZCLA BEBIDA MARACUYA (UND:946ML)</v>
          </cell>
          <cell r="C290" t="str">
            <v>1 UND</v>
          </cell>
          <cell r="D290" t="str">
            <v>04/02/2020</v>
          </cell>
          <cell r="E290">
            <v>3035</v>
          </cell>
        </row>
        <row r="291">
          <cell r="A291" t="str">
            <v>111000030</v>
          </cell>
          <cell r="B291" t="str">
            <v>BISCOTTI DEGUSTACION (PAQUETE)</v>
          </cell>
          <cell r="C291" t="str">
            <v>1 PAQUETE</v>
          </cell>
          <cell r="D291" t="str">
            <v>03/11/2019</v>
          </cell>
          <cell r="E291">
            <v>3052.5</v>
          </cell>
        </row>
        <row r="292">
          <cell r="A292" t="str">
            <v>111000030</v>
          </cell>
          <cell r="B292" t="str">
            <v>BISCOTTI DEGUSTACION (PAQUETE)</v>
          </cell>
          <cell r="C292" t="str">
            <v>1 PAQUETE</v>
          </cell>
          <cell r="D292" t="str">
            <v>04/11/2019</v>
          </cell>
          <cell r="E292">
            <v>3052.5</v>
          </cell>
        </row>
        <row r="293">
          <cell r="A293" t="str">
            <v>1110393</v>
          </cell>
          <cell r="B293" t="str">
            <v>PIÑA EN RODAJAS (UND: 3 K)</v>
          </cell>
          <cell r="C293" t="str">
            <v>1 UND</v>
          </cell>
          <cell r="D293" t="str">
            <v>25/02/2020</v>
          </cell>
          <cell r="E293">
            <v>3061</v>
          </cell>
          <cell r="F293" t="str">
            <v>Gramo</v>
          </cell>
          <cell r="G293">
            <v>1.913125</v>
          </cell>
        </row>
        <row r="294">
          <cell r="A294" t="str">
            <v>1730663</v>
          </cell>
          <cell r="B294" t="str">
            <v>SALSA AJI AMARILLO DOYPACK  (UND:460g)</v>
          </cell>
          <cell r="C294" t="str">
            <v>1 UND</v>
          </cell>
          <cell r="D294" t="str">
            <v>25/01/2020</v>
          </cell>
          <cell r="E294">
            <v>3075.22</v>
          </cell>
        </row>
        <row r="295">
          <cell r="A295" t="str">
            <v>11200060</v>
          </cell>
          <cell r="B295" t="str">
            <v>PAN BRIOCHE (PAQ= 20 UND)</v>
          </cell>
          <cell r="C295" t="str">
            <v>1 PAQUETE</v>
          </cell>
          <cell r="D295" t="str">
            <v>07/01/2020</v>
          </cell>
          <cell r="E295">
            <v>3100</v>
          </cell>
        </row>
        <row r="296">
          <cell r="A296" t="str">
            <v>10100125</v>
          </cell>
          <cell r="B296" t="str">
            <v>PASTA TOMATE OLD CALI (UND:3.14 K)</v>
          </cell>
          <cell r="C296" t="str">
            <v>1 UND</v>
          </cell>
          <cell r="D296" t="str">
            <v>27/02/2020</v>
          </cell>
          <cell r="E296">
            <v>3123</v>
          </cell>
          <cell r="F296" t="str">
            <v>Gramo</v>
          </cell>
          <cell r="G296">
            <v>0.99458598726114644</v>
          </cell>
        </row>
        <row r="297">
          <cell r="A297" t="str">
            <v>105000009</v>
          </cell>
          <cell r="B297" t="str">
            <v>ACHIOTE (UND:850g)</v>
          </cell>
          <cell r="C297" t="str">
            <v>1 UND</v>
          </cell>
          <cell r="D297" t="str">
            <v>03/03/2020</v>
          </cell>
          <cell r="E297">
            <v>3137</v>
          </cell>
          <cell r="F297" t="str">
            <v>Gramo</v>
          </cell>
          <cell r="G297">
            <v>3.6905882352941175</v>
          </cell>
        </row>
        <row r="298">
          <cell r="A298" t="str">
            <v>906288</v>
          </cell>
          <cell r="B298" t="str">
            <v>CILINDRO CHANTILLY (CAJA=10UND)</v>
          </cell>
          <cell r="C298" t="str">
            <v>1 CAJA</v>
          </cell>
          <cell r="D298" t="str">
            <v>21/01/2020</v>
          </cell>
          <cell r="E298">
            <v>3150</v>
          </cell>
        </row>
        <row r="299">
          <cell r="A299" t="str">
            <v>210069</v>
          </cell>
          <cell r="B299" t="str">
            <v>CARNE MOLIDA RES PREMIUM KILO</v>
          </cell>
          <cell r="C299" t="str">
            <v>1 KILO</v>
          </cell>
          <cell r="D299" t="str">
            <v>02/03/2020</v>
          </cell>
          <cell r="E299">
            <v>3150</v>
          </cell>
          <cell r="F299" t="str">
            <v>Gramo</v>
          </cell>
          <cell r="G299">
            <v>3.15</v>
          </cell>
        </row>
        <row r="300">
          <cell r="A300" t="str">
            <v>10100003</v>
          </cell>
          <cell r="B300" t="str">
            <v>AZUCAR POLVO P.REAL (PAQ:2.5 Kg)</v>
          </cell>
          <cell r="C300" t="str">
            <v>1 PAQUETE</v>
          </cell>
          <cell r="D300" t="str">
            <v>29/02/2020</v>
          </cell>
          <cell r="E300">
            <v>3151.8</v>
          </cell>
          <cell r="F300" t="str">
            <v>Gramo</v>
          </cell>
          <cell r="G300">
            <v>1.2607200000000001</v>
          </cell>
        </row>
        <row r="301">
          <cell r="A301" t="str">
            <v>0101107</v>
          </cell>
          <cell r="B301" t="str">
            <v>HONGO REBANADOS (UND: 2.84 kg)</v>
          </cell>
          <cell r="C301" t="str">
            <v>1 UND</v>
          </cell>
          <cell r="D301" t="str">
            <v>27/02/2020</v>
          </cell>
          <cell r="E301">
            <v>3163</v>
          </cell>
        </row>
        <row r="302">
          <cell r="A302" t="str">
            <v>10100134</v>
          </cell>
          <cell r="B302" t="str">
            <v>GRANOLA FITNESS AVENA Y MIEL (PAQ:300g)</v>
          </cell>
          <cell r="C302" t="str">
            <v>1 PAQUETE</v>
          </cell>
          <cell r="D302" t="str">
            <v>04/02/2020</v>
          </cell>
          <cell r="E302">
            <v>3176</v>
          </cell>
        </row>
        <row r="303">
          <cell r="A303" t="str">
            <v>0910322</v>
          </cell>
          <cell r="B303" t="str">
            <v>VINAGRE BLANCO (UND:3.785 L)</v>
          </cell>
          <cell r="C303" t="str">
            <v>1 UND</v>
          </cell>
          <cell r="D303" t="str">
            <v>22/02/2020</v>
          </cell>
          <cell r="E303">
            <v>3230</v>
          </cell>
          <cell r="F303" t="str">
            <v>Mililitro</v>
          </cell>
          <cell r="G303">
            <v>0.8533685601056803</v>
          </cell>
        </row>
        <row r="304">
          <cell r="A304" t="str">
            <v>102000028</v>
          </cell>
          <cell r="B304" t="str">
            <v>JUGO DE NARANJA NATURAL (UND:3.785 L)</v>
          </cell>
          <cell r="C304" t="str">
            <v>1 UND</v>
          </cell>
          <cell r="D304" t="str">
            <v>05/03/2020</v>
          </cell>
          <cell r="E304">
            <v>3236</v>
          </cell>
        </row>
        <row r="305">
          <cell r="A305" t="str">
            <v>510109</v>
          </cell>
          <cell r="B305" t="str">
            <v>AZUCAR DOÑA MARIA (PAQ:5 K)</v>
          </cell>
          <cell r="C305" t="str">
            <v>1 PAQUETE</v>
          </cell>
          <cell r="D305" t="str">
            <v>22/02/2020</v>
          </cell>
          <cell r="E305">
            <v>3240</v>
          </cell>
          <cell r="F305" t="str">
            <v>Gramo</v>
          </cell>
          <cell r="G305">
            <v>0.64800000000000002</v>
          </cell>
        </row>
        <row r="306">
          <cell r="A306" t="str">
            <v>10900021</v>
          </cell>
          <cell r="B306" t="str">
            <v>AYOTE SAZON PELADO EN TROZOS (PAQ: 2Kg)</v>
          </cell>
          <cell r="C306" t="str">
            <v>1 PAQUETE</v>
          </cell>
          <cell r="D306" t="str">
            <v>04/03/2020</v>
          </cell>
          <cell r="E306">
            <v>3241</v>
          </cell>
          <cell r="F306" t="str">
            <v>Gramo</v>
          </cell>
          <cell r="G306">
            <v>1.6205000000000001</v>
          </cell>
        </row>
        <row r="307">
          <cell r="A307" t="str">
            <v>10900051</v>
          </cell>
          <cell r="B307" t="str">
            <v>AGUACATE KILO</v>
          </cell>
          <cell r="C307" t="str">
            <v>1 KILO</v>
          </cell>
          <cell r="D307" t="str">
            <v>05/03/2020</v>
          </cell>
          <cell r="E307">
            <v>3250</v>
          </cell>
        </row>
        <row r="308">
          <cell r="A308" t="str">
            <v>102000040</v>
          </cell>
          <cell r="B308" t="str">
            <v>TE MATCHA NARANJA (PAQ: 20/50 G)</v>
          </cell>
          <cell r="C308" t="str">
            <v>1 PAQ</v>
          </cell>
          <cell r="D308" t="str">
            <v>04/03/2020</v>
          </cell>
          <cell r="E308">
            <v>3300</v>
          </cell>
        </row>
        <row r="309">
          <cell r="A309" t="str">
            <v>10100051</v>
          </cell>
          <cell r="B309" t="str">
            <v>SALSA CHINA GALON</v>
          </cell>
          <cell r="C309" t="str">
            <v>1 UND</v>
          </cell>
          <cell r="D309" t="str">
            <v>03/03/2020</v>
          </cell>
          <cell r="E309">
            <v>3305</v>
          </cell>
          <cell r="F309" t="str">
            <v>Mililitro</v>
          </cell>
          <cell r="G309">
            <v>0.87318361955085866</v>
          </cell>
        </row>
        <row r="310">
          <cell r="A310" t="str">
            <v>10100176</v>
          </cell>
          <cell r="B310" t="str">
            <v>PREMEZCLA DAWN BROWNI (PAQ: 1 K)</v>
          </cell>
          <cell r="C310" t="str">
            <v>1 PAQUETE</v>
          </cell>
          <cell r="D310" t="str">
            <v>09/11/2019</v>
          </cell>
          <cell r="E310">
            <v>3311.45</v>
          </cell>
        </row>
        <row r="311">
          <cell r="A311" t="str">
            <v>0410154</v>
          </cell>
          <cell r="B311" t="str">
            <v>RELLENO CARAMELO KILO</v>
          </cell>
          <cell r="C311" t="str">
            <v>1 KILO</v>
          </cell>
          <cell r="D311" t="str">
            <v>05/03/2020</v>
          </cell>
          <cell r="E311">
            <v>3335</v>
          </cell>
          <cell r="F311" t="str">
            <v>Gramo</v>
          </cell>
          <cell r="G311">
            <v>3.335</v>
          </cell>
        </row>
        <row r="312">
          <cell r="A312" t="str">
            <v>0101105</v>
          </cell>
          <cell r="B312" t="str">
            <v>HONGO FRESCO REBANADO (KILO)</v>
          </cell>
          <cell r="C312" t="str">
            <v>1 KILO</v>
          </cell>
          <cell r="D312" t="str">
            <v>05/03/2020</v>
          </cell>
          <cell r="E312">
            <v>3335</v>
          </cell>
          <cell r="F312" t="str">
            <v>Gramo</v>
          </cell>
          <cell r="G312">
            <v>3.335</v>
          </cell>
        </row>
        <row r="313">
          <cell r="A313" t="str">
            <v>10100193</v>
          </cell>
          <cell r="B313" t="str">
            <v>CONSOME POLLO MAGGI (PAQ:1K)</v>
          </cell>
          <cell r="C313" t="str">
            <v>1 PAQUETE</v>
          </cell>
          <cell r="D313" t="str">
            <v>24/02/2020</v>
          </cell>
          <cell r="E313">
            <v>3398</v>
          </cell>
          <cell r="F313" t="str">
            <v>Gramo</v>
          </cell>
          <cell r="G313">
            <v>3.3980000000000001</v>
          </cell>
        </row>
        <row r="314">
          <cell r="A314" t="str">
            <v>105000020</v>
          </cell>
          <cell r="B314" t="str">
            <v>CURCUMA MOLIDA BADIA (UND:453 G)</v>
          </cell>
          <cell r="C314" t="str">
            <v>1 UND</v>
          </cell>
          <cell r="D314" t="str">
            <v>12/02/2020</v>
          </cell>
          <cell r="E314">
            <v>3403</v>
          </cell>
        </row>
        <row r="315">
          <cell r="A315" t="str">
            <v>10100041</v>
          </cell>
          <cell r="B315" t="str">
            <v>GARBANZOS (UND:3 K)</v>
          </cell>
          <cell r="C315" t="str">
            <v>1 UND</v>
          </cell>
          <cell r="D315" t="str">
            <v>29/02/2020</v>
          </cell>
          <cell r="E315">
            <v>3409</v>
          </cell>
          <cell r="F315" t="str">
            <v>Gramo</v>
          </cell>
          <cell r="G315">
            <v>1.1363333333333334</v>
          </cell>
        </row>
        <row r="316">
          <cell r="A316" t="str">
            <v>20400050</v>
          </cell>
          <cell r="B316" t="str">
            <v>CROCANTE DE CHOCOLATE (CAJA:6 UND)</v>
          </cell>
          <cell r="C316" t="str">
            <v>1 CAJA</v>
          </cell>
          <cell r="D316" t="str">
            <v>29/11/2019</v>
          </cell>
          <cell r="E316">
            <v>3420</v>
          </cell>
        </row>
        <row r="317">
          <cell r="A317" t="str">
            <v>10900024</v>
          </cell>
          <cell r="B317" t="str">
            <v>YUCA EN TROZOS (PAQ: 2K)</v>
          </cell>
          <cell r="C317" t="str">
            <v>1 PAQUETE</v>
          </cell>
          <cell r="D317" t="str">
            <v>04/03/2020</v>
          </cell>
          <cell r="E317">
            <v>3450</v>
          </cell>
        </row>
        <row r="318">
          <cell r="A318" t="str">
            <v>10100188</v>
          </cell>
          <cell r="B318" t="str">
            <v>YUCA EN TROZO (PAQ:3 K)</v>
          </cell>
          <cell r="C318" t="str">
            <v>1 PAQUETE</v>
          </cell>
          <cell r="D318" t="str">
            <v>04/03/2020</v>
          </cell>
          <cell r="E318">
            <v>3450</v>
          </cell>
        </row>
        <row r="319">
          <cell r="A319" t="str">
            <v>10300028</v>
          </cell>
          <cell r="B319" t="str">
            <v>CARNE PARA MECHAR TD KILO</v>
          </cell>
          <cell r="C319" t="str">
            <v xml:space="preserve">1 KILO </v>
          </cell>
          <cell r="D319" t="str">
            <v>05/03/2020</v>
          </cell>
          <cell r="E319">
            <v>3450</v>
          </cell>
          <cell r="F319" t="str">
            <v>Gramo</v>
          </cell>
          <cell r="G319">
            <v>3.45</v>
          </cell>
        </row>
        <row r="320">
          <cell r="A320" t="str">
            <v>1210428</v>
          </cell>
          <cell r="B320" t="str">
            <v>PRUEBA CODIGO</v>
          </cell>
          <cell r="C320" t="str">
            <v>1 UND</v>
          </cell>
          <cell r="D320" t="str">
            <v>27/02/2020</v>
          </cell>
          <cell r="E320">
            <v>3460</v>
          </cell>
        </row>
        <row r="321">
          <cell r="A321" t="str">
            <v>111000026</v>
          </cell>
          <cell r="B321" t="str">
            <v>GALLETA MANTEQUILLA ALMEND (BOLSA:3 PAQ)</v>
          </cell>
          <cell r="C321" t="str">
            <v>1 BOLSA</v>
          </cell>
          <cell r="D321" t="str">
            <v>10/02/2020</v>
          </cell>
          <cell r="E321">
            <v>3465</v>
          </cell>
        </row>
        <row r="322">
          <cell r="A322" t="str">
            <v>105000008</v>
          </cell>
          <cell r="B322" t="str">
            <v>CANELA ASTILLA (PAQ:500g)</v>
          </cell>
          <cell r="C322" t="str">
            <v>1 PAQUETE</v>
          </cell>
          <cell r="D322" t="str">
            <v>20/02/2020</v>
          </cell>
          <cell r="E322">
            <v>3475</v>
          </cell>
          <cell r="F322" t="str">
            <v>Gramo</v>
          </cell>
          <cell r="G322">
            <v>6.95</v>
          </cell>
        </row>
        <row r="323">
          <cell r="A323" t="str">
            <v>0210076</v>
          </cell>
          <cell r="B323" t="str">
            <v>LOMITO DE CERDO KILO</v>
          </cell>
          <cell r="C323" t="str">
            <v>1 KILO</v>
          </cell>
          <cell r="D323" t="str">
            <v>28/12/2019</v>
          </cell>
          <cell r="E323">
            <v>3500</v>
          </cell>
          <cell r="F323" t="str">
            <v>Gramo</v>
          </cell>
          <cell r="G323">
            <v>3.5</v>
          </cell>
        </row>
        <row r="324">
          <cell r="A324" t="str">
            <v>20400051</v>
          </cell>
          <cell r="B324" t="str">
            <v>CROCANTE DE NUEZ (CAJA:6 UND)</v>
          </cell>
          <cell r="C324" t="str">
            <v>1 CAJA</v>
          </cell>
          <cell r="D324" t="str">
            <v>05/03/2020</v>
          </cell>
          <cell r="E324">
            <v>3510</v>
          </cell>
        </row>
        <row r="325">
          <cell r="A325" t="str">
            <v>10100214</v>
          </cell>
          <cell r="B325" t="str">
            <v>VINAGRE PICANTE GRIFFITH RP (UND:4 K)</v>
          </cell>
          <cell r="C325" t="str">
            <v>1 UND</v>
          </cell>
          <cell r="D325" t="str">
            <v>23/01/2020</v>
          </cell>
          <cell r="E325">
            <v>3516.25</v>
          </cell>
        </row>
        <row r="326">
          <cell r="A326" t="str">
            <v>210107</v>
          </cell>
          <cell r="B326" t="str">
            <v>BISTEC CERDO KILO</v>
          </cell>
          <cell r="C326" t="str">
            <v>1 KILO</v>
          </cell>
          <cell r="D326" t="str">
            <v>24/02/2020</v>
          </cell>
          <cell r="E326">
            <v>3550</v>
          </cell>
        </row>
        <row r="327">
          <cell r="A327" t="str">
            <v>0210108</v>
          </cell>
          <cell r="B327" t="str">
            <v>CHULETA AHUMADA KILO</v>
          </cell>
          <cell r="C327" t="str">
            <v>1 KILO</v>
          </cell>
          <cell r="D327" t="str">
            <v>03/03/2020</v>
          </cell>
          <cell r="E327">
            <v>3550</v>
          </cell>
        </row>
        <row r="328">
          <cell r="A328" t="str">
            <v>10900026</v>
          </cell>
          <cell r="B328" t="str">
            <v>ELOTE BLANCO EN TROZOS (PAQ:2K)</v>
          </cell>
          <cell r="C328" t="str">
            <v>1 UND</v>
          </cell>
          <cell r="D328" t="str">
            <v>24/02/2020</v>
          </cell>
          <cell r="E328">
            <v>3560</v>
          </cell>
        </row>
        <row r="329">
          <cell r="A329" t="str">
            <v>11400048</v>
          </cell>
          <cell r="B329" t="str">
            <v>QUESO AMERI CHEESE NESTLE (PAQ:52 UND)</v>
          </cell>
          <cell r="C329" t="str">
            <v>1 PAQUETE</v>
          </cell>
          <cell r="D329" t="str">
            <v>03/03/2020</v>
          </cell>
          <cell r="E329">
            <v>3563</v>
          </cell>
        </row>
        <row r="330">
          <cell r="A330" t="str">
            <v>10100172</v>
          </cell>
          <cell r="B330" t="str">
            <v>CHOP SUEY VIGUI (PAQ: 860 G)</v>
          </cell>
          <cell r="C330" t="str">
            <v>1 PAQUETE</v>
          </cell>
          <cell r="D330" t="str">
            <v>29/02/2020</v>
          </cell>
          <cell r="E330">
            <v>3583.5</v>
          </cell>
        </row>
        <row r="331">
          <cell r="A331" t="str">
            <v>10900023</v>
          </cell>
          <cell r="B331" t="str">
            <v xml:space="preserve">PAPA EN TROZOS (PAQ: 2 K) </v>
          </cell>
          <cell r="C331" t="str">
            <v>1 PAQUETE</v>
          </cell>
          <cell r="D331" t="str">
            <v>04/03/2020</v>
          </cell>
          <cell r="E331">
            <v>3641</v>
          </cell>
          <cell r="F331" t="str">
            <v>Gramo</v>
          </cell>
          <cell r="G331">
            <v>1.8205</v>
          </cell>
        </row>
        <row r="332">
          <cell r="A332" t="str">
            <v>10100187</v>
          </cell>
          <cell r="B332" t="str">
            <v>CMC AMTEX (PAQ: KILO)</v>
          </cell>
          <cell r="C332" t="str">
            <v>1 PAQUETE</v>
          </cell>
          <cell r="D332" t="str">
            <v>14/01/2020</v>
          </cell>
          <cell r="E332">
            <v>3646.4423999999999</v>
          </cell>
        </row>
        <row r="333">
          <cell r="A333" t="str">
            <v>10100218</v>
          </cell>
          <cell r="B333" t="str">
            <v>QUESO SEMIDURO DADOS RD (KILO)</v>
          </cell>
          <cell r="C333" t="str">
            <v xml:space="preserve">1 KILO </v>
          </cell>
          <cell r="D333" t="str">
            <v>05/03/2020</v>
          </cell>
          <cell r="E333">
            <v>3667</v>
          </cell>
        </row>
        <row r="334">
          <cell r="A334" t="str">
            <v>0610253</v>
          </cell>
          <cell r="B334" t="str">
            <v>SOPA OLLA CARNE MAGGI (CAJA:12 UND)</v>
          </cell>
          <cell r="C334" t="str">
            <v>1 CAJA</v>
          </cell>
          <cell r="D334" t="str">
            <v>03/03/2020</v>
          </cell>
          <cell r="E334">
            <v>3684</v>
          </cell>
          <cell r="F334" t="str">
            <v>Gramo</v>
          </cell>
          <cell r="G334">
            <v>7.6749999999999998</v>
          </cell>
        </row>
        <row r="335">
          <cell r="A335" t="str">
            <v>1730579</v>
          </cell>
          <cell r="B335" t="str">
            <v>CHULETAS KILO</v>
          </cell>
          <cell r="C335" t="str">
            <v>1 KILO</v>
          </cell>
          <cell r="D335" t="str">
            <v>03/03/2020</v>
          </cell>
          <cell r="E335">
            <v>3695</v>
          </cell>
        </row>
        <row r="336">
          <cell r="A336" t="str">
            <v>0410151</v>
          </cell>
          <cell r="B336" t="str">
            <v>RELLENO FUDGE KILO</v>
          </cell>
          <cell r="C336" t="str">
            <v>1 KILO</v>
          </cell>
          <cell r="D336" t="str">
            <v>05/03/2020</v>
          </cell>
          <cell r="E336">
            <v>3697</v>
          </cell>
          <cell r="F336" t="str">
            <v>Gramo</v>
          </cell>
          <cell r="G336">
            <v>3.6970000000000001</v>
          </cell>
        </row>
        <row r="337">
          <cell r="A337" t="str">
            <v>1210448</v>
          </cell>
          <cell r="B337" t="str">
            <v>CLARAS HUEVO PASTEURIZADO (CAJA:2 k)</v>
          </cell>
          <cell r="C337" t="str">
            <v>1 CAJA</v>
          </cell>
          <cell r="D337" t="str">
            <v>25/11/2019</v>
          </cell>
          <cell r="E337">
            <v>3700</v>
          </cell>
        </row>
        <row r="338">
          <cell r="A338" t="str">
            <v>10100203</v>
          </cell>
          <cell r="B338" t="str">
            <v>GALLETA MARIA EN POLVO (PAQ:KILO)</v>
          </cell>
          <cell r="C338" t="str">
            <v>1 PAQUETE</v>
          </cell>
          <cell r="D338" t="str">
            <v>22/02/2020</v>
          </cell>
          <cell r="E338">
            <v>3709</v>
          </cell>
        </row>
        <row r="339">
          <cell r="A339" t="str">
            <v>1110354</v>
          </cell>
          <cell r="B339" t="str">
            <v>ALCAPARRA (UND:944g)</v>
          </cell>
          <cell r="C339" t="str">
            <v>1 UND</v>
          </cell>
          <cell r="D339" t="str">
            <v>11/02/2020</v>
          </cell>
          <cell r="E339">
            <v>3727</v>
          </cell>
        </row>
        <row r="340">
          <cell r="A340" t="str">
            <v>10100270</v>
          </cell>
          <cell r="B340" t="str">
            <v>TABASCO BANQUETE (UND: 1/2 GALON)</v>
          </cell>
          <cell r="C340" t="str">
            <v>1 UND</v>
          </cell>
          <cell r="D340" t="str">
            <v>04/02/2020</v>
          </cell>
          <cell r="E340">
            <v>3738</v>
          </cell>
        </row>
        <row r="341">
          <cell r="A341" t="str">
            <v>10100191</v>
          </cell>
          <cell r="B341" t="str">
            <v>SORBATO DE POTASIO (PAQ: KILO)</v>
          </cell>
          <cell r="C341" t="str">
            <v>1 PAQUETE</v>
          </cell>
          <cell r="D341" t="str">
            <v>17/02/2020</v>
          </cell>
          <cell r="E341">
            <v>3764.1779999999999</v>
          </cell>
          <cell r="F341" t="str">
            <v>Gramo</v>
          </cell>
          <cell r="G341">
            <v>3.7641779999999998</v>
          </cell>
        </row>
        <row r="342">
          <cell r="A342" t="str">
            <v>0210104</v>
          </cell>
          <cell r="B342" t="str">
            <v>MANO PIEDRA KILO</v>
          </cell>
          <cell r="C342" t="str">
            <v>1 KILO</v>
          </cell>
          <cell r="D342" t="str">
            <v>18/02/2020</v>
          </cell>
          <cell r="E342">
            <v>3775</v>
          </cell>
          <cell r="F342" t="str">
            <v>Gramo</v>
          </cell>
          <cell r="G342">
            <v>3.7749999999999999</v>
          </cell>
        </row>
        <row r="343">
          <cell r="A343" t="str">
            <v>11300001</v>
          </cell>
          <cell r="B343" t="str">
            <v>CLARA HUEVO PASTE DEB-EL (CAJA:2.267 K)</v>
          </cell>
          <cell r="C343" t="str">
            <v>1 CAJA</v>
          </cell>
          <cell r="D343" t="str">
            <v>25/02/2020</v>
          </cell>
          <cell r="E343">
            <v>3800</v>
          </cell>
          <cell r="F343" t="str">
            <v>Gramo</v>
          </cell>
          <cell r="G343">
            <v>1.6762240846934275</v>
          </cell>
        </row>
        <row r="344">
          <cell r="A344" t="str">
            <v>1110377</v>
          </cell>
          <cell r="B344" t="str">
            <v>MOSTAZA FRENCH (UND:2.98 L)</v>
          </cell>
          <cell r="C344" t="str">
            <v>1 UND</v>
          </cell>
          <cell r="D344" t="str">
            <v>03/03/2020</v>
          </cell>
          <cell r="E344">
            <v>3800</v>
          </cell>
          <cell r="F344" t="str">
            <v>Mililitro</v>
          </cell>
          <cell r="G344">
            <v>1.2751677852348993</v>
          </cell>
        </row>
        <row r="345">
          <cell r="A345" t="str">
            <v>101005</v>
          </cell>
          <cell r="B345" t="str">
            <v>AJO PELADO (PAQ:1 KILO)</v>
          </cell>
          <cell r="C345" t="str">
            <v>1 PAQUETE</v>
          </cell>
          <cell r="D345" t="str">
            <v>04/03/2020</v>
          </cell>
          <cell r="E345">
            <v>3807</v>
          </cell>
          <cell r="F345" t="str">
            <v>Gramo</v>
          </cell>
          <cell r="G345">
            <v>3.8069999999999999</v>
          </cell>
        </row>
        <row r="346">
          <cell r="A346" t="str">
            <v>10100195</v>
          </cell>
          <cell r="B346" t="str">
            <v>QUESO MOLIDO (PAQ:1 K)</v>
          </cell>
          <cell r="C346" t="str">
            <v>1 PAQUETE</v>
          </cell>
          <cell r="D346" t="str">
            <v>20/02/2020</v>
          </cell>
          <cell r="E346">
            <v>3819</v>
          </cell>
        </row>
        <row r="347">
          <cell r="A347" t="str">
            <v>1110406</v>
          </cell>
          <cell r="B347" t="str">
            <v>ATUN LOMO TROZOS AGUA (UND:1 K)</v>
          </cell>
          <cell r="C347" t="str">
            <v>1 UND</v>
          </cell>
          <cell r="D347" t="str">
            <v>29/02/2020</v>
          </cell>
          <cell r="E347">
            <v>3839</v>
          </cell>
        </row>
        <row r="348">
          <cell r="A348" t="str">
            <v>1730580</v>
          </cell>
          <cell r="B348" t="str">
            <v>COSTILLA DE CERDO (PAQ:1 KILO)</v>
          </cell>
          <cell r="C348" t="str">
            <v>1 PAQUETE</v>
          </cell>
          <cell r="D348" t="str">
            <v>05/03/2020</v>
          </cell>
          <cell r="E348">
            <v>3895</v>
          </cell>
        </row>
        <row r="349">
          <cell r="A349" t="str">
            <v>118000004</v>
          </cell>
          <cell r="B349" t="str">
            <v>VAINILLA OSCURA (UND: 3.78 L)</v>
          </cell>
          <cell r="C349" t="str">
            <v>1 UND</v>
          </cell>
          <cell r="D349" t="str">
            <v>25/02/2020</v>
          </cell>
          <cell r="E349">
            <v>3900</v>
          </cell>
          <cell r="F349" t="str">
            <v>Mililitro</v>
          </cell>
          <cell r="G349">
            <v>1.0303830911492735</v>
          </cell>
        </row>
        <row r="350">
          <cell r="A350" t="str">
            <v>1730592</v>
          </cell>
          <cell r="B350" t="str">
            <v>PECHO LIMPIO KILO</v>
          </cell>
          <cell r="C350" t="str">
            <v>1 KILO</v>
          </cell>
          <cell r="D350" t="str">
            <v>19/02/2020</v>
          </cell>
          <cell r="E350">
            <v>3990</v>
          </cell>
        </row>
        <row r="351">
          <cell r="A351" t="str">
            <v>10100199</v>
          </cell>
          <cell r="B351" t="str">
            <v>PECHUGA VENTANITA CONCASA (KILO)</v>
          </cell>
          <cell r="C351" t="str">
            <v xml:space="preserve">1 KILO </v>
          </cell>
          <cell r="D351" t="str">
            <v>11/02/2020</v>
          </cell>
          <cell r="E351">
            <v>4000</v>
          </cell>
        </row>
        <row r="352">
          <cell r="A352" t="str">
            <v>10100200</v>
          </cell>
          <cell r="B352" t="str">
            <v>MUSLO VENTANITA CONCASA (KILO)</v>
          </cell>
          <cell r="C352" t="str">
            <v xml:space="preserve">1 KILO  </v>
          </cell>
          <cell r="D352" t="str">
            <v>11/02/2020</v>
          </cell>
          <cell r="E352">
            <v>4000</v>
          </cell>
          <cell r="F352" t="str">
            <v>Gramo</v>
          </cell>
          <cell r="G352">
            <v>4</v>
          </cell>
        </row>
        <row r="353">
          <cell r="A353" t="str">
            <v>10100264</v>
          </cell>
          <cell r="B353" t="str">
            <v>LIMON MESINO (GALON)</v>
          </cell>
          <cell r="C353" t="str">
            <v xml:space="preserve">1 GALON </v>
          </cell>
          <cell r="D353" t="str">
            <v>20/02/2020</v>
          </cell>
          <cell r="E353">
            <v>4000</v>
          </cell>
        </row>
        <row r="354">
          <cell r="A354" t="str">
            <v>0310120</v>
          </cell>
          <cell r="B354" t="str">
            <v>QUESO RICOTTA (UND: KILO)</v>
          </cell>
          <cell r="C354" t="str">
            <v>1 UND</v>
          </cell>
          <cell r="D354" t="str">
            <v>04/03/2020</v>
          </cell>
          <cell r="E354">
            <v>4000</v>
          </cell>
          <cell r="F354" t="str">
            <v>Gramo</v>
          </cell>
          <cell r="G354">
            <v>4</v>
          </cell>
        </row>
        <row r="355">
          <cell r="A355" t="str">
            <v>10100219</v>
          </cell>
          <cell r="B355" t="str">
            <v>POLLO LOMITO S/R FCO (30 KG)</v>
          </cell>
          <cell r="C355" t="str">
            <v xml:space="preserve">1 KILO </v>
          </cell>
          <cell r="D355" t="str">
            <v>04/03/2020</v>
          </cell>
          <cell r="E355">
            <v>4000</v>
          </cell>
          <cell r="F355" t="str">
            <v>Gramo</v>
          </cell>
          <cell r="G355">
            <v>4</v>
          </cell>
        </row>
        <row r="356">
          <cell r="A356" t="str">
            <v>10100190</v>
          </cell>
          <cell r="B356" t="str">
            <v>LIMON MANDARINA (GALON)</v>
          </cell>
          <cell r="C356" t="str">
            <v xml:space="preserve">1 GALON </v>
          </cell>
          <cell r="D356" t="str">
            <v>05/03/2020</v>
          </cell>
          <cell r="E356">
            <v>4000</v>
          </cell>
          <cell r="F356" t="str">
            <v>Mililitro</v>
          </cell>
          <cell r="G356">
            <v>1.0568031704095113</v>
          </cell>
        </row>
        <row r="357">
          <cell r="A357" t="str">
            <v>0312277</v>
          </cell>
          <cell r="B357" t="str">
            <v>QUESO BOCCONCINI (PAQ:500g)</v>
          </cell>
          <cell r="C357" t="str">
            <v>1 PAQUETE</v>
          </cell>
          <cell r="D357" t="str">
            <v>05/03/2020</v>
          </cell>
          <cell r="E357">
            <v>4085</v>
          </cell>
        </row>
        <row r="358">
          <cell r="A358" t="str">
            <v>10100212</v>
          </cell>
          <cell r="B358" t="str">
            <v>CEBOLLA ROSTI (PAQ: 2.5K)</v>
          </cell>
          <cell r="C358" t="str">
            <v>1 PAQUETE</v>
          </cell>
          <cell r="D358" t="str">
            <v>02/03/2020</v>
          </cell>
          <cell r="E358">
            <v>4125</v>
          </cell>
        </row>
        <row r="359">
          <cell r="A359" t="str">
            <v>10900025</v>
          </cell>
          <cell r="B359" t="str">
            <v>CAMOTE EN TROZOS (PAQ: 2K)</v>
          </cell>
          <cell r="C359" t="str">
            <v>1 PAQUETE</v>
          </cell>
          <cell r="D359" t="str">
            <v>17/02/2020</v>
          </cell>
          <cell r="E359">
            <v>4150</v>
          </cell>
        </row>
        <row r="360">
          <cell r="A360" t="str">
            <v>10100033</v>
          </cell>
          <cell r="B360" t="str">
            <v>MOSTAZA DE DIJON (UND:850ML)</v>
          </cell>
          <cell r="C360" t="str">
            <v>1 UND</v>
          </cell>
          <cell r="D360" t="str">
            <v>21/02/2020</v>
          </cell>
          <cell r="E360">
            <v>4151.3999999999996</v>
          </cell>
          <cell r="F360" t="str">
            <v>Gramo</v>
          </cell>
          <cell r="G360">
            <v>4.8839999999999995</v>
          </cell>
        </row>
        <row r="361">
          <cell r="A361" t="str">
            <v>10100242</v>
          </cell>
          <cell r="B361" t="str">
            <v>SALSA INGLESA DEL LLANO (GALON)</v>
          </cell>
          <cell r="C361" t="str">
            <v xml:space="preserve">1 GALON </v>
          </cell>
          <cell r="D361" t="str">
            <v>11/02/2020</v>
          </cell>
          <cell r="E361">
            <v>4189</v>
          </cell>
          <cell r="F361" t="str">
            <v>Mililitro</v>
          </cell>
          <cell r="G361">
            <v>1.1067371202113607</v>
          </cell>
        </row>
        <row r="362">
          <cell r="A362" t="str">
            <v>1110380</v>
          </cell>
          <cell r="B362" t="str">
            <v>PEPINILLOS REBANADOS (GALON)</v>
          </cell>
          <cell r="C362" t="str">
            <v>1 UND</v>
          </cell>
          <cell r="D362" t="str">
            <v>22/02/2020</v>
          </cell>
          <cell r="E362">
            <v>4200</v>
          </cell>
          <cell r="F362" t="str">
            <v>Gramo</v>
          </cell>
        </row>
        <row r="363">
          <cell r="A363" t="str">
            <v>1110418</v>
          </cell>
          <cell r="B363" t="str">
            <v>MOSTAZA DIJON GRANULADA (UND:820ML)</v>
          </cell>
          <cell r="C363" t="str">
            <v>1 UND</v>
          </cell>
          <cell r="D363" t="str">
            <v>29/02/2020</v>
          </cell>
          <cell r="E363">
            <v>4289.1000000000004</v>
          </cell>
          <cell r="F363" t="str">
            <v>Gramo</v>
          </cell>
          <cell r="G363">
            <v>5.2306097560975617</v>
          </cell>
        </row>
        <row r="364">
          <cell r="A364" t="str">
            <v>1010339</v>
          </cell>
          <cell r="B364" t="str">
            <v xml:space="preserve">TRIPLE SEC </v>
          </cell>
          <cell r="C364" t="str">
            <v>1 UND</v>
          </cell>
          <cell r="D364" t="str">
            <v>14/11/2019</v>
          </cell>
          <cell r="E364">
            <v>4371.4285714199996</v>
          </cell>
          <cell r="F364" t="str">
            <v>Mililitro</v>
          </cell>
          <cell r="G364">
            <v>5.8285714285599992</v>
          </cell>
        </row>
        <row r="365">
          <cell r="A365" t="str">
            <v>0210101</v>
          </cell>
          <cell r="B365" t="str">
            <v>BISTEK POPULAR (KILO)</v>
          </cell>
          <cell r="C365" t="str">
            <v>1 KILO</v>
          </cell>
          <cell r="D365" t="str">
            <v>28/02/2020</v>
          </cell>
          <cell r="E365">
            <v>4395</v>
          </cell>
        </row>
        <row r="366">
          <cell r="A366" t="str">
            <v>1210443</v>
          </cell>
          <cell r="B366" t="str">
            <v>YEMA DE HUEVO PASTEURIZADA (CAJA:2 Kg)</v>
          </cell>
          <cell r="C366" t="str">
            <v>1 CAJA</v>
          </cell>
          <cell r="D366" t="str">
            <v>27/02/2020</v>
          </cell>
          <cell r="E366">
            <v>4400</v>
          </cell>
          <cell r="F366" t="str">
            <v>Gramo</v>
          </cell>
          <cell r="G366">
            <v>2.2000000000000002</v>
          </cell>
        </row>
        <row r="367">
          <cell r="A367" t="str">
            <v>0512319</v>
          </cell>
          <cell r="B367" t="str">
            <v>PASTA AJO (PAQ: 1 KILO)</v>
          </cell>
          <cell r="C367" t="str">
            <v xml:space="preserve">1 KILO </v>
          </cell>
          <cell r="D367" t="str">
            <v>28/02/2020</v>
          </cell>
          <cell r="E367">
            <v>4458</v>
          </cell>
          <cell r="F367" t="str">
            <v>Gramo</v>
          </cell>
          <cell r="G367">
            <v>4.4580000000000002</v>
          </cell>
        </row>
        <row r="368">
          <cell r="A368" t="str">
            <v>0810306</v>
          </cell>
          <cell r="B368" t="str">
            <v>MIEL ABEJA BOTELLA (UND)</v>
          </cell>
          <cell r="C368" t="str">
            <v>1 UND</v>
          </cell>
          <cell r="D368" t="str">
            <v>16/01/2020</v>
          </cell>
          <cell r="E368">
            <v>4471</v>
          </cell>
        </row>
        <row r="369">
          <cell r="A369" t="str">
            <v>10100186</v>
          </cell>
          <cell r="B369" t="str">
            <v>PRESERVANTE T (PAQ: KILO)</v>
          </cell>
          <cell r="C369" t="str">
            <v>1 PAQUETE</v>
          </cell>
          <cell r="D369" t="str">
            <v>14/01/2020</v>
          </cell>
          <cell r="E369">
            <v>4558.0529999999999</v>
          </cell>
        </row>
        <row r="370">
          <cell r="A370" t="str">
            <v>10100201</v>
          </cell>
          <cell r="B370" t="str">
            <v>COND FRIJOL MOLIDO GRIFFITH RP (UND:4K)</v>
          </cell>
          <cell r="C370" t="str">
            <v>1 UND</v>
          </cell>
          <cell r="D370" t="str">
            <v>29/02/2020</v>
          </cell>
          <cell r="E370">
            <v>4566.5</v>
          </cell>
        </row>
        <row r="371">
          <cell r="A371" t="str">
            <v>105808</v>
          </cell>
          <cell r="B371" t="str">
            <v>FRUTOS ROJOS DEL BOSQUE BEGRO (PAQ:1 K)</v>
          </cell>
          <cell r="C371" t="str">
            <v>1 PAQUETE</v>
          </cell>
          <cell r="D371" t="str">
            <v>21/12/2019</v>
          </cell>
          <cell r="E371">
            <v>4589</v>
          </cell>
        </row>
        <row r="372">
          <cell r="A372" t="str">
            <v>10200012</v>
          </cell>
          <cell r="B372" t="str">
            <v>TE CHAI ESPECIES (PAQ:800g)</v>
          </cell>
          <cell r="C372" t="str">
            <v>1 PAQUETE</v>
          </cell>
          <cell r="D372" t="str">
            <v>17/02/2020</v>
          </cell>
          <cell r="E372">
            <v>4609.8</v>
          </cell>
        </row>
        <row r="373">
          <cell r="A373" t="str">
            <v>5000001</v>
          </cell>
          <cell r="B373" t="str">
            <v>SAL INDUSTRIA (SACO:25 Kg)</v>
          </cell>
          <cell r="C373" t="str">
            <v>1 SACO</v>
          </cell>
          <cell r="D373" t="str">
            <v>03/03/2020</v>
          </cell>
          <cell r="E373">
            <v>4700</v>
          </cell>
          <cell r="F373" t="str">
            <v>Gramo</v>
          </cell>
          <cell r="G373">
            <v>0.188</v>
          </cell>
        </row>
        <row r="374">
          <cell r="A374" t="str">
            <v>0312278</v>
          </cell>
          <cell r="B374" t="str">
            <v>LECHE ESTANDAR (UND:10 L)</v>
          </cell>
          <cell r="C374" t="str">
            <v>1 UND</v>
          </cell>
          <cell r="D374" t="str">
            <v>29/02/2020</v>
          </cell>
          <cell r="E374">
            <v>4738</v>
          </cell>
          <cell r="F374" t="str">
            <v>Mililitro</v>
          </cell>
          <cell r="G374">
            <v>0.4738</v>
          </cell>
        </row>
        <row r="375">
          <cell r="A375" t="str">
            <v>1212410</v>
          </cell>
          <cell r="B375" t="str">
            <v>PRESERVANTE 1047S (PAQ=5 KILO)</v>
          </cell>
          <cell r="C375" t="str">
            <v>1 KILO</v>
          </cell>
          <cell r="D375" t="str">
            <v>04/03/2020</v>
          </cell>
          <cell r="E375">
            <v>4767.4380000000001</v>
          </cell>
          <cell r="F375" t="str">
            <v>Gramo</v>
          </cell>
          <cell r="G375">
            <v>4.7674380000000003</v>
          </cell>
        </row>
        <row r="376">
          <cell r="A376" t="str">
            <v>10200019</v>
          </cell>
          <cell r="B376" t="str">
            <v>RON PLATA ESPECIAL (UND: LITRO)</v>
          </cell>
          <cell r="C376" t="str">
            <v>1 UND</v>
          </cell>
          <cell r="D376" t="str">
            <v>14/11/2019</v>
          </cell>
          <cell r="E376">
            <v>4941</v>
          </cell>
        </row>
        <row r="377">
          <cell r="A377">
            <v>10100157</v>
          </cell>
          <cell r="B377" t="str">
            <v>SALSA HOISIN (UND:2.27 K)</v>
          </cell>
          <cell r="C377" t="str">
            <v>1 UND</v>
          </cell>
          <cell r="D377" t="str">
            <v>20/12/2019</v>
          </cell>
          <cell r="E377">
            <v>4950</v>
          </cell>
          <cell r="F377" t="str">
            <v>Mililitro</v>
          </cell>
          <cell r="G377">
            <v>2.1806167400881056</v>
          </cell>
        </row>
        <row r="378">
          <cell r="A378" t="str">
            <v>101000104</v>
          </cell>
          <cell r="B378" t="str">
            <v>SALSA OSTION PANDA (UND:5LBS)</v>
          </cell>
          <cell r="C378" t="str">
            <v>1 UND</v>
          </cell>
          <cell r="D378" t="str">
            <v>11/02/2020</v>
          </cell>
          <cell r="E378">
            <v>4995</v>
          </cell>
        </row>
        <row r="379">
          <cell r="A379" t="str">
            <v>10100222</v>
          </cell>
          <cell r="B379" t="str">
            <v>MAICENA DURYEA (PAQ: 2.3 K)</v>
          </cell>
          <cell r="C379" t="str">
            <v>1 PAQUETE</v>
          </cell>
          <cell r="D379" t="str">
            <v>27/02/2020</v>
          </cell>
          <cell r="E379">
            <v>4995</v>
          </cell>
        </row>
        <row r="380">
          <cell r="A380" t="str">
            <v>10100217</v>
          </cell>
          <cell r="B380" t="str">
            <v>CONDIMENTO CAJUN (PAQ:1 K)</v>
          </cell>
          <cell r="C380" t="str">
            <v>1 PAQUETE</v>
          </cell>
          <cell r="D380" t="str">
            <v>17/01/2020</v>
          </cell>
          <cell r="E380">
            <v>5039.41</v>
          </cell>
        </row>
        <row r="381">
          <cell r="A381" t="str">
            <v>119000026</v>
          </cell>
          <cell r="B381" t="str">
            <v>SEMILLA DE AMAPOLA (UND: 566 G)</v>
          </cell>
          <cell r="C381" t="str">
            <v>1 Uds.</v>
          </cell>
          <cell r="D381" t="str">
            <v>18/02/2020</v>
          </cell>
          <cell r="E381">
            <v>5060</v>
          </cell>
        </row>
        <row r="382">
          <cell r="A382" t="str">
            <v>10100272</v>
          </cell>
          <cell r="B382" t="str">
            <v>ADEREZO RANCH (UND)</v>
          </cell>
          <cell r="C382" t="str">
            <v>1 UND</v>
          </cell>
          <cell r="D382" t="str">
            <v>29/02/2020</v>
          </cell>
          <cell r="E382">
            <v>5099</v>
          </cell>
        </row>
        <row r="383">
          <cell r="A383" t="str">
            <v>10100274</v>
          </cell>
          <cell r="B383" t="str">
            <v>ADEREZO MIL ISLAS (UND)</v>
          </cell>
          <cell r="C383" t="str">
            <v>1 UND</v>
          </cell>
          <cell r="D383" t="str">
            <v>03/03/2020</v>
          </cell>
          <cell r="E383">
            <v>5099</v>
          </cell>
        </row>
        <row r="384">
          <cell r="A384" t="str">
            <v>10100276</v>
          </cell>
          <cell r="B384" t="str">
            <v>ADEREZO CESAR (UND)</v>
          </cell>
          <cell r="C384" t="str">
            <v>1 UND</v>
          </cell>
          <cell r="D384" t="str">
            <v>03/03/2020</v>
          </cell>
          <cell r="E384">
            <v>5099</v>
          </cell>
        </row>
        <row r="385">
          <cell r="A385" t="str">
            <v>10100177</v>
          </cell>
          <cell r="B385" t="str">
            <v>CHILE MORRON ASADO ENTERO (UND: 2.5K)</v>
          </cell>
          <cell r="C385" t="str">
            <v>1 UND</v>
          </cell>
          <cell r="D385" t="str">
            <v>14/12/2019</v>
          </cell>
          <cell r="E385">
            <v>5140</v>
          </cell>
          <cell r="F385" t="str">
            <v>Gramo</v>
          </cell>
          <cell r="G385">
            <v>2.056</v>
          </cell>
        </row>
        <row r="386">
          <cell r="A386" t="str">
            <v>101260</v>
          </cell>
          <cell r="B386" t="str">
            <v>ALBAHACA KILO</v>
          </cell>
          <cell r="C386" t="str">
            <v>1 KILO</v>
          </cell>
          <cell r="D386" t="str">
            <v>04/03/2020</v>
          </cell>
          <cell r="E386">
            <v>5148</v>
          </cell>
          <cell r="F386" t="str">
            <v>Gramo</v>
          </cell>
          <cell r="G386">
            <v>5.1479999999999997</v>
          </cell>
        </row>
        <row r="387">
          <cell r="A387" t="str">
            <v>10300030</v>
          </cell>
          <cell r="B387" t="str">
            <v>BISTEC BOLITA TENDER Y MARINADO KILO</v>
          </cell>
          <cell r="C387" t="str">
            <v xml:space="preserve">1 KILO  </v>
          </cell>
          <cell r="D387" t="str">
            <v>10/02/2020</v>
          </cell>
          <cell r="E387">
            <v>5195</v>
          </cell>
        </row>
        <row r="388">
          <cell r="A388" t="str">
            <v>1210492</v>
          </cell>
          <cell r="B388" t="str">
            <v>CHANTILLY TOP CREAM CHOCOLATE (UND:2 K)</v>
          </cell>
          <cell r="C388" t="str">
            <v>1 UND</v>
          </cell>
          <cell r="D388" t="str">
            <v>22/02/2020</v>
          </cell>
          <cell r="E388">
            <v>5323.04</v>
          </cell>
        </row>
        <row r="389">
          <cell r="A389" t="str">
            <v>10300034</v>
          </cell>
          <cell r="B389" t="str">
            <v>CESINA TROZOS ( KILO)</v>
          </cell>
          <cell r="C389" t="str">
            <v xml:space="preserve">1 KILO </v>
          </cell>
          <cell r="D389" t="str">
            <v>02/01/2020</v>
          </cell>
          <cell r="E389">
            <v>5395</v>
          </cell>
          <cell r="F389" t="str">
            <v>Gramo</v>
          </cell>
          <cell r="G389">
            <v>5.3949999999999996</v>
          </cell>
        </row>
        <row r="390">
          <cell r="A390" t="str">
            <v>10300038</v>
          </cell>
          <cell r="B390" t="str">
            <v>ROAF BEEF REBANADO (PAQ:1 K)</v>
          </cell>
          <cell r="C390" t="str">
            <v>1 PAQUETE</v>
          </cell>
          <cell r="D390" t="str">
            <v>29/02/2020</v>
          </cell>
          <cell r="E390">
            <v>5453</v>
          </cell>
        </row>
        <row r="391">
          <cell r="A391" t="str">
            <v>0510294</v>
          </cell>
          <cell r="B391" t="str">
            <v>ANTIOXIDANTE ESPECIAL (KILO)</v>
          </cell>
          <cell r="C391" t="str">
            <v xml:space="preserve">1 KILO </v>
          </cell>
          <cell r="D391" t="str">
            <v>06/02/2020</v>
          </cell>
          <cell r="E391">
            <v>5456.5752000000002</v>
          </cell>
          <cell r="F391" t="str">
            <v>Gramo</v>
          </cell>
          <cell r="G391">
            <v>5.4565752000000005</v>
          </cell>
        </row>
        <row r="392">
          <cell r="A392" t="str">
            <v>10700036</v>
          </cell>
          <cell r="B392" t="str">
            <v>CHOCOLATE CORAZON MINI COMB (CJ:1500 UD)</v>
          </cell>
          <cell r="C392" t="str">
            <v>1 CAJA</v>
          </cell>
          <cell r="D392" t="str">
            <v>11/02/2020</v>
          </cell>
          <cell r="E392">
            <v>5500</v>
          </cell>
        </row>
        <row r="393">
          <cell r="A393" t="str">
            <v>10200029</v>
          </cell>
          <cell r="B393" t="str">
            <v>LECHE SABORIZADA FRAPPE MIX (PAQ: 1 K)</v>
          </cell>
          <cell r="C393" t="str">
            <v>1 PAQUETE</v>
          </cell>
          <cell r="D393" t="str">
            <v>18/02/2020</v>
          </cell>
          <cell r="E393">
            <v>5500</v>
          </cell>
        </row>
        <row r="394">
          <cell r="A394" t="str">
            <v>0110086</v>
          </cell>
          <cell r="B394" t="str">
            <v>TOMILLO FRESCO ROLLO KILO</v>
          </cell>
          <cell r="C394" t="str">
            <v>1 KILO</v>
          </cell>
          <cell r="D394" t="str">
            <v>29/02/2020</v>
          </cell>
          <cell r="E394">
            <v>5500</v>
          </cell>
          <cell r="F394" t="str">
            <v>Gramo</v>
          </cell>
          <cell r="G394">
            <v>5.5</v>
          </cell>
        </row>
        <row r="395">
          <cell r="A395" t="str">
            <v>10300010</v>
          </cell>
          <cell r="B395" t="str">
            <v>BISTEC ESO. TP MILANESA (KILO)</v>
          </cell>
          <cell r="C395" t="str">
            <v>1 KILO</v>
          </cell>
          <cell r="D395" t="str">
            <v>07/02/2020</v>
          </cell>
          <cell r="E395">
            <v>5530</v>
          </cell>
        </row>
        <row r="396">
          <cell r="A396" t="str">
            <v>1730610</v>
          </cell>
          <cell r="B396" t="str">
            <v>NATILLA GALON (UND:3.785 K)</v>
          </cell>
          <cell r="C396" t="str">
            <v>1 UND</v>
          </cell>
          <cell r="D396" t="str">
            <v>03/03/2020</v>
          </cell>
          <cell r="E396">
            <v>5670</v>
          </cell>
          <cell r="F396" t="str">
            <v>Gramo</v>
          </cell>
          <cell r="G396">
            <v>1.4980184940554822</v>
          </cell>
        </row>
        <row r="397">
          <cell r="A397" t="str">
            <v>1730588</v>
          </cell>
          <cell r="B397" t="str">
            <v>LOMO DE AGUJA KILO</v>
          </cell>
          <cell r="C397" t="str">
            <v>1 KILO</v>
          </cell>
          <cell r="D397" t="str">
            <v>24/02/2020</v>
          </cell>
          <cell r="E397">
            <v>5690</v>
          </cell>
        </row>
        <row r="398">
          <cell r="A398" t="str">
            <v>10100009</v>
          </cell>
          <cell r="B398" t="str">
            <v>SALSA BLANCA MAGGI (UND:1K)</v>
          </cell>
          <cell r="C398" t="str">
            <v>1 UND</v>
          </cell>
          <cell r="D398" t="str">
            <v>27/02/2020</v>
          </cell>
          <cell r="E398">
            <v>5746</v>
          </cell>
        </row>
        <row r="399">
          <cell r="A399" t="str">
            <v>10100250</v>
          </cell>
          <cell r="B399" t="str">
            <v>PAPA TOSTADA KITTY (PAQ: 1 K)</v>
          </cell>
          <cell r="C399" t="str">
            <v>1 PAQUETE</v>
          </cell>
          <cell r="D399" t="str">
            <v>30/12/2019</v>
          </cell>
          <cell r="E399">
            <v>5777.3329999999996</v>
          </cell>
        </row>
        <row r="400">
          <cell r="A400" t="str">
            <v>10700013</v>
          </cell>
          <cell r="B400" t="str">
            <v>STICK DORADO (CAJA:100 UND)</v>
          </cell>
          <cell r="C400" t="str">
            <v>1 CAJA</v>
          </cell>
          <cell r="D400" t="str">
            <v>20/01/2020</v>
          </cell>
          <cell r="E400">
            <v>5838</v>
          </cell>
          <cell r="F400" t="str">
            <v>UND</v>
          </cell>
          <cell r="G400">
            <v>58.38</v>
          </cell>
        </row>
        <row r="401">
          <cell r="A401" t="str">
            <v>10100173</v>
          </cell>
          <cell r="B401" t="str">
            <v>MOSTAZA HELLMANNS (UND: 4 K)</v>
          </cell>
          <cell r="C401" t="str">
            <v>1 UND</v>
          </cell>
          <cell r="D401" t="str">
            <v>28/01/2020</v>
          </cell>
          <cell r="E401">
            <v>5895</v>
          </cell>
          <cell r="F401" t="str">
            <v>Gramo</v>
          </cell>
          <cell r="G401">
            <v>1.4737499999999999</v>
          </cell>
        </row>
        <row r="402">
          <cell r="A402" t="str">
            <v>0910351</v>
          </cell>
          <cell r="B402" t="str">
            <v>SALSA CHILE AJI (PAQ:1 KILO)</v>
          </cell>
          <cell r="C402" t="str">
            <v>1 PAQUETE</v>
          </cell>
          <cell r="D402" t="str">
            <v>30/01/2020</v>
          </cell>
          <cell r="E402">
            <v>5898.23</v>
          </cell>
          <cell r="F402" t="str">
            <v>Gramo</v>
          </cell>
          <cell r="G402">
            <v>5.8982299999999999</v>
          </cell>
        </row>
        <row r="403">
          <cell r="A403" t="str">
            <v>210047</v>
          </cell>
          <cell r="B403" t="str">
            <v xml:space="preserve">CHICHARON KILO </v>
          </cell>
          <cell r="C403" t="str">
            <v>1 KILO</v>
          </cell>
          <cell r="D403" t="str">
            <v>05/03/2020</v>
          </cell>
          <cell r="E403">
            <v>5900</v>
          </cell>
        </row>
        <row r="404">
          <cell r="A404" t="str">
            <v>10100275</v>
          </cell>
          <cell r="B404" t="str">
            <v>ADEREZO ITALIANO CREMOSO (UND)</v>
          </cell>
          <cell r="C404" t="str">
            <v>1 UND</v>
          </cell>
          <cell r="D404" t="str">
            <v>04/03/2020</v>
          </cell>
          <cell r="E404">
            <v>5949</v>
          </cell>
        </row>
        <row r="405">
          <cell r="A405" t="str">
            <v>105000029</v>
          </cell>
          <cell r="B405" t="str">
            <v>CONSOME CONCEN. DE RES (UND:2 K)</v>
          </cell>
          <cell r="C405" t="str">
            <v>1 UND</v>
          </cell>
          <cell r="D405" t="str">
            <v>03/03/2020</v>
          </cell>
          <cell r="E405">
            <v>5988</v>
          </cell>
          <cell r="F405" t="str">
            <v>Gramo</v>
          </cell>
          <cell r="G405">
            <v>2.9940000000000002</v>
          </cell>
        </row>
        <row r="406">
          <cell r="A406" t="str">
            <v>101000073</v>
          </cell>
          <cell r="B406" t="str">
            <v>AZUCAR GLASS MOLIDA (PAQ: 4 K)</v>
          </cell>
          <cell r="C406" t="str">
            <v>1 PAQUETE</v>
          </cell>
          <cell r="D406" t="str">
            <v>03/03/2020</v>
          </cell>
          <cell r="E406">
            <v>6004</v>
          </cell>
          <cell r="F406" t="str">
            <v>Gramo</v>
          </cell>
          <cell r="G406">
            <v>1.5009999999999999</v>
          </cell>
        </row>
        <row r="407">
          <cell r="A407" t="str">
            <v>105000046</v>
          </cell>
          <cell r="B407" t="str">
            <v>JENGIBRE MOLIDO (UND:354 G)</v>
          </cell>
          <cell r="C407" t="str">
            <v>1 UND</v>
          </cell>
          <cell r="D407" t="str">
            <v>04/03/2020</v>
          </cell>
          <cell r="E407">
            <v>6034</v>
          </cell>
        </row>
        <row r="408">
          <cell r="A408" t="str">
            <v>0710262</v>
          </cell>
          <cell r="B408" t="str">
            <v>PAN MOLIDO (PAQ:5 K)</v>
          </cell>
          <cell r="C408" t="str">
            <v>1 PAQUETE</v>
          </cell>
          <cell r="D408" t="str">
            <v>26/12/2019</v>
          </cell>
          <cell r="E408">
            <v>6050</v>
          </cell>
        </row>
        <row r="409">
          <cell r="A409" t="str">
            <v>10100223</v>
          </cell>
          <cell r="B409" t="str">
            <v>ADEREZO JENGIBRE C/AJONJOLI (UND:3.78 K)</v>
          </cell>
          <cell r="C409" t="str">
            <v>1 UND</v>
          </cell>
          <cell r="D409" t="str">
            <v>16/01/2020</v>
          </cell>
          <cell r="E409">
            <v>6069</v>
          </cell>
        </row>
        <row r="410">
          <cell r="A410" t="str">
            <v>1110378</v>
          </cell>
          <cell r="B410" t="str">
            <v>TOMATE LICUADO LATA (UND: 4.1 K)</v>
          </cell>
          <cell r="C410" t="str">
            <v>1 UND</v>
          </cell>
          <cell r="D410" t="str">
            <v>29/02/2020</v>
          </cell>
          <cell r="E410">
            <v>6190</v>
          </cell>
          <cell r="F410" t="str">
            <v>Gramo</v>
          </cell>
          <cell r="G410">
            <v>1.5097560975609756</v>
          </cell>
        </row>
        <row r="411">
          <cell r="A411" t="str">
            <v>10300039</v>
          </cell>
          <cell r="B411" t="str">
            <v>FILET TRUCHA PORCIONES (KILO)</v>
          </cell>
          <cell r="C411" t="str">
            <v xml:space="preserve">1 KILO  </v>
          </cell>
          <cell r="D411" t="str">
            <v>02/03/2020</v>
          </cell>
          <cell r="E411">
            <v>6190</v>
          </cell>
        </row>
        <row r="412">
          <cell r="A412" t="str">
            <v>610223</v>
          </cell>
          <cell r="B412" t="str">
            <v>CREMA DE HONGOS (CAJA:12 UND)</v>
          </cell>
          <cell r="C412" t="str">
            <v>1 CAJA</v>
          </cell>
          <cell r="D412" t="str">
            <v>03/03/2020</v>
          </cell>
          <cell r="E412">
            <v>6212</v>
          </cell>
          <cell r="F412" t="str">
            <v>Gramo</v>
          </cell>
          <cell r="G412">
            <v>7.9641025641025642</v>
          </cell>
        </row>
        <row r="413">
          <cell r="A413" t="str">
            <v>1212412</v>
          </cell>
          <cell r="B413" t="str">
            <v>PRESERVANTE 1017S (PAQ=5 KILO)</v>
          </cell>
          <cell r="C413" t="str">
            <v xml:space="preserve">1 KILO   </v>
          </cell>
          <cell r="D413" t="str">
            <v>26/02/2020</v>
          </cell>
          <cell r="E413">
            <v>6321.48</v>
          </cell>
          <cell r="F413" t="str">
            <v>Gramo</v>
          </cell>
          <cell r="G413">
            <v>6.3214799999999993</v>
          </cell>
        </row>
        <row r="414">
          <cell r="A414" t="str">
            <v>11400031</v>
          </cell>
          <cell r="B414" t="str">
            <v>CREMA PRESTIGE GRAND (UND:4 K) *</v>
          </cell>
          <cell r="C414" t="str">
            <v>1 UND</v>
          </cell>
          <cell r="D414" t="str">
            <v>03/03/2020</v>
          </cell>
          <cell r="E414">
            <v>6387</v>
          </cell>
          <cell r="F414" t="str">
            <v>Gramo</v>
          </cell>
          <cell r="G414">
            <v>1.5967499999999999</v>
          </cell>
        </row>
        <row r="415">
          <cell r="A415" t="str">
            <v>510115</v>
          </cell>
          <cell r="B415" t="str">
            <v>COLOR CARAMELINA EXTRA (KILO)</v>
          </cell>
          <cell r="C415" t="str">
            <v xml:space="preserve">1 KILO </v>
          </cell>
          <cell r="D415" t="str">
            <v>12/02/2020</v>
          </cell>
          <cell r="E415">
            <v>6433.62</v>
          </cell>
          <cell r="F415" t="str">
            <v>Gramo</v>
          </cell>
          <cell r="G415">
            <v>6.4336199999999995</v>
          </cell>
        </row>
        <row r="416">
          <cell r="A416" t="str">
            <v>10300020</v>
          </cell>
          <cell r="B416" t="str">
            <v>CARNITAS PORK (KILO)</v>
          </cell>
          <cell r="C416" t="str">
            <v>1 KILO</v>
          </cell>
          <cell r="D416" t="str">
            <v>03/12/2019</v>
          </cell>
          <cell r="E416">
            <v>6448.49</v>
          </cell>
        </row>
        <row r="417">
          <cell r="A417" t="str">
            <v>11200065</v>
          </cell>
          <cell r="B417" t="str">
            <v>BAGUETTE FRANCES LAPIZ (CAJA:17 UND)</v>
          </cell>
          <cell r="C417" t="str">
            <v>1 CAJA</v>
          </cell>
          <cell r="D417" t="str">
            <v>29/02/2020</v>
          </cell>
          <cell r="E417">
            <v>6480</v>
          </cell>
        </row>
        <row r="418">
          <cell r="A418" t="str">
            <v>10200030</v>
          </cell>
          <cell r="B418" t="str">
            <v>BASE LECHE  MILK SHAKE (PAQ:1 K)</v>
          </cell>
          <cell r="C418" t="str">
            <v>1 PAQUETE</v>
          </cell>
          <cell r="D418" t="str">
            <v>16/12/2019</v>
          </cell>
          <cell r="E418">
            <v>6500</v>
          </cell>
        </row>
        <row r="419">
          <cell r="A419" t="str">
            <v>1112441</v>
          </cell>
          <cell r="B419" t="str">
            <v>ACEITUNA  C/PIMIENTO (UND:1,7 Kg)</v>
          </cell>
          <cell r="C419" t="str">
            <v>1 UND</v>
          </cell>
          <cell r="D419" t="str">
            <v>14/12/2019</v>
          </cell>
          <cell r="E419">
            <v>6706</v>
          </cell>
          <cell r="F419" t="str">
            <v>Gramo</v>
          </cell>
          <cell r="G419">
            <v>3.9447058823529413</v>
          </cell>
        </row>
        <row r="420">
          <cell r="A420" t="str">
            <v>11400045</v>
          </cell>
          <cell r="B420" t="str">
            <v>QUESO RALLADO RICO DOS PINO SP (PAQ:2 K)</v>
          </cell>
          <cell r="C420" t="str">
            <v>1 PAQUETE</v>
          </cell>
          <cell r="D420" t="str">
            <v>03/03/2020</v>
          </cell>
          <cell r="E420">
            <v>6825.41</v>
          </cell>
          <cell r="F420" t="str">
            <v>Gramo</v>
          </cell>
          <cell r="G420">
            <v>3.4127049999999999</v>
          </cell>
        </row>
        <row r="421">
          <cell r="A421" t="str">
            <v>176799</v>
          </cell>
          <cell r="B421" t="str">
            <v>ENELDO SECO (UND:141 G)</v>
          </cell>
          <cell r="C421" t="str">
            <v>1 UND</v>
          </cell>
          <cell r="D421" t="str">
            <v>01/02/2020</v>
          </cell>
          <cell r="E421">
            <v>6829</v>
          </cell>
        </row>
        <row r="422">
          <cell r="A422" t="str">
            <v>11700002</v>
          </cell>
          <cell r="B422" t="str">
            <v>DULCE LECHE LA CIABATA (UND:5 K )</v>
          </cell>
          <cell r="C422" t="str">
            <v>1 UND</v>
          </cell>
          <cell r="D422" t="str">
            <v>29/02/2020</v>
          </cell>
          <cell r="E422">
            <v>6925</v>
          </cell>
          <cell r="F422" t="str">
            <v>Gramo</v>
          </cell>
          <cell r="G422">
            <v>1.385</v>
          </cell>
        </row>
        <row r="423">
          <cell r="A423" t="str">
            <v>105000007</v>
          </cell>
          <cell r="B423" t="str">
            <v>PIMIENTA NEGRA MOLIDA (UND:510 G)</v>
          </cell>
          <cell r="C423" t="str">
            <v>1 UND</v>
          </cell>
          <cell r="D423" t="str">
            <v>29/02/2020</v>
          </cell>
          <cell r="E423">
            <v>6931</v>
          </cell>
          <cell r="F423" t="str">
            <v>Gramo</v>
          </cell>
          <cell r="G423">
            <v>13.590196078431372</v>
          </cell>
        </row>
        <row r="424">
          <cell r="A424" t="str">
            <v>1210496</v>
          </cell>
          <cell r="B424" t="str">
            <v>MONEDAS ONDEADAS COMBIN (CAJA:240 UND)</v>
          </cell>
          <cell r="C424" t="str">
            <v>1 CAJA</v>
          </cell>
          <cell r="D424" t="str">
            <v>03/12/2019</v>
          </cell>
          <cell r="E424">
            <v>6957</v>
          </cell>
        </row>
        <row r="425">
          <cell r="A425" t="str">
            <v>1730670</v>
          </cell>
          <cell r="B425" t="str">
            <v>BOLITA FALAFEL CRUDA (PAQ:100 UND)</v>
          </cell>
          <cell r="C425" t="str">
            <v>1 PAQUETE</v>
          </cell>
          <cell r="D425" t="str">
            <v>02/03/2020</v>
          </cell>
          <cell r="E425">
            <v>7000</v>
          </cell>
        </row>
        <row r="426">
          <cell r="A426" t="str">
            <v>0310112</v>
          </cell>
          <cell r="B426" t="str">
            <v>QUESO PRADO RICO REBANADO KILO</v>
          </cell>
          <cell r="C426" t="str">
            <v>1 KILO</v>
          </cell>
          <cell r="D426" t="str">
            <v>05/03/2020</v>
          </cell>
          <cell r="E426">
            <v>7182</v>
          </cell>
          <cell r="F426" t="str">
            <v>Gramo</v>
          </cell>
          <cell r="G426">
            <v>7.1820000000000004</v>
          </cell>
        </row>
        <row r="427">
          <cell r="A427" t="str">
            <v>310148</v>
          </cell>
          <cell r="B427" t="str">
            <v>BETTERCREME SUPREMO (UND:4 K)</v>
          </cell>
          <cell r="C427" t="str">
            <v>1 UND</v>
          </cell>
          <cell r="D427" t="str">
            <v>03/03/2020</v>
          </cell>
          <cell r="E427">
            <v>7234</v>
          </cell>
          <cell r="F427" t="str">
            <v>Gramo</v>
          </cell>
          <cell r="G427">
            <v>1.8085</v>
          </cell>
        </row>
        <row r="428">
          <cell r="A428" t="str">
            <v>0910341</v>
          </cell>
          <cell r="B428" t="str">
            <v>SALSA INGLESA LIZANO (UND:3.7 L)</v>
          </cell>
          <cell r="C428" t="str">
            <v>1 UND</v>
          </cell>
          <cell r="D428" t="str">
            <v>03/03/2020</v>
          </cell>
          <cell r="E428">
            <v>7303</v>
          </cell>
          <cell r="F428" t="str">
            <v>Mililitro</v>
          </cell>
          <cell r="G428">
            <v>1.929458388375165</v>
          </cell>
        </row>
        <row r="429">
          <cell r="A429" t="str">
            <v>0410137</v>
          </cell>
          <cell r="B429" t="str">
            <v>JALEA FRESA (UND:5 K)</v>
          </cell>
          <cell r="C429" t="str">
            <v>1 UND</v>
          </cell>
          <cell r="D429" t="str">
            <v>27/02/2020</v>
          </cell>
          <cell r="E429">
            <v>7341</v>
          </cell>
          <cell r="F429" t="str">
            <v>Gramo</v>
          </cell>
          <cell r="G429">
            <v>1.4681999999999999</v>
          </cell>
        </row>
        <row r="430">
          <cell r="A430" t="str">
            <v>10100069</v>
          </cell>
          <cell r="B430" t="str">
            <v>MAYONESA SPOON (UND:3.785 L)</v>
          </cell>
          <cell r="C430" t="str">
            <v>1 UND</v>
          </cell>
          <cell r="D430" t="str">
            <v>05/12/2019</v>
          </cell>
          <cell r="E430">
            <v>7430</v>
          </cell>
        </row>
        <row r="431">
          <cell r="A431" t="str">
            <v>10100227</v>
          </cell>
          <cell r="B431" t="str">
            <v>ROSA JAMAICA (PAQ:KILO)</v>
          </cell>
          <cell r="C431" t="str">
            <v>1 PAQUETE</v>
          </cell>
          <cell r="D431" t="str">
            <v>29/02/2020</v>
          </cell>
          <cell r="E431">
            <v>7500</v>
          </cell>
        </row>
        <row r="432">
          <cell r="A432" t="str">
            <v>10700029</v>
          </cell>
          <cell r="B432" t="str">
            <v>CHOCOLATE CORAZON ROJO PASION (CAJA:200)</v>
          </cell>
          <cell r="C432" t="str">
            <v>1 CAJA</v>
          </cell>
          <cell r="D432" t="str">
            <v>11/02/2020</v>
          </cell>
          <cell r="E432">
            <v>7650</v>
          </cell>
          <cell r="F432" t="str">
            <v>UND</v>
          </cell>
          <cell r="G432">
            <v>38.25</v>
          </cell>
        </row>
        <row r="433">
          <cell r="A433" t="str">
            <v>10100273</v>
          </cell>
          <cell r="B433" t="str">
            <v>ADEREZO MOSTAZA MIEL (UND)</v>
          </cell>
          <cell r="C433" t="str">
            <v>1 UND</v>
          </cell>
          <cell r="D433" t="str">
            <v>03/03/2020</v>
          </cell>
          <cell r="E433">
            <v>7669</v>
          </cell>
        </row>
        <row r="434">
          <cell r="A434" t="str">
            <v>109000121</v>
          </cell>
          <cell r="B434" t="str">
            <v>TOMATE DESHIDRATADO SECO (UND: 800 G)</v>
          </cell>
          <cell r="C434" t="str">
            <v>1 UND</v>
          </cell>
          <cell r="D434" t="str">
            <v>14/01/2020</v>
          </cell>
          <cell r="E434">
            <v>7731.6</v>
          </cell>
        </row>
        <row r="435">
          <cell r="A435" t="str">
            <v>118000007</v>
          </cell>
          <cell r="B435" t="str">
            <v>SABORIZANTE MELO (KILO)</v>
          </cell>
          <cell r="C435" t="str">
            <v xml:space="preserve">1 KILO </v>
          </cell>
          <cell r="D435" t="str">
            <v>07/02/2020</v>
          </cell>
          <cell r="E435">
            <v>7795.36</v>
          </cell>
          <cell r="F435" t="str">
            <v>Gramo</v>
          </cell>
          <cell r="G435">
            <v>7.7953599999999996</v>
          </cell>
        </row>
        <row r="436">
          <cell r="A436" t="str">
            <v>114000017</v>
          </cell>
          <cell r="B436" t="str">
            <v>BETTERCREAM CHOCOLATE (UND:4 Kg)</v>
          </cell>
          <cell r="C436" t="str">
            <v>1 UND</v>
          </cell>
          <cell r="D436" t="str">
            <v>22/02/2020</v>
          </cell>
          <cell r="E436">
            <v>7834</v>
          </cell>
          <cell r="F436" t="str">
            <v>Gramo</v>
          </cell>
          <cell r="G436">
            <v>1.9584999999999999</v>
          </cell>
        </row>
        <row r="437">
          <cell r="A437" t="str">
            <v>10100225</v>
          </cell>
          <cell r="B437" t="str">
            <v>ACEITE POMACE 90% CANOLA OLIVA (GALON)</v>
          </cell>
          <cell r="C437" t="str">
            <v xml:space="preserve">1 GALON </v>
          </cell>
          <cell r="D437" t="str">
            <v>03/03/2020</v>
          </cell>
          <cell r="E437">
            <v>7852</v>
          </cell>
          <cell r="F437" t="str">
            <v>Gramo</v>
          </cell>
          <cell r="G437">
            <v>2.0745046235138704</v>
          </cell>
        </row>
        <row r="438">
          <cell r="A438" t="str">
            <v>11100006</v>
          </cell>
          <cell r="B438" t="str">
            <v>MANTEQUILLA BLISTER 7g  (CAJA:120 UND)</v>
          </cell>
          <cell r="C438" t="str">
            <v xml:space="preserve">1 CAJA </v>
          </cell>
          <cell r="D438" t="str">
            <v>03/02/2020</v>
          </cell>
          <cell r="E438">
            <v>7963.89</v>
          </cell>
        </row>
        <row r="439">
          <cell r="A439" t="str">
            <v>11400027</v>
          </cell>
          <cell r="B439" t="str">
            <v>CREMA BETTERCREAM DOBLE CHOCO (UND:4 K)</v>
          </cell>
          <cell r="C439" t="str">
            <v>1 UND</v>
          </cell>
          <cell r="D439" t="str">
            <v>03/03/2020</v>
          </cell>
          <cell r="E439">
            <v>8052</v>
          </cell>
          <cell r="F439" t="str">
            <v>Gramo</v>
          </cell>
          <cell r="G439">
            <v>2.0129999999999999</v>
          </cell>
        </row>
        <row r="440">
          <cell r="A440" t="str">
            <v>11400052</v>
          </cell>
          <cell r="B440" t="str">
            <v>MARGARINA CORONA (CAJA:15 K)</v>
          </cell>
          <cell r="C440" t="str">
            <v>1 CAJA</v>
          </cell>
          <cell r="D440" t="str">
            <v>08/01/2020</v>
          </cell>
          <cell r="E440">
            <v>8083</v>
          </cell>
          <cell r="F440" t="str">
            <v>Gramo</v>
          </cell>
          <cell r="G440">
            <v>0.53886666666666672</v>
          </cell>
        </row>
        <row r="441">
          <cell r="A441" t="str">
            <v>0510194</v>
          </cell>
          <cell r="B441" t="str">
            <v>MACADAMIA #8 (PAQ:800g)</v>
          </cell>
          <cell r="C441" t="str">
            <v>1 PAQUETE</v>
          </cell>
          <cell r="D441" t="str">
            <v>28/02/2020</v>
          </cell>
          <cell r="E441">
            <v>8316</v>
          </cell>
          <cell r="F441" t="str">
            <v>Gramo</v>
          </cell>
          <cell r="G441">
            <v>10.395</v>
          </cell>
        </row>
        <row r="442">
          <cell r="A442" t="str">
            <v>10300002</v>
          </cell>
          <cell r="B442" t="str">
            <v>JAMON PAVO PECHUGA (UND:3.1 K)</v>
          </cell>
          <cell r="C442" t="str">
            <v>1 UND</v>
          </cell>
          <cell r="D442" t="str">
            <v>05/03/2020</v>
          </cell>
          <cell r="E442">
            <v>8490.6059999999998</v>
          </cell>
          <cell r="F442" t="str">
            <v>Gramo</v>
          </cell>
          <cell r="G442">
            <v>2.7389051612903224</v>
          </cell>
        </row>
        <row r="443">
          <cell r="A443" t="str">
            <v>11400029</v>
          </cell>
          <cell r="B443" t="str">
            <v>CREMA BETTER DULCE LECHE RICH (UND:4 K)</v>
          </cell>
          <cell r="C443" t="str">
            <v>1 UND</v>
          </cell>
          <cell r="D443" t="str">
            <v>03/03/2020</v>
          </cell>
          <cell r="E443">
            <v>8737</v>
          </cell>
          <cell r="F443" t="str">
            <v>Gramo</v>
          </cell>
          <cell r="G443">
            <v>2.18425</v>
          </cell>
        </row>
        <row r="444">
          <cell r="A444" t="str">
            <v>10100249</v>
          </cell>
          <cell r="B444" t="str">
            <v>SALSA BARBACOA CHIPOTLE MIEL (UND:3.7 K)</v>
          </cell>
          <cell r="C444" t="str">
            <v>1 UND</v>
          </cell>
          <cell r="D444" t="str">
            <v>28/01/2020</v>
          </cell>
          <cell r="E444">
            <v>8740</v>
          </cell>
        </row>
        <row r="445">
          <cell r="A445" t="str">
            <v>1210453</v>
          </cell>
          <cell r="B445" t="str">
            <v>CAPUCCINO VAINILLA LATAM (PAQ:750 g)</v>
          </cell>
          <cell r="C445" t="str">
            <v>1 PAQUETE</v>
          </cell>
          <cell r="D445" t="str">
            <v>20/02/2020</v>
          </cell>
          <cell r="E445">
            <v>8940</v>
          </cell>
        </row>
        <row r="446">
          <cell r="A446" t="str">
            <v>103000001</v>
          </cell>
          <cell r="B446" t="str">
            <v>SALMON EN MEDALLON KILO</v>
          </cell>
          <cell r="C446" t="str">
            <v>1 KILO</v>
          </cell>
          <cell r="D446" t="str">
            <v>03/03/2020</v>
          </cell>
          <cell r="E446">
            <v>8986.9500000000007</v>
          </cell>
        </row>
        <row r="447">
          <cell r="A447" t="str">
            <v>0510186</v>
          </cell>
          <cell r="B447" t="str">
            <v>GELATINA PURA  (PAQ:1 k)</v>
          </cell>
          <cell r="C447" t="str">
            <v>1 PAQUETE</v>
          </cell>
          <cell r="D447" t="str">
            <v>03/03/2020</v>
          </cell>
          <cell r="E447">
            <v>9071</v>
          </cell>
          <cell r="F447" t="str">
            <v>Gramo</v>
          </cell>
          <cell r="G447">
            <v>9.0709999999999997</v>
          </cell>
        </row>
        <row r="448">
          <cell r="A448" t="str">
            <v>11400024</v>
          </cell>
          <cell r="B448" t="str">
            <v>QUESO TURRIALBA (PAQ: 3 K)</v>
          </cell>
          <cell r="C448" t="str">
            <v>1 PAQUETE</v>
          </cell>
          <cell r="D448" t="str">
            <v>03/03/2020</v>
          </cell>
          <cell r="E448">
            <v>9124.1299999999992</v>
          </cell>
          <cell r="F448" t="str">
            <v>Gramo</v>
          </cell>
          <cell r="G448">
            <v>3.0413766666666664</v>
          </cell>
        </row>
        <row r="449">
          <cell r="A449" t="str">
            <v>1110370</v>
          </cell>
          <cell r="B449" t="str">
            <v>LECHE CONDENSADA NESTLE CHILE 4.5 KILOS</v>
          </cell>
          <cell r="C449" t="str">
            <v>1 Uds.</v>
          </cell>
          <cell r="D449" t="str">
            <v>29/11/2019</v>
          </cell>
          <cell r="E449">
            <v>9207</v>
          </cell>
          <cell r="F449" t="str">
            <v>Gramo</v>
          </cell>
          <cell r="G449">
            <v>2.0459999999999998</v>
          </cell>
        </row>
        <row r="450">
          <cell r="A450" t="str">
            <v>10100207</v>
          </cell>
          <cell r="B450" t="str">
            <v>LECHE DESCREMADA TB DOS PINOS(CAJA:12 L)</v>
          </cell>
          <cell r="C450" t="str">
            <v>1 CAJA</v>
          </cell>
          <cell r="D450" t="str">
            <v>23/01/2020</v>
          </cell>
          <cell r="E450">
            <v>9223</v>
          </cell>
          <cell r="F450" t="str">
            <v>Mililitro</v>
          </cell>
          <cell r="G450">
            <v>0.76858333333333329</v>
          </cell>
        </row>
        <row r="451">
          <cell r="A451" t="str">
            <v>11400032</v>
          </cell>
          <cell r="B451" t="str">
            <v>LECHE CONDENSADA NEST CHILE  (PAQ:4.5 K)</v>
          </cell>
          <cell r="C451" t="str">
            <v>1 PAQUETE</v>
          </cell>
          <cell r="D451" t="str">
            <v>11/02/2020</v>
          </cell>
          <cell r="E451">
            <v>9273</v>
          </cell>
          <cell r="F451" t="str">
            <v>Gramo</v>
          </cell>
          <cell r="G451">
            <v>2.0606666666666666</v>
          </cell>
        </row>
        <row r="452">
          <cell r="A452" t="str">
            <v>11100002</v>
          </cell>
          <cell r="B452" t="str">
            <v>MARGARINA LIQUIDA 2/17.5LB (UND)</v>
          </cell>
          <cell r="C452" t="str">
            <v>1 UND</v>
          </cell>
          <cell r="D452" t="str">
            <v>07/01/2020</v>
          </cell>
          <cell r="E452">
            <v>9320.5</v>
          </cell>
        </row>
        <row r="453">
          <cell r="A453" t="str">
            <v>910311</v>
          </cell>
          <cell r="B453" t="str">
            <v>ACEITE DE OLIVA PLAST (UND:5 L)</v>
          </cell>
          <cell r="C453" t="str">
            <v>1 UND</v>
          </cell>
          <cell r="D453" t="str">
            <v>28/02/2020</v>
          </cell>
          <cell r="E453">
            <v>9325</v>
          </cell>
          <cell r="F453" t="str">
            <v>Mililitro</v>
          </cell>
          <cell r="G453">
            <v>1.865</v>
          </cell>
        </row>
        <row r="454">
          <cell r="A454" t="str">
            <v>10100235</v>
          </cell>
          <cell r="B454" t="str">
            <v>QUESO MOZA RALLADO CONGEL PIZZA (PAQ:2K)</v>
          </cell>
          <cell r="C454" t="str">
            <v>1 PAQUETE</v>
          </cell>
          <cell r="D454" t="str">
            <v>03/03/2020</v>
          </cell>
          <cell r="E454">
            <v>9356.44</v>
          </cell>
          <cell r="F454" t="str">
            <v>Gramo</v>
          </cell>
          <cell r="G454">
            <v>4.6782200000000005</v>
          </cell>
        </row>
        <row r="455">
          <cell r="A455" t="str">
            <v>10100048</v>
          </cell>
          <cell r="B455" t="str">
            <v>SIROPE KARO DARK (UND: 3.78 K)</v>
          </cell>
          <cell r="C455" t="str">
            <v>1 UND</v>
          </cell>
          <cell r="D455" t="str">
            <v>03/03/2020</v>
          </cell>
          <cell r="E455">
            <v>9465.5</v>
          </cell>
          <cell r="F455" t="str">
            <v>Mililitro</v>
          </cell>
          <cell r="G455">
            <v>2.5007926023778073</v>
          </cell>
        </row>
        <row r="456">
          <cell r="A456" t="str">
            <v>10700033</v>
          </cell>
          <cell r="B456" t="str">
            <v>CHOCOLATE KIT KAT (CAJA:24 X41.5 G)</v>
          </cell>
          <cell r="C456" t="str">
            <v>1 CAJA</v>
          </cell>
          <cell r="D456" t="str">
            <v>29/02/2020</v>
          </cell>
          <cell r="E456">
            <v>9548</v>
          </cell>
        </row>
        <row r="457">
          <cell r="A457" t="str">
            <v>102000037</v>
          </cell>
          <cell r="B457" t="str">
            <v xml:space="preserve">TE FRIO MELOCOTON (CAJA: 6 PAQ) </v>
          </cell>
          <cell r="C457" t="str">
            <v>1 CAJA</v>
          </cell>
          <cell r="D457" t="str">
            <v>03/03/2020</v>
          </cell>
          <cell r="E457">
            <v>9553</v>
          </cell>
        </row>
        <row r="458">
          <cell r="A458" t="str">
            <v>10100205</v>
          </cell>
          <cell r="B458" t="str">
            <v>CREMA DULCE (GALON) DPR</v>
          </cell>
          <cell r="C458" t="str">
            <v xml:space="preserve">1 GALON </v>
          </cell>
          <cell r="D458" t="str">
            <v>05/03/2020</v>
          </cell>
          <cell r="E458">
            <v>9617</v>
          </cell>
          <cell r="F458" t="str">
            <v>Mililitro</v>
          </cell>
          <cell r="G458">
            <v>2.5408190224570673</v>
          </cell>
        </row>
        <row r="459">
          <cell r="A459" t="str">
            <v>10100260</v>
          </cell>
          <cell r="B459" t="str">
            <v>HIERBA BUENA GRANEL (KILO)</v>
          </cell>
          <cell r="C459" t="str">
            <v>1 KILO</v>
          </cell>
          <cell r="D459" t="str">
            <v>29/02/2020</v>
          </cell>
          <cell r="E459">
            <v>10000</v>
          </cell>
        </row>
        <row r="460">
          <cell r="A460" t="str">
            <v>10100132</v>
          </cell>
          <cell r="B460" t="str">
            <v>CHIPS RAICES EXOTICAS (CAJA:40 UND)</v>
          </cell>
          <cell r="C460" t="str">
            <v>1 CAJA</v>
          </cell>
          <cell r="D460" t="str">
            <v>03/03/2020</v>
          </cell>
          <cell r="E460">
            <v>10000</v>
          </cell>
        </row>
        <row r="461">
          <cell r="A461" t="str">
            <v>10100221</v>
          </cell>
          <cell r="B461" t="str">
            <v>SALSA SOYA KIKOMAN (GALON)</v>
          </cell>
          <cell r="C461" t="str">
            <v xml:space="preserve">1 GALON </v>
          </cell>
          <cell r="D461" t="str">
            <v>23/01/2020</v>
          </cell>
          <cell r="E461">
            <v>10050</v>
          </cell>
        </row>
        <row r="462">
          <cell r="A462" t="str">
            <v>10100122</v>
          </cell>
          <cell r="B462" t="str">
            <v>CANELA EN POLVO BADIA (UND: 1.82 K)</v>
          </cell>
          <cell r="C462" t="str">
            <v>1 UND</v>
          </cell>
          <cell r="D462" t="str">
            <v>27/02/2020</v>
          </cell>
          <cell r="E462">
            <v>10077</v>
          </cell>
          <cell r="F462" t="str">
            <v>Gramo</v>
          </cell>
          <cell r="G462">
            <v>5.5368131868131867</v>
          </cell>
        </row>
        <row r="463">
          <cell r="A463" t="str">
            <v>10100202</v>
          </cell>
          <cell r="B463" t="str">
            <v>HARINA PALATINA CORRIENTE (SACO:25 K)</v>
          </cell>
          <cell r="C463" t="str">
            <v>1 SACO</v>
          </cell>
          <cell r="D463" t="str">
            <v>29/02/2020</v>
          </cell>
          <cell r="E463">
            <v>10138.75</v>
          </cell>
          <cell r="F463" t="str">
            <v>Gramo</v>
          </cell>
          <cell r="G463">
            <v>0.40555000000000002</v>
          </cell>
        </row>
        <row r="464">
          <cell r="A464" t="str">
            <v>11300009</v>
          </cell>
          <cell r="B464" t="str">
            <v xml:space="preserve">CLARA DE HUEVO (CAJA:5 K) </v>
          </cell>
          <cell r="C464" t="str">
            <v>1 CAJA</v>
          </cell>
          <cell r="D464" t="str">
            <v>21/02/2020</v>
          </cell>
          <cell r="E464">
            <v>10175</v>
          </cell>
        </row>
        <row r="465">
          <cell r="A465" t="str">
            <v>109000125</v>
          </cell>
          <cell r="B465" t="str">
            <v>MARACUYA ( PAQ: 3 KILOS)</v>
          </cell>
          <cell r="C465" t="str">
            <v>1 PAQUETE</v>
          </cell>
          <cell r="D465" t="str">
            <v>30/01/2020</v>
          </cell>
          <cell r="E465">
            <v>10180</v>
          </cell>
        </row>
        <row r="466">
          <cell r="A466" t="str">
            <v>10200088</v>
          </cell>
          <cell r="B466" t="str">
            <v>RON ABUELO RESERVA (UND: LITRO)</v>
          </cell>
          <cell r="C466" t="str">
            <v>1 UND</v>
          </cell>
          <cell r="D466" t="str">
            <v>02/03/2020</v>
          </cell>
          <cell r="E466">
            <v>10200</v>
          </cell>
          <cell r="F466" t="str">
            <v>Mililitro</v>
          </cell>
          <cell r="G466">
            <v>10.199999999999999</v>
          </cell>
        </row>
        <row r="467">
          <cell r="A467" t="str">
            <v>10300019</v>
          </cell>
          <cell r="B467" t="str">
            <v>TOCINETA(PAQ:2 KILOS)</v>
          </cell>
          <cell r="C467" t="str">
            <v>1 PAQUETE</v>
          </cell>
          <cell r="D467" t="str">
            <v>04/03/2020</v>
          </cell>
          <cell r="E467">
            <v>10231.549999999999</v>
          </cell>
          <cell r="F467" t="str">
            <v>Gramo</v>
          </cell>
          <cell r="G467">
            <v>5.1157749999999993</v>
          </cell>
        </row>
        <row r="468">
          <cell r="A468" t="str">
            <v>10900060</v>
          </cell>
          <cell r="B468" t="str">
            <v>CEREZA ROJA C/TALLO MARASCH (UND:GALON)</v>
          </cell>
          <cell r="C468" t="str">
            <v>1 UND</v>
          </cell>
          <cell r="D468" t="str">
            <v>03/03/2020</v>
          </cell>
          <cell r="E468">
            <v>10266</v>
          </cell>
          <cell r="F468" t="str">
            <v>Gramo</v>
          </cell>
          <cell r="G468">
            <v>4.2774999999999999</v>
          </cell>
        </row>
        <row r="469">
          <cell r="A469" t="str">
            <v>1058121</v>
          </cell>
          <cell r="B469" t="str">
            <v>MORA CONG INPAK (39/80 GRS)</v>
          </cell>
          <cell r="C469" t="str">
            <v>1 PAQUETE</v>
          </cell>
          <cell r="D469" t="str">
            <v>17/12/2019</v>
          </cell>
          <cell r="E469">
            <v>10344</v>
          </cell>
        </row>
        <row r="470">
          <cell r="A470" t="str">
            <v>1210398</v>
          </cell>
          <cell r="B470" t="str">
            <v>TROZOS CHOCOLATE OSCURO (CAJA:1K)</v>
          </cell>
          <cell r="C470" t="str">
            <v xml:space="preserve">1 CAJA </v>
          </cell>
          <cell r="D470" t="str">
            <v>28/11/2019</v>
          </cell>
          <cell r="E470">
            <v>10362</v>
          </cell>
        </row>
        <row r="471">
          <cell r="A471" t="str">
            <v>1110363</v>
          </cell>
          <cell r="B471" t="str">
            <v>CEREZAS ROJAS C/TALLO (UND:1/2 g)</v>
          </cell>
          <cell r="C471" t="str">
            <v>1 UND</v>
          </cell>
          <cell r="D471" t="str">
            <v>17/12/2019</v>
          </cell>
          <cell r="E471">
            <v>10414</v>
          </cell>
          <cell r="F471" t="str">
            <v>Gramo</v>
          </cell>
          <cell r="G471">
            <v>6.5608199999999997</v>
          </cell>
        </row>
        <row r="472">
          <cell r="A472" t="str">
            <v>0910339</v>
          </cell>
          <cell r="B472" t="str">
            <v>VINAGRE VINO DE ARROZ (UND:3.785)</v>
          </cell>
          <cell r="C472" t="str">
            <v>1 UND</v>
          </cell>
          <cell r="D472" t="str">
            <v>22/02/2020</v>
          </cell>
          <cell r="E472">
            <v>10473</v>
          </cell>
          <cell r="F472" t="str">
            <v>Mililitro</v>
          </cell>
          <cell r="G472">
            <v>2.7669749009247027</v>
          </cell>
        </row>
        <row r="473">
          <cell r="A473" t="str">
            <v>1210473</v>
          </cell>
          <cell r="B473" t="str">
            <v>CHOCOLATE HOJA OTOÑO (CAJA:150 UND)</v>
          </cell>
          <cell r="C473" t="str">
            <v xml:space="preserve">1 CAJA </v>
          </cell>
          <cell r="D473" t="str">
            <v>28/02/2020</v>
          </cell>
          <cell r="E473">
            <v>10500</v>
          </cell>
        </row>
        <row r="474">
          <cell r="A474" t="str">
            <v>510100</v>
          </cell>
          <cell r="B474" t="str">
            <v>ARROZ PRECOCIDO MI SABOR(BULTO:15 K)</v>
          </cell>
          <cell r="C474" t="str">
            <v>1 BULTO</v>
          </cell>
          <cell r="D474" t="str">
            <v>18/02/2020</v>
          </cell>
          <cell r="E474">
            <v>10515</v>
          </cell>
          <cell r="F474" t="str">
            <v>Gramo</v>
          </cell>
          <cell r="G474">
            <v>0.70099999999999996</v>
          </cell>
        </row>
        <row r="475">
          <cell r="A475" t="str">
            <v>0310146</v>
          </cell>
          <cell r="B475" t="str">
            <v>QUESO CREMA (UND:3.6 Kg)</v>
          </cell>
          <cell r="C475" t="str">
            <v>1 UND</v>
          </cell>
          <cell r="D475" t="str">
            <v>09/12/2019</v>
          </cell>
          <cell r="E475">
            <v>10553.66</v>
          </cell>
          <cell r="F475" t="str">
            <v>Gramo</v>
          </cell>
          <cell r="G475">
            <v>2.931572222222222</v>
          </cell>
        </row>
        <row r="476">
          <cell r="A476" t="str">
            <v>0510107</v>
          </cell>
          <cell r="B476" t="str">
            <v>HARINA HARISOL WINTER (25k)</v>
          </cell>
          <cell r="C476" t="str">
            <v>1 SACO</v>
          </cell>
          <cell r="D476" t="str">
            <v>27/02/2020</v>
          </cell>
          <cell r="E476">
            <v>10650</v>
          </cell>
          <cell r="F476" t="str">
            <v>Gramo</v>
          </cell>
          <cell r="G476">
            <v>0.42599999999999999</v>
          </cell>
        </row>
        <row r="477">
          <cell r="A477" t="str">
            <v>112000009</v>
          </cell>
          <cell r="B477" t="str">
            <v>MASECA GRANEL (SACO:20 K)</v>
          </cell>
          <cell r="C477" t="str">
            <v xml:space="preserve">1 SACO </v>
          </cell>
          <cell r="D477" t="str">
            <v>15/01/2020</v>
          </cell>
          <cell r="E477">
            <v>10747</v>
          </cell>
          <cell r="F477" t="str">
            <v>Gramo</v>
          </cell>
          <cell r="G477">
            <v>0.53734999999999999</v>
          </cell>
        </row>
        <row r="478">
          <cell r="A478" t="str">
            <v>0310116</v>
          </cell>
          <cell r="B478" t="str">
            <v>QUESO PARMERSANO (KILO)</v>
          </cell>
          <cell r="C478" t="str">
            <v>1 KILO</v>
          </cell>
          <cell r="D478" t="str">
            <v>21/02/2020</v>
          </cell>
          <cell r="E478">
            <v>10764.67</v>
          </cell>
          <cell r="F478" t="str">
            <v>Gramo</v>
          </cell>
          <cell r="G478">
            <v>10.764670000000001</v>
          </cell>
        </row>
        <row r="479">
          <cell r="A479" t="str">
            <v>1210397</v>
          </cell>
          <cell r="B479" t="str">
            <v>TROZOS CHOCOLATE BLANCO (CAJA:1 K)</v>
          </cell>
          <cell r="C479" t="str">
            <v xml:space="preserve">1 CAJA </v>
          </cell>
          <cell r="D479" t="str">
            <v>21/12/2019</v>
          </cell>
          <cell r="E479">
            <v>10858</v>
          </cell>
          <cell r="F479" t="str">
            <v>Gramo</v>
          </cell>
          <cell r="G479">
            <v>10.858000000000001</v>
          </cell>
        </row>
        <row r="480">
          <cell r="A480" t="str">
            <v>1210399</v>
          </cell>
          <cell r="B480" t="str">
            <v>TROZOS CHOCOLATE ROJO (CAJA:1K)</v>
          </cell>
          <cell r="C480" t="str">
            <v xml:space="preserve">1 CAJA </v>
          </cell>
          <cell r="D480" t="str">
            <v>21/12/2019</v>
          </cell>
          <cell r="E480">
            <v>10858</v>
          </cell>
        </row>
        <row r="481">
          <cell r="A481" t="str">
            <v>1010009</v>
          </cell>
          <cell r="B481" t="str">
            <v>CHILE CHIPOTLE COSTEÑA (UND:2.9 K)</v>
          </cell>
          <cell r="C481" t="str">
            <v>1 UND</v>
          </cell>
          <cell r="D481" t="str">
            <v>29/02/2020</v>
          </cell>
          <cell r="E481">
            <v>10930</v>
          </cell>
          <cell r="F481" t="str">
            <v>Gramo</v>
          </cell>
          <cell r="G481">
            <v>3.7689655172413792</v>
          </cell>
        </row>
        <row r="482">
          <cell r="A482" t="str">
            <v>10300017</v>
          </cell>
          <cell r="B482" t="str">
            <v xml:space="preserve">ROAST BEEF (PAQ:2 KILOS) </v>
          </cell>
          <cell r="C482" t="str">
            <v>1 PAQUETE</v>
          </cell>
          <cell r="D482" t="str">
            <v>04/02/2020</v>
          </cell>
          <cell r="E482">
            <v>11000</v>
          </cell>
          <cell r="F482" t="str">
            <v>Gramo</v>
          </cell>
          <cell r="G482">
            <v>5.5</v>
          </cell>
        </row>
        <row r="483">
          <cell r="A483" t="str">
            <v>1112431</v>
          </cell>
          <cell r="B483" t="str">
            <v>MANJAR LECHE CONDENSADA (PAQ: 4.5 K)</v>
          </cell>
          <cell r="C483" t="str">
            <v>1 PAQUETE</v>
          </cell>
          <cell r="D483" t="str">
            <v>03/03/2020</v>
          </cell>
          <cell r="E483">
            <v>11335</v>
          </cell>
          <cell r="F483" t="str">
            <v>Gramo</v>
          </cell>
          <cell r="G483">
            <v>2.5188888888888887</v>
          </cell>
        </row>
        <row r="484">
          <cell r="A484" t="str">
            <v>1210451</v>
          </cell>
          <cell r="B484" t="str">
            <v>CAPUCCINO  LATAM NESCAFE (PAQ:750 g)</v>
          </cell>
          <cell r="C484" t="str">
            <v>1 PAQUETE</v>
          </cell>
          <cell r="D484" t="str">
            <v>25/02/2020</v>
          </cell>
          <cell r="E484">
            <v>11682</v>
          </cell>
        </row>
        <row r="485">
          <cell r="A485" t="str">
            <v>102000038</v>
          </cell>
          <cell r="B485" t="str">
            <v>TE VERDE DE MANZANA (CAJA: 8 PAQ)</v>
          </cell>
          <cell r="C485" t="str">
            <v>1 CAJA</v>
          </cell>
          <cell r="D485" t="str">
            <v>18/02/2020</v>
          </cell>
          <cell r="E485">
            <v>11819</v>
          </cell>
        </row>
        <row r="486">
          <cell r="A486" t="str">
            <v>10100108</v>
          </cell>
          <cell r="B486" t="str">
            <v>EQUAL SUCRALOSA (CAJA=2000/UND)</v>
          </cell>
          <cell r="C486" t="str">
            <v>1 PAQUETE</v>
          </cell>
          <cell r="D486" t="str">
            <v>03/03/2020</v>
          </cell>
          <cell r="E486">
            <v>11945.85</v>
          </cell>
        </row>
        <row r="487">
          <cell r="A487" t="str">
            <v>0510188</v>
          </cell>
          <cell r="B487" t="str">
            <v>HARINA ESTANDAR  ( 25 KG )</v>
          </cell>
          <cell r="C487" t="str">
            <v>1 SACO</v>
          </cell>
          <cell r="D487" t="str">
            <v>27/02/2020</v>
          </cell>
          <cell r="E487">
            <v>12100</v>
          </cell>
          <cell r="F487" t="str">
            <v>Gramo</v>
          </cell>
          <cell r="G487">
            <v>0.48399999999999999</v>
          </cell>
        </row>
        <row r="488">
          <cell r="A488" t="str">
            <v>112000047</v>
          </cell>
          <cell r="B488" t="str">
            <v>EMPANIZADOR PANKO (PAQ: 3 K)</v>
          </cell>
          <cell r="C488" t="str">
            <v>1 PAQUETE</v>
          </cell>
          <cell r="D488" t="str">
            <v>28/02/2020</v>
          </cell>
          <cell r="E488">
            <v>12119</v>
          </cell>
        </row>
        <row r="489">
          <cell r="A489" t="str">
            <v>1200003</v>
          </cell>
          <cell r="B489" t="str">
            <v>CHOCOLATE OSCURO BLOSSOMS (KILO)</v>
          </cell>
          <cell r="C489" t="str">
            <v xml:space="preserve">1 KILO </v>
          </cell>
          <cell r="D489" t="str">
            <v>05/03/2020</v>
          </cell>
          <cell r="E489">
            <v>12324</v>
          </cell>
          <cell r="F489" t="str">
            <v>Gramo</v>
          </cell>
          <cell r="G489">
            <v>12.324</v>
          </cell>
        </row>
        <row r="490">
          <cell r="A490" t="str">
            <v>410118</v>
          </cell>
          <cell r="B490" t="str">
            <v>BRILLO GLIT (UND:5 KILOS)</v>
          </cell>
          <cell r="C490" t="str">
            <v>1 UND</v>
          </cell>
          <cell r="D490" t="str">
            <v>22/02/2020</v>
          </cell>
          <cell r="E490">
            <v>12360</v>
          </cell>
          <cell r="F490" t="str">
            <v>Gramo</v>
          </cell>
          <cell r="G490">
            <v>2.472</v>
          </cell>
        </row>
        <row r="491">
          <cell r="A491" t="str">
            <v>111000002</v>
          </cell>
          <cell r="B491" t="str">
            <v xml:space="preserve">ACEITE DE SESAMO (UND:1656 ml) </v>
          </cell>
          <cell r="C491" t="str">
            <v>1 UND</v>
          </cell>
          <cell r="D491" t="str">
            <v>21/01/2020</v>
          </cell>
          <cell r="E491">
            <v>12852.8</v>
          </cell>
          <cell r="F491" t="str">
            <v>Mililitro</v>
          </cell>
          <cell r="G491">
            <v>7.7613526570048306</v>
          </cell>
        </row>
        <row r="492">
          <cell r="A492" t="str">
            <v>1210495</v>
          </cell>
          <cell r="B492" t="str">
            <v>CHOCOLATE TRIANGULO CURVO (CAJA:150 UND)</v>
          </cell>
          <cell r="C492" t="str">
            <v>1 CAJA</v>
          </cell>
          <cell r="D492" t="str">
            <v>02/03/2020</v>
          </cell>
          <cell r="E492">
            <v>12946</v>
          </cell>
          <cell r="F492" t="str">
            <v>UND</v>
          </cell>
          <cell r="G492">
            <v>86.306666666666672</v>
          </cell>
        </row>
        <row r="493">
          <cell r="A493" t="str">
            <v>120000012</v>
          </cell>
          <cell r="B493" t="str">
            <v>ARO CHOCOLATE BLANCO (CAJA:150 UND)</v>
          </cell>
          <cell r="C493" t="str">
            <v>1 CAJA</v>
          </cell>
          <cell r="D493" t="str">
            <v>03/12/2019</v>
          </cell>
          <cell r="E493">
            <v>12951</v>
          </cell>
        </row>
        <row r="494">
          <cell r="A494" t="str">
            <v>20300007</v>
          </cell>
          <cell r="B494" t="str">
            <v>CUCHARA CHOCOLATE BELGA (CAJA:20 UND)</v>
          </cell>
          <cell r="C494" t="str">
            <v>1 CAJA</v>
          </cell>
          <cell r="D494" t="str">
            <v>08/02/2020</v>
          </cell>
          <cell r="E494">
            <v>13000</v>
          </cell>
        </row>
        <row r="495">
          <cell r="A495" t="str">
            <v>11200064</v>
          </cell>
          <cell r="B495" t="str">
            <v>HARINA TRIGO NACARINA (SACO: 25 K)</v>
          </cell>
          <cell r="C495" t="str">
            <v>1 SACO</v>
          </cell>
          <cell r="D495" t="str">
            <v>29/02/2020</v>
          </cell>
          <cell r="E495">
            <v>13104</v>
          </cell>
          <cell r="F495" t="str">
            <v>Gramo</v>
          </cell>
          <cell r="G495">
            <v>0.52415999999999996</v>
          </cell>
        </row>
        <row r="496">
          <cell r="A496" t="str">
            <v>1730660</v>
          </cell>
          <cell r="B496" t="str">
            <v>QUESO CREMA PANADERO (CAJA: 5 K)</v>
          </cell>
          <cell r="C496" t="str">
            <v>1 CAJA</v>
          </cell>
          <cell r="D496" t="str">
            <v>03/03/2020</v>
          </cell>
          <cell r="E496">
            <v>13214.31</v>
          </cell>
          <cell r="F496" t="str">
            <v>Gramo</v>
          </cell>
          <cell r="G496">
            <v>2.642862</v>
          </cell>
        </row>
        <row r="497">
          <cell r="A497" t="str">
            <v>105000047</v>
          </cell>
          <cell r="B497" t="str">
            <v>CLAVOS DE OLOR MOLIDO (UND:453G)</v>
          </cell>
          <cell r="C497" t="str">
            <v>1 UND</v>
          </cell>
          <cell r="D497" t="str">
            <v>10/12/2019</v>
          </cell>
          <cell r="E497">
            <v>13229</v>
          </cell>
          <cell r="F497" t="str">
            <v>Gramo</v>
          </cell>
          <cell r="G497">
            <v>29.203090507726269</v>
          </cell>
        </row>
        <row r="498">
          <cell r="A498" t="str">
            <v>1210402</v>
          </cell>
          <cell r="B498" t="str">
            <v>MARGARINA BLOQUE 12.5 KILOS</v>
          </cell>
          <cell r="C498" t="str">
            <v>1 CAJA</v>
          </cell>
          <cell r="D498" t="str">
            <v>16/01/2020</v>
          </cell>
          <cell r="E498">
            <v>13472</v>
          </cell>
        </row>
        <row r="499">
          <cell r="A499" t="str">
            <v>10700023</v>
          </cell>
          <cell r="B499" t="str">
            <v>CHOCOLATE CORAZON GRANDE ORO(CJ:215 UND)</v>
          </cell>
          <cell r="C499" t="str">
            <v>1 CAJA</v>
          </cell>
          <cell r="D499" t="str">
            <v>03/12/2019</v>
          </cell>
          <cell r="E499">
            <v>13772.9</v>
          </cell>
        </row>
        <row r="500">
          <cell r="A500" t="str">
            <v>10100174</v>
          </cell>
          <cell r="B500" t="str">
            <v>FRIJOL NEGRO TIO PELON (BULTO:15/800 G)</v>
          </cell>
          <cell r="C500" t="str">
            <v>1 BULTO</v>
          </cell>
          <cell r="D500" t="str">
            <v>03/03/2020</v>
          </cell>
          <cell r="E500">
            <v>13881</v>
          </cell>
          <cell r="F500" t="str">
            <v>Gramo</v>
          </cell>
          <cell r="G500">
            <v>1.1567499999999999</v>
          </cell>
        </row>
        <row r="501">
          <cell r="A501" t="str">
            <v>10100049</v>
          </cell>
          <cell r="B501" t="str">
            <v>ACEITE LIBRE TRANS INOLAS (UND:15.88 L)</v>
          </cell>
          <cell r="C501" t="str">
            <v>1 UND</v>
          </cell>
          <cell r="D501" t="str">
            <v>03/03/2020</v>
          </cell>
          <cell r="E501">
            <v>14124</v>
          </cell>
          <cell r="F501" t="str">
            <v>Mililitro</v>
          </cell>
          <cell r="G501">
            <v>0.88942065491183875</v>
          </cell>
        </row>
        <row r="502">
          <cell r="A502" t="str">
            <v>1012341</v>
          </cell>
          <cell r="B502" t="str">
            <v>BAILEYS (BOTELLA=1 LITRO)</v>
          </cell>
          <cell r="C502" t="str">
            <v>1 UND</v>
          </cell>
          <cell r="D502" t="str">
            <v>12/02/2020</v>
          </cell>
          <cell r="E502">
            <v>14188</v>
          </cell>
        </row>
        <row r="503">
          <cell r="A503" t="str">
            <v>10100183</v>
          </cell>
          <cell r="B503" t="str">
            <v>ADEREZO MAYONESA (UND 10 K)</v>
          </cell>
          <cell r="C503" t="str">
            <v>1 UND</v>
          </cell>
          <cell r="D503" t="str">
            <v>18/02/2020</v>
          </cell>
          <cell r="E503">
            <v>14751</v>
          </cell>
        </row>
        <row r="504">
          <cell r="A504" t="str">
            <v>10100206</v>
          </cell>
          <cell r="B504" t="str">
            <v>SUSTITUTO SUCRALOSA (PAQ: 5 KILOS)</v>
          </cell>
          <cell r="C504" t="str">
            <v>1 PAQUETE</v>
          </cell>
          <cell r="D504" t="str">
            <v>17/02/2020</v>
          </cell>
          <cell r="E504">
            <v>14914.13</v>
          </cell>
        </row>
        <row r="505">
          <cell r="A505" t="str">
            <v>1210494</v>
          </cell>
          <cell r="B505" t="str">
            <v>CUCHARA CHOCOLATE (CAJA: 25 UND)</v>
          </cell>
          <cell r="C505" t="str">
            <v>1 CAJA</v>
          </cell>
          <cell r="D505" t="str">
            <v>28/02/2020</v>
          </cell>
          <cell r="E505">
            <v>14975</v>
          </cell>
        </row>
        <row r="506">
          <cell r="A506" t="str">
            <v>1210387</v>
          </cell>
          <cell r="B506" t="str">
            <v>COBERTURA CHOCOLATE BLANCO (PAQ:5 K)</v>
          </cell>
          <cell r="C506" t="str">
            <v>1 PAQUETE</v>
          </cell>
          <cell r="D506" t="str">
            <v>03/03/2020</v>
          </cell>
          <cell r="E506">
            <v>15065</v>
          </cell>
          <cell r="F506" t="str">
            <v>Gramo</v>
          </cell>
          <cell r="G506">
            <v>3.0129999999999999</v>
          </cell>
        </row>
        <row r="507">
          <cell r="A507" t="str">
            <v>01011701</v>
          </cell>
          <cell r="B507" t="str">
            <v>PAPA PREFRITA CORTE RECTO 5/16" NG 6/5 L</v>
          </cell>
          <cell r="C507" t="str">
            <v>1 CAJA</v>
          </cell>
          <cell r="D507" t="str">
            <v>10/12/2019</v>
          </cell>
          <cell r="E507">
            <v>15161</v>
          </cell>
        </row>
        <row r="508">
          <cell r="A508" t="str">
            <v>10700015</v>
          </cell>
          <cell r="B508" t="str">
            <v>CHOCOLATE ESTRELLA DORADA (CAJA:215 UN)</v>
          </cell>
          <cell r="C508" t="str">
            <v>1 CAJA</v>
          </cell>
          <cell r="D508" t="str">
            <v>28/02/2020</v>
          </cell>
          <cell r="E508">
            <v>15265</v>
          </cell>
        </row>
        <row r="509">
          <cell r="A509" t="str">
            <v>10100050</v>
          </cell>
          <cell r="B509" t="str">
            <v>ACEITE CAPULLO RBD (UND:17  L)</v>
          </cell>
          <cell r="C509" t="str">
            <v>1 UND</v>
          </cell>
          <cell r="D509" t="str">
            <v>03/03/2020</v>
          </cell>
          <cell r="E509">
            <v>15310</v>
          </cell>
          <cell r="F509" t="str">
            <v>Mililitro</v>
          </cell>
          <cell r="G509">
            <v>0.90058823529411769</v>
          </cell>
        </row>
        <row r="510">
          <cell r="A510" t="str">
            <v>10100068</v>
          </cell>
          <cell r="B510" t="str">
            <v>PAPITA RAYADA (PAQ:1.5 KILOS)</v>
          </cell>
          <cell r="C510" t="str">
            <v>1 PAQUETE</v>
          </cell>
          <cell r="D510" t="str">
            <v>29/02/2020</v>
          </cell>
          <cell r="E510">
            <v>15600</v>
          </cell>
        </row>
        <row r="511">
          <cell r="A511" t="str">
            <v>710295</v>
          </cell>
          <cell r="B511" t="str">
            <v>BARQUILLO VETEAD CHOCOLAT (CAJA:420 UND)</v>
          </cell>
          <cell r="C511" t="str">
            <v xml:space="preserve">1 CAJA </v>
          </cell>
          <cell r="D511" t="str">
            <v>07/01/2020</v>
          </cell>
          <cell r="E511">
            <v>15740</v>
          </cell>
          <cell r="F511" t="str">
            <v>UND</v>
          </cell>
          <cell r="G511">
            <v>37.476190476190474</v>
          </cell>
        </row>
        <row r="512">
          <cell r="A512" t="str">
            <v>1210441</v>
          </cell>
          <cell r="B512" t="str">
            <v>HUEVO LIQUIDO REFRIG (UND:13.6 K)</v>
          </cell>
          <cell r="C512" t="str">
            <v>1 UND</v>
          </cell>
          <cell r="D512" t="str">
            <v>03/03/2020</v>
          </cell>
          <cell r="E512">
            <v>15814</v>
          </cell>
          <cell r="F512" t="str">
            <v>Gramo</v>
          </cell>
          <cell r="G512">
            <v>1.1627941176470589</v>
          </cell>
        </row>
        <row r="513">
          <cell r="A513" t="str">
            <v>10100171</v>
          </cell>
          <cell r="B513" t="str">
            <v>LECHE CONDENSADA COCINADA ( PAQ:4 K)</v>
          </cell>
          <cell r="C513" t="str">
            <v>1 PAQUETE</v>
          </cell>
          <cell r="D513" t="str">
            <v>15/02/2020</v>
          </cell>
          <cell r="E513">
            <v>16180</v>
          </cell>
        </row>
        <row r="514">
          <cell r="A514" t="str">
            <v>1210396</v>
          </cell>
          <cell r="B514" t="str">
            <v>CHOCOLATE LECHE BELCOLADE (PAQ:2.5 K)</v>
          </cell>
          <cell r="C514" t="str">
            <v>1 PAQUETE</v>
          </cell>
          <cell r="D514" t="str">
            <v>22/02/2020</v>
          </cell>
          <cell r="E514">
            <v>16260</v>
          </cell>
          <cell r="F514" t="str">
            <v>Gramo</v>
          </cell>
          <cell r="G514">
            <v>6.5039999999999996</v>
          </cell>
        </row>
        <row r="515">
          <cell r="A515" t="str">
            <v>10100278</v>
          </cell>
          <cell r="B515" t="str">
            <v>ARROZ LUISINA 95% PRECOCIDO (BULTO:20 K)</v>
          </cell>
          <cell r="C515" t="str">
            <v>1 BULTO</v>
          </cell>
          <cell r="D515" t="str">
            <v>20/02/2020</v>
          </cell>
          <cell r="E515">
            <v>16394</v>
          </cell>
          <cell r="F515" t="str">
            <v>Gramo</v>
          </cell>
          <cell r="G515">
            <v>0.81969999999999998</v>
          </cell>
        </row>
        <row r="516">
          <cell r="A516" t="str">
            <v>510151</v>
          </cell>
          <cell r="B516" t="str">
            <v>ARROZ TIO PELON 96% (BULTO:12/1.8 K)</v>
          </cell>
          <cell r="C516" t="str">
            <v>1 BULTO</v>
          </cell>
          <cell r="D516" t="str">
            <v>29/02/2020</v>
          </cell>
          <cell r="E516">
            <v>16771</v>
          </cell>
        </row>
        <row r="517">
          <cell r="A517" t="str">
            <v>102000036</v>
          </cell>
          <cell r="B517" t="str">
            <v>CAFE INSTANTANEO CLASICO (UND:1 K)</v>
          </cell>
          <cell r="C517" t="str">
            <v>1 UND</v>
          </cell>
          <cell r="D517" t="str">
            <v>14/12/2019</v>
          </cell>
          <cell r="E517">
            <v>16976</v>
          </cell>
          <cell r="F517" t="str">
            <v>Gramo</v>
          </cell>
          <cell r="G517">
            <v>16.975999999999999</v>
          </cell>
        </row>
        <row r="518">
          <cell r="A518" t="str">
            <v>1010008</v>
          </cell>
          <cell r="B518" t="str">
            <v>VINAGRE BALSAMICO ROLAND (UND:5 L)</v>
          </cell>
          <cell r="C518" t="str">
            <v>1 UND</v>
          </cell>
          <cell r="D518" t="str">
            <v>28/01/2020</v>
          </cell>
          <cell r="E518">
            <v>17000</v>
          </cell>
          <cell r="F518" t="str">
            <v>Mililitro</v>
          </cell>
          <cell r="G518">
            <v>3.4</v>
          </cell>
        </row>
        <row r="519">
          <cell r="A519" t="str">
            <v>10100197</v>
          </cell>
          <cell r="B519" t="str">
            <v>ARROZ PRECOC 95%TIO PELON (BULT:10/1.8K)</v>
          </cell>
          <cell r="C519" t="str">
            <v>1 BULTO</v>
          </cell>
          <cell r="D519" t="str">
            <v>16/01/2020</v>
          </cell>
          <cell r="E519">
            <v>17137</v>
          </cell>
        </row>
        <row r="520">
          <cell r="A520" t="str">
            <v>0510287</v>
          </cell>
          <cell r="B520" t="str">
            <v>PREMEZCLA TEGRAL CHIFON (SACO:10K)</v>
          </cell>
          <cell r="C520" t="str">
            <v>1 SACO</v>
          </cell>
          <cell r="D520" t="str">
            <v>29/02/2020</v>
          </cell>
          <cell r="E520">
            <v>17300</v>
          </cell>
        </row>
        <row r="521">
          <cell r="A521" t="str">
            <v>1210394</v>
          </cell>
          <cell r="B521" t="str">
            <v>CHOCOLATE BLANCO BELCOLAD (PAQ:2.5 K)</v>
          </cell>
          <cell r="C521" t="str">
            <v>1 PAQ</v>
          </cell>
          <cell r="D521" t="str">
            <v>27/02/2020</v>
          </cell>
          <cell r="E521">
            <v>17400</v>
          </cell>
        </row>
        <row r="522">
          <cell r="A522" t="str">
            <v>0510185</v>
          </cell>
          <cell r="B522" t="str">
            <v>FRUTA CONFITADA (CAJA:10 K)</v>
          </cell>
          <cell r="C522" t="str">
            <v>1 CAJA</v>
          </cell>
          <cell r="D522" t="str">
            <v>27/02/2020</v>
          </cell>
          <cell r="E522">
            <v>17420</v>
          </cell>
        </row>
        <row r="523">
          <cell r="A523" t="str">
            <v>11300011</v>
          </cell>
          <cell r="B523" t="str">
            <v>YEMA DE HUEVO (UND: 8.34 K)</v>
          </cell>
          <cell r="C523" t="str">
            <v>1 UND</v>
          </cell>
          <cell r="D523" t="str">
            <v>05/03/2020</v>
          </cell>
          <cell r="E523">
            <v>17514</v>
          </cell>
        </row>
        <row r="524">
          <cell r="A524" t="str">
            <v>1110419</v>
          </cell>
          <cell r="B524" t="str">
            <v>ANCHOAS FILETAEADAS EN ACEITE (UND:700g)</v>
          </cell>
          <cell r="C524" t="str">
            <v>1 UND</v>
          </cell>
          <cell r="D524" t="str">
            <v>11/02/2020</v>
          </cell>
          <cell r="E524">
            <v>17710</v>
          </cell>
        </row>
        <row r="525">
          <cell r="A525" t="str">
            <v>1012301</v>
          </cell>
          <cell r="B525" t="str">
            <v>VINO TINTO PETER CABERNET SAUV (UND:5L)</v>
          </cell>
          <cell r="C525" t="str">
            <v>1 UND</v>
          </cell>
          <cell r="D525" t="str">
            <v>21/02/2020</v>
          </cell>
          <cell r="E525">
            <v>17839.66</v>
          </cell>
          <cell r="F525" t="str">
            <v>Mililitro</v>
          </cell>
          <cell r="G525">
            <v>3.5679319999999999</v>
          </cell>
        </row>
        <row r="526">
          <cell r="A526" t="str">
            <v>1012431</v>
          </cell>
          <cell r="B526" t="str">
            <v>VINO BLANCO PETER CABERNET SAU (UND:5L)</v>
          </cell>
          <cell r="C526" t="str">
            <v>1 UND</v>
          </cell>
          <cell r="D526" t="str">
            <v>28/02/2020</v>
          </cell>
          <cell r="E526">
            <v>17839.66</v>
          </cell>
          <cell r="F526" t="str">
            <v>Mililitro</v>
          </cell>
          <cell r="G526">
            <v>3.5679319999999999</v>
          </cell>
        </row>
        <row r="527">
          <cell r="A527" t="str">
            <v>107000015</v>
          </cell>
          <cell r="B527" t="str">
            <v>PALITO CHOCOLATE OSCURO (CAJA:110 UND)</v>
          </cell>
          <cell r="C527" t="str">
            <v>1 CAJA</v>
          </cell>
          <cell r="D527" t="str">
            <v>30/11/2019</v>
          </cell>
          <cell r="E527">
            <v>17858</v>
          </cell>
        </row>
        <row r="528">
          <cell r="A528" t="str">
            <v>1020000471</v>
          </cell>
          <cell r="B528" t="str">
            <v>AGUA PERRIER (CAJA:24 UND)</v>
          </cell>
          <cell r="C528" t="str">
            <v>1 CAJA</v>
          </cell>
          <cell r="D528" t="str">
            <v>27/01/2020</v>
          </cell>
          <cell r="E528">
            <v>17899.900000000001</v>
          </cell>
        </row>
        <row r="529">
          <cell r="A529" t="str">
            <v>1210461</v>
          </cell>
          <cell r="B529" t="str">
            <v>CHOCOLATE TULIPAN MARMOL (CAJA:150 UND)</v>
          </cell>
          <cell r="C529" t="str">
            <v xml:space="preserve">1 CAJA </v>
          </cell>
          <cell r="D529" t="str">
            <v>28/02/2020</v>
          </cell>
          <cell r="E529">
            <v>18000</v>
          </cell>
        </row>
        <row r="530">
          <cell r="A530" t="str">
            <v>10700032</v>
          </cell>
          <cell r="B530" t="str">
            <v>MERENGUE  POLVO MERCK BAKE (PAQ:2.27 K)</v>
          </cell>
          <cell r="C530" t="str">
            <v>1 PAQUETE</v>
          </cell>
          <cell r="D530" t="str">
            <v>01/02/2020</v>
          </cell>
          <cell r="E530">
            <v>18350</v>
          </cell>
          <cell r="F530" t="str">
            <v>Gramo</v>
          </cell>
          <cell r="G530">
            <v>8.0837004405286343</v>
          </cell>
        </row>
        <row r="531">
          <cell r="A531" t="str">
            <v>0310115</v>
          </cell>
          <cell r="B531" t="str">
            <v>QUESO CHEDDAR BLOCK (UND:2 kg)</v>
          </cell>
          <cell r="C531" t="str">
            <v>1 UND</v>
          </cell>
          <cell r="D531" t="str">
            <v>27/02/2020</v>
          </cell>
          <cell r="E531">
            <v>18641</v>
          </cell>
        </row>
        <row r="532">
          <cell r="A532" t="str">
            <v>10100162</v>
          </cell>
          <cell r="B532" t="str">
            <v>ARROZ BASMATI (PAQ:11 LB)</v>
          </cell>
          <cell r="C532" t="str">
            <v>1 PAQUETE</v>
          </cell>
          <cell r="D532" t="str">
            <v>09/12/2019</v>
          </cell>
          <cell r="E532">
            <v>19119</v>
          </cell>
        </row>
        <row r="533">
          <cell r="A533" t="str">
            <v>118000014</v>
          </cell>
          <cell r="B533" t="str">
            <v>SABORIZANTE MENTA (KILO)</v>
          </cell>
          <cell r="C533" t="str">
            <v xml:space="preserve">1 KILO </v>
          </cell>
          <cell r="D533" t="str">
            <v>07/02/2020</v>
          </cell>
          <cell r="E533">
            <v>19158.57</v>
          </cell>
          <cell r="F533" t="str">
            <v>Gramo</v>
          </cell>
          <cell r="G533">
            <v>19.158570000000001</v>
          </cell>
        </row>
        <row r="534">
          <cell r="A534" t="str">
            <v>11800012</v>
          </cell>
          <cell r="B534" t="str">
            <v>SABORIZANTE NARANJA A-0191 KILO</v>
          </cell>
          <cell r="C534" t="str">
            <v xml:space="preserve">1 KILO   </v>
          </cell>
          <cell r="D534" t="str">
            <v>17/12/2019</v>
          </cell>
          <cell r="E534">
            <v>19177.54</v>
          </cell>
        </row>
        <row r="535">
          <cell r="A535" t="str">
            <v>109000124</v>
          </cell>
          <cell r="B535" t="str">
            <v>PITAHAYA INPAK (PAQ: 3 KILOS)</v>
          </cell>
          <cell r="C535" t="str">
            <v>1 PAQUETE</v>
          </cell>
          <cell r="D535" t="str">
            <v>30/01/2020</v>
          </cell>
          <cell r="E535">
            <v>19402</v>
          </cell>
        </row>
        <row r="536">
          <cell r="A536" t="str">
            <v>510301</v>
          </cell>
          <cell r="B536" t="str">
            <v>AZUCAR BLANCO INDUSTRIAL (SACO:50 K)</v>
          </cell>
          <cell r="C536" t="str">
            <v>1 SACO</v>
          </cell>
          <cell r="D536" t="str">
            <v>03/03/2020</v>
          </cell>
          <cell r="E536">
            <v>19517</v>
          </cell>
          <cell r="F536" t="str">
            <v>Gramo</v>
          </cell>
          <cell r="G536">
            <v>0.39034000000000002</v>
          </cell>
        </row>
        <row r="537">
          <cell r="A537" t="str">
            <v>10100255</v>
          </cell>
          <cell r="B537" t="str">
            <v>PAPA GAJO CASCARA HIERBA (CAJA:4/2.5k)</v>
          </cell>
          <cell r="C537" t="str">
            <v>1 CAJA</v>
          </cell>
          <cell r="D537" t="str">
            <v>19/12/2019</v>
          </cell>
          <cell r="E537">
            <v>19540</v>
          </cell>
        </row>
        <row r="538">
          <cell r="A538" t="str">
            <v>11400042</v>
          </cell>
          <cell r="B538" t="str">
            <v>BEBIDA ALMENDRA VAINILLA(CAJA=24 UND 236</v>
          </cell>
          <cell r="C538" t="str">
            <v>1 CAJA</v>
          </cell>
          <cell r="D538" t="str">
            <v>29/11/2019</v>
          </cell>
          <cell r="E538">
            <v>19667</v>
          </cell>
        </row>
        <row r="539">
          <cell r="A539" t="str">
            <v>1070002</v>
          </cell>
          <cell r="B539" t="str">
            <v>CHOCOLATE TRIAN OLEA  PEQ (CAJA:250 UND)</v>
          </cell>
          <cell r="C539" t="str">
            <v>1 CAJA</v>
          </cell>
          <cell r="D539" t="str">
            <v>21/02/2020</v>
          </cell>
          <cell r="E539">
            <v>20768</v>
          </cell>
        </row>
        <row r="540">
          <cell r="A540" t="str">
            <v>11400046</v>
          </cell>
          <cell r="B540" t="str">
            <v>LECHE CONDENSADA (PAQ:11 K)</v>
          </cell>
          <cell r="C540" t="str">
            <v>1 PAQUETE</v>
          </cell>
          <cell r="D540" t="str">
            <v>03/03/2020</v>
          </cell>
          <cell r="E540">
            <v>21499</v>
          </cell>
          <cell r="F540" t="str">
            <v>Gramo</v>
          </cell>
          <cell r="G540">
            <v>1.9544545454545454</v>
          </cell>
        </row>
        <row r="541">
          <cell r="A541" t="str">
            <v>510302</v>
          </cell>
          <cell r="B541" t="str">
            <v>AZUCAR REFINO INDUSTRIAL (SACO:50 K)</v>
          </cell>
          <cell r="C541" t="str">
            <v>1 SACO</v>
          </cell>
          <cell r="D541" t="str">
            <v>25/02/2020</v>
          </cell>
          <cell r="E541">
            <v>21982</v>
          </cell>
        </row>
        <row r="542">
          <cell r="A542" t="str">
            <v>11200048</v>
          </cell>
          <cell r="B542" t="str">
            <v>PREMEZCLA TEGRAL QQ CHOCOLATE (SACO:20K)</v>
          </cell>
          <cell r="C542" t="str">
            <v>1 SACO</v>
          </cell>
          <cell r="D542" t="str">
            <v>02/03/2020</v>
          </cell>
          <cell r="E542">
            <v>22000</v>
          </cell>
        </row>
        <row r="543">
          <cell r="A543" t="str">
            <v>10100245</v>
          </cell>
          <cell r="B543" t="str">
            <v>PREMEZCLA VAINILLA RICHS (SACO:30 LBS)</v>
          </cell>
          <cell r="C543" t="str">
            <v>1 SACO</v>
          </cell>
          <cell r="D543" t="str">
            <v>29/02/2020</v>
          </cell>
          <cell r="E543">
            <v>22255</v>
          </cell>
          <cell r="F543" t="str">
            <v>Gramo</v>
          </cell>
          <cell r="G543">
            <v>1.635435038212816</v>
          </cell>
        </row>
        <row r="544">
          <cell r="A544" t="str">
            <v>1210386</v>
          </cell>
          <cell r="B544" t="str">
            <v>COBERTURA CHOCOLATE LECHE (PAQ:5 K)</v>
          </cell>
          <cell r="C544" t="str">
            <v>1 PAQUETE</v>
          </cell>
          <cell r="D544" t="str">
            <v>15/02/2020</v>
          </cell>
          <cell r="E544">
            <v>22340</v>
          </cell>
          <cell r="F544" t="str">
            <v>Gramo</v>
          </cell>
          <cell r="G544">
            <v>4.468</v>
          </cell>
        </row>
        <row r="545">
          <cell r="A545" t="str">
            <v>1210401</v>
          </cell>
          <cell r="B545" t="str">
            <v>MANTECA MAX PAN (CAJA:25 k)</v>
          </cell>
          <cell r="C545" t="str">
            <v>1 CAJA</v>
          </cell>
          <cell r="D545" t="str">
            <v>03/03/2020</v>
          </cell>
          <cell r="E545">
            <v>22352</v>
          </cell>
          <cell r="F545" t="str">
            <v>Gramo</v>
          </cell>
          <cell r="G545">
            <v>0.89407999999999999</v>
          </cell>
        </row>
        <row r="546">
          <cell r="A546" t="str">
            <v>1210464</v>
          </cell>
          <cell r="B546" t="str">
            <v>CHOCOLATE TRIAN OLEAJE GRD (CAJA:200 UN)</v>
          </cell>
          <cell r="C546" t="str">
            <v>1 CAJA</v>
          </cell>
          <cell r="D546" t="str">
            <v>28/02/2020</v>
          </cell>
          <cell r="E546">
            <v>23000</v>
          </cell>
          <cell r="F546" t="str">
            <v>und</v>
          </cell>
          <cell r="G546">
            <v>115</v>
          </cell>
        </row>
        <row r="547">
          <cell r="A547" t="str">
            <v>12300004</v>
          </cell>
          <cell r="B547" t="str">
            <v>PURE PAPA KFC 24/22.05OZ (CAJA)</v>
          </cell>
          <cell r="C547" t="str">
            <v>1 CAJA</v>
          </cell>
          <cell r="D547" t="str">
            <v>06/02/2020</v>
          </cell>
          <cell r="E547">
            <v>23715</v>
          </cell>
        </row>
        <row r="548">
          <cell r="A548" t="str">
            <v>310218</v>
          </cell>
          <cell r="B548" t="str">
            <v>LA LECHERA TRES LECHES (CAJA:12 UND)</v>
          </cell>
          <cell r="C548" t="str">
            <v>1 CAJA</v>
          </cell>
          <cell r="D548" t="str">
            <v>27/02/2020</v>
          </cell>
          <cell r="E548">
            <v>24367</v>
          </cell>
        </row>
        <row r="549">
          <cell r="A549" t="str">
            <v>0510258</v>
          </cell>
          <cell r="B549" t="str">
            <v>PREMEZCLA MOIST PUDIN CAKE (SACO:24.7 K)</v>
          </cell>
          <cell r="C549" t="str">
            <v>1 SACO</v>
          </cell>
          <cell r="D549" t="str">
            <v>15/02/2020</v>
          </cell>
          <cell r="E549">
            <v>24875</v>
          </cell>
          <cell r="F549" t="str">
            <v>Gramo</v>
          </cell>
          <cell r="G549">
            <v>1.0070850202429149</v>
          </cell>
        </row>
        <row r="550">
          <cell r="A550" t="str">
            <v>1700001</v>
          </cell>
          <cell r="B550" t="str">
            <v>SABORIZANTE LIMON ESPAÑA (KILO)</v>
          </cell>
          <cell r="C550" t="str">
            <v>1 KILO</v>
          </cell>
          <cell r="D550" t="str">
            <v>26/02/2020</v>
          </cell>
          <cell r="E550">
            <v>24998.58</v>
          </cell>
        </row>
        <row r="551">
          <cell r="A551" t="str">
            <v>11200067</v>
          </cell>
          <cell r="B551" t="str">
            <v>PREMEZCLA PUDING CAKE PILLSB (SC:22.6 K)</v>
          </cell>
          <cell r="C551" t="str">
            <v>1 SACO</v>
          </cell>
          <cell r="D551" t="str">
            <v>24/02/2020</v>
          </cell>
          <cell r="E551">
            <v>25120</v>
          </cell>
        </row>
        <row r="552">
          <cell r="A552" t="str">
            <v>10100251</v>
          </cell>
          <cell r="B552" t="str">
            <v>PULPA AGUACATE (CAJA:4 PAQ)</v>
          </cell>
          <cell r="C552" t="str">
            <v>1 CAJA</v>
          </cell>
          <cell r="D552" t="str">
            <v>08/11/2019</v>
          </cell>
          <cell r="E552">
            <v>25127</v>
          </cell>
        </row>
        <row r="553">
          <cell r="A553" t="str">
            <v>10700031</v>
          </cell>
          <cell r="B553" t="str">
            <v>WHITE SHINY (UND:10.43 K)</v>
          </cell>
          <cell r="C553" t="str">
            <v>1 UND</v>
          </cell>
          <cell r="D553" t="str">
            <v>23/11/2019</v>
          </cell>
          <cell r="E553">
            <v>25707</v>
          </cell>
        </row>
        <row r="554">
          <cell r="A554" t="str">
            <v>11200043</v>
          </cell>
          <cell r="B554" t="str">
            <v>PREMEZCLA TEGRAL QQ VAINILLA (SACO:25K)</v>
          </cell>
          <cell r="C554" t="str">
            <v>1 SACO</v>
          </cell>
          <cell r="D554" t="str">
            <v>15/02/2020</v>
          </cell>
          <cell r="E554">
            <v>25750</v>
          </cell>
        </row>
        <row r="555">
          <cell r="A555" t="str">
            <v>720761</v>
          </cell>
          <cell r="B555" t="str">
            <v>RELLENO MANZANA CUBITOS (UND:19 LB)</v>
          </cell>
          <cell r="C555" t="str">
            <v>1 UND</v>
          </cell>
          <cell r="D555" t="str">
            <v>08/02/2020</v>
          </cell>
          <cell r="E555">
            <v>26082</v>
          </cell>
        </row>
        <row r="556">
          <cell r="A556" t="str">
            <v>0510229</v>
          </cell>
          <cell r="B556" t="str">
            <v>HARINA NACARINA (SACO: 50 K)</v>
          </cell>
          <cell r="C556" t="str">
            <v>1 SACO</v>
          </cell>
          <cell r="D556" t="str">
            <v>30/11/2019</v>
          </cell>
          <cell r="E556">
            <v>26207</v>
          </cell>
          <cell r="F556" t="str">
            <v>Gramo</v>
          </cell>
          <cell r="G556">
            <v>0.52414000000000005</v>
          </cell>
        </row>
        <row r="557">
          <cell r="A557" t="str">
            <v>10100237</v>
          </cell>
          <cell r="B557" t="str">
            <v>PREMEZCLA CHOCOLATE RICHS (SACO:30 LB)</v>
          </cell>
          <cell r="C557" t="str">
            <v>1 SACO</v>
          </cell>
          <cell r="D557" t="str">
            <v>29/02/2020</v>
          </cell>
          <cell r="E557">
            <v>26288</v>
          </cell>
          <cell r="F557" t="str">
            <v>Gramo</v>
          </cell>
          <cell r="G557">
            <v>1.9318048206937095</v>
          </cell>
        </row>
        <row r="558">
          <cell r="A558" t="str">
            <v>11400057</v>
          </cell>
          <cell r="B558" t="str">
            <v>MARGARINA INDUSTRIAL OLMECA (CAJA:25 K)</v>
          </cell>
          <cell r="C558" t="str">
            <v>1 CAJA</v>
          </cell>
          <cell r="D558" t="str">
            <v>15/02/2020</v>
          </cell>
          <cell r="E558">
            <v>26375</v>
          </cell>
        </row>
        <row r="559">
          <cell r="A559" t="str">
            <v>10100226</v>
          </cell>
          <cell r="B559" t="str">
            <v>PANKO COSTRA DE PAN (PAQ:20 LB)</v>
          </cell>
          <cell r="C559" t="str">
            <v>1 PAQUETE</v>
          </cell>
          <cell r="D559" t="str">
            <v>17/01/2020</v>
          </cell>
          <cell r="E559">
            <v>27173</v>
          </cell>
        </row>
        <row r="560">
          <cell r="A560" t="str">
            <v>0610250</v>
          </cell>
          <cell r="B560" t="str">
            <v>HOJUELA PURE PAPA (SACO:15 K)</v>
          </cell>
          <cell r="C560" t="str">
            <v xml:space="preserve">1 SACO </v>
          </cell>
          <cell r="D560" t="str">
            <v>17/02/2020</v>
          </cell>
          <cell r="E560">
            <v>27418.5</v>
          </cell>
          <cell r="F560" t="str">
            <v>Gramo</v>
          </cell>
          <cell r="G560">
            <v>1.8279000000000001</v>
          </cell>
        </row>
        <row r="561">
          <cell r="A561" t="str">
            <v>10100238</v>
          </cell>
          <cell r="B561" t="str">
            <v>COBERTURA DONA CHOCOLAT RICH (UND:23 LB)</v>
          </cell>
          <cell r="C561" t="str">
            <v>1 UND</v>
          </cell>
          <cell r="D561" t="str">
            <v>20/02/2020</v>
          </cell>
          <cell r="E561">
            <v>27540</v>
          </cell>
        </row>
        <row r="562">
          <cell r="A562" t="str">
            <v>10500001</v>
          </cell>
          <cell r="B562" t="str">
            <v>CLAVO DE OLOR MOLIDO KG</v>
          </cell>
          <cell r="C562" t="str">
            <v>1 KILO</v>
          </cell>
          <cell r="D562" t="str">
            <v>05/02/2020</v>
          </cell>
          <cell r="E562">
            <v>28940.63</v>
          </cell>
        </row>
        <row r="563">
          <cell r="A563" t="str">
            <v>510171</v>
          </cell>
          <cell r="B563" t="str">
            <v>CEREZA CONFITADA (CAJA:10 K)</v>
          </cell>
          <cell r="C563" t="str">
            <v>1 CAJA</v>
          </cell>
          <cell r="D563" t="str">
            <v>11/12/2019</v>
          </cell>
          <cell r="E563">
            <v>28950</v>
          </cell>
        </row>
        <row r="564">
          <cell r="A564" t="str">
            <v>0610236</v>
          </cell>
          <cell r="B564" t="str">
            <v>PIMIENTA NEGRA MOLIDA (PAQ: 5 K)</v>
          </cell>
          <cell r="C564" t="str">
            <v>1 PAQUETE</v>
          </cell>
          <cell r="D564" t="str">
            <v>18/02/2020</v>
          </cell>
          <cell r="E564">
            <v>29612.35</v>
          </cell>
          <cell r="F564" t="str">
            <v>Gramo</v>
          </cell>
          <cell r="G564">
            <v>5.9224699999999997</v>
          </cell>
        </row>
        <row r="565">
          <cell r="A565" t="str">
            <v>10700034</v>
          </cell>
          <cell r="B565" t="str">
            <v>MINI PERLAS COMBINADAS (CAJA: 312 UND)</v>
          </cell>
          <cell r="C565" t="str">
            <v>1 CAJA</v>
          </cell>
          <cell r="D565" t="str">
            <v>31/01/2020</v>
          </cell>
          <cell r="E565">
            <v>29635</v>
          </cell>
        </row>
        <row r="566">
          <cell r="A566" t="str">
            <v>1210393</v>
          </cell>
          <cell r="B566" t="str">
            <v>MARGARINA MULTIUSO (CAJA: 25 k)</v>
          </cell>
          <cell r="C566" t="str">
            <v>1 CAJA</v>
          </cell>
          <cell r="D566" t="str">
            <v>02/03/2020</v>
          </cell>
          <cell r="E566">
            <v>29639</v>
          </cell>
          <cell r="F566" t="str">
            <v>Gramo</v>
          </cell>
          <cell r="G566">
            <v>1.1855599999999999</v>
          </cell>
        </row>
        <row r="567">
          <cell r="A567" t="str">
            <v>10100220</v>
          </cell>
          <cell r="B567" t="str">
            <v>SALSA POLLO ROSTIZ GRIFFITH RP (UND:6K)</v>
          </cell>
          <cell r="C567" t="str">
            <v>1 UND</v>
          </cell>
          <cell r="D567" t="str">
            <v>28/01/2020</v>
          </cell>
          <cell r="E567">
            <v>31051</v>
          </cell>
          <cell r="F567" t="str">
            <v>Gramo</v>
          </cell>
          <cell r="G567">
            <v>5.1751666666666667</v>
          </cell>
        </row>
        <row r="568">
          <cell r="A568" t="str">
            <v>0510051</v>
          </cell>
          <cell r="B568" t="str">
            <v>PASTAS DE HARINA AMARILLA (CAJA:9.52 KG)</v>
          </cell>
          <cell r="C568" t="str">
            <v>1 CAJA</v>
          </cell>
          <cell r="D568" t="str">
            <v>03/03/2020</v>
          </cell>
          <cell r="E568">
            <v>33335</v>
          </cell>
        </row>
        <row r="569">
          <cell r="A569" t="str">
            <v>906000010</v>
          </cell>
          <cell r="B569" t="str">
            <v>PREMEZCLA CHOCOMIX (SACO:25k)</v>
          </cell>
          <cell r="C569" t="str">
            <v>1 SACO</v>
          </cell>
          <cell r="D569" t="str">
            <v>29/02/2020</v>
          </cell>
          <cell r="E569">
            <v>33375</v>
          </cell>
          <cell r="F569" t="str">
            <v>Gramo</v>
          </cell>
          <cell r="G569">
            <v>1.335</v>
          </cell>
        </row>
        <row r="570">
          <cell r="A570" t="str">
            <v>10100244</v>
          </cell>
          <cell r="B570" t="str">
            <v>EMPANIZADOR ROSTIPOLLOS (UND: 25 K)</v>
          </cell>
          <cell r="C570" t="str">
            <v>1 UND</v>
          </cell>
          <cell r="D570" t="str">
            <v>11/02/2020</v>
          </cell>
          <cell r="E570">
            <v>36402</v>
          </cell>
          <cell r="F570" t="str">
            <v>Gramo</v>
          </cell>
          <cell r="G570">
            <v>1.45608</v>
          </cell>
        </row>
        <row r="571">
          <cell r="A571" t="str">
            <v>0510240</v>
          </cell>
          <cell r="B571" t="str">
            <v>PREMEZCLA PILS. CHOCOLATE (SACO:22.68 K)</v>
          </cell>
          <cell r="C571" t="str">
            <v>1 SACO</v>
          </cell>
          <cell r="D571" t="str">
            <v>29/02/2020</v>
          </cell>
          <cell r="E571">
            <v>37684</v>
          </cell>
          <cell r="F571" t="str">
            <v>Gramo</v>
          </cell>
          <cell r="G571">
            <v>1.6615520282186949</v>
          </cell>
        </row>
        <row r="572">
          <cell r="A572" t="str">
            <v>0510285</v>
          </cell>
          <cell r="B572" t="str">
            <v>PREMEZCLA P/QUEQUE YOGURT (SACO:22.67 K)</v>
          </cell>
          <cell r="C572" t="str">
            <v>1 SACO</v>
          </cell>
          <cell r="D572" t="str">
            <v>09/12/2019</v>
          </cell>
          <cell r="E572">
            <v>38555.32</v>
          </cell>
        </row>
        <row r="573">
          <cell r="A573" t="str">
            <v>11200066</v>
          </cell>
          <cell r="B573" t="str">
            <v>PREMEZCLA RED VELVET (SACO:25 K)</v>
          </cell>
          <cell r="C573" t="str">
            <v>1 SACO</v>
          </cell>
          <cell r="D573" t="str">
            <v>15/02/2020</v>
          </cell>
          <cell r="E573">
            <v>38750</v>
          </cell>
        </row>
        <row r="574">
          <cell r="A574" t="str">
            <v>14003009</v>
          </cell>
          <cell r="B574" t="str">
            <v>HOJUELA DE PAPA (SACO:20 K)</v>
          </cell>
          <cell r="C574" t="str">
            <v>1 SACO</v>
          </cell>
          <cell r="D574" t="str">
            <v>11/11/2019</v>
          </cell>
          <cell r="E574">
            <v>38812</v>
          </cell>
        </row>
        <row r="575">
          <cell r="A575" t="str">
            <v>0610256</v>
          </cell>
          <cell r="B575" t="str">
            <v>NUEZ MOSCADA MOLIDA (PAQ:3 K)</v>
          </cell>
          <cell r="C575" t="str">
            <v>1 PAQUETE</v>
          </cell>
          <cell r="D575" t="str">
            <v>04/02/2020</v>
          </cell>
          <cell r="E575">
            <v>41471.1</v>
          </cell>
          <cell r="F575" t="str">
            <v>Gramo</v>
          </cell>
          <cell r="G575">
            <v>13.823699999999999</v>
          </cell>
        </row>
        <row r="576">
          <cell r="A576" t="str">
            <v>11400038</v>
          </cell>
          <cell r="B576" t="str">
            <v>LECHE COND COCINADA (CAJA:18.96 K)</v>
          </cell>
          <cell r="C576" t="str">
            <v>1 CAJA</v>
          </cell>
          <cell r="D576" t="str">
            <v>04/03/2020</v>
          </cell>
          <cell r="E576">
            <v>43392</v>
          </cell>
        </row>
        <row r="577">
          <cell r="A577" t="str">
            <v>0610254</v>
          </cell>
          <cell r="B577" t="str">
            <v>PIMIENTA BLANCA  MOLIDA (PAQ:5 K)</v>
          </cell>
          <cell r="C577" t="str">
            <v>1 PAQUETE</v>
          </cell>
          <cell r="D577" t="str">
            <v>11/02/2020</v>
          </cell>
          <cell r="E577">
            <v>47381.85</v>
          </cell>
          <cell r="F577" t="str">
            <v>Gramo</v>
          </cell>
          <cell r="G577">
            <v>9.4763699999999993</v>
          </cell>
        </row>
        <row r="578">
          <cell r="A578" t="str">
            <v>1212437</v>
          </cell>
          <cell r="B578" t="str">
            <v>PRESERVANTE MIXTO (UND:17 K)</v>
          </cell>
          <cell r="C578" t="str">
            <v>1 UND</v>
          </cell>
          <cell r="D578" t="str">
            <v>29/02/2020</v>
          </cell>
          <cell r="E578">
            <v>51510</v>
          </cell>
          <cell r="F578" t="str">
            <v>Gramo</v>
          </cell>
          <cell r="G578">
            <v>3.03</v>
          </cell>
        </row>
        <row r="579">
          <cell r="A579" t="str">
            <v>106000001</v>
          </cell>
          <cell r="B579" t="str">
            <v>HIGOS EN ALMIBAR (UND:23 K)</v>
          </cell>
          <cell r="C579" t="str">
            <v>1 UND</v>
          </cell>
          <cell r="D579" t="str">
            <v>11/12/2019</v>
          </cell>
          <cell r="E579">
            <v>56448</v>
          </cell>
        </row>
        <row r="580">
          <cell r="A580" t="str">
            <v>11200007</v>
          </cell>
          <cell r="B580" t="str">
            <v>PREMEZCLA DAWN BROWNIE (SACO=22.68K)</v>
          </cell>
          <cell r="C580" t="str">
            <v>1 SACO</v>
          </cell>
          <cell r="D580" t="str">
            <v>23/11/2019</v>
          </cell>
          <cell r="E580">
            <v>57839.65</v>
          </cell>
        </row>
        <row r="581">
          <cell r="A581" t="str">
            <v>10100180</v>
          </cell>
          <cell r="B581" t="str">
            <v>BASE ADEREZO ITALIANO (SACO: 25 KG)</v>
          </cell>
          <cell r="C581" t="str">
            <v>1 SACO</v>
          </cell>
          <cell r="D581" t="str">
            <v>21/02/2020</v>
          </cell>
          <cell r="E581">
            <v>59242</v>
          </cell>
        </row>
        <row r="582">
          <cell r="A582" t="str">
            <v>0310145</v>
          </cell>
          <cell r="B582" t="str">
            <v>LECHE POLVO INDUSTRIAL (SACO:25 KG)</v>
          </cell>
          <cell r="C582" t="str">
            <v>1 SACO</v>
          </cell>
          <cell r="D582" t="str">
            <v>03/03/2020</v>
          </cell>
          <cell r="E582">
            <v>65957</v>
          </cell>
        </row>
        <row r="583">
          <cell r="A583" t="str">
            <v>0310107</v>
          </cell>
          <cell r="B583" t="str">
            <v>LACTOCREMA GRANEL (CAJA:25 KG)</v>
          </cell>
          <cell r="C583" t="str">
            <v>1 CAJA</v>
          </cell>
          <cell r="D583" t="str">
            <v>29/02/2020</v>
          </cell>
          <cell r="E583">
            <v>75987</v>
          </cell>
          <cell r="F583" t="str">
            <v>Gramo</v>
          </cell>
          <cell r="G583">
            <v>3.0394800000000002</v>
          </cell>
        </row>
        <row r="584">
          <cell r="A584" t="str">
            <v>0101132</v>
          </cell>
          <cell r="B584" t="str">
            <v>LIMON EN POLVO (SACO:25 KG)</v>
          </cell>
          <cell r="C584" t="str">
            <v xml:space="preserve">1 SACO </v>
          </cell>
          <cell r="D584" t="str">
            <v>10/02/2020</v>
          </cell>
          <cell r="E584">
            <v>85349.5</v>
          </cell>
          <cell r="F584" t="str">
            <v>Gramo</v>
          </cell>
          <cell r="G584">
            <v>3.41398</v>
          </cell>
        </row>
        <row r="585">
          <cell r="A585" t="str">
            <v>510280</v>
          </cell>
          <cell r="B585" t="str">
            <v>EMULCON TM (SACO:20 K)</v>
          </cell>
          <cell r="C585" t="str">
            <v>1 SACO</v>
          </cell>
          <cell r="D585" t="str">
            <v>13/02/2020</v>
          </cell>
          <cell r="E585">
            <v>92980</v>
          </cell>
          <cell r="F585" t="str">
            <v>Gramo</v>
          </cell>
          <cell r="G585">
            <v>4.649</v>
          </cell>
        </row>
        <row r="586">
          <cell r="A586" t="str">
            <v>2000002</v>
          </cell>
          <cell r="B586" t="str">
            <v>CARNE ANALOGA POLLO (CAJA:13.6 Kg)</v>
          </cell>
          <cell r="C586" t="str">
            <v>1 CAJA</v>
          </cell>
          <cell r="D586" t="str">
            <v>17/02/2020</v>
          </cell>
          <cell r="E586">
            <v>103365.9</v>
          </cell>
        </row>
        <row r="587">
          <cell r="A587" t="str">
            <v>10300006</v>
          </cell>
          <cell r="B587" t="str">
            <v>CARNE ANALOGA RES (CAJA:13.6 Kg)</v>
          </cell>
          <cell r="C587" t="str">
            <v>1 CAJA</v>
          </cell>
          <cell r="D587" t="str">
            <v>03/03/2020</v>
          </cell>
          <cell r="E587">
            <v>105560.58</v>
          </cell>
          <cell r="F587" t="str">
            <v>Gramo</v>
          </cell>
          <cell r="G587">
            <v>7.7618073529411769</v>
          </cell>
        </row>
        <row r="588">
          <cell r="A588" t="str">
            <v>10100182</v>
          </cell>
          <cell r="B588" t="str">
            <v>MEZCLA ADEREZO AJO (PAQ:25 K)</v>
          </cell>
          <cell r="C588" t="str">
            <v>1 PAQUETE</v>
          </cell>
          <cell r="D588" t="str">
            <v>05/02/2020</v>
          </cell>
          <cell r="E588">
            <v>108166.53</v>
          </cell>
        </row>
        <row r="589">
          <cell r="A589" t="str">
            <v>1210445</v>
          </cell>
          <cell r="B589" t="str">
            <v>CLARAS HUEVO DESHIDRATADA (CAJA:22.68 K)</v>
          </cell>
          <cell r="C589" t="str">
            <v>1 CAJA</v>
          </cell>
          <cell r="D589" t="str">
            <v>20/01/2020</v>
          </cell>
          <cell r="E589">
            <v>414220.26240000001</v>
          </cell>
          <cell r="F589" t="str">
            <v>Gramo</v>
          </cell>
          <cell r="G589">
            <v>18.263680000000001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fin 2"/>
      <sheetName val="Mufin 3"/>
      <sheetName val="Mufin 4"/>
      <sheetName val="Costo Mufin "/>
      <sheetName val="Empaque "/>
      <sheetName val="Empaque 2 ( 4 und)"/>
      <sheetName val="Empaque  ( 4 und)"/>
      <sheetName val="Costo Empaque 4 und"/>
      <sheetName val="Empaque 1 und"/>
      <sheetName val="Empaque 1 und #2"/>
      <sheetName val="Empaque 1 und #3"/>
      <sheetName val="Empaque 1 und #4"/>
      <sheetName val="Costo Empaque 1"/>
      <sheetName val="costo mufin oct 2024"/>
      <sheetName val="Costo EMP 4 und OCT 2024"/>
      <sheetName val="Costo MUFIN 1 und Oct 2024"/>
    </sheetNames>
    <sheetDataSet>
      <sheetData sheetId="0"/>
      <sheetData sheetId="1"/>
      <sheetData sheetId="2"/>
      <sheetData sheetId="3">
        <row r="54">
          <cell r="H54">
            <v>14.178066666666666</v>
          </cell>
        </row>
        <row r="56">
          <cell r="H56">
            <v>25.7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54">
          <cell r="O54">
            <v>398.03847125307124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7BEA9-819E-45CF-8715-EA49C19BF641}">
  <sheetPr>
    <pageSetUpPr fitToPage="1"/>
  </sheetPr>
  <dimension ref="A1:I53"/>
  <sheetViews>
    <sheetView tabSelected="1" topLeftCell="A3" zoomScale="80" zoomScaleNormal="80" workbookViewId="0">
      <selection activeCell="C10" sqref="C10"/>
    </sheetView>
  </sheetViews>
  <sheetFormatPr baseColWidth="10" defaultRowHeight="15" x14ac:dyDescent="0.25"/>
  <cols>
    <col min="2" max="2" width="18.5703125" bestFit="1" customWidth="1"/>
    <col min="3" max="3" width="64.85546875" customWidth="1"/>
    <col min="4" max="4" width="16.7109375" customWidth="1"/>
    <col min="5" max="5" width="14.42578125" customWidth="1"/>
    <col min="6" max="6" width="12.5703125" customWidth="1"/>
    <col min="7" max="7" width="21.140625" customWidth="1"/>
    <col min="8" max="8" width="15.140625" customWidth="1"/>
    <col min="9" max="9" width="18.42578125" customWidth="1"/>
  </cols>
  <sheetData>
    <row r="1" spans="1:9" ht="15.75" x14ac:dyDescent="0.25">
      <c r="A1" s="215"/>
      <c r="B1" s="216"/>
      <c r="C1" s="221" t="s">
        <v>32</v>
      </c>
      <c r="D1" s="221"/>
      <c r="E1" s="221"/>
      <c r="F1" s="221"/>
      <c r="G1" s="221"/>
      <c r="H1" s="1" t="s">
        <v>31</v>
      </c>
      <c r="I1" s="2" t="s">
        <v>130</v>
      </c>
    </row>
    <row r="2" spans="1:9" ht="18" customHeight="1" thickBot="1" x14ac:dyDescent="0.3">
      <c r="A2" s="217"/>
      <c r="B2" s="218"/>
      <c r="C2" s="222" t="s">
        <v>30</v>
      </c>
      <c r="D2" s="223"/>
      <c r="E2" s="223"/>
      <c r="F2" s="223"/>
      <c r="G2" s="224"/>
      <c r="H2" s="3" t="s">
        <v>29</v>
      </c>
      <c r="I2" s="4" t="s">
        <v>134</v>
      </c>
    </row>
    <row r="3" spans="1:9" ht="31.5" customHeight="1" thickBot="1" x14ac:dyDescent="0.3">
      <c r="A3" s="217"/>
      <c r="B3" s="218"/>
      <c r="C3" s="225" t="s">
        <v>127</v>
      </c>
      <c r="D3" s="225"/>
      <c r="E3" s="225"/>
      <c r="F3" s="225"/>
      <c r="G3" s="225"/>
      <c r="H3" s="226" t="s">
        <v>28</v>
      </c>
      <c r="I3" s="206">
        <v>45939</v>
      </c>
    </row>
    <row r="4" spans="1:9" ht="18" customHeight="1" x14ac:dyDescent="0.25">
      <c r="A4" s="217"/>
      <c r="B4" s="218"/>
      <c r="C4" s="5" t="s">
        <v>27</v>
      </c>
      <c r="D4" s="209" t="s">
        <v>46</v>
      </c>
      <c r="E4" s="210"/>
      <c r="F4" s="210"/>
      <c r="G4" s="211"/>
      <c r="H4" s="227"/>
      <c r="I4" s="207"/>
    </row>
    <row r="5" spans="1:9" ht="15.75" thickBot="1" x14ac:dyDescent="0.3">
      <c r="A5" s="219"/>
      <c r="B5" s="220"/>
      <c r="C5" s="6" t="s">
        <v>26</v>
      </c>
      <c r="D5" s="212" t="s">
        <v>33</v>
      </c>
      <c r="E5" s="213"/>
      <c r="F5" s="213"/>
      <c r="G5" s="214"/>
      <c r="H5" s="228"/>
      <c r="I5" s="208"/>
    </row>
    <row r="6" spans="1:9" ht="18.75" thickBot="1" x14ac:dyDescent="0.3">
      <c r="A6" s="197" t="s">
        <v>25</v>
      </c>
      <c r="B6" s="197"/>
      <c r="C6" s="197"/>
      <c r="D6" s="198" t="s">
        <v>47</v>
      </c>
      <c r="E6" s="198"/>
      <c r="F6" s="198"/>
      <c r="G6" s="199" t="s">
        <v>24</v>
      </c>
      <c r="H6" s="199"/>
      <c r="I6" s="7" t="s">
        <v>48</v>
      </c>
    </row>
    <row r="7" spans="1:9" ht="29.25" customHeight="1" x14ac:dyDescent="0.25">
      <c r="A7" s="200" t="s">
        <v>23</v>
      </c>
      <c r="B7" s="202" t="s">
        <v>34</v>
      </c>
      <c r="C7" s="204" t="s">
        <v>22</v>
      </c>
      <c r="D7" s="204" t="s">
        <v>21</v>
      </c>
      <c r="E7" s="204" t="s">
        <v>20</v>
      </c>
      <c r="F7" s="204"/>
      <c r="G7" s="204" t="s">
        <v>19</v>
      </c>
      <c r="H7" s="204"/>
      <c r="I7" s="8" t="s">
        <v>18</v>
      </c>
    </row>
    <row r="8" spans="1:9" ht="27" thickBot="1" x14ac:dyDescent="0.3">
      <c r="A8" s="201"/>
      <c r="B8" s="203"/>
      <c r="C8" s="205"/>
      <c r="D8" s="205"/>
      <c r="E8" s="9" t="s">
        <v>10</v>
      </c>
      <c r="F8" s="10" t="s">
        <v>17</v>
      </c>
      <c r="G8" s="9" t="s">
        <v>10</v>
      </c>
      <c r="H8" s="10" t="s">
        <v>17</v>
      </c>
      <c r="I8" s="11" t="s">
        <v>16</v>
      </c>
    </row>
    <row r="9" spans="1:9" ht="20.25" x14ac:dyDescent="0.3">
      <c r="A9" s="122"/>
      <c r="B9" s="123"/>
      <c r="C9" s="124" t="s">
        <v>35</v>
      </c>
      <c r="D9" s="125"/>
      <c r="E9" s="126"/>
      <c r="F9" s="127"/>
      <c r="G9" s="126"/>
      <c r="H9" s="127"/>
      <c r="I9" s="128"/>
    </row>
    <row r="10" spans="1:9" ht="20.25" x14ac:dyDescent="0.3">
      <c r="A10" s="129"/>
      <c r="B10" s="130" t="s">
        <v>15</v>
      </c>
      <c r="C10" s="131" t="s">
        <v>14</v>
      </c>
      <c r="D10" s="132" t="s">
        <v>12</v>
      </c>
      <c r="E10" s="133">
        <v>78</v>
      </c>
      <c r="F10" s="134" t="s">
        <v>1</v>
      </c>
      <c r="G10" s="135"/>
      <c r="H10" s="136"/>
      <c r="I10" s="128"/>
    </row>
    <row r="11" spans="1:9" ht="20.25" x14ac:dyDescent="0.3">
      <c r="A11" s="132"/>
      <c r="B11" s="132" t="s">
        <v>13</v>
      </c>
      <c r="C11" s="137" t="s">
        <v>36</v>
      </c>
      <c r="D11" s="132" t="s">
        <v>12</v>
      </c>
      <c r="E11" s="133">
        <v>15</v>
      </c>
      <c r="F11" s="134" t="s">
        <v>1</v>
      </c>
      <c r="G11" s="135"/>
      <c r="H11" s="136"/>
      <c r="I11" s="128"/>
    </row>
    <row r="12" spans="1:9" ht="20.25" x14ac:dyDescent="0.3">
      <c r="A12" s="132"/>
      <c r="B12" s="132" t="s">
        <v>125</v>
      </c>
      <c r="C12" s="137" t="s">
        <v>55</v>
      </c>
      <c r="D12" s="132"/>
      <c r="E12" s="133" t="s">
        <v>58</v>
      </c>
      <c r="F12" s="134" t="s">
        <v>1</v>
      </c>
      <c r="G12" s="135"/>
      <c r="H12" s="136"/>
      <c r="I12" s="128"/>
    </row>
    <row r="13" spans="1:9" ht="20.25" x14ac:dyDescent="0.3">
      <c r="A13" s="132"/>
      <c r="B13" s="132" t="s">
        <v>126</v>
      </c>
      <c r="C13" s="137" t="s">
        <v>56</v>
      </c>
      <c r="D13" s="132"/>
      <c r="E13" s="133" t="s">
        <v>58</v>
      </c>
      <c r="F13" s="134" t="s">
        <v>1</v>
      </c>
      <c r="G13" s="135"/>
      <c r="H13" s="136"/>
      <c r="I13" s="128"/>
    </row>
    <row r="14" spans="1:9" ht="20.25" x14ac:dyDescent="0.3">
      <c r="A14" s="132"/>
      <c r="B14" s="132"/>
      <c r="C14" s="137"/>
      <c r="D14" s="132"/>
      <c r="E14" s="133"/>
      <c r="F14" s="134"/>
      <c r="G14" s="135"/>
      <c r="H14" s="136"/>
      <c r="I14" s="128"/>
    </row>
    <row r="15" spans="1:9" ht="20.25" x14ac:dyDescent="0.3">
      <c r="A15" s="132"/>
      <c r="B15" s="132"/>
      <c r="C15" s="137"/>
      <c r="D15" s="132"/>
      <c r="E15" s="133"/>
      <c r="F15" s="134"/>
      <c r="G15" s="135"/>
      <c r="H15" s="136"/>
      <c r="I15" s="128"/>
    </row>
    <row r="16" spans="1:9" ht="20.25" x14ac:dyDescent="0.3">
      <c r="A16" s="132"/>
      <c r="B16" s="132"/>
      <c r="C16" s="137"/>
      <c r="D16" s="132"/>
      <c r="E16" s="133"/>
      <c r="F16" s="134"/>
      <c r="G16" s="135"/>
      <c r="H16" s="136"/>
      <c r="I16" s="128"/>
    </row>
    <row r="17" spans="1:9" ht="20.25" x14ac:dyDescent="0.3">
      <c r="A17" s="132"/>
      <c r="B17" s="132"/>
      <c r="C17" s="137"/>
      <c r="D17" s="132"/>
      <c r="E17" s="133"/>
      <c r="F17" s="134"/>
      <c r="G17" s="135"/>
      <c r="H17" s="136"/>
      <c r="I17" s="128"/>
    </row>
    <row r="18" spans="1:9" ht="20.25" x14ac:dyDescent="0.3">
      <c r="A18" s="132"/>
      <c r="B18" s="132"/>
      <c r="C18" s="137"/>
      <c r="D18" s="132"/>
      <c r="E18" s="133"/>
      <c r="F18" s="134"/>
      <c r="G18" s="135"/>
      <c r="H18" s="136"/>
      <c r="I18" s="128"/>
    </row>
    <row r="19" spans="1:9" ht="20.25" x14ac:dyDescent="0.3">
      <c r="A19" s="132"/>
      <c r="B19" s="132"/>
      <c r="C19" s="137"/>
      <c r="D19" s="132"/>
      <c r="E19" s="133"/>
      <c r="F19" s="134"/>
      <c r="G19" s="135"/>
      <c r="H19" s="136"/>
      <c r="I19" s="128"/>
    </row>
    <row r="20" spans="1:9" ht="20.25" x14ac:dyDescent="0.3">
      <c r="A20" s="138"/>
      <c r="B20" s="138"/>
      <c r="C20" s="131"/>
      <c r="D20" s="139"/>
      <c r="E20" s="139"/>
      <c r="F20" s="139"/>
      <c r="G20" s="139"/>
      <c r="H20" s="136"/>
      <c r="I20" s="128"/>
    </row>
    <row r="21" spans="1:9" ht="20.25" x14ac:dyDescent="0.3">
      <c r="A21" s="140"/>
      <c r="B21" s="141"/>
      <c r="C21" s="142" t="s">
        <v>37</v>
      </c>
      <c r="D21" s="139"/>
      <c r="E21" s="139"/>
      <c r="F21" s="139"/>
      <c r="G21" s="139"/>
      <c r="H21" s="136"/>
      <c r="I21" s="128"/>
    </row>
    <row r="22" spans="1:9" ht="20.25" x14ac:dyDescent="0.3">
      <c r="A22" s="129"/>
      <c r="B22" s="130"/>
      <c r="C22" s="131"/>
      <c r="D22" s="143"/>
      <c r="E22" s="143"/>
      <c r="F22" s="143"/>
      <c r="G22" s="126"/>
      <c r="H22" s="136"/>
      <c r="I22" s="128"/>
    </row>
    <row r="23" spans="1:9" ht="20.25" x14ac:dyDescent="0.3">
      <c r="A23" s="144"/>
      <c r="B23" s="138"/>
      <c r="C23" s="131"/>
      <c r="D23" s="143"/>
      <c r="E23" s="143"/>
      <c r="F23" s="143"/>
      <c r="G23" s="126"/>
      <c r="H23" s="136"/>
      <c r="I23" s="128"/>
    </row>
    <row r="24" spans="1:9" ht="20.25" x14ac:dyDescent="0.3">
      <c r="A24" s="144"/>
      <c r="B24" s="138"/>
      <c r="C24" s="131"/>
      <c r="D24" s="143"/>
      <c r="E24" s="143"/>
      <c r="F24" s="143"/>
      <c r="G24" s="126"/>
      <c r="H24" s="136"/>
      <c r="I24" s="128"/>
    </row>
    <row r="25" spans="1:9" ht="20.25" x14ac:dyDescent="0.3">
      <c r="A25" s="140"/>
      <c r="B25" s="141"/>
      <c r="C25" s="142"/>
      <c r="D25" s="145"/>
      <c r="E25" s="146"/>
      <c r="F25" s="147"/>
      <c r="G25" s="126"/>
      <c r="H25" s="136"/>
      <c r="I25" s="128"/>
    </row>
    <row r="26" spans="1:9" ht="20.25" x14ac:dyDescent="0.3">
      <c r="A26" s="148"/>
      <c r="B26" s="149"/>
      <c r="C26" s="150"/>
      <c r="D26" s="151"/>
      <c r="E26" s="152"/>
      <c r="F26" s="153"/>
      <c r="G26" s="126"/>
      <c r="H26" s="136"/>
      <c r="I26" s="128"/>
    </row>
    <row r="27" spans="1:9" ht="20.25" x14ac:dyDescent="0.3">
      <c r="A27" s="130"/>
      <c r="B27" s="130"/>
      <c r="C27" s="131"/>
      <c r="D27" s="154"/>
      <c r="E27" s="155"/>
      <c r="F27" s="156"/>
      <c r="G27" s="126"/>
      <c r="H27" s="136"/>
      <c r="I27" s="128"/>
    </row>
    <row r="28" spans="1:9" ht="20.25" x14ac:dyDescent="0.3">
      <c r="A28" s="157"/>
      <c r="B28" s="158"/>
      <c r="C28" s="159" t="s">
        <v>38</v>
      </c>
      <c r="D28" s="160"/>
      <c r="E28" s="161"/>
      <c r="F28" s="127"/>
      <c r="G28" s="126"/>
      <c r="H28" s="136"/>
      <c r="I28" s="128"/>
    </row>
    <row r="29" spans="1:9" ht="20.25" x14ac:dyDescent="0.3">
      <c r="A29" s="162"/>
      <c r="B29" s="163" t="s">
        <v>50</v>
      </c>
      <c r="C29" s="164" t="s">
        <v>51</v>
      </c>
      <c r="D29" s="139"/>
      <c r="E29" s="155">
        <v>1</v>
      </c>
      <c r="F29" s="156" t="s">
        <v>4</v>
      </c>
      <c r="G29" s="165"/>
      <c r="H29" s="136"/>
      <c r="I29" s="128"/>
    </row>
    <row r="30" spans="1:9" ht="20.25" x14ac:dyDescent="0.3">
      <c r="A30" s="162"/>
      <c r="B30" s="163" t="s">
        <v>11</v>
      </c>
      <c r="C30" s="164" t="s">
        <v>39</v>
      </c>
      <c r="D30" s="139"/>
      <c r="E30" s="155">
        <v>1</v>
      </c>
      <c r="F30" s="156" t="s">
        <v>4</v>
      </c>
      <c r="G30" s="165"/>
      <c r="H30" s="136"/>
      <c r="I30" s="128"/>
    </row>
    <row r="31" spans="1:9" ht="20.25" x14ac:dyDescent="0.3">
      <c r="A31" s="166"/>
      <c r="B31" s="167" t="s">
        <v>52</v>
      </c>
      <c r="C31" s="168" t="s">
        <v>53</v>
      </c>
      <c r="D31" s="139"/>
      <c r="E31" s="155">
        <v>1</v>
      </c>
      <c r="F31" s="156" t="s">
        <v>4</v>
      </c>
      <c r="G31" s="165"/>
      <c r="H31" s="136"/>
      <c r="I31" s="128"/>
    </row>
    <row r="32" spans="1:9" ht="20.25" x14ac:dyDescent="0.3">
      <c r="A32" s="169"/>
      <c r="B32" s="194" t="s">
        <v>128</v>
      </c>
      <c r="C32" s="170" t="s">
        <v>129</v>
      </c>
      <c r="D32" s="139"/>
      <c r="E32" s="155">
        <v>1</v>
      </c>
      <c r="F32" s="156" t="s">
        <v>4</v>
      </c>
      <c r="G32" s="126"/>
      <c r="H32" s="136"/>
      <c r="I32" s="128"/>
    </row>
    <row r="33" spans="1:9" ht="21" x14ac:dyDescent="0.35">
      <c r="A33" s="193"/>
      <c r="B33" s="196" t="s">
        <v>131</v>
      </c>
      <c r="C33" s="192" t="s">
        <v>132</v>
      </c>
      <c r="D33" s="139"/>
      <c r="E33" s="155">
        <v>1</v>
      </c>
      <c r="F33" s="156" t="s">
        <v>4</v>
      </c>
      <c r="G33" s="126"/>
      <c r="H33" s="136"/>
      <c r="I33" s="128"/>
    </row>
    <row r="34" spans="1:9" ht="20.25" x14ac:dyDescent="0.3">
      <c r="A34" s="169"/>
      <c r="B34" s="195"/>
      <c r="C34" s="170"/>
      <c r="D34" s="139"/>
      <c r="E34" s="155"/>
      <c r="F34" s="156"/>
      <c r="G34" s="171"/>
      <c r="H34" s="136"/>
      <c r="I34" s="128"/>
    </row>
    <row r="35" spans="1:9" ht="20.25" x14ac:dyDescent="0.3">
      <c r="A35" s="169"/>
      <c r="B35" s="169"/>
      <c r="C35" s="170"/>
      <c r="D35" s="139"/>
      <c r="E35" s="155"/>
      <c r="F35" s="156"/>
      <c r="G35" s="172"/>
      <c r="H35" s="136"/>
      <c r="I35" s="128"/>
    </row>
    <row r="36" spans="1:9" ht="20.25" x14ac:dyDescent="0.3">
      <c r="A36" s="173"/>
      <c r="B36" s="173"/>
      <c r="C36" s="174"/>
      <c r="D36" s="139"/>
      <c r="E36" s="156"/>
      <c r="F36" s="156"/>
      <c r="G36" s="172"/>
      <c r="H36" s="136"/>
      <c r="I36" s="128"/>
    </row>
    <row r="37" spans="1:9" ht="21" thickBot="1" x14ac:dyDescent="0.35">
      <c r="A37" s="175"/>
      <c r="B37" s="176"/>
      <c r="C37" s="177" t="s">
        <v>40</v>
      </c>
      <c r="D37" s="177"/>
      <c r="E37" s="178"/>
      <c r="F37" s="179"/>
      <c r="G37" s="177"/>
      <c r="H37" s="177"/>
      <c r="I37" s="180"/>
    </row>
    <row r="38" spans="1:9" ht="21" thickBot="1" x14ac:dyDescent="0.35">
      <c r="A38" s="181"/>
      <c r="B38" s="182"/>
      <c r="C38" s="183" t="s">
        <v>40</v>
      </c>
      <c r="D38" s="184" t="s">
        <v>10</v>
      </c>
      <c r="E38" s="185" t="s">
        <v>9</v>
      </c>
      <c r="F38" s="186"/>
      <c r="G38" s="183"/>
      <c r="H38" s="183"/>
      <c r="I38" s="187"/>
    </row>
    <row r="39" spans="1:9" ht="20.25" x14ac:dyDescent="0.3">
      <c r="A39" s="229" t="s">
        <v>8</v>
      </c>
      <c r="B39" s="230"/>
      <c r="C39" s="231"/>
      <c r="D39" s="188">
        <v>85</v>
      </c>
      <c r="E39" s="189" t="s">
        <v>1</v>
      </c>
      <c r="F39" s="232" t="s">
        <v>41</v>
      </c>
      <c r="G39" s="232"/>
      <c r="H39" s="233"/>
      <c r="I39" s="234"/>
    </row>
    <row r="40" spans="1:9" ht="20.25" x14ac:dyDescent="0.3">
      <c r="A40" s="235" t="s">
        <v>7</v>
      </c>
      <c r="B40" s="236"/>
      <c r="C40" s="237"/>
      <c r="D40" s="139">
        <v>2</v>
      </c>
      <c r="E40" s="139" t="s">
        <v>6</v>
      </c>
      <c r="F40" s="238" t="s">
        <v>42</v>
      </c>
      <c r="G40" s="238"/>
      <c r="H40" s="239"/>
      <c r="I40" s="240"/>
    </row>
    <row r="41" spans="1:9" ht="20.25" x14ac:dyDescent="0.3">
      <c r="A41" s="235" t="s">
        <v>5</v>
      </c>
      <c r="B41" s="236"/>
      <c r="C41" s="237"/>
      <c r="D41" s="155">
        <v>4</v>
      </c>
      <c r="E41" s="139" t="s">
        <v>4</v>
      </c>
      <c r="F41" s="238" t="s">
        <v>43</v>
      </c>
      <c r="G41" s="238"/>
      <c r="H41" s="239"/>
      <c r="I41" s="240"/>
    </row>
    <row r="42" spans="1:9" ht="20.25" x14ac:dyDescent="0.3">
      <c r="A42" s="235" t="s">
        <v>3</v>
      </c>
      <c r="B42" s="236"/>
      <c r="C42" s="237"/>
      <c r="D42" s="155">
        <v>85</v>
      </c>
      <c r="E42" s="139" t="s">
        <v>1</v>
      </c>
      <c r="F42" s="241" t="s">
        <v>44</v>
      </c>
      <c r="G42" s="242"/>
      <c r="H42" s="243"/>
      <c r="I42" s="244"/>
    </row>
    <row r="43" spans="1:9" ht="21" thickBot="1" x14ac:dyDescent="0.35">
      <c r="A43" s="245" t="s">
        <v>2</v>
      </c>
      <c r="B43" s="246"/>
      <c r="C43" s="247"/>
      <c r="D43" s="190">
        <f>SUM(E10:E13)-D39</f>
        <v>8</v>
      </c>
      <c r="E43" s="191" t="s">
        <v>1</v>
      </c>
      <c r="F43" s="248"/>
      <c r="G43" s="248"/>
      <c r="H43" s="239"/>
      <c r="I43" s="240"/>
    </row>
    <row r="44" spans="1:9" ht="21" thickBot="1" x14ac:dyDescent="0.35">
      <c r="A44" s="254" t="s">
        <v>0</v>
      </c>
      <c r="B44" s="255"/>
      <c r="C44" s="255"/>
      <c r="D44" s="255"/>
      <c r="E44" s="255"/>
      <c r="F44" s="255"/>
      <c r="G44" s="255"/>
      <c r="H44" s="255"/>
      <c r="I44" s="256"/>
    </row>
    <row r="45" spans="1:9" ht="23.25" customHeight="1" x14ac:dyDescent="0.3">
      <c r="A45" s="257" t="s">
        <v>54</v>
      </c>
      <c r="B45" s="258"/>
      <c r="C45" s="258"/>
      <c r="D45" s="258"/>
      <c r="E45" s="258"/>
      <c r="F45" s="258"/>
      <c r="G45" s="258"/>
      <c r="H45" s="258"/>
      <c r="I45" s="259"/>
    </row>
    <row r="46" spans="1:9" ht="45.75" customHeight="1" x14ac:dyDescent="0.3">
      <c r="A46" s="260" t="s">
        <v>59</v>
      </c>
      <c r="B46" s="261"/>
      <c r="C46" s="261"/>
      <c r="D46" s="261"/>
      <c r="E46" s="261"/>
      <c r="F46" s="261"/>
      <c r="G46" s="261"/>
      <c r="H46" s="261"/>
      <c r="I46" s="262"/>
    </row>
    <row r="47" spans="1:9" ht="24" customHeight="1" x14ac:dyDescent="0.3">
      <c r="A47" s="260" t="s">
        <v>49</v>
      </c>
      <c r="B47" s="261"/>
      <c r="C47" s="261"/>
      <c r="D47" s="261"/>
      <c r="E47" s="261"/>
      <c r="F47" s="261"/>
      <c r="G47" s="261"/>
      <c r="H47" s="261"/>
      <c r="I47" s="262"/>
    </row>
    <row r="48" spans="1:9" ht="20.25" x14ac:dyDescent="0.3">
      <c r="A48" s="260"/>
      <c r="B48" s="261"/>
      <c r="C48" s="261"/>
      <c r="D48" s="261"/>
      <c r="E48" s="261"/>
      <c r="F48" s="261"/>
      <c r="G48" s="261"/>
      <c r="H48" s="261"/>
      <c r="I48" s="262"/>
    </row>
    <row r="49" spans="1:9" ht="20.25" x14ac:dyDescent="0.3">
      <c r="A49" s="263"/>
      <c r="B49" s="263"/>
      <c r="C49" s="263"/>
      <c r="D49" s="263"/>
      <c r="E49" s="263"/>
      <c r="F49" s="263"/>
      <c r="G49" s="263"/>
      <c r="H49" s="263"/>
      <c r="I49" s="263"/>
    </row>
    <row r="50" spans="1:9" ht="20.25" x14ac:dyDescent="0.3">
      <c r="A50" s="249"/>
      <c r="B50" s="250"/>
      <c r="C50" s="250"/>
      <c r="D50" s="250"/>
      <c r="E50" s="250"/>
      <c r="F50" s="250"/>
      <c r="G50" s="250"/>
      <c r="H50" s="250"/>
      <c r="I50" s="251"/>
    </row>
    <row r="51" spans="1:9" ht="20.25" x14ac:dyDescent="0.3">
      <c r="A51" s="252" t="s">
        <v>45</v>
      </c>
      <c r="B51" s="252"/>
      <c r="C51" s="252"/>
      <c r="D51" s="252"/>
      <c r="E51" s="252"/>
      <c r="F51" s="252"/>
      <c r="G51" s="252"/>
      <c r="H51" s="252"/>
      <c r="I51" s="252"/>
    </row>
    <row r="52" spans="1:9" ht="20.25" x14ac:dyDescent="0.3">
      <c r="A52" s="253" t="s">
        <v>133</v>
      </c>
      <c r="B52" s="253"/>
      <c r="C52" s="253"/>
      <c r="D52" s="253"/>
      <c r="E52" s="253"/>
      <c r="F52" s="253"/>
      <c r="G52" s="253"/>
      <c r="H52" s="253"/>
      <c r="I52" s="253"/>
    </row>
    <row r="53" spans="1:9" ht="20.25" x14ac:dyDescent="0.3">
      <c r="A53" s="253"/>
      <c r="B53" s="253"/>
      <c r="C53" s="253"/>
      <c r="D53" s="253"/>
      <c r="E53" s="253"/>
      <c r="F53" s="253"/>
      <c r="G53" s="253"/>
      <c r="H53" s="253"/>
      <c r="I53" s="253"/>
    </row>
  </sheetData>
  <mergeCells count="42">
    <mergeCell ref="A52:I52"/>
    <mergeCell ref="A53:I53"/>
    <mergeCell ref="A44:I44"/>
    <mergeCell ref="A45:I45"/>
    <mergeCell ref="A46:I46"/>
    <mergeCell ref="A47:I47"/>
    <mergeCell ref="A49:I49"/>
    <mergeCell ref="A48:I48"/>
    <mergeCell ref="A43:C43"/>
    <mergeCell ref="F43:G43"/>
    <mergeCell ref="H43:I43"/>
    <mergeCell ref="A50:I50"/>
    <mergeCell ref="A51:I51"/>
    <mergeCell ref="A41:C41"/>
    <mergeCell ref="F41:G41"/>
    <mergeCell ref="H41:I41"/>
    <mergeCell ref="A42:C42"/>
    <mergeCell ref="F42:G42"/>
    <mergeCell ref="H42:I42"/>
    <mergeCell ref="A39:C39"/>
    <mergeCell ref="F39:G39"/>
    <mergeCell ref="H39:I39"/>
    <mergeCell ref="A40:C40"/>
    <mergeCell ref="F40:G40"/>
    <mergeCell ref="H40:I40"/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</mergeCells>
  <pageMargins left="0.7" right="0.7" top="0.75" bottom="0.75" header="0.3" footer="0.3"/>
  <pageSetup scale="46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6416B-0DD1-402D-A9C9-2FE917B2380B}">
  <dimension ref="A1:Y91"/>
  <sheetViews>
    <sheetView workbookViewId="0">
      <selection activeCell="E10" sqref="E10"/>
    </sheetView>
  </sheetViews>
  <sheetFormatPr baseColWidth="10" defaultColWidth="8.42578125" defaultRowHeight="12.75" x14ac:dyDescent="0.25"/>
  <cols>
    <col min="1" max="1" width="10" style="17" bestFit="1" customWidth="1"/>
    <col min="2" max="2" width="44.28515625" style="17" bestFit="1" customWidth="1"/>
    <col min="3" max="3" width="10.42578125" style="17" bestFit="1" customWidth="1"/>
    <col min="4" max="4" width="10.42578125" style="17" customWidth="1"/>
    <col min="5" max="5" width="11" style="17" customWidth="1"/>
    <col min="6" max="6" width="9.5703125" style="17" bestFit="1" customWidth="1"/>
    <col min="7" max="7" width="10.7109375" style="112" customWidth="1"/>
    <col min="8" max="8" width="10.42578125" style="103" bestFit="1" customWidth="1"/>
    <col min="9" max="9" width="4.5703125" style="103" customWidth="1"/>
    <col min="10" max="10" width="1.85546875" style="16" customWidth="1"/>
    <col min="11" max="11" width="7" style="17" bestFit="1" customWidth="1"/>
    <col min="12" max="12" width="6.28515625" style="17" customWidth="1"/>
    <col min="13" max="13" width="20.42578125" style="17" customWidth="1"/>
    <col min="14" max="14" width="6.42578125" style="17" bestFit="1" customWidth="1"/>
    <col min="15" max="16" width="8.42578125" style="17"/>
    <col min="17" max="17" width="3.28515625" style="17" customWidth="1"/>
    <col min="18" max="256" width="8.42578125" style="17"/>
    <col min="257" max="257" width="10" style="17" bestFit="1" customWidth="1"/>
    <col min="258" max="258" width="44.28515625" style="17" bestFit="1" customWidth="1"/>
    <col min="259" max="259" width="10.42578125" style="17" bestFit="1" customWidth="1"/>
    <col min="260" max="260" width="10.42578125" style="17" customWidth="1"/>
    <col min="261" max="261" width="9.7109375" style="17" bestFit="1" customWidth="1"/>
    <col min="262" max="263" width="9.5703125" style="17" bestFit="1" customWidth="1"/>
    <col min="264" max="264" width="10.42578125" style="17" bestFit="1" customWidth="1"/>
    <col min="265" max="265" width="4.5703125" style="17" customWidth="1"/>
    <col min="266" max="266" width="1.85546875" style="17" customWidth="1"/>
    <col min="267" max="267" width="7" style="17" bestFit="1" customWidth="1"/>
    <col min="268" max="268" width="6.28515625" style="17" customWidth="1"/>
    <col min="269" max="269" width="20.42578125" style="17" customWidth="1"/>
    <col min="270" max="270" width="6.42578125" style="17" bestFit="1" customWidth="1"/>
    <col min="271" max="272" width="8.42578125" style="17"/>
    <col min="273" max="273" width="3.28515625" style="17" customWidth="1"/>
    <col min="274" max="512" width="8.42578125" style="17"/>
    <col min="513" max="513" width="10" style="17" bestFit="1" customWidth="1"/>
    <col min="514" max="514" width="44.28515625" style="17" bestFit="1" customWidth="1"/>
    <col min="515" max="515" width="10.42578125" style="17" bestFit="1" customWidth="1"/>
    <col min="516" max="516" width="10.42578125" style="17" customWidth="1"/>
    <col min="517" max="517" width="9.7109375" style="17" bestFit="1" customWidth="1"/>
    <col min="518" max="519" width="9.5703125" style="17" bestFit="1" customWidth="1"/>
    <col min="520" max="520" width="10.42578125" style="17" bestFit="1" customWidth="1"/>
    <col min="521" max="521" width="4.5703125" style="17" customWidth="1"/>
    <col min="522" max="522" width="1.85546875" style="17" customWidth="1"/>
    <col min="523" max="523" width="7" style="17" bestFit="1" customWidth="1"/>
    <col min="524" max="524" width="6.28515625" style="17" customWidth="1"/>
    <col min="525" max="525" width="20.42578125" style="17" customWidth="1"/>
    <col min="526" max="526" width="6.42578125" style="17" bestFit="1" customWidth="1"/>
    <col min="527" max="528" width="8.42578125" style="17"/>
    <col min="529" max="529" width="3.28515625" style="17" customWidth="1"/>
    <col min="530" max="768" width="8.42578125" style="17"/>
    <col min="769" max="769" width="10" style="17" bestFit="1" customWidth="1"/>
    <col min="770" max="770" width="44.28515625" style="17" bestFit="1" customWidth="1"/>
    <col min="771" max="771" width="10.42578125" style="17" bestFit="1" customWidth="1"/>
    <col min="772" max="772" width="10.42578125" style="17" customWidth="1"/>
    <col min="773" max="773" width="9.7109375" style="17" bestFit="1" customWidth="1"/>
    <col min="774" max="775" width="9.5703125" style="17" bestFit="1" customWidth="1"/>
    <col min="776" max="776" width="10.42578125" style="17" bestFit="1" customWidth="1"/>
    <col min="777" max="777" width="4.5703125" style="17" customWidth="1"/>
    <col min="778" max="778" width="1.85546875" style="17" customWidth="1"/>
    <col min="779" max="779" width="7" style="17" bestFit="1" customWidth="1"/>
    <col min="780" max="780" width="6.28515625" style="17" customWidth="1"/>
    <col min="781" max="781" width="20.42578125" style="17" customWidth="1"/>
    <col min="782" max="782" width="6.42578125" style="17" bestFit="1" customWidth="1"/>
    <col min="783" max="784" width="8.42578125" style="17"/>
    <col min="785" max="785" width="3.28515625" style="17" customWidth="1"/>
    <col min="786" max="1024" width="8.42578125" style="17"/>
    <col min="1025" max="1025" width="10" style="17" bestFit="1" customWidth="1"/>
    <col min="1026" max="1026" width="44.28515625" style="17" bestFit="1" customWidth="1"/>
    <col min="1027" max="1027" width="10.42578125" style="17" bestFit="1" customWidth="1"/>
    <col min="1028" max="1028" width="10.42578125" style="17" customWidth="1"/>
    <col min="1029" max="1029" width="9.7109375" style="17" bestFit="1" customWidth="1"/>
    <col min="1030" max="1031" width="9.5703125" style="17" bestFit="1" customWidth="1"/>
    <col min="1032" max="1032" width="10.42578125" style="17" bestFit="1" customWidth="1"/>
    <col min="1033" max="1033" width="4.5703125" style="17" customWidth="1"/>
    <col min="1034" max="1034" width="1.85546875" style="17" customWidth="1"/>
    <col min="1035" max="1035" width="7" style="17" bestFit="1" customWidth="1"/>
    <col min="1036" max="1036" width="6.28515625" style="17" customWidth="1"/>
    <col min="1037" max="1037" width="20.42578125" style="17" customWidth="1"/>
    <col min="1038" max="1038" width="6.42578125" style="17" bestFit="1" customWidth="1"/>
    <col min="1039" max="1040" width="8.42578125" style="17"/>
    <col min="1041" max="1041" width="3.28515625" style="17" customWidth="1"/>
    <col min="1042" max="1280" width="8.42578125" style="17"/>
    <col min="1281" max="1281" width="10" style="17" bestFit="1" customWidth="1"/>
    <col min="1282" max="1282" width="44.28515625" style="17" bestFit="1" customWidth="1"/>
    <col min="1283" max="1283" width="10.42578125" style="17" bestFit="1" customWidth="1"/>
    <col min="1284" max="1284" width="10.42578125" style="17" customWidth="1"/>
    <col min="1285" max="1285" width="9.7109375" style="17" bestFit="1" customWidth="1"/>
    <col min="1286" max="1287" width="9.5703125" style="17" bestFit="1" customWidth="1"/>
    <col min="1288" max="1288" width="10.42578125" style="17" bestFit="1" customWidth="1"/>
    <col min="1289" max="1289" width="4.5703125" style="17" customWidth="1"/>
    <col min="1290" max="1290" width="1.85546875" style="17" customWidth="1"/>
    <col min="1291" max="1291" width="7" style="17" bestFit="1" customWidth="1"/>
    <col min="1292" max="1292" width="6.28515625" style="17" customWidth="1"/>
    <col min="1293" max="1293" width="20.42578125" style="17" customWidth="1"/>
    <col min="1294" max="1294" width="6.42578125" style="17" bestFit="1" customWidth="1"/>
    <col min="1295" max="1296" width="8.42578125" style="17"/>
    <col min="1297" max="1297" width="3.28515625" style="17" customWidth="1"/>
    <col min="1298" max="1536" width="8.42578125" style="17"/>
    <col min="1537" max="1537" width="10" style="17" bestFit="1" customWidth="1"/>
    <col min="1538" max="1538" width="44.28515625" style="17" bestFit="1" customWidth="1"/>
    <col min="1539" max="1539" width="10.42578125" style="17" bestFit="1" customWidth="1"/>
    <col min="1540" max="1540" width="10.42578125" style="17" customWidth="1"/>
    <col min="1541" max="1541" width="9.7109375" style="17" bestFit="1" customWidth="1"/>
    <col min="1542" max="1543" width="9.5703125" style="17" bestFit="1" customWidth="1"/>
    <col min="1544" max="1544" width="10.42578125" style="17" bestFit="1" customWidth="1"/>
    <col min="1545" max="1545" width="4.5703125" style="17" customWidth="1"/>
    <col min="1546" max="1546" width="1.85546875" style="17" customWidth="1"/>
    <col min="1547" max="1547" width="7" style="17" bestFit="1" customWidth="1"/>
    <col min="1548" max="1548" width="6.28515625" style="17" customWidth="1"/>
    <col min="1549" max="1549" width="20.42578125" style="17" customWidth="1"/>
    <col min="1550" max="1550" width="6.42578125" style="17" bestFit="1" customWidth="1"/>
    <col min="1551" max="1552" width="8.42578125" style="17"/>
    <col min="1553" max="1553" width="3.28515625" style="17" customWidth="1"/>
    <col min="1554" max="1792" width="8.42578125" style="17"/>
    <col min="1793" max="1793" width="10" style="17" bestFit="1" customWidth="1"/>
    <col min="1794" max="1794" width="44.28515625" style="17" bestFit="1" customWidth="1"/>
    <col min="1795" max="1795" width="10.42578125" style="17" bestFit="1" customWidth="1"/>
    <col min="1796" max="1796" width="10.42578125" style="17" customWidth="1"/>
    <col min="1797" max="1797" width="9.7109375" style="17" bestFit="1" customWidth="1"/>
    <col min="1798" max="1799" width="9.5703125" style="17" bestFit="1" customWidth="1"/>
    <col min="1800" max="1800" width="10.42578125" style="17" bestFit="1" customWidth="1"/>
    <col min="1801" max="1801" width="4.5703125" style="17" customWidth="1"/>
    <col min="1802" max="1802" width="1.85546875" style="17" customWidth="1"/>
    <col min="1803" max="1803" width="7" style="17" bestFit="1" customWidth="1"/>
    <col min="1804" max="1804" width="6.28515625" style="17" customWidth="1"/>
    <col min="1805" max="1805" width="20.42578125" style="17" customWidth="1"/>
    <col min="1806" max="1806" width="6.42578125" style="17" bestFit="1" customWidth="1"/>
    <col min="1807" max="1808" width="8.42578125" style="17"/>
    <col min="1809" max="1809" width="3.28515625" style="17" customWidth="1"/>
    <col min="1810" max="2048" width="8.42578125" style="17"/>
    <col min="2049" max="2049" width="10" style="17" bestFit="1" customWidth="1"/>
    <col min="2050" max="2050" width="44.28515625" style="17" bestFit="1" customWidth="1"/>
    <col min="2051" max="2051" width="10.42578125" style="17" bestFit="1" customWidth="1"/>
    <col min="2052" max="2052" width="10.42578125" style="17" customWidth="1"/>
    <col min="2053" max="2053" width="9.7109375" style="17" bestFit="1" customWidth="1"/>
    <col min="2054" max="2055" width="9.5703125" style="17" bestFit="1" customWidth="1"/>
    <col min="2056" max="2056" width="10.42578125" style="17" bestFit="1" customWidth="1"/>
    <col min="2057" max="2057" width="4.5703125" style="17" customWidth="1"/>
    <col min="2058" max="2058" width="1.85546875" style="17" customWidth="1"/>
    <col min="2059" max="2059" width="7" style="17" bestFit="1" customWidth="1"/>
    <col min="2060" max="2060" width="6.28515625" style="17" customWidth="1"/>
    <col min="2061" max="2061" width="20.42578125" style="17" customWidth="1"/>
    <col min="2062" max="2062" width="6.42578125" style="17" bestFit="1" customWidth="1"/>
    <col min="2063" max="2064" width="8.42578125" style="17"/>
    <col min="2065" max="2065" width="3.28515625" style="17" customWidth="1"/>
    <col min="2066" max="2304" width="8.42578125" style="17"/>
    <col min="2305" max="2305" width="10" style="17" bestFit="1" customWidth="1"/>
    <col min="2306" max="2306" width="44.28515625" style="17" bestFit="1" customWidth="1"/>
    <col min="2307" max="2307" width="10.42578125" style="17" bestFit="1" customWidth="1"/>
    <col min="2308" max="2308" width="10.42578125" style="17" customWidth="1"/>
    <col min="2309" max="2309" width="9.7109375" style="17" bestFit="1" customWidth="1"/>
    <col min="2310" max="2311" width="9.5703125" style="17" bestFit="1" customWidth="1"/>
    <col min="2312" max="2312" width="10.42578125" style="17" bestFit="1" customWidth="1"/>
    <col min="2313" max="2313" width="4.5703125" style="17" customWidth="1"/>
    <col min="2314" max="2314" width="1.85546875" style="17" customWidth="1"/>
    <col min="2315" max="2315" width="7" style="17" bestFit="1" customWidth="1"/>
    <col min="2316" max="2316" width="6.28515625" style="17" customWidth="1"/>
    <col min="2317" max="2317" width="20.42578125" style="17" customWidth="1"/>
    <col min="2318" max="2318" width="6.42578125" style="17" bestFit="1" customWidth="1"/>
    <col min="2319" max="2320" width="8.42578125" style="17"/>
    <col min="2321" max="2321" width="3.28515625" style="17" customWidth="1"/>
    <col min="2322" max="2560" width="8.42578125" style="17"/>
    <col min="2561" max="2561" width="10" style="17" bestFit="1" customWidth="1"/>
    <col min="2562" max="2562" width="44.28515625" style="17" bestFit="1" customWidth="1"/>
    <col min="2563" max="2563" width="10.42578125" style="17" bestFit="1" customWidth="1"/>
    <col min="2564" max="2564" width="10.42578125" style="17" customWidth="1"/>
    <col min="2565" max="2565" width="9.7109375" style="17" bestFit="1" customWidth="1"/>
    <col min="2566" max="2567" width="9.5703125" style="17" bestFit="1" customWidth="1"/>
    <col min="2568" max="2568" width="10.42578125" style="17" bestFit="1" customWidth="1"/>
    <col min="2569" max="2569" width="4.5703125" style="17" customWidth="1"/>
    <col min="2570" max="2570" width="1.85546875" style="17" customWidth="1"/>
    <col min="2571" max="2571" width="7" style="17" bestFit="1" customWidth="1"/>
    <col min="2572" max="2572" width="6.28515625" style="17" customWidth="1"/>
    <col min="2573" max="2573" width="20.42578125" style="17" customWidth="1"/>
    <col min="2574" max="2574" width="6.42578125" style="17" bestFit="1" customWidth="1"/>
    <col min="2575" max="2576" width="8.42578125" style="17"/>
    <col min="2577" max="2577" width="3.28515625" style="17" customWidth="1"/>
    <col min="2578" max="2816" width="8.42578125" style="17"/>
    <col min="2817" max="2817" width="10" style="17" bestFit="1" customWidth="1"/>
    <col min="2818" max="2818" width="44.28515625" style="17" bestFit="1" customWidth="1"/>
    <col min="2819" max="2819" width="10.42578125" style="17" bestFit="1" customWidth="1"/>
    <col min="2820" max="2820" width="10.42578125" style="17" customWidth="1"/>
    <col min="2821" max="2821" width="9.7109375" style="17" bestFit="1" customWidth="1"/>
    <col min="2822" max="2823" width="9.5703125" style="17" bestFit="1" customWidth="1"/>
    <col min="2824" max="2824" width="10.42578125" style="17" bestFit="1" customWidth="1"/>
    <col min="2825" max="2825" width="4.5703125" style="17" customWidth="1"/>
    <col min="2826" max="2826" width="1.85546875" style="17" customWidth="1"/>
    <col min="2827" max="2827" width="7" style="17" bestFit="1" customWidth="1"/>
    <col min="2828" max="2828" width="6.28515625" style="17" customWidth="1"/>
    <col min="2829" max="2829" width="20.42578125" style="17" customWidth="1"/>
    <col min="2830" max="2830" width="6.42578125" style="17" bestFit="1" customWidth="1"/>
    <col min="2831" max="2832" width="8.42578125" style="17"/>
    <col min="2833" max="2833" width="3.28515625" style="17" customWidth="1"/>
    <col min="2834" max="3072" width="8.42578125" style="17"/>
    <col min="3073" max="3073" width="10" style="17" bestFit="1" customWidth="1"/>
    <col min="3074" max="3074" width="44.28515625" style="17" bestFit="1" customWidth="1"/>
    <col min="3075" max="3075" width="10.42578125" style="17" bestFit="1" customWidth="1"/>
    <col min="3076" max="3076" width="10.42578125" style="17" customWidth="1"/>
    <col min="3077" max="3077" width="9.7109375" style="17" bestFit="1" customWidth="1"/>
    <col min="3078" max="3079" width="9.5703125" style="17" bestFit="1" customWidth="1"/>
    <col min="3080" max="3080" width="10.42578125" style="17" bestFit="1" customWidth="1"/>
    <col min="3081" max="3081" width="4.5703125" style="17" customWidth="1"/>
    <col min="3082" max="3082" width="1.85546875" style="17" customWidth="1"/>
    <col min="3083" max="3083" width="7" style="17" bestFit="1" customWidth="1"/>
    <col min="3084" max="3084" width="6.28515625" style="17" customWidth="1"/>
    <col min="3085" max="3085" width="20.42578125" style="17" customWidth="1"/>
    <col min="3086" max="3086" width="6.42578125" style="17" bestFit="1" customWidth="1"/>
    <col min="3087" max="3088" width="8.42578125" style="17"/>
    <col min="3089" max="3089" width="3.28515625" style="17" customWidth="1"/>
    <col min="3090" max="3328" width="8.42578125" style="17"/>
    <col min="3329" max="3329" width="10" style="17" bestFit="1" customWidth="1"/>
    <col min="3330" max="3330" width="44.28515625" style="17" bestFit="1" customWidth="1"/>
    <col min="3331" max="3331" width="10.42578125" style="17" bestFit="1" customWidth="1"/>
    <col min="3332" max="3332" width="10.42578125" style="17" customWidth="1"/>
    <col min="3333" max="3333" width="9.7109375" style="17" bestFit="1" customWidth="1"/>
    <col min="3334" max="3335" width="9.5703125" style="17" bestFit="1" customWidth="1"/>
    <col min="3336" max="3336" width="10.42578125" style="17" bestFit="1" customWidth="1"/>
    <col min="3337" max="3337" width="4.5703125" style="17" customWidth="1"/>
    <col min="3338" max="3338" width="1.85546875" style="17" customWidth="1"/>
    <col min="3339" max="3339" width="7" style="17" bestFit="1" customWidth="1"/>
    <col min="3340" max="3340" width="6.28515625" style="17" customWidth="1"/>
    <col min="3341" max="3341" width="20.42578125" style="17" customWidth="1"/>
    <col min="3342" max="3342" width="6.42578125" style="17" bestFit="1" customWidth="1"/>
    <col min="3343" max="3344" width="8.42578125" style="17"/>
    <col min="3345" max="3345" width="3.28515625" style="17" customWidth="1"/>
    <col min="3346" max="3584" width="8.42578125" style="17"/>
    <col min="3585" max="3585" width="10" style="17" bestFit="1" customWidth="1"/>
    <col min="3586" max="3586" width="44.28515625" style="17" bestFit="1" customWidth="1"/>
    <col min="3587" max="3587" width="10.42578125" style="17" bestFit="1" customWidth="1"/>
    <col min="3588" max="3588" width="10.42578125" style="17" customWidth="1"/>
    <col min="3589" max="3589" width="9.7109375" style="17" bestFit="1" customWidth="1"/>
    <col min="3590" max="3591" width="9.5703125" style="17" bestFit="1" customWidth="1"/>
    <col min="3592" max="3592" width="10.42578125" style="17" bestFit="1" customWidth="1"/>
    <col min="3593" max="3593" width="4.5703125" style="17" customWidth="1"/>
    <col min="3594" max="3594" width="1.85546875" style="17" customWidth="1"/>
    <col min="3595" max="3595" width="7" style="17" bestFit="1" customWidth="1"/>
    <col min="3596" max="3596" width="6.28515625" style="17" customWidth="1"/>
    <col min="3597" max="3597" width="20.42578125" style="17" customWidth="1"/>
    <col min="3598" max="3598" width="6.42578125" style="17" bestFit="1" customWidth="1"/>
    <col min="3599" max="3600" width="8.42578125" style="17"/>
    <col min="3601" max="3601" width="3.28515625" style="17" customWidth="1"/>
    <col min="3602" max="3840" width="8.42578125" style="17"/>
    <col min="3841" max="3841" width="10" style="17" bestFit="1" customWidth="1"/>
    <col min="3842" max="3842" width="44.28515625" style="17" bestFit="1" customWidth="1"/>
    <col min="3843" max="3843" width="10.42578125" style="17" bestFit="1" customWidth="1"/>
    <col min="3844" max="3844" width="10.42578125" style="17" customWidth="1"/>
    <col min="3845" max="3845" width="9.7109375" style="17" bestFit="1" customWidth="1"/>
    <col min="3846" max="3847" width="9.5703125" style="17" bestFit="1" customWidth="1"/>
    <col min="3848" max="3848" width="10.42578125" style="17" bestFit="1" customWidth="1"/>
    <col min="3849" max="3849" width="4.5703125" style="17" customWidth="1"/>
    <col min="3850" max="3850" width="1.85546875" style="17" customWidth="1"/>
    <col min="3851" max="3851" width="7" style="17" bestFit="1" customWidth="1"/>
    <col min="3852" max="3852" width="6.28515625" style="17" customWidth="1"/>
    <col min="3853" max="3853" width="20.42578125" style="17" customWidth="1"/>
    <col min="3854" max="3854" width="6.42578125" style="17" bestFit="1" customWidth="1"/>
    <col min="3855" max="3856" width="8.42578125" style="17"/>
    <col min="3857" max="3857" width="3.28515625" style="17" customWidth="1"/>
    <col min="3858" max="4096" width="8.42578125" style="17"/>
    <col min="4097" max="4097" width="10" style="17" bestFit="1" customWidth="1"/>
    <col min="4098" max="4098" width="44.28515625" style="17" bestFit="1" customWidth="1"/>
    <col min="4099" max="4099" width="10.42578125" style="17" bestFit="1" customWidth="1"/>
    <col min="4100" max="4100" width="10.42578125" style="17" customWidth="1"/>
    <col min="4101" max="4101" width="9.7109375" style="17" bestFit="1" customWidth="1"/>
    <col min="4102" max="4103" width="9.5703125" style="17" bestFit="1" customWidth="1"/>
    <col min="4104" max="4104" width="10.42578125" style="17" bestFit="1" customWidth="1"/>
    <col min="4105" max="4105" width="4.5703125" style="17" customWidth="1"/>
    <col min="4106" max="4106" width="1.85546875" style="17" customWidth="1"/>
    <col min="4107" max="4107" width="7" style="17" bestFit="1" customWidth="1"/>
    <col min="4108" max="4108" width="6.28515625" style="17" customWidth="1"/>
    <col min="4109" max="4109" width="20.42578125" style="17" customWidth="1"/>
    <col min="4110" max="4110" width="6.42578125" style="17" bestFit="1" customWidth="1"/>
    <col min="4111" max="4112" width="8.42578125" style="17"/>
    <col min="4113" max="4113" width="3.28515625" style="17" customWidth="1"/>
    <col min="4114" max="4352" width="8.42578125" style="17"/>
    <col min="4353" max="4353" width="10" style="17" bestFit="1" customWidth="1"/>
    <col min="4354" max="4354" width="44.28515625" style="17" bestFit="1" customWidth="1"/>
    <col min="4355" max="4355" width="10.42578125" style="17" bestFit="1" customWidth="1"/>
    <col min="4356" max="4356" width="10.42578125" style="17" customWidth="1"/>
    <col min="4357" max="4357" width="9.7109375" style="17" bestFit="1" customWidth="1"/>
    <col min="4358" max="4359" width="9.5703125" style="17" bestFit="1" customWidth="1"/>
    <col min="4360" max="4360" width="10.42578125" style="17" bestFit="1" customWidth="1"/>
    <col min="4361" max="4361" width="4.5703125" style="17" customWidth="1"/>
    <col min="4362" max="4362" width="1.85546875" style="17" customWidth="1"/>
    <col min="4363" max="4363" width="7" style="17" bestFit="1" customWidth="1"/>
    <col min="4364" max="4364" width="6.28515625" style="17" customWidth="1"/>
    <col min="4365" max="4365" width="20.42578125" style="17" customWidth="1"/>
    <col min="4366" max="4366" width="6.42578125" style="17" bestFit="1" customWidth="1"/>
    <col min="4367" max="4368" width="8.42578125" style="17"/>
    <col min="4369" max="4369" width="3.28515625" style="17" customWidth="1"/>
    <col min="4370" max="4608" width="8.42578125" style="17"/>
    <col min="4609" max="4609" width="10" style="17" bestFit="1" customWidth="1"/>
    <col min="4610" max="4610" width="44.28515625" style="17" bestFit="1" customWidth="1"/>
    <col min="4611" max="4611" width="10.42578125" style="17" bestFit="1" customWidth="1"/>
    <col min="4612" max="4612" width="10.42578125" style="17" customWidth="1"/>
    <col min="4613" max="4613" width="9.7109375" style="17" bestFit="1" customWidth="1"/>
    <col min="4614" max="4615" width="9.5703125" style="17" bestFit="1" customWidth="1"/>
    <col min="4616" max="4616" width="10.42578125" style="17" bestFit="1" customWidth="1"/>
    <col min="4617" max="4617" width="4.5703125" style="17" customWidth="1"/>
    <col min="4618" max="4618" width="1.85546875" style="17" customWidth="1"/>
    <col min="4619" max="4619" width="7" style="17" bestFit="1" customWidth="1"/>
    <col min="4620" max="4620" width="6.28515625" style="17" customWidth="1"/>
    <col min="4621" max="4621" width="20.42578125" style="17" customWidth="1"/>
    <col min="4622" max="4622" width="6.42578125" style="17" bestFit="1" customWidth="1"/>
    <col min="4623" max="4624" width="8.42578125" style="17"/>
    <col min="4625" max="4625" width="3.28515625" style="17" customWidth="1"/>
    <col min="4626" max="4864" width="8.42578125" style="17"/>
    <col min="4865" max="4865" width="10" style="17" bestFit="1" customWidth="1"/>
    <col min="4866" max="4866" width="44.28515625" style="17" bestFit="1" customWidth="1"/>
    <col min="4867" max="4867" width="10.42578125" style="17" bestFit="1" customWidth="1"/>
    <col min="4868" max="4868" width="10.42578125" style="17" customWidth="1"/>
    <col min="4869" max="4869" width="9.7109375" style="17" bestFit="1" customWidth="1"/>
    <col min="4870" max="4871" width="9.5703125" style="17" bestFit="1" customWidth="1"/>
    <col min="4872" max="4872" width="10.42578125" style="17" bestFit="1" customWidth="1"/>
    <col min="4873" max="4873" width="4.5703125" style="17" customWidth="1"/>
    <col min="4874" max="4874" width="1.85546875" style="17" customWidth="1"/>
    <col min="4875" max="4875" width="7" style="17" bestFit="1" customWidth="1"/>
    <col min="4876" max="4876" width="6.28515625" style="17" customWidth="1"/>
    <col min="4877" max="4877" width="20.42578125" style="17" customWidth="1"/>
    <col min="4878" max="4878" width="6.42578125" style="17" bestFit="1" customWidth="1"/>
    <col min="4879" max="4880" width="8.42578125" style="17"/>
    <col min="4881" max="4881" width="3.28515625" style="17" customWidth="1"/>
    <col min="4882" max="5120" width="8.42578125" style="17"/>
    <col min="5121" max="5121" width="10" style="17" bestFit="1" customWidth="1"/>
    <col min="5122" max="5122" width="44.28515625" style="17" bestFit="1" customWidth="1"/>
    <col min="5123" max="5123" width="10.42578125" style="17" bestFit="1" customWidth="1"/>
    <col min="5124" max="5124" width="10.42578125" style="17" customWidth="1"/>
    <col min="5125" max="5125" width="9.7109375" style="17" bestFit="1" customWidth="1"/>
    <col min="5126" max="5127" width="9.5703125" style="17" bestFit="1" customWidth="1"/>
    <col min="5128" max="5128" width="10.42578125" style="17" bestFit="1" customWidth="1"/>
    <col min="5129" max="5129" width="4.5703125" style="17" customWidth="1"/>
    <col min="5130" max="5130" width="1.85546875" style="17" customWidth="1"/>
    <col min="5131" max="5131" width="7" style="17" bestFit="1" customWidth="1"/>
    <col min="5132" max="5132" width="6.28515625" style="17" customWidth="1"/>
    <col min="5133" max="5133" width="20.42578125" style="17" customWidth="1"/>
    <col min="5134" max="5134" width="6.42578125" style="17" bestFit="1" customWidth="1"/>
    <col min="5135" max="5136" width="8.42578125" style="17"/>
    <col min="5137" max="5137" width="3.28515625" style="17" customWidth="1"/>
    <col min="5138" max="5376" width="8.42578125" style="17"/>
    <col min="5377" max="5377" width="10" style="17" bestFit="1" customWidth="1"/>
    <col min="5378" max="5378" width="44.28515625" style="17" bestFit="1" customWidth="1"/>
    <col min="5379" max="5379" width="10.42578125" style="17" bestFit="1" customWidth="1"/>
    <col min="5380" max="5380" width="10.42578125" style="17" customWidth="1"/>
    <col min="5381" max="5381" width="9.7109375" style="17" bestFit="1" customWidth="1"/>
    <col min="5382" max="5383" width="9.5703125" style="17" bestFit="1" customWidth="1"/>
    <col min="5384" max="5384" width="10.42578125" style="17" bestFit="1" customWidth="1"/>
    <col min="5385" max="5385" width="4.5703125" style="17" customWidth="1"/>
    <col min="5386" max="5386" width="1.85546875" style="17" customWidth="1"/>
    <col min="5387" max="5387" width="7" style="17" bestFit="1" customWidth="1"/>
    <col min="5388" max="5388" width="6.28515625" style="17" customWidth="1"/>
    <col min="5389" max="5389" width="20.42578125" style="17" customWidth="1"/>
    <col min="5390" max="5390" width="6.42578125" style="17" bestFit="1" customWidth="1"/>
    <col min="5391" max="5392" width="8.42578125" style="17"/>
    <col min="5393" max="5393" width="3.28515625" style="17" customWidth="1"/>
    <col min="5394" max="5632" width="8.42578125" style="17"/>
    <col min="5633" max="5633" width="10" style="17" bestFit="1" customWidth="1"/>
    <col min="5634" max="5634" width="44.28515625" style="17" bestFit="1" customWidth="1"/>
    <col min="5635" max="5635" width="10.42578125" style="17" bestFit="1" customWidth="1"/>
    <col min="5636" max="5636" width="10.42578125" style="17" customWidth="1"/>
    <col min="5637" max="5637" width="9.7109375" style="17" bestFit="1" customWidth="1"/>
    <col min="5638" max="5639" width="9.5703125" style="17" bestFit="1" customWidth="1"/>
    <col min="5640" max="5640" width="10.42578125" style="17" bestFit="1" customWidth="1"/>
    <col min="5641" max="5641" width="4.5703125" style="17" customWidth="1"/>
    <col min="5642" max="5642" width="1.85546875" style="17" customWidth="1"/>
    <col min="5643" max="5643" width="7" style="17" bestFit="1" customWidth="1"/>
    <col min="5644" max="5644" width="6.28515625" style="17" customWidth="1"/>
    <col min="5645" max="5645" width="20.42578125" style="17" customWidth="1"/>
    <col min="5646" max="5646" width="6.42578125" style="17" bestFit="1" customWidth="1"/>
    <col min="5647" max="5648" width="8.42578125" style="17"/>
    <col min="5649" max="5649" width="3.28515625" style="17" customWidth="1"/>
    <col min="5650" max="5888" width="8.42578125" style="17"/>
    <col min="5889" max="5889" width="10" style="17" bestFit="1" customWidth="1"/>
    <col min="5890" max="5890" width="44.28515625" style="17" bestFit="1" customWidth="1"/>
    <col min="5891" max="5891" width="10.42578125" style="17" bestFit="1" customWidth="1"/>
    <col min="5892" max="5892" width="10.42578125" style="17" customWidth="1"/>
    <col min="5893" max="5893" width="9.7109375" style="17" bestFit="1" customWidth="1"/>
    <col min="5894" max="5895" width="9.5703125" style="17" bestFit="1" customWidth="1"/>
    <col min="5896" max="5896" width="10.42578125" style="17" bestFit="1" customWidth="1"/>
    <col min="5897" max="5897" width="4.5703125" style="17" customWidth="1"/>
    <col min="5898" max="5898" width="1.85546875" style="17" customWidth="1"/>
    <col min="5899" max="5899" width="7" style="17" bestFit="1" customWidth="1"/>
    <col min="5900" max="5900" width="6.28515625" style="17" customWidth="1"/>
    <col min="5901" max="5901" width="20.42578125" style="17" customWidth="1"/>
    <col min="5902" max="5902" width="6.42578125" style="17" bestFit="1" customWidth="1"/>
    <col min="5903" max="5904" width="8.42578125" style="17"/>
    <col min="5905" max="5905" width="3.28515625" style="17" customWidth="1"/>
    <col min="5906" max="6144" width="8.42578125" style="17"/>
    <col min="6145" max="6145" width="10" style="17" bestFit="1" customWidth="1"/>
    <col min="6146" max="6146" width="44.28515625" style="17" bestFit="1" customWidth="1"/>
    <col min="6147" max="6147" width="10.42578125" style="17" bestFit="1" customWidth="1"/>
    <col min="6148" max="6148" width="10.42578125" style="17" customWidth="1"/>
    <col min="6149" max="6149" width="9.7109375" style="17" bestFit="1" customWidth="1"/>
    <col min="6150" max="6151" width="9.5703125" style="17" bestFit="1" customWidth="1"/>
    <col min="6152" max="6152" width="10.42578125" style="17" bestFit="1" customWidth="1"/>
    <col min="6153" max="6153" width="4.5703125" style="17" customWidth="1"/>
    <col min="6154" max="6154" width="1.85546875" style="17" customWidth="1"/>
    <col min="6155" max="6155" width="7" style="17" bestFit="1" customWidth="1"/>
    <col min="6156" max="6156" width="6.28515625" style="17" customWidth="1"/>
    <col min="6157" max="6157" width="20.42578125" style="17" customWidth="1"/>
    <col min="6158" max="6158" width="6.42578125" style="17" bestFit="1" customWidth="1"/>
    <col min="6159" max="6160" width="8.42578125" style="17"/>
    <col min="6161" max="6161" width="3.28515625" style="17" customWidth="1"/>
    <col min="6162" max="6400" width="8.42578125" style="17"/>
    <col min="6401" max="6401" width="10" style="17" bestFit="1" customWidth="1"/>
    <col min="6402" max="6402" width="44.28515625" style="17" bestFit="1" customWidth="1"/>
    <col min="6403" max="6403" width="10.42578125" style="17" bestFit="1" customWidth="1"/>
    <col min="6404" max="6404" width="10.42578125" style="17" customWidth="1"/>
    <col min="6405" max="6405" width="9.7109375" style="17" bestFit="1" customWidth="1"/>
    <col min="6406" max="6407" width="9.5703125" style="17" bestFit="1" customWidth="1"/>
    <col min="6408" max="6408" width="10.42578125" style="17" bestFit="1" customWidth="1"/>
    <col min="6409" max="6409" width="4.5703125" style="17" customWidth="1"/>
    <col min="6410" max="6410" width="1.85546875" style="17" customWidth="1"/>
    <col min="6411" max="6411" width="7" style="17" bestFit="1" customWidth="1"/>
    <col min="6412" max="6412" width="6.28515625" style="17" customWidth="1"/>
    <col min="6413" max="6413" width="20.42578125" style="17" customWidth="1"/>
    <col min="6414" max="6414" width="6.42578125" style="17" bestFit="1" customWidth="1"/>
    <col min="6415" max="6416" width="8.42578125" style="17"/>
    <col min="6417" max="6417" width="3.28515625" style="17" customWidth="1"/>
    <col min="6418" max="6656" width="8.42578125" style="17"/>
    <col min="6657" max="6657" width="10" style="17" bestFit="1" customWidth="1"/>
    <col min="6658" max="6658" width="44.28515625" style="17" bestFit="1" customWidth="1"/>
    <col min="6659" max="6659" width="10.42578125" style="17" bestFit="1" customWidth="1"/>
    <col min="6660" max="6660" width="10.42578125" style="17" customWidth="1"/>
    <col min="6661" max="6661" width="9.7109375" style="17" bestFit="1" customWidth="1"/>
    <col min="6662" max="6663" width="9.5703125" style="17" bestFit="1" customWidth="1"/>
    <col min="6664" max="6664" width="10.42578125" style="17" bestFit="1" customWidth="1"/>
    <col min="6665" max="6665" width="4.5703125" style="17" customWidth="1"/>
    <col min="6666" max="6666" width="1.85546875" style="17" customWidth="1"/>
    <col min="6667" max="6667" width="7" style="17" bestFit="1" customWidth="1"/>
    <col min="6668" max="6668" width="6.28515625" style="17" customWidth="1"/>
    <col min="6669" max="6669" width="20.42578125" style="17" customWidth="1"/>
    <col min="6670" max="6670" width="6.42578125" style="17" bestFit="1" customWidth="1"/>
    <col min="6671" max="6672" width="8.42578125" style="17"/>
    <col min="6673" max="6673" width="3.28515625" style="17" customWidth="1"/>
    <col min="6674" max="6912" width="8.42578125" style="17"/>
    <col min="6913" max="6913" width="10" style="17" bestFit="1" customWidth="1"/>
    <col min="6914" max="6914" width="44.28515625" style="17" bestFit="1" customWidth="1"/>
    <col min="6915" max="6915" width="10.42578125" style="17" bestFit="1" customWidth="1"/>
    <col min="6916" max="6916" width="10.42578125" style="17" customWidth="1"/>
    <col min="6917" max="6917" width="9.7109375" style="17" bestFit="1" customWidth="1"/>
    <col min="6918" max="6919" width="9.5703125" style="17" bestFit="1" customWidth="1"/>
    <col min="6920" max="6920" width="10.42578125" style="17" bestFit="1" customWidth="1"/>
    <col min="6921" max="6921" width="4.5703125" style="17" customWidth="1"/>
    <col min="6922" max="6922" width="1.85546875" style="17" customWidth="1"/>
    <col min="6923" max="6923" width="7" style="17" bestFit="1" customWidth="1"/>
    <col min="6924" max="6924" width="6.28515625" style="17" customWidth="1"/>
    <col min="6925" max="6925" width="20.42578125" style="17" customWidth="1"/>
    <col min="6926" max="6926" width="6.42578125" style="17" bestFit="1" customWidth="1"/>
    <col min="6927" max="6928" width="8.42578125" style="17"/>
    <col min="6929" max="6929" width="3.28515625" style="17" customWidth="1"/>
    <col min="6930" max="7168" width="8.42578125" style="17"/>
    <col min="7169" max="7169" width="10" style="17" bestFit="1" customWidth="1"/>
    <col min="7170" max="7170" width="44.28515625" style="17" bestFit="1" customWidth="1"/>
    <col min="7171" max="7171" width="10.42578125" style="17" bestFit="1" customWidth="1"/>
    <col min="7172" max="7172" width="10.42578125" style="17" customWidth="1"/>
    <col min="7173" max="7173" width="9.7109375" style="17" bestFit="1" customWidth="1"/>
    <col min="7174" max="7175" width="9.5703125" style="17" bestFit="1" customWidth="1"/>
    <col min="7176" max="7176" width="10.42578125" style="17" bestFit="1" customWidth="1"/>
    <col min="7177" max="7177" width="4.5703125" style="17" customWidth="1"/>
    <col min="7178" max="7178" width="1.85546875" style="17" customWidth="1"/>
    <col min="7179" max="7179" width="7" style="17" bestFit="1" customWidth="1"/>
    <col min="7180" max="7180" width="6.28515625" style="17" customWidth="1"/>
    <col min="7181" max="7181" width="20.42578125" style="17" customWidth="1"/>
    <col min="7182" max="7182" width="6.42578125" style="17" bestFit="1" customWidth="1"/>
    <col min="7183" max="7184" width="8.42578125" style="17"/>
    <col min="7185" max="7185" width="3.28515625" style="17" customWidth="1"/>
    <col min="7186" max="7424" width="8.42578125" style="17"/>
    <col min="7425" max="7425" width="10" style="17" bestFit="1" customWidth="1"/>
    <col min="7426" max="7426" width="44.28515625" style="17" bestFit="1" customWidth="1"/>
    <col min="7427" max="7427" width="10.42578125" style="17" bestFit="1" customWidth="1"/>
    <col min="7428" max="7428" width="10.42578125" style="17" customWidth="1"/>
    <col min="7429" max="7429" width="9.7109375" style="17" bestFit="1" customWidth="1"/>
    <col min="7430" max="7431" width="9.5703125" style="17" bestFit="1" customWidth="1"/>
    <col min="7432" max="7432" width="10.42578125" style="17" bestFit="1" customWidth="1"/>
    <col min="7433" max="7433" width="4.5703125" style="17" customWidth="1"/>
    <col min="7434" max="7434" width="1.85546875" style="17" customWidth="1"/>
    <col min="7435" max="7435" width="7" style="17" bestFit="1" customWidth="1"/>
    <col min="7436" max="7436" width="6.28515625" style="17" customWidth="1"/>
    <col min="7437" max="7437" width="20.42578125" style="17" customWidth="1"/>
    <col min="7438" max="7438" width="6.42578125" style="17" bestFit="1" customWidth="1"/>
    <col min="7439" max="7440" width="8.42578125" style="17"/>
    <col min="7441" max="7441" width="3.28515625" style="17" customWidth="1"/>
    <col min="7442" max="7680" width="8.42578125" style="17"/>
    <col min="7681" max="7681" width="10" style="17" bestFit="1" customWidth="1"/>
    <col min="7682" max="7682" width="44.28515625" style="17" bestFit="1" customWidth="1"/>
    <col min="7683" max="7683" width="10.42578125" style="17" bestFit="1" customWidth="1"/>
    <col min="7684" max="7684" width="10.42578125" style="17" customWidth="1"/>
    <col min="7685" max="7685" width="9.7109375" style="17" bestFit="1" customWidth="1"/>
    <col min="7686" max="7687" width="9.5703125" style="17" bestFit="1" customWidth="1"/>
    <col min="7688" max="7688" width="10.42578125" style="17" bestFit="1" customWidth="1"/>
    <col min="7689" max="7689" width="4.5703125" style="17" customWidth="1"/>
    <col min="7690" max="7690" width="1.85546875" style="17" customWidth="1"/>
    <col min="7691" max="7691" width="7" style="17" bestFit="1" customWidth="1"/>
    <col min="7692" max="7692" width="6.28515625" style="17" customWidth="1"/>
    <col min="7693" max="7693" width="20.42578125" style="17" customWidth="1"/>
    <col min="7694" max="7694" width="6.42578125" style="17" bestFit="1" customWidth="1"/>
    <col min="7695" max="7696" width="8.42578125" style="17"/>
    <col min="7697" max="7697" width="3.28515625" style="17" customWidth="1"/>
    <col min="7698" max="7936" width="8.42578125" style="17"/>
    <col min="7937" max="7937" width="10" style="17" bestFit="1" customWidth="1"/>
    <col min="7938" max="7938" width="44.28515625" style="17" bestFit="1" customWidth="1"/>
    <col min="7939" max="7939" width="10.42578125" style="17" bestFit="1" customWidth="1"/>
    <col min="7940" max="7940" width="10.42578125" style="17" customWidth="1"/>
    <col min="7941" max="7941" width="9.7109375" style="17" bestFit="1" customWidth="1"/>
    <col min="7942" max="7943" width="9.5703125" style="17" bestFit="1" customWidth="1"/>
    <col min="7944" max="7944" width="10.42578125" style="17" bestFit="1" customWidth="1"/>
    <col min="7945" max="7945" width="4.5703125" style="17" customWidth="1"/>
    <col min="7946" max="7946" width="1.85546875" style="17" customWidth="1"/>
    <col min="7947" max="7947" width="7" style="17" bestFit="1" customWidth="1"/>
    <col min="7948" max="7948" width="6.28515625" style="17" customWidth="1"/>
    <col min="7949" max="7949" width="20.42578125" style="17" customWidth="1"/>
    <col min="7950" max="7950" width="6.42578125" style="17" bestFit="1" customWidth="1"/>
    <col min="7951" max="7952" width="8.42578125" style="17"/>
    <col min="7953" max="7953" width="3.28515625" style="17" customWidth="1"/>
    <col min="7954" max="8192" width="8.42578125" style="17"/>
    <col min="8193" max="8193" width="10" style="17" bestFit="1" customWidth="1"/>
    <col min="8194" max="8194" width="44.28515625" style="17" bestFit="1" customWidth="1"/>
    <col min="8195" max="8195" width="10.42578125" style="17" bestFit="1" customWidth="1"/>
    <col min="8196" max="8196" width="10.42578125" style="17" customWidth="1"/>
    <col min="8197" max="8197" width="9.7109375" style="17" bestFit="1" customWidth="1"/>
    <col min="8198" max="8199" width="9.5703125" style="17" bestFit="1" customWidth="1"/>
    <col min="8200" max="8200" width="10.42578125" style="17" bestFit="1" customWidth="1"/>
    <col min="8201" max="8201" width="4.5703125" style="17" customWidth="1"/>
    <col min="8202" max="8202" width="1.85546875" style="17" customWidth="1"/>
    <col min="8203" max="8203" width="7" style="17" bestFit="1" customWidth="1"/>
    <col min="8204" max="8204" width="6.28515625" style="17" customWidth="1"/>
    <col min="8205" max="8205" width="20.42578125" style="17" customWidth="1"/>
    <col min="8206" max="8206" width="6.42578125" style="17" bestFit="1" customWidth="1"/>
    <col min="8207" max="8208" width="8.42578125" style="17"/>
    <col min="8209" max="8209" width="3.28515625" style="17" customWidth="1"/>
    <col min="8210" max="8448" width="8.42578125" style="17"/>
    <col min="8449" max="8449" width="10" style="17" bestFit="1" customWidth="1"/>
    <col min="8450" max="8450" width="44.28515625" style="17" bestFit="1" customWidth="1"/>
    <col min="8451" max="8451" width="10.42578125" style="17" bestFit="1" customWidth="1"/>
    <col min="8452" max="8452" width="10.42578125" style="17" customWidth="1"/>
    <col min="8453" max="8453" width="9.7109375" style="17" bestFit="1" customWidth="1"/>
    <col min="8454" max="8455" width="9.5703125" style="17" bestFit="1" customWidth="1"/>
    <col min="8456" max="8456" width="10.42578125" style="17" bestFit="1" customWidth="1"/>
    <col min="8457" max="8457" width="4.5703125" style="17" customWidth="1"/>
    <col min="8458" max="8458" width="1.85546875" style="17" customWidth="1"/>
    <col min="8459" max="8459" width="7" style="17" bestFit="1" customWidth="1"/>
    <col min="8460" max="8460" width="6.28515625" style="17" customWidth="1"/>
    <col min="8461" max="8461" width="20.42578125" style="17" customWidth="1"/>
    <col min="8462" max="8462" width="6.42578125" style="17" bestFit="1" customWidth="1"/>
    <col min="8463" max="8464" width="8.42578125" style="17"/>
    <col min="8465" max="8465" width="3.28515625" style="17" customWidth="1"/>
    <col min="8466" max="8704" width="8.42578125" style="17"/>
    <col min="8705" max="8705" width="10" style="17" bestFit="1" customWidth="1"/>
    <col min="8706" max="8706" width="44.28515625" style="17" bestFit="1" customWidth="1"/>
    <col min="8707" max="8707" width="10.42578125" style="17" bestFit="1" customWidth="1"/>
    <col min="8708" max="8708" width="10.42578125" style="17" customWidth="1"/>
    <col min="8709" max="8709" width="9.7109375" style="17" bestFit="1" customWidth="1"/>
    <col min="8710" max="8711" width="9.5703125" style="17" bestFit="1" customWidth="1"/>
    <col min="8712" max="8712" width="10.42578125" style="17" bestFit="1" customWidth="1"/>
    <col min="8713" max="8713" width="4.5703125" style="17" customWidth="1"/>
    <col min="8714" max="8714" width="1.85546875" style="17" customWidth="1"/>
    <col min="8715" max="8715" width="7" style="17" bestFit="1" customWidth="1"/>
    <col min="8716" max="8716" width="6.28515625" style="17" customWidth="1"/>
    <col min="8717" max="8717" width="20.42578125" style="17" customWidth="1"/>
    <col min="8718" max="8718" width="6.42578125" style="17" bestFit="1" customWidth="1"/>
    <col min="8719" max="8720" width="8.42578125" style="17"/>
    <col min="8721" max="8721" width="3.28515625" style="17" customWidth="1"/>
    <col min="8722" max="8960" width="8.42578125" style="17"/>
    <col min="8961" max="8961" width="10" style="17" bestFit="1" customWidth="1"/>
    <col min="8962" max="8962" width="44.28515625" style="17" bestFit="1" customWidth="1"/>
    <col min="8963" max="8963" width="10.42578125" style="17" bestFit="1" customWidth="1"/>
    <col min="8964" max="8964" width="10.42578125" style="17" customWidth="1"/>
    <col min="8965" max="8965" width="9.7109375" style="17" bestFit="1" customWidth="1"/>
    <col min="8966" max="8967" width="9.5703125" style="17" bestFit="1" customWidth="1"/>
    <col min="8968" max="8968" width="10.42578125" style="17" bestFit="1" customWidth="1"/>
    <col min="8969" max="8969" width="4.5703125" style="17" customWidth="1"/>
    <col min="8970" max="8970" width="1.85546875" style="17" customWidth="1"/>
    <col min="8971" max="8971" width="7" style="17" bestFit="1" customWidth="1"/>
    <col min="8972" max="8972" width="6.28515625" style="17" customWidth="1"/>
    <col min="8973" max="8973" width="20.42578125" style="17" customWidth="1"/>
    <col min="8974" max="8974" width="6.42578125" style="17" bestFit="1" customWidth="1"/>
    <col min="8975" max="8976" width="8.42578125" style="17"/>
    <col min="8977" max="8977" width="3.28515625" style="17" customWidth="1"/>
    <col min="8978" max="9216" width="8.42578125" style="17"/>
    <col min="9217" max="9217" width="10" style="17" bestFit="1" customWidth="1"/>
    <col min="9218" max="9218" width="44.28515625" style="17" bestFit="1" customWidth="1"/>
    <col min="9219" max="9219" width="10.42578125" style="17" bestFit="1" customWidth="1"/>
    <col min="9220" max="9220" width="10.42578125" style="17" customWidth="1"/>
    <col min="9221" max="9221" width="9.7109375" style="17" bestFit="1" customWidth="1"/>
    <col min="9222" max="9223" width="9.5703125" style="17" bestFit="1" customWidth="1"/>
    <col min="9224" max="9224" width="10.42578125" style="17" bestFit="1" customWidth="1"/>
    <col min="9225" max="9225" width="4.5703125" style="17" customWidth="1"/>
    <col min="9226" max="9226" width="1.85546875" style="17" customWidth="1"/>
    <col min="9227" max="9227" width="7" style="17" bestFit="1" customWidth="1"/>
    <col min="9228" max="9228" width="6.28515625" style="17" customWidth="1"/>
    <col min="9229" max="9229" width="20.42578125" style="17" customWidth="1"/>
    <col min="9230" max="9230" width="6.42578125" style="17" bestFit="1" customWidth="1"/>
    <col min="9231" max="9232" width="8.42578125" style="17"/>
    <col min="9233" max="9233" width="3.28515625" style="17" customWidth="1"/>
    <col min="9234" max="9472" width="8.42578125" style="17"/>
    <col min="9473" max="9473" width="10" style="17" bestFit="1" customWidth="1"/>
    <col min="9474" max="9474" width="44.28515625" style="17" bestFit="1" customWidth="1"/>
    <col min="9475" max="9475" width="10.42578125" style="17" bestFit="1" customWidth="1"/>
    <col min="9476" max="9476" width="10.42578125" style="17" customWidth="1"/>
    <col min="9477" max="9477" width="9.7109375" style="17" bestFit="1" customWidth="1"/>
    <col min="9478" max="9479" width="9.5703125" style="17" bestFit="1" customWidth="1"/>
    <col min="9480" max="9480" width="10.42578125" style="17" bestFit="1" customWidth="1"/>
    <col min="9481" max="9481" width="4.5703125" style="17" customWidth="1"/>
    <col min="9482" max="9482" width="1.85546875" style="17" customWidth="1"/>
    <col min="9483" max="9483" width="7" style="17" bestFit="1" customWidth="1"/>
    <col min="9484" max="9484" width="6.28515625" style="17" customWidth="1"/>
    <col min="9485" max="9485" width="20.42578125" style="17" customWidth="1"/>
    <col min="9486" max="9486" width="6.42578125" style="17" bestFit="1" customWidth="1"/>
    <col min="9487" max="9488" width="8.42578125" style="17"/>
    <col min="9489" max="9489" width="3.28515625" style="17" customWidth="1"/>
    <col min="9490" max="9728" width="8.42578125" style="17"/>
    <col min="9729" max="9729" width="10" style="17" bestFit="1" customWidth="1"/>
    <col min="9730" max="9730" width="44.28515625" style="17" bestFit="1" customWidth="1"/>
    <col min="9731" max="9731" width="10.42578125" style="17" bestFit="1" customWidth="1"/>
    <col min="9732" max="9732" width="10.42578125" style="17" customWidth="1"/>
    <col min="9733" max="9733" width="9.7109375" style="17" bestFit="1" customWidth="1"/>
    <col min="9734" max="9735" width="9.5703125" style="17" bestFit="1" customWidth="1"/>
    <col min="9736" max="9736" width="10.42578125" style="17" bestFit="1" customWidth="1"/>
    <col min="9737" max="9737" width="4.5703125" style="17" customWidth="1"/>
    <col min="9738" max="9738" width="1.85546875" style="17" customWidth="1"/>
    <col min="9739" max="9739" width="7" style="17" bestFit="1" customWidth="1"/>
    <col min="9740" max="9740" width="6.28515625" style="17" customWidth="1"/>
    <col min="9741" max="9741" width="20.42578125" style="17" customWidth="1"/>
    <col min="9742" max="9742" width="6.42578125" style="17" bestFit="1" customWidth="1"/>
    <col min="9743" max="9744" width="8.42578125" style="17"/>
    <col min="9745" max="9745" width="3.28515625" style="17" customWidth="1"/>
    <col min="9746" max="9984" width="8.42578125" style="17"/>
    <col min="9985" max="9985" width="10" style="17" bestFit="1" customWidth="1"/>
    <col min="9986" max="9986" width="44.28515625" style="17" bestFit="1" customWidth="1"/>
    <col min="9987" max="9987" width="10.42578125" style="17" bestFit="1" customWidth="1"/>
    <col min="9988" max="9988" width="10.42578125" style="17" customWidth="1"/>
    <col min="9989" max="9989" width="9.7109375" style="17" bestFit="1" customWidth="1"/>
    <col min="9990" max="9991" width="9.5703125" style="17" bestFit="1" customWidth="1"/>
    <col min="9992" max="9992" width="10.42578125" style="17" bestFit="1" customWidth="1"/>
    <col min="9993" max="9993" width="4.5703125" style="17" customWidth="1"/>
    <col min="9994" max="9994" width="1.85546875" style="17" customWidth="1"/>
    <col min="9995" max="9995" width="7" style="17" bestFit="1" customWidth="1"/>
    <col min="9996" max="9996" width="6.28515625" style="17" customWidth="1"/>
    <col min="9997" max="9997" width="20.42578125" style="17" customWidth="1"/>
    <col min="9998" max="9998" width="6.42578125" style="17" bestFit="1" customWidth="1"/>
    <col min="9999" max="10000" width="8.42578125" style="17"/>
    <col min="10001" max="10001" width="3.28515625" style="17" customWidth="1"/>
    <col min="10002" max="10240" width="8.42578125" style="17"/>
    <col min="10241" max="10241" width="10" style="17" bestFit="1" customWidth="1"/>
    <col min="10242" max="10242" width="44.28515625" style="17" bestFit="1" customWidth="1"/>
    <col min="10243" max="10243" width="10.42578125" style="17" bestFit="1" customWidth="1"/>
    <col min="10244" max="10244" width="10.42578125" style="17" customWidth="1"/>
    <col min="10245" max="10245" width="9.7109375" style="17" bestFit="1" customWidth="1"/>
    <col min="10246" max="10247" width="9.5703125" style="17" bestFit="1" customWidth="1"/>
    <col min="10248" max="10248" width="10.42578125" style="17" bestFit="1" customWidth="1"/>
    <col min="10249" max="10249" width="4.5703125" style="17" customWidth="1"/>
    <col min="10250" max="10250" width="1.85546875" style="17" customWidth="1"/>
    <col min="10251" max="10251" width="7" style="17" bestFit="1" customWidth="1"/>
    <col min="10252" max="10252" width="6.28515625" style="17" customWidth="1"/>
    <col min="10253" max="10253" width="20.42578125" style="17" customWidth="1"/>
    <col min="10254" max="10254" width="6.42578125" style="17" bestFit="1" customWidth="1"/>
    <col min="10255" max="10256" width="8.42578125" style="17"/>
    <col min="10257" max="10257" width="3.28515625" style="17" customWidth="1"/>
    <col min="10258" max="10496" width="8.42578125" style="17"/>
    <col min="10497" max="10497" width="10" style="17" bestFit="1" customWidth="1"/>
    <col min="10498" max="10498" width="44.28515625" style="17" bestFit="1" customWidth="1"/>
    <col min="10499" max="10499" width="10.42578125" style="17" bestFit="1" customWidth="1"/>
    <col min="10500" max="10500" width="10.42578125" style="17" customWidth="1"/>
    <col min="10501" max="10501" width="9.7109375" style="17" bestFit="1" customWidth="1"/>
    <col min="10502" max="10503" width="9.5703125" style="17" bestFit="1" customWidth="1"/>
    <col min="10504" max="10504" width="10.42578125" style="17" bestFit="1" customWidth="1"/>
    <col min="10505" max="10505" width="4.5703125" style="17" customWidth="1"/>
    <col min="10506" max="10506" width="1.85546875" style="17" customWidth="1"/>
    <col min="10507" max="10507" width="7" style="17" bestFit="1" customWidth="1"/>
    <col min="10508" max="10508" width="6.28515625" style="17" customWidth="1"/>
    <col min="10509" max="10509" width="20.42578125" style="17" customWidth="1"/>
    <col min="10510" max="10510" width="6.42578125" style="17" bestFit="1" customWidth="1"/>
    <col min="10511" max="10512" width="8.42578125" style="17"/>
    <col min="10513" max="10513" width="3.28515625" style="17" customWidth="1"/>
    <col min="10514" max="10752" width="8.42578125" style="17"/>
    <col min="10753" max="10753" width="10" style="17" bestFit="1" customWidth="1"/>
    <col min="10754" max="10754" width="44.28515625" style="17" bestFit="1" customWidth="1"/>
    <col min="10755" max="10755" width="10.42578125" style="17" bestFit="1" customWidth="1"/>
    <col min="10756" max="10756" width="10.42578125" style="17" customWidth="1"/>
    <col min="10757" max="10757" width="9.7109375" style="17" bestFit="1" customWidth="1"/>
    <col min="10758" max="10759" width="9.5703125" style="17" bestFit="1" customWidth="1"/>
    <col min="10760" max="10760" width="10.42578125" style="17" bestFit="1" customWidth="1"/>
    <col min="10761" max="10761" width="4.5703125" style="17" customWidth="1"/>
    <col min="10762" max="10762" width="1.85546875" style="17" customWidth="1"/>
    <col min="10763" max="10763" width="7" style="17" bestFit="1" customWidth="1"/>
    <col min="10764" max="10764" width="6.28515625" style="17" customWidth="1"/>
    <col min="10765" max="10765" width="20.42578125" style="17" customWidth="1"/>
    <col min="10766" max="10766" width="6.42578125" style="17" bestFit="1" customWidth="1"/>
    <col min="10767" max="10768" width="8.42578125" style="17"/>
    <col min="10769" max="10769" width="3.28515625" style="17" customWidth="1"/>
    <col min="10770" max="11008" width="8.42578125" style="17"/>
    <col min="11009" max="11009" width="10" style="17" bestFit="1" customWidth="1"/>
    <col min="11010" max="11010" width="44.28515625" style="17" bestFit="1" customWidth="1"/>
    <col min="11011" max="11011" width="10.42578125" style="17" bestFit="1" customWidth="1"/>
    <col min="11012" max="11012" width="10.42578125" style="17" customWidth="1"/>
    <col min="11013" max="11013" width="9.7109375" style="17" bestFit="1" customWidth="1"/>
    <col min="11014" max="11015" width="9.5703125" style="17" bestFit="1" customWidth="1"/>
    <col min="11016" max="11016" width="10.42578125" style="17" bestFit="1" customWidth="1"/>
    <col min="11017" max="11017" width="4.5703125" style="17" customWidth="1"/>
    <col min="11018" max="11018" width="1.85546875" style="17" customWidth="1"/>
    <col min="11019" max="11019" width="7" style="17" bestFit="1" customWidth="1"/>
    <col min="11020" max="11020" width="6.28515625" style="17" customWidth="1"/>
    <col min="11021" max="11021" width="20.42578125" style="17" customWidth="1"/>
    <col min="11022" max="11022" width="6.42578125" style="17" bestFit="1" customWidth="1"/>
    <col min="11023" max="11024" width="8.42578125" style="17"/>
    <col min="11025" max="11025" width="3.28515625" style="17" customWidth="1"/>
    <col min="11026" max="11264" width="8.42578125" style="17"/>
    <col min="11265" max="11265" width="10" style="17" bestFit="1" customWidth="1"/>
    <col min="11266" max="11266" width="44.28515625" style="17" bestFit="1" customWidth="1"/>
    <col min="11267" max="11267" width="10.42578125" style="17" bestFit="1" customWidth="1"/>
    <col min="11268" max="11268" width="10.42578125" style="17" customWidth="1"/>
    <col min="11269" max="11269" width="9.7109375" style="17" bestFit="1" customWidth="1"/>
    <col min="11270" max="11271" width="9.5703125" style="17" bestFit="1" customWidth="1"/>
    <col min="11272" max="11272" width="10.42578125" style="17" bestFit="1" customWidth="1"/>
    <col min="11273" max="11273" width="4.5703125" style="17" customWidth="1"/>
    <col min="11274" max="11274" width="1.85546875" style="17" customWidth="1"/>
    <col min="11275" max="11275" width="7" style="17" bestFit="1" customWidth="1"/>
    <col min="11276" max="11276" width="6.28515625" style="17" customWidth="1"/>
    <col min="11277" max="11277" width="20.42578125" style="17" customWidth="1"/>
    <col min="11278" max="11278" width="6.42578125" style="17" bestFit="1" customWidth="1"/>
    <col min="11279" max="11280" width="8.42578125" style="17"/>
    <col min="11281" max="11281" width="3.28515625" style="17" customWidth="1"/>
    <col min="11282" max="11520" width="8.42578125" style="17"/>
    <col min="11521" max="11521" width="10" style="17" bestFit="1" customWidth="1"/>
    <col min="11522" max="11522" width="44.28515625" style="17" bestFit="1" customWidth="1"/>
    <col min="11523" max="11523" width="10.42578125" style="17" bestFit="1" customWidth="1"/>
    <col min="11524" max="11524" width="10.42578125" style="17" customWidth="1"/>
    <col min="11525" max="11525" width="9.7109375" style="17" bestFit="1" customWidth="1"/>
    <col min="11526" max="11527" width="9.5703125" style="17" bestFit="1" customWidth="1"/>
    <col min="11528" max="11528" width="10.42578125" style="17" bestFit="1" customWidth="1"/>
    <col min="11529" max="11529" width="4.5703125" style="17" customWidth="1"/>
    <col min="11530" max="11530" width="1.85546875" style="17" customWidth="1"/>
    <col min="11531" max="11531" width="7" style="17" bestFit="1" customWidth="1"/>
    <col min="11532" max="11532" width="6.28515625" style="17" customWidth="1"/>
    <col min="11533" max="11533" width="20.42578125" style="17" customWidth="1"/>
    <col min="11534" max="11534" width="6.42578125" style="17" bestFit="1" customWidth="1"/>
    <col min="11535" max="11536" width="8.42578125" style="17"/>
    <col min="11537" max="11537" width="3.28515625" style="17" customWidth="1"/>
    <col min="11538" max="11776" width="8.42578125" style="17"/>
    <col min="11777" max="11777" width="10" style="17" bestFit="1" customWidth="1"/>
    <col min="11778" max="11778" width="44.28515625" style="17" bestFit="1" customWidth="1"/>
    <col min="11779" max="11779" width="10.42578125" style="17" bestFit="1" customWidth="1"/>
    <col min="11780" max="11780" width="10.42578125" style="17" customWidth="1"/>
    <col min="11781" max="11781" width="9.7109375" style="17" bestFit="1" customWidth="1"/>
    <col min="11782" max="11783" width="9.5703125" style="17" bestFit="1" customWidth="1"/>
    <col min="11784" max="11784" width="10.42578125" style="17" bestFit="1" customWidth="1"/>
    <col min="11785" max="11785" width="4.5703125" style="17" customWidth="1"/>
    <col min="11786" max="11786" width="1.85546875" style="17" customWidth="1"/>
    <col min="11787" max="11787" width="7" style="17" bestFit="1" customWidth="1"/>
    <col min="11788" max="11788" width="6.28515625" style="17" customWidth="1"/>
    <col min="11789" max="11789" width="20.42578125" style="17" customWidth="1"/>
    <col min="11790" max="11790" width="6.42578125" style="17" bestFit="1" customWidth="1"/>
    <col min="11791" max="11792" width="8.42578125" style="17"/>
    <col min="11793" max="11793" width="3.28515625" style="17" customWidth="1"/>
    <col min="11794" max="12032" width="8.42578125" style="17"/>
    <col min="12033" max="12033" width="10" style="17" bestFit="1" customWidth="1"/>
    <col min="12034" max="12034" width="44.28515625" style="17" bestFit="1" customWidth="1"/>
    <col min="12035" max="12035" width="10.42578125" style="17" bestFit="1" customWidth="1"/>
    <col min="12036" max="12036" width="10.42578125" style="17" customWidth="1"/>
    <col min="12037" max="12037" width="9.7109375" style="17" bestFit="1" customWidth="1"/>
    <col min="12038" max="12039" width="9.5703125" style="17" bestFit="1" customWidth="1"/>
    <col min="12040" max="12040" width="10.42578125" style="17" bestFit="1" customWidth="1"/>
    <col min="12041" max="12041" width="4.5703125" style="17" customWidth="1"/>
    <col min="12042" max="12042" width="1.85546875" style="17" customWidth="1"/>
    <col min="12043" max="12043" width="7" style="17" bestFit="1" customWidth="1"/>
    <col min="12044" max="12044" width="6.28515625" style="17" customWidth="1"/>
    <col min="12045" max="12045" width="20.42578125" style="17" customWidth="1"/>
    <col min="12046" max="12046" width="6.42578125" style="17" bestFit="1" customWidth="1"/>
    <col min="12047" max="12048" width="8.42578125" style="17"/>
    <col min="12049" max="12049" width="3.28515625" style="17" customWidth="1"/>
    <col min="12050" max="12288" width="8.42578125" style="17"/>
    <col min="12289" max="12289" width="10" style="17" bestFit="1" customWidth="1"/>
    <col min="12290" max="12290" width="44.28515625" style="17" bestFit="1" customWidth="1"/>
    <col min="12291" max="12291" width="10.42578125" style="17" bestFit="1" customWidth="1"/>
    <col min="12292" max="12292" width="10.42578125" style="17" customWidth="1"/>
    <col min="12293" max="12293" width="9.7109375" style="17" bestFit="1" customWidth="1"/>
    <col min="12294" max="12295" width="9.5703125" style="17" bestFit="1" customWidth="1"/>
    <col min="12296" max="12296" width="10.42578125" style="17" bestFit="1" customWidth="1"/>
    <col min="12297" max="12297" width="4.5703125" style="17" customWidth="1"/>
    <col min="12298" max="12298" width="1.85546875" style="17" customWidth="1"/>
    <col min="12299" max="12299" width="7" style="17" bestFit="1" customWidth="1"/>
    <col min="12300" max="12300" width="6.28515625" style="17" customWidth="1"/>
    <col min="12301" max="12301" width="20.42578125" style="17" customWidth="1"/>
    <col min="12302" max="12302" width="6.42578125" style="17" bestFit="1" customWidth="1"/>
    <col min="12303" max="12304" width="8.42578125" style="17"/>
    <col min="12305" max="12305" width="3.28515625" style="17" customWidth="1"/>
    <col min="12306" max="12544" width="8.42578125" style="17"/>
    <col min="12545" max="12545" width="10" style="17" bestFit="1" customWidth="1"/>
    <col min="12546" max="12546" width="44.28515625" style="17" bestFit="1" customWidth="1"/>
    <col min="12547" max="12547" width="10.42578125" style="17" bestFit="1" customWidth="1"/>
    <col min="12548" max="12548" width="10.42578125" style="17" customWidth="1"/>
    <col min="12549" max="12549" width="9.7109375" style="17" bestFit="1" customWidth="1"/>
    <col min="12550" max="12551" width="9.5703125" style="17" bestFit="1" customWidth="1"/>
    <col min="12552" max="12552" width="10.42578125" style="17" bestFit="1" customWidth="1"/>
    <col min="12553" max="12553" width="4.5703125" style="17" customWidth="1"/>
    <col min="12554" max="12554" width="1.85546875" style="17" customWidth="1"/>
    <col min="12555" max="12555" width="7" style="17" bestFit="1" customWidth="1"/>
    <col min="12556" max="12556" width="6.28515625" style="17" customWidth="1"/>
    <col min="12557" max="12557" width="20.42578125" style="17" customWidth="1"/>
    <col min="12558" max="12558" width="6.42578125" style="17" bestFit="1" customWidth="1"/>
    <col min="12559" max="12560" width="8.42578125" style="17"/>
    <col min="12561" max="12561" width="3.28515625" style="17" customWidth="1"/>
    <col min="12562" max="12800" width="8.42578125" style="17"/>
    <col min="12801" max="12801" width="10" style="17" bestFit="1" customWidth="1"/>
    <col min="12802" max="12802" width="44.28515625" style="17" bestFit="1" customWidth="1"/>
    <col min="12803" max="12803" width="10.42578125" style="17" bestFit="1" customWidth="1"/>
    <col min="12804" max="12804" width="10.42578125" style="17" customWidth="1"/>
    <col min="12805" max="12805" width="9.7109375" style="17" bestFit="1" customWidth="1"/>
    <col min="12806" max="12807" width="9.5703125" style="17" bestFit="1" customWidth="1"/>
    <col min="12808" max="12808" width="10.42578125" style="17" bestFit="1" customWidth="1"/>
    <col min="12809" max="12809" width="4.5703125" style="17" customWidth="1"/>
    <col min="12810" max="12810" width="1.85546875" style="17" customWidth="1"/>
    <col min="12811" max="12811" width="7" style="17" bestFit="1" customWidth="1"/>
    <col min="12812" max="12812" width="6.28515625" style="17" customWidth="1"/>
    <col min="12813" max="12813" width="20.42578125" style="17" customWidth="1"/>
    <col min="12814" max="12814" width="6.42578125" style="17" bestFit="1" customWidth="1"/>
    <col min="12815" max="12816" width="8.42578125" style="17"/>
    <col min="12817" max="12817" width="3.28515625" style="17" customWidth="1"/>
    <col min="12818" max="13056" width="8.42578125" style="17"/>
    <col min="13057" max="13057" width="10" style="17" bestFit="1" customWidth="1"/>
    <col min="13058" max="13058" width="44.28515625" style="17" bestFit="1" customWidth="1"/>
    <col min="13059" max="13059" width="10.42578125" style="17" bestFit="1" customWidth="1"/>
    <col min="13060" max="13060" width="10.42578125" style="17" customWidth="1"/>
    <col min="13061" max="13061" width="9.7109375" style="17" bestFit="1" customWidth="1"/>
    <col min="13062" max="13063" width="9.5703125" style="17" bestFit="1" customWidth="1"/>
    <col min="13064" max="13064" width="10.42578125" style="17" bestFit="1" customWidth="1"/>
    <col min="13065" max="13065" width="4.5703125" style="17" customWidth="1"/>
    <col min="13066" max="13066" width="1.85546875" style="17" customWidth="1"/>
    <col min="13067" max="13067" width="7" style="17" bestFit="1" customWidth="1"/>
    <col min="13068" max="13068" width="6.28515625" style="17" customWidth="1"/>
    <col min="13069" max="13069" width="20.42578125" style="17" customWidth="1"/>
    <col min="13070" max="13070" width="6.42578125" style="17" bestFit="1" customWidth="1"/>
    <col min="13071" max="13072" width="8.42578125" style="17"/>
    <col min="13073" max="13073" width="3.28515625" style="17" customWidth="1"/>
    <col min="13074" max="13312" width="8.42578125" style="17"/>
    <col min="13313" max="13313" width="10" style="17" bestFit="1" customWidth="1"/>
    <col min="13314" max="13314" width="44.28515625" style="17" bestFit="1" customWidth="1"/>
    <col min="13315" max="13315" width="10.42578125" style="17" bestFit="1" customWidth="1"/>
    <col min="13316" max="13316" width="10.42578125" style="17" customWidth="1"/>
    <col min="13317" max="13317" width="9.7109375" style="17" bestFit="1" customWidth="1"/>
    <col min="13318" max="13319" width="9.5703125" style="17" bestFit="1" customWidth="1"/>
    <col min="13320" max="13320" width="10.42578125" style="17" bestFit="1" customWidth="1"/>
    <col min="13321" max="13321" width="4.5703125" style="17" customWidth="1"/>
    <col min="13322" max="13322" width="1.85546875" style="17" customWidth="1"/>
    <col min="13323" max="13323" width="7" style="17" bestFit="1" customWidth="1"/>
    <col min="13324" max="13324" width="6.28515625" style="17" customWidth="1"/>
    <col min="13325" max="13325" width="20.42578125" style="17" customWidth="1"/>
    <col min="13326" max="13326" width="6.42578125" style="17" bestFit="1" customWidth="1"/>
    <col min="13327" max="13328" width="8.42578125" style="17"/>
    <col min="13329" max="13329" width="3.28515625" style="17" customWidth="1"/>
    <col min="13330" max="13568" width="8.42578125" style="17"/>
    <col min="13569" max="13569" width="10" style="17" bestFit="1" customWidth="1"/>
    <col min="13570" max="13570" width="44.28515625" style="17" bestFit="1" customWidth="1"/>
    <col min="13571" max="13571" width="10.42578125" style="17" bestFit="1" customWidth="1"/>
    <col min="13572" max="13572" width="10.42578125" style="17" customWidth="1"/>
    <col min="13573" max="13573" width="9.7109375" style="17" bestFit="1" customWidth="1"/>
    <col min="13574" max="13575" width="9.5703125" style="17" bestFit="1" customWidth="1"/>
    <col min="13576" max="13576" width="10.42578125" style="17" bestFit="1" customWidth="1"/>
    <col min="13577" max="13577" width="4.5703125" style="17" customWidth="1"/>
    <col min="13578" max="13578" width="1.85546875" style="17" customWidth="1"/>
    <col min="13579" max="13579" width="7" style="17" bestFit="1" customWidth="1"/>
    <col min="13580" max="13580" width="6.28515625" style="17" customWidth="1"/>
    <col min="13581" max="13581" width="20.42578125" style="17" customWidth="1"/>
    <col min="13582" max="13582" width="6.42578125" style="17" bestFit="1" customWidth="1"/>
    <col min="13583" max="13584" width="8.42578125" style="17"/>
    <col min="13585" max="13585" width="3.28515625" style="17" customWidth="1"/>
    <col min="13586" max="13824" width="8.42578125" style="17"/>
    <col min="13825" max="13825" width="10" style="17" bestFit="1" customWidth="1"/>
    <col min="13826" max="13826" width="44.28515625" style="17" bestFit="1" customWidth="1"/>
    <col min="13827" max="13827" width="10.42578125" style="17" bestFit="1" customWidth="1"/>
    <col min="13828" max="13828" width="10.42578125" style="17" customWidth="1"/>
    <col min="13829" max="13829" width="9.7109375" style="17" bestFit="1" customWidth="1"/>
    <col min="13830" max="13831" width="9.5703125" style="17" bestFit="1" customWidth="1"/>
    <col min="13832" max="13832" width="10.42578125" style="17" bestFit="1" customWidth="1"/>
    <col min="13833" max="13833" width="4.5703125" style="17" customWidth="1"/>
    <col min="13834" max="13834" width="1.85546875" style="17" customWidth="1"/>
    <col min="13835" max="13835" width="7" style="17" bestFit="1" customWidth="1"/>
    <col min="13836" max="13836" width="6.28515625" style="17" customWidth="1"/>
    <col min="13837" max="13837" width="20.42578125" style="17" customWidth="1"/>
    <col min="13838" max="13838" width="6.42578125" style="17" bestFit="1" customWidth="1"/>
    <col min="13839" max="13840" width="8.42578125" style="17"/>
    <col min="13841" max="13841" width="3.28515625" style="17" customWidth="1"/>
    <col min="13842" max="14080" width="8.42578125" style="17"/>
    <col min="14081" max="14081" width="10" style="17" bestFit="1" customWidth="1"/>
    <col min="14082" max="14082" width="44.28515625" style="17" bestFit="1" customWidth="1"/>
    <col min="14083" max="14083" width="10.42578125" style="17" bestFit="1" customWidth="1"/>
    <col min="14084" max="14084" width="10.42578125" style="17" customWidth="1"/>
    <col min="14085" max="14085" width="9.7109375" style="17" bestFit="1" customWidth="1"/>
    <col min="14086" max="14087" width="9.5703125" style="17" bestFit="1" customWidth="1"/>
    <col min="14088" max="14088" width="10.42578125" style="17" bestFit="1" customWidth="1"/>
    <col min="14089" max="14089" width="4.5703125" style="17" customWidth="1"/>
    <col min="14090" max="14090" width="1.85546875" style="17" customWidth="1"/>
    <col min="14091" max="14091" width="7" style="17" bestFit="1" customWidth="1"/>
    <col min="14092" max="14092" width="6.28515625" style="17" customWidth="1"/>
    <col min="14093" max="14093" width="20.42578125" style="17" customWidth="1"/>
    <col min="14094" max="14094" width="6.42578125" style="17" bestFit="1" customWidth="1"/>
    <col min="14095" max="14096" width="8.42578125" style="17"/>
    <col min="14097" max="14097" width="3.28515625" style="17" customWidth="1"/>
    <col min="14098" max="14336" width="8.42578125" style="17"/>
    <col min="14337" max="14337" width="10" style="17" bestFit="1" customWidth="1"/>
    <col min="14338" max="14338" width="44.28515625" style="17" bestFit="1" customWidth="1"/>
    <col min="14339" max="14339" width="10.42578125" style="17" bestFit="1" customWidth="1"/>
    <col min="14340" max="14340" width="10.42578125" style="17" customWidth="1"/>
    <col min="14341" max="14341" width="9.7109375" style="17" bestFit="1" customWidth="1"/>
    <col min="14342" max="14343" width="9.5703125" style="17" bestFit="1" customWidth="1"/>
    <col min="14344" max="14344" width="10.42578125" style="17" bestFit="1" customWidth="1"/>
    <col min="14345" max="14345" width="4.5703125" style="17" customWidth="1"/>
    <col min="14346" max="14346" width="1.85546875" style="17" customWidth="1"/>
    <col min="14347" max="14347" width="7" style="17" bestFit="1" customWidth="1"/>
    <col min="14348" max="14348" width="6.28515625" style="17" customWidth="1"/>
    <col min="14349" max="14349" width="20.42578125" style="17" customWidth="1"/>
    <col min="14350" max="14350" width="6.42578125" style="17" bestFit="1" customWidth="1"/>
    <col min="14351" max="14352" width="8.42578125" style="17"/>
    <col min="14353" max="14353" width="3.28515625" style="17" customWidth="1"/>
    <col min="14354" max="14592" width="8.42578125" style="17"/>
    <col min="14593" max="14593" width="10" style="17" bestFit="1" customWidth="1"/>
    <col min="14594" max="14594" width="44.28515625" style="17" bestFit="1" customWidth="1"/>
    <col min="14595" max="14595" width="10.42578125" style="17" bestFit="1" customWidth="1"/>
    <col min="14596" max="14596" width="10.42578125" style="17" customWidth="1"/>
    <col min="14597" max="14597" width="9.7109375" style="17" bestFit="1" customWidth="1"/>
    <col min="14598" max="14599" width="9.5703125" style="17" bestFit="1" customWidth="1"/>
    <col min="14600" max="14600" width="10.42578125" style="17" bestFit="1" customWidth="1"/>
    <col min="14601" max="14601" width="4.5703125" style="17" customWidth="1"/>
    <col min="14602" max="14602" width="1.85546875" style="17" customWidth="1"/>
    <col min="14603" max="14603" width="7" style="17" bestFit="1" customWidth="1"/>
    <col min="14604" max="14604" width="6.28515625" style="17" customWidth="1"/>
    <col min="14605" max="14605" width="20.42578125" style="17" customWidth="1"/>
    <col min="14606" max="14606" width="6.42578125" style="17" bestFit="1" customWidth="1"/>
    <col min="14607" max="14608" width="8.42578125" style="17"/>
    <col min="14609" max="14609" width="3.28515625" style="17" customWidth="1"/>
    <col min="14610" max="14848" width="8.42578125" style="17"/>
    <col min="14849" max="14849" width="10" style="17" bestFit="1" customWidth="1"/>
    <col min="14850" max="14850" width="44.28515625" style="17" bestFit="1" customWidth="1"/>
    <col min="14851" max="14851" width="10.42578125" style="17" bestFit="1" customWidth="1"/>
    <col min="14852" max="14852" width="10.42578125" style="17" customWidth="1"/>
    <col min="14853" max="14853" width="9.7109375" style="17" bestFit="1" customWidth="1"/>
    <col min="14854" max="14855" width="9.5703125" style="17" bestFit="1" customWidth="1"/>
    <col min="14856" max="14856" width="10.42578125" style="17" bestFit="1" customWidth="1"/>
    <col min="14857" max="14857" width="4.5703125" style="17" customWidth="1"/>
    <col min="14858" max="14858" width="1.85546875" style="17" customWidth="1"/>
    <col min="14859" max="14859" width="7" style="17" bestFit="1" customWidth="1"/>
    <col min="14860" max="14860" width="6.28515625" style="17" customWidth="1"/>
    <col min="14861" max="14861" width="20.42578125" style="17" customWidth="1"/>
    <col min="14862" max="14862" width="6.42578125" style="17" bestFit="1" customWidth="1"/>
    <col min="14863" max="14864" width="8.42578125" style="17"/>
    <col min="14865" max="14865" width="3.28515625" style="17" customWidth="1"/>
    <col min="14866" max="15104" width="8.42578125" style="17"/>
    <col min="15105" max="15105" width="10" style="17" bestFit="1" customWidth="1"/>
    <col min="15106" max="15106" width="44.28515625" style="17" bestFit="1" customWidth="1"/>
    <col min="15107" max="15107" width="10.42578125" style="17" bestFit="1" customWidth="1"/>
    <col min="15108" max="15108" width="10.42578125" style="17" customWidth="1"/>
    <col min="15109" max="15109" width="9.7109375" style="17" bestFit="1" customWidth="1"/>
    <col min="15110" max="15111" width="9.5703125" style="17" bestFit="1" customWidth="1"/>
    <col min="15112" max="15112" width="10.42578125" style="17" bestFit="1" customWidth="1"/>
    <col min="15113" max="15113" width="4.5703125" style="17" customWidth="1"/>
    <col min="15114" max="15114" width="1.85546875" style="17" customWidth="1"/>
    <col min="15115" max="15115" width="7" style="17" bestFit="1" customWidth="1"/>
    <col min="15116" max="15116" width="6.28515625" style="17" customWidth="1"/>
    <col min="15117" max="15117" width="20.42578125" style="17" customWidth="1"/>
    <col min="15118" max="15118" width="6.42578125" style="17" bestFit="1" customWidth="1"/>
    <col min="15119" max="15120" width="8.42578125" style="17"/>
    <col min="15121" max="15121" width="3.28515625" style="17" customWidth="1"/>
    <col min="15122" max="15360" width="8.42578125" style="17"/>
    <col min="15361" max="15361" width="10" style="17" bestFit="1" customWidth="1"/>
    <col min="15362" max="15362" width="44.28515625" style="17" bestFit="1" customWidth="1"/>
    <col min="15363" max="15363" width="10.42578125" style="17" bestFit="1" customWidth="1"/>
    <col min="15364" max="15364" width="10.42578125" style="17" customWidth="1"/>
    <col min="15365" max="15365" width="9.7109375" style="17" bestFit="1" customWidth="1"/>
    <col min="15366" max="15367" width="9.5703125" style="17" bestFit="1" customWidth="1"/>
    <col min="15368" max="15368" width="10.42578125" style="17" bestFit="1" customWidth="1"/>
    <col min="15369" max="15369" width="4.5703125" style="17" customWidth="1"/>
    <col min="15370" max="15370" width="1.85546875" style="17" customWidth="1"/>
    <col min="15371" max="15371" width="7" style="17" bestFit="1" customWidth="1"/>
    <col min="15372" max="15372" width="6.28515625" style="17" customWidth="1"/>
    <col min="15373" max="15373" width="20.42578125" style="17" customWidth="1"/>
    <col min="15374" max="15374" width="6.42578125" style="17" bestFit="1" customWidth="1"/>
    <col min="15375" max="15376" width="8.42578125" style="17"/>
    <col min="15377" max="15377" width="3.28515625" style="17" customWidth="1"/>
    <col min="15378" max="15616" width="8.42578125" style="17"/>
    <col min="15617" max="15617" width="10" style="17" bestFit="1" customWidth="1"/>
    <col min="15618" max="15618" width="44.28515625" style="17" bestFit="1" customWidth="1"/>
    <col min="15619" max="15619" width="10.42578125" style="17" bestFit="1" customWidth="1"/>
    <col min="15620" max="15620" width="10.42578125" style="17" customWidth="1"/>
    <col min="15621" max="15621" width="9.7109375" style="17" bestFit="1" customWidth="1"/>
    <col min="15622" max="15623" width="9.5703125" style="17" bestFit="1" customWidth="1"/>
    <col min="15624" max="15624" width="10.42578125" style="17" bestFit="1" customWidth="1"/>
    <col min="15625" max="15625" width="4.5703125" style="17" customWidth="1"/>
    <col min="15626" max="15626" width="1.85546875" style="17" customWidth="1"/>
    <col min="15627" max="15627" width="7" style="17" bestFit="1" customWidth="1"/>
    <col min="15628" max="15628" width="6.28515625" style="17" customWidth="1"/>
    <col min="15629" max="15629" width="20.42578125" style="17" customWidth="1"/>
    <col min="15630" max="15630" width="6.42578125" style="17" bestFit="1" customWidth="1"/>
    <col min="15631" max="15632" width="8.42578125" style="17"/>
    <col min="15633" max="15633" width="3.28515625" style="17" customWidth="1"/>
    <col min="15634" max="15872" width="8.42578125" style="17"/>
    <col min="15873" max="15873" width="10" style="17" bestFit="1" customWidth="1"/>
    <col min="15874" max="15874" width="44.28515625" style="17" bestFit="1" customWidth="1"/>
    <col min="15875" max="15875" width="10.42578125" style="17" bestFit="1" customWidth="1"/>
    <col min="15876" max="15876" width="10.42578125" style="17" customWidth="1"/>
    <col min="15877" max="15877" width="9.7109375" style="17" bestFit="1" customWidth="1"/>
    <col min="15878" max="15879" width="9.5703125" style="17" bestFit="1" customWidth="1"/>
    <col min="15880" max="15880" width="10.42578125" style="17" bestFit="1" customWidth="1"/>
    <col min="15881" max="15881" width="4.5703125" style="17" customWidth="1"/>
    <col min="15882" max="15882" width="1.85546875" style="17" customWidth="1"/>
    <col min="15883" max="15883" width="7" style="17" bestFit="1" customWidth="1"/>
    <col min="15884" max="15884" width="6.28515625" style="17" customWidth="1"/>
    <col min="15885" max="15885" width="20.42578125" style="17" customWidth="1"/>
    <col min="15886" max="15886" width="6.42578125" style="17" bestFit="1" customWidth="1"/>
    <col min="15887" max="15888" width="8.42578125" style="17"/>
    <col min="15889" max="15889" width="3.28515625" style="17" customWidth="1"/>
    <col min="15890" max="16128" width="8.42578125" style="17"/>
    <col min="16129" max="16129" width="10" style="17" bestFit="1" customWidth="1"/>
    <col min="16130" max="16130" width="44.28515625" style="17" bestFit="1" customWidth="1"/>
    <col min="16131" max="16131" width="10.42578125" style="17" bestFit="1" customWidth="1"/>
    <col min="16132" max="16132" width="10.42578125" style="17" customWidth="1"/>
    <col min="16133" max="16133" width="9.7109375" style="17" bestFit="1" customWidth="1"/>
    <col min="16134" max="16135" width="9.5703125" style="17" bestFit="1" customWidth="1"/>
    <col min="16136" max="16136" width="10.42578125" style="17" bestFit="1" customWidth="1"/>
    <col min="16137" max="16137" width="4.5703125" style="17" customWidth="1"/>
    <col min="16138" max="16138" width="1.85546875" style="17" customWidth="1"/>
    <col min="16139" max="16139" width="7" style="17" bestFit="1" customWidth="1"/>
    <col min="16140" max="16140" width="6.28515625" style="17" customWidth="1"/>
    <col min="16141" max="16141" width="20.42578125" style="17" customWidth="1"/>
    <col min="16142" max="16142" width="6.42578125" style="17" bestFit="1" customWidth="1"/>
    <col min="16143" max="16144" width="8.42578125" style="17"/>
    <col min="16145" max="16145" width="3.28515625" style="17" customWidth="1"/>
    <col min="16146" max="16384" width="8.42578125" style="17"/>
  </cols>
  <sheetData>
    <row r="1" spans="1:24" ht="27.75" customHeight="1" x14ac:dyDescent="0.25">
      <c r="A1" s="12"/>
      <c r="B1" s="12"/>
      <c r="C1" s="12"/>
      <c r="D1" s="12"/>
      <c r="E1" s="13" t="s">
        <v>60</v>
      </c>
      <c r="F1" s="14" t="s">
        <v>61</v>
      </c>
      <c r="G1" s="14" t="s">
        <v>62</v>
      </c>
      <c r="H1" s="14" t="s">
        <v>63</v>
      </c>
      <c r="I1" s="15"/>
    </row>
    <row r="2" spans="1:24" ht="30.75" customHeight="1" x14ac:dyDescent="0.25">
      <c r="A2" s="12"/>
      <c r="B2" s="12"/>
      <c r="C2" s="12"/>
      <c r="D2" s="12"/>
      <c r="E2" s="18">
        <f>IFERROR(O62,"")</f>
        <v>683.09759672131145</v>
      </c>
      <c r="F2" s="18">
        <f>IFERROR(H53,"")</f>
        <v>297.09999999999997</v>
      </c>
      <c r="G2" s="18">
        <f>IFERROR(H54,"")</f>
        <v>92.789400000000001</v>
      </c>
      <c r="H2" s="18">
        <f>IFERROR(H56,"")</f>
        <v>150.30000000000001</v>
      </c>
      <c r="I2" s="19"/>
    </row>
    <row r="3" spans="1:24" ht="15" customHeight="1" x14ac:dyDescent="0.25">
      <c r="A3" s="12"/>
      <c r="B3" s="12"/>
      <c r="C3" s="12"/>
      <c r="D3" s="12"/>
      <c r="E3" s="12"/>
      <c r="F3" s="20"/>
      <c r="G3" s="20"/>
      <c r="H3" s="20"/>
      <c r="I3" s="20"/>
    </row>
    <row r="4" spans="1:24" ht="24.75" customHeight="1" thickBot="1" x14ac:dyDescent="0.3">
      <c r="A4" s="265"/>
      <c r="B4" s="265"/>
      <c r="C4" s="265"/>
      <c r="D4" s="265"/>
      <c r="E4" s="265"/>
      <c r="F4" s="265"/>
      <c r="G4" s="265"/>
      <c r="H4" s="265"/>
      <c r="I4" s="21"/>
    </row>
    <row r="5" spans="1:24" ht="19.5" customHeight="1" thickBot="1" x14ac:dyDescent="0.3">
      <c r="A5" s="266" t="s">
        <v>64</v>
      </c>
      <c r="B5" s="267"/>
      <c r="C5" s="267"/>
      <c r="D5" s="267"/>
      <c r="E5" s="267"/>
      <c r="F5" s="267"/>
      <c r="G5" s="267"/>
      <c r="H5" s="268"/>
      <c r="I5" s="22"/>
    </row>
    <row r="6" spans="1:24" ht="19.5" thickBot="1" x14ac:dyDescent="0.3">
      <c r="A6" s="22"/>
      <c r="B6" s="22"/>
      <c r="C6" s="22"/>
      <c r="D6" s="22"/>
      <c r="E6" s="22"/>
      <c r="F6" s="269" t="s">
        <v>65</v>
      </c>
      <c r="G6" s="269"/>
      <c r="H6" s="23">
        <f ca="1">TODAY()</f>
        <v>45999</v>
      </c>
      <c r="I6" s="23"/>
    </row>
    <row r="7" spans="1:24" ht="26.25" thickBot="1" x14ac:dyDescent="0.3">
      <c r="A7" s="24" t="s">
        <v>66</v>
      </c>
      <c r="B7" s="25" t="s">
        <v>67</v>
      </c>
      <c r="C7" s="25" t="s">
        <v>66</v>
      </c>
      <c r="D7" s="26" t="s">
        <v>68</v>
      </c>
      <c r="E7" s="26" t="s">
        <v>69</v>
      </c>
      <c r="F7" s="26" t="s">
        <v>70</v>
      </c>
      <c r="G7" s="26" t="s">
        <v>71</v>
      </c>
      <c r="H7" s="27" t="s">
        <v>72</v>
      </c>
      <c r="I7" s="28"/>
    </row>
    <row r="8" spans="1:24" ht="13.5" hidden="1" x14ac:dyDescent="0.25">
      <c r="A8" s="29">
        <v>0</v>
      </c>
      <c r="B8" s="30" t="s">
        <v>73</v>
      </c>
      <c r="C8" s="31">
        <f>+A8</f>
        <v>0</v>
      </c>
      <c r="D8" s="32" t="s">
        <v>74</v>
      </c>
      <c r="E8" s="32">
        <v>8.91</v>
      </c>
      <c r="F8" s="32">
        <f>IFERROR(C8*E8,"")</f>
        <v>0</v>
      </c>
      <c r="G8" s="33">
        <f t="shared" ref="G8:G14" si="0">IFERROR(F8/$F$66,"")</f>
        <v>0</v>
      </c>
      <c r="H8" s="34"/>
      <c r="I8" s="35"/>
      <c r="J8" s="36"/>
    </row>
    <row r="9" spans="1:24" ht="13.5" x14ac:dyDescent="0.25">
      <c r="A9" s="37">
        <v>0.5</v>
      </c>
      <c r="B9" s="17" t="s">
        <v>55</v>
      </c>
      <c r="C9" s="38">
        <f t="shared" ref="C9:C14" si="1">+A9</f>
        <v>0.5</v>
      </c>
      <c r="D9" s="39" t="s">
        <v>77</v>
      </c>
      <c r="E9" s="39">
        <v>23.5</v>
      </c>
      <c r="F9" s="39">
        <f t="shared" ref="F9:F14" si="2">IFERROR(C9*E9,"")</f>
        <v>11.75</v>
      </c>
      <c r="G9" s="40">
        <f t="shared" si="0"/>
        <v>2.2690783139068044E-2</v>
      </c>
      <c r="H9" s="35"/>
      <c r="I9" s="35"/>
      <c r="J9" s="36"/>
    </row>
    <row r="10" spans="1:24" ht="13.5" x14ac:dyDescent="0.25">
      <c r="A10" s="37">
        <v>0.5</v>
      </c>
      <c r="B10" s="17" t="s">
        <v>56</v>
      </c>
      <c r="C10" s="38">
        <f t="shared" si="1"/>
        <v>0.5</v>
      </c>
      <c r="D10" s="39" t="s">
        <v>77</v>
      </c>
      <c r="E10" s="39">
        <v>16</v>
      </c>
      <c r="F10" s="39">
        <f t="shared" si="2"/>
        <v>8</v>
      </c>
      <c r="G10" s="40">
        <f>IFERROR(F10/$F$66,"")</f>
        <v>1.5449043839365476E-2</v>
      </c>
      <c r="H10" s="35"/>
      <c r="I10" s="35"/>
      <c r="J10" s="36"/>
    </row>
    <row r="11" spans="1:24" ht="13.5" x14ac:dyDescent="0.25">
      <c r="A11" s="37">
        <v>0</v>
      </c>
      <c r="B11" s="17" t="s">
        <v>57</v>
      </c>
      <c r="C11" s="38">
        <f t="shared" si="1"/>
        <v>0</v>
      </c>
      <c r="D11" s="39" t="s">
        <v>86</v>
      </c>
      <c r="E11" s="39">
        <v>96</v>
      </c>
      <c r="F11" s="39">
        <f t="shared" si="2"/>
        <v>0</v>
      </c>
      <c r="G11" s="40">
        <f t="shared" si="0"/>
        <v>0</v>
      </c>
      <c r="H11" s="35"/>
      <c r="I11" s="35"/>
      <c r="J11" s="36"/>
      <c r="M11" s="17" t="s">
        <v>124</v>
      </c>
      <c r="V11" s="17">
        <f>10439/24</f>
        <v>434.95833333333331</v>
      </c>
    </row>
    <row r="12" spans="1:24" ht="13.5" hidden="1" x14ac:dyDescent="0.25">
      <c r="A12" s="37"/>
      <c r="B12" s="17" t="str">
        <f>IFERROR(VLOOKUP(H12,'[1]Consolidado MP Planta'!$A$2:$M$823,3,0),"")</f>
        <v/>
      </c>
      <c r="C12" s="38">
        <f t="shared" si="1"/>
        <v>0</v>
      </c>
      <c r="D12" s="39" t="str">
        <f>IFERROR(VLOOKUP(H12,'[1]Consolidado MP Planta'!$A$2:$M$823,13,0),"")</f>
        <v/>
      </c>
      <c r="E12" s="39" t="str">
        <f>IFERROR(VLOOKUP(H12,'[1]Consolidado MP Planta'!$A$2:$M$823,12,0),"")</f>
        <v/>
      </c>
      <c r="F12" s="39" t="str">
        <f t="shared" si="2"/>
        <v/>
      </c>
      <c r="G12" s="40" t="str">
        <f t="shared" si="0"/>
        <v/>
      </c>
      <c r="H12" s="35"/>
      <c r="I12" s="35"/>
      <c r="J12" s="36"/>
    </row>
    <row r="13" spans="1:24" ht="13.5" hidden="1" x14ac:dyDescent="0.25">
      <c r="A13" s="37"/>
      <c r="B13" s="17" t="str">
        <f>IFERROR(VLOOKUP(H13,'[1]Consolidado MP Planta'!$A$2:$M$823,3,0),"")</f>
        <v/>
      </c>
      <c r="C13" s="38">
        <f t="shared" si="1"/>
        <v>0</v>
      </c>
      <c r="D13" s="39" t="str">
        <f>IFERROR(VLOOKUP(H13,'[1]Consolidado MP Planta'!$A$2:$M$823,13,0),"")</f>
        <v/>
      </c>
      <c r="E13" s="39" t="str">
        <f>IFERROR(VLOOKUP(H13,'[1]Consolidado MP Planta'!$A$2:$M$823,12,0),"")</f>
        <v/>
      </c>
      <c r="F13" s="39" t="str">
        <f t="shared" si="2"/>
        <v/>
      </c>
      <c r="G13" s="40" t="str">
        <f t="shared" si="0"/>
        <v/>
      </c>
      <c r="H13" s="35"/>
      <c r="I13" s="35"/>
      <c r="J13" s="36"/>
    </row>
    <row r="14" spans="1:24" ht="13.5" hidden="1" x14ac:dyDescent="0.25">
      <c r="A14" s="37"/>
      <c r="B14" s="17" t="str">
        <f>IFERROR(VLOOKUP(H14,'[1]Consolidado MP Planta'!$A$2:$M$823,3,0),"")</f>
        <v/>
      </c>
      <c r="C14" s="38">
        <f t="shared" si="1"/>
        <v>0</v>
      </c>
      <c r="D14" s="39" t="str">
        <f>IFERROR(VLOOKUP(H14,'[1]Consolidado MP Planta'!$A$2:$M$823,13,0),"")</f>
        <v/>
      </c>
      <c r="E14" s="39" t="str">
        <f>IFERROR(VLOOKUP(H14,'[1]Consolidado MP Planta'!$A$2:$M$823,12,0),"")</f>
        <v/>
      </c>
      <c r="F14" s="39" t="str">
        <f t="shared" si="2"/>
        <v/>
      </c>
      <c r="G14" s="40" t="str">
        <f t="shared" si="0"/>
        <v/>
      </c>
      <c r="H14" s="35"/>
      <c r="I14" s="35"/>
      <c r="J14" s="36"/>
    </row>
    <row r="15" spans="1:24" ht="14.25" thickBot="1" x14ac:dyDescent="0.3">
      <c r="A15" s="37"/>
      <c r="B15" s="17" t="str">
        <f>IFERROR(VLOOKUP(H15,'[2]ARTICULOS MP PLANTA'!$A$2:$G$589,2,0),"")</f>
        <v/>
      </c>
      <c r="C15" s="38"/>
      <c r="D15" s="39"/>
      <c r="E15" s="39"/>
      <c r="F15" s="39"/>
      <c r="G15" s="40"/>
      <c r="H15" s="35"/>
      <c r="I15" s="35"/>
      <c r="J15" s="36"/>
      <c r="X15" s="17">
        <f>24*41.5</f>
        <v>996</v>
      </c>
    </row>
    <row r="16" spans="1:24" ht="26.25" thickBot="1" x14ac:dyDescent="0.3">
      <c r="A16" s="24" t="s">
        <v>66</v>
      </c>
      <c r="B16" s="25" t="s">
        <v>75</v>
      </c>
      <c r="C16" s="25" t="s">
        <v>66</v>
      </c>
      <c r="D16" s="26" t="s">
        <v>68</v>
      </c>
      <c r="E16" s="26" t="s">
        <v>69</v>
      </c>
      <c r="F16" s="26" t="s">
        <v>70</v>
      </c>
      <c r="G16" s="26" t="s">
        <v>71</v>
      </c>
      <c r="H16" s="27" t="s">
        <v>72</v>
      </c>
      <c r="I16" s="28"/>
      <c r="J16" s="36"/>
      <c r="X16" s="17">
        <f>9835/X15</f>
        <v>9.8744979919678713</v>
      </c>
    </row>
    <row r="17" spans="1:12" ht="13.5" x14ac:dyDescent="0.25">
      <c r="A17" s="37">
        <v>1</v>
      </c>
      <c r="B17" s="17" t="s">
        <v>14</v>
      </c>
      <c r="C17" s="38">
        <f>+A17</f>
        <v>1</v>
      </c>
      <c r="D17" s="38" t="s">
        <v>76</v>
      </c>
      <c r="E17" s="39">
        <v>187.95</v>
      </c>
      <c r="F17" s="39">
        <f>IFERROR(E17*C17,"")</f>
        <v>187.95</v>
      </c>
      <c r="G17" s="40">
        <f t="shared" ref="G17:G24" si="3">IFERROR(F17/$F$66,"")</f>
        <v>0.36295597370109262</v>
      </c>
      <c r="H17" s="35"/>
      <c r="I17" s="35"/>
      <c r="J17" s="36"/>
      <c r="K17" s="41"/>
    </row>
    <row r="18" spans="1:12" ht="13.5" x14ac:dyDescent="0.25">
      <c r="A18" s="37">
        <v>20</v>
      </c>
      <c r="B18" s="17" t="s">
        <v>36</v>
      </c>
      <c r="C18" s="38">
        <f t="shared" ref="C18:C24" si="4">+A18</f>
        <v>20</v>
      </c>
      <c r="D18" s="38" t="s">
        <v>77</v>
      </c>
      <c r="E18" s="39">
        <v>4.47</v>
      </c>
      <c r="F18" s="39">
        <f t="shared" ref="F18:F24" si="5">IFERROR(E18*C18,"")</f>
        <v>89.399999999999991</v>
      </c>
      <c r="G18" s="40">
        <f t="shared" si="3"/>
        <v>0.17264306490490919</v>
      </c>
      <c r="H18" s="35" t="s">
        <v>78</v>
      </c>
      <c r="I18" s="35"/>
      <c r="J18" s="36"/>
    </row>
    <row r="19" spans="1:12" ht="13.5" hidden="1" x14ac:dyDescent="0.25">
      <c r="A19" s="37"/>
      <c r="C19" s="38"/>
      <c r="D19" s="38"/>
      <c r="E19" s="39"/>
      <c r="F19" s="39"/>
      <c r="G19" s="40"/>
      <c r="H19" s="35"/>
      <c r="I19" s="35"/>
      <c r="J19" s="36"/>
    </row>
    <row r="20" spans="1:12" ht="13.5" hidden="1" x14ac:dyDescent="0.25">
      <c r="A20" s="37"/>
      <c r="B20" s="17" t="str">
        <f>IFERROR(VLOOKUP(H20,[1]SEMIELABORADOS!$A$2:$M$6000,2,0),"")</f>
        <v/>
      </c>
      <c r="C20" s="38">
        <f>+A20</f>
        <v>0</v>
      </c>
      <c r="D20" s="38" t="str">
        <f>IFERROR(VLOOKUP(H20,[1]SEMIELABORADOS!$A$2:$M$6000,6,0),"")</f>
        <v/>
      </c>
      <c r="E20" s="39" t="str">
        <f>IFERROR(VLOOKUP(H20,[1]SEMIELABORADOS!$A$2:$H$65536,8,0),"")</f>
        <v/>
      </c>
      <c r="F20" s="39" t="str">
        <f>IFERROR(E20*C20,"")</f>
        <v/>
      </c>
      <c r="G20" s="40" t="str">
        <f t="shared" si="3"/>
        <v/>
      </c>
      <c r="H20" s="35"/>
      <c r="I20" s="35"/>
      <c r="J20" s="36"/>
    </row>
    <row r="21" spans="1:12" ht="13.5" hidden="1" x14ac:dyDescent="0.25">
      <c r="A21" s="37"/>
      <c r="B21" s="17" t="str">
        <f>IFERROR(VLOOKUP(H21,[1]SEMIELABORADOS!$A$2:$M$6000,2,0),"")</f>
        <v/>
      </c>
      <c r="C21" s="38">
        <f>+A21</f>
        <v>0</v>
      </c>
      <c r="D21" s="38" t="str">
        <f>IFERROR(VLOOKUP(H21,[1]SEMIELABORADOS!$A$2:$M$6000,6,0),"")</f>
        <v/>
      </c>
      <c r="E21" s="39" t="str">
        <f>IFERROR(VLOOKUP(H21,[1]SEMIELABORADOS!$A$2:$H$65536,8,0),"")</f>
        <v/>
      </c>
      <c r="F21" s="39" t="str">
        <f>IFERROR(E21*C21,"")</f>
        <v/>
      </c>
      <c r="G21" s="40" t="str">
        <f t="shared" si="3"/>
        <v/>
      </c>
      <c r="H21" s="35"/>
      <c r="I21" s="35"/>
      <c r="J21" s="36"/>
    </row>
    <row r="22" spans="1:12" ht="13.5" hidden="1" x14ac:dyDescent="0.25">
      <c r="A22" s="37"/>
      <c r="B22" s="17" t="str">
        <f>IFERROR(VLOOKUP(H22,[1]SEMIELABORADOS!$A$2:$M$6000,2,0),"")</f>
        <v/>
      </c>
      <c r="C22" s="38">
        <f t="shared" si="4"/>
        <v>0</v>
      </c>
      <c r="D22" s="38" t="str">
        <f>IFERROR(VLOOKUP(H22,[1]SEMIELABORADOS!$A$2:$M$6000,6,0),"")</f>
        <v/>
      </c>
      <c r="E22" s="39" t="str">
        <f>IFERROR(VLOOKUP(H22,[1]SEMIELABORADOS!$A$2:$H$65536,8,0),"")</f>
        <v/>
      </c>
      <c r="F22" s="39" t="str">
        <f t="shared" si="5"/>
        <v/>
      </c>
      <c r="G22" s="40" t="str">
        <f t="shared" si="3"/>
        <v/>
      </c>
      <c r="H22" s="35"/>
      <c r="I22" s="35"/>
      <c r="J22" s="36"/>
    </row>
    <row r="23" spans="1:12" ht="13.5" hidden="1" x14ac:dyDescent="0.25">
      <c r="A23" s="37"/>
      <c r="B23" s="17" t="str">
        <f>IFERROR(VLOOKUP(H23,[1]SEMIELABORADOS!$A$2:$M$6000,2,0),"")</f>
        <v/>
      </c>
      <c r="C23" s="38">
        <f t="shared" si="4"/>
        <v>0</v>
      </c>
      <c r="D23" s="38" t="str">
        <f>IFERROR(VLOOKUP(H23,[1]SEMIELABORADOS!$A$2:$M$6000,6,0),"")</f>
        <v/>
      </c>
      <c r="E23" s="39" t="str">
        <f>IFERROR(VLOOKUP(H23,[1]SEMIELABORADOS!$A$2:$H$65536,8,0),"")</f>
        <v/>
      </c>
      <c r="F23" s="39" t="str">
        <f t="shared" si="5"/>
        <v/>
      </c>
      <c r="G23" s="40" t="str">
        <f t="shared" si="3"/>
        <v/>
      </c>
      <c r="H23" s="35"/>
      <c r="I23" s="35"/>
      <c r="J23" s="36"/>
    </row>
    <row r="24" spans="1:12" ht="13.5" hidden="1" x14ac:dyDescent="0.25">
      <c r="A24" s="37"/>
      <c r="B24" s="17" t="str">
        <f>IFERROR(VLOOKUP(H24,[1]SEMIELABORADOS!$A$2:$M$6000,2,0),"")</f>
        <v/>
      </c>
      <c r="C24" s="38">
        <f t="shared" si="4"/>
        <v>0</v>
      </c>
      <c r="D24" s="38" t="str">
        <f>IFERROR(VLOOKUP(H24,[1]SEMIELABORADOS!$A$2:$M$6000,6,0),"")</f>
        <v/>
      </c>
      <c r="E24" s="39" t="str">
        <f>IFERROR(VLOOKUP(H24,[1]SEMIELABORADOS!$A$2:$H$65536,8,0),"")</f>
        <v/>
      </c>
      <c r="F24" s="39" t="str">
        <f t="shared" si="5"/>
        <v/>
      </c>
      <c r="G24" s="40" t="str">
        <f t="shared" si="3"/>
        <v/>
      </c>
      <c r="H24" s="35"/>
      <c r="I24" s="35"/>
      <c r="J24" s="36"/>
    </row>
    <row r="25" spans="1:12" ht="14.25" thickBot="1" x14ac:dyDescent="0.3">
      <c r="A25" s="37"/>
      <c r="C25" s="38"/>
      <c r="D25" s="38"/>
      <c r="E25" s="39"/>
      <c r="F25" s="39"/>
      <c r="G25" s="40"/>
      <c r="H25" s="35"/>
      <c r="I25" s="35"/>
      <c r="J25" s="36"/>
    </row>
    <row r="26" spans="1:12" ht="26.25" thickBot="1" x14ac:dyDescent="0.3">
      <c r="A26" s="24" t="s">
        <v>66</v>
      </c>
      <c r="B26" s="25" t="s">
        <v>79</v>
      </c>
      <c r="C26" s="25" t="s">
        <v>66</v>
      </c>
      <c r="D26" s="26" t="s">
        <v>68</v>
      </c>
      <c r="E26" s="26" t="s">
        <v>69</v>
      </c>
      <c r="F26" s="26" t="s">
        <v>70</v>
      </c>
      <c r="G26" s="26" t="s">
        <v>71</v>
      </c>
      <c r="H26" s="27" t="s">
        <v>72</v>
      </c>
      <c r="I26" s="28"/>
    </row>
    <row r="27" spans="1:12" ht="13.5" x14ac:dyDescent="0.25">
      <c r="A27" s="37">
        <v>1</v>
      </c>
      <c r="B27" s="42" t="s">
        <v>51</v>
      </c>
      <c r="C27" s="38">
        <f t="shared" ref="C27:C32" si="6">+A27</f>
        <v>1</v>
      </c>
      <c r="D27" s="39" t="s">
        <v>80</v>
      </c>
      <c r="E27" s="39">
        <v>38.15</v>
      </c>
      <c r="F27" s="39">
        <f t="shared" ref="F27:F32" si="7">IFERROR(C27*E27,"")</f>
        <v>38.15</v>
      </c>
      <c r="G27" s="40">
        <f t="shared" ref="G27:G32" si="8">IFERROR(F27/$F$66,"")</f>
        <v>7.3672627808974114E-2</v>
      </c>
      <c r="H27" s="43" t="s">
        <v>50</v>
      </c>
      <c r="I27" s="43"/>
      <c r="J27" s="36"/>
      <c r="K27" s="264"/>
      <c r="L27" s="264"/>
    </row>
    <row r="28" spans="1:12" ht="13.5" x14ac:dyDescent="0.25">
      <c r="A28" s="37">
        <v>1</v>
      </c>
      <c r="B28" s="42" t="str">
        <f>IFERROR(VLOOKUP(H28,'[1]Consolidado MP Planta'!$A$2:$M$823,3,0),"")</f>
        <v>ETIQ.FECHA VENCIMIENTO BLANCO (ROLLO)</v>
      </c>
      <c r="C28" s="38">
        <f t="shared" si="6"/>
        <v>1</v>
      </c>
      <c r="D28" s="39" t="str">
        <f>IFERROR(VLOOKUP(H28,'[1]Consolidado MP Planta'!$A$2:$M$823,13,0),"")</f>
        <v>Gramos</v>
      </c>
      <c r="E28" s="39">
        <f>IFERROR(VLOOKUP(H28,'[1]Consolidado MP Planta'!$A$2:$M$823,12,0),"")</f>
        <v>0.33333333333333331</v>
      </c>
      <c r="F28" s="39">
        <f t="shared" si="7"/>
        <v>0.33333333333333331</v>
      </c>
      <c r="G28" s="40">
        <f t="shared" si="8"/>
        <v>6.4371015997356144E-4</v>
      </c>
      <c r="H28" s="43" t="s">
        <v>81</v>
      </c>
      <c r="I28" s="43"/>
      <c r="J28" s="36"/>
      <c r="K28" s="264"/>
      <c r="L28" s="264"/>
    </row>
    <row r="29" spans="1:12" ht="13.5" x14ac:dyDescent="0.25">
      <c r="A29" s="37">
        <v>1</v>
      </c>
      <c r="B29" s="42" t="str">
        <f>IFERROR(VLOOKUP(H29,'[1]Consolidado MP Planta'!$A$2:$M$823,3,0),"")</f>
        <v>ETIQUETA BLANCA 2 5/8X1 15/16 (UND)</v>
      </c>
      <c r="C29" s="38">
        <f t="shared" si="6"/>
        <v>1</v>
      </c>
      <c r="D29" s="39" t="str">
        <f>IFERROR(VLOOKUP(H29,'[1]Consolidado MP Planta'!$A$2:$M$823,13,0),"")</f>
        <v>Und</v>
      </c>
      <c r="E29" s="39">
        <f>IFERROR(VLOOKUP(H29,'[1]Consolidado MP Planta'!$A$2:$M$823,12,0),"")</f>
        <v>2.1280000000000001</v>
      </c>
      <c r="F29" s="39">
        <f t="shared" si="7"/>
        <v>2.1280000000000001</v>
      </c>
      <c r="G29" s="40">
        <f t="shared" si="8"/>
        <v>4.1094456612712172E-3</v>
      </c>
      <c r="H29" s="43" t="s">
        <v>82</v>
      </c>
      <c r="I29" s="43"/>
      <c r="J29" s="36"/>
      <c r="K29" s="264"/>
      <c r="L29" s="264"/>
    </row>
    <row r="30" spans="1:12" ht="13.5" x14ac:dyDescent="0.25">
      <c r="A30" s="37">
        <v>1</v>
      </c>
      <c r="B30" s="42" t="s">
        <v>83</v>
      </c>
      <c r="C30" s="38">
        <f t="shared" si="6"/>
        <v>1</v>
      </c>
      <c r="D30" s="39" t="s">
        <v>80</v>
      </c>
      <c r="E30" s="39">
        <v>38</v>
      </c>
      <c r="F30" s="39">
        <f t="shared" si="7"/>
        <v>38</v>
      </c>
      <c r="G30" s="40">
        <f t="shared" si="8"/>
        <v>7.3382958236986012E-2</v>
      </c>
      <c r="H30" s="43" t="s">
        <v>84</v>
      </c>
      <c r="I30" s="43"/>
      <c r="J30" s="36"/>
      <c r="K30" s="264"/>
      <c r="L30" s="264"/>
    </row>
    <row r="31" spans="1:12" ht="13.5" hidden="1" x14ac:dyDescent="0.25">
      <c r="A31" s="37"/>
      <c r="B31" s="42" t="str">
        <f>IFERROR(VLOOKUP(H31,'[1]Consolidado MP Planta'!$A$2:$M$823,3,0),"")</f>
        <v/>
      </c>
      <c r="C31" s="38">
        <f t="shared" si="6"/>
        <v>0</v>
      </c>
      <c r="D31" s="39" t="str">
        <f>IFERROR(VLOOKUP(H31,'[1]Consolidado MP Planta'!$A$2:$M$823,13,0),"")</f>
        <v/>
      </c>
      <c r="E31" s="39" t="str">
        <f>IFERROR(VLOOKUP(H31,'[1]Consolidado MP Planta'!$A$2:$M$823,12,0),"")</f>
        <v/>
      </c>
      <c r="F31" s="39" t="str">
        <f t="shared" si="7"/>
        <v/>
      </c>
      <c r="G31" s="40" t="str">
        <f t="shared" si="8"/>
        <v/>
      </c>
      <c r="H31" s="43"/>
      <c r="I31" s="43"/>
      <c r="J31" s="36"/>
      <c r="K31" s="44"/>
      <c r="L31" s="45"/>
    </row>
    <row r="32" spans="1:12" ht="13.5" hidden="1" x14ac:dyDescent="0.25">
      <c r="A32" s="37"/>
      <c r="B32" s="42" t="str">
        <f>IFERROR(VLOOKUP(H32,'[1]Consolidado MP Planta'!$A$2:$M$823,3,0),"")</f>
        <v/>
      </c>
      <c r="C32" s="38">
        <f t="shared" si="6"/>
        <v>0</v>
      </c>
      <c r="D32" s="39" t="str">
        <f>IFERROR(VLOOKUP(H32,'[1]Consolidado MP Planta'!$A$2:$M$823,13,0),"")</f>
        <v/>
      </c>
      <c r="E32" s="39" t="str">
        <f>IFERROR(VLOOKUP(H32,'[1]Consolidado MP Planta'!$A$2:$M$823,12,0),"")</f>
        <v/>
      </c>
      <c r="F32" s="39" t="str">
        <f t="shared" si="7"/>
        <v/>
      </c>
      <c r="G32" s="40" t="str">
        <f t="shared" si="8"/>
        <v/>
      </c>
      <c r="H32" s="43"/>
      <c r="I32" s="43"/>
      <c r="J32" s="36"/>
    </row>
    <row r="33" spans="1:13" ht="14.25" thickBot="1" x14ac:dyDescent="0.3">
      <c r="A33" s="37"/>
      <c r="B33" s="42"/>
      <c r="C33" s="38"/>
      <c r="D33" s="39"/>
      <c r="E33" s="39"/>
      <c r="F33" s="39"/>
      <c r="G33" s="40"/>
      <c r="H33" s="43"/>
      <c r="I33" s="43"/>
      <c r="J33" s="36"/>
    </row>
    <row r="34" spans="1:13" ht="26.25" thickBot="1" x14ac:dyDescent="0.25">
      <c r="A34" s="24" t="s">
        <v>66</v>
      </c>
      <c r="B34" s="25" t="s">
        <v>85</v>
      </c>
      <c r="C34" s="25" t="s">
        <v>66</v>
      </c>
      <c r="D34" s="26" t="s">
        <v>68</v>
      </c>
      <c r="E34" s="26" t="s">
        <v>69</v>
      </c>
      <c r="F34" s="26" t="s">
        <v>70</v>
      </c>
      <c r="G34" s="26" t="s">
        <v>71</v>
      </c>
      <c r="H34" s="27" t="s">
        <v>72</v>
      </c>
      <c r="I34" s="43"/>
      <c r="J34" s="36"/>
    </row>
    <row r="35" spans="1:13" ht="13.5" x14ac:dyDescent="0.25">
      <c r="A35" s="37">
        <f>+A17</f>
        <v>1</v>
      </c>
      <c r="B35" s="42" t="s">
        <v>14</v>
      </c>
      <c r="C35" s="38">
        <f>+A35</f>
        <v>1</v>
      </c>
      <c r="D35" s="39" t="s">
        <v>86</v>
      </c>
      <c r="E35" s="39">
        <f>+'[3]Costo Mufin '!H54</f>
        <v>14.178066666666666</v>
      </c>
      <c r="F35" s="39">
        <f>IFERROR(E35*C35,"")</f>
        <v>14.178066666666666</v>
      </c>
      <c r="G35" s="40">
        <f t="shared" ref="G35:G41" si="9">IFERROR(F35/$F$66,"")</f>
        <v>2.737969668634746E-2</v>
      </c>
      <c r="H35" s="43"/>
      <c r="I35" s="43"/>
      <c r="J35" s="36"/>
    </row>
    <row r="36" spans="1:13" ht="13.5" x14ac:dyDescent="0.25">
      <c r="A36" s="37">
        <f t="shared" ref="A36:A41" si="10">+A18</f>
        <v>20</v>
      </c>
      <c r="B36" s="42" t="s">
        <v>36</v>
      </c>
      <c r="C36" s="38">
        <f t="shared" ref="C36:C41" si="11">+A36</f>
        <v>20</v>
      </c>
      <c r="D36" s="39" t="s">
        <v>77</v>
      </c>
      <c r="E36" s="39">
        <v>0</v>
      </c>
      <c r="F36" s="39">
        <f t="shared" ref="F36:F41" si="12">IFERROR(E36*C36,"")</f>
        <v>0</v>
      </c>
      <c r="G36" s="40">
        <f t="shared" si="9"/>
        <v>0</v>
      </c>
      <c r="H36" s="43" t="s">
        <v>87</v>
      </c>
      <c r="I36" s="43"/>
      <c r="J36" s="36"/>
    </row>
    <row r="37" spans="1:13" ht="13.5" hidden="1" x14ac:dyDescent="0.25">
      <c r="A37" s="37">
        <f t="shared" si="10"/>
        <v>0</v>
      </c>
      <c r="B37" s="42"/>
      <c r="C37" s="38">
        <f t="shared" si="11"/>
        <v>0</v>
      </c>
      <c r="D37" s="39" t="str">
        <f>IFERROR(VLOOKUP(H37,[1]SEMIELABORADOS!$A$2:$M$6000,6,0),"")</f>
        <v/>
      </c>
      <c r="E37" s="39">
        <v>0</v>
      </c>
      <c r="F37" s="39">
        <f t="shared" si="12"/>
        <v>0</v>
      </c>
      <c r="G37" s="40">
        <f t="shared" si="9"/>
        <v>0</v>
      </c>
      <c r="H37" s="43"/>
      <c r="I37" s="43"/>
      <c r="J37" s="36"/>
    </row>
    <row r="38" spans="1:13" ht="13.5" hidden="1" x14ac:dyDescent="0.25">
      <c r="A38" s="37">
        <f t="shared" si="10"/>
        <v>0</v>
      </c>
      <c r="B38" s="42" t="str">
        <f>IFERROR(VLOOKUP(H38,[1]SEMIELABORADOS!$A$2:$M$6000,2,0),"")</f>
        <v/>
      </c>
      <c r="C38" s="38">
        <f>+A38</f>
        <v>0</v>
      </c>
      <c r="D38" s="39" t="str">
        <f>IFERROR(VLOOKUP(H38,[1]SEMIELABORADOS!$A$2:$M$6000,6,0),"")</f>
        <v/>
      </c>
      <c r="E38" s="39" t="str">
        <f>IFERROR(VLOOKUP(H38,[1]SEMIELABORADOS!$A$2:$M$65536,10,0),"")</f>
        <v/>
      </c>
      <c r="F38" s="39" t="str">
        <f>IFERROR(E38*C38,"")</f>
        <v/>
      </c>
      <c r="G38" s="40" t="str">
        <f t="shared" si="9"/>
        <v/>
      </c>
      <c r="H38" s="43"/>
      <c r="I38" s="43"/>
      <c r="J38" s="36"/>
    </row>
    <row r="39" spans="1:13" ht="13.5" hidden="1" x14ac:dyDescent="0.25">
      <c r="A39" s="37">
        <f t="shared" si="10"/>
        <v>0</v>
      </c>
      <c r="B39" s="42" t="str">
        <f>IFERROR(VLOOKUP(H39,[1]SEMIELABORADOS!$A$2:$M$6000,2,0),"")</f>
        <v/>
      </c>
      <c r="C39" s="38">
        <f>+A39</f>
        <v>0</v>
      </c>
      <c r="D39" s="39" t="str">
        <f>IFERROR(VLOOKUP(H39,[1]SEMIELABORADOS!$A$2:$M$6000,6,0),"")</f>
        <v/>
      </c>
      <c r="E39" s="39" t="str">
        <f>IFERROR(VLOOKUP(H39,[1]SEMIELABORADOS!$A$2:$M$65536,10,0),"")</f>
        <v/>
      </c>
      <c r="F39" s="39" t="str">
        <f>IFERROR(E39*C39,"")</f>
        <v/>
      </c>
      <c r="G39" s="40" t="str">
        <f t="shared" si="9"/>
        <v/>
      </c>
      <c r="H39" s="43"/>
      <c r="I39" s="43"/>
      <c r="J39" s="36"/>
    </row>
    <row r="40" spans="1:13" ht="13.5" hidden="1" x14ac:dyDescent="0.25">
      <c r="A40" s="37">
        <f t="shared" si="10"/>
        <v>0</v>
      </c>
      <c r="B40" s="42" t="str">
        <f>IFERROR(VLOOKUP(H40,[1]SEMIELABORADOS!$A$2:$M$6000,2,0),"")</f>
        <v/>
      </c>
      <c r="C40" s="38">
        <f t="shared" si="11"/>
        <v>0</v>
      </c>
      <c r="D40" s="39" t="str">
        <f>IFERROR(VLOOKUP(H40,[1]SEMIELABORADOS!$A$2:$M$6000,6,0),"")</f>
        <v/>
      </c>
      <c r="E40" s="39" t="str">
        <f>IFERROR(VLOOKUP(H40,[1]SEMIELABORADOS!$A$2:$M$65536,10,0),"")</f>
        <v/>
      </c>
      <c r="F40" s="39" t="str">
        <f t="shared" si="12"/>
        <v/>
      </c>
      <c r="G40" s="40" t="str">
        <f t="shared" si="9"/>
        <v/>
      </c>
      <c r="H40" s="43"/>
      <c r="I40" s="43"/>
      <c r="J40" s="36"/>
    </row>
    <row r="41" spans="1:13" ht="13.5" hidden="1" x14ac:dyDescent="0.25">
      <c r="A41" s="37">
        <f t="shared" si="10"/>
        <v>0</v>
      </c>
      <c r="B41" s="42" t="str">
        <f>IFERROR(VLOOKUP(H41,[1]SEMIELABORADOS!$A$2:$M$6000,2,0),"")</f>
        <v/>
      </c>
      <c r="C41" s="38">
        <f t="shared" si="11"/>
        <v>0</v>
      </c>
      <c r="D41" s="39" t="str">
        <f>IFERROR(VLOOKUP(H41,[1]SEMIELABORADOS!$A$2:$M$6000,6,0),"")</f>
        <v/>
      </c>
      <c r="E41" s="39" t="str">
        <f>IFERROR(VLOOKUP(H41,[1]SEMIELABORADOS!$A$2:$M$65536,10,0),"")</f>
        <v/>
      </c>
      <c r="F41" s="39" t="str">
        <f t="shared" si="12"/>
        <v/>
      </c>
      <c r="G41" s="40" t="str">
        <f t="shared" si="9"/>
        <v/>
      </c>
      <c r="H41" s="43"/>
      <c r="I41" s="43"/>
      <c r="J41" s="36"/>
    </row>
    <row r="42" spans="1:13" ht="14.25" thickBot="1" x14ac:dyDescent="0.3">
      <c r="A42" s="37"/>
      <c r="B42" s="42"/>
      <c r="C42" s="38"/>
      <c r="D42" s="39"/>
      <c r="E42" s="39"/>
      <c r="F42" s="39"/>
      <c r="G42" s="40"/>
      <c r="H42" s="43"/>
      <c r="I42" s="43"/>
      <c r="J42" s="36"/>
    </row>
    <row r="43" spans="1:13" ht="26.25" thickBot="1" x14ac:dyDescent="0.3">
      <c r="A43" s="24" t="s">
        <v>66</v>
      </c>
      <c r="B43" s="25" t="s">
        <v>88</v>
      </c>
      <c r="C43" s="25" t="s">
        <v>66</v>
      </c>
      <c r="D43" s="26" t="s">
        <v>68</v>
      </c>
      <c r="E43" s="26" t="s">
        <v>69</v>
      </c>
      <c r="F43" s="26" t="s">
        <v>70</v>
      </c>
      <c r="G43" s="26" t="s">
        <v>71</v>
      </c>
      <c r="H43" s="27" t="s">
        <v>72</v>
      </c>
      <c r="I43" s="28"/>
      <c r="J43" s="36"/>
    </row>
    <row r="44" spans="1:13" ht="13.5" x14ac:dyDescent="0.25">
      <c r="A44" s="37">
        <f>+A35</f>
        <v>1</v>
      </c>
      <c r="B44" s="42" t="s">
        <v>14</v>
      </c>
      <c r="C44" s="38">
        <f>+A44</f>
        <v>1</v>
      </c>
      <c r="D44" s="39" t="s">
        <v>86</v>
      </c>
      <c r="E44" s="39">
        <f>+'[3]Costo Mufin '!H56</f>
        <v>25.7</v>
      </c>
      <c r="F44" s="39">
        <f>IFERROR(E44*C44,"")</f>
        <v>25.7</v>
      </c>
      <c r="G44" s="40">
        <f>IFERROR(F44/$F$66,"")</f>
        <v>4.9630053333961588E-2</v>
      </c>
      <c r="H44" s="43"/>
      <c r="I44" s="28"/>
      <c r="J44" s="36"/>
    </row>
    <row r="45" spans="1:13" ht="13.5" x14ac:dyDescent="0.25">
      <c r="A45" s="37">
        <f t="shared" ref="A45:A50" si="13">+A36</f>
        <v>20</v>
      </c>
      <c r="B45" s="42" t="s">
        <v>36</v>
      </c>
      <c r="C45" s="38">
        <f t="shared" ref="C45:C50" si="14">+A45</f>
        <v>20</v>
      </c>
      <c r="D45" s="39" t="s">
        <v>77</v>
      </c>
      <c r="E45" s="39">
        <v>0.13</v>
      </c>
      <c r="F45" s="39">
        <f t="shared" ref="F45:F50" si="15">IFERROR(E45*C45,"")</f>
        <v>2.6</v>
      </c>
      <c r="G45" s="40">
        <f t="shared" ref="G45:G50" si="16">IFERROR(F45/$F$66,"")</f>
        <v>5.0209392477937797E-3</v>
      </c>
      <c r="H45" s="43" t="s">
        <v>87</v>
      </c>
      <c r="I45" s="28"/>
      <c r="J45" s="36"/>
      <c r="M45" s="46"/>
    </row>
    <row r="46" spans="1:13" ht="13.5" hidden="1" x14ac:dyDescent="0.25">
      <c r="A46" s="37">
        <f t="shared" si="13"/>
        <v>0</v>
      </c>
      <c r="B46" s="42"/>
      <c r="C46" s="38">
        <f t="shared" si="14"/>
        <v>0</v>
      </c>
      <c r="D46" s="39" t="str">
        <f>IFERROR(VLOOKUP(H46,[1]SEMIELABORADOS!$A$2:$M$6000,6,0),"")</f>
        <v/>
      </c>
      <c r="E46" s="39">
        <v>0.09</v>
      </c>
      <c r="F46" s="39">
        <f t="shared" si="15"/>
        <v>0</v>
      </c>
      <c r="G46" s="40">
        <f t="shared" si="16"/>
        <v>0</v>
      </c>
      <c r="H46" s="43"/>
      <c r="I46" s="28"/>
      <c r="J46" s="36"/>
    </row>
    <row r="47" spans="1:13" ht="13.5" hidden="1" x14ac:dyDescent="0.25">
      <c r="A47" s="37">
        <f t="shared" si="13"/>
        <v>0</v>
      </c>
      <c r="B47" s="42" t="str">
        <f>IFERROR(VLOOKUP(H47,[1]SEMIELABORADOS!$A$2:$M$6000,2,0),"")</f>
        <v/>
      </c>
      <c r="C47" s="38">
        <f t="shared" si="14"/>
        <v>0</v>
      </c>
      <c r="D47" s="39" t="str">
        <f>IFERROR(VLOOKUP(H47,[1]SEMIELABORADOS!$A$2:$M$6000,6,0),"")</f>
        <v/>
      </c>
      <c r="E47" s="39" t="str">
        <f>IFERROR(VLOOKUP(H47,[1]SEMIELABORADOS!$A$2:$M$65536,12,0),"")</f>
        <v/>
      </c>
      <c r="F47" s="39" t="str">
        <f t="shared" si="15"/>
        <v/>
      </c>
      <c r="G47" s="40" t="str">
        <f t="shared" si="16"/>
        <v/>
      </c>
      <c r="H47" s="43"/>
      <c r="I47" s="28"/>
      <c r="J47" s="36"/>
    </row>
    <row r="48" spans="1:13" ht="13.5" hidden="1" x14ac:dyDescent="0.25">
      <c r="A48" s="37">
        <f t="shared" si="13"/>
        <v>0</v>
      </c>
      <c r="B48" s="42" t="str">
        <f>IFERROR(VLOOKUP(H48,[1]SEMIELABORADOS!$A$2:$M$6000,2,0),"")</f>
        <v/>
      </c>
      <c r="C48" s="38">
        <f t="shared" si="14"/>
        <v>0</v>
      </c>
      <c r="D48" s="39" t="str">
        <f>IFERROR(VLOOKUP(H48,[1]SEMIELABORADOS!$A$2:$M$6000,6,0),"")</f>
        <v/>
      </c>
      <c r="E48" s="39" t="str">
        <f>IFERROR(VLOOKUP(H48,[1]SEMIELABORADOS!$A$2:$M$65536,12,0),"")</f>
        <v/>
      </c>
      <c r="F48" s="39" t="str">
        <f t="shared" si="15"/>
        <v/>
      </c>
      <c r="G48" s="40" t="str">
        <f t="shared" si="16"/>
        <v/>
      </c>
      <c r="H48" s="43"/>
      <c r="I48" s="28"/>
      <c r="J48" s="36"/>
    </row>
    <row r="49" spans="1:25" ht="13.5" hidden="1" x14ac:dyDescent="0.25">
      <c r="A49" s="37">
        <f t="shared" si="13"/>
        <v>0</v>
      </c>
      <c r="B49" s="42" t="str">
        <f>IFERROR(VLOOKUP(H49,[1]SEMIELABORADOS!$A$2:$M$6000,2,0),"")</f>
        <v/>
      </c>
      <c r="C49" s="38">
        <f t="shared" si="14"/>
        <v>0</v>
      </c>
      <c r="D49" s="39" t="str">
        <f>IFERROR(VLOOKUP(H49,[1]SEMIELABORADOS!$A$2:$M$6000,6,0),"")</f>
        <v/>
      </c>
      <c r="E49" s="39" t="str">
        <f>IFERROR(VLOOKUP(H49,[1]SEMIELABORADOS!$A$2:$M$65536,12,0),"")</f>
        <v/>
      </c>
      <c r="F49" s="39" t="str">
        <f t="shared" si="15"/>
        <v/>
      </c>
      <c r="G49" s="40" t="str">
        <f t="shared" si="16"/>
        <v/>
      </c>
      <c r="H49" s="43"/>
      <c r="I49" s="28"/>
      <c r="J49" s="36"/>
    </row>
    <row r="50" spans="1:25" ht="13.5" hidden="1" x14ac:dyDescent="0.25">
      <c r="A50" s="37">
        <f t="shared" si="13"/>
        <v>0</v>
      </c>
      <c r="B50" s="42" t="str">
        <f>IFERROR(VLOOKUP(H50,[1]SEMIELABORADOS!$A$2:$M$6000,2,0),"")</f>
        <v/>
      </c>
      <c r="C50" s="38">
        <f t="shared" si="14"/>
        <v>0</v>
      </c>
      <c r="D50" s="39" t="str">
        <f>IFERROR(VLOOKUP(H50,[1]SEMIELABORADOS!$A$2:$M$6000,6,0),"")</f>
        <v/>
      </c>
      <c r="E50" s="39" t="str">
        <f>IFERROR(VLOOKUP(H50,[1]SEMIELABORADOS!$A$2:$M$65536,12,0),"")</f>
        <v/>
      </c>
      <c r="F50" s="39" t="str">
        <f t="shared" si="15"/>
        <v/>
      </c>
      <c r="G50" s="40" t="str">
        <f t="shared" si="16"/>
        <v/>
      </c>
      <c r="H50" s="42"/>
      <c r="I50" s="28"/>
      <c r="J50" s="36"/>
    </row>
    <row r="51" spans="1:25" ht="13.5" x14ac:dyDescent="0.25">
      <c r="A51" s="37">
        <v>1</v>
      </c>
      <c r="B51" s="42" t="s">
        <v>89</v>
      </c>
      <c r="C51" s="38">
        <f>+A51</f>
        <v>1</v>
      </c>
      <c r="D51" s="38" t="s">
        <v>90</v>
      </c>
      <c r="E51" s="39">
        <f>+F65</f>
        <v>122</v>
      </c>
      <c r="F51" s="39">
        <f>IFERROR(C51*E51,"")</f>
        <v>122</v>
      </c>
      <c r="G51" s="40">
        <f>IFERROR(F51/$F$66,"")</f>
        <v>0.2355979185503235</v>
      </c>
      <c r="H51" s="47"/>
      <c r="I51" s="47"/>
      <c r="J51" s="36"/>
    </row>
    <row r="52" spans="1:25" ht="14.25" thickBot="1" x14ac:dyDescent="0.3">
      <c r="A52" s="37"/>
      <c r="B52" s="42"/>
      <c r="C52" s="38"/>
      <c r="D52" s="38"/>
      <c r="E52" s="39"/>
      <c r="F52" s="39"/>
      <c r="G52" s="40"/>
      <c r="H52" s="47"/>
      <c r="I52" s="47"/>
      <c r="J52" s="36"/>
      <c r="W52" s="17">
        <f>12*24*41.5</f>
        <v>11952</v>
      </c>
      <c r="X52" s="17">
        <f>106473/W52</f>
        <v>8.9083835341365454</v>
      </c>
    </row>
    <row r="53" spans="1:25" ht="13.5" thickBot="1" x14ac:dyDescent="0.3">
      <c r="A53" s="48"/>
      <c r="B53" s="274" t="s">
        <v>91</v>
      </c>
      <c r="C53" s="274"/>
      <c r="D53" s="274"/>
      <c r="E53" s="274"/>
      <c r="F53" s="50">
        <f>SUM(F8:F14,F17:F24)</f>
        <v>297.09999999999997</v>
      </c>
      <c r="G53" s="40">
        <f>+F53/$F$66</f>
        <v>0.57373886558443532</v>
      </c>
      <c r="H53" s="51">
        <f>+F53/$D$60</f>
        <v>297.09999999999997</v>
      </c>
      <c r="I53" s="51"/>
      <c r="J53" s="52"/>
      <c r="K53" s="53"/>
      <c r="L53" s="53"/>
      <c r="M53" s="53"/>
      <c r="N53" s="53"/>
      <c r="O53" s="53"/>
      <c r="P53" s="53"/>
      <c r="Q53" s="54"/>
      <c r="Y53" s="17">
        <f>369.7/41.5</f>
        <v>8.9084337349397593</v>
      </c>
    </row>
    <row r="54" spans="1:25" x14ac:dyDescent="0.2">
      <c r="A54" s="48"/>
      <c r="B54" s="274" t="s">
        <v>92</v>
      </c>
      <c r="C54" s="274"/>
      <c r="D54" s="274"/>
      <c r="E54" s="274"/>
      <c r="F54" s="50">
        <f>SUM(F27:F32,F35:F41)</f>
        <v>92.789400000000001</v>
      </c>
      <c r="G54" s="40">
        <f>+F54/$F$66</f>
        <v>0.17918843855355238</v>
      </c>
      <c r="H54" s="51">
        <f>+F54/$D$60</f>
        <v>92.789400000000001</v>
      </c>
      <c r="I54" s="51"/>
      <c r="J54" s="55"/>
      <c r="K54" s="275" t="s">
        <v>93</v>
      </c>
      <c r="L54" s="276"/>
      <c r="M54" s="276"/>
      <c r="N54" s="276"/>
      <c r="O54" s="56">
        <f>+F55</f>
        <v>389.88939999999997</v>
      </c>
      <c r="P54" s="56"/>
      <c r="Q54" s="57"/>
      <c r="S54" s="58">
        <f>+O54/4</f>
        <v>97.472349999999992</v>
      </c>
      <c r="T54" s="59">
        <f>+S54-'[3]Costo Empaque 1'!O54</f>
        <v>-300.56612125307123</v>
      </c>
    </row>
    <row r="55" spans="1:25" x14ac:dyDescent="0.2">
      <c r="A55" s="48"/>
      <c r="B55" s="274" t="s">
        <v>94</v>
      </c>
      <c r="C55" s="274"/>
      <c r="D55" s="274"/>
      <c r="E55" s="274"/>
      <c r="F55" s="50">
        <f>+F53+F54</f>
        <v>389.88939999999997</v>
      </c>
      <c r="G55" s="40">
        <f>+F55/$F$66</f>
        <v>0.7529273041379877</v>
      </c>
      <c r="H55" s="51">
        <f>+F55/$D$60</f>
        <v>389.88939999999997</v>
      </c>
      <c r="I55" s="51"/>
      <c r="J55" s="60"/>
      <c r="K55" s="61"/>
      <c r="M55" s="62" t="s">
        <v>95</v>
      </c>
      <c r="N55" s="63"/>
      <c r="O55" s="56">
        <f>+F56</f>
        <v>150.30000000000001</v>
      </c>
      <c r="P55" s="56"/>
      <c r="Q55" s="57"/>
      <c r="S55" s="58">
        <f t="shared" ref="S55:S60" si="17">+O55/4</f>
        <v>37.575000000000003</v>
      </c>
      <c r="T55" s="64">
        <f>+S55-147</f>
        <v>-109.425</v>
      </c>
    </row>
    <row r="56" spans="1:25" ht="13.5" thickBot="1" x14ac:dyDescent="0.25">
      <c r="A56" s="48"/>
      <c r="B56" s="49"/>
      <c r="C56" s="274" t="s">
        <v>96</v>
      </c>
      <c r="D56" s="274"/>
      <c r="E56" s="274"/>
      <c r="F56" s="50">
        <f>SUM(F44:F51)</f>
        <v>150.30000000000001</v>
      </c>
      <c r="G56" s="40">
        <f>+F56/$F$66</f>
        <v>0.2902489111320789</v>
      </c>
      <c r="H56" s="51">
        <f>+F56/$D$60</f>
        <v>150.30000000000001</v>
      </c>
      <c r="I56" s="51"/>
      <c r="J56" s="60"/>
      <c r="K56" s="61"/>
      <c r="L56" s="61"/>
      <c r="M56" s="61" t="s">
        <v>97</v>
      </c>
      <c r="N56" s="65"/>
      <c r="O56" s="56">
        <f>O54*N56</f>
        <v>0</v>
      </c>
      <c r="P56" s="56"/>
      <c r="Q56" s="57"/>
      <c r="S56" s="58">
        <f t="shared" si="17"/>
        <v>0</v>
      </c>
    </row>
    <row r="57" spans="1:25" ht="13.5" thickBot="1" x14ac:dyDescent="0.25">
      <c r="A57" s="48"/>
      <c r="B57" s="66"/>
      <c r="C57" s="66"/>
      <c r="D57" s="66"/>
      <c r="E57" s="66"/>
      <c r="F57" s="67"/>
      <c r="G57" s="40"/>
      <c r="H57" s="68"/>
      <c r="I57" s="51"/>
      <c r="J57" s="60"/>
      <c r="K57" s="69"/>
      <c r="M57" s="70" t="s">
        <v>98</v>
      </c>
      <c r="N57" s="71"/>
      <c r="O57" s="72">
        <f>SUM(O54:O56)</f>
        <v>540.18939999999998</v>
      </c>
      <c r="P57" s="73"/>
      <c r="Q57" s="57"/>
      <c r="S57" s="58">
        <f t="shared" si="17"/>
        <v>135.04734999999999</v>
      </c>
    </row>
    <row r="58" spans="1:25" x14ac:dyDescent="0.2">
      <c r="B58" s="277" t="s">
        <v>99</v>
      </c>
      <c r="C58" s="277"/>
      <c r="D58" s="74">
        <v>103</v>
      </c>
      <c r="E58" s="75"/>
      <c r="F58" s="17">
        <f>+F56/61</f>
        <v>2.4639344262295082</v>
      </c>
      <c r="G58" s="40"/>
      <c r="H58" s="68">
        <f>+H56/61</f>
        <v>2.4639344262295082</v>
      </c>
      <c r="I58" s="76"/>
      <c r="J58" s="60"/>
      <c r="K58" s="69"/>
      <c r="L58" s="61"/>
      <c r="M58" s="61" t="s">
        <v>100</v>
      </c>
      <c r="N58" s="77"/>
      <c r="O58" s="56">
        <f>+H59</f>
        <v>142.90819672131147</v>
      </c>
      <c r="P58" s="56"/>
      <c r="Q58" s="57"/>
      <c r="S58" s="58">
        <f t="shared" si="17"/>
        <v>35.727049180327867</v>
      </c>
      <c r="T58" s="64">
        <f>+S58-140</f>
        <v>-104.27295081967213</v>
      </c>
    </row>
    <row r="59" spans="1:25" x14ac:dyDescent="0.2">
      <c r="B59" s="277" t="s">
        <v>101</v>
      </c>
      <c r="C59" s="277"/>
      <c r="D59" s="78">
        <v>103</v>
      </c>
      <c r="E59" s="75"/>
      <c r="F59" s="17">
        <f>+F58*58</f>
        <v>142.90819672131147</v>
      </c>
      <c r="G59" s="40"/>
      <c r="H59" s="68">
        <f>+H58*58</f>
        <v>142.90819672131147</v>
      </c>
      <c r="I59" s="76"/>
      <c r="J59" s="60"/>
      <c r="K59" s="69"/>
      <c r="L59" s="61"/>
      <c r="M59" s="278" t="s">
        <v>98</v>
      </c>
      <c r="N59" s="278"/>
      <c r="O59" s="56">
        <f>SUM(O57:O58)</f>
        <v>683.09759672131145</v>
      </c>
      <c r="P59" s="56"/>
      <c r="Q59" s="57"/>
      <c r="S59" s="58">
        <f t="shared" si="17"/>
        <v>170.77439918032786</v>
      </c>
    </row>
    <row r="60" spans="1:25" ht="13.5" thickBot="1" x14ac:dyDescent="0.25">
      <c r="B60" s="270" t="s">
        <v>102</v>
      </c>
      <c r="C60" s="270"/>
      <c r="D60" s="74">
        <f>+D58/D59</f>
        <v>1</v>
      </c>
      <c r="E60" s="75"/>
      <c r="F60" s="79"/>
      <c r="G60" s="40"/>
      <c r="H60" s="68"/>
      <c r="I60" s="76"/>
      <c r="J60" s="60"/>
      <c r="K60" s="69"/>
      <c r="L60" s="278"/>
      <c r="M60" s="278"/>
      <c r="N60" s="77"/>
      <c r="O60" s="56">
        <f>+O59*N60</f>
        <v>0</v>
      </c>
      <c r="P60" s="56"/>
      <c r="Q60" s="57"/>
      <c r="S60" s="58">
        <f t="shared" si="17"/>
        <v>0</v>
      </c>
    </row>
    <row r="61" spans="1:25" ht="13.5" thickBot="1" x14ac:dyDescent="0.25">
      <c r="B61" s="270" t="s">
        <v>103</v>
      </c>
      <c r="C61" s="270"/>
      <c r="D61" s="80"/>
      <c r="E61" s="75"/>
      <c r="F61" s="79"/>
      <c r="G61" s="40"/>
      <c r="H61" s="68"/>
      <c r="I61" s="76"/>
      <c r="J61" s="60"/>
      <c r="K61" s="271" t="s">
        <v>104</v>
      </c>
      <c r="L61" s="272"/>
      <c r="M61" s="272"/>
      <c r="N61" s="273"/>
      <c r="O61" s="72">
        <f>SUM(O59:O60)</f>
        <v>683.09759672131145</v>
      </c>
      <c r="P61" s="81" t="s">
        <v>105</v>
      </c>
      <c r="Q61" s="57"/>
      <c r="S61" s="58">
        <f>+O61/4</f>
        <v>170.77439918032786</v>
      </c>
      <c r="T61" s="82">
        <f>+S61-610</f>
        <v>-439.22560081967214</v>
      </c>
    </row>
    <row r="62" spans="1:25" ht="13.5" thickBot="1" x14ac:dyDescent="0.25">
      <c r="C62" s="48" t="s">
        <v>106</v>
      </c>
      <c r="D62" s="83"/>
      <c r="E62" s="15" t="s">
        <v>107</v>
      </c>
      <c r="F62" s="84" t="s">
        <v>108</v>
      </c>
      <c r="G62" s="40"/>
      <c r="H62" s="68"/>
      <c r="I62" s="76"/>
      <c r="J62" s="85"/>
      <c r="K62" s="86"/>
      <c r="L62" s="284" t="s">
        <v>109</v>
      </c>
      <c r="M62" s="284"/>
      <c r="N62" s="284"/>
      <c r="O62" s="87">
        <f>+O61/D60</f>
        <v>683.09759672131145</v>
      </c>
      <c r="P62" s="88">
        <f>+O62/D59</f>
        <v>6.6320155021486551</v>
      </c>
      <c r="Q62" s="89"/>
      <c r="S62" s="58"/>
    </row>
    <row r="63" spans="1:25" ht="13.5" thickBot="1" x14ac:dyDescent="0.25">
      <c r="B63" s="285" t="s">
        <v>94</v>
      </c>
      <c r="C63" s="285"/>
      <c r="D63" s="285"/>
      <c r="E63" s="90">
        <f>+F63/F63</f>
        <v>1</v>
      </c>
      <c r="F63" s="91">
        <f>SUM(F55)</f>
        <v>389.88939999999997</v>
      </c>
      <c r="G63" s="40">
        <f>+F63/$F$66</f>
        <v>0.7529273041379877</v>
      </c>
      <c r="H63" s="68"/>
      <c r="I63" s="76"/>
      <c r="K63" s="286"/>
      <c r="L63" s="287"/>
      <c r="M63" s="287"/>
      <c r="N63" s="287"/>
      <c r="O63" s="92"/>
      <c r="P63" s="93"/>
    </row>
    <row r="64" spans="1:25" ht="13.5" thickBot="1" x14ac:dyDescent="0.3">
      <c r="B64" s="288" t="s">
        <v>110</v>
      </c>
      <c r="C64" s="288"/>
      <c r="D64" s="288"/>
      <c r="E64" s="94">
        <v>0.02</v>
      </c>
      <c r="F64" s="91">
        <f>+F53*E64</f>
        <v>5.9419999999999993</v>
      </c>
      <c r="G64" s="40">
        <f>+F64/$F$66</f>
        <v>1.1474777311688706E-2</v>
      </c>
      <c r="H64" s="51"/>
      <c r="I64" s="76"/>
      <c r="J64" s="95"/>
      <c r="N64" s="17">
        <v>1</v>
      </c>
      <c r="O64" s="96">
        <v>768.1</v>
      </c>
      <c r="P64" s="49"/>
      <c r="S64" s="97"/>
    </row>
    <row r="65" spans="2:15" ht="13.5" thickBot="1" x14ac:dyDescent="0.3">
      <c r="B65" s="289" t="s">
        <v>111</v>
      </c>
      <c r="C65" s="290"/>
      <c r="D65" s="98">
        <v>2</v>
      </c>
      <c r="E65" s="99">
        <v>61</v>
      </c>
      <c r="F65" s="91">
        <f>+E65*D65</f>
        <v>122</v>
      </c>
      <c r="G65" s="40">
        <f>+F65/$F$66</f>
        <v>0.2355979185503235</v>
      </c>
      <c r="H65" s="51"/>
      <c r="I65" s="51"/>
      <c r="J65" s="36"/>
      <c r="O65" s="100"/>
    </row>
    <row r="66" spans="2:15" ht="13.5" thickBot="1" x14ac:dyDescent="0.3">
      <c r="B66" s="291" t="s">
        <v>112</v>
      </c>
      <c r="C66" s="292"/>
      <c r="D66" s="292"/>
      <c r="E66" s="293"/>
      <c r="F66" s="67">
        <f>SUM(F63:F65)</f>
        <v>517.83140000000003</v>
      </c>
      <c r="G66" s="40">
        <f>+F66/$F$66</f>
        <v>1</v>
      </c>
      <c r="H66" s="294"/>
      <c r="I66" s="51"/>
      <c r="J66" s="36"/>
      <c r="M66" s="17" t="s">
        <v>113</v>
      </c>
      <c r="O66" s="100"/>
    </row>
    <row r="67" spans="2:15" x14ac:dyDescent="0.25">
      <c r="C67" s="46"/>
      <c r="D67" s="46"/>
      <c r="E67" s="102"/>
      <c r="F67" s="91"/>
      <c r="G67" s="40"/>
      <c r="H67" s="294"/>
      <c r="I67" s="101"/>
      <c r="J67" s="17"/>
      <c r="M67" s="17" t="s">
        <v>114</v>
      </c>
    </row>
    <row r="68" spans="2:15" ht="13.5" thickBot="1" x14ac:dyDescent="0.3">
      <c r="B68" s="279" t="s">
        <v>115</v>
      </c>
      <c r="C68" s="279"/>
      <c r="D68" s="279"/>
      <c r="E68" s="279"/>
      <c r="F68" s="279"/>
      <c r="G68" s="40"/>
      <c r="H68" s="104"/>
      <c r="I68" s="101"/>
      <c r="J68" s="17"/>
      <c r="M68" s="17" t="s">
        <v>116</v>
      </c>
    </row>
    <row r="69" spans="2:15" ht="13.5" thickBot="1" x14ac:dyDescent="0.3">
      <c r="B69" s="105" t="s">
        <v>117</v>
      </c>
      <c r="C69" s="106">
        <f>+F53</f>
        <v>297.09999999999997</v>
      </c>
      <c r="D69" s="106">
        <f>+D58</f>
        <v>103</v>
      </c>
      <c r="E69" s="107">
        <f>+C69/D69</f>
        <v>2.8844660194174754</v>
      </c>
      <c r="F69" s="40"/>
      <c r="G69" s="104"/>
      <c r="H69" s="36"/>
      <c r="I69" s="104"/>
      <c r="J69" s="17"/>
    </row>
    <row r="70" spans="2:15" x14ac:dyDescent="0.25">
      <c r="B70" s="108"/>
      <c r="C70" s="109"/>
      <c r="D70" s="110"/>
      <c r="E70" s="91"/>
      <c r="F70" s="40"/>
      <c r="G70" s="104"/>
      <c r="H70" s="36"/>
      <c r="I70" s="36"/>
      <c r="J70" s="17"/>
    </row>
    <row r="71" spans="2:15" x14ac:dyDescent="0.25">
      <c r="B71" s="105" t="s">
        <v>118</v>
      </c>
      <c r="C71" s="106">
        <f>SUM(F63:F64)</f>
        <v>395.83139999999997</v>
      </c>
      <c r="D71" s="106">
        <f>+D58</f>
        <v>103</v>
      </c>
      <c r="E71" s="111">
        <f>+C71/D71</f>
        <v>3.8430233009708736</v>
      </c>
      <c r="F71" s="40"/>
      <c r="G71" s="104"/>
      <c r="H71" s="36"/>
      <c r="I71" s="36"/>
      <c r="J71" s="17"/>
    </row>
    <row r="72" spans="2:15" x14ac:dyDescent="0.25">
      <c r="B72" s="105"/>
      <c r="C72" s="106"/>
      <c r="D72" s="106"/>
      <c r="E72" s="111"/>
      <c r="F72" s="40"/>
      <c r="G72" s="104"/>
      <c r="H72" s="36"/>
      <c r="I72" s="36"/>
      <c r="J72" s="17"/>
    </row>
    <row r="73" spans="2:15" ht="13.5" thickBot="1" x14ac:dyDescent="0.3">
      <c r="B73" s="105" t="s">
        <v>119</v>
      </c>
      <c r="C73" s="106">
        <f>+F65</f>
        <v>122</v>
      </c>
      <c r="D73" s="106">
        <f>+D58</f>
        <v>103</v>
      </c>
      <c r="E73" s="111">
        <f>+C73/D73</f>
        <v>1.1844660194174756</v>
      </c>
      <c r="F73" s="40"/>
      <c r="G73" s="104"/>
      <c r="H73" s="36"/>
      <c r="I73" s="36"/>
      <c r="J73" s="17"/>
    </row>
    <row r="74" spans="2:15" ht="13.5" thickBot="1" x14ac:dyDescent="0.3">
      <c r="B74" s="105" t="s">
        <v>120</v>
      </c>
      <c r="C74" s="106">
        <f>+F56</f>
        <v>150.30000000000001</v>
      </c>
      <c r="D74" s="106">
        <f>+D73</f>
        <v>103</v>
      </c>
      <c r="E74" s="107">
        <f>+C74/D74</f>
        <v>1.4592233009708739</v>
      </c>
      <c r="F74" s="40"/>
      <c r="G74" s="104"/>
      <c r="H74" s="36"/>
      <c r="I74" s="36"/>
      <c r="J74" s="17"/>
    </row>
    <row r="75" spans="2:15" ht="13.5" thickBot="1" x14ac:dyDescent="0.3">
      <c r="B75" s="66"/>
      <c r="C75" s="67"/>
      <c r="D75" s="67"/>
      <c r="E75" s="111"/>
      <c r="F75" s="40"/>
      <c r="G75" s="104"/>
      <c r="H75" s="36"/>
      <c r="I75" s="36"/>
      <c r="J75" s="17"/>
    </row>
    <row r="76" spans="2:15" ht="13.5" thickBot="1" x14ac:dyDescent="0.3">
      <c r="B76" s="105" t="s">
        <v>121</v>
      </c>
      <c r="C76" s="106">
        <f>+F54</f>
        <v>92.789400000000001</v>
      </c>
      <c r="D76" s="106">
        <f>+D74</f>
        <v>103</v>
      </c>
      <c r="E76" s="107">
        <f>+C76/D76</f>
        <v>0.90086796116504853</v>
      </c>
      <c r="F76" s="40"/>
      <c r="G76" s="104"/>
      <c r="H76" s="36"/>
      <c r="I76" s="36"/>
      <c r="J76" s="36"/>
    </row>
    <row r="77" spans="2:15" ht="13.5" thickBot="1" x14ac:dyDescent="0.3">
      <c r="B77" s="66"/>
      <c r="C77" s="67"/>
      <c r="D77" s="67"/>
      <c r="E77" s="111"/>
      <c r="F77" s="40"/>
      <c r="G77" s="104"/>
      <c r="H77" s="36"/>
      <c r="I77" s="36"/>
    </row>
    <row r="78" spans="2:15" ht="13.5" thickBot="1" x14ac:dyDescent="0.3">
      <c r="B78" s="280" t="s">
        <v>122</v>
      </c>
      <c r="C78" s="281"/>
      <c r="D78" s="282"/>
      <c r="E78" s="107">
        <f>+E69+E74</f>
        <v>4.3436893203883491</v>
      </c>
      <c r="G78" s="40"/>
      <c r="H78" s="104"/>
      <c r="I78" s="36"/>
      <c r="J78" s="111"/>
    </row>
    <row r="79" spans="2:15" x14ac:dyDescent="0.25">
      <c r="I79" s="104"/>
      <c r="J79" s="17"/>
    </row>
    <row r="80" spans="2:15" ht="13.5" thickBot="1" x14ac:dyDescent="0.3">
      <c r="B80" s="279" t="s">
        <v>123</v>
      </c>
      <c r="C80" s="279"/>
      <c r="D80" s="279"/>
      <c r="E80" s="279"/>
      <c r="F80" s="279"/>
      <c r="G80" s="40"/>
      <c r="H80" s="104"/>
      <c r="J80" s="17"/>
    </row>
    <row r="81" spans="1:10" ht="13.5" thickBot="1" x14ac:dyDescent="0.3">
      <c r="B81" s="105" t="s">
        <v>117</v>
      </c>
      <c r="C81" s="106">
        <f>+C69</f>
        <v>297.09999999999997</v>
      </c>
      <c r="D81" s="106">
        <f>+D60</f>
        <v>1</v>
      </c>
      <c r="E81" s="107">
        <f>+C81/D81</f>
        <v>297.09999999999997</v>
      </c>
      <c r="F81" s="40"/>
      <c r="G81" s="104"/>
      <c r="H81" s="36"/>
      <c r="I81" s="104"/>
      <c r="J81" s="17"/>
    </row>
    <row r="82" spans="1:10" x14ac:dyDescent="0.25">
      <c r="B82" s="108"/>
      <c r="C82" s="109"/>
      <c r="D82" s="110"/>
      <c r="E82" s="91"/>
      <c r="F82" s="40"/>
      <c r="G82" s="104"/>
      <c r="H82" s="36"/>
      <c r="I82" s="36"/>
      <c r="J82" s="17"/>
    </row>
    <row r="83" spans="1:10" x14ac:dyDescent="0.25">
      <c r="B83" s="105" t="s">
        <v>118</v>
      </c>
      <c r="C83" s="106">
        <f>+C71</f>
        <v>395.83139999999997</v>
      </c>
      <c r="D83" s="106">
        <f>+D60</f>
        <v>1</v>
      </c>
      <c r="E83" s="111">
        <f>+C83/D83</f>
        <v>395.83139999999997</v>
      </c>
      <c r="F83" s="40"/>
      <c r="G83" s="104"/>
      <c r="H83" s="36"/>
      <c r="I83" s="36"/>
      <c r="J83" s="17"/>
    </row>
    <row r="84" spans="1:10" x14ac:dyDescent="0.25">
      <c r="B84" s="105"/>
      <c r="C84" s="106"/>
      <c r="D84" s="106"/>
      <c r="E84" s="111"/>
      <c r="F84" s="40"/>
      <c r="G84" s="104"/>
      <c r="H84" s="36"/>
      <c r="I84" s="36"/>
      <c r="J84" s="17"/>
    </row>
    <row r="85" spans="1:10" ht="13.5" thickBot="1" x14ac:dyDescent="0.3">
      <c r="B85" s="105" t="s">
        <v>120</v>
      </c>
      <c r="C85" s="106">
        <f>+C73</f>
        <v>122</v>
      </c>
      <c r="D85" s="106">
        <f>+D60</f>
        <v>1</v>
      </c>
      <c r="E85" s="111">
        <f>+C85/D85</f>
        <v>122</v>
      </c>
      <c r="F85" s="113"/>
      <c r="G85" s="103"/>
      <c r="H85" s="16"/>
      <c r="I85" s="36"/>
    </row>
    <row r="86" spans="1:10" ht="13.5" thickBot="1" x14ac:dyDescent="0.3">
      <c r="B86" s="105" t="s">
        <v>120</v>
      </c>
      <c r="C86" s="106">
        <f>+C74</f>
        <v>150.30000000000001</v>
      </c>
      <c r="D86" s="106">
        <f>+D85</f>
        <v>1</v>
      </c>
      <c r="E86" s="107">
        <f>+C86/D86</f>
        <v>150.30000000000001</v>
      </c>
      <c r="F86" s="112"/>
      <c r="G86" s="103"/>
      <c r="H86" s="16"/>
      <c r="I86" s="16"/>
    </row>
    <row r="87" spans="1:10" x14ac:dyDescent="0.25">
      <c r="I87" s="16"/>
    </row>
    <row r="88" spans="1:10" x14ac:dyDescent="0.2">
      <c r="A88" s="283"/>
      <c r="B88" s="283"/>
      <c r="C88" s="114"/>
      <c r="D88" s="114"/>
      <c r="E88" s="115"/>
      <c r="G88" s="116"/>
    </row>
    <row r="89" spans="1:10" x14ac:dyDescent="0.2">
      <c r="A89" s="42"/>
      <c r="B89" s="117"/>
      <c r="C89" s="118"/>
      <c r="D89" s="118"/>
      <c r="E89" s="119"/>
      <c r="G89" s="116"/>
    </row>
    <row r="90" spans="1:10" x14ac:dyDescent="0.2">
      <c r="A90" s="42"/>
      <c r="B90" s="117"/>
      <c r="C90" s="120"/>
      <c r="D90" s="120"/>
      <c r="E90" s="42"/>
      <c r="G90" s="116"/>
    </row>
    <row r="91" spans="1:10" x14ac:dyDescent="0.2">
      <c r="A91" s="42"/>
      <c r="B91" s="117"/>
      <c r="C91" s="121"/>
      <c r="D91" s="121"/>
      <c r="E91" s="42"/>
      <c r="G91" s="116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2c688a47154e5b1e57441c4d3b3014c0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7f8642968a822266ef094c32aed2123b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759095C-2DBD-4882-A942-F1E325A70435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A3FFBCBF-E8F8-4E24-99D7-2AC068A151E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C1429E1-7BCC-4C69-B073-4B4C6969713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Hoja2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Miguel Coto Consultor</dc:creator>
  <cp:lastModifiedBy>Allan Brenes</cp:lastModifiedBy>
  <cp:lastPrinted>2025-10-16T16:46:15Z</cp:lastPrinted>
  <dcterms:created xsi:type="dcterms:W3CDTF">2024-11-26T14:51:27Z</dcterms:created>
  <dcterms:modified xsi:type="dcterms:W3CDTF">2025-12-08T16:10:52Z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
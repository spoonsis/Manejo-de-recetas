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9" documentId="8_{115A4561-2B7A-4BA3-8547-07502B3FFDB0}" xr6:coauthVersionLast="47" xr6:coauthVersionMax="47" xr10:uidLastSave="{92565B04-EF64-4747-BEF0-7C8A2C268935}"/>
  <bookViews>
    <workbookView xWindow="-120" yWindow="-120" windowWidth="20730" windowHeight="11040" tabRatio="879" xr2:uid="{3D88682A-DEE2-4EDC-843D-643C79DE1D6D}"/>
  </bookViews>
  <sheets>
    <sheet name="Receta" sheetId="37" r:id="rId1"/>
    <sheet name="COSTO" sheetId="38" state="hidden" r:id="rId2"/>
  </sheets>
  <externalReferences>
    <externalReference r:id="rId3"/>
    <externalReference r:id="rId4"/>
  </externalReferences>
  <definedNames>
    <definedName name="_xlnm.Print_Area" localSheetId="0">Receta!$A$1:$I$33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38" l="1"/>
  <c r="D74" i="38"/>
  <c r="D76" i="38"/>
  <c r="D71" i="38"/>
  <c r="D69" i="38"/>
  <c r="F65" i="38"/>
  <c r="C73" i="38"/>
  <c r="D60" i="38"/>
  <c r="D85" i="38"/>
  <c r="D86" i="38"/>
  <c r="C51" i="38"/>
  <c r="E50" i="38"/>
  <c r="F50" i="38"/>
  <c r="D50" i="38"/>
  <c r="B50" i="38"/>
  <c r="E49" i="38"/>
  <c r="F49" i="38"/>
  <c r="D49" i="38"/>
  <c r="B49" i="38"/>
  <c r="E48" i="38"/>
  <c r="F48" i="38"/>
  <c r="D48" i="38"/>
  <c r="B48" i="38"/>
  <c r="E47" i="38"/>
  <c r="F47" i="38"/>
  <c r="D47" i="38"/>
  <c r="B47" i="38"/>
  <c r="E46" i="38"/>
  <c r="F46" i="38"/>
  <c r="D46" i="38"/>
  <c r="B46" i="38"/>
  <c r="E45" i="38"/>
  <c r="F45" i="38"/>
  <c r="D45" i="38"/>
  <c r="B45" i="38"/>
  <c r="E44" i="38"/>
  <c r="F44" i="38"/>
  <c r="D44" i="38"/>
  <c r="B44" i="38"/>
  <c r="E41" i="38"/>
  <c r="F41" i="38"/>
  <c r="D41" i="38"/>
  <c r="B41" i="38"/>
  <c r="A41" i="38"/>
  <c r="A50" i="38"/>
  <c r="C50" i="38"/>
  <c r="E40" i="38"/>
  <c r="F40" i="38"/>
  <c r="D40" i="38"/>
  <c r="B40" i="38"/>
  <c r="A40" i="38"/>
  <c r="A49" i="38"/>
  <c r="C49" i="38"/>
  <c r="E39" i="38"/>
  <c r="F39" i="38"/>
  <c r="D39" i="38"/>
  <c r="B39" i="38"/>
  <c r="A39" i="38"/>
  <c r="A48" i="38"/>
  <c r="C48" i="38"/>
  <c r="E38" i="38"/>
  <c r="F38" i="38"/>
  <c r="D38" i="38"/>
  <c r="B38" i="38"/>
  <c r="A38" i="38"/>
  <c r="C38" i="38"/>
  <c r="E37" i="38"/>
  <c r="F37" i="38"/>
  <c r="D37" i="38"/>
  <c r="B37" i="38"/>
  <c r="A37" i="38"/>
  <c r="A46" i="38"/>
  <c r="C46" i="38"/>
  <c r="E36" i="38"/>
  <c r="F36" i="38"/>
  <c r="D36" i="38"/>
  <c r="B36" i="38"/>
  <c r="A36" i="38"/>
  <c r="A45" i="38"/>
  <c r="C45" i="38"/>
  <c r="E35" i="38"/>
  <c r="F35" i="38"/>
  <c r="D35" i="38"/>
  <c r="B35" i="38"/>
  <c r="A35" i="38"/>
  <c r="A44" i="38"/>
  <c r="C44" i="38"/>
  <c r="E32" i="38"/>
  <c r="F32" i="38"/>
  <c r="D32" i="38"/>
  <c r="C32" i="38"/>
  <c r="B32" i="38"/>
  <c r="E31" i="38"/>
  <c r="F31" i="38"/>
  <c r="D31" i="38"/>
  <c r="C31" i="38"/>
  <c r="B31" i="38"/>
  <c r="E30" i="38"/>
  <c r="F30" i="38"/>
  <c r="D30" i="38"/>
  <c r="C30" i="38"/>
  <c r="B30" i="38"/>
  <c r="E29" i="38"/>
  <c r="F29" i="38"/>
  <c r="D29" i="38"/>
  <c r="C29" i="38"/>
  <c r="B29" i="38"/>
  <c r="C28" i="38"/>
  <c r="E27" i="38"/>
  <c r="F27" i="38"/>
  <c r="D27" i="38"/>
  <c r="C27" i="38"/>
  <c r="B27" i="38"/>
  <c r="E24" i="38"/>
  <c r="F24" i="38"/>
  <c r="D24" i="38"/>
  <c r="C24" i="38"/>
  <c r="B24" i="38"/>
  <c r="E23" i="38"/>
  <c r="F23" i="38"/>
  <c r="D23" i="38"/>
  <c r="C23" i="38"/>
  <c r="B23" i="38"/>
  <c r="E22" i="38"/>
  <c r="F22" i="38"/>
  <c r="D22" i="38"/>
  <c r="C22" i="38"/>
  <c r="B22" i="38"/>
  <c r="E21" i="38"/>
  <c r="F21" i="38"/>
  <c r="D21" i="38"/>
  <c r="C21" i="38"/>
  <c r="B21" i="38"/>
  <c r="E20" i="38"/>
  <c r="F20" i="38"/>
  <c r="D20" i="38"/>
  <c r="C20" i="38"/>
  <c r="B20" i="38"/>
  <c r="E19" i="38"/>
  <c r="F19" i="38"/>
  <c r="D19" i="38"/>
  <c r="C19" i="38"/>
  <c r="B19" i="38"/>
  <c r="E18" i="38"/>
  <c r="F18" i="38"/>
  <c r="D18" i="38"/>
  <c r="C18" i="38"/>
  <c r="B18" i="38"/>
  <c r="E17" i="38"/>
  <c r="F17" i="38"/>
  <c r="D17" i="38"/>
  <c r="C17" i="38"/>
  <c r="B17" i="38"/>
  <c r="B15" i="38"/>
  <c r="E14" i="38"/>
  <c r="F14" i="38"/>
  <c r="D14" i="38"/>
  <c r="C14" i="38"/>
  <c r="B14" i="38"/>
  <c r="E13" i="38"/>
  <c r="F13" i="38"/>
  <c r="D13" i="38"/>
  <c r="C13" i="38"/>
  <c r="B13" i="38"/>
  <c r="E12" i="38"/>
  <c r="F12" i="38"/>
  <c r="D12" i="38"/>
  <c r="C12" i="38"/>
  <c r="B12" i="38"/>
  <c r="E11" i="38"/>
  <c r="F11" i="38"/>
  <c r="D11" i="38"/>
  <c r="C11" i="38"/>
  <c r="B11" i="38"/>
  <c r="E10" i="38"/>
  <c r="F10" i="38"/>
  <c r="D10" i="38"/>
  <c r="C10" i="38"/>
  <c r="B10" i="38"/>
  <c r="E9" i="38"/>
  <c r="F9" i="38"/>
  <c r="D9" i="38"/>
  <c r="C9" i="38"/>
  <c r="B9" i="38"/>
  <c r="E8" i="38"/>
  <c r="F8" i="38"/>
  <c r="D8" i="38"/>
  <c r="C8" i="38"/>
  <c r="B8" i="38"/>
  <c r="H6" i="38"/>
  <c r="D23" i="37"/>
  <c r="D24" i="37"/>
  <c r="D81" i="38"/>
  <c r="D83" i="38"/>
  <c r="F28" i="38"/>
  <c r="C41" i="38"/>
  <c r="C36" i="38"/>
  <c r="C37" i="38"/>
  <c r="C40" i="38"/>
  <c r="C85" i="38"/>
  <c r="E85" i="38"/>
  <c r="E73" i="38"/>
  <c r="C35" i="38"/>
  <c r="C39" i="38"/>
  <c r="A47" i="38"/>
  <c r="C47" i="38"/>
  <c r="E51" i="38"/>
  <c r="F51" i="38"/>
  <c r="F53" i="38"/>
  <c r="F54" i="38"/>
  <c r="F56" i="38"/>
  <c r="F64" i="38"/>
  <c r="F55" i="38"/>
  <c r="H53" i="38"/>
  <c r="F2" i="38"/>
  <c r="C69" i="38"/>
  <c r="C74" i="38"/>
  <c r="H56" i="38"/>
  <c r="H2" i="38"/>
  <c r="H54" i="38"/>
  <c r="G2" i="38"/>
  <c r="C76" i="38"/>
  <c r="E76" i="38"/>
  <c r="E69" i="38"/>
  <c r="C81" i="38"/>
  <c r="E81" i="38"/>
  <c r="E74" i="38"/>
  <c r="C86" i="38"/>
  <c r="E86" i="38"/>
  <c r="O54" i="38"/>
  <c r="H55" i="38"/>
  <c r="F63" i="38"/>
  <c r="O58" i="38"/>
  <c r="O56" i="38"/>
  <c r="O55" i="38"/>
  <c r="O57" i="38"/>
  <c r="O59" i="38"/>
  <c r="C71" i="38"/>
  <c r="F66" i="38"/>
  <c r="G63" i="38"/>
  <c r="E63" i="38"/>
  <c r="E78" i="38"/>
  <c r="O60" i="38"/>
  <c r="O61" i="38"/>
  <c r="O62" i="38"/>
  <c r="C83" i="38"/>
  <c r="E83" i="38"/>
  <c r="E71" i="38"/>
  <c r="G30" i="38"/>
  <c r="G36" i="38"/>
  <c r="G23" i="38"/>
  <c r="G66" i="38"/>
  <c r="G39" i="38"/>
  <c r="G10" i="38"/>
  <c r="G28" i="38"/>
  <c r="G65" i="38"/>
  <c r="G51" i="38"/>
  <c r="G35" i="38"/>
  <c r="G21" i="38"/>
  <c r="G29" i="38"/>
  <c r="G41" i="38"/>
  <c r="G17" i="38"/>
  <c r="G14" i="38"/>
  <c r="G27" i="38"/>
  <c r="G50" i="38"/>
  <c r="G19" i="38"/>
  <c r="G49" i="38"/>
  <c r="G11" i="38"/>
  <c r="G24" i="38"/>
  <c r="G8" i="38"/>
  <c r="G45" i="38"/>
  <c r="G13" i="38"/>
  <c r="G44" i="38"/>
  <c r="G31" i="38"/>
  <c r="G9" i="38"/>
  <c r="G20" i="38"/>
  <c r="G18" i="38"/>
  <c r="G22" i="38"/>
  <c r="G46" i="38"/>
  <c r="G37" i="38"/>
  <c r="G40" i="38"/>
  <c r="G38" i="38"/>
  <c r="G47" i="38"/>
  <c r="G48" i="38"/>
  <c r="G32" i="38"/>
  <c r="G12" i="38"/>
  <c r="G54" i="38"/>
  <c r="G53" i="38"/>
  <c r="G56" i="38"/>
  <c r="G64" i="38"/>
  <c r="G55" i="38"/>
  <c r="E2" i="38"/>
  <c r="P62" i="38"/>
</calcChain>
</file>

<file path=xl/sharedStrings.xml><?xml version="1.0" encoding="utf-8"?>
<sst xmlns="http://schemas.openxmlformats.org/spreadsheetml/2006/main" count="165" uniqueCount="114">
  <si>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</si>
  <si>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</si>
  <si>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</si>
  <si>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</si>
  <si>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</si>
  <si>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</si>
  <si>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</si>
  <si>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</si>
  <si>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</si>
  <si>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</si>
  <si>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</si>
  <si>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1950708</t>
  </si>
  <si>
    <t>MERMA</t>
  </si>
  <si>
    <t>BOLSA 17x25 TRANSP</t>
  </si>
  <si>
    <t>g</t>
  </si>
  <si>
    <t>PROCEDIMIENTO DE PREPARACION DE LA  RECETA</t>
  </si>
  <si>
    <t>OTROS</t>
  </si>
  <si>
    <t>PESO DE CADA PORCIÓN</t>
  </si>
  <si>
    <t>TEMPERATURA HORNEO</t>
  </si>
  <si>
    <t>Tanda</t>
  </si>
  <si>
    <t>CANTIDAD DE PORCIONES OBTENIDAS</t>
  </si>
  <si>
    <t>HORNO</t>
  </si>
  <si>
    <t>Minutos</t>
  </si>
  <si>
    <t>TIEMPO DE HORNEO</t>
  </si>
  <si>
    <t>Unidad</t>
  </si>
  <si>
    <t>ETIQ.FECHA VENCIMIENTO BLANCO</t>
  </si>
  <si>
    <t>0702007</t>
  </si>
  <si>
    <t>Medida alternativa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</si>
  <si>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</si>
  <si>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</si>
  <si>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</si>
  <si>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</si>
  <si>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</si>
  <si>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</si>
  <si>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CÓDIGO:</t>
  </si>
  <si>
    <t>SERVICIOS DE PASTELERIA S.A.</t>
  </si>
  <si>
    <t>Enmanuel Madrigal, Chef</t>
  </si>
  <si>
    <t>CONTROL DE CAMBIOS</t>
  </si>
  <si>
    <t>Ud</t>
  </si>
  <si>
    <t>10900020</t>
  </si>
  <si>
    <t>ZANAHORIA EN TROZOS (PAQ=2Kg)</t>
  </si>
  <si>
    <t>10415</t>
  </si>
  <si>
    <t>AGUA POTABLE (PLANTA)</t>
  </si>
  <si>
    <t>FAS</t>
  </si>
  <si>
    <t>PARA COCCIÓN</t>
  </si>
  <si>
    <t>PARA LICUAR</t>
  </si>
  <si>
    <t>COCINA</t>
  </si>
  <si>
    <t>0702123</t>
  </si>
  <si>
    <t>ETIQUETA BLANCA 2 5/8X1 15/16 (UND)</t>
  </si>
  <si>
    <t>PLASTICOS P</t>
  </si>
  <si>
    <t>ETIPLAS</t>
  </si>
  <si>
    <t>2.- Licuar la zanahoria cocida, junto con el kilo de caldo reservado</t>
  </si>
  <si>
    <t>3.- Empacar en doble bolsa 17x25, hacer nudo y etiquetar con nombre y fecha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</si>
  <si>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</si>
  <si>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</si>
  <si>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</si>
  <si>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</si>
  <si>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</si>
  <si>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</si>
  <si>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</si>
  <si>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</si>
  <si>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</si>
  <si>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</si>
  <si>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</si>
  <si>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</si>
  <si>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</si>
  <si>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</si>
  <si>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</si>
  <si>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</si>
  <si>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</si>
  <si>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</si>
  <si>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</si>
  <si>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</si>
  <si>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</si>
  <si>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</si>
  <si>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</si>
  <si>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</si>
  <si>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</si>
  <si>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</si>
  <si>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</si>
  <si>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</si>
  <si>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</si>
  <si>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</si>
  <si>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</si>
  <si>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</si>
  <si>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</si>
  <si>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</si>
  <si>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</si>
  <si>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</si>
  <si>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</si>
  <si>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</si>
  <si>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</si>
  <si>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</si>
  <si>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</si>
  <si>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</si>
  <si>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</si>
  <si>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</si>
  <si>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</si>
  <si>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</si>
  <si>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</si>
  <si>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</si>
  <si>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</si>
  <si>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Und</t>
  </si>
  <si>
    <t>Esteban Cartin, Gerente Manufactura</t>
  </si>
  <si>
    <t>EM10013</t>
  </si>
  <si>
    <t>EM10004</t>
  </si>
  <si>
    <t>EM10011</t>
  </si>
  <si>
    <t>COCCIÓN ZANAHORIA PARA TAMALES 3318 g 908000027 (SE00552)</t>
  </si>
  <si>
    <t>MP10653</t>
  </si>
  <si>
    <t># Codigo Netsuite</t>
  </si>
  <si>
    <t>FRESQUITA</t>
  </si>
  <si>
    <t>01</t>
  </si>
  <si>
    <t>ESP-RE-COCS-111</t>
  </si>
  <si>
    <t>1.- Colocar en una olla el agua junto con la zanahoria y cocinar, aproximadamente por 45 min aprox, debe quedar suave, drenar y reservar 1000 g 
de caldo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</si>
</sst>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"/>
    <numFmt numFmtId="168" formatCode="0.000"/>
    <numFmt numFmtId="169" formatCode="_([$€]* #,##0.00_);_([$€]* \(#,##0.00\);_([$€]* &quot;-&quot;??_);_(@_)"/>
    <numFmt numFmtId="170" formatCode="[$-409]d\-mmm\-yy;@"/>
    <numFmt numFmtId="171" formatCode="_-* #,##0.0\ _€_-;\-* #,##0.0\ _€_-;_-* &quot;-&quot;??\ _€_-;_-@_-"/>
  </numFmts>
  <fonts count="43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9"/>
      <color rgb="FFFF0000"/>
      <name val="Times New Roman"/>
      <family val="1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6"/>
      <color theme="1"/>
      <name val="Arial"/>
      <family val="2"/>
    </font>
    <font>
      <sz val="16"/>
      <color rgb="FF000000"/>
      <name val="Arial"/>
      <family val="2"/>
    </font>
    <font>
      <b/>
      <sz val="12"/>
      <color rgb="FFFF0000"/>
      <name val="Arial"/>
      <family val="2"/>
    </font>
    <font>
      <b/>
      <i/>
      <sz val="16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4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41">
    <xf numFmtId="0" fontId="0" fillId="0" borderId="0" xfId="0"/>
    <xf numFmtId="0" fontId="6" fillId="2" borderId="0" xfId="0" applyFont="1" applyFill="1"/>
    <xf numFmtId="0" fontId="6" fillId="2" borderId="0" xfId="0" applyFont="1" applyFill="1" applyAlignment="1">
      <alignment horizontal="left" indent="1"/>
    </xf>
    <xf numFmtId="9" fontId="6" fillId="2" borderId="0" xfId="7" applyFont="1" applyFill="1"/>
    <xf numFmtId="0" fontId="7" fillId="3" borderId="10" xfId="0" applyFont="1" applyFill="1" applyBorder="1" applyAlignment="1">
      <alignment horizontal="center"/>
    </xf>
    <xf numFmtId="1" fontId="7" fillId="3" borderId="11" xfId="0" applyNumberFormat="1" applyFont="1" applyFill="1" applyBorder="1" applyAlignment="1">
      <alignment horizontal="center" wrapText="1"/>
    </xf>
    <xf numFmtId="1" fontId="7" fillId="3" borderId="11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 vertical="center" wrapText="1"/>
    </xf>
    <xf numFmtId="49" fontId="6" fillId="2" borderId="7" xfId="5" applyNumberFormat="1" applyFont="1" applyFill="1" applyBorder="1" applyAlignment="1">
      <alignment horizontal="center"/>
    </xf>
    <xf numFmtId="0" fontId="7" fillId="2" borderId="1" xfId="5" applyFont="1" applyFill="1" applyBorder="1" applyAlignment="1">
      <alignment horizontal="right"/>
    </xf>
    <xf numFmtId="0" fontId="6" fillId="2" borderId="12" xfId="5" applyFont="1" applyFill="1" applyBorder="1" applyAlignment="1">
      <alignment horizontal="left"/>
    </xf>
    <xf numFmtId="0" fontId="7" fillId="2" borderId="13" xfId="5" applyFont="1" applyFill="1" applyBorder="1" applyAlignment="1">
      <alignment horizontal="right"/>
    </xf>
    <xf numFmtId="0" fontId="6" fillId="2" borderId="14" xfId="5" applyFont="1" applyFill="1" applyBorder="1" applyAlignment="1">
      <alignment horizontal="right" vertical="center"/>
    </xf>
    <xf numFmtId="0" fontId="6" fillId="2" borderId="15" xfId="5" applyFont="1" applyFill="1" applyBorder="1" applyAlignment="1">
      <alignment horizontal="right" vertical="center"/>
    </xf>
    <xf numFmtId="0" fontId="3" fillId="9" borderId="0" xfId="0" applyFont="1" applyFill="1" applyAlignme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6" fontId="8" fillId="0" borderId="1" xfId="2" applyFont="1" applyFill="1" applyBorder="1" applyAlignment="1">
      <alignment horizontal="center" vertical="center"/>
    </xf>
    <xf numFmtId="166" fontId="8" fillId="0" borderId="0" xfId="2" applyFont="1" applyFill="1" applyBorder="1" applyAlignment="1">
      <alignment horizontal="center" vertical="center"/>
    </xf>
    <xf numFmtId="166" fontId="10" fillId="0" borderId="0" xfId="2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70" fontId="13" fillId="0" borderId="0" xfId="0" applyNumberFormat="1" applyFont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3" applyNumberFormat="1" applyFont="1" applyFill="1" applyAlignment="1">
      <alignment horizontal="center" vertical="center"/>
    </xf>
    <xf numFmtId="4" fontId="8" fillId="0" borderId="0" xfId="3" applyNumberFormat="1" applyFont="1" applyFill="1" applyAlignment="1">
      <alignment horizontal="center" vertical="center"/>
    </xf>
    <xf numFmtId="10" fontId="8" fillId="0" borderId="0" xfId="6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9" fillId="0" borderId="0" xfId="6" applyNumberFormat="1" applyFont="1" applyFill="1" applyAlignment="1">
      <alignment vertical="center"/>
    </xf>
    <xf numFmtId="0" fontId="3" fillId="0" borderId="0" xfId="0" applyFont="1"/>
    <xf numFmtId="49" fontId="8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66" fontId="3" fillId="0" borderId="0" xfId="2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" fontId="8" fillId="0" borderId="0" xfId="2" applyNumberFormat="1" applyFont="1" applyFill="1" applyAlignment="1">
      <alignment vertical="center"/>
    </xf>
    <xf numFmtId="166" fontId="16" fillId="0" borderId="0" xfId="2" applyFont="1" applyFill="1" applyAlignment="1">
      <alignment horizontal="center" vertical="center"/>
    </xf>
    <xf numFmtId="10" fontId="9" fillId="4" borderId="24" xfId="6" applyNumberFormat="1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24" xfId="0" applyFont="1" applyFill="1" applyBorder="1" applyAlignment="1">
      <alignment vertical="center"/>
    </xf>
    <xf numFmtId="166" fontId="16" fillId="4" borderId="25" xfId="2" applyFont="1" applyFill="1" applyBorder="1" applyAlignment="1">
      <alignment horizontal="center" vertical="center"/>
    </xf>
    <xf numFmtId="166" fontId="18" fillId="0" borderId="0" xfId="2" applyFont="1" applyFill="1" applyBorder="1" applyAlignment="1">
      <alignment horizontal="right"/>
    </xf>
    <xf numFmtId="0" fontId="3" fillId="4" borderId="25" xfId="0" applyFont="1" applyFill="1" applyBorder="1" applyAlignment="1">
      <alignment vertical="center"/>
    </xf>
    <xf numFmtId="10" fontId="9" fillId="4" borderId="25" xfId="6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/>
    <xf numFmtId="9" fontId="17" fillId="0" borderId="0" xfId="0" applyNumberFormat="1" applyFont="1"/>
    <xf numFmtId="9" fontId="35" fillId="0" borderId="0" xfId="6" applyFont="1" applyFill="1" applyAlignment="1">
      <alignment horizontal="center"/>
    </xf>
    <xf numFmtId="0" fontId="16" fillId="0" borderId="0" xfId="0" applyFont="1" applyAlignment="1">
      <alignment horizontal="right" vertical="center"/>
    </xf>
    <xf numFmtId="4" fontId="16" fillId="0" borderId="0" xfId="2" applyNumberFormat="1" applyFont="1" applyFill="1" applyAlignment="1">
      <alignment vertical="center"/>
    </xf>
    <xf numFmtId="4" fontId="16" fillId="0" borderId="0" xfId="3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5" xfId="0" applyFont="1" applyBorder="1" applyAlignment="1">
      <alignment horizontal="right"/>
    </xf>
    <xf numFmtId="166" fontId="21" fillId="5" borderId="26" xfId="2" applyFont="1" applyFill="1" applyBorder="1" applyAlignment="1">
      <alignment horizontal="right"/>
    </xf>
    <xf numFmtId="166" fontId="21" fillId="0" borderId="0" xfId="2" applyFont="1" applyFill="1" applyBorder="1" applyAlignment="1">
      <alignment horizontal="right"/>
    </xf>
    <xf numFmtId="166" fontId="8" fillId="0" borderId="1" xfId="2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4" fontId="16" fillId="0" borderId="0" xfId="3" applyNumberFormat="1" applyFont="1" applyFill="1" applyAlignment="1">
      <alignment horizontal="center" vertical="center"/>
    </xf>
    <xf numFmtId="10" fontId="23" fillId="0" borderId="0" xfId="6" applyNumberFormat="1" applyFont="1" applyFill="1" applyAlignment="1">
      <alignment horizontal="right"/>
    </xf>
    <xf numFmtId="171" fontId="8" fillId="4" borderId="1" xfId="2" applyNumberFormat="1" applyFont="1" applyFill="1" applyBorder="1" applyAlignment="1">
      <alignment vertical="center"/>
    </xf>
    <xf numFmtId="4" fontId="3" fillId="0" borderId="0" xfId="0" applyNumberFormat="1" applyFont="1" applyAlignment="1">
      <alignment horizontal="center" vertical="center"/>
    </xf>
    <xf numFmtId="166" fontId="8" fillId="6" borderId="1" xfId="2" applyFont="1" applyFill="1" applyBorder="1" applyAlignment="1">
      <alignment vertical="center"/>
    </xf>
    <xf numFmtId="166" fontId="24" fillId="0" borderId="0" xfId="0" applyNumberFormat="1" applyFont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4" borderId="27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23" fillId="0" borderId="0" xfId="2" applyNumberFormat="1" applyFont="1" applyFill="1" applyBorder="1" applyAlignment="1">
      <alignment horizontal="center"/>
    </xf>
    <xf numFmtId="2" fontId="20" fillId="0" borderId="0" xfId="2" applyNumberFormat="1" applyFont="1" applyFill="1" applyBorder="1" applyAlignment="1">
      <alignment horizontal="center"/>
    </xf>
    <xf numFmtId="0" fontId="3" fillId="4" borderId="27" xfId="0" applyFont="1" applyFill="1" applyBorder="1" applyAlignment="1">
      <alignment vertical="center"/>
    </xf>
    <xf numFmtId="10" fontId="3" fillId="0" borderId="0" xfId="6" applyNumberFormat="1" applyFont="1" applyFill="1" applyAlignment="1">
      <alignment vertical="center"/>
    </xf>
    <xf numFmtId="4" fontId="3" fillId="0" borderId="0" xfId="2" applyNumberFormat="1" applyFont="1" applyFill="1" applyAlignment="1">
      <alignment vertical="center"/>
    </xf>
    <xf numFmtId="166" fontId="21" fillId="4" borderId="3" xfId="2" applyFont="1" applyFill="1" applyBorder="1" applyAlignment="1">
      <alignment horizontal="right"/>
    </xf>
    <xf numFmtId="0" fontId="8" fillId="4" borderId="2" xfId="0" applyFont="1" applyFill="1" applyBorder="1" applyAlignment="1">
      <alignment horizontal="right" vertical="center"/>
    </xf>
    <xf numFmtId="10" fontId="27" fillId="0" borderId="0" xfId="2" applyNumberFormat="1" applyFont="1" applyFill="1" applyAlignment="1">
      <alignment vertical="center"/>
    </xf>
    <xf numFmtId="10" fontId="9" fillId="0" borderId="0" xfId="6" applyNumberFormat="1" applyFont="1" applyFill="1" applyBorder="1" applyAlignment="1">
      <alignment vertical="center"/>
    </xf>
    <xf numFmtId="166" fontId="28" fillId="0" borderId="0" xfId="0" applyNumberFormat="1" applyFont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166" fontId="29" fillId="0" borderId="0" xfId="2" applyFont="1" applyFill="1" applyAlignment="1">
      <alignment vertical="center"/>
    </xf>
    <xf numFmtId="4" fontId="30" fillId="0" borderId="0" xfId="3" applyNumberFormat="1" applyFont="1" applyFill="1" applyAlignment="1">
      <alignment horizontal="center" vertical="center" wrapText="1"/>
    </xf>
    <xf numFmtId="9" fontId="3" fillId="0" borderId="0" xfId="2" applyNumberFormat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2" applyNumberFormat="1" applyFont="1" applyFill="1" applyAlignment="1">
      <alignment vertical="center"/>
    </xf>
    <xf numFmtId="4" fontId="8" fillId="7" borderId="26" xfId="2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166" fontId="31" fillId="0" borderId="0" xfId="2" applyFont="1" applyFill="1" applyAlignment="1">
      <alignment vertical="center"/>
    </xf>
    <xf numFmtId="9" fontId="31" fillId="0" borderId="0" xfId="2" applyNumberFormat="1" applyFont="1" applyFill="1" applyAlignment="1">
      <alignment vertical="center"/>
    </xf>
    <xf numFmtId="4" fontId="8" fillId="0" borderId="0" xfId="2" applyNumberFormat="1" applyFont="1" applyFill="1" applyAlignment="1">
      <alignment horizontal="center" vertical="center"/>
    </xf>
    <xf numFmtId="10" fontId="24" fillId="0" borderId="0" xfId="6" applyNumberFormat="1" applyFont="1" applyFill="1" applyAlignment="1">
      <alignment vertical="center"/>
    </xf>
    <xf numFmtId="166" fontId="24" fillId="0" borderId="0" xfId="2" applyFont="1" applyFill="1" applyBorder="1" applyAlignment="1">
      <alignment vertical="center"/>
    </xf>
    <xf numFmtId="4" fontId="3" fillId="0" borderId="0" xfId="0" applyNumberFormat="1" applyFont="1" applyAlignment="1">
      <alignment horizontal="center"/>
    </xf>
    <xf numFmtId="166" fontId="3" fillId="0" borderId="0" xfId="2" applyFont="1" applyFill="1" applyBorder="1"/>
    <xf numFmtId="10" fontId="24" fillId="0" borderId="0" xfId="6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166" fontId="3" fillId="0" borderId="0" xfId="2" applyFont="1" applyFill="1" applyBorder="1" applyAlignment="1">
      <alignment horizontal="center"/>
    </xf>
    <xf numFmtId="9" fontId="34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6" fontId="8" fillId="0" borderId="0" xfId="0" applyNumberFormat="1" applyFont="1"/>
    <xf numFmtId="0" fontId="36" fillId="0" borderId="8" xfId="4" applyFont="1" applyBorder="1" applyAlignment="1">
      <alignment horizontal="center"/>
    </xf>
    <xf numFmtId="2" fontId="36" fillId="0" borderId="14" xfId="4" applyNumberFormat="1" applyFont="1" applyBorder="1" applyAlignment="1">
      <alignment horizontal="center"/>
    </xf>
    <xf numFmtId="49" fontId="36" fillId="0" borderId="1" xfId="4" applyNumberFormat="1" applyFont="1" applyBorder="1"/>
    <xf numFmtId="0" fontId="36" fillId="0" borderId="1" xfId="0" applyFont="1" applyBorder="1" applyAlignment="1">
      <alignment horizontal="center"/>
    </xf>
    <xf numFmtId="1" fontId="36" fillId="0" borderId="1" xfId="0" applyNumberFormat="1" applyFont="1" applyBorder="1" applyAlignment="1">
      <alignment horizontal="center"/>
    </xf>
    <xf numFmtId="1" fontId="36" fillId="0" borderId="1" xfId="0" applyNumberFormat="1" applyFont="1" applyBorder="1" applyAlignment="1">
      <alignment horizontal="center" wrapText="1"/>
    </xf>
    <xf numFmtId="167" fontId="36" fillId="0" borderId="1" xfId="0" applyNumberFormat="1" applyFont="1" applyBorder="1" applyAlignment="1">
      <alignment horizontal="center"/>
    </xf>
    <xf numFmtId="0" fontId="37" fillId="9" borderId="7" xfId="0" applyFont="1" applyFill="1" applyBorder="1" applyAlignment="1">
      <alignment horizontal="center"/>
    </xf>
    <xf numFmtId="0" fontId="37" fillId="9" borderId="9" xfId="0" applyFont="1" applyFill="1" applyBorder="1" applyAlignment="1">
      <alignment horizontal="center"/>
    </xf>
    <xf numFmtId="49" fontId="36" fillId="0" borderId="8" xfId="4" applyNumberFormat="1" applyFont="1" applyBorder="1" applyAlignment="1">
      <alignment horizontal="center"/>
    </xf>
    <xf numFmtId="1" fontId="36" fillId="0" borderId="1" xfId="0" applyNumberFormat="1" applyFont="1" applyBorder="1"/>
    <xf numFmtId="0" fontId="36" fillId="0" borderId="8" xfId="0" applyFont="1" applyBorder="1" applyAlignment="1">
      <alignment horizontal="center"/>
    </xf>
    <xf numFmtId="0" fontId="36" fillId="0" borderId="1" xfId="0" applyFont="1" applyBorder="1"/>
    <xf numFmtId="0" fontId="36" fillId="0" borderId="8" xfId="0" quotePrefix="1" applyFont="1" applyBorder="1" applyAlignment="1">
      <alignment horizontal="right"/>
    </xf>
    <xf numFmtId="0" fontId="36" fillId="0" borderId="14" xfId="0" quotePrefix="1" applyFont="1" applyBorder="1" applyAlignment="1">
      <alignment horizontal="right"/>
    </xf>
    <xf numFmtId="0" fontId="36" fillId="0" borderId="1" xfId="0" quotePrefix="1" applyFont="1" applyBorder="1"/>
    <xf numFmtId="0" fontId="36" fillId="0" borderId="7" xfId="0" applyFont="1" applyBorder="1" applyAlignment="1">
      <alignment horizontal="center"/>
    </xf>
    <xf numFmtId="49" fontId="38" fillId="2" borderId="6" xfId="0" applyNumberFormat="1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36" fillId="2" borderId="0" xfId="0" applyFont="1" applyFill="1"/>
    <xf numFmtId="1" fontId="36" fillId="2" borderId="0" xfId="0" applyNumberFormat="1" applyFont="1" applyFill="1" applyAlignment="1">
      <alignment horizontal="center"/>
    </xf>
    <xf numFmtId="168" fontId="36" fillId="2" borderId="0" xfId="0" applyNumberFormat="1" applyFont="1" applyFill="1" applyAlignment="1">
      <alignment horizontal="center" wrapText="1"/>
    </xf>
    <xf numFmtId="0" fontId="36" fillId="2" borderId="5" xfId="0" applyFont="1" applyFill="1" applyBorder="1" applyAlignment="1">
      <alignment horizontal="center"/>
    </xf>
    <xf numFmtId="0" fontId="36" fillId="3" borderId="4" xfId="0" applyFont="1" applyFill="1" applyBorder="1" applyAlignment="1">
      <alignment horizontal="center"/>
    </xf>
    <xf numFmtId="0" fontId="36" fillId="3" borderId="3" xfId="0" applyFont="1" applyFill="1" applyBorder="1" applyAlignment="1">
      <alignment horizontal="center"/>
    </xf>
    <xf numFmtId="0" fontId="36" fillId="3" borderId="3" xfId="0" applyFont="1" applyFill="1" applyBorder="1"/>
    <xf numFmtId="0" fontId="37" fillId="3" borderId="3" xfId="0" applyFont="1" applyFill="1" applyBorder="1" applyAlignment="1">
      <alignment horizontal="center"/>
    </xf>
    <xf numFmtId="1" fontId="37" fillId="3" borderId="3" xfId="0" applyNumberFormat="1" applyFont="1" applyFill="1" applyBorder="1" applyAlignment="1">
      <alignment horizontal="center"/>
    </xf>
    <xf numFmtId="168" fontId="36" fillId="3" borderId="3" xfId="0" applyNumberFormat="1" applyFont="1" applyFill="1" applyBorder="1" applyAlignment="1">
      <alignment horizontal="center" wrapText="1"/>
    </xf>
    <xf numFmtId="0" fontId="36" fillId="3" borderId="2" xfId="0" applyFont="1" applyFill="1" applyBorder="1" applyAlignment="1">
      <alignment horizontal="center"/>
    </xf>
    <xf numFmtId="1" fontId="37" fillId="0" borderId="16" xfId="0" applyNumberFormat="1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" fontId="37" fillId="0" borderId="1" xfId="0" applyNumberFormat="1" applyFont="1" applyBorder="1" applyAlignment="1">
      <alignment horizontal="center" vertical="center"/>
    </xf>
    <xf numFmtId="1" fontId="36" fillId="0" borderId="19" xfId="0" applyNumberFormat="1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14" fontId="41" fillId="2" borderId="5" xfId="5" applyNumberFormat="1" applyFont="1" applyFill="1" applyBorder="1" applyAlignment="1">
      <alignment horizontal="center" vertical="center" wrapText="1"/>
    </xf>
    <xf numFmtId="0" fontId="36" fillId="0" borderId="28" xfId="4" applyFont="1" applyBorder="1" applyAlignment="1">
      <alignment horizontal="left"/>
    </xf>
    <xf numFmtId="0" fontId="36" fillId="0" borderId="29" xfId="4" applyFont="1" applyBorder="1" applyAlignment="1">
      <alignment horizontal="left"/>
    </xf>
    <xf numFmtId="0" fontId="36" fillId="0" borderId="30" xfId="4" applyFont="1" applyBorder="1" applyAlignment="1">
      <alignment horizontal="left"/>
    </xf>
    <xf numFmtId="0" fontId="36" fillId="0" borderId="31" xfId="4" applyFont="1" applyBorder="1" applyAlignment="1">
      <alignment horizontal="left"/>
    </xf>
    <xf numFmtId="0" fontId="36" fillId="0" borderId="32" xfId="4" applyFont="1" applyBorder="1" applyAlignment="1">
      <alignment horizontal="left"/>
    </xf>
    <xf numFmtId="0" fontId="36" fillId="0" borderId="33" xfId="4" applyFont="1" applyBorder="1" applyAlignment="1">
      <alignment horizontal="left"/>
    </xf>
    <xf numFmtId="0" fontId="36" fillId="0" borderId="28" xfId="4" applyFont="1" applyBorder="1" applyAlignment="1">
      <alignment horizontal="left" wrapText="1"/>
    </xf>
    <xf numFmtId="0" fontId="37" fillId="0" borderId="34" xfId="0" applyFont="1" applyBorder="1" applyAlignment="1">
      <alignment horizontal="right" vertical="center"/>
    </xf>
    <xf numFmtId="0" fontId="37" fillId="0" borderId="35" xfId="0" applyFont="1" applyBorder="1" applyAlignment="1">
      <alignment horizontal="right" vertical="center"/>
    </xf>
    <xf numFmtId="0" fontId="37" fillId="0" borderId="14" xfId="0" applyFont="1" applyBorder="1" applyAlignment="1">
      <alignment horizontal="right" vertical="center"/>
    </xf>
    <xf numFmtId="0" fontId="37" fillId="0" borderId="1" xfId="0" applyFont="1" applyBorder="1" applyAlignment="1">
      <alignment horizontal="right" vertical="center"/>
    </xf>
    <xf numFmtId="0" fontId="37" fillId="0" borderId="19" xfId="0" applyFont="1" applyBorder="1" applyAlignment="1">
      <alignment horizontal="right" vertical="center"/>
    </xf>
    <xf numFmtId="0" fontId="7" fillId="3" borderId="13" xfId="0" applyFont="1" applyFill="1" applyBorder="1" applyAlignment="1">
      <alignment horizontal="center" vertical="center"/>
    </xf>
    <xf numFmtId="0" fontId="7" fillId="2" borderId="1" xfId="5" applyFont="1" applyFill="1" applyBorder="1" applyAlignment="1">
      <alignment horizontal="right" vertical="top" wrapText="1"/>
    </xf>
    <xf numFmtId="0" fontId="7" fillId="2" borderId="11" xfId="5" applyFont="1" applyFill="1" applyBorder="1" applyAlignment="1">
      <alignment horizontal="right" vertical="top" wrapText="1"/>
    </xf>
    <xf numFmtId="0" fontId="36" fillId="2" borderId="17" xfId="0" applyFont="1" applyFill="1" applyBorder="1" applyAlignment="1">
      <alignment horizontal="center"/>
    </xf>
    <xf numFmtId="0" fontId="36" fillId="2" borderId="30" xfId="0" applyFont="1" applyFill="1" applyBorder="1" applyAlignment="1">
      <alignment horizontal="center"/>
    </xf>
    <xf numFmtId="0" fontId="6" fillId="2" borderId="11" xfId="5" applyFont="1" applyFill="1" applyBorder="1" applyAlignment="1">
      <alignment horizontal="left" vertical="center"/>
    </xf>
    <xf numFmtId="168" fontId="36" fillId="0" borderId="20" xfId="0" applyNumberFormat="1" applyFont="1" applyBorder="1" applyAlignment="1">
      <alignment horizontal="center"/>
    </xf>
    <xf numFmtId="168" fontId="36" fillId="0" borderId="39" xfId="0" applyNumberFormat="1" applyFont="1" applyBorder="1" applyAlignment="1">
      <alignment horizontal="center"/>
    </xf>
    <xf numFmtId="0" fontId="37" fillId="3" borderId="4" xfId="0" applyFont="1" applyFill="1" applyBorder="1" applyAlignment="1">
      <alignment horizontal="center"/>
    </xf>
    <xf numFmtId="0" fontId="37" fillId="3" borderId="3" xfId="0" applyFont="1" applyFill="1" applyBorder="1" applyAlignment="1">
      <alignment horizontal="center"/>
    </xf>
    <xf numFmtId="0" fontId="37" fillId="3" borderId="2" xfId="0" applyFont="1" applyFill="1" applyBorder="1" applyAlignment="1">
      <alignment horizontal="center"/>
    </xf>
    <xf numFmtId="0" fontId="37" fillId="0" borderId="40" xfId="0" applyFont="1" applyBorder="1" applyAlignment="1">
      <alignment horizontal="right" vertical="center"/>
    </xf>
    <xf numFmtId="0" fontId="37" fillId="0" borderId="41" xfId="0" applyFont="1" applyBorder="1" applyAlignment="1">
      <alignment horizontal="right" vertical="center"/>
    </xf>
    <xf numFmtId="14" fontId="6" fillId="2" borderId="7" xfId="5" applyNumberFormat="1" applyFont="1" applyFill="1" applyBorder="1" applyAlignment="1">
      <alignment horizontal="center" vertical="center" wrapText="1"/>
    </xf>
    <xf numFmtId="14" fontId="6" fillId="2" borderId="10" xfId="5" applyNumberFormat="1" applyFont="1" applyFill="1" applyBorder="1" applyAlignment="1">
      <alignment horizontal="center" vertical="center" wrapText="1"/>
    </xf>
    <xf numFmtId="0" fontId="6" fillId="2" borderId="1" xfId="5" applyFont="1" applyFill="1" applyBorder="1" applyAlignment="1">
      <alignment horizontal="left" vertical="center"/>
    </xf>
    <xf numFmtId="0" fontId="37" fillId="0" borderId="28" xfId="0" applyFont="1" applyBorder="1" applyAlignment="1">
      <alignment horizontal="right" vertical="center"/>
    </xf>
    <xf numFmtId="0" fontId="37" fillId="0" borderId="29" xfId="0" applyFont="1" applyBorder="1" applyAlignment="1">
      <alignment horizontal="right" vertical="center"/>
    </xf>
    <xf numFmtId="0" fontId="37" fillId="0" borderId="36" xfId="0" applyFont="1" applyBorder="1" applyAlignment="1">
      <alignment horizontal="right" vertical="center"/>
    </xf>
    <xf numFmtId="0" fontId="37" fillId="0" borderId="16" xfId="0" applyFont="1" applyBorder="1" applyAlignment="1">
      <alignment horizontal="right" vertical="center"/>
    </xf>
    <xf numFmtId="1" fontId="36" fillId="0" borderId="18" xfId="0" applyNumberFormat="1" applyFont="1" applyBorder="1" applyAlignment="1">
      <alignment horizontal="center"/>
    </xf>
    <xf numFmtId="1" fontId="36" fillId="0" borderId="14" xfId="0" applyNumberFormat="1" applyFont="1" applyBorder="1" applyAlignment="1">
      <alignment horizontal="center"/>
    </xf>
    <xf numFmtId="0" fontId="7" fillId="3" borderId="37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5" fillId="2" borderId="0" xfId="5" applyFont="1" applyFill="1" applyAlignment="1">
      <alignment vertical="center"/>
    </xf>
    <xf numFmtId="0" fontId="40" fillId="11" borderId="1" xfId="4" applyFont="1" applyFill="1" applyBorder="1" applyAlignment="1">
      <alignment horizontal="left" vertical="center"/>
    </xf>
    <xf numFmtId="0" fontId="6" fillId="2" borderId="42" xfId="5" applyFont="1" applyFill="1" applyBorder="1" applyAlignment="1">
      <alignment horizontal="center"/>
    </xf>
    <xf numFmtId="0" fontId="6" fillId="2" borderId="45" xfId="5" applyFont="1" applyFill="1" applyBorder="1" applyAlignment="1">
      <alignment horizontal="center"/>
    </xf>
    <xf numFmtId="0" fontId="6" fillId="2" borderId="6" xfId="5" applyFont="1" applyFill="1" applyBorder="1" applyAlignment="1">
      <alignment horizontal="center"/>
    </xf>
    <xf numFmtId="0" fontId="6" fillId="2" borderId="5" xfId="5" applyFont="1" applyFill="1" applyBorder="1" applyAlignment="1">
      <alignment horizontal="center"/>
    </xf>
    <xf numFmtId="0" fontId="6" fillId="2" borderId="31" xfId="5" applyFont="1" applyFill="1" applyBorder="1" applyAlignment="1">
      <alignment horizontal="center"/>
    </xf>
    <xf numFmtId="0" fontId="6" fillId="2" borderId="33" xfId="5" applyFont="1" applyFill="1" applyBorder="1" applyAlignment="1">
      <alignment horizontal="center"/>
    </xf>
    <xf numFmtId="0" fontId="7" fillId="3" borderId="46" xfId="0" applyFont="1" applyFill="1" applyBorder="1" applyAlignment="1">
      <alignment horizontal="center" vertical="center" wrapText="1"/>
    </xf>
    <xf numFmtId="0" fontId="7" fillId="3" borderId="47" xfId="0" applyFont="1" applyFill="1" applyBorder="1" applyAlignment="1">
      <alignment horizontal="center" vertical="center" wrapText="1"/>
    </xf>
    <xf numFmtId="0" fontId="5" fillId="2" borderId="48" xfId="5" applyFont="1" applyFill="1" applyBorder="1" applyAlignment="1">
      <alignment horizontal="center"/>
    </xf>
    <xf numFmtId="0" fontId="5" fillId="2" borderId="13" xfId="5" applyFont="1" applyFill="1" applyBorder="1" applyAlignment="1">
      <alignment horizontal="center"/>
    </xf>
    <xf numFmtId="0" fontId="5" fillId="2" borderId="14" xfId="5" applyFont="1" applyFill="1" applyBorder="1" applyAlignment="1">
      <alignment horizontal="center"/>
    </xf>
    <xf numFmtId="0" fontId="5" fillId="2" borderId="1" xfId="5" applyFont="1" applyFill="1" applyBorder="1" applyAlignment="1">
      <alignment horizontal="center"/>
    </xf>
    <xf numFmtId="0" fontId="42" fillId="5" borderId="14" xfId="5" applyFont="1" applyFill="1" applyBorder="1" applyAlignment="1">
      <alignment horizontal="center" vertical="center" wrapText="1"/>
    </xf>
    <xf numFmtId="0" fontId="42" fillId="5" borderId="1" xfId="5" applyFont="1" applyFill="1" applyBorder="1" applyAlignment="1">
      <alignment horizontal="center" vertical="center" wrapText="1"/>
    </xf>
    <xf numFmtId="0" fontId="5" fillId="2" borderId="6" xfId="5" applyFont="1" applyFill="1" applyBorder="1" applyAlignment="1">
      <alignment horizontal="right" vertical="center"/>
    </xf>
    <xf numFmtId="0" fontId="5" fillId="2" borderId="0" xfId="5" applyFont="1" applyFill="1" applyAlignment="1">
      <alignment horizontal="right" vertical="center"/>
    </xf>
    <xf numFmtId="0" fontId="41" fillId="2" borderId="32" xfId="5" applyFont="1" applyFill="1" applyBorder="1" applyAlignment="1">
      <alignment horizontal="center" vertical="center"/>
    </xf>
    <xf numFmtId="0" fontId="39" fillId="12" borderId="42" xfId="4" applyFont="1" applyFill="1" applyBorder="1" applyAlignment="1">
      <alignment horizontal="center" vertical="center"/>
    </xf>
    <xf numFmtId="0" fontId="39" fillId="12" borderId="43" xfId="4" applyFont="1" applyFill="1" applyBorder="1" applyAlignment="1">
      <alignment horizontal="center" vertical="center"/>
    </xf>
    <xf numFmtId="168" fontId="36" fillId="0" borderId="18" xfId="0" applyNumberFormat="1" applyFont="1" applyBorder="1" applyAlignment="1">
      <alignment horizontal="center"/>
    </xf>
    <xf numFmtId="168" fontId="36" fillId="0" borderId="44" xfId="0" applyNumberFormat="1" applyFont="1" applyBorder="1" applyAlignment="1">
      <alignment horizontal="center"/>
    </xf>
    <xf numFmtId="0" fontId="11" fillId="0" borderId="3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7" fillId="0" borderId="42" xfId="0" applyFont="1" applyBorder="1" applyAlignment="1">
      <alignment horizontal="right"/>
    </xf>
    <xf numFmtId="0" fontId="17" fillId="0" borderId="43" xfId="0" applyFont="1" applyBorder="1" applyAlignment="1">
      <alignment horizontal="right"/>
    </xf>
    <xf numFmtId="4" fontId="30" fillId="0" borderId="0" xfId="3" applyNumberFormat="1" applyFont="1" applyFill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24" fillId="0" borderId="1" xfId="0" applyFont="1" applyBorder="1" applyAlignment="1">
      <alignment horizontal="right" vertical="center"/>
    </xf>
    <xf numFmtId="0" fontId="25" fillId="0" borderId="6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5" xfId="0" applyFont="1" applyBorder="1" applyAlignment="1">
      <alignment horizontal="right"/>
    </xf>
    <xf numFmtId="0" fontId="16" fillId="0" borderId="0" xfId="0" applyFont="1" applyAlignment="1">
      <alignment horizontal="center" vertical="center"/>
    </xf>
    <xf numFmtId="0" fontId="32" fillId="0" borderId="4" xfId="0" applyFont="1" applyBorder="1" applyAlignment="1">
      <alignment horizontal="right" vertical="center"/>
    </xf>
    <xf numFmtId="0" fontId="32" fillId="0" borderId="3" xfId="0" applyFont="1" applyBorder="1" applyAlignment="1">
      <alignment horizontal="right" vertical="center"/>
    </xf>
    <xf numFmtId="0" fontId="32" fillId="0" borderId="2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32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1" fillId="4" borderId="4" xfId="0" applyFont="1" applyFill="1" applyBorder="1" applyAlignment="1">
      <alignment horizontal="right"/>
    </xf>
    <xf numFmtId="0" fontId="21" fillId="4" borderId="3" xfId="0" applyFont="1" applyFill="1" applyBorder="1" applyAlignment="1">
      <alignment horizontal="right"/>
    </xf>
    <xf numFmtId="0" fontId="3" fillId="0" borderId="0" xfId="0" applyFont="1" applyAlignment="1">
      <alignment horizontal="right" vertical="center"/>
    </xf>
    <xf numFmtId="0" fontId="8" fillId="0" borderId="32" xfId="0" applyFont="1" applyBorder="1" applyAlignment="1">
      <alignment horizontal="right" vertical="center"/>
    </xf>
    <xf numFmtId="0" fontId="8" fillId="0" borderId="33" xfId="0" applyFont="1" applyBorder="1" applyAlignment="1">
      <alignment horizontal="right" vertical="center"/>
    </xf>
    <xf numFmtId="0" fontId="8" fillId="8" borderId="4" xfId="0" applyFont="1" applyFill="1" applyBorder="1" applyAlignment="1">
      <alignment horizontal="right" vertical="center"/>
    </xf>
    <xf numFmtId="0" fontId="8" fillId="8" borderId="3" xfId="0" applyFont="1" applyFill="1" applyBorder="1" applyAlignment="1">
      <alignment horizontal="right" vertical="center"/>
    </xf>
    <xf numFmtId="0" fontId="8" fillId="8" borderId="2" xfId="0" applyFont="1" applyFill="1" applyBorder="1" applyAlignment="1">
      <alignment horizontal="right" vertical="center"/>
    </xf>
  </cellXfs>
  <cellStyles count="8">
    <cellStyle name="Euro" xfId="1" xr:uid="{A78FD7AF-2263-43DE-826C-16C67DB26E06}"/>
    <cellStyle name="Millares" xfId="2" builtinId="3"/>
    <cellStyle name="Millares [0]" xfId="3" builtinId="6"/>
    <cellStyle name="Normal" xfId="0" builtinId="0"/>
    <cellStyle name="Normal 2" xfId="4" xr:uid="{2366F64F-4573-4DC2-BB10-8F4E49DDD90F}"/>
    <cellStyle name="Normal_CRITERIOS DE EVALUACION PT DE GB 2" xfId="5" xr:uid="{55C1D150-8ACD-4567-ADAC-C08A43A4164F}"/>
    <cellStyle name="Porcentaje" xfId="6" builtinId="5"/>
    <cellStyle name="Porcentaje 2" xfId="7" xr:uid="{93C017D8-B094-4194-B005-3024B78A6CB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30" name="Picture 1">
          <a:extLst>
            <a:ext uri="{FF2B5EF4-FFF2-40B4-BE49-F238E27FC236}">
              <a16:creationId xmlns:a16="http://schemas.microsoft.com/office/drawing/2014/main" id="{C82307FA-5CD0-3B16-0015-0713151B3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31" name="Picture 2">
          <a:extLst>
            <a:ext uri="{FF2B5EF4-FFF2-40B4-BE49-F238E27FC236}">
              <a16:creationId xmlns:a16="http://schemas.microsoft.com/office/drawing/2014/main" id="{749E72BA-E60F-4C88-BFDB-E588BACD2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32" name="Picture 4">
          <a:extLst>
            <a:ext uri="{FF2B5EF4-FFF2-40B4-BE49-F238E27FC236}">
              <a16:creationId xmlns:a16="http://schemas.microsoft.com/office/drawing/2014/main" id="{A3F9E1C4-0E27-87C8-7EE9-FF5911958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33" name="Picture 5">
          <a:extLst>
            <a:ext uri="{FF2B5EF4-FFF2-40B4-BE49-F238E27FC236}">
              <a16:creationId xmlns:a16="http://schemas.microsoft.com/office/drawing/2014/main" id="{37CAFE64-575F-B74E-BD58-33B7C9CE1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34" name="Picture 7">
          <a:extLst>
            <a:ext uri="{FF2B5EF4-FFF2-40B4-BE49-F238E27FC236}">
              <a16:creationId xmlns:a16="http://schemas.microsoft.com/office/drawing/2014/main" id="{43A8C38E-2BAB-F49B-95FD-8FFBB2D2E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35" name="Picture 8">
          <a:extLst>
            <a:ext uri="{FF2B5EF4-FFF2-40B4-BE49-F238E27FC236}">
              <a16:creationId xmlns:a16="http://schemas.microsoft.com/office/drawing/2014/main" id="{0665E7B7-4DF8-42B7-5A4F-FA9150771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36" name="Picture 10">
          <a:extLst>
            <a:ext uri="{FF2B5EF4-FFF2-40B4-BE49-F238E27FC236}">
              <a16:creationId xmlns:a16="http://schemas.microsoft.com/office/drawing/2014/main" id="{CAD9FFDE-88D4-DF7A-FAA3-5AA88BE62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37" name="Picture 11">
          <a:extLst>
            <a:ext uri="{FF2B5EF4-FFF2-40B4-BE49-F238E27FC236}">
              <a16:creationId xmlns:a16="http://schemas.microsoft.com/office/drawing/2014/main" id="{3F305DF9-9C56-52A6-8815-EE45D6162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38" name="Picture 13">
          <a:extLst>
            <a:ext uri="{FF2B5EF4-FFF2-40B4-BE49-F238E27FC236}">
              <a16:creationId xmlns:a16="http://schemas.microsoft.com/office/drawing/2014/main" id="{8CD9851E-1D22-0B49-DE3C-4C622D4B9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39" name="Picture 14">
          <a:extLst>
            <a:ext uri="{FF2B5EF4-FFF2-40B4-BE49-F238E27FC236}">
              <a16:creationId xmlns:a16="http://schemas.microsoft.com/office/drawing/2014/main" id="{241C2C18-DDD7-53F9-376A-711B42C66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40" name="Picture 16">
          <a:extLst>
            <a:ext uri="{FF2B5EF4-FFF2-40B4-BE49-F238E27FC236}">
              <a16:creationId xmlns:a16="http://schemas.microsoft.com/office/drawing/2014/main" id="{297EF552-F963-E63C-19F7-7D444D982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41" name="Picture 17">
          <a:extLst>
            <a:ext uri="{FF2B5EF4-FFF2-40B4-BE49-F238E27FC236}">
              <a16:creationId xmlns:a16="http://schemas.microsoft.com/office/drawing/2014/main" id="{8BB9615F-57EA-9998-020A-8FFF139D8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42" name="Picture 19">
          <a:extLst>
            <a:ext uri="{FF2B5EF4-FFF2-40B4-BE49-F238E27FC236}">
              <a16:creationId xmlns:a16="http://schemas.microsoft.com/office/drawing/2014/main" id="{4B5723C9-532C-0E86-7A86-E5DD1F490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43" name="Picture 20">
          <a:extLst>
            <a:ext uri="{FF2B5EF4-FFF2-40B4-BE49-F238E27FC236}">
              <a16:creationId xmlns:a16="http://schemas.microsoft.com/office/drawing/2014/main" id="{08B22755-1FBC-014E-56D1-211848127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44" name="Picture 22">
          <a:extLst>
            <a:ext uri="{FF2B5EF4-FFF2-40B4-BE49-F238E27FC236}">
              <a16:creationId xmlns:a16="http://schemas.microsoft.com/office/drawing/2014/main" id="{610DF1F8-A84E-DC18-BA08-E8330EB50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45" name="Picture 23">
          <a:extLst>
            <a:ext uri="{FF2B5EF4-FFF2-40B4-BE49-F238E27FC236}">
              <a16:creationId xmlns:a16="http://schemas.microsoft.com/office/drawing/2014/main" id="{FBDDAA9A-D6B6-4951-295B-E04567A4A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46" name="Picture 25">
          <a:extLst>
            <a:ext uri="{FF2B5EF4-FFF2-40B4-BE49-F238E27FC236}">
              <a16:creationId xmlns:a16="http://schemas.microsoft.com/office/drawing/2014/main" id="{8E60E321-2F7D-CCBF-1F7F-A4F3E0FF2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47" name="Picture 26">
          <a:extLst>
            <a:ext uri="{FF2B5EF4-FFF2-40B4-BE49-F238E27FC236}">
              <a16:creationId xmlns:a16="http://schemas.microsoft.com/office/drawing/2014/main" id="{FB7B3326-48E5-C0FB-FECA-2EC9573D4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48" name="Picture 28">
          <a:extLst>
            <a:ext uri="{FF2B5EF4-FFF2-40B4-BE49-F238E27FC236}">
              <a16:creationId xmlns:a16="http://schemas.microsoft.com/office/drawing/2014/main" id="{14792E4A-B3FA-2F67-21E5-ABDD4DEDB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49" name="Picture 29">
          <a:extLst>
            <a:ext uri="{FF2B5EF4-FFF2-40B4-BE49-F238E27FC236}">
              <a16:creationId xmlns:a16="http://schemas.microsoft.com/office/drawing/2014/main" id="{0131BA33-71DD-AF0D-865F-FACC428FA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50" name="Picture 31">
          <a:extLst>
            <a:ext uri="{FF2B5EF4-FFF2-40B4-BE49-F238E27FC236}">
              <a16:creationId xmlns:a16="http://schemas.microsoft.com/office/drawing/2014/main" id="{7F0CA679-6799-9135-86C7-5284332B0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51" name="Picture 32">
          <a:extLst>
            <a:ext uri="{FF2B5EF4-FFF2-40B4-BE49-F238E27FC236}">
              <a16:creationId xmlns:a16="http://schemas.microsoft.com/office/drawing/2014/main" id="{C212C87B-75AB-2669-E913-4728872E3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52" name="Picture 34">
          <a:extLst>
            <a:ext uri="{FF2B5EF4-FFF2-40B4-BE49-F238E27FC236}">
              <a16:creationId xmlns:a16="http://schemas.microsoft.com/office/drawing/2014/main" id="{35B0ED9B-0FB6-04BA-D326-41B7938D0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53" name="Picture 35">
          <a:extLst>
            <a:ext uri="{FF2B5EF4-FFF2-40B4-BE49-F238E27FC236}">
              <a16:creationId xmlns:a16="http://schemas.microsoft.com/office/drawing/2014/main" id="{8BB4D6B8-2657-60B3-D336-EA72053AB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54" name="Picture 37">
          <a:extLst>
            <a:ext uri="{FF2B5EF4-FFF2-40B4-BE49-F238E27FC236}">
              <a16:creationId xmlns:a16="http://schemas.microsoft.com/office/drawing/2014/main" id="{F4109919-5364-E3BA-3F59-C3B396FD0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55" name="Picture 38">
          <a:extLst>
            <a:ext uri="{FF2B5EF4-FFF2-40B4-BE49-F238E27FC236}">
              <a16:creationId xmlns:a16="http://schemas.microsoft.com/office/drawing/2014/main" id="{A6E964D3-422E-326F-3476-704E4FEE8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56" name="Picture 40">
          <a:extLst>
            <a:ext uri="{FF2B5EF4-FFF2-40B4-BE49-F238E27FC236}">
              <a16:creationId xmlns:a16="http://schemas.microsoft.com/office/drawing/2014/main" id="{1C12EACC-489A-A307-9609-652F5BA0B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57" name="Picture 41">
          <a:extLst>
            <a:ext uri="{FF2B5EF4-FFF2-40B4-BE49-F238E27FC236}">
              <a16:creationId xmlns:a16="http://schemas.microsoft.com/office/drawing/2014/main" id="{C81E25ED-CCFC-FDD3-DDEE-CBE4E7774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58" name="Picture 43">
          <a:extLst>
            <a:ext uri="{FF2B5EF4-FFF2-40B4-BE49-F238E27FC236}">
              <a16:creationId xmlns:a16="http://schemas.microsoft.com/office/drawing/2014/main" id="{C3369EEB-3288-21E5-6876-88D38E11C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59" name="Picture 44">
          <a:extLst>
            <a:ext uri="{FF2B5EF4-FFF2-40B4-BE49-F238E27FC236}">
              <a16:creationId xmlns:a16="http://schemas.microsoft.com/office/drawing/2014/main" id="{6C847CCF-EFD6-B0B3-62D2-02E266E08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60" name="Picture 46">
          <a:extLst>
            <a:ext uri="{FF2B5EF4-FFF2-40B4-BE49-F238E27FC236}">
              <a16:creationId xmlns:a16="http://schemas.microsoft.com/office/drawing/2014/main" id="{4A7B20CB-93E4-2ABD-C85D-F83BFC1EB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61" name="Picture 47">
          <a:extLst>
            <a:ext uri="{FF2B5EF4-FFF2-40B4-BE49-F238E27FC236}">
              <a16:creationId xmlns:a16="http://schemas.microsoft.com/office/drawing/2014/main" id="{D5C7A77A-520F-437A-C7ED-5E28D3881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62" name="Picture 49">
          <a:extLst>
            <a:ext uri="{FF2B5EF4-FFF2-40B4-BE49-F238E27FC236}">
              <a16:creationId xmlns:a16="http://schemas.microsoft.com/office/drawing/2014/main" id="{70A3348F-B449-6BC3-6FF7-1EE6F050B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63" name="Picture 50">
          <a:extLst>
            <a:ext uri="{FF2B5EF4-FFF2-40B4-BE49-F238E27FC236}">
              <a16:creationId xmlns:a16="http://schemas.microsoft.com/office/drawing/2014/main" id="{376BFE74-5E18-0888-B16C-A653DDD33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64" name="Picture 52">
          <a:extLst>
            <a:ext uri="{FF2B5EF4-FFF2-40B4-BE49-F238E27FC236}">
              <a16:creationId xmlns:a16="http://schemas.microsoft.com/office/drawing/2014/main" id="{940C6FC8-B413-9F13-C00C-21D5C2873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65" name="Picture 53">
          <a:extLst>
            <a:ext uri="{FF2B5EF4-FFF2-40B4-BE49-F238E27FC236}">
              <a16:creationId xmlns:a16="http://schemas.microsoft.com/office/drawing/2014/main" id="{4A4CEE30-6A1C-3DBB-ED0B-A8DF6E265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66" name="Picture 1">
          <a:extLst>
            <a:ext uri="{FF2B5EF4-FFF2-40B4-BE49-F238E27FC236}">
              <a16:creationId xmlns:a16="http://schemas.microsoft.com/office/drawing/2014/main" id="{E497BBC7-0A45-75B8-7496-99B1045E5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67" name="Picture 2">
          <a:extLst>
            <a:ext uri="{FF2B5EF4-FFF2-40B4-BE49-F238E27FC236}">
              <a16:creationId xmlns:a16="http://schemas.microsoft.com/office/drawing/2014/main" id="{EE88743C-4BF0-E8C1-E9AB-F442B14CC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68" name="Picture 4">
          <a:extLst>
            <a:ext uri="{FF2B5EF4-FFF2-40B4-BE49-F238E27FC236}">
              <a16:creationId xmlns:a16="http://schemas.microsoft.com/office/drawing/2014/main" id="{1629A167-18AA-1968-E694-96BF5A07C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69" name="Picture 5">
          <a:extLst>
            <a:ext uri="{FF2B5EF4-FFF2-40B4-BE49-F238E27FC236}">
              <a16:creationId xmlns:a16="http://schemas.microsoft.com/office/drawing/2014/main" id="{17405F01-A744-046B-F0D3-E4DE8ADE1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70" name="Picture 7">
          <a:extLst>
            <a:ext uri="{FF2B5EF4-FFF2-40B4-BE49-F238E27FC236}">
              <a16:creationId xmlns:a16="http://schemas.microsoft.com/office/drawing/2014/main" id="{9D01B737-50C6-E50C-D586-D83E115B4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71" name="Picture 8">
          <a:extLst>
            <a:ext uri="{FF2B5EF4-FFF2-40B4-BE49-F238E27FC236}">
              <a16:creationId xmlns:a16="http://schemas.microsoft.com/office/drawing/2014/main" id="{4EDD9480-B586-08C9-8B8F-163D71B65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72" name="Picture 10">
          <a:extLst>
            <a:ext uri="{FF2B5EF4-FFF2-40B4-BE49-F238E27FC236}">
              <a16:creationId xmlns:a16="http://schemas.microsoft.com/office/drawing/2014/main" id="{D69157E6-F78A-056E-4D9A-53CFD8B58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73" name="Picture 11">
          <a:extLst>
            <a:ext uri="{FF2B5EF4-FFF2-40B4-BE49-F238E27FC236}">
              <a16:creationId xmlns:a16="http://schemas.microsoft.com/office/drawing/2014/main" id="{2EEE9409-616C-533C-4BDC-30650F5A0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74" name="Picture 13">
          <a:extLst>
            <a:ext uri="{FF2B5EF4-FFF2-40B4-BE49-F238E27FC236}">
              <a16:creationId xmlns:a16="http://schemas.microsoft.com/office/drawing/2014/main" id="{41FF9439-28E4-5C30-F29C-D8E4CDB38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75" name="Picture 14">
          <a:extLst>
            <a:ext uri="{FF2B5EF4-FFF2-40B4-BE49-F238E27FC236}">
              <a16:creationId xmlns:a16="http://schemas.microsoft.com/office/drawing/2014/main" id="{D245098A-8E4A-8C53-6994-38298B55F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76" name="Picture 16">
          <a:extLst>
            <a:ext uri="{FF2B5EF4-FFF2-40B4-BE49-F238E27FC236}">
              <a16:creationId xmlns:a16="http://schemas.microsoft.com/office/drawing/2014/main" id="{1D924572-FB6E-D686-4EEC-E16B9E080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77" name="Picture 17">
          <a:extLst>
            <a:ext uri="{FF2B5EF4-FFF2-40B4-BE49-F238E27FC236}">
              <a16:creationId xmlns:a16="http://schemas.microsoft.com/office/drawing/2014/main" id="{FD9FE778-CC0A-496F-8437-D452D9E8F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78" name="Picture 19">
          <a:extLst>
            <a:ext uri="{FF2B5EF4-FFF2-40B4-BE49-F238E27FC236}">
              <a16:creationId xmlns:a16="http://schemas.microsoft.com/office/drawing/2014/main" id="{9CD23C19-B9B2-F465-52C1-6CA214362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79" name="Picture 20">
          <a:extLst>
            <a:ext uri="{FF2B5EF4-FFF2-40B4-BE49-F238E27FC236}">
              <a16:creationId xmlns:a16="http://schemas.microsoft.com/office/drawing/2014/main" id="{1D2F0520-6A00-43CD-E2D1-6137719B5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80" name="Picture 22">
          <a:extLst>
            <a:ext uri="{FF2B5EF4-FFF2-40B4-BE49-F238E27FC236}">
              <a16:creationId xmlns:a16="http://schemas.microsoft.com/office/drawing/2014/main" id="{CA840C66-144E-47A1-AABC-2ABD60D15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81" name="Picture 23">
          <a:extLst>
            <a:ext uri="{FF2B5EF4-FFF2-40B4-BE49-F238E27FC236}">
              <a16:creationId xmlns:a16="http://schemas.microsoft.com/office/drawing/2014/main" id="{1B322058-B55D-3175-1B9C-9A1BC2A8D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82" name="Picture 25">
          <a:extLst>
            <a:ext uri="{FF2B5EF4-FFF2-40B4-BE49-F238E27FC236}">
              <a16:creationId xmlns:a16="http://schemas.microsoft.com/office/drawing/2014/main" id="{129F5F19-7DBB-ADFA-F283-8C5A7E653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83" name="Picture 26">
          <a:extLst>
            <a:ext uri="{FF2B5EF4-FFF2-40B4-BE49-F238E27FC236}">
              <a16:creationId xmlns:a16="http://schemas.microsoft.com/office/drawing/2014/main" id="{B02C1C78-7D87-5F06-8AF7-F29F8DAD5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84" name="Picture 28">
          <a:extLst>
            <a:ext uri="{FF2B5EF4-FFF2-40B4-BE49-F238E27FC236}">
              <a16:creationId xmlns:a16="http://schemas.microsoft.com/office/drawing/2014/main" id="{95ADBDF0-A0D5-4C77-4B6B-0B2430776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85" name="Picture 29">
          <a:extLst>
            <a:ext uri="{FF2B5EF4-FFF2-40B4-BE49-F238E27FC236}">
              <a16:creationId xmlns:a16="http://schemas.microsoft.com/office/drawing/2014/main" id="{28704E2D-74A4-1F18-91CB-83E9E160A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86" name="Picture 31">
          <a:extLst>
            <a:ext uri="{FF2B5EF4-FFF2-40B4-BE49-F238E27FC236}">
              <a16:creationId xmlns:a16="http://schemas.microsoft.com/office/drawing/2014/main" id="{AF291BAB-9382-CB2B-958C-0813A6AAA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87" name="Picture 32">
          <a:extLst>
            <a:ext uri="{FF2B5EF4-FFF2-40B4-BE49-F238E27FC236}">
              <a16:creationId xmlns:a16="http://schemas.microsoft.com/office/drawing/2014/main" id="{E9D34455-2D7C-E47D-E78C-03FBEF5A7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88" name="Picture 34">
          <a:extLst>
            <a:ext uri="{FF2B5EF4-FFF2-40B4-BE49-F238E27FC236}">
              <a16:creationId xmlns:a16="http://schemas.microsoft.com/office/drawing/2014/main" id="{6796ED81-8219-D2B2-2439-DB52A8CE3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89" name="Picture 35">
          <a:extLst>
            <a:ext uri="{FF2B5EF4-FFF2-40B4-BE49-F238E27FC236}">
              <a16:creationId xmlns:a16="http://schemas.microsoft.com/office/drawing/2014/main" id="{82528484-F568-9E92-2928-49F992812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90" name="Picture 37">
          <a:extLst>
            <a:ext uri="{FF2B5EF4-FFF2-40B4-BE49-F238E27FC236}">
              <a16:creationId xmlns:a16="http://schemas.microsoft.com/office/drawing/2014/main" id="{B49BA238-BBCF-36E3-7055-CCBE7434C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91" name="Picture 38">
          <a:extLst>
            <a:ext uri="{FF2B5EF4-FFF2-40B4-BE49-F238E27FC236}">
              <a16:creationId xmlns:a16="http://schemas.microsoft.com/office/drawing/2014/main" id="{1AF4E6E5-AC07-AE05-3FCD-75D7D04DA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92" name="Picture 40">
          <a:extLst>
            <a:ext uri="{FF2B5EF4-FFF2-40B4-BE49-F238E27FC236}">
              <a16:creationId xmlns:a16="http://schemas.microsoft.com/office/drawing/2014/main" id="{6AFCB25B-ECF2-4F60-06CB-43F695F2F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93" name="Picture 41">
          <a:extLst>
            <a:ext uri="{FF2B5EF4-FFF2-40B4-BE49-F238E27FC236}">
              <a16:creationId xmlns:a16="http://schemas.microsoft.com/office/drawing/2014/main" id="{25FAA985-5C99-9710-9F4F-1F50BD9AD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94" name="Picture 43">
          <a:extLst>
            <a:ext uri="{FF2B5EF4-FFF2-40B4-BE49-F238E27FC236}">
              <a16:creationId xmlns:a16="http://schemas.microsoft.com/office/drawing/2014/main" id="{E37B17A5-2C34-4548-024D-7BF3CFC61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95" name="Picture 44">
          <a:extLst>
            <a:ext uri="{FF2B5EF4-FFF2-40B4-BE49-F238E27FC236}">
              <a16:creationId xmlns:a16="http://schemas.microsoft.com/office/drawing/2014/main" id="{B842ABC1-835F-E9D9-8950-45F06E8B9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96" name="Picture 46">
          <a:extLst>
            <a:ext uri="{FF2B5EF4-FFF2-40B4-BE49-F238E27FC236}">
              <a16:creationId xmlns:a16="http://schemas.microsoft.com/office/drawing/2014/main" id="{D7535392-8C3B-8159-A188-1701E383F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97" name="Picture 47">
          <a:extLst>
            <a:ext uri="{FF2B5EF4-FFF2-40B4-BE49-F238E27FC236}">
              <a16:creationId xmlns:a16="http://schemas.microsoft.com/office/drawing/2014/main" id="{9A5BBFD8-9390-F142-3133-C79975052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98" name="Picture 49">
          <a:extLst>
            <a:ext uri="{FF2B5EF4-FFF2-40B4-BE49-F238E27FC236}">
              <a16:creationId xmlns:a16="http://schemas.microsoft.com/office/drawing/2014/main" id="{7DB54BEB-ADBE-A346-23C7-18A0C106C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199" name="Picture 50">
          <a:extLst>
            <a:ext uri="{FF2B5EF4-FFF2-40B4-BE49-F238E27FC236}">
              <a16:creationId xmlns:a16="http://schemas.microsoft.com/office/drawing/2014/main" id="{7C7BFDA4-5A9D-9B1A-4328-F984EF68D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00" name="Picture 52">
          <a:extLst>
            <a:ext uri="{FF2B5EF4-FFF2-40B4-BE49-F238E27FC236}">
              <a16:creationId xmlns:a16="http://schemas.microsoft.com/office/drawing/2014/main" id="{5576B2AA-C4B8-C17E-8C5D-D948A7771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01" name="Picture 53">
          <a:extLst>
            <a:ext uri="{FF2B5EF4-FFF2-40B4-BE49-F238E27FC236}">
              <a16:creationId xmlns:a16="http://schemas.microsoft.com/office/drawing/2014/main" id="{BEE5BD39-1790-888A-E39F-72E9D7E9F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02" name="Picture 1">
          <a:extLst>
            <a:ext uri="{FF2B5EF4-FFF2-40B4-BE49-F238E27FC236}">
              <a16:creationId xmlns:a16="http://schemas.microsoft.com/office/drawing/2014/main" id="{A5D48589-D818-9A50-9C9C-B49BC9275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03" name="Picture 2">
          <a:extLst>
            <a:ext uri="{FF2B5EF4-FFF2-40B4-BE49-F238E27FC236}">
              <a16:creationId xmlns:a16="http://schemas.microsoft.com/office/drawing/2014/main" id="{6AE18E04-4459-0AB0-BA84-939A51138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04" name="Picture 4">
          <a:extLst>
            <a:ext uri="{FF2B5EF4-FFF2-40B4-BE49-F238E27FC236}">
              <a16:creationId xmlns:a16="http://schemas.microsoft.com/office/drawing/2014/main" id="{A5EDEE9D-DC92-E573-BEDD-746065C32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05" name="Picture 5">
          <a:extLst>
            <a:ext uri="{FF2B5EF4-FFF2-40B4-BE49-F238E27FC236}">
              <a16:creationId xmlns:a16="http://schemas.microsoft.com/office/drawing/2014/main" id="{360CF2F8-470B-0184-EF15-5F76B0B21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06" name="Picture 7">
          <a:extLst>
            <a:ext uri="{FF2B5EF4-FFF2-40B4-BE49-F238E27FC236}">
              <a16:creationId xmlns:a16="http://schemas.microsoft.com/office/drawing/2014/main" id="{CDBF5646-5F79-CBFF-4BCF-96A77453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07" name="Picture 8">
          <a:extLst>
            <a:ext uri="{FF2B5EF4-FFF2-40B4-BE49-F238E27FC236}">
              <a16:creationId xmlns:a16="http://schemas.microsoft.com/office/drawing/2014/main" id="{63E16C03-574D-8CE0-C4C9-EE005AA52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08" name="Picture 10">
          <a:extLst>
            <a:ext uri="{FF2B5EF4-FFF2-40B4-BE49-F238E27FC236}">
              <a16:creationId xmlns:a16="http://schemas.microsoft.com/office/drawing/2014/main" id="{AD037140-3BB0-7355-C251-4EB6DE664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09" name="Picture 11">
          <a:extLst>
            <a:ext uri="{FF2B5EF4-FFF2-40B4-BE49-F238E27FC236}">
              <a16:creationId xmlns:a16="http://schemas.microsoft.com/office/drawing/2014/main" id="{8692CF01-1C4C-BEDB-C134-E68564565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10" name="Picture 13">
          <a:extLst>
            <a:ext uri="{FF2B5EF4-FFF2-40B4-BE49-F238E27FC236}">
              <a16:creationId xmlns:a16="http://schemas.microsoft.com/office/drawing/2014/main" id="{295CF528-838B-EBE5-C7ED-051B83918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11" name="Picture 14">
          <a:extLst>
            <a:ext uri="{FF2B5EF4-FFF2-40B4-BE49-F238E27FC236}">
              <a16:creationId xmlns:a16="http://schemas.microsoft.com/office/drawing/2014/main" id="{2632D326-5CAB-898D-293E-E6A82FEA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12" name="Picture 16">
          <a:extLst>
            <a:ext uri="{FF2B5EF4-FFF2-40B4-BE49-F238E27FC236}">
              <a16:creationId xmlns:a16="http://schemas.microsoft.com/office/drawing/2014/main" id="{5AF88B46-594C-2639-C844-B5096E632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13" name="Picture 17">
          <a:extLst>
            <a:ext uri="{FF2B5EF4-FFF2-40B4-BE49-F238E27FC236}">
              <a16:creationId xmlns:a16="http://schemas.microsoft.com/office/drawing/2014/main" id="{62701B64-4F06-8188-4A80-CC194CBAA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14" name="Picture 19">
          <a:extLst>
            <a:ext uri="{FF2B5EF4-FFF2-40B4-BE49-F238E27FC236}">
              <a16:creationId xmlns:a16="http://schemas.microsoft.com/office/drawing/2014/main" id="{96D49F58-DF40-D0E8-9130-935AC9947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15" name="Picture 20">
          <a:extLst>
            <a:ext uri="{FF2B5EF4-FFF2-40B4-BE49-F238E27FC236}">
              <a16:creationId xmlns:a16="http://schemas.microsoft.com/office/drawing/2014/main" id="{EDBEEEB6-7FD7-83AF-3794-5CE0D8337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16" name="Picture 22">
          <a:extLst>
            <a:ext uri="{FF2B5EF4-FFF2-40B4-BE49-F238E27FC236}">
              <a16:creationId xmlns:a16="http://schemas.microsoft.com/office/drawing/2014/main" id="{FE3C1946-7164-825B-342C-90703DECC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17" name="Picture 23">
          <a:extLst>
            <a:ext uri="{FF2B5EF4-FFF2-40B4-BE49-F238E27FC236}">
              <a16:creationId xmlns:a16="http://schemas.microsoft.com/office/drawing/2014/main" id="{939DE51F-153F-924E-1CB2-64D0AF7ED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18" name="Picture 25">
          <a:extLst>
            <a:ext uri="{FF2B5EF4-FFF2-40B4-BE49-F238E27FC236}">
              <a16:creationId xmlns:a16="http://schemas.microsoft.com/office/drawing/2014/main" id="{3ADB5EE3-5215-1106-023D-8E10A17CB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19" name="Picture 26">
          <a:extLst>
            <a:ext uri="{FF2B5EF4-FFF2-40B4-BE49-F238E27FC236}">
              <a16:creationId xmlns:a16="http://schemas.microsoft.com/office/drawing/2014/main" id="{AAE267F1-3B34-7010-4DC1-A5B08EA7C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20" name="Picture 28">
          <a:extLst>
            <a:ext uri="{FF2B5EF4-FFF2-40B4-BE49-F238E27FC236}">
              <a16:creationId xmlns:a16="http://schemas.microsoft.com/office/drawing/2014/main" id="{99914FA8-5E36-C0C3-44B8-FED085279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21" name="Picture 29">
          <a:extLst>
            <a:ext uri="{FF2B5EF4-FFF2-40B4-BE49-F238E27FC236}">
              <a16:creationId xmlns:a16="http://schemas.microsoft.com/office/drawing/2014/main" id="{F65F355B-F100-BCF3-A72C-AB23291C9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22" name="Picture 31">
          <a:extLst>
            <a:ext uri="{FF2B5EF4-FFF2-40B4-BE49-F238E27FC236}">
              <a16:creationId xmlns:a16="http://schemas.microsoft.com/office/drawing/2014/main" id="{12899196-A84F-DE70-388B-8DCCF8B3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23" name="Picture 32">
          <a:extLst>
            <a:ext uri="{FF2B5EF4-FFF2-40B4-BE49-F238E27FC236}">
              <a16:creationId xmlns:a16="http://schemas.microsoft.com/office/drawing/2014/main" id="{FAE6FB22-B57E-9FBB-4354-2795DEAA5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24" name="Picture 34">
          <a:extLst>
            <a:ext uri="{FF2B5EF4-FFF2-40B4-BE49-F238E27FC236}">
              <a16:creationId xmlns:a16="http://schemas.microsoft.com/office/drawing/2014/main" id="{5E288B97-1839-94EC-96AF-03D7D8287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25" name="Picture 35">
          <a:extLst>
            <a:ext uri="{FF2B5EF4-FFF2-40B4-BE49-F238E27FC236}">
              <a16:creationId xmlns:a16="http://schemas.microsoft.com/office/drawing/2014/main" id="{2415C86D-5F60-4722-AAEA-64FE31061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26" name="Picture 37">
          <a:extLst>
            <a:ext uri="{FF2B5EF4-FFF2-40B4-BE49-F238E27FC236}">
              <a16:creationId xmlns:a16="http://schemas.microsoft.com/office/drawing/2014/main" id="{FC671873-5CF7-CBEE-FF0F-491A7E1D7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27" name="Picture 38">
          <a:extLst>
            <a:ext uri="{FF2B5EF4-FFF2-40B4-BE49-F238E27FC236}">
              <a16:creationId xmlns:a16="http://schemas.microsoft.com/office/drawing/2014/main" id="{563F5BFF-E33E-1B73-91B2-4F6024FD9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28" name="Picture 40">
          <a:extLst>
            <a:ext uri="{FF2B5EF4-FFF2-40B4-BE49-F238E27FC236}">
              <a16:creationId xmlns:a16="http://schemas.microsoft.com/office/drawing/2014/main" id="{6013A22F-E156-36DA-F495-DF7242E0B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29" name="Picture 41">
          <a:extLst>
            <a:ext uri="{FF2B5EF4-FFF2-40B4-BE49-F238E27FC236}">
              <a16:creationId xmlns:a16="http://schemas.microsoft.com/office/drawing/2014/main" id="{164AD583-A1FF-C0CA-8F4C-44404EC53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30" name="Picture 43">
          <a:extLst>
            <a:ext uri="{FF2B5EF4-FFF2-40B4-BE49-F238E27FC236}">
              <a16:creationId xmlns:a16="http://schemas.microsoft.com/office/drawing/2014/main" id="{F9CDEB3E-292A-5B0A-F463-AD29EFFBE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31" name="Picture 44">
          <a:extLst>
            <a:ext uri="{FF2B5EF4-FFF2-40B4-BE49-F238E27FC236}">
              <a16:creationId xmlns:a16="http://schemas.microsoft.com/office/drawing/2014/main" id="{6270CA4B-52AA-E7B7-A6BC-9B1D9E788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32" name="Picture 46">
          <a:extLst>
            <a:ext uri="{FF2B5EF4-FFF2-40B4-BE49-F238E27FC236}">
              <a16:creationId xmlns:a16="http://schemas.microsoft.com/office/drawing/2014/main" id="{3C7A4B5B-0C17-817D-C911-36099A2A3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33" name="Picture 47">
          <a:extLst>
            <a:ext uri="{FF2B5EF4-FFF2-40B4-BE49-F238E27FC236}">
              <a16:creationId xmlns:a16="http://schemas.microsoft.com/office/drawing/2014/main" id="{6E354F4E-FA9A-6C46-7934-8E828EB06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34" name="Picture 49">
          <a:extLst>
            <a:ext uri="{FF2B5EF4-FFF2-40B4-BE49-F238E27FC236}">
              <a16:creationId xmlns:a16="http://schemas.microsoft.com/office/drawing/2014/main" id="{98882E7E-D198-6CEA-EDA1-6B59263C2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35" name="Picture 50">
          <a:extLst>
            <a:ext uri="{FF2B5EF4-FFF2-40B4-BE49-F238E27FC236}">
              <a16:creationId xmlns:a16="http://schemas.microsoft.com/office/drawing/2014/main" id="{E4760EBA-F4ED-2528-B104-0AD7CFE7A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36" name="Picture 52">
          <a:extLst>
            <a:ext uri="{FF2B5EF4-FFF2-40B4-BE49-F238E27FC236}">
              <a16:creationId xmlns:a16="http://schemas.microsoft.com/office/drawing/2014/main" id="{1EA252CB-A2F9-B3BA-2009-7C4D2C2E2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37" name="Picture 53">
          <a:extLst>
            <a:ext uri="{FF2B5EF4-FFF2-40B4-BE49-F238E27FC236}">
              <a16:creationId xmlns:a16="http://schemas.microsoft.com/office/drawing/2014/main" id="{4DFE432E-54A7-63F9-1DE3-D6BD29E2A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38" name="Picture 1">
          <a:extLst>
            <a:ext uri="{FF2B5EF4-FFF2-40B4-BE49-F238E27FC236}">
              <a16:creationId xmlns:a16="http://schemas.microsoft.com/office/drawing/2014/main" id="{D71F2000-AF02-8319-D9F3-5A5FBC28B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39" name="Picture 2">
          <a:extLst>
            <a:ext uri="{FF2B5EF4-FFF2-40B4-BE49-F238E27FC236}">
              <a16:creationId xmlns:a16="http://schemas.microsoft.com/office/drawing/2014/main" id="{793E1A09-2F30-74AF-05E2-B21373C36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40" name="Picture 4">
          <a:extLst>
            <a:ext uri="{FF2B5EF4-FFF2-40B4-BE49-F238E27FC236}">
              <a16:creationId xmlns:a16="http://schemas.microsoft.com/office/drawing/2014/main" id="{62960AAA-ECDB-4C7A-99A1-A3D82B780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41" name="Picture 5">
          <a:extLst>
            <a:ext uri="{FF2B5EF4-FFF2-40B4-BE49-F238E27FC236}">
              <a16:creationId xmlns:a16="http://schemas.microsoft.com/office/drawing/2014/main" id="{5D3F8067-16B8-3808-47A4-151CF3B42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42" name="Picture 7">
          <a:extLst>
            <a:ext uri="{FF2B5EF4-FFF2-40B4-BE49-F238E27FC236}">
              <a16:creationId xmlns:a16="http://schemas.microsoft.com/office/drawing/2014/main" id="{1A778F41-23B1-3F12-EE91-FF630E353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43" name="Picture 8">
          <a:extLst>
            <a:ext uri="{FF2B5EF4-FFF2-40B4-BE49-F238E27FC236}">
              <a16:creationId xmlns:a16="http://schemas.microsoft.com/office/drawing/2014/main" id="{2BB44D4E-841C-C1C0-5D20-11444023F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44" name="Picture 10">
          <a:extLst>
            <a:ext uri="{FF2B5EF4-FFF2-40B4-BE49-F238E27FC236}">
              <a16:creationId xmlns:a16="http://schemas.microsoft.com/office/drawing/2014/main" id="{C58A35B4-062E-F523-452B-4C9581C5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45" name="Picture 11">
          <a:extLst>
            <a:ext uri="{FF2B5EF4-FFF2-40B4-BE49-F238E27FC236}">
              <a16:creationId xmlns:a16="http://schemas.microsoft.com/office/drawing/2014/main" id="{ED9EC928-85F1-E220-AD74-7F9B222F8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46" name="Picture 13">
          <a:extLst>
            <a:ext uri="{FF2B5EF4-FFF2-40B4-BE49-F238E27FC236}">
              <a16:creationId xmlns:a16="http://schemas.microsoft.com/office/drawing/2014/main" id="{1D2EECF9-613E-B56D-F1B2-00D9147AB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47" name="Picture 14">
          <a:extLst>
            <a:ext uri="{FF2B5EF4-FFF2-40B4-BE49-F238E27FC236}">
              <a16:creationId xmlns:a16="http://schemas.microsoft.com/office/drawing/2014/main" id="{3E672A36-A95D-2837-5A72-40A2781D1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48" name="Picture 16">
          <a:extLst>
            <a:ext uri="{FF2B5EF4-FFF2-40B4-BE49-F238E27FC236}">
              <a16:creationId xmlns:a16="http://schemas.microsoft.com/office/drawing/2014/main" id="{C2DB0CE4-A5A0-4D0B-F6FF-416931E49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49" name="Picture 17">
          <a:extLst>
            <a:ext uri="{FF2B5EF4-FFF2-40B4-BE49-F238E27FC236}">
              <a16:creationId xmlns:a16="http://schemas.microsoft.com/office/drawing/2014/main" id="{D6A12359-8184-D08E-987C-A2D1E2753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50" name="Picture 19">
          <a:extLst>
            <a:ext uri="{FF2B5EF4-FFF2-40B4-BE49-F238E27FC236}">
              <a16:creationId xmlns:a16="http://schemas.microsoft.com/office/drawing/2014/main" id="{6B615A63-ADD8-6F6D-4B67-C8A44678F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51" name="Picture 20">
          <a:extLst>
            <a:ext uri="{FF2B5EF4-FFF2-40B4-BE49-F238E27FC236}">
              <a16:creationId xmlns:a16="http://schemas.microsoft.com/office/drawing/2014/main" id="{175A0A80-F5B9-710A-1C8C-89C549D22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52" name="Picture 22">
          <a:extLst>
            <a:ext uri="{FF2B5EF4-FFF2-40B4-BE49-F238E27FC236}">
              <a16:creationId xmlns:a16="http://schemas.microsoft.com/office/drawing/2014/main" id="{CD0C5C50-D65A-CE44-03C5-5467583C6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53" name="Picture 23">
          <a:extLst>
            <a:ext uri="{FF2B5EF4-FFF2-40B4-BE49-F238E27FC236}">
              <a16:creationId xmlns:a16="http://schemas.microsoft.com/office/drawing/2014/main" id="{1207DB79-7551-5552-4AAA-B687822B1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54" name="Picture 25">
          <a:extLst>
            <a:ext uri="{FF2B5EF4-FFF2-40B4-BE49-F238E27FC236}">
              <a16:creationId xmlns:a16="http://schemas.microsoft.com/office/drawing/2014/main" id="{69A76082-5E40-4C7D-DDE2-7EDF5EEF2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55" name="Picture 26">
          <a:extLst>
            <a:ext uri="{FF2B5EF4-FFF2-40B4-BE49-F238E27FC236}">
              <a16:creationId xmlns:a16="http://schemas.microsoft.com/office/drawing/2014/main" id="{9F5B3CD2-176E-DDEB-DEFF-C3A845B41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56" name="Picture 28">
          <a:extLst>
            <a:ext uri="{FF2B5EF4-FFF2-40B4-BE49-F238E27FC236}">
              <a16:creationId xmlns:a16="http://schemas.microsoft.com/office/drawing/2014/main" id="{21FB137A-9E10-D8E3-EFF9-0BB1F86C4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57" name="Picture 29">
          <a:extLst>
            <a:ext uri="{FF2B5EF4-FFF2-40B4-BE49-F238E27FC236}">
              <a16:creationId xmlns:a16="http://schemas.microsoft.com/office/drawing/2014/main" id="{29C0F592-D7F6-763F-933C-B0AEB2A34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58" name="Picture 31">
          <a:extLst>
            <a:ext uri="{FF2B5EF4-FFF2-40B4-BE49-F238E27FC236}">
              <a16:creationId xmlns:a16="http://schemas.microsoft.com/office/drawing/2014/main" id="{F19C0654-D5CD-D272-E281-502029395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59" name="Picture 32">
          <a:extLst>
            <a:ext uri="{FF2B5EF4-FFF2-40B4-BE49-F238E27FC236}">
              <a16:creationId xmlns:a16="http://schemas.microsoft.com/office/drawing/2014/main" id="{52F87207-39EC-4A52-854A-1355437F1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60" name="Picture 34">
          <a:extLst>
            <a:ext uri="{FF2B5EF4-FFF2-40B4-BE49-F238E27FC236}">
              <a16:creationId xmlns:a16="http://schemas.microsoft.com/office/drawing/2014/main" id="{A4E523AD-0B2D-9F32-2576-60D4A2406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61" name="Picture 35">
          <a:extLst>
            <a:ext uri="{FF2B5EF4-FFF2-40B4-BE49-F238E27FC236}">
              <a16:creationId xmlns:a16="http://schemas.microsoft.com/office/drawing/2014/main" id="{20954037-3BBA-E525-3440-466E35004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62" name="Picture 37">
          <a:extLst>
            <a:ext uri="{FF2B5EF4-FFF2-40B4-BE49-F238E27FC236}">
              <a16:creationId xmlns:a16="http://schemas.microsoft.com/office/drawing/2014/main" id="{BC1FE098-BE1C-2F5E-FE15-F42BEBF93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63" name="Picture 38">
          <a:extLst>
            <a:ext uri="{FF2B5EF4-FFF2-40B4-BE49-F238E27FC236}">
              <a16:creationId xmlns:a16="http://schemas.microsoft.com/office/drawing/2014/main" id="{5ED96F30-6D2E-D415-AF87-69C861548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64" name="Picture 40">
          <a:extLst>
            <a:ext uri="{FF2B5EF4-FFF2-40B4-BE49-F238E27FC236}">
              <a16:creationId xmlns:a16="http://schemas.microsoft.com/office/drawing/2014/main" id="{F9422454-B403-9263-2341-4E56EF731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65" name="Picture 41">
          <a:extLst>
            <a:ext uri="{FF2B5EF4-FFF2-40B4-BE49-F238E27FC236}">
              <a16:creationId xmlns:a16="http://schemas.microsoft.com/office/drawing/2014/main" id="{BD64C091-6AB8-E09A-45BA-DBFA0130F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66" name="Picture 43">
          <a:extLst>
            <a:ext uri="{FF2B5EF4-FFF2-40B4-BE49-F238E27FC236}">
              <a16:creationId xmlns:a16="http://schemas.microsoft.com/office/drawing/2014/main" id="{46CBA85E-3100-28DA-E159-73814E79F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67" name="Picture 44">
          <a:extLst>
            <a:ext uri="{FF2B5EF4-FFF2-40B4-BE49-F238E27FC236}">
              <a16:creationId xmlns:a16="http://schemas.microsoft.com/office/drawing/2014/main" id="{232EBDC0-9C08-7107-03D6-12563D149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68" name="Picture 46">
          <a:extLst>
            <a:ext uri="{FF2B5EF4-FFF2-40B4-BE49-F238E27FC236}">
              <a16:creationId xmlns:a16="http://schemas.microsoft.com/office/drawing/2014/main" id="{94DEA780-1493-4780-D276-4CD9BF23A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69" name="Picture 47">
          <a:extLst>
            <a:ext uri="{FF2B5EF4-FFF2-40B4-BE49-F238E27FC236}">
              <a16:creationId xmlns:a16="http://schemas.microsoft.com/office/drawing/2014/main" id="{98F4A4CE-DBCA-63FF-B991-5BF889BA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70" name="Picture 49">
          <a:extLst>
            <a:ext uri="{FF2B5EF4-FFF2-40B4-BE49-F238E27FC236}">
              <a16:creationId xmlns:a16="http://schemas.microsoft.com/office/drawing/2014/main" id="{D9ED002F-7367-AE6D-81B0-F11049D6A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71" name="Picture 50">
          <a:extLst>
            <a:ext uri="{FF2B5EF4-FFF2-40B4-BE49-F238E27FC236}">
              <a16:creationId xmlns:a16="http://schemas.microsoft.com/office/drawing/2014/main" id="{3A128D8E-A4D6-4434-2B4D-612A28A58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72" name="Picture 52">
          <a:extLst>
            <a:ext uri="{FF2B5EF4-FFF2-40B4-BE49-F238E27FC236}">
              <a16:creationId xmlns:a16="http://schemas.microsoft.com/office/drawing/2014/main" id="{CA11A3F0-8EE9-9296-2120-8FF788B19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73" name="Picture 53">
          <a:extLst>
            <a:ext uri="{FF2B5EF4-FFF2-40B4-BE49-F238E27FC236}">
              <a16:creationId xmlns:a16="http://schemas.microsoft.com/office/drawing/2014/main" id="{DAA5E8AD-209E-BFCB-5331-4C75F5528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74" name="Picture 1">
          <a:extLst>
            <a:ext uri="{FF2B5EF4-FFF2-40B4-BE49-F238E27FC236}">
              <a16:creationId xmlns:a16="http://schemas.microsoft.com/office/drawing/2014/main" id="{3F5A5778-85BB-6AB7-1A4A-05A4C6A2A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75" name="Picture 2">
          <a:extLst>
            <a:ext uri="{FF2B5EF4-FFF2-40B4-BE49-F238E27FC236}">
              <a16:creationId xmlns:a16="http://schemas.microsoft.com/office/drawing/2014/main" id="{560D2E75-2440-8B54-3FBA-3D912CFDE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76" name="Picture 4">
          <a:extLst>
            <a:ext uri="{FF2B5EF4-FFF2-40B4-BE49-F238E27FC236}">
              <a16:creationId xmlns:a16="http://schemas.microsoft.com/office/drawing/2014/main" id="{EBE26705-66E5-20D5-4088-B84ACD552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77" name="Picture 5">
          <a:extLst>
            <a:ext uri="{FF2B5EF4-FFF2-40B4-BE49-F238E27FC236}">
              <a16:creationId xmlns:a16="http://schemas.microsoft.com/office/drawing/2014/main" id="{7E736C71-C21D-F9D2-00DF-10E3B31BD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78" name="Picture 7">
          <a:extLst>
            <a:ext uri="{FF2B5EF4-FFF2-40B4-BE49-F238E27FC236}">
              <a16:creationId xmlns:a16="http://schemas.microsoft.com/office/drawing/2014/main" id="{470FB4D7-744D-D5A7-7815-3296B8D53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79" name="Picture 8">
          <a:extLst>
            <a:ext uri="{FF2B5EF4-FFF2-40B4-BE49-F238E27FC236}">
              <a16:creationId xmlns:a16="http://schemas.microsoft.com/office/drawing/2014/main" id="{B053A10E-2F88-D436-B7ED-7E7880ED0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80" name="Picture 10">
          <a:extLst>
            <a:ext uri="{FF2B5EF4-FFF2-40B4-BE49-F238E27FC236}">
              <a16:creationId xmlns:a16="http://schemas.microsoft.com/office/drawing/2014/main" id="{142B8FCC-066B-B992-99F9-642A89816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81" name="Picture 11">
          <a:extLst>
            <a:ext uri="{FF2B5EF4-FFF2-40B4-BE49-F238E27FC236}">
              <a16:creationId xmlns:a16="http://schemas.microsoft.com/office/drawing/2014/main" id="{131D57C4-9C4B-778A-C5F0-CD18E55D0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82" name="Picture 13">
          <a:extLst>
            <a:ext uri="{FF2B5EF4-FFF2-40B4-BE49-F238E27FC236}">
              <a16:creationId xmlns:a16="http://schemas.microsoft.com/office/drawing/2014/main" id="{1C2E605E-BDD2-7EB4-432D-A48A850CE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83" name="Picture 14">
          <a:extLst>
            <a:ext uri="{FF2B5EF4-FFF2-40B4-BE49-F238E27FC236}">
              <a16:creationId xmlns:a16="http://schemas.microsoft.com/office/drawing/2014/main" id="{79532290-A406-68E1-98CF-C33760623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84" name="Picture 16">
          <a:extLst>
            <a:ext uri="{FF2B5EF4-FFF2-40B4-BE49-F238E27FC236}">
              <a16:creationId xmlns:a16="http://schemas.microsoft.com/office/drawing/2014/main" id="{C889E02B-E7C8-2F0F-6383-DA7C583CD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85" name="Picture 17">
          <a:extLst>
            <a:ext uri="{FF2B5EF4-FFF2-40B4-BE49-F238E27FC236}">
              <a16:creationId xmlns:a16="http://schemas.microsoft.com/office/drawing/2014/main" id="{E95C4CF2-988C-0D8E-E2F9-0376D267D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86" name="Picture 19">
          <a:extLst>
            <a:ext uri="{FF2B5EF4-FFF2-40B4-BE49-F238E27FC236}">
              <a16:creationId xmlns:a16="http://schemas.microsoft.com/office/drawing/2014/main" id="{46FEE049-43C9-D678-D79D-088CBF9FB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87" name="Picture 20">
          <a:extLst>
            <a:ext uri="{FF2B5EF4-FFF2-40B4-BE49-F238E27FC236}">
              <a16:creationId xmlns:a16="http://schemas.microsoft.com/office/drawing/2014/main" id="{39E8FCC5-71FD-3E04-3A76-5CE8C69B9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88" name="Picture 22">
          <a:extLst>
            <a:ext uri="{FF2B5EF4-FFF2-40B4-BE49-F238E27FC236}">
              <a16:creationId xmlns:a16="http://schemas.microsoft.com/office/drawing/2014/main" id="{B0AF397F-7A81-593D-E7C6-DAA45456A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89" name="Picture 23">
          <a:extLst>
            <a:ext uri="{FF2B5EF4-FFF2-40B4-BE49-F238E27FC236}">
              <a16:creationId xmlns:a16="http://schemas.microsoft.com/office/drawing/2014/main" id="{6A0A26B5-5EC2-5B52-C771-EE67DD0E5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90" name="Picture 25">
          <a:extLst>
            <a:ext uri="{FF2B5EF4-FFF2-40B4-BE49-F238E27FC236}">
              <a16:creationId xmlns:a16="http://schemas.microsoft.com/office/drawing/2014/main" id="{707D447F-D8E4-95DD-A3AB-C51E0B932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91" name="Picture 26">
          <a:extLst>
            <a:ext uri="{FF2B5EF4-FFF2-40B4-BE49-F238E27FC236}">
              <a16:creationId xmlns:a16="http://schemas.microsoft.com/office/drawing/2014/main" id="{16C8A681-ACD5-B844-8D97-B9C8071BE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92" name="Picture 28">
          <a:extLst>
            <a:ext uri="{FF2B5EF4-FFF2-40B4-BE49-F238E27FC236}">
              <a16:creationId xmlns:a16="http://schemas.microsoft.com/office/drawing/2014/main" id="{37EBEB42-1CEB-0A02-FDA2-090D5E033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93" name="Picture 29">
          <a:extLst>
            <a:ext uri="{FF2B5EF4-FFF2-40B4-BE49-F238E27FC236}">
              <a16:creationId xmlns:a16="http://schemas.microsoft.com/office/drawing/2014/main" id="{2D6D7D00-A205-12D6-B257-51B9F15C6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94" name="Picture 31">
          <a:extLst>
            <a:ext uri="{FF2B5EF4-FFF2-40B4-BE49-F238E27FC236}">
              <a16:creationId xmlns:a16="http://schemas.microsoft.com/office/drawing/2014/main" id="{DF9EA307-E388-B814-49A8-5BC428195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95" name="Picture 32">
          <a:extLst>
            <a:ext uri="{FF2B5EF4-FFF2-40B4-BE49-F238E27FC236}">
              <a16:creationId xmlns:a16="http://schemas.microsoft.com/office/drawing/2014/main" id="{C2F64DD3-CE59-50B8-F358-2B9319BDE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96" name="Picture 34">
          <a:extLst>
            <a:ext uri="{FF2B5EF4-FFF2-40B4-BE49-F238E27FC236}">
              <a16:creationId xmlns:a16="http://schemas.microsoft.com/office/drawing/2014/main" id="{F0C6399D-E39D-1EE9-4D44-3E4169071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97" name="Picture 35">
          <a:extLst>
            <a:ext uri="{FF2B5EF4-FFF2-40B4-BE49-F238E27FC236}">
              <a16:creationId xmlns:a16="http://schemas.microsoft.com/office/drawing/2014/main" id="{8FB7A4DF-14AE-8DAD-686A-558E034BB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98" name="Picture 37">
          <a:extLst>
            <a:ext uri="{FF2B5EF4-FFF2-40B4-BE49-F238E27FC236}">
              <a16:creationId xmlns:a16="http://schemas.microsoft.com/office/drawing/2014/main" id="{E4C35489-63A8-C4B1-1507-69E51781A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299" name="Picture 38">
          <a:extLst>
            <a:ext uri="{FF2B5EF4-FFF2-40B4-BE49-F238E27FC236}">
              <a16:creationId xmlns:a16="http://schemas.microsoft.com/office/drawing/2014/main" id="{0330E385-7117-6CE9-69DD-E33A19E87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00" name="Picture 40">
          <a:extLst>
            <a:ext uri="{FF2B5EF4-FFF2-40B4-BE49-F238E27FC236}">
              <a16:creationId xmlns:a16="http://schemas.microsoft.com/office/drawing/2014/main" id="{EC203808-EC00-60DC-477D-9816AD2C6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01" name="Picture 41">
          <a:extLst>
            <a:ext uri="{FF2B5EF4-FFF2-40B4-BE49-F238E27FC236}">
              <a16:creationId xmlns:a16="http://schemas.microsoft.com/office/drawing/2014/main" id="{640271AB-D0A8-C862-36D1-CAB2E7639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02" name="Picture 43">
          <a:extLst>
            <a:ext uri="{FF2B5EF4-FFF2-40B4-BE49-F238E27FC236}">
              <a16:creationId xmlns:a16="http://schemas.microsoft.com/office/drawing/2014/main" id="{7059A26D-1290-E744-CAF4-1911D163E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03" name="Picture 44">
          <a:extLst>
            <a:ext uri="{FF2B5EF4-FFF2-40B4-BE49-F238E27FC236}">
              <a16:creationId xmlns:a16="http://schemas.microsoft.com/office/drawing/2014/main" id="{32ABC26A-E64E-7C5E-3BEF-EEBE94FBB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04" name="Picture 46">
          <a:extLst>
            <a:ext uri="{FF2B5EF4-FFF2-40B4-BE49-F238E27FC236}">
              <a16:creationId xmlns:a16="http://schemas.microsoft.com/office/drawing/2014/main" id="{B2A513BA-33AC-D17B-3418-1FF012FFE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05" name="Picture 47">
          <a:extLst>
            <a:ext uri="{FF2B5EF4-FFF2-40B4-BE49-F238E27FC236}">
              <a16:creationId xmlns:a16="http://schemas.microsoft.com/office/drawing/2014/main" id="{77488761-FFF1-D20E-FBD6-F4040A13D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06" name="Picture 49">
          <a:extLst>
            <a:ext uri="{FF2B5EF4-FFF2-40B4-BE49-F238E27FC236}">
              <a16:creationId xmlns:a16="http://schemas.microsoft.com/office/drawing/2014/main" id="{0E1332B2-3699-525F-33EA-5E1C491ED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07" name="Picture 50">
          <a:extLst>
            <a:ext uri="{FF2B5EF4-FFF2-40B4-BE49-F238E27FC236}">
              <a16:creationId xmlns:a16="http://schemas.microsoft.com/office/drawing/2014/main" id="{0CA9A06A-DF84-9CD0-AA04-848DFF3E8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08" name="Picture 52">
          <a:extLst>
            <a:ext uri="{FF2B5EF4-FFF2-40B4-BE49-F238E27FC236}">
              <a16:creationId xmlns:a16="http://schemas.microsoft.com/office/drawing/2014/main" id="{A81ED21D-4B80-547A-F9BA-8378079D7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09" name="Picture 53">
          <a:extLst>
            <a:ext uri="{FF2B5EF4-FFF2-40B4-BE49-F238E27FC236}">
              <a16:creationId xmlns:a16="http://schemas.microsoft.com/office/drawing/2014/main" id="{B53F393E-6308-BA5F-06C3-C010101BD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10" name="Picture 1">
          <a:extLst>
            <a:ext uri="{FF2B5EF4-FFF2-40B4-BE49-F238E27FC236}">
              <a16:creationId xmlns:a16="http://schemas.microsoft.com/office/drawing/2014/main" id="{AD9518C1-CFDF-CF05-F9A2-FCE8A42E9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11" name="Picture 2">
          <a:extLst>
            <a:ext uri="{FF2B5EF4-FFF2-40B4-BE49-F238E27FC236}">
              <a16:creationId xmlns:a16="http://schemas.microsoft.com/office/drawing/2014/main" id="{28A3F7F3-B1B6-F0F3-8028-F3EC44365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12" name="Picture 4">
          <a:extLst>
            <a:ext uri="{FF2B5EF4-FFF2-40B4-BE49-F238E27FC236}">
              <a16:creationId xmlns:a16="http://schemas.microsoft.com/office/drawing/2014/main" id="{6C3D4F94-A841-E0BE-483C-FD014F902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13" name="Picture 5">
          <a:extLst>
            <a:ext uri="{FF2B5EF4-FFF2-40B4-BE49-F238E27FC236}">
              <a16:creationId xmlns:a16="http://schemas.microsoft.com/office/drawing/2014/main" id="{DA8CE63C-4EA7-3FBD-621C-73180D1B5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14" name="Picture 7">
          <a:extLst>
            <a:ext uri="{FF2B5EF4-FFF2-40B4-BE49-F238E27FC236}">
              <a16:creationId xmlns:a16="http://schemas.microsoft.com/office/drawing/2014/main" id="{62343C9B-4183-2AFF-24DD-9F70ADA2B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15" name="Picture 8">
          <a:extLst>
            <a:ext uri="{FF2B5EF4-FFF2-40B4-BE49-F238E27FC236}">
              <a16:creationId xmlns:a16="http://schemas.microsoft.com/office/drawing/2014/main" id="{61DCEF04-602D-A89E-E669-CC81D8F69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16" name="Picture 10">
          <a:extLst>
            <a:ext uri="{FF2B5EF4-FFF2-40B4-BE49-F238E27FC236}">
              <a16:creationId xmlns:a16="http://schemas.microsoft.com/office/drawing/2014/main" id="{67DB67ED-3F98-7850-DD2D-3AA5867B1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17" name="Picture 11">
          <a:extLst>
            <a:ext uri="{FF2B5EF4-FFF2-40B4-BE49-F238E27FC236}">
              <a16:creationId xmlns:a16="http://schemas.microsoft.com/office/drawing/2014/main" id="{5E382941-560D-91A4-E7DE-0BE40F003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18" name="Picture 13">
          <a:extLst>
            <a:ext uri="{FF2B5EF4-FFF2-40B4-BE49-F238E27FC236}">
              <a16:creationId xmlns:a16="http://schemas.microsoft.com/office/drawing/2014/main" id="{9E2DF1EF-2169-A710-E978-1328112F4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19" name="Picture 14">
          <a:extLst>
            <a:ext uri="{FF2B5EF4-FFF2-40B4-BE49-F238E27FC236}">
              <a16:creationId xmlns:a16="http://schemas.microsoft.com/office/drawing/2014/main" id="{06E7AB6D-E310-CA28-EBD9-199A387F2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20" name="Picture 16">
          <a:extLst>
            <a:ext uri="{FF2B5EF4-FFF2-40B4-BE49-F238E27FC236}">
              <a16:creationId xmlns:a16="http://schemas.microsoft.com/office/drawing/2014/main" id="{6E044865-B9C8-EBFB-2E67-2444FF983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21" name="Picture 17">
          <a:extLst>
            <a:ext uri="{FF2B5EF4-FFF2-40B4-BE49-F238E27FC236}">
              <a16:creationId xmlns:a16="http://schemas.microsoft.com/office/drawing/2014/main" id="{9F589A9E-D42B-0E99-4E23-7E87B3EF6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22" name="Picture 19">
          <a:extLst>
            <a:ext uri="{FF2B5EF4-FFF2-40B4-BE49-F238E27FC236}">
              <a16:creationId xmlns:a16="http://schemas.microsoft.com/office/drawing/2014/main" id="{B807BC06-81C3-F640-3B03-650DA6A2D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23" name="Picture 20">
          <a:extLst>
            <a:ext uri="{FF2B5EF4-FFF2-40B4-BE49-F238E27FC236}">
              <a16:creationId xmlns:a16="http://schemas.microsoft.com/office/drawing/2014/main" id="{7ED00A14-37C0-7A16-FEC8-B4BCDF7AB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24" name="Picture 22">
          <a:extLst>
            <a:ext uri="{FF2B5EF4-FFF2-40B4-BE49-F238E27FC236}">
              <a16:creationId xmlns:a16="http://schemas.microsoft.com/office/drawing/2014/main" id="{8B8E3D4A-FE2F-08E3-F287-D1F15164B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25" name="Picture 23">
          <a:extLst>
            <a:ext uri="{FF2B5EF4-FFF2-40B4-BE49-F238E27FC236}">
              <a16:creationId xmlns:a16="http://schemas.microsoft.com/office/drawing/2014/main" id="{4AB18499-696D-14F4-BC6F-CF942BB51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26" name="Picture 25">
          <a:extLst>
            <a:ext uri="{FF2B5EF4-FFF2-40B4-BE49-F238E27FC236}">
              <a16:creationId xmlns:a16="http://schemas.microsoft.com/office/drawing/2014/main" id="{9347C678-01BA-75AE-4382-6279358D4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27" name="Picture 26">
          <a:extLst>
            <a:ext uri="{FF2B5EF4-FFF2-40B4-BE49-F238E27FC236}">
              <a16:creationId xmlns:a16="http://schemas.microsoft.com/office/drawing/2014/main" id="{9C18F2A1-7854-E1A9-481C-5FC18B7C5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28" name="Picture 28">
          <a:extLst>
            <a:ext uri="{FF2B5EF4-FFF2-40B4-BE49-F238E27FC236}">
              <a16:creationId xmlns:a16="http://schemas.microsoft.com/office/drawing/2014/main" id="{D4DC1A24-592A-0E35-BE68-EBF2260B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29" name="Picture 29">
          <a:extLst>
            <a:ext uri="{FF2B5EF4-FFF2-40B4-BE49-F238E27FC236}">
              <a16:creationId xmlns:a16="http://schemas.microsoft.com/office/drawing/2014/main" id="{E7B670C7-C958-643F-3A04-1F0200D14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30" name="Picture 31">
          <a:extLst>
            <a:ext uri="{FF2B5EF4-FFF2-40B4-BE49-F238E27FC236}">
              <a16:creationId xmlns:a16="http://schemas.microsoft.com/office/drawing/2014/main" id="{1ED0F46E-739F-22B9-A9B8-4CA2316A3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31" name="Picture 32">
          <a:extLst>
            <a:ext uri="{FF2B5EF4-FFF2-40B4-BE49-F238E27FC236}">
              <a16:creationId xmlns:a16="http://schemas.microsoft.com/office/drawing/2014/main" id="{A95A128C-C93B-2AD2-79EE-080944977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32" name="Picture 34">
          <a:extLst>
            <a:ext uri="{FF2B5EF4-FFF2-40B4-BE49-F238E27FC236}">
              <a16:creationId xmlns:a16="http://schemas.microsoft.com/office/drawing/2014/main" id="{4B0712C4-26E8-5802-F1F8-74F6DD8F0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33" name="Picture 35">
          <a:extLst>
            <a:ext uri="{FF2B5EF4-FFF2-40B4-BE49-F238E27FC236}">
              <a16:creationId xmlns:a16="http://schemas.microsoft.com/office/drawing/2014/main" id="{4B4A27FA-9699-3607-02A4-F5E6D6412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34" name="Picture 37">
          <a:extLst>
            <a:ext uri="{FF2B5EF4-FFF2-40B4-BE49-F238E27FC236}">
              <a16:creationId xmlns:a16="http://schemas.microsoft.com/office/drawing/2014/main" id="{5F3C5F16-B7E1-E820-327C-BEDA5F874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35" name="Picture 38">
          <a:extLst>
            <a:ext uri="{FF2B5EF4-FFF2-40B4-BE49-F238E27FC236}">
              <a16:creationId xmlns:a16="http://schemas.microsoft.com/office/drawing/2014/main" id="{0AD6E9EF-DA3E-1BC6-772F-DAAB0A2E3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36" name="Picture 40">
          <a:extLst>
            <a:ext uri="{FF2B5EF4-FFF2-40B4-BE49-F238E27FC236}">
              <a16:creationId xmlns:a16="http://schemas.microsoft.com/office/drawing/2014/main" id="{609D457E-4635-7DAD-A0A5-DD77DD27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37" name="Picture 41">
          <a:extLst>
            <a:ext uri="{FF2B5EF4-FFF2-40B4-BE49-F238E27FC236}">
              <a16:creationId xmlns:a16="http://schemas.microsoft.com/office/drawing/2014/main" id="{E8CD1ADA-A48D-375F-F3B7-A3732A3EF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38" name="Picture 43">
          <a:extLst>
            <a:ext uri="{FF2B5EF4-FFF2-40B4-BE49-F238E27FC236}">
              <a16:creationId xmlns:a16="http://schemas.microsoft.com/office/drawing/2014/main" id="{10E051EE-9AFC-FFEF-6557-99DCA8519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39" name="Picture 44">
          <a:extLst>
            <a:ext uri="{FF2B5EF4-FFF2-40B4-BE49-F238E27FC236}">
              <a16:creationId xmlns:a16="http://schemas.microsoft.com/office/drawing/2014/main" id="{BD571DE0-BB98-6218-98C7-861C7A7FA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40" name="Picture 46">
          <a:extLst>
            <a:ext uri="{FF2B5EF4-FFF2-40B4-BE49-F238E27FC236}">
              <a16:creationId xmlns:a16="http://schemas.microsoft.com/office/drawing/2014/main" id="{4F89D772-E491-CC40-4D00-59CD5D3B3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41" name="Picture 47">
          <a:extLst>
            <a:ext uri="{FF2B5EF4-FFF2-40B4-BE49-F238E27FC236}">
              <a16:creationId xmlns:a16="http://schemas.microsoft.com/office/drawing/2014/main" id="{00297804-2D6D-641E-54B9-83C817D6F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42" name="Picture 49">
          <a:extLst>
            <a:ext uri="{FF2B5EF4-FFF2-40B4-BE49-F238E27FC236}">
              <a16:creationId xmlns:a16="http://schemas.microsoft.com/office/drawing/2014/main" id="{BCE019CB-2BB1-C8C4-92BD-140A91FB5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43" name="Picture 50">
          <a:extLst>
            <a:ext uri="{FF2B5EF4-FFF2-40B4-BE49-F238E27FC236}">
              <a16:creationId xmlns:a16="http://schemas.microsoft.com/office/drawing/2014/main" id="{17261AE4-F4EA-F0F3-841E-2F82F902F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44" name="Picture 52">
          <a:extLst>
            <a:ext uri="{FF2B5EF4-FFF2-40B4-BE49-F238E27FC236}">
              <a16:creationId xmlns:a16="http://schemas.microsoft.com/office/drawing/2014/main" id="{710B0472-890C-F49C-5604-FB9AD9A81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45" name="Picture 53">
          <a:extLst>
            <a:ext uri="{FF2B5EF4-FFF2-40B4-BE49-F238E27FC236}">
              <a16:creationId xmlns:a16="http://schemas.microsoft.com/office/drawing/2014/main" id="{7DD52E92-C4FA-057D-1B97-C50375ABF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46" name="Picture 1">
          <a:extLst>
            <a:ext uri="{FF2B5EF4-FFF2-40B4-BE49-F238E27FC236}">
              <a16:creationId xmlns:a16="http://schemas.microsoft.com/office/drawing/2014/main" id="{C73178A6-F883-190F-7E80-29BEEB749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47" name="Picture 2">
          <a:extLst>
            <a:ext uri="{FF2B5EF4-FFF2-40B4-BE49-F238E27FC236}">
              <a16:creationId xmlns:a16="http://schemas.microsoft.com/office/drawing/2014/main" id="{757E4514-88E3-22C4-4968-EA146DCD2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48" name="Picture 4">
          <a:extLst>
            <a:ext uri="{FF2B5EF4-FFF2-40B4-BE49-F238E27FC236}">
              <a16:creationId xmlns:a16="http://schemas.microsoft.com/office/drawing/2014/main" id="{FD4DFB3C-FE43-C8A9-74C2-F4618DF5B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49" name="Picture 5">
          <a:extLst>
            <a:ext uri="{FF2B5EF4-FFF2-40B4-BE49-F238E27FC236}">
              <a16:creationId xmlns:a16="http://schemas.microsoft.com/office/drawing/2014/main" id="{B0A2DFAC-5611-6A0E-78EC-9783FA30B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50" name="Picture 7">
          <a:extLst>
            <a:ext uri="{FF2B5EF4-FFF2-40B4-BE49-F238E27FC236}">
              <a16:creationId xmlns:a16="http://schemas.microsoft.com/office/drawing/2014/main" id="{1145F705-FCB9-29E4-29CB-8DC5FCE7E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51" name="Picture 8">
          <a:extLst>
            <a:ext uri="{FF2B5EF4-FFF2-40B4-BE49-F238E27FC236}">
              <a16:creationId xmlns:a16="http://schemas.microsoft.com/office/drawing/2014/main" id="{AF831D7F-1028-0448-0D37-C1D708ED9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52" name="Picture 10">
          <a:extLst>
            <a:ext uri="{FF2B5EF4-FFF2-40B4-BE49-F238E27FC236}">
              <a16:creationId xmlns:a16="http://schemas.microsoft.com/office/drawing/2014/main" id="{73D82863-087D-B7B3-40BB-CEEB62835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53" name="Picture 11">
          <a:extLst>
            <a:ext uri="{FF2B5EF4-FFF2-40B4-BE49-F238E27FC236}">
              <a16:creationId xmlns:a16="http://schemas.microsoft.com/office/drawing/2014/main" id="{F54B71DF-8CF8-0097-2AFF-D96ED00AA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54" name="Picture 13">
          <a:extLst>
            <a:ext uri="{FF2B5EF4-FFF2-40B4-BE49-F238E27FC236}">
              <a16:creationId xmlns:a16="http://schemas.microsoft.com/office/drawing/2014/main" id="{689B7DFD-2497-99AB-989D-6F208FBA7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55" name="Picture 14">
          <a:extLst>
            <a:ext uri="{FF2B5EF4-FFF2-40B4-BE49-F238E27FC236}">
              <a16:creationId xmlns:a16="http://schemas.microsoft.com/office/drawing/2014/main" id="{7B5DADCF-9914-612F-BBE9-FBE499D30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56" name="Picture 16">
          <a:extLst>
            <a:ext uri="{FF2B5EF4-FFF2-40B4-BE49-F238E27FC236}">
              <a16:creationId xmlns:a16="http://schemas.microsoft.com/office/drawing/2014/main" id="{8ECA602A-07C0-7FBA-8FAA-611EF03A7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57" name="Picture 17">
          <a:extLst>
            <a:ext uri="{FF2B5EF4-FFF2-40B4-BE49-F238E27FC236}">
              <a16:creationId xmlns:a16="http://schemas.microsoft.com/office/drawing/2014/main" id="{00E1408E-EDC2-242E-1158-F24545C43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58" name="Picture 19">
          <a:extLst>
            <a:ext uri="{FF2B5EF4-FFF2-40B4-BE49-F238E27FC236}">
              <a16:creationId xmlns:a16="http://schemas.microsoft.com/office/drawing/2014/main" id="{49AF7ED9-E0DE-D6AE-9F93-AC5636985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59" name="Picture 20">
          <a:extLst>
            <a:ext uri="{FF2B5EF4-FFF2-40B4-BE49-F238E27FC236}">
              <a16:creationId xmlns:a16="http://schemas.microsoft.com/office/drawing/2014/main" id="{64F3E4C5-65D6-04CA-8BCC-096C6CEE9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60" name="Picture 22">
          <a:extLst>
            <a:ext uri="{FF2B5EF4-FFF2-40B4-BE49-F238E27FC236}">
              <a16:creationId xmlns:a16="http://schemas.microsoft.com/office/drawing/2014/main" id="{720FEBC1-D487-A76F-B7A1-0E6E3A2BC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61" name="Picture 23">
          <a:extLst>
            <a:ext uri="{FF2B5EF4-FFF2-40B4-BE49-F238E27FC236}">
              <a16:creationId xmlns:a16="http://schemas.microsoft.com/office/drawing/2014/main" id="{70F8500E-D24E-1AF8-6E67-26CD5BE52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62" name="Picture 25">
          <a:extLst>
            <a:ext uri="{FF2B5EF4-FFF2-40B4-BE49-F238E27FC236}">
              <a16:creationId xmlns:a16="http://schemas.microsoft.com/office/drawing/2014/main" id="{19566283-483D-02D1-E4F7-BCCA89DF5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63" name="Picture 26">
          <a:extLst>
            <a:ext uri="{FF2B5EF4-FFF2-40B4-BE49-F238E27FC236}">
              <a16:creationId xmlns:a16="http://schemas.microsoft.com/office/drawing/2014/main" id="{4A4E39D7-86BA-D44E-FB34-CE95E6B86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64" name="Picture 28">
          <a:extLst>
            <a:ext uri="{FF2B5EF4-FFF2-40B4-BE49-F238E27FC236}">
              <a16:creationId xmlns:a16="http://schemas.microsoft.com/office/drawing/2014/main" id="{26A68511-F20C-0E7B-3D9E-42F57EE60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65" name="Picture 29">
          <a:extLst>
            <a:ext uri="{FF2B5EF4-FFF2-40B4-BE49-F238E27FC236}">
              <a16:creationId xmlns:a16="http://schemas.microsoft.com/office/drawing/2014/main" id="{7B8EB1FD-497B-E8FF-3224-01D80E6BF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66" name="Picture 31">
          <a:extLst>
            <a:ext uri="{FF2B5EF4-FFF2-40B4-BE49-F238E27FC236}">
              <a16:creationId xmlns:a16="http://schemas.microsoft.com/office/drawing/2014/main" id="{8C2DF8A3-1B06-9374-03B5-DAF0832F0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67" name="Picture 32">
          <a:extLst>
            <a:ext uri="{FF2B5EF4-FFF2-40B4-BE49-F238E27FC236}">
              <a16:creationId xmlns:a16="http://schemas.microsoft.com/office/drawing/2014/main" id="{BD2F2077-F5C5-CEAC-889C-D88A28463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68" name="Picture 34">
          <a:extLst>
            <a:ext uri="{FF2B5EF4-FFF2-40B4-BE49-F238E27FC236}">
              <a16:creationId xmlns:a16="http://schemas.microsoft.com/office/drawing/2014/main" id="{BCBEFF17-126F-20C9-81B5-B6B1D672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69" name="Picture 35">
          <a:extLst>
            <a:ext uri="{FF2B5EF4-FFF2-40B4-BE49-F238E27FC236}">
              <a16:creationId xmlns:a16="http://schemas.microsoft.com/office/drawing/2014/main" id="{74563137-02AE-17EB-FF9D-9C3B0B87D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70" name="Picture 37">
          <a:extLst>
            <a:ext uri="{FF2B5EF4-FFF2-40B4-BE49-F238E27FC236}">
              <a16:creationId xmlns:a16="http://schemas.microsoft.com/office/drawing/2014/main" id="{6E3D5FB4-ED8B-EED4-95F2-39B0E5CCE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71" name="Picture 38">
          <a:extLst>
            <a:ext uri="{FF2B5EF4-FFF2-40B4-BE49-F238E27FC236}">
              <a16:creationId xmlns:a16="http://schemas.microsoft.com/office/drawing/2014/main" id="{166940F3-7842-13E7-37EC-76F43EBF4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72" name="Picture 40">
          <a:extLst>
            <a:ext uri="{FF2B5EF4-FFF2-40B4-BE49-F238E27FC236}">
              <a16:creationId xmlns:a16="http://schemas.microsoft.com/office/drawing/2014/main" id="{F1E20365-084D-D508-E663-8E2D413F2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73" name="Picture 41">
          <a:extLst>
            <a:ext uri="{FF2B5EF4-FFF2-40B4-BE49-F238E27FC236}">
              <a16:creationId xmlns:a16="http://schemas.microsoft.com/office/drawing/2014/main" id="{7DEE64BA-C026-DEA0-7D69-C4D9B43B7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74" name="Picture 43">
          <a:extLst>
            <a:ext uri="{FF2B5EF4-FFF2-40B4-BE49-F238E27FC236}">
              <a16:creationId xmlns:a16="http://schemas.microsoft.com/office/drawing/2014/main" id="{F99141E3-F773-1F54-A85D-031CA9055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75" name="Picture 44">
          <a:extLst>
            <a:ext uri="{FF2B5EF4-FFF2-40B4-BE49-F238E27FC236}">
              <a16:creationId xmlns:a16="http://schemas.microsoft.com/office/drawing/2014/main" id="{1EF400D9-B8F5-8C47-6BCF-8141703BC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76" name="Picture 46">
          <a:extLst>
            <a:ext uri="{FF2B5EF4-FFF2-40B4-BE49-F238E27FC236}">
              <a16:creationId xmlns:a16="http://schemas.microsoft.com/office/drawing/2014/main" id="{B15DF42E-F9F7-BF8E-60B9-3ACA4708A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77" name="Picture 47">
          <a:extLst>
            <a:ext uri="{FF2B5EF4-FFF2-40B4-BE49-F238E27FC236}">
              <a16:creationId xmlns:a16="http://schemas.microsoft.com/office/drawing/2014/main" id="{3E750A61-6552-8708-64D8-B52EF2573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78" name="Picture 49">
          <a:extLst>
            <a:ext uri="{FF2B5EF4-FFF2-40B4-BE49-F238E27FC236}">
              <a16:creationId xmlns:a16="http://schemas.microsoft.com/office/drawing/2014/main" id="{14190186-F19D-5FA9-91E6-CC8C35B43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79" name="Picture 50">
          <a:extLst>
            <a:ext uri="{FF2B5EF4-FFF2-40B4-BE49-F238E27FC236}">
              <a16:creationId xmlns:a16="http://schemas.microsoft.com/office/drawing/2014/main" id="{851DFB65-B93F-1459-3C46-DB7F44E35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80" name="Picture 52">
          <a:extLst>
            <a:ext uri="{FF2B5EF4-FFF2-40B4-BE49-F238E27FC236}">
              <a16:creationId xmlns:a16="http://schemas.microsoft.com/office/drawing/2014/main" id="{5EB286AD-7F9A-B714-65C7-7E3434186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81" name="Picture 53">
          <a:extLst>
            <a:ext uri="{FF2B5EF4-FFF2-40B4-BE49-F238E27FC236}">
              <a16:creationId xmlns:a16="http://schemas.microsoft.com/office/drawing/2014/main" id="{827C74A2-8F4A-CD8A-56EA-042E5F98D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82" name="Picture 1">
          <a:extLst>
            <a:ext uri="{FF2B5EF4-FFF2-40B4-BE49-F238E27FC236}">
              <a16:creationId xmlns:a16="http://schemas.microsoft.com/office/drawing/2014/main" id="{026BF339-E01B-4A9C-E222-DD1AAEC69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83" name="Picture 2">
          <a:extLst>
            <a:ext uri="{FF2B5EF4-FFF2-40B4-BE49-F238E27FC236}">
              <a16:creationId xmlns:a16="http://schemas.microsoft.com/office/drawing/2014/main" id="{2377503E-C337-1D88-00B3-14E98987D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84" name="Picture 4">
          <a:extLst>
            <a:ext uri="{FF2B5EF4-FFF2-40B4-BE49-F238E27FC236}">
              <a16:creationId xmlns:a16="http://schemas.microsoft.com/office/drawing/2014/main" id="{B3AEA7C6-3400-FAAA-43CE-D9DA3B9EE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85" name="Picture 5">
          <a:extLst>
            <a:ext uri="{FF2B5EF4-FFF2-40B4-BE49-F238E27FC236}">
              <a16:creationId xmlns:a16="http://schemas.microsoft.com/office/drawing/2014/main" id="{C3A671D8-7F28-1E29-9915-2C9DE4FE5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86" name="Picture 7">
          <a:extLst>
            <a:ext uri="{FF2B5EF4-FFF2-40B4-BE49-F238E27FC236}">
              <a16:creationId xmlns:a16="http://schemas.microsoft.com/office/drawing/2014/main" id="{7227F7C2-10ED-398C-3C0E-528F962D6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87" name="Picture 8">
          <a:extLst>
            <a:ext uri="{FF2B5EF4-FFF2-40B4-BE49-F238E27FC236}">
              <a16:creationId xmlns:a16="http://schemas.microsoft.com/office/drawing/2014/main" id="{9D567A24-79CB-99F7-0D3C-8B9AA9352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88" name="Picture 10">
          <a:extLst>
            <a:ext uri="{FF2B5EF4-FFF2-40B4-BE49-F238E27FC236}">
              <a16:creationId xmlns:a16="http://schemas.microsoft.com/office/drawing/2014/main" id="{A10909AC-AAD5-67E0-47D3-2E45B9A6E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89" name="Picture 11">
          <a:extLst>
            <a:ext uri="{FF2B5EF4-FFF2-40B4-BE49-F238E27FC236}">
              <a16:creationId xmlns:a16="http://schemas.microsoft.com/office/drawing/2014/main" id="{AA11F436-5F77-F53B-11DD-936D8A2CC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90" name="Picture 13">
          <a:extLst>
            <a:ext uri="{FF2B5EF4-FFF2-40B4-BE49-F238E27FC236}">
              <a16:creationId xmlns:a16="http://schemas.microsoft.com/office/drawing/2014/main" id="{29D803AF-4220-EDE8-1560-2BF8CE941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91" name="Picture 14">
          <a:extLst>
            <a:ext uri="{FF2B5EF4-FFF2-40B4-BE49-F238E27FC236}">
              <a16:creationId xmlns:a16="http://schemas.microsoft.com/office/drawing/2014/main" id="{BEC5A18E-F61B-627D-488D-DFD53C378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92" name="Picture 16">
          <a:extLst>
            <a:ext uri="{FF2B5EF4-FFF2-40B4-BE49-F238E27FC236}">
              <a16:creationId xmlns:a16="http://schemas.microsoft.com/office/drawing/2014/main" id="{DDDEEDE0-116C-CA5B-EF18-1D08F8339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93" name="Picture 17">
          <a:extLst>
            <a:ext uri="{FF2B5EF4-FFF2-40B4-BE49-F238E27FC236}">
              <a16:creationId xmlns:a16="http://schemas.microsoft.com/office/drawing/2014/main" id="{69A4A544-E1EE-E920-831E-FE4B1EFFE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94" name="Picture 19">
          <a:extLst>
            <a:ext uri="{FF2B5EF4-FFF2-40B4-BE49-F238E27FC236}">
              <a16:creationId xmlns:a16="http://schemas.microsoft.com/office/drawing/2014/main" id="{66B26FB7-A0A1-B984-2C78-73490CAF9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95" name="Picture 20">
          <a:extLst>
            <a:ext uri="{FF2B5EF4-FFF2-40B4-BE49-F238E27FC236}">
              <a16:creationId xmlns:a16="http://schemas.microsoft.com/office/drawing/2014/main" id="{0DC303A5-5CF8-513C-5ACA-40BB05292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96" name="Picture 22">
          <a:extLst>
            <a:ext uri="{FF2B5EF4-FFF2-40B4-BE49-F238E27FC236}">
              <a16:creationId xmlns:a16="http://schemas.microsoft.com/office/drawing/2014/main" id="{68D0F4FF-7E04-51BF-86A7-8E0F6B695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97" name="Picture 23">
          <a:extLst>
            <a:ext uri="{FF2B5EF4-FFF2-40B4-BE49-F238E27FC236}">
              <a16:creationId xmlns:a16="http://schemas.microsoft.com/office/drawing/2014/main" id="{D8E2B231-742D-147E-C26C-194A8B1B9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98" name="Picture 25">
          <a:extLst>
            <a:ext uri="{FF2B5EF4-FFF2-40B4-BE49-F238E27FC236}">
              <a16:creationId xmlns:a16="http://schemas.microsoft.com/office/drawing/2014/main" id="{47F91E04-E29F-7089-B221-CED891A1D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399" name="Picture 26">
          <a:extLst>
            <a:ext uri="{FF2B5EF4-FFF2-40B4-BE49-F238E27FC236}">
              <a16:creationId xmlns:a16="http://schemas.microsoft.com/office/drawing/2014/main" id="{46C986CF-EADD-0BAA-8BA2-DDCB3AC47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00" name="Picture 28">
          <a:extLst>
            <a:ext uri="{FF2B5EF4-FFF2-40B4-BE49-F238E27FC236}">
              <a16:creationId xmlns:a16="http://schemas.microsoft.com/office/drawing/2014/main" id="{9D234701-E056-56D8-8467-250FF26FE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01" name="Picture 29">
          <a:extLst>
            <a:ext uri="{FF2B5EF4-FFF2-40B4-BE49-F238E27FC236}">
              <a16:creationId xmlns:a16="http://schemas.microsoft.com/office/drawing/2014/main" id="{A52BC230-A2D3-7308-9F94-413C639E0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02" name="Picture 31">
          <a:extLst>
            <a:ext uri="{FF2B5EF4-FFF2-40B4-BE49-F238E27FC236}">
              <a16:creationId xmlns:a16="http://schemas.microsoft.com/office/drawing/2014/main" id="{30C673E2-3B55-921B-16DB-630F641B7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03" name="Picture 32">
          <a:extLst>
            <a:ext uri="{FF2B5EF4-FFF2-40B4-BE49-F238E27FC236}">
              <a16:creationId xmlns:a16="http://schemas.microsoft.com/office/drawing/2014/main" id="{FA248C88-F84F-7581-A5E0-843742499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04" name="Picture 34">
          <a:extLst>
            <a:ext uri="{FF2B5EF4-FFF2-40B4-BE49-F238E27FC236}">
              <a16:creationId xmlns:a16="http://schemas.microsoft.com/office/drawing/2014/main" id="{8EA2B428-90B2-2FDD-6378-8E7C12060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05" name="Picture 35">
          <a:extLst>
            <a:ext uri="{FF2B5EF4-FFF2-40B4-BE49-F238E27FC236}">
              <a16:creationId xmlns:a16="http://schemas.microsoft.com/office/drawing/2014/main" id="{7D0C9457-3D92-57BC-EC49-83B780043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06" name="Picture 37">
          <a:extLst>
            <a:ext uri="{FF2B5EF4-FFF2-40B4-BE49-F238E27FC236}">
              <a16:creationId xmlns:a16="http://schemas.microsoft.com/office/drawing/2014/main" id="{38DFDABA-BF28-EDA3-8BB4-14774900B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07" name="Picture 38">
          <a:extLst>
            <a:ext uri="{FF2B5EF4-FFF2-40B4-BE49-F238E27FC236}">
              <a16:creationId xmlns:a16="http://schemas.microsoft.com/office/drawing/2014/main" id="{CE7CF4D9-F764-8BD2-2E10-AB2EC0B9E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08" name="Picture 40">
          <a:extLst>
            <a:ext uri="{FF2B5EF4-FFF2-40B4-BE49-F238E27FC236}">
              <a16:creationId xmlns:a16="http://schemas.microsoft.com/office/drawing/2014/main" id="{72EC0D13-29D3-32ED-99C0-97A35F1A0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09" name="Picture 41">
          <a:extLst>
            <a:ext uri="{FF2B5EF4-FFF2-40B4-BE49-F238E27FC236}">
              <a16:creationId xmlns:a16="http://schemas.microsoft.com/office/drawing/2014/main" id="{48ED147B-E4FA-4FFE-2D18-323F413A4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10" name="Picture 43">
          <a:extLst>
            <a:ext uri="{FF2B5EF4-FFF2-40B4-BE49-F238E27FC236}">
              <a16:creationId xmlns:a16="http://schemas.microsoft.com/office/drawing/2014/main" id="{42ACB272-CC1F-0045-BE8C-9A53EAC08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11" name="Picture 44">
          <a:extLst>
            <a:ext uri="{FF2B5EF4-FFF2-40B4-BE49-F238E27FC236}">
              <a16:creationId xmlns:a16="http://schemas.microsoft.com/office/drawing/2014/main" id="{5989BF8D-D16E-8ECC-B4F0-3795177EC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12" name="Picture 46">
          <a:extLst>
            <a:ext uri="{FF2B5EF4-FFF2-40B4-BE49-F238E27FC236}">
              <a16:creationId xmlns:a16="http://schemas.microsoft.com/office/drawing/2014/main" id="{6AF1298E-6544-815B-9E09-CFF06EFF1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13" name="Picture 47">
          <a:extLst>
            <a:ext uri="{FF2B5EF4-FFF2-40B4-BE49-F238E27FC236}">
              <a16:creationId xmlns:a16="http://schemas.microsoft.com/office/drawing/2014/main" id="{B9BCDC35-FC1D-455D-BF6D-E996284B2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14" name="Picture 49">
          <a:extLst>
            <a:ext uri="{FF2B5EF4-FFF2-40B4-BE49-F238E27FC236}">
              <a16:creationId xmlns:a16="http://schemas.microsoft.com/office/drawing/2014/main" id="{C32D777D-892F-409A-D58E-E0D255102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15" name="Picture 50">
          <a:extLst>
            <a:ext uri="{FF2B5EF4-FFF2-40B4-BE49-F238E27FC236}">
              <a16:creationId xmlns:a16="http://schemas.microsoft.com/office/drawing/2014/main" id="{52689D2B-B081-F993-8938-5341E81AB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16" name="Picture 52">
          <a:extLst>
            <a:ext uri="{FF2B5EF4-FFF2-40B4-BE49-F238E27FC236}">
              <a16:creationId xmlns:a16="http://schemas.microsoft.com/office/drawing/2014/main" id="{F5C8D5F3-4EE7-857F-AFE5-85A4B6489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107950</xdr:colOff>
      <xdr:row>0</xdr:row>
      <xdr:rowOff>0</xdr:rowOff>
    </xdr:from>
    <xdr:to>
      <xdr:col>0</xdr:col>
      <xdr:colOff>628650</xdr:colOff>
      <xdr:row>0</xdr:row>
      <xdr:rowOff>0</xdr:rowOff>
    </xdr:to>
    <xdr:pic>
      <xdr:nvPicPr>
        <xdr:cNvPr id="263417" name="Picture 53">
          <a:extLst>
            <a:ext uri="{FF2B5EF4-FFF2-40B4-BE49-F238E27FC236}">
              <a16:creationId xmlns:a16="http://schemas.microsoft.com/office/drawing/2014/main" id="{D1E0D52D-703F-4632-D5A7-F6DF8D019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57428</xdr:colOff>
      <xdr:row>0</xdr:row>
      <xdr:rowOff>192834</xdr:rowOff>
    </xdr:from>
    <xdr:to>
      <xdr:col>1</xdr:col>
      <xdr:colOff>857250</xdr:colOff>
      <xdr:row>3</xdr:row>
      <xdr:rowOff>202406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E704E9D-5925-43EE-89FB-99CFC768B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28" y="192834"/>
          <a:ext cx="1799947" cy="8311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212.5</v>
          </cell>
          <cell r="J116">
            <v>854318</v>
          </cell>
          <cell r="K116">
            <v>25000</v>
          </cell>
          <cell r="L116">
            <v>8.5000000000000006E-3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31.375</v>
          </cell>
          <cell r="J117">
            <v>538675.61450000003</v>
          </cell>
          <cell r="K117">
            <v>2500</v>
          </cell>
          <cell r="L117">
            <v>1.255E-2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7.75</v>
          </cell>
          <cell r="J118">
            <v>151710.125</v>
          </cell>
          <cell r="K118">
            <v>2500</v>
          </cell>
          <cell r="L118">
            <v>3.0999999999999999E-3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2.9</v>
          </cell>
          <cell r="J120">
            <v>33116.695</v>
          </cell>
          <cell r="K120">
            <v>2500</v>
          </cell>
          <cell r="L120">
            <v>1.16E-3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L164" t="e">
            <v>#DIV/0!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L184" t="e">
            <v>#DIV/0!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L220" t="e">
            <v>#DIV/0!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L241" t="e">
            <v>#DIV/0!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L261" t="e">
            <v>#DIV/0!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 t="e">
            <v>#DIV/0!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L364" t="e">
            <v>#DIV/0!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L366" t="e">
            <v>#DIV/0!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L375" t="e">
            <v>#N/A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L380" t="e">
            <v>#N/A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L401" t="e">
            <v>#N/A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L407" t="e">
            <v>#DIV/0!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L411" t="e">
            <v>#DIV/0!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L412" t="e">
            <v>#N/A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L417" t="e">
            <v>#N/A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L423" t="e">
            <v>#N/A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L425" t="e">
            <v>#DIV/0!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L428" t="e">
            <v>#DIV/0!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L435" t="e">
            <v>#DIV/0!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L448" t="e">
            <v>#DIV/0!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L460" t="e">
            <v>#DIV/0!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L461" t="e">
            <v>#DIV/0!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L463" t="e">
            <v>#DIV/0!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L464" t="e">
            <v>#N/A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L511" t="e">
            <v>#DIV/0!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L518" t="e">
            <v>#N/A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L560" t="e">
            <v>#DIV/0!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L594" t="e">
            <v>#DIV/0!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L595" t="e">
            <v>#N/A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L601" t="e">
            <v>#N/A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L602" t="e">
            <v>#N/A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L603" t="e">
            <v>#DIV/0!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L605" t="e">
            <v>#DIV/0!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L606" t="e">
            <v>#DIV/0!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L607" t="e">
            <v>#N/A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E620" t="str">
            <v>EMPAQUES PLANTA</v>
          </cell>
          <cell r="F620" t="str">
            <v>1 CAJA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L631" t="e">
            <v>#DIV/0!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L679" t="e">
            <v>#N/A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L700" t="e">
            <v>#DIV/0!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L711" t="e">
            <v>#DIV/0!</v>
          </cell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L714" t="e">
            <v>#N/A</v>
          </cell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L717" t="e">
            <v>#N/A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L719" t="e">
            <v>#N/A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L720" t="e">
            <v>#N/A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L760" t="e">
            <v>#DIV/0!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L764" t="e">
            <v>#N/A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L765" t="e">
            <v>#N/A</v>
          </cell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L766" t="e">
            <v>#N/A</v>
          </cell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L768" t="e">
            <v>#N/A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L769" t="e">
            <v>#N/A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L770" t="e">
            <v>#DIV/0!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L771" t="e">
            <v>#DIV/0!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L772" t="e">
            <v>#DIV/0!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Gramos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L782" t="e">
            <v>#DIV/0!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E788" t="str">
            <v>ASEO</v>
          </cell>
          <cell r="F788" t="str">
            <v>1 CAJA</v>
          </cell>
          <cell r="G788">
            <v>500</v>
          </cell>
          <cell r="I788">
            <v>4295</v>
          </cell>
          <cell r="K788">
            <v>100</v>
          </cell>
          <cell r="L788">
            <v>42.95</v>
          </cell>
          <cell r="M788" t="str">
            <v>Und</v>
          </cell>
        </row>
        <row r="789">
          <cell r="A789" t="str">
            <v>10415</v>
          </cell>
          <cell r="C789" t="str">
            <v>AGUA PLANTA</v>
          </cell>
          <cell r="E789" t="str">
            <v>MATERIAS PRIMAS PLANTA</v>
          </cell>
          <cell r="F789" t="str">
            <v>LITRO</v>
          </cell>
          <cell r="I789">
            <v>100</v>
          </cell>
          <cell r="K789">
            <v>1000</v>
          </cell>
          <cell r="L789">
            <v>0.1</v>
          </cell>
          <cell r="M789" t="str">
            <v>Mililitros</v>
          </cell>
        </row>
        <row r="790">
          <cell r="A790" t="str">
            <v>10416</v>
          </cell>
          <cell r="C790" t="str">
            <v>MANO OBRA</v>
          </cell>
          <cell r="E790" t="str">
            <v>MANO OBRA</v>
          </cell>
          <cell r="F790" t="str">
            <v>Minuto</v>
          </cell>
          <cell r="I790">
            <v>56</v>
          </cell>
          <cell r="K790">
            <v>1</v>
          </cell>
          <cell r="L790">
            <v>56</v>
          </cell>
          <cell r="M790" t="str">
            <v>Minutos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E791" t="str">
            <v>EMPAQUES PLANTA</v>
          </cell>
          <cell r="F791" t="str">
            <v>UND</v>
          </cell>
          <cell r="I791">
            <v>8990</v>
          </cell>
          <cell r="K791">
            <v>14000</v>
          </cell>
          <cell r="L791">
            <v>0.64214285714285713</v>
          </cell>
          <cell r="M791" t="str">
            <v>Centimetros</v>
          </cell>
        </row>
        <row r="792">
          <cell r="A792" t="str">
            <v>18406411</v>
          </cell>
          <cell r="C792" t="str">
            <v>CLORO 5% MFS (UND:GL)</v>
          </cell>
          <cell r="E792" t="str">
            <v>MATERIAS PRIMAS PLANTA</v>
          </cell>
          <cell r="I792" t="e">
            <v>#N/A</v>
          </cell>
          <cell r="K792">
            <v>3785</v>
          </cell>
          <cell r="L792" t="e">
            <v>#N/A</v>
          </cell>
          <cell r="M792" t="str">
            <v>Mililitros</v>
          </cell>
        </row>
        <row r="793">
          <cell r="A793" t="str">
            <v>1010339</v>
          </cell>
          <cell r="C793" t="str">
            <v xml:space="preserve">TRIPLE SEC </v>
          </cell>
          <cell r="E793" t="str">
            <v>MATERIAS PRIMAS PLANTA</v>
          </cell>
          <cell r="F793" t="str">
            <v>UND</v>
          </cell>
          <cell r="I793">
            <v>5600</v>
          </cell>
          <cell r="K793">
            <v>750</v>
          </cell>
          <cell r="L793">
            <v>7.4666666666666668</v>
          </cell>
          <cell r="M793" t="str">
            <v>Mililitros</v>
          </cell>
        </row>
        <row r="794">
          <cell r="A794" t="str">
            <v>10100285</v>
          </cell>
          <cell r="C794" t="str">
            <v>MERMELADA DE NARANJA SMUCKER (UND:361 G)</v>
          </cell>
          <cell r="E794" t="str">
            <v>MATERIAS PRIMAS PLANTA</v>
          </cell>
          <cell r="F794" t="str">
            <v>UND</v>
          </cell>
          <cell r="G794">
            <v>500</v>
          </cell>
          <cell r="I794">
            <v>2323</v>
          </cell>
          <cell r="K794">
            <v>361</v>
          </cell>
          <cell r="L794">
            <v>6.4349030470914128</v>
          </cell>
          <cell r="M794" t="str">
            <v>Gramos</v>
          </cell>
        </row>
        <row r="795">
          <cell r="A795" t="str">
            <v>512316</v>
          </cell>
          <cell r="C795" t="str">
            <v>CAFÉ INSTANTANEO (PAQ: 500 G)</v>
          </cell>
          <cell r="E795" t="str">
            <v>MATERIAS PRIMAS PLANTA</v>
          </cell>
          <cell r="F795" t="str">
            <v>PAQUETE</v>
          </cell>
          <cell r="I795">
            <v>8555</v>
          </cell>
          <cell r="K795">
            <v>500</v>
          </cell>
          <cell r="L795">
            <v>17.11</v>
          </cell>
          <cell r="M795" t="str">
            <v>Gramos</v>
          </cell>
        </row>
      </sheetData>
      <sheetData sheetId="1"/>
      <sheetData sheetId="2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691.92587364348947</v>
          </cell>
          <cell r="H22">
            <v>691.92587364348947</v>
          </cell>
          <cell r="I22">
            <v>12.859545896989289</v>
          </cell>
          <cell r="J22">
            <v>12.859545896989289</v>
          </cell>
          <cell r="K22">
            <v>126.86137551728618</v>
          </cell>
          <cell r="L22">
            <v>126.86137551728618</v>
          </cell>
          <cell r="M22">
            <v>831.64679505776496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1592.3250680738313</v>
          </cell>
          <cell r="H30">
            <v>1.5923250680738312</v>
          </cell>
          <cell r="I30">
            <v>7.4431822897142874</v>
          </cell>
          <cell r="J30">
            <v>7.4431822897142877E-3</v>
          </cell>
          <cell r="K30">
            <v>287.95828506543819</v>
          </cell>
          <cell r="L30">
            <v>0.28795828506543819</v>
          </cell>
          <cell r="M30">
            <v>1887.7265354289839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1592.3250680738313</v>
          </cell>
          <cell r="H32">
            <v>1.5923250680738312</v>
          </cell>
          <cell r="I32">
            <v>13.833182289714285</v>
          </cell>
          <cell r="J32">
            <v>1.3833182289714285E-2</v>
          </cell>
          <cell r="K32">
            <v>289.10848506543823</v>
          </cell>
          <cell r="L32">
            <v>0.28910848506543824</v>
          </cell>
          <cell r="M32">
            <v>1895.2667354289838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2863.9670389399498</v>
          </cell>
          <cell r="H33">
            <v>2.8639670389399496</v>
          </cell>
          <cell r="I33">
            <v>2.9821618449499545</v>
          </cell>
          <cell r="J33">
            <v>2.9821618449499547E-3</v>
          </cell>
          <cell r="K33">
            <v>516.050856141282</v>
          </cell>
          <cell r="L33">
            <v>0.51605085614128199</v>
          </cell>
          <cell r="M33">
            <v>3383.000056926182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1704.4453783636359</v>
          </cell>
          <cell r="H38">
            <v>1.704445378363636</v>
          </cell>
          <cell r="I38">
            <v>0</v>
          </cell>
          <cell r="J38">
            <v>0</v>
          </cell>
          <cell r="K38">
            <v>306.80016810545447</v>
          </cell>
          <cell r="L38">
            <v>0.30680016810545446</v>
          </cell>
          <cell r="M38">
            <v>2011.2455464690904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1796.7696766666666</v>
          </cell>
          <cell r="H39">
            <v>1.7967696766666665</v>
          </cell>
          <cell r="I39">
            <v>2.5266999999999999</v>
          </cell>
          <cell r="J39">
            <v>2.5266999999999998E-3</v>
          </cell>
          <cell r="K39">
            <v>323.87334779999998</v>
          </cell>
          <cell r="L39">
            <v>0.32387334779999999</v>
          </cell>
          <cell r="M39">
            <v>2123.1697244666666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1117.4242277551789</v>
          </cell>
          <cell r="H46">
            <v>1.1174242277551789</v>
          </cell>
          <cell r="I46">
            <v>0</v>
          </cell>
          <cell r="J46">
            <v>0</v>
          </cell>
          <cell r="K46">
            <v>201.13636099593219</v>
          </cell>
          <cell r="L46">
            <v>0.20113636099593218</v>
          </cell>
          <cell r="M46">
            <v>1318.560588751111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0</v>
          </cell>
          <cell r="J47">
            <v>0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1775.535966142515</v>
          </cell>
          <cell r="H50">
            <v>1.775535966142515</v>
          </cell>
          <cell r="I50">
            <v>0</v>
          </cell>
          <cell r="J50">
            <v>0</v>
          </cell>
          <cell r="K50">
            <v>319.59647390565272</v>
          </cell>
          <cell r="L50">
            <v>0.31959647390565271</v>
          </cell>
          <cell r="M50">
            <v>2095.1324400481676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843.81152078101411</v>
          </cell>
          <cell r="H51">
            <v>843.81152078101411</v>
          </cell>
          <cell r="I51">
            <v>0.1903076391304348</v>
          </cell>
          <cell r="J51">
            <v>0.1903076391304348</v>
          </cell>
          <cell r="K51">
            <v>151.920329115626</v>
          </cell>
          <cell r="L51">
            <v>151.920329115626</v>
          </cell>
          <cell r="M51">
            <v>995.92215753577057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1165.6204702531015</v>
          </cell>
          <cell r="H54">
            <v>1165.6204702531015</v>
          </cell>
          <cell r="I54">
            <v>5.033799369984469</v>
          </cell>
          <cell r="J54">
            <v>5.033799369984469</v>
          </cell>
          <cell r="K54">
            <v>210.71776853215547</v>
          </cell>
          <cell r="L54">
            <v>210.71776853215547</v>
          </cell>
          <cell r="M54">
            <v>1381.3720381552416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7.8250000000000002</v>
          </cell>
          <cell r="H55">
            <v>7.8250000000000004E-3</v>
          </cell>
          <cell r="I55">
            <v>36.582167664670656</v>
          </cell>
          <cell r="J55">
            <v>3.6582167664670658E-2</v>
          </cell>
          <cell r="K55">
            <v>7.9932901796407183</v>
          </cell>
          <cell r="L55">
            <v>7.9932901796407191E-3</v>
          </cell>
          <cell r="M55">
            <v>52.400457844311376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1524.8770477866603</v>
          </cell>
          <cell r="H58">
            <v>1.5248770477866604</v>
          </cell>
          <cell r="I58">
            <v>0.11130476977080322</v>
          </cell>
          <cell r="J58">
            <v>1.1130476977080323E-4</v>
          </cell>
          <cell r="K58">
            <v>274.4979034601576</v>
          </cell>
          <cell r="L58">
            <v>0.27449790346015762</v>
          </cell>
          <cell r="M58">
            <v>1799.4862560165889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594.31702215033408</v>
          </cell>
          <cell r="H59">
            <v>594.31702215033408</v>
          </cell>
          <cell r="I59">
            <v>0.28924104485204349</v>
          </cell>
          <cell r="J59">
            <v>0.28924104485204349</v>
          </cell>
          <cell r="K59">
            <v>107.0291273751335</v>
          </cell>
          <cell r="L59">
            <v>107.0291273751335</v>
          </cell>
          <cell r="M59">
            <v>701.6353905703196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343.03251701537437</v>
          </cell>
          <cell r="H63">
            <v>343.03251701537437</v>
          </cell>
          <cell r="I63">
            <v>2.8205168851981419</v>
          </cell>
          <cell r="J63">
            <v>2.8205168851981419</v>
          </cell>
          <cell r="K63">
            <v>62.253546102103044</v>
          </cell>
          <cell r="L63">
            <v>62.253546102103044</v>
          </cell>
          <cell r="M63">
            <v>408.10658000267551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1327.7561799621078</v>
          </cell>
          <cell r="H85">
            <v>1.3277561799621078</v>
          </cell>
          <cell r="I85">
            <v>17.484740253981336</v>
          </cell>
          <cell r="J85">
            <v>1.7484740253981335E-2</v>
          </cell>
          <cell r="K85">
            <v>242.14336563889603</v>
          </cell>
          <cell r="L85">
            <v>0.24214336563889602</v>
          </cell>
          <cell r="M85">
            <v>1587.3842858549851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365.01847575057747</v>
          </cell>
          <cell r="H157">
            <v>0.36501847575057744</v>
          </cell>
          <cell r="I157">
            <v>12.579106805434751</v>
          </cell>
          <cell r="J157">
            <v>1.2579106805434752E-2</v>
          </cell>
          <cell r="K157">
            <v>67.967564860082206</v>
          </cell>
          <cell r="L157">
            <v>6.7967564860082208E-2</v>
          </cell>
          <cell r="M157">
            <v>445.56514741609442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759.18299276377229</v>
          </cell>
          <cell r="H158">
            <v>0.75918299276377232</v>
          </cell>
          <cell r="I158">
            <v>14.451714285714285</v>
          </cell>
          <cell r="J158">
            <v>1.4451714285714285E-2</v>
          </cell>
          <cell r="K158">
            <v>139.25424726890756</v>
          </cell>
          <cell r="L158">
            <v>0.13925424726890756</v>
          </cell>
          <cell r="M158">
            <v>912.8889543183941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1582.6969972922504</v>
          </cell>
          <cell r="H159">
            <v>1582.6969972922504</v>
          </cell>
          <cell r="I159">
            <v>58.686285714285717</v>
          </cell>
          <cell r="J159">
            <v>58.686285714285717</v>
          </cell>
          <cell r="K159">
            <v>295.44899094117653</v>
          </cell>
          <cell r="L159">
            <v>295.44899094117653</v>
          </cell>
          <cell r="M159">
            <v>1936.8322739477128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823.51400452847815</v>
          </cell>
          <cell r="H189">
            <v>823.51400452847815</v>
          </cell>
          <cell r="I189">
            <v>57.337428571428568</v>
          </cell>
          <cell r="J189">
            <v>57.337428571428568</v>
          </cell>
          <cell r="K189">
            <v>158.55325795798319</v>
          </cell>
          <cell r="L189">
            <v>158.55325795798319</v>
          </cell>
          <cell r="M189">
            <v>1039.40469105789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4139.563618972923</v>
          </cell>
          <cell r="H190">
            <v>4139.563618972923</v>
          </cell>
          <cell r="I190">
            <v>57.337428571428568</v>
          </cell>
          <cell r="J190">
            <v>57.337428571428568</v>
          </cell>
          <cell r="K190">
            <v>755.44218855798329</v>
          </cell>
          <cell r="L190">
            <v>755.44218855798329</v>
          </cell>
          <cell r="M190">
            <v>4952.3432361023351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933.84688730661048</v>
          </cell>
          <cell r="H215">
            <v>0.93384688730661047</v>
          </cell>
          <cell r="I215">
            <v>5.2667269439421336</v>
          </cell>
          <cell r="J215">
            <v>5.2667269439421339E-3</v>
          </cell>
          <cell r="K215">
            <v>169.04045056509946</v>
          </cell>
          <cell r="L215">
            <v>0.16904045056509948</v>
          </cell>
          <cell r="M215">
            <v>1108.154064815652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925.7080165217393</v>
          </cell>
          <cell r="H216">
            <v>0.92570801652173929</v>
          </cell>
          <cell r="I216">
            <v>5.2099378881987581</v>
          </cell>
          <cell r="J216">
            <v>5.209937888198758E-3</v>
          </cell>
          <cell r="K216">
            <v>167.56523179378885</v>
          </cell>
          <cell r="L216">
            <v>0.16756523179378885</v>
          </cell>
          <cell r="M216">
            <v>1098.483186203727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14.324758825155282</v>
          </cell>
          <cell r="H217">
            <v>14.324758825155282</v>
          </cell>
          <cell r="I217">
            <v>8.0009760425909501E-2</v>
          </cell>
          <cell r="J217">
            <v>8.0009760425909501E-2</v>
          </cell>
          <cell r="K217">
            <v>2.5928583454046144</v>
          </cell>
          <cell r="L217">
            <v>2.5928583454046144</v>
          </cell>
          <cell r="M217">
            <v>16.997626930985806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2222.1345345999998</v>
          </cell>
          <cell r="H234">
            <v>2.2221345345999999</v>
          </cell>
          <cell r="I234">
            <v>38.743625000000002</v>
          </cell>
          <cell r="J234">
            <v>3.8743625000000004E-2</v>
          </cell>
          <cell r="K234">
            <v>406.95806872799994</v>
          </cell>
          <cell r="L234">
            <v>0.40695806872799994</v>
          </cell>
          <cell r="M234">
            <v>2667.8362283279998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7.8250000000000002</v>
          </cell>
          <cell r="H241">
            <v>7.8250000000000004E-3</v>
          </cell>
          <cell r="I241">
            <v>62.538922155688617</v>
          </cell>
          <cell r="J241">
            <v>6.2538922155688612E-2</v>
          </cell>
          <cell r="K241">
            <v>12.66550598802395</v>
          </cell>
          <cell r="L241">
            <v>1.266550598802395E-2</v>
          </cell>
          <cell r="M241">
            <v>83.029428143712565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999.45525621758384</v>
          </cell>
          <cell r="H242">
            <v>0.9994552562175838</v>
          </cell>
          <cell r="I242">
            <v>0.18021968965295213</v>
          </cell>
          <cell r="J242">
            <v>1.8021968965295211E-4</v>
          </cell>
          <cell r="K242">
            <v>179.93438566330261</v>
          </cell>
          <cell r="L242">
            <v>0.17993438566330261</v>
          </cell>
          <cell r="M242">
            <v>1179.5698615705394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358.03679908622723</v>
          </cell>
          <cell r="H243">
            <v>358.03679908622723</v>
          </cell>
          <cell r="I243">
            <v>4.0402951302202048</v>
          </cell>
          <cell r="J243">
            <v>4.0402951302202048</v>
          </cell>
          <cell r="K243">
            <v>65.173876958960534</v>
          </cell>
          <cell r="L243">
            <v>65.173876958960534</v>
          </cell>
          <cell r="M243">
            <v>427.25097117540798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1151.2463848039217</v>
          </cell>
          <cell r="H247">
            <v>1.1512463848039218</v>
          </cell>
          <cell r="I247">
            <v>6.3061377245508989</v>
          </cell>
          <cell r="J247">
            <v>6.3061377245508992E-3</v>
          </cell>
          <cell r="K247">
            <v>208.35945405512504</v>
          </cell>
          <cell r="L247">
            <v>0.20835945405512504</v>
          </cell>
          <cell r="M247">
            <v>1365.9119765835976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465.28805282625916</v>
          </cell>
          <cell r="H249">
            <v>465.28805282625916</v>
          </cell>
          <cell r="I249">
            <v>5.0211537743488694</v>
          </cell>
          <cell r="J249">
            <v>5.0211537743488694</v>
          </cell>
          <cell r="K249">
            <v>84.655657188109444</v>
          </cell>
          <cell r="L249">
            <v>84.655657188109444</v>
          </cell>
          <cell r="M249">
            <v>554.96486378871748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2422.650843697761</v>
          </cell>
          <cell r="H253">
            <v>2.422650843697761</v>
          </cell>
          <cell r="I253">
            <v>2.3980769230769225E-3</v>
          </cell>
          <cell r="J253">
            <v>2.3980769230769227E-6</v>
          </cell>
          <cell r="K253">
            <v>436.07758351944307</v>
          </cell>
          <cell r="L253">
            <v>0.43607758351944309</v>
          </cell>
          <cell r="M253">
            <v>2858.730825294127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7.8250000000000002</v>
          </cell>
          <cell r="H269">
            <v>7.8250000000000004E-3</v>
          </cell>
          <cell r="I269">
            <v>79.08323353293413</v>
          </cell>
          <cell r="J269">
            <v>7.908323353293413E-2</v>
          </cell>
          <cell r="K269">
            <v>15.643482035928143</v>
          </cell>
          <cell r="L269">
            <v>1.5643482035928143E-2</v>
          </cell>
          <cell r="M269">
            <v>102.55171556886228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1117.8879267027862</v>
          </cell>
          <cell r="H270">
            <v>1.1178879267027861</v>
          </cell>
          <cell r="I270">
            <v>0.22060059880239519</v>
          </cell>
          <cell r="J270">
            <v>2.206005988023952E-4</v>
          </cell>
          <cell r="K270">
            <v>201.25953491428592</v>
          </cell>
          <cell r="L270">
            <v>0.20125953491428591</v>
          </cell>
          <cell r="M270">
            <v>1319.3680622158745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465.28805282625916</v>
          </cell>
          <cell r="H271">
            <v>465.28805282625916</v>
          </cell>
          <cell r="I271">
            <v>5.0211537743488694</v>
          </cell>
          <cell r="J271">
            <v>5.0211537743488694</v>
          </cell>
          <cell r="K271">
            <v>84.655657188109444</v>
          </cell>
          <cell r="L271">
            <v>84.655657188109444</v>
          </cell>
          <cell r="M271">
            <v>554.96486378871748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417.81974211429815</v>
          </cell>
          <cell r="H273">
            <v>417.81974211429815</v>
          </cell>
          <cell r="I273">
            <v>5.031816807120733</v>
          </cell>
          <cell r="J273">
            <v>5.031816807120733</v>
          </cell>
          <cell r="K273">
            <v>76.113280605855394</v>
          </cell>
          <cell r="L273">
            <v>76.113280605855394</v>
          </cell>
          <cell r="M273">
            <v>498.96483952727425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678.61926502538324</v>
          </cell>
          <cell r="H276">
            <v>678.61926502538324</v>
          </cell>
          <cell r="I276">
            <v>27.840802689219387</v>
          </cell>
          <cell r="J276">
            <v>27.840802689219387</v>
          </cell>
          <cell r="K276">
            <v>127.16281218862846</v>
          </cell>
          <cell r="L276">
            <v>127.16281218862846</v>
          </cell>
          <cell r="M276">
            <v>833.62287990323102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7.8250000000000002</v>
          </cell>
          <cell r="H278">
            <v>7.8250000000000004E-3</v>
          </cell>
          <cell r="I278">
            <v>36.582167664670656</v>
          </cell>
          <cell r="J278">
            <v>3.6582167664670658E-2</v>
          </cell>
          <cell r="K278">
            <v>7.9932901796407183</v>
          </cell>
          <cell r="L278">
            <v>7.9932901796407191E-3</v>
          </cell>
          <cell r="M278">
            <v>52.400457844311376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1524.8770477866603</v>
          </cell>
          <cell r="H279">
            <v>1.5248770477866604</v>
          </cell>
          <cell r="I279">
            <v>0.11130476977080322</v>
          </cell>
          <cell r="J279">
            <v>1.1130476977080323E-4</v>
          </cell>
          <cell r="K279">
            <v>274.4979034601576</v>
          </cell>
          <cell r="L279">
            <v>0.27449790346015762</v>
          </cell>
          <cell r="M279">
            <v>1799.4862560165889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594.31702215033408</v>
          </cell>
          <cell r="H280">
            <v>594.31702215033408</v>
          </cell>
          <cell r="I280">
            <v>4.9705349976953173</v>
          </cell>
          <cell r="J280">
            <v>4.9705349976953173</v>
          </cell>
          <cell r="K280">
            <v>107.87176028664528</v>
          </cell>
          <cell r="L280">
            <v>107.87176028664528</v>
          </cell>
          <cell r="M280">
            <v>707.15931743467468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749.58537155648878</v>
          </cell>
          <cell r="H286">
            <v>749.58537155648878</v>
          </cell>
          <cell r="I286">
            <v>13.93209514404295</v>
          </cell>
          <cell r="J286">
            <v>13.93209514404295</v>
          </cell>
          <cell r="K286">
            <v>137.43314400609572</v>
          </cell>
          <cell r="L286">
            <v>137.43314400609572</v>
          </cell>
          <cell r="M286">
            <v>900.95061070662746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1884.7508369673906</v>
          </cell>
          <cell r="H295">
            <v>1884.7508369673906</v>
          </cell>
          <cell r="I295">
            <v>13.821448779897347</v>
          </cell>
          <cell r="J295">
            <v>13.821448779897347</v>
          </cell>
          <cell r="K295">
            <v>341.7430114345118</v>
          </cell>
          <cell r="L295">
            <v>341.7430114345118</v>
          </cell>
          <cell r="M295">
            <v>2240.3152971817999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1480.4822099935559</v>
          </cell>
          <cell r="H317">
            <v>1.480482209993556</v>
          </cell>
          <cell r="I317">
            <v>8.8886066612174144</v>
          </cell>
          <cell r="J317">
            <v>8.8886066612174144E-3</v>
          </cell>
          <cell r="K317">
            <v>268.08674699785917</v>
          </cell>
          <cell r="L317">
            <v>0.26808674699785917</v>
          </cell>
          <cell r="M317">
            <v>1757.4575636526324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2048.6088801505834</v>
          </cell>
          <cell r="H318">
            <v>2048.6088801505834</v>
          </cell>
          <cell r="I318">
            <v>27.45985484613222</v>
          </cell>
          <cell r="J318">
            <v>27.45985484613222</v>
          </cell>
          <cell r="K318">
            <v>373.69237229940882</v>
          </cell>
          <cell r="L318">
            <v>373.69237229940882</v>
          </cell>
          <cell r="M318">
            <v>2449.7611072961245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90.048681871248903</v>
          </cell>
          <cell r="H319">
            <v>90.048681871248903</v>
          </cell>
          <cell r="I319">
            <v>7.391531301034294</v>
          </cell>
          <cell r="J319">
            <v>7.391531301034294</v>
          </cell>
          <cell r="K319">
            <v>17.539238371010974</v>
          </cell>
          <cell r="L319">
            <v>17.539238371010974</v>
          </cell>
          <cell r="M319">
            <v>114.97945154329418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1491.4711388547039</v>
          </cell>
          <cell r="H320">
            <v>1491.4711388547039</v>
          </cell>
          <cell r="I320">
            <v>16.166730011238602</v>
          </cell>
          <cell r="J320">
            <v>16.166730011238602</v>
          </cell>
          <cell r="K320">
            <v>271.37481639586963</v>
          </cell>
          <cell r="L320">
            <v>271.37481639586963</v>
          </cell>
          <cell r="M320">
            <v>1779.0126852618121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2059.276014985609</v>
          </cell>
          <cell r="H328">
            <v>2059.276014985609</v>
          </cell>
          <cell r="I328">
            <v>0.24534570904573341</v>
          </cell>
          <cell r="J328">
            <v>0.24534570904573341</v>
          </cell>
          <cell r="K328">
            <v>370.71384492503779</v>
          </cell>
          <cell r="L328">
            <v>370.71384492503779</v>
          </cell>
          <cell r="M328">
            <v>2430.2352056196924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2223.0524896004658</v>
          </cell>
          <cell r="H329">
            <v>2.223052489600466</v>
          </cell>
          <cell r="I329">
            <v>15.039097569340143</v>
          </cell>
          <cell r="J329">
            <v>1.5039097569340142E-2</v>
          </cell>
          <cell r="K329">
            <v>402.85648569056508</v>
          </cell>
          <cell r="L329">
            <v>0.40285648569056509</v>
          </cell>
          <cell r="M329">
            <v>2640.9480728603712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1442.6753961162353</v>
          </cell>
          <cell r="H334">
            <v>1442.6753961162353</v>
          </cell>
          <cell r="I334">
            <v>15.508077391264223</v>
          </cell>
          <cell r="J334">
            <v>15.508077391264223</v>
          </cell>
          <cell r="K334">
            <v>262.47302523134988</v>
          </cell>
          <cell r="L334">
            <v>262.47302523134988</v>
          </cell>
          <cell r="M334">
            <v>1720.6564987388492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MP LOCALES"/>
      <sheetName val="ARTICULOS MP PLANTA"/>
      <sheetName val="EMPAQUE PLANTA"/>
      <sheetName val="EMP LOCALES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1210393</v>
          </cell>
          <cell r="B210">
            <v>5526</v>
          </cell>
          <cell r="C210" t="str">
            <v>MARGARINA MULTIUSO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1">
        <row r="2">
          <cell r="A2" t="str">
            <v>1212410</v>
          </cell>
        </row>
      </sheetData>
      <sheetData sheetId="2">
        <row r="2">
          <cell r="A2" t="str">
            <v>906000102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  <sheetData sheetId="7">
        <row r="2">
          <cell r="A2" t="str">
            <v>0512334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02E9-B0E9-41D6-AC5F-DDCFA437CC67}">
  <sheetPr codeName="Hoja1">
    <pageSetUpPr fitToPage="1"/>
  </sheetPr>
  <dimension ref="A1:M40"/>
  <sheetViews>
    <sheetView tabSelected="1" zoomScale="80" zoomScaleNormal="80" zoomScaleSheetLayoutView="85" workbookViewId="0">
      <selection activeCell="C1" sqref="C1:G1"/>
    </sheetView>
  </sheetViews>
  <sheetFormatPr baseColWidth="10" defaultColWidth="9.140625" defaultRowHeight="12.75" x14ac:dyDescent="0.2"/>
  <cols>
    <col min="1" max="1" width="15" style="1" bestFit="1" customWidth="1"/>
    <col min="2" max="2" width="14.28515625" style="1" bestFit="1" customWidth="1"/>
    <col min="3" max="3" width="56.5703125" style="1" customWidth="1"/>
    <col min="4" max="4" width="20.85546875" style="1" bestFit="1" customWidth="1"/>
    <col min="5" max="5" width="15.42578125" style="1" customWidth="1"/>
    <col min="6" max="6" width="13.85546875" style="1" customWidth="1"/>
    <col min="7" max="7" width="23.42578125" style="1" customWidth="1"/>
    <col min="8" max="8" width="17.42578125" style="1" customWidth="1"/>
    <col min="9" max="9" width="18.140625" style="1" bestFit="1" customWidth="1"/>
    <col min="10" max="16384" width="9.140625" style="1"/>
  </cols>
  <sheetData>
    <row r="1" spans="1:9" ht="19.5" customHeight="1" x14ac:dyDescent="0.25">
      <c r="A1" s="189"/>
      <c r="B1" s="190"/>
      <c r="C1" s="197" t="s">
        <v>35</v>
      </c>
      <c r="D1" s="198"/>
      <c r="E1" s="198"/>
      <c r="F1" s="198"/>
      <c r="G1" s="198"/>
      <c r="H1" s="11" t="s">
        <v>34</v>
      </c>
      <c r="I1" s="10" t="s">
        <v>112</v>
      </c>
    </row>
    <row r="2" spans="1:9" ht="19.5" customHeight="1" x14ac:dyDescent="0.25">
      <c r="A2" s="191"/>
      <c r="B2" s="192"/>
      <c r="C2" s="199" t="s">
        <v>0</v>
      </c>
      <c r="D2" s="200"/>
      <c r="E2" s="200"/>
      <c r="F2" s="200"/>
      <c r="G2" s="200"/>
      <c r="H2" s="9" t="s">
        <v>33</v>
      </c>
      <c r="I2" s="8" t="s">
        <v>111</v>
      </c>
    </row>
    <row r="3" spans="1:9" ht="25.5" customHeight="1" x14ac:dyDescent="0.2">
      <c r="A3" s="191"/>
      <c r="B3" s="192"/>
      <c r="C3" s="201" t="s">
        <v>107</v>
      </c>
      <c r="D3" s="202"/>
      <c r="E3" s="202"/>
      <c r="F3" s="202"/>
      <c r="G3" s="202"/>
      <c r="H3" s="163" t="s">
        <v>32</v>
      </c>
      <c r="I3" s="175">
        <v>45945</v>
      </c>
    </row>
    <row r="4" spans="1:9" ht="19.5" customHeight="1" x14ac:dyDescent="0.2">
      <c r="A4" s="191"/>
      <c r="B4" s="192"/>
      <c r="C4" s="12" t="s">
        <v>31</v>
      </c>
      <c r="D4" s="177" t="s">
        <v>36</v>
      </c>
      <c r="E4" s="177"/>
      <c r="F4" s="177"/>
      <c r="G4" s="177"/>
      <c r="H4" s="163"/>
      <c r="I4" s="175"/>
    </row>
    <row r="5" spans="1:9" ht="19.5" customHeight="1" thickBot="1" x14ac:dyDescent="0.25">
      <c r="A5" s="193"/>
      <c r="B5" s="194"/>
      <c r="C5" s="13" t="s">
        <v>30</v>
      </c>
      <c r="D5" s="167" t="s">
        <v>103</v>
      </c>
      <c r="E5" s="167"/>
      <c r="F5" s="167"/>
      <c r="G5" s="167"/>
      <c r="H5" s="164"/>
      <c r="I5" s="176"/>
    </row>
    <row r="6" spans="1:9" ht="18" customHeight="1" thickBot="1" x14ac:dyDescent="0.25">
      <c r="A6" s="203" t="s">
        <v>29</v>
      </c>
      <c r="B6" s="204"/>
      <c r="C6" s="204"/>
      <c r="D6" s="205" t="s">
        <v>46</v>
      </c>
      <c r="E6" s="205"/>
      <c r="F6" s="205"/>
      <c r="G6" s="187" t="s">
        <v>28</v>
      </c>
      <c r="H6" s="187"/>
      <c r="I6" s="149" t="s">
        <v>46</v>
      </c>
    </row>
    <row r="7" spans="1:9" ht="28.5" customHeight="1" x14ac:dyDescent="0.2">
      <c r="A7" s="184" t="s">
        <v>1</v>
      </c>
      <c r="B7" s="195" t="s">
        <v>109</v>
      </c>
      <c r="C7" s="162" t="s">
        <v>2</v>
      </c>
      <c r="D7" s="162" t="s">
        <v>3</v>
      </c>
      <c r="E7" s="162" t="s">
        <v>4</v>
      </c>
      <c r="F7" s="162"/>
      <c r="G7" s="162" t="s">
        <v>27</v>
      </c>
      <c r="H7" s="162"/>
      <c r="I7" s="7" t="s">
        <v>5</v>
      </c>
    </row>
    <row r="8" spans="1:9" ht="16.5" customHeight="1" thickBot="1" x14ac:dyDescent="0.25">
      <c r="A8" s="185"/>
      <c r="B8" s="196"/>
      <c r="C8" s="186"/>
      <c r="D8" s="186"/>
      <c r="E8" s="6" t="s">
        <v>6</v>
      </c>
      <c r="F8" s="5" t="s">
        <v>7</v>
      </c>
      <c r="G8" s="6" t="s">
        <v>6</v>
      </c>
      <c r="H8" s="5" t="s">
        <v>7</v>
      </c>
      <c r="I8" s="4" t="s">
        <v>8</v>
      </c>
    </row>
    <row r="9" spans="1:9" ht="20.25" x14ac:dyDescent="0.3">
      <c r="A9" s="111">
        <v>10900020</v>
      </c>
      <c r="B9" s="112" t="s">
        <v>108</v>
      </c>
      <c r="C9" s="113" t="s">
        <v>40</v>
      </c>
      <c r="D9" s="114" t="s">
        <v>110</v>
      </c>
      <c r="E9" s="115">
        <v>2400</v>
      </c>
      <c r="F9" s="116" t="s">
        <v>14</v>
      </c>
      <c r="G9" s="117"/>
      <c r="H9" s="114"/>
      <c r="I9" s="118"/>
    </row>
    <row r="10" spans="1:9" ht="20.25" x14ac:dyDescent="0.3">
      <c r="A10" s="111">
        <v>10415</v>
      </c>
      <c r="B10" s="112"/>
      <c r="C10" s="113" t="s">
        <v>42</v>
      </c>
      <c r="D10" s="114" t="s">
        <v>43</v>
      </c>
      <c r="E10" s="115">
        <v>2000</v>
      </c>
      <c r="F10" s="116" t="s">
        <v>14</v>
      </c>
      <c r="G10" s="182" t="s">
        <v>44</v>
      </c>
      <c r="H10" s="183"/>
      <c r="I10" s="119"/>
    </row>
    <row r="11" spans="1:9" ht="20.25" x14ac:dyDescent="0.3">
      <c r="A11" s="120" t="s">
        <v>41</v>
      </c>
      <c r="B11" s="112"/>
      <c r="C11" s="113" t="s">
        <v>42</v>
      </c>
      <c r="D11" s="114" t="s">
        <v>43</v>
      </c>
      <c r="E11" s="115">
        <v>1000</v>
      </c>
      <c r="F11" s="116" t="s">
        <v>14</v>
      </c>
      <c r="G11" s="182" t="s">
        <v>45</v>
      </c>
      <c r="H11" s="183"/>
      <c r="I11" s="118"/>
    </row>
    <row r="12" spans="1:9" ht="18" customHeight="1" x14ac:dyDescent="0.3">
      <c r="A12" s="120"/>
      <c r="B12" s="112"/>
      <c r="C12" s="113"/>
      <c r="D12" s="114"/>
      <c r="E12" s="115"/>
      <c r="F12" s="116"/>
      <c r="G12" s="121"/>
      <c r="H12" s="121"/>
      <c r="I12" s="118"/>
    </row>
    <row r="13" spans="1:9" ht="18" customHeight="1" x14ac:dyDescent="0.3">
      <c r="A13" s="120"/>
      <c r="B13" s="112"/>
      <c r="C13" s="113"/>
      <c r="D13" s="114"/>
      <c r="E13" s="115"/>
      <c r="F13" s="116"/>
      <c r="G13" s="115"/>
      <c r="H13" s="114"/>
      <c r="I13" s="118"/>
    </row>
    <row r="14" spans="1:9" ht="20.25" x14ac:dyDescent="0.3">
      <c r="A14" s="111">
        <v>1950708</v>
      </c>
      <c r="B14" s="112" t="s">
        <v>104</v>
      </c>
      <c r="C14" s="113" t="s">
        <v>13</v>
      </c>
      <c r="D14" s="114" t="s">
        <v>49</v>
      </c>
      <c r="E14" s="115">
        <v>2</v>
      </c>
      <c r="F14" s="116" t="s">
        <v>38</v>
      </c>
      <c r="G14" s="115"/>
      <c r="H14" s="114"/>
      <c r="I14" s="118"/>
    </row>
    <row r="15" spans="1:9" ht="20.25" x14ac:dyDescent="0.3">
      <c r="A15" s="111">
        <v>702007</v>
      </c>
      <c r="B15" s="112" t="s">
        <v>105</v>
      </c>
      <c r="C15" s="113" t="s">
        <v>25</v>
      </c>
      <c r="D15" s="114" t="s">
        <v>50</v>
      </c>
      <c r="E15" s="115">
        <v>1</v>
      </c>
      <c r="F15" s="116" t="s">
        <v>38</v>
      </c>
      <c r="G15" s="115"/>
      <c r="H15" s="114"/>
      <c r="I15" s="118"/>
    </row>
    <row r="16" spans="1:9" ht="20.25" x14ac:dyDescent="0.3">
      <c r="A16" s="122">
        <v>702123</v>
      </c>
      <c r="B16" s="112" t="s">
        <v>106</v>
      </c>
      <c r="C16" s="123" t="s">
        <v>48</v>
      </c>
      <c r="D16" s="114" t="s">
        <v>50</v>
      </c>
      <c r="E16" s="115">
        <v>1</v>
      </c>
      <c r="F16" s="116" t="s">
        <v>38</v>
      </c>
      <c r="G16" s="115"/>
      <c r="H16" s="114"/>
      <c r="I16" s="118"/>
    </row>
    <row r="17" spans="1:13" ht="18" customHeight="1" x14ac:dyDescent="0.3">
      <c r="A17" s="124"/>
      <c r="B17" s="125"/>
      <c r="C17" s="126"/>
      <c r="D17" s="123"/>
      <c r="E17" s="116"/>
      <c r="F17" s="116"/>
      <c r="G17" s="116"/>
      <c r="H17" s="116"/>
      <c r="I17" s="127"/>
    </row>
    <row r="18" spans="1:13" ht="18" customHeight="1" thickBot="1" x14ac:dyDescent="0.35">
      <c r="A18" s="128"/>
      <c r="B18" s="129"/>
      <c r="C18" s="130"/>
      <c r="D18" s="130"/>
      <c r="E18" s="131"/>
      <c r="F18" s="132"/>
      <c r="G18" s="130"/>
      <c r="H18" s="130"/>
      <c r="I18" s="133"/>
      <c r="L18" s="2"/>
    </row>
    <row r="19" spans="1:13" ht="18" customHeight="1" thickBot="1" x14ac:dyDescent="0.35">
      <c r="A19" s="134"/>
      <c r="B19" s="135"/>
      <c r="C19" s="136"/>
      <c r="D19" s="137" t="s">
        <v>6</v>
      </c>
      <c r="E19" s="138" t="s">
        <v>24</v>
      </c>
      <c r="F19" s="139"/>
      <c r="G19" s="136"/>
      <c r="H19" s="136"/>
      <c r="I19" s="140"/>
      <c r="L19" s="2"/>
    </row>
    <row r="20" spans="1:13" ht="20.25" x14ac:dyDescent="0.3">
      <c r="A20" s="178" t="s">
        <v>10</v>
      </c>
      <c r="B20" s="179"/>
      <c r="C20" s="180"/>
      <c r="D20" s="141">
        <v>3318</v>
      </c>
      <c r="E20" s="142" t="s">
        <v>14</v>
      </c>
      <c r="F20" s="181" t="s">
        <v>23</v>
      </c>
      <c r="G20" s="181"/>
      <c r="H20" s="165"/>
      <c r="I20" s="166"/>
      <c r="L20" s="2"/>
    </row>
    <row r="21" spans="1:13" ht="20.25" x14ac:dyDescent="0.3">
      <c r="A21" s="157" t="s">
        <v>9</v>
      </c>
      <c r="B21" s="158"/>
      <c r="C21" s="159"/>
      <c r="D21" s="143">
        <v>5</v>
      </c>
      <c r="E21" s="144" t="s">
        <v>22</v>
      </c>
      <c r="F21" s="160" t="s">
        <v>21</v>
      </c>
      <c r="G21" s="160"/>
      <c r="H21" s="208"/>
      <c r="I21" s="209"/>
      <c r="L21" s="2"/>
    </row>
    <row r="22" spans="1:13" ht="20.25" customHeight="1" x14ac:dyDescent="0.3">
      <c r="A22" s="157" t="s">
        <v>20</v>
      </c>
      <c r="B22" s="158"/>
      <c r="C22" s="159"/>
      <c r="D22" s="145">
        <v>1</v>
      </c>
      <c r="E22" s="144" t="s">
        <v>19</v>
      </c>
      <c r="F22" s="160" t="s">
        <v>18</v>
      </c>
      <c r="G22" s="160"/>
      <c r="H22" s="208"/>
      <c r="I22" s="209"/>
      <c r="L22" s="2"/>
    </row>
    <row r="23" spans="1:13" ht="20.25" customHeight="1" x14ac:dyDescent="0.3">
      <c r="A23" s="157" t="s">
        <v>17</v>
      </c>
      <c r="B23" s="158"/>
      <c r="C23" s="159"/>
      <c r="D23" s="146">
        <f>D20</f>
        <v>3318</v>
      </c>
      <c r="E23" s="144" t="s">
        <v>14</v>
      </c>
      <c r="F23" s="160" t="s">
        <v>16</v>
      </c>
      <c r="G23" s="160"/>
      <c r="H23" s="208"/>
      <c r="I23" s="209"/>
      <c r="L23" s="2"/>
      <c r="M23" s="3"/>
    </row>
    <row r="24" spans="1:13" ht="17.25" customHeight="1" thickBot="1" x14ac:dyDescent="0.35">
      <c r="A24" s="173" t="s">
        <v>12</v>
      </c>
      <c r="B24" s="174"/>
      <c r="C24" s="161"/>
      <c r="D24" s="147">
        <f>SUM(E9:E12)-D23</f>
        <v>2082</v>
      </c>
      <c r="E24" s="148" t="s">
        <v>14</v>
      </c>
      <c r="F24" s="161"/>
      <c r="G24" s="161"/>
      <c r="H24" s="168"/>
      <c r="I24" s="169"/>
      <c r="L24" s="2"/>
    </row>
    <row r="25" spans="1:13" ht="21" thickBot="1" x14ac:dyDescent="0.35">
      <c r="A25" s="170" t="s">
        <v>15</v>
      </c>
      <c r="B25" s="171"/>
      <c r="C25" s="171"/>
      <c r="D25" s="171"/>
      <c r="E25" s="171"/>
      <c r="F25" s="171"/>
      <c r="G25" s="171"/>
      <c r="H25" s="171"/>
      <c r="I25" s="172"/>
    </row>
    <row r="26" spans="1:13" ht="43.5" customHeight="1" x14ac:dyDescent="0.3">
      <c r="A26" s="156" t="s">
        <v>113</v>
      </c>
      <c r="B26" s="151"/>
      <c r="C26" s="151"/>
      <c r="D26" s="151"/>
      <c r="E26" s="151"/>
      <c r="F26" s="151"/>
      <c r="G26" s="151"/>
      <c r="H26" s="151"/>
      <c r="I26" s="152"/>
    </row>
    <row r="27" spans="1:13" ht="22.35" customHeight="1" x14ac:dyDescent="0.3">
      <c r="A27" s="150" t="s">
        <v>51</v>
      </c>
      <c r="B27" s="151"/>
      <c r="C27" s="151"/>
      <c r="D27" s="151"/>
      <c r="E27" s="151"/>
      <c r="F27" s="151"/>
      <c r="G27" s="151"/>
      <c r="H27" s="151"/>
      <c r="I27" s="152"/>
    </row>
    <row r="28" spans="1:13" ht="21.6" customHeight="1" x14ac:dyDescent="0.3">
      <c r="A28" s="150" t="s">
        <v>52</v>
      </c>
      <c r="B28" s="151"/>
      <c r="C28" s="151"/>
      <c r="D28" s="151"/>
      <c r="E28" s="151"/>
      <c r="F28" s="151"/>
      <c r="G28" s="151"/>
      <c r="H28" s="151"/>
      <c r="I28" s="152"/>
    </row>
    <row r="29" spans="1:13" ht="21.6" customHeight="1" thickBot="1" x14ac:dyDescent="0.35">
      <c r="A29" s="153"/>
      <c r="B29" s="154"/>
      <c r="C29" s="154"/>
      <c r="D29" s="154"/>
      <c r="E29" s="154"/>
      <c r="F29" s="154"/>
      <c r="G29" s="154"/>
      <c r="H29" s="154"/>
      <c r="I29" s="155"/>
    </row>
    <row r="30" spans="1:13" ht="20.25" x14ac:dyDescent="0.2">
      <c r="A30" s="206" t="s">
        <v>37</v>
      </c>
      <c r="B30" s="207"/>
      <c r="C30" s="207"/>
      <c r="D30" s="207"/>
      <c r="E30" s="207"/>
      <c r="F30" s="207"/>
      <c r="G30" s="207"/>
      <c r="H30" s="207"/>
      <c r="I30" s="207"/>
    </row>
    <row r="31" spans="1:13" ht="20.100000000000001" customHeight="1" x14ac:dyDescent="0.2">
      <c r="A31" s="188"/>
      <c r="B31" s="188"/>
      <c r="C31" s="188"/>
      <c r="D31" s="188"/>
      <c r="E31" s="188"/>
      <c r="F31" s="188"/>
      <c r="G31" s="188"/>
      <c r="H31" s="188"/>
      <c r="I31" s="188"/>
    </row>
    <row r="32" spans="1:13" ht="20.100000000000001" customHeight="1" x14ac:dyDescent="0.2">
      <c r="A32" s="188"/>
      <c r="B32" s="188"/>
      <c r="C32" s="188"/>
      <c r="D32" s="188"/>
      <c r="E32" s="188"/>
      <c r="F32" s="188"/>
      <c r="G32" s="188"/>
      <c r="H32" s="188"/>
      <c r="I32" s="188"/>
    </row>
    <row r="33" spans="1:9" ht="20.100000000000001" customHeight="1" x14ac:dyDescent="0.2">
      <c r="A33" s="188"/>
      <c r="B33" s="188"/>
      <c r="C33" s="188"/>
      <c r="D33" s="188"/>
      <c r="E33" s="188"/>
      <c r="F33" s="188"/>
      <c r="G33" s="188"/>
      <c r="H33" s="188"/>
      <c r="I33" s="188"/>
    </row>
    <row r="34" spans="1:9" ht="20.100000000000001" customHeight="1" x14ac:dyDescent="0.2"/>
    <row r="35" spans="1:9" ht="20.100000000000001" customHeight="1" x14ac:dyDescent="0.2"/>
    <row r="36" spans="1:9" ht="20.100000000000001" customHeight="1" x14ac:dyDescent="0.2"/>
    <row r="37" spans="1:9" ht="20.100000000000001" customHeight="1" x14ac:dyDescent="0.2"/>
    <row r="38" spans="1:9" ht="20.100000000000001" customHeight="1" x14ac:dyDescent="0.2"/>
    <row r="39" spans="1:9" ht="20.100000000000001" customHeight="1" x14ac:dyDescent="0.2"/>
    <row r="40" spans="1:9" ht="20.100000000000001" customHeight="1" x14ac:dyDescent="0.2"/>
  </sheetData>
  <mergeCells count="43">
    <mergeCell ref="A32:I32"/>
    <mergeCell ref="A33:I33"/>
    <mergeCell ref="A1:B5"/>
    <mergeCell ref="B7:B8"/>
    <mergeCell ref="F21:G21"/>
    <mergeCell ref="C1:G1"/>
    <mergeCell ref="C2:G2"/>
    <mergeCell ref="C3:G3"/>
    <mergeCell ref="A6:C6"/>
    <mergeCell ref="D6:F6"/>
    <mergeCell ref="A31:I31"/>
    <mergeCell ref="A30:I30"/>
    <mergeCell ref="H21:I21"/>
    <mergeCell ref="H22:I22"/>
    <mergeCell ref="H23:I23"/>
    <mergeCell ref="A22:C22"/>
    <mergeCell ref="G11:H11"/>
    <mergeCell ref="A7:A8"/>
    <mergeCell ref="C7:C8"/>
    <mergeCell ref="G6:H6"/>
    <mergeCell ref="D7:D8"/>
    <mergeCell ref="G7:H7"/>
    <mergeCell ref="H3:H5"/>
    <mergeCell ref="H20:I20"/>
    <mergeCell ref="D5:G5"/>
    <mergeCell ref="A27:I27"/>
    <mergeCell ref="F22:G22"/>
    <mergeCell ref="H24:I24"/>
    <mergeCell ref="A25:I25"/>
    <mergeCell ref="A24:C24"/>
    <mergeCell ref="I3:I5"/>
    <mergeCell ref="A21:C21"/>
    <mergeCell ref="D4:G4"/>
    <mergeCell ref="E7:F7"/>
    <mergeCell ref="A20:C20"/>
    <mergeCell ref="F20:G20"/>
    <mergeCell ref="G10:H10"/>
    <mergeCell ref="A28:I28"/>
    <mergeCell ref="A29:I29"/>
    <mergeCell ref="A26:I26"/>
    <mergeCell ref="A23:C23"/>
    <mergeCell ref="F23:G23"/>
    <mergeCell ref="F24:G24"/>
  </mergeCells>
  <phoneticPr fontId="2" type="noConversion"/>
  <printOptions horizontalCentered="1"/>
  <pageMargins left="0.7" right="0.7" top="0.75" bottom="0.75" header="0.3" footer="0.3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A8F-4F80-4D05-AE88-CDDCACDB3947}">
  <dimension ref="A1:Q91"/>
  <sheetViews>
    <sheetView topLeftCell="A63" workbookViewId="0">
      <selection activeCell="E74" sqref="E74"/>
    </sheetView>
  </sheetViews>
  <sheetFormatPr baseColWidth="10" defaultColWidth="8.42578125" defaultRowHeight="12.75" x14ac:dyDescent="0.2"/>
  <cols>
    <col min="1" max="1" width="10" style="19" bestFit="1" customWidth="1"/>
    <col min="2" max="2" width="44.42578125" style="19" bestFit="1" customWidth="1"/>
    <col min="3" max="3" width="10.42578125" style="19" bestFit="1" customWidth="1"/>
    <col min="4" max="4" width="10.42578125" style="19" customWidth="1"/>
    <col min="5" max="6" width="9.5703125" style="19" bestFit="1" customWidth="1"/>
    <col min="7" max="7" width="9.5703125" style="101" bestFit="1" customWidth="1"/>
    <col min="8" max="8" width="10.42578125" style="92" bestFit="1" customWidth="1"/>
    <col min="9" max="9" width="4.5703125" style="92" customWidth="1"/>
    <col min="10" max="10" width="1.85546875" style="18" customWidth="1"/>
    <col min="11" max="11" width="7" style="19" bestFit="1" customWidth="1"/>
    <col min="12" max="12" width="6.42578125" style="19" customWidth="1"/>
    <col min="13" max="13" width="20.42578125" style="19" customWidth="1"/>
    <col min="14" max="14" width="6.42578125" style="19" bestFit="1" customWidth="1"/>
    <col min="15" max="16" width="8.42578125" style="19"/>
    <col min="17" max="17" width="3.42578125" style="19" customWidth="1"/>
    <col min="18" max="16384" width="8.42578125" style="19"/>
  </cols>
  <sheetData>
    <row r="1" spans="1:10" ht="27.75" customHeight="1" x14ac:dyDescent="0.2">
      <c r="A1" s="14"/>
      <c r="B1" s="14"/>
      <c r="C1" s="14"/>
      <c r="D1" s="14"/>
      <c r="E1" s="15" t="s">
        <v>53</v>
      </c>
      <c r="F1" s="16" t="s">
        <v>54</v>
      </c>
      <c r="G1" s="16" t="s">
        <v>55</v>
      </c>
      <c r="H1" s="16" t="s">
        <v>56</v>
      </c>
      <c r="I1" s="17"/>
    </row>
    <row r="2" spans="1:10" ht="30.75" customHeight="1" x14ac:dyDescent="0.2">
      <c r="A2" s="14"/>
      <c r="B2" s="14"/>
      <c r="C2" s="14"/>
      <c r="D2" s="14"/>
      <c r="E2" s="20">
        <f>IFERROR(O62,"")</f>
        <v>4179.0416400000004</v>
      </c>
      <c r="F2" s="20">
        <f>IFERROR(H53,"")</f>
        <v>3068.4</v>
      </c>
      <c r="G2" s="20">
        <f>IFERROR(H54,"")</f>
        <v>73.736571428571438</v>
      </c>
      <c r="H2" s="20">
        <f>IFERROR(H56,"")</f>
        <v>275</v>
      </c>
      <c r="I2" s="21"/>
    </row>
    <row r="3" spans="1:10" ht="15" customHeight="1" x14ac:dyDescent="0.2">
      <c r="A3" s="14"/>
      <c r="B3" s="14"/>
      <c r="C3" s="14"/>
      <c r="D3" s="14"/>
      <c r="E3" s="14"/>
      <c r="F3" s="22"/>
      <c r="G3" s="22"/>
      <c r="H3" s="22"/>
      <c r="I3" s="22"/>
    </row>
    <row r="4" spans="1:10" ht="24.75" customHeight="1" thickBot="1" x14ac:dyDescent="0.25">
      <c r="A4" s="210"/>
      <c r="B4" s="210"/>
      <c r="C4" s="210"/>
      <c r="D4" s="210"/>
      <c r="E4" s="210"/>
      <c r="F4" s="210"/>
      <c r="G4" s="210"/>
      <c r="H4" s="210"/>
      <c r="I4" s="23"/>
    </row>
    <row r="5" spans="1:10" ht="19.5" customHeight="1" thickBot="1" x14ac:dyDescent="0.25">
      <c r="A5" s="211" t="s">
        <v>57</v>
      </c>
      <c r="B5" s="212"/>
      <c r="C5" s="212"/>
      <c r="D5" s="212"/>
      <c r="E5" s="212"/>
      <c r="F5" s="212"/>
      <c r="G5" s="212"/>
      <c r="H5" s="213"/>
      <c r="I5" s="24"/>
    </row>
    <row r="6" spans="1:10" ht="19.5" thickBot="1" x14ac:dyDescent="0.25">
      <c r="A6" s="24"/>
      <c r="B6" s="24"/>
      <c r="C6" s="24"/>
      <c r="D6" s="24"/>
      <c r="E6" s="24"/>
      <c r="F6" s="214" t="s">
        <v>58</v>
      </c>
      <c r="G6" s="214"/>
      <c r="H6" s="25">
        <f ca="1">TODAY()</f>
        <v>45950</v>
      </c>
      <c r="I6" s="25"/>
    </row>
    <row r="7" spans="1:10" ht="39" thickBot="1" x14ac:dyDescent="0.25">
      <c r="A7" s="26" t="s">
        <v>59</v>
      </c>
      <c r="B7" s="27" t="s">
        <v>60</v>
      </c>
      <c r="C7" s="27" t="s">
        <v>59</v>
      </c>
      <c r="D7" s="28" t="s">
        <v>61</v>
      </c>
      <c r="E7" s="28" t="s">
        <v>62</v>
      </c>
      <c r="F7" s="28" t="s">
        <v>63</v>
      </c>
      <c r="G7" s="28" t="s">
        <v>64</v>
      </c>
      <c r="H7" s="29" t="s">
        <v>65</v>
      </c>
      <c r="I7" s="30"/>
    </row>
    <row r="8" spans="1:10" ht="13.5" x14ac:dyDescent="0.25">
      <c r="A8" s="31">
        <v>2400</v>
      </c>
      <c r="B8" s="19" t="str">
        <f>IFERROR(VLOOKUP(H8,'[1]Consolidado MP Planta'!$A$2:$M$823,3,0),"")</f>
        <v>ZANAHORIA EN TROZOS (PAQ=2Kg)</v>
      </c>
      <c r="C8" s="32">
        <f>+A8</f>
        <v>2400</v>
      </c>
      <c r="D8" s="33" t="str">
        <f>IFERROR(VLOOKUP(H8,'[1]Consolidado MP Planta'!$A$2:$M$823,13,0),"")</f>
        <v>Gramos</v>
      </c>
      <c r="E8" s="33">
        <f>IFERROR(VLOOKUP(H8,'[1]Consolidado MP Planta'!$A$2:$M$823,12,0),"")</f>
        <v>1.1535</v>
      </c>
      <c r="F8" s="33">
        <f>IFERROR(C8*E8,"")</f>
        <v>2768.4</v>
      </c>
      <c r="G8" s="34">
        <f t="shared" ref="G8:G14" si="0">IFERROR(F8/$F$66,"")</f>
        <v>0.79585923869091202</v>
      </c>
      <c r="H8" s="35" t="s">
        <v>39</v>
      </c>
      <c r="I8" s="35"/>
      <c r="J8" s="36"/>
    </row>
    <row r="9" spans="1:10" ht="13.5" x14ac:dyDescent="0.25">
      <c r="A9" s="31">
        <v>3000</v>
      </c>
      <c r="B9" s="19" t="str">
        <f>IFERROR(VLOOKUP(H9,'[1]Consolidado MP Planta'!$A$2:$M$823,3,0),"")</f>
        <v>AGUA PLANTA</v>
      </c>
      <c r="C9" s="32">
        <f t="shared" ref="C9:C14" si="1">+A9</f>
        <v>3000</v>
      </c>
      <c r="D9" s="33" t="str">
        <f>IFERROR(VLOOKUP(H9,'[1]Consolidado MP Planta'!$A$2:$M$823,13,0),"")</f>
        <v>Mililitros</v>
      </c>
      <c r="E9" s="33">
        <f>IFERROR(VLOOKUP(H9,'[1]Consolidado MP Planta'!$A$2:$M$823,12,0),"")</f>
        <v>0.1</v>
      </c>
      <c r="F9" s="33">
        <f t="shared" ref="F9:F14" si="2">IFERROR(C9*E9,"")</f>
        <v>300</v>
      </c>
      <c r="G9" s="34">
        <f t="shared" si="0"/>
        <v>8.6243957378729086E-2</v>
      </c>
      <c r="H9" s="35" t="s">
        <v>41</v>
      </c>
      <c r="I9" s="35"/>
      <c r="J9" s="36"/>
    </row>
    <row r="10" spans="1:10" ht="13.5" hidden="1" x14ac:dyDescent="0.25">
      <c r="A10" s="31"/>
      <c r="B10" s="19" t="str">
        <f>IFERROR(VLOOKUP(H10,'[1]Consolidado MP Planta'!$A$2:$M$823,3,0),"")</f>
        <v/>
      </c>
      <c r="C10" s="32">
        <f t="shared" si="1"/>
        <v>0</v>
      </c>
      <c r="D10" s="33" t="str">
        <f>IFERROR(VLOOKUP(H10,'[1]Consolidado MP Planta'!$A$2:$M$823,13,0),"")</f>
        <v/>
      </c>
      <c r="E10" s="33" t="str">
        <f>IFERROR(VLOOKUP(H10,'[1]Consolidado MP Planta'!$A$2:$M$823,12,0),"")</f>
        <v/>
      </c>
      <c r="F10" s="33" t="str">
        <f t="shared" si="2"/>
        <v/>
      </c>
      <c r="G10" s="34" t="str">
        <f t="shared" si="0"/>
        <v/>
      </c>
      <c r="H10" s="35"/>
      <c r="I10" s="35"/>
      <c r="J10" s="36"/>
    </row>
    <row r="11" spans="1:10" ht="13.5" hidden="1" x14ac:dyDescent="0.25">
      <c r="A11" s="31"/>
      <c r="B11" s="19" t="str">
        <f>IFERROR(VLOOKUP(H11,'[1]Consolidado MP Planta'!$A$2:$M$823,3,0),"")</f>
        <v/>
      </c>
      <c r="C11" s="32">
        <f t="shared" si="1"/>
        <v>0</v>
      </c>
      <c r="D11" s="33" t="str">
        <f>IFERROR(VLOOKUP(H11,'[1]Consolidado MP Planta'!$A$2:$M$823,13,0),"")</f>
        <v/>
      </c>
      <c r="E11" s="33" t="str">
        <f>IFERROR(VLOOKUP(H11,'[1]Consolidado MP Planta'!$A$2:$M$823,12,0),"")</f>
        <v/>
      </c>
      <c r="F11" s="33" t="str">
        <f t="shared" si="2"/>
        <v/>
      </c>
      <c r="G11" s="34" t="str">
        <f t="shared" si="0"/>
        <v/>
      </c>
      <c r="H11" s="35"/>
      <c r="I11" s="35"/>
      <c r="J11" s="36"/>
    </row>
    <row r="12" spans="1:10" ht="13.5" hidden="1" x14ac:dyDescent="0.25">
      <c r="A12" s="31"/>
      <c r="B12" s="19" t="str">
        <f>IFERROR(VLOOKUP(H12,'[1]Consolidado MP Planta'!$A$2:$M$823,3,0),"")</f>
        <v/>
      </c>
      <c r="C12" s="32">
        <f t="shared" si="1"/>
        <v>0</v>
      </c>
      <c r="D12" s="33" t="str">
        <f>IFERROR(VLOOKUP(H12,'[1]Consolidado MP Planta'!$A$2:$M$823,13,0),"")</f>
        <v/>
      </c>
      <c r="E12" s="33" t="str">
        <f>IFERROR(VLOOKUP(H12,'[1]Consolidado MP Planta'!$A$2:$M$823,12,0),"")</f>
        <v/>
      </c>
      <c r="F12" s="33" t="str">
        <f t="shared" si="2"/>
        <v/>
      </c>
      <c r="G12" s="34" t="str">
        <f t="shared" si="0"/>
        <v/>
      </c>
      <c r="H12" s="35"/>
      <c r="I12" s="35"/>
      <c r="J12" s="36"/>
    </row>
    <row r="13" spans="1:10" ht="13.5" hidden="1" x14ac:dyDescent="0.25">
      <c r="A13" s="31"/>
      <c r="B13" s="19" t="str">
        <f>IFERROR(VLOOKUP(H13,'[1]Consolidado MP Planta'!$A$2:$M$823,3,0),"")</f>
        <v/>
      </c>
      <c r="C13" s="32">
        <f t="shared" si="1"/>
        <v>0</v>
      </c>
      <c r="D13" s="33" t="str">
        <f>IFERROR(VLOOKUP(H13,'[1]Consolidado MP Planta'!$A$2:$M$823,13,0),"")</f>
        <v/>
      </c>
      <c r="E13" s="33" t="str">
        <f>IFERROR(VLOOKUP(H13,'[1]Consolidado MP Planta'!$A$2:$M$823,12,0),"")</f>
        <v/>
      </c>
      <c r="F13" s="33" t="str">
        <f t="shared" si="2"/>
        <v/>
      </c>
      <c r="G13" s="34" t="str">
        <f t="shared" si="0"/>
        <v/>
      </c>
      <c r="H13" s="35"/>
      <c r="I13" s="35"/>
      <c r="J13" s="36"/>
    </row>
    <row r="14" spans="1:10" ht="13.5" hidden="1" x14ac:dyDescent="0.25">
      <c r="A14" s="31"/>
      <c r="B14" s="19" t="str">
        <f>IFERROR(VLOOKUP(H14,'[1]Consolidado MP Planta'!$A$2:$M$823,3,0),"")</f>
        <v/>
      </c>
      <c r="C14" s="32">
        <f t="shared" si="1"/>
        <v>0</v>
      </c>
      <c r="D14" s="33" t="str">
        <f>IFERROR(VLOOKUP(H14,'[1]Consolidado MP Planta'!$A$2:$M$823,13,0),"")</f>
        <v/>
      </c>
      <c r="E14" s="33" t="str">
        <f>IFERROR(VLOOKUP(H14,'[1]Consolidado MP Planta'!$A$2:$M$823,12,0),"")</f>
        <v/>
      </c>
      <c r="F14" s="33" t="str">
        <f t="shared" si="2"/>
        <v/>
      </c>
      <c r="G14" s="34" t="str">
        <f t="shared" si="0"/>
        <v/>
      </c>
      <c r="H14" s="35"/>
      <c r="I14" s="35"/>
      <c r="J14" s="36"/>
    </row>
    <row r="15" spans="1:10" ht="14.25" thickBot="1" x14ac:dyDescent="0.3">
      <c r="A15" s="31"/>
      <c r="B15" s="19" t="str">
        <f>IFERROR(VLOOKUP(H15,'[2]Consolidado MP Planta'!$A$2:$G$589,2,0),"")</f>
        <v/>
      </c>
      <c r="C15" s="32"/>
      <c r="D15" s="33"/>
      <c r="E15" s="33"/>
      <c r="F15" s="33"/>
      <c r="G15" s="34"/>
      <c r="H15" s="35"/>
      <c r="I15" s="35"/>
      <c r="J15" s="36"/>
    </row>
    <row r="16" spans="1:10" ht="39" hidden="1" thickBot="1" x14ac:dyDescent="0.25">
      <c r="A16" s="26" t="s">
        <v>59</v>
      </c>
      <c r="B16" s="27" t="s">
        <v>66</v>
      </c>
      <c r="C16" s="27" t="s">
        <v>59</v>
      </c>
      <c r="D16" s="28" t="s">
        <v>61</v>
      </c>
      <c r="E16" s="28" t="s">
        <v>62</v>
      </c>
      <c r="F16" s="28" t="s">
        <v>63</v>
      </c>
      <c r="G16" s="28" t="s">
        <v>64</v>
      </c>
      <c r="H16" s="29" t="s">
        <v>65</v>
      </c>
      <c r="I16" s="30"/>
      <c r="J16" s="36"/>
    </row>
    <row r="17" spans="1:12" ht="13.5" hidden="1" x14ac:dyDescent="0.25">
      <c r="A17" s="31"/>
      <c r="B17" s="19" t="str">
        <f>IFERROR(VLOOKUP(H17,[1]SEMIELABORADOS!$A$2:$M$6000,2,0),"")</f>
        <v/>
      </c>
      <c r="C17" s="32">
        <f>+A17</f>
        <v>0</v>
      </c>
      <c r="D17" s="32" t="str">
        <f>IFERROR(VLOOKUP(H17,[1]SEMIELABORADOS!$A$2:$M$6000,6,0),"")</f>
        <v/>
      </c>
      <c r="E17" s="33" t="str">
        <f>IFERROR(VLOOKUP(H17,[1]SEMIELABORADOS!$A$2:$H$65536,8,0),"")</f>
        <v/>
      </c>
      <c r="F17" s="33" t="str">
        <f>IFERROR(E17*C17,"")</f>
        <v/>
      </c>
      <c r="G17" s="34" t="str">
        <f t="shared" ref="G17:G24" si="3">IFERROR(F17/$F$66,"")</f>
        <v/>
      </c>
      <c r="H17" s="35"/>
      <c r="I17" s="35"/>
      <c r="J17" s="36"/>
    </row>
    <row r="18" spans="1:12" ht="13.5" hidden="1" x14ac:dyDescent="0.25">
      <c r="A18" s="31"/>
      <c r="B18" s="19" t="str">
        <f>IFERROR(VLOOKUP(H18,[1]SEMIELABORADOS!$A$2:$M$6000,2,0),"")</f>
        <v/>
      </c>
      <c r="C18" s="32">
        <f t="shared" ref="C18:C24" si="4">+A18</f>
        <v>0</v>
      </c>
      <c r="D18" s="32" t="str">
        <f>IFERROR(VLOOKUP(H18,[1]SEMIELABORADOS!$A$2:$M$6000,6,0),"")</f>
        <v/>
      </c>
      <c r="E18" s="33" t="str">
        <f>IFERROR(VLOOKUP(H18,[1]SEMIELABORADOS!$A$2:$H$65536,8,0),"")</f>
        <v/>
      </c>
      <c r="F18" s="33" t="str">
        <f t="shared" ref="F18:F24" si="5">IFERROR(E18*C18,"")</f>
        <v/>
      </c>
      <c r="G18" s="34" t="str">
        <f t="shared" si="3"/>
        <v/>
      </c>
      <c r="H18" s="35"/>
      <c r="I18" s="35"/>
      <c r="J18" s="36"/>
    </row>
    <row r="19" spans="1:12" ht="13.5" hidden="1" x14ac:dyDescent="0.25">
      <c r="A19" s="31"/>
      <c r="B19" s="19" t="str">
        <f>IFERROR(VLOOKUP(H19,[1]SEMIELABORADOS!$A$2:$M$6000,2,0),"")</f>
        <v/>
      </c>
      <c r="C19" s="32">
        <f>+A19</f>
        <v>0</v>
      </c>
      <c r="D19" s="32" t="str">
        <f>IFERROR(VLOOKUP(H19,[1]SEMIELABORADOS!$A$2:$M$6000,6,0),"")</f>
        <v/>
      </c>
      <c r="E19" s="33" t="str">
        <f>IFERROR(VLOOKUP(H19,[1]SEMIELABORADOS!$A$2:$H$65536,8,0),"")</f>
        <v/>
      </c>
      <c r="F19" s="33" t="str">
        <f>IFERROR(E19*C19,"")</f>
        <v/>
      </c>
      <c r="G19" s="34" t="str">
        <f t="shared" si="3"/>
        <v/>
      </c>
      <c r="H19" s="35"/>
      <c r="I19" s="35"/>
      <c r="J19" s="36"/>
    </row>
    <row r="20" spans="1:12" ht="13.5" hidden="1" x14ac:dyDescent="0.25">
      <c r="A20" s="31"/>
      <c r="B20" s="19" t="str">
        <f>IFERROR(VLOOKUP(H20,[1]SEMIELABORADOS!$A$2:$M$6000,2,0),"")</f>
        <v/>
      </c>
      <c r="C20" s="32">
        <f>+A20</f>
        <v>0</v>
      </c>
      <c r="D20" s="32" t="str">
        <f>IFERROR(VLOOKUP(H20,[1]SEMIELABORADOS!$A$2:$M$6000,6,0),"")</f>
        <v/>
      </c>
      <c r="E20" s="33" t="str">
        <f>IFERROR(VLOOKUP(H20,[1]SEMIELABORADOS!$A$2:$H$65536,8,0),"")</f>
        <v/>
      </c>
      <c r="F20" s="33" t="str">
        <f>IFERROR(E20*C20,"")</f>
        <v/>
      </c>
      <c r="G20" s="34" t="str">
        <f t="shared" si="3"/>
        <v/>
      </c>
      <c r="H20" s="35"/>
      <c r="I20" s="35"/>
      <c r="J20" s="36"/>
    </row>
    <row r="21" spans="1:12" ht="13.5" hidden="1" x14ac:dyDescent="0.25">
      <c r="A21" s="31"/>
      <c r="B21" s="19" t="str">
        <f>IFERROR(VLOOKUP(H21,[1]SEMIELABORADOS!$A$2:$M$6000,2,0),"")</f>
        <v/>
      </c>
      <c r="C21" s="32">
        <f>+A21</f>
        <v>0</v>
      </c>
      <c r="D21" s="32" t="str">
        <f>IFERROR(VLOOKUP(H21,[1]SEMIELABORADOS!$A$2:$M$6000,6,0),"")</f>
        <v/>
      </c>
      <c r="E21" s="33" t="str">
        <f>IFERROR(VLOOKUP(H21,[1]SEMIELABORADOS!$A$2:$H$65536,8,0),"")</f>
        <v/>
      </c>
      <c r="F21" s="33" t="str">
        <f>IFERROR(E21*C21,"")</f>
        <v/>
      </c>
      <c r="G21" s="34" t="str">
        <f t="shared" si="3"/>
        <v/>
      </c>
      <c r="H21" s="35"/>
      <c r="I21" s="35"/>
      <c r="J21" s="36"/>
    </row>
    <row r="22" spans="1:12" ht="13.5" hidden="1" x14ac:dyDescent="0.25">
      <c r="A22" s="31"/>
      <c r="B22" s="19" t="str">
        <f>IFERROR(VLOOKUP(H22,[1]SEMIELABORADOS!$A$2:$M$6000,2,0),"")</f>
        <v/>
      </c>
      <c r="C22" s="32">
        <f t="shared" si="4"/>
        <v>0</v>
      </c>
      <c r="D22" s="32" t="str">
        <f>IFERROR(VLOOKUP(H22,[1]SEMIELABORADOS!$A$2:$M$6000,6,0),"")</f>
        <v/>
      </c>
      <c r="E22" s="33" t="str">
        <f>IFERROR(VLOOKUP(H22,[1]SEMIELABORADOS!$A$2:$H$65536,8,0),"")</f>
        <v/>
      </c>
      <c r="F22" s="33" t="str">
        <f t="shared" si="5"/>
        <v/>
      </c>
      <c r="G22" s="34" t="str">
        <f t="shared" si="3"/>
        <v/>
      </c>
      <c r="H22" s="35"/>
      <c r="I22" s="35"/>
      <c r="J22" s="36"/>
    </row>
    <row r="23" spans="1:12" ht="13.5" hidden="1" x14ac:dyDescent="0.25">
      <c r="A23" s="31"/>
      <c r="B23" s="19" t="str">
        <f>IFERROR(VLOOKUP(H23,[1]SEMIELABORADOS!$A$2:$M$6000,2,0),"")</f>
        <v/>
      </c>
      <c r="C23" s="32">
        <f t="shared" si="4"/>
        <v>0</v>
      </c>
      <c r="D23" s="32" t="str">
        <f>IFERROR(VLOOKUP(H23,[1]SEMIELABORADOS!$A$2:$M$6000,6,0),"")</f>
        <v/>
      </c>
      <c r="E23" s="33" t="str">
        <f>IFERROR(VLOOKUP(H23,[1]SEMIELABORADOS!$A$2:$H$65536,8,0),"")</f>
        <v/>
      </c>
      <c r="F23" s="33" t="str">
        <f t="shared" si="5"/>
        <v/>
      </c>
      <c r="G23" s="34" t="str">
        <f t="shared" si="3"/>
        <v/>
      </c>
      <c r="H23" s="35"/>
      <c r="I23" s="35"/>
      <c r="J23" s="36"/>
    </row>
    <row r="24" spans="1:12" ht="13.5" hidden="1" x14ac:dyDescent="0.25">
      <c r="A24" s="31"/>
      <c r="B24" s="19" t="str">
        <f>IFERROR(VLOOKUP(H24,[1]SEMIELABORADOS!$A$2:$M$6000,2,0),"")</f>
        <v/>
      </c>
      <c r="C24" s="32">
        <f t="shared" si="4"/>
        <v>0</v>
      </c>
      <c r="D24" s="32" t="str">
        <f>IFERROR(VLOOKUP(H24,[1]SEMIELABORADOS!$A$2:$M$6000,6,0),"")</f>
        <v/>
      </c>
      <c r="E24" s="33" t="str">
        <f>IFERROR(VLOOKUP(H24,[1]SEMIELABORADOS!$A$2:$H$65536,8,0),"")</f>
        <v/>
      </c>
      <c r="F24" s="33" t="str">
        <f t="shared" si="5"/>
        <v/>
      </c>
      <c r="G24" s="34" t="str">
        <f t="shared" si="3"/>
        <v/>
      </c>
      <c r="H24" s="35"/>
      <c r="I24" s="35"/>
      <c r="J24" s="36"/>
    </row>
    <row r="25" spans="1:12" ht="14.25" hidden="1" thickBot="1" x14ac:dyDescent="0.3">
      <c r="A25" s="31"/>
      <c r="C25" s="32"/>
      <c r="D25" s="32"/>
      <c r="E25" s="33"/>
      <c r="F25" s="33"/>
      <c r="G25" s="34"/>
      <c r="H25" s="35"/>
      <c r="I25" s="35"/>
      <c r="J25" s="36"/>
    </row>
    <row r="26" spans="1:12" ht="39" thickBot="1" x14ac:dyDescent="0.25">
      <c r="A26" s="26" t="s">
        <v>59</v>
      </c>
      <c r="B26" s="27" t="s">
        <v>67</v>
      </c>
      <c r="C26" s="27" t="s">
        <v>59</v>
      </c>
      <c r="D26" s="28" t="s">
        <v>61</v>
      </c>
      <c r="E26" s="28" t="s">
        <v>62</v>
      </c>
      <c r="F26" s="28" t="s">
        <v>63</v>
      </c>
      <c r="G26" s="28" t="s">
        <v>64</v>
      </c>
      <c r="H26" s="29" t="s">
        <v>65</v>
      </c>
      <c r="I26" s="30"/>
    </row>
    <row r="27" spans="1:12" ht="13.5" x14ac:dyDescent="0.25">
      <c r="A27" s="31">
        <v>2</v>
      </c>
      <c r="B27" s="37" t="str">
        <f>IFERROR(VLOOKUP(H27,'[1]Consolidado MP Planta'!$A$2:$M$823,3,0),"")</f>
        <v>BOLSA 17x25 TRANSP KILO</v>
      </c>
      <c r="C27" s="32">
        <f t="shared" ref="C27:C32" si="6">+A27</f>
        <v>2</v>
      </c>
      <c r="D27" s="33" t="str">
        <f>IFERROR(VLOOKUP(H27,'[1]Consolidado MP Planta'!$A$2:$M$823,13,0),"")</f>
        <v>Und</v>
      </c>
      <c r="E27" s="33">
        <f>IFERROR(VLOOKUP(H27,'[1]Consolidado MP Planta'!$A$2:$M$823,12,0),"")</f>
        <v>35.714285714285715</v>
      </c>
      <c r="F27" s="33">
        <f t="shared" ref="F27:F32" si="7">IFERROR(C27*E27,"")</f>
        <v>71.428571428571431</v>
      </c>
      <c r="G27" s="34">
        <f t="shared" ref="G27:G32" si="8">IFERROR(F27/$F$66,"")</f>
        <v>2.0534275566364068E-2</v>
      </c>
      <c r="H27" s="38" t="s">
        <v>11</v>
      </c>
      <c r="I27" s="38"/>
      <c r="J27" s="36"/>
      <c r="K27" s="215"/>
      <c r="L27" s="215"/>
    </row>
    <row r="28" spans="1:12" ht="13.5" x14ac:dyDescent="0.25">
      <c r="A28" s="31">
        <v>1</v>
      </c>
      <c r="B28" s="37" t="s">
        <v>25</v>
      </c>
      <c r="C28" s="32">
        <f t="shared" si="6"/>
        <v>1</v>
      </c>
      <c r="D28" s="33" t="s">
        <v>102</v>
      </c>
      <c r="E28" s="33">
        <v>0.18</v>
      </c>
      <c r="F28" s="33">
        <f t="shared" si="7"/>
        <v>0.18</v>
      </c>
      <c r="G28" s="34">
        <f t="shared" si="8"/>
        <v>5.1746374427237447E-5</v>
      </c>
      <c r="H28" s="38" t="s">
        <v>26</v>
      </c>
      <c r="I28" s="38"/>
      <c r="J28" s="36"/>
      <c r="K28" s="215"/>
      <c r="L28" s="215"/>
    </row>
    <row r="29" spans="1:12" ht="13.5" x14ac:dyDescent="0.25">
      <c r="A29" s="31">
        <v>1</v>
      </c>
      <c r="B29" s="37" t="str">
        <f>IFERROR(VLOOKUP(H29,'[1]Consolidado MP Planta'!$A$2:$M$823,3,0),"")</f>
        <v>ETIQUETA BLANCA 2 5/8X1 15/16 (UND)</v>
      </c>
      <c r="C29" s="32">
        <f t="shared" si="6"/>
        <v>1</v>
      </c>
      <c r="D29" s="33" t="str">
        <f>IFERROR(VLOOKUP(H29,'[1]Consolidado MP Planta'!$A$2:$M$823,13,0),"")</f>
        <v>Und</v>
      </c>
      <c r="E29" s="33">
        <f>IFERROR(VLOOKUP(H29,'[1]Consolidado MP Planta'!$A$2:$M$823,12,0),"")</f>
        <v>2.1280000000000001</v>
      </c>
      <c r="F29" s="33">
        <f t="shared" si="7"/>
        <v>2.1280000000000001</v>
      </c>
      <c r="G29" s="34">
        <f t="shared" si="8"/>
        <v>6.1175713767311834E-4</v>
      </c>
      <c r="H29" s="38" t="s">
        <v>47</v>
      </c>
      <c r="I29" s="38"/>
      <c r="J29" s="36"/>
      <c r="K29" s="215"/>
      <c r="L29" s="215"/>
    </row>
    <row r="30" spans="1:12" ht="13.5" hidden="1" x14ac:dyDescent="0.25">
      <c r="A30" s="31"/>
      <c r="B30" s="37" t="str">
        <f>IFERROR(VLOOKUP(H30,'[1]Consolidado MP Planta'!$A$2:$M$823,3,0),"")</f>
        <v/>
      </c>
      <c r="C30" s="32">
        <f t="shared" si="6"/>
        <v>0</v>
      </c>
      <c r="D30" s="33" t="str">
        <f>IFERROR(VLOOKUP(H30,'[1]Consolidado MP Planta'!$A$2:$M$823,13,0),"")</f>
        <v/>
      </c>
      <c r="E30" s="33" t="str">
        <f>IFERROR(VLOOKUP(H30,'[1]Consolidado MP Planta'!$A$2:$M$823,12,0),"")</f>
        <v/>
      </c>
      <c r="F30" s="33" t="str">
        <f t="shared" si="7"/>
        <v/>
      </c>
      <c r="G30" s="34" t="str">
        <f t="shared" si="8"/>
        <v/>
      </c>
      <c r="H30" s="38"/>
      <c r="I30" s="38"/>
      <c r="J30" s="36"/>
      <c r="K30" s="215"/>
      <c r="L30" s="215"/>
    </row>
    <row r="31" spans="1:12" ht="13.5" hidden="1" x14ac:dyDescent="0.25">
      <c r="A31" s="31"/>
      <c r="B31" s="37" t="str">
        <f>IFERROR(VLOOKUP(H31,'[1]Consolidado MP Planta'!$A$2:$M$823,3,0),"")</f>
        <v/>
      </c>
      <c r="C31" s="32">
        <f t="shared" si="6"/>
        <v>0</v>
      </c>
      <c r="D31" s="33" t="str">
        <f>IFERROR(VLOOKUP(H31,'[1]Consolidado MP Planta'!$A$2:$M$823,13,0),"")</f>
        <v/>
      </c>
      <c r="E31" s="33" t="str">
        <f>IFERROR(VLOOKUP(H31,'[1]Consolidado MP Planta'!$A$2:$M$823,12,0),"")</f>
        <v/>
      </c>
      <c r="F31" s="33" t="str">
        <f t="shared" si="7"/>
        <v/>
      </c>
      <c r="G31" s="34" t="str">
        <f t="shared" si="8"/>
        <v/>
      </c>
      <c r="H31" s="38"/>
      <c r="I31" s="38"/>
      <c r="J31" s="36"/>
      <c r="K31" s="39"/>
      <c r="L31" s="40"/>
    </row>
    <row r="32" spans="1:12" ht="13.5" hidden="1" x14ac:dyDescent="0.25">
      <c r="A32" s="31"/>
      <c r="B32" s="37" t="str">
        <f>IFERROR(VLOOKUP(H32,'[1]Consolidado MP Planta'!$A$2:$M$823,3,0),"")</f>
        <v/>
      </c>
      <c r="C32" s="32">
        <f t="shared" si="6"/>
        <v>0</v>
      </c>
      <c r="D32" s="33" t="str">
        <f>IFERROR(VLOOKUP(H32,'[1]Consolidado MP Planta'!$A$2:$M$823,13,0),"")</f>
        <v/>
      </c>
      <c r="E32" s="33" t="str">
        <f>IFERROR(VLOOKUP(H32,'[1]Consolidado MP Planta'!$A$2:$M$823,12,0),"")</f>
        <v/>
      </c>
      <c r="F32" s="33" t="str">
        <f t="shared" si="7"/>
        <v/>
      </c>
      <c r="G32" s="34" t="str">
        <f t="shared" si="8"/>
        <v/>
      </c>
      <c r="H32" s="38"/>
      <c r="I32" s="38"/>
      <c r="J32" s="36"/>
    </row>
    <row r="33" spans="1:13" ht="14.25" thickBot="1" x14ac:dyDescent="0.3">
      <c r="A33" s="31"/>
      <c r="B33" s="37"/>
      <c r="C33" s="32"/>
      <c r="D33" s="33"/>
      <c r="E33" s="33"/>
      <c r="F33" s="33"/>
      <c r="G33" s="34"/>
      <c r="H33" s="38"/>
      <c r="I33" s="38"/>
      <c r="J33" s="36"/>
    </row>
    <row r="34" spans="1:13" ht="39" hidden="1" thickBot="1" x14ac:dyDescent="0.25">
      <c r="A34" s="26" t="s">
        <v>59</v>
      </c>
      <c r="B34" s="27" t="s">
        <v>68</v>
      </c>
      <c r="C34" s="27" t="s">
        <v>59</v>
      </c>
      <c r="D34" s="28" t="s">
        <v>61</v>
      </c>
      <c r="E34" s="28" t="s">
        <v>62</v>
      </c>
      <c r="F34" s="28" t="s">
        <v>63</v>
      </c>
      <c r="G34" s="28" t="s">
        <v>64</v>
      </c>
      <c r="H34" s="29" t="s">
        <v>65</v>
      </c>
      <c r="I34" s="38"/>
      <c r="J34" s="36"/>
    </row>
    <row r="35" spans="1:13" ht="13.5" hidden="1" x14ac:dyDescent="0.25">
      <c r="A35" s="31">
        <f>+A17</f>
        <v>0</v>
      </c>
      <c r="B35" s="37" t="str">
        <f>IFERROR(VLOOKUP(H35,[1]SEMIELABORADOS!$A$2:$M$6000,2,0),"")</f>
        <v/>
      </c>
      <c r="C35" s="32">
        <f>+A35</f>
        <v>0</v>
      </c>
      <c r="D35" s="33" t="str">
        <f>IFERROR(VLOOKUP(H35,[1]SEMIELABORADOS!$A$2:$M$6000,6,0),"")</f>
        <v/>
      </c>
      <c r="E35" s="33" t="str">
        <f>IFERROR(VLOOKUP(H35,[1]SEMIELABORADOS!$A$2:$M$65536,10,0),"")</f>
        <v/>
      </c>
      <c r="F35" s="33" t="str">
        <f>IFERROR(E35*C35,"")</f>
        <v/>
      </c>
      <c r="G35" s="34" t="str">
        <f t="shared" ref="G35:G41" si="9">IFERROR(F35/$F$66,"")</f>
        <v/>
      </c>
      <c r="H35" s="38"/>
      <c r="I35" s="38"/>
      <c r="J35" s="36"/>
    </row>
    <row r="36" spans="1:13" ht="13.5" hidden="1" x14ac:dyDescent="0.25">
      <c r="A36" s="31">
        <f t="shared" ref="A36:A41" si="10">+A18</f>
        <v>0</v>
      </c>
      <c r="B36" s="37" t="str">
        <f>IFERROR(VLOOKUP(H36,[1]SEMIELABORADOS!$A$2:$M$6000,2,0),"")</f>
        <v/>
      </c>
      <c r="C36" s="32">
        <f t="shared" ref="C36:C41" si="11">+A36</f>
        <v>0</v>
      </c>
      <c r="D36" s="33" t="str">
        <f>IFERROR(VLOOKUP(H36,[1]SEMIELABORADOS!$A$2:$M$6000,6,0),"")</f>
        <v/>
      </c>
      <c r="E36" s="33" t="str">
        <f>IFERROR(VLOOKUP(H36,[1]SEMIELABORADOS!$A$2:$M$65536,10,0),"")</f>
        <v/>
      </c>
      <c r="F36" s="33" t="str">
        <f t="shared" ref="F36:F41" si="12">IFERROR(E36*C36,"")</f>
        <v/>
      </c>
      <c r="G36" s="34" t="str">
        <f t="shared" si="9"/>
        <v/>
      </c>
      <c r="H36" s="38"/>
      <c r="I36" s="38"/>
      <c r="J36" s="36"/>
    </row>
    <row r="37" spans="1:13" ht="13.5" hidden="1" x14ac:dyDescent="0.25">
      <c r="A37" s="31">
        <f t="shared" si="10"/>
        <v>0</v>
      </c>
      <c r="B37" s="37" t="str">
        <f>IFERROR(VLOOKUP(H37,[1]SEMIELABORADOS!$A$2:$M$6000,2,0),"")</f>
        <v/>
      </c>
      <c r="C37" s="32">
        <f t="shared" si="11"/>
        <v>0</v>
      </c>
      <c r="D37" s="33" t="str">
        <f>IFERROR(VLOOKUP(H37,[1]SEMIELABORADOS!$A$2:$M$6000,6,0),"")</f>
        <v/>
      </c>
      <c r="E37" s="33" t="str">
        <f>IFERROR(VLOOKUP(H37,[1]SEMIELABORADOS!$A$2:$M$65536,10,0),"")</f>
        <v/>
      </c>
      <c r="F37" s="33" t="str">
        <f t="shared" si="12"/>
        <v/>
      </c>
      <c r="G37" s="34" t="str">
        <f t="shared" si="9"/>
        <v/>
      </c>
      <c r="H37" s="38"/>
      <c r="I37" s="38"/>
      <c r="J37" s="36"/>
    </row>
    <row r="38" spans="1:13" ht="13.5" hidden="1" x14ac:dyDescent="0.25">
      <c r="A38" s="31">
        <f t="shared" si="10"/>
        <v>0</v>
      </c>
      <c r="B38" s="37" t="str">
        <f>IFERROR(VLOOKUP(H38,[1]SEMIELABORADOS!$A$2:$M$6000,2,0),"")</f>
        <v/>
      </c>
      <c r="C38" s="32">
        <f>+A38</f>
        <v>0</v>
      </c>
      <c r="D38" s="33" t="str">
        <f>IFERROR(VLOOKUP(H38,[1]SEMIELABORADOS!$A$2:$M$6000,6,0),"")</f>
        <v/>
      </c>
      <c r="E38" s="33" t="str">
        <f>IFERROR(VLOOKUP(H38,[1]SEMIELABORADOS!$A$2:$M$65536,10,0),"")</f>
        <v/>
      </c>
      <c r="F38" s="33" t="str">
        <f>IFERROR(E38*C38,"")</f>
        <v/>
      </c>
      <c r="G38" s="34" t="str">
        <f t="shared" si="9"/>
        <v/>
      </c>
      <c r="H38" s="38"/>
      <c r="I38" s="38"/>
      <c r="J38" s="36"/>
    </row>
    <row r="39" spans="1:13" ht="13.5" hidden="1" x14ac:dyDescent="0.25">
      <c r="A39" s="31">
        <f t="shared" si="10"/>
        <v>0</v>
      </c>
      <c r="B39" s="37" t="str">
        <f>IFERROR(VLOOKUP(H39,[1]SEMIELABORADOS!$A$2:$M$6000,2,0),"")</f>
        <v/>
      </c>
      <c r="C39" s="32">
        <f>+A39</f>
        <v>0</v>
      </c>
      <c r="D39" s="33" t="str">
        <f>IFERROR(VLOOKUP(H39,[1]SEMIELABORADOS!$A$2:$M$6000,6,0),"")</f>
        <v/>
      </c>
      <c r="E39" s="33" t="str">
        <f>IFERROR(VLOOKUP(H39,[1]SEMIELABORADOS!$A$2:$M$65536,10,0),"")</f>
        <v/>
      </c>
      <c r="F39" s="33" t="str">
        <f>IFERROR(E39*C39,"")</f>
        <v/>
      </c>
      <c r="G39" s="34" t="str">
        <f t="shared" si="9"/>
        <v/>
      </c>
      <c r="H39" s="38"/>
      <c r="I39" s="38"/>
      <c r="J39" s="36"/>
    </row>
    <row r="40" spans="1:13" ht="13.5" hidden="1" x14ac:dyDescent="0.25">
      <c r="A40" s="31">
        <f t="shared" si="10"/>
        <v>0</v>
      </c>
      <c r="B40" s="37" t="str">
        <f>IFERROR(VLOOKUP(H40,[1]SEMIELABORADOS!$A$2:$M$6000,2,0),"")</f>
        <v/>
      </c>
      <c r="C40" s="32">
        <f t="shared" si="11"/>
        <v>0</v>
      </c>
      <c r="D40" s="33" t="str">
        <f>IFERROR(VLOOKUP(H40,[1]SEMIELABORADOS!$A$2:$M$6000,6,0),"")</f>
        <v/>
      </c>
      <c r="E40" s="33" t="str">
        <f>IFERROR(VLOOKUP(H40,[1]SEMIELABORADOS!$A$2:$M$65536,10,0),"")</f>
        <v/>
      </c>
      <c r="F40" s="33" t="str">
        <f t="shared" si="12"/>
        <v/>
      </c>
      <c r="G40" s="34" t="str">
        <f t="shared" si="9"/>
        <v/>
      </c>
      <c r="H40" s="38"/>
      <c r="I40" s="38"/>
      <c r="J40" s="36"/>
    </row>
    <row r="41" spans="1:13" ht="13.5" hidden="1" x14ac:dyDescent="0.25">
      <c r="A41" s="31">
        <f t="shared" si="10"/>
        <v>0</v>
      </c>
      <c r="B41" s="37" t="str">
        <f>IFERROR(VLOOKUP(H41,[1]SEMIELABORADOS!$A$2:$M$6000,2,0),"")</f>
        <v/>
      </c>
      <c r="C41" s="32">
        <f t="shared" si="11"/>
        <v>0</v>
      </c>
      <c r="D41" s="33" t="str">
        <f>IFERROR(VLOOKUP(H41,[1]SEMIELABORADOS!$A$2:$M$6000,6,0),"")</f>
        <v/>
      </c>
      <c r="E41" s="33" t="str">
        <f>IFERROR(VLOOKUP(H41,[1]SEMIELABORADOS!$A$2:$M$65536,10,0),"")</f>
        <v/>
      </c>
      <c r="F41" s="33" t="str">
        <f t="shared" si="12"/>
        <v/>
      </c>
      <c r="G41" s="34" t="str">
        <f t="shared" si="9"/>
        <v/>
      </c>
      <c r="H41" s="38"/>
      <c r="I41" s="38"/>
      <c r="J41" s="36"/>
    </row>
    <row r="42" spans="1:13" ht="14.25" hidden="1" thickBot="1" x14ac:dyDescent="0.3">
      <c r="A42" s="31"/>
      <c r="B42" s="37"/>
      <c r="C42" s="32"/>
      <c r="D42" s="33"/>
      <c r="E42" s="33"/>
      <c r="F42" s="33"/>
      <c r="G42" s="34"/>
      <c r="H42" s="38"/>
      <c r="I42" s="38"/>
      <c r="J42" s="36"/>
    </row>
    <row r="43" spans="1:13" ht="39" thickBot="1" x14ac:dyDescent="0.25">
      <c r="A43" s="26" t="s">
        <v>59</v>
      </c>
      <c r="B43" s="27" t="s">
        <v>69</v>
      </c>
      <c r="C43" s="27" t="s">
        <v>59</v>
      </c>
      <c r="D43" s="28" t="s">
        <v>61</v>
      </c>
      <c r="E43" s="28" t="s">
        <v>62</v>
      </c>
      <c r="F43" s="28" t="s">
        <v>63</v>
      </c>
      <c r="G43" s="28" t="s">
        <v>64</v>
      </c>
      <c r="H43" s="29" t="s">
        <v>65</v>
      </c>
      <c r="I43" s="30"/>
      <c r="J43" s="36"/>
    </row>
    <row r="44" spans="1:13" ht="13.5" hidden="1" x14ac:dyDescent="0.25">
      <c r="A44" s="31">
        <f>+A35</f>
        <v>0</v>
      </c>
      <c r="B44" s="37" t="str">
        <f>IFERROR(VLOOKUP(H44,[1]SEMIELABORADOS!$A$2:$M$6000,2,0),"")</f>
        <v/>
      </c>
      <c r="C44" s="32">
        <f>+A44</f>
        <v>0</v>
      </c>
      <c r="D44" s="33" t="str">
        <f>IFERROR(VLOOKUP(H44,[1]SEMIELABORADOS!$A$2:$M$6000,6,0),"")</f>
        <v/>
      </c>
      <c r="E44" s="33" t="str">
        <f>IFERROR(VLOOKUP(H44,[1]SEMIELABORADOS!$A$2:$M$65536,12,0),"")</f>
        <v/>
      </c>
      <c r="F44" s="33" t="str">
        <f>IFERROR(E44*C44,"")</f>
        <v/>
      </c>
      <c r="G44" s="34" t="str">
        <f>IFERROR(F44/$F$66,"")</f>
        <v/>
      </c>
      <c r="H44" s="38"/>
      <c r="I44" s="30"/>
      <c r="J44" s="36"/>
    </row>
    <row r="45" spans="1:13" ht="13.5" hidden="1" x14ac:dyDescent="0.25">
      <c r="A45" s="31">
        <f t="shared" ref="A45:A50" si="13">+A36</f>
        <v>0</v>
      </c>
      <c r="B45" s="37" t="str">
        <f>IFERROR(VLOOKUP(H45,[1]SEMIELABORADOS!$A$2:$M$6000,2,0),"")</f>
        <v/>
      </c>
      <c r="C45" s="32">
        <f t="shared" ref="C45:C50" si="14">+A45</f>
        <v>0</v>
      </c>
      <c r="D45" s="33" t="str">
        <f>IFERROR(VLOOKUP(H45,[1]SEMIELABORADOS!$A$2:$M$6000,6,0),"")</f>
        <v/>
      </c>
      <c r="E45" s="33" t="str">
        <f>IFERROR(VLOOKUP(H45,[1]SEMIELABORADOS!$A$2:$M$65536,12,0),"")</f>
        <v/>
      </c>
      <c r="F45" s="33" t="str">
        <f t="shared" ref="F45:F50" si="15">IFERROR(E45*C45,"")</f>
        <v/>
      </c>
      <c r="G45" s="34" t="str">
        <f t="shared" ref="G45:G50" si="16">IFERROR(F45/$F$66,"")</f>
        <v/>
      </c>
      <c r="H45" s="38"/>
      <c r="I45" s="30"/>
      <c r="J45" s="36"/>
      <c r="M45" s="41"/>
    </row>
    <row r="46" spans="1:13" ht="13.5" hidden="1" x14ac:dyDescent="0.25">
      <c r="A46" s="31">
        <f t="shared" si="13"/>
        <v>0</v>
      </c>
      <c r="B46" s="37" t="str">
        <f>IFERROR(VLOOKUP(H46,[1]SEMIELABORADOS!$A$2:$M$6000,2,0),"")</f>
        <v/>
      </c>
      <c r="C46" s="32">
        <f t="shared" si="14"/>
        <v>0</v>
      </c>
      <c r="D46" s="33" t="str">
        <f>IFERROR(VLOOKUP(H46,[1]SEMIELABORADOS!$A$2:$M$6000,6,0),"")</f>
        <v/>
      </c>
      <c r="E46" s="33" t="str">
        <f>IFERROR(VLOOKUP(H46,[1]SEMIELABORADOS!$A$2:$M$65536,12,0),"")</f>
        <v/>
      </c>
      <c r="F46" s="33" t="str">
        <f t="shared" si="15"/>
        <v/>
      </c>
      <c r="G46" s="34" t="str">
        <f t="shared" si="16"/>
        <v/>
      </c>
      <c r="H46" s="38"/>
      <c r="I46" s="30"/>
      <c r="J46" s="36"/>
    </row>
    <row r="47" spans="1:13" ht="13.5" hidden="1" x14ac:dyDescent="0.25">
      <c r="A47" s="31">
        <f t="shared" si="13"/>
        <v>0</v>
      </c>
      <c r="B47" s="37" t="str">
        <f>IFERROR(VLOOKUP(H47,[1]SEMIELABORADOS!$A$2:$M$6000,2,0),"")</f>
        <v/>
      </c>
      <c r="C47" s="32">
        <f t="shared" si="14"/>
        <v>0</v>
      </c>
      <c r="D47" s="33" t="str">
        <f>IFERROR(VLOOKUP(H47,[1]SEMIELABORADOS!$A$2:$M$6000,6,0),"")</f>
        <v/>
      </c>
      <c r="E47" s="33" t="str">
        <f>IFERROR(VLOOKUP(H47,[1]SEMIELABORADOS!$A$2:$M$65536,12,0),"")</f>
        <v/>
      </c>
      <c r="F47" s="33" t="str">
        <f t="shared" si="15"/>
        <v/>
      </c>
      <c r="G47" s="34" t="str">
        <f t="shared" si="16"/>
        <v/>
      </c>
      <c r="H47" s="38"/>
      <c r="I47" s="30"/>
      <c r="J47" s="36"/>
    </row>
    <row r="48" spans="1:13" ht="13.5" hidden="1" x14ac:dyDescent="0.25">
      <c r="A48" s="31">
        <f t="shared" si="13"/>
        <v>0</v>
      </c>
      <c r="B48" s="37" t="str">
        <f>IFERROR(VLOOKUP(H48,[1]SEMIELABORADOS!$A$2:$M$6000,2,0),"")</f>
        <v/>
      </c>
      <c r="C48" s="32">
        <f t="shared" si="14"/>
        <v>0</v>
      </c>
      <c r="D48" s="33" t="str">
        <f>IFERROR(VLOOKUP(H48,[1]SEMIELABORADOS!$A$2:$M$6000,6,0),"")</f>
        <v/>
      </c>
      <c r="E48" s="33" t="str">
        <f>IFERROR(VLOOKUP(H48,[1]SEMIELABORADOS!$A$2:$M$65536,12,0),"")</f>
        <v/>
      </c>
      <c r="F48" s="33" t="str">
        <f t="shared" si="15"/>
        <v/>
      </c>
      <c r="G48" s="34" t="str">
        <f t="shared" si="16"/>
        <v/>
      </c>
      <c r="H48" s="38"/>
      <c r="I48" s="30"/>
      <c r="J48" s="36"/>
    </row>
    <row r="49" spans="1:17" ht="13.5" hidden="1" x14ac:dyDescent="0.25">
      <c r="A49" s="31">
        <f t="shared" si="13"/>
        <v>0</v>
      </c>
      <c r="B49" s="37" t="str">
        <f>IFERROR(VLOOKUP(H49,[1]SEMIELABORADOS!$A$2:$M$6000,2,0),"")</f>
        <v/>
      </c>
      <c r="C49" s="32">
        <f t="shared" si="14"/>
        <v>0</v>
      </c>
      <c r="D49" s="33" t="str">
        <f>IFERROR(VLOOKUP(H49,[1]SEMIELABORADOS!$A$2:$M$6000,6,0),"")</f>
        <v/>
      </c>
      <c r="E49" s="33" t="str">
        <f>IFERROR(VLOOKUP(H49,[1]SEMIELABORADOS!$A$2:$M$65536,12,0),"")</f>
        <v/>
      </c>
      <c r="F49" s="33" t="str">
        <f t="shared" si="15"/>
        <v/>
      </c>
      <c r="G49" s="34" t="str">
        <f t="shared" si="16"/>
        <v/>
      </c>
      <c r="H49" s="38"/>
      <c r="I49" s="30"/>
      <c r="J49" s="36"/>
    </row>
    <row r="50" spans="1:17" ht="13.5" hidden="1" x14ac:dyDescent="0.25">
      <c r="A50" s="31">
        <f t="shared" si="13"/>
        <v>0</v>
      </c>
      <c r="B50" s="37" t="str">
        <f>IFERROR(VLOOKUP(H50,[1]SEMIELABORADOS!$A$2:$M$6000,2,0),"")</f>
        <v/>
      </c>
      <c r="C50" s="32">
        <f t="shared" si="14"/>
        <v>0</v>
      </c>
      <c r="D50" s="33" t="str">
        <f>IFERROR(VLOOKUP(H50,[1]SEMIELABORADOS!$A$2:$M$6000,6,0),"")</f>
        <v/>
      </c>
      <c r="E50" s="33" t="str">
        <f>IFERROR(VLOOKUP(H50,[1]SEMIELABORADOS!$A$2:$M$65536,12,0),"")</f>
        <v/>
      </c>
      <c r="F50" s="33" t="str">
        <f t="shared" si="15"/>
        <v/>
      </c>
      <c r="G50" s="34" t="str">
        <f t="shared" si="16"/>
        <v/>
      </c>
      <c r="H50" s="37"/>
      <c r="I50" s="30"/>
      <c r="J50" s="36"/>
    </row>
    <row r="51" spans="1:17" ht="13.5" x14ac:dyDescent="0.25">
      <c r="A51" s="31">
        <v>1</v>
      </c>
      <c r="B51" s="37" t="s">
        <v>70</v>
      </c>
      <c r="C51" s="32">
        <f>+A51</f>
        <v>1</v>
      </c>
      <c r="D51" s="32" t="s">
        <v>71</v>
      </c>
      <c r="E51" s="33">
        <f>+F65</f>
        <v>275</v>
      </c>
      <c r="F51" s="33">
        <f>IFERROR(C51*E51,"")</f>
        <v>275</v>
      </c>
      <c r="G51" s="34">
        <f>IFERROR(F51/$F$66,"")</f>
        <v>7.9056960930501657E-2</v>
      </c>
      <c r="H51" s="42"/>
      <c r="I51" s="42"/>
      <c r="J51" s="36"/>
    </row>
    <row r="52" spans="1:17" ht="14.25" thickBot="1" x14ac:dyDescent="0.3">
      <c r="A52" s="31"/>
      <c r="B52" s="37"/>
      <c r="C52" s="32"/>
      <c r="D52" s="32"/>
      <c r="E52" s="33"/>
      <c r="F52" s="33"/>
      <c r="G52" s="34"/>
      <c r="H52" s="42"/>
      <c r="I52" s="42"/>
      <c r="J52" s="36"/>
    </row>
    <row r="53" spans="1:17" ht="13.5" thickBot="1" x14ac:dyDescent="0.25">
      <c r="A53" s="43"/>
      <c r="B53" s="216" t="s">
        <v>72</v>
      </c>
      <c r="C53" s="216"/>
      <c r="D53" s="216"/>
      <c r="E53" s="216"/>
      <c r="F53" s="45">
        <f>SUM(F8:F14,F17:F24)</f>
        <v>3068.4</v>
      </c>
      <c r="G53" s="34">
        <f>+F53/$F$66</f>
        <v>0.88210319606964105</v>
      </c>
      <c r="H53" s="46">
        <f>+F53/$D$60</f>
        <v>3068.4</v>
      </c>
      <c r="I53" s="46"/>
      <c r="J53" s="47"/>
      <c r="K53" s="48"/>
      <c r="L53" s="48"/>
      <c r="M53" s="48"/>
      <c r="N53" s="48"/>
      <c r="O53" s="48"/>
      <c r="P53" s="48"/>
      <c r="Q53" s="49"/>
    </row>
    <row r="54" spans="1:17" x14ac:dyDescent="0.2">
      <c r="A54" s="43"/>
      <c r="B54" s="216" t="s">
        <v>73</v>
      </c>
      <c r="C54" s="216"/>
      <c r="D54" s="216"/>
      <c r="E54" s="216"/>
      <c r="F54" s="45">
        <f>SUM(F27:F32,F35:F41)</f>
        <v>73.736571428571438</v>
      </c>
      <c r="G54" s="34">
        <f>+F54/$F$66</f>
        <v>2.1197779078464426E-2</v>
      </c>
      <c r="H54" s="46">
        <f>+F54/$D$60</f>
        <v>73.736571428571438</v>
      </c>
      <c r="I54" s="46"/>
      <c r="J54" s="50"/>
      <c r="K54" s="217" t="s">
        <v>74</v>
      </c>
      <c r="L54" s="218"/>
      <c r="M54" s="218"/>
      <c r="N54" s="218"/>
      <c r="O54" s="51">
        <f>+F55</f>
        <v>3142.1365714285716</v>
      </c>
      <c r="P54" s="51"/>
      <c r="Q54" s="52"/>
    </row>
    <row r="55" spans="1:17" x14ac:dyDescent="0.2">
      <c r="A55" s="43"/>
      <c r="B55" s="216" t="s">
        <v>75</v>
      </c>
      <c r="C55" s="216"/>
      <c r="D55" s="216"/>
      <c r="E55" s="216"/>
      <c r="F55" s="45">
        <f>+F53+F54</f>
        <v>3142.1365714285716</v>
      </c>
      <c r="G55" s="34">
        <f>+F55/$F$66</f>
        <v>0.90330097514810559</v>
      </c>
      <c r="H55" s="46">
        <f>+F55/$D$60</f>
        <v>3142.1365714285716</v>
      </c>
      <c r="I55" s="46"/>
      <c r="J55" s="53"/>
      <c r="K55" s="54"/>
      <c r="L55" s="55" t="s">
        <v>76</v>
      </c>
      <c r="M55" s="55"/>
      <c r="N55" s="56">
        <v>0.18</v>
      </c>
      <c r="O55" s="51">
        <f>+O54*N55</f>
        <v>565.58458285714289</v>
      </c>
      <c r="P55" s="51"/>
      <c r="Q55" s="52"/>
    </row>
    <row r="56" spans="1:17" ht="13.5" thickBot="1" x14ac:dyDescent="0.25">
      <c r="A56" s="43"/>
      <c r="B56" s="44"/>
      <c r="C56" s="216" t="s">
        <v>77</v>
      </c>
      <c r="D56" s="216"/>
      <c r="E56" s="216"/>
      <c r="F56" s="45">
        <f>SUM(F44:F51)</f>
        <v>275</v>
      </c>
      <c r="G56" s="34">
        <f>+F56/$F$66</f>
        <v>7.9056960930501657E-2</v>
      </c>
      <c r="H56" s="46">
        <f>+F56/$D$60</f>
        <v>275</v>
      </c>
      <c r="I56" s="46"/>
      <c r="J56" s="53"/>
      <c r="K56" s="54"/>
      <c r="L56" s="54"/>
      <c r="M56" s="54" t="s">
        <v>78</v>
      </c>
      <c r="N56" s="57"/>
      <c r="O56" s="51">
        <f>O54*N56</f>
        <v>0</v>
      </c>
      <c r="P56" s="51"/>
      <c r="Q56" s="52"/>
    </row>
    <row r="57" spans="1:17" ht="13.5" thickBot="1" x14ac:dyDescent="0.25">
      <c r="A57" s="43"/>
      <c r="B57" s="58"/>
      <c r="C57" s="58"/>
      <c r="D57" s="58"/>
      <c r="E57" s="58"/>
      <c r="F57" s="59"/>
      <c r="G57" s="34"/>
      <c r="H57" s="60"/>
      <c r="I57" s="46"/>
      <c r="J57" s="53"/>
      <c r="K57" s="61"/>
      <c r="M57" s="62" t="s">
        <v>79</v>
      </c>
      <c r="N57" s="63"/>
      <c r="O57" s="64">
        <f>SUM(O54:O56)</f>
        <v>3707.7211542857144</v>
      </c>
      <c r="P57" s="65"/>
      <c r="Q57" s="52"/>
    </row>
    <row r="58" spans="1:17" x14ac:dyDescent="0.2">
      <c r="B58" s="220" t="s">
        <v>80</v>
      </c>
      <c r="C58" s="220"/>
      <c r="D58" s="66">
        <v>3318</v>
      </c>
      <c r="E58" s="67"/>
      <c r="G58" s="34"/>
      <c r="H58" s="60"/>
      <c r="I58" s="68"/>
      <c r="J58" s="53"/>
      <c r="K58" s="61"/>
      <c r="L58" s="54"/>
      <c r="M58" s="54" t="s">
        <v>81</v>
      </c>
      <c r="N58" s="69">
        <v>0.15</v>
      </c>
      <c r="O58" s="51">
        <f>+O54*N58</f>
        <v>471.32048571428572</v>
      </c>
      <c r="P58" s="51"/>
      <c r="Q58" s="52"/>
    </row>
    <row r="59" spans="1:17" x14ac:dyDescent="0.2">
      <c r="B59" s="220" t="s">
        <v>82</v>
      </c>
      <c r="C59" s="220"/>
      <c r="D59" s="70">
        <v>3318</v>
      </c>
      <c r="E59" s="67"/>
      <c r="G59" s="34"/>
      <c r="H59" s="60"/>
      <c r="I59" s="68"/>
      <c r="J59" s="53"/>
      <c r="K59" s="61"/>
      <c r="L59" s="54"/>
      <c r="M59" s="221" t="s">
        <v>79</v>
      </c>
      <c r="N59" s="221"/>
      <c r="O59" s="51">
        <f>SUM(O57:O58)</f>
        <v>4179.0416400000004</v>
      </c>
      <c r="P59" s="51"/>
      <c r="Q59" s="52"/>
    </row>
    <row r="60" spans="1:17" ht="13.5" thickBot="1" x14ac:dyDescent="0.25">
      <c r="B60" s="222" t="s">
        <v>83</v>
      </c>
      <c r="C60" s="222"/>
      <c r="D60" s="66">
        <f>+D58/D59</f>
        <v>1</v>
      </c>
      <c r="E60" s="67"/>
      <c r="F60" s="71"/>
      <c r="G60" s="34"/>
      <c r="H60" s="60"/>
      <c r="I60" s="68"/>
      <c r="J60" s="53"/>
      <c r="K60" s="61"/>
      <c r="L60" s="221"/>
      <c r="M60" s="221"/>
      <c r="N60" s="69"/>
      <c r="O60" s="51">
        <f>+O59*N60</f>
        <v>0</v>
      </c>
      <c r="P60" s="51"/>
      <c r="Q60" s="52"/>
    </row>
    <row r="61" spans="1:17" ht="13.5" thickBot="1" x14ac:dyDescent="0.25">
      <c r="B61" s="222" t="s">
        <v>84</v>
      </c>
      <c r="C61" s="222"/>
      <c r="D61" s="72"/>
      <c r="E61" s="67"/>
      <c r="F61" s="71"/>
      <c r="G61" s="34"/>
      <c r="H61" s="60"/>
      <c r="I61" s="68"/>
      <c r="J61" s="53"/>
      <c r="K61" s="223" t="s">
        <v>85</v>
      </c>
      <c r="L61" s="224"/>
      <c r="M61" s="224"/>
      <c r="N61" s="225"/>
      <c r="O61" s="64">
        <f>SUM(O59:O60)</f>
        <v>4179.0416400000004</v>
      </c>
      <c r="P61" s="73" t="s">
        <v>86</v>
      </c>
      <c r="Q61" s="52"/>
    </row>
    <row r="62" spans="1:17" ht="13.5" thickBot="1" x14ac:dyDescent="0.25">
      <c r="C62" s="43" t="s">
        <v>87</v>
      </c>
      <c r="D62" s="74"/>
      <c r="E62" s="17" t="s">
        <v>88</v>
      </c>
      <c r="F62" s="75" t="s">
        <v>89</v>
      </c>
      <c r="G62" s="34"/>
      <c r="H62" s="60"/>
      <c r="I62" s="68"/>
      <c r="J62" s="76"/>
      <c r="K62" s="77"/>
      <c r="L62" s="231" t="s">
        <v>90</v>
      </c>
      <c r="M62" s="231"/>
      <c r="N62" s="231"/>
      <c r="O62" s="78">
        <f>+O61/D60</f>
        <v>4179.0416400000004</v>
      </c>
      <c r="P62" s="79">
        <f>+O62/D59</f>
        <v>1.2595062206148284</v>
      </c>
      <c r="Q62" s="80"/>
    </row>
    <row r="63" spans="1:17" ht="13.5" thickBot="1" x14ac:dyDescent="0.25">
      <c r="B63" s="232" t="s">
        <v>75</v>
      </c>
      <c r="C63" s="232"/>
      <c r="D63" s="232"/>
      <c r="E63" s="81">
        <f>+F63/F63</f>
        <v>1</v>
      </c>
      <c r="F63" s="82">
        <f>SUM(F55)</f>
        <v>3142.1365714285716</v>
      </c>
      <c r="G63" s="34">
        <f>+F63/$F$66</f>
        <v>0.90330097514810559</v>
      </c>
      <c r="H63" s="60"/>
      <c r="I63" s="68"/>
      <c r="K63" s="233"/>
      <c r="L63" s="234"/>
      <c r="M63" s="234"/>
      <c r="N63" s="234"/>
      <c r="O63" s="83"/>
      <c r="P63" s="84"/>
    </row>
    <row r="64" spans="1:17" ht="13.5" thickBot="1" x14ac:dyDescent="0.25">
      <c r="B64" s="235" t="s">
        <v>91</v>
      </c>
      <c r="C64" s="235"/>
      <c r="D64" s="235"/>
      <c r="E64" s="85">
        <v>0.02</v>
      </c>
      <c r="F64" s="82">
        <f>+F53*E64</f>
        <v>61.368000000000002</v>
      </c>
      <c r="G64" s="34">
        <f>+F64/$F$66</f>
        <v>1.7642063921392823E-2</v>
      </c>
      <c r="H64" s="46"/>
      <c r="I64" s="68"/>
      <c r="J64" s="86"/>
      <c r="O64" s="87"/>
      <c r="P64" s="44"/>
    </row>
    <row r="65" spans="2:10" ht="13.5" thickBot="1" x14ac:dyDescent="0.25">
      <c r="B65" s="236" t="s">
        <v>92</v>
      </c>
      <c r="C65" s="237"/>
      <c r="D65" s="88">
        <v>5</v>
      </c>
      <c r="E65" s="89">
        <v>55</v>
      </c>
      <c r="F65" s="82">
        <f>+E65*D65</f>
        <v>275</v>
      </c>
      <c r="G65" s="34">
        <f>+F65/$F$66</f>
        <v>7.9056960930501657E-2</v>
      </c>
      <c r="H65" s="46"/>
      <c r="I65" s="46"/>
      <c r="J65" s="36"/>
    </row>
    <row r="66" spans="2:10" ht="13.5" thickBot="1" x14ac:dyDescent="0.25">
      <c r="B66" s="238" t="s">
        <v>93</v>
      </c>
      <c r="C66" s="239"/>
      <c r="D66" s="239"/>
      <c r="E66" s="240"/>
      <c r="F66" s="59">
        <f>SUM(F63:F65)</f>
        <v>3478.5045714285716</v>
      </c>
      <c r="G66" s="34">
        <f>+F66/$F$66</f>
        <v>1</v>
      </c>
      <c r="H66" s="219"/>
      <c r="I66" s="46"/>
      <c r="J66" s="36"/>
    </row>
    <row r="67" spans="2:10" x14ac:dyDescent="0.2">
      <c r="C67" s="41"/>
      <c r="D67" s="41"/>
      <c r="E67" s="91"/>
      <c r="F67" s="82"/>
      <c r="G67" s="34"/>
      <c r="H67" s="219"/>
      <c r="I67" s="90"/>
      <c r="J67" s="19"/>
    </row>
    <row r="68" spans="2:10" ht="13.5" thickBot="1" x14ac:dyDescent="0.25">
      <c r="B68" s="226" t="s">
        <v>94</v>
      </c>
      <c r="C68" s="226"/>
      <c r="D68" s="226"/>
      <c r="E68" s="226"/>
      <c r="F68" s="226"/>
      <c r="G68" s="34"/>
      <c r="H68" s="93"/>
      <c r="I68" s="90"/>
      <c r="J68" s="19"/>
    </row>
    <row r="69" spans="2:10" ht="13.5" thickBot="1" x14ac:dyDescent="0.25">
      <c r="B69" s="94" t="s">
        <v>95</v>
      </c>
      <c r="C69" s="95">
        <f>+F53</f>
        <v>3068.4</v>
      </c>
      <c r="D69" s="95">
        <f>+D58</f>
        <v>3318</v>
      </c>
      <c r="E69" s="96">
        <f>+C69/D69</f>
        <v>0.9247739602169982</v>
      </c>
      <c r="F69" s="34"/>
      <c r="G69" s="93"/>
      <c r="H69" s="36"/>
      <c r="I69" s="93"/>
      <c r="J69" s="19"/>
    </row>
    <row r="70" spans="2:10" x14ac:dyDescent="0.2">
      <c r="B70" s="97"/>
      <c r="C70" s="98"/>
      <c r="D70" s="99"/>
      <c r="E70" s="82"/>
      <c r="F70" s="34"/>
      <c r="G70" s="93"/>
      <c r="H70" s="36"/>
      <c r="I70" s="36"/>
      <c r="J70" s="19"/>
    </row>
    <row r="71" spans="2:10" x14ac:dyDescent="0.2">
      <c r="B71" s="94" t="s">
        <v>96</v>
      </c>
      <c r="C71" s="95">
        <f>SUM(F63:F64)</f>
        <v>3203.5045714285716</v>
      </c>
      <c r="D71" s="95">
        <f>+D58</f>
        <v>3318</v>
      </c>
      <c r="E71" s="100">
        <f>+C71/D71</f>
        <v>0.96549263756135373</v>
      </c>
      <c r="F71" s="34"/>
      <c r="G71" s="93"/>
      <c r="H71" s="36"/>
      <c r="I71" s="36"/>
      <c r="J71" s="19"/>
    </row>
    <row r="72" spans="2:10" x14ac:dyDescent="0.2">
      <c r="B72" s="94"/>
      <c r="C72" s="95"/>
      <c r="D72" s="95"/>
      <c r="E72" s="100"/>
      <c r="F72" s="34"/>
      <c r="G72" s="93"/>
      <c r="H72" s="36"/>
      <c r="I72" s="36"/>
      <c r="J72" s="19"/>
    </row>
    <row r="73" spans="2:10" ht="13.5" thickBot="1" x14ac:dyDescent="0.25">
      <c r="B73" s="94" t="s">
        <v>97</v>
      </c>
      <c r="C73" s="95">
        <f>+F65</f>
        <v>275</v>
      </c>
      <c r="D73" s="95">
        <f>+D58</f>
        <v>3318</v>
      </c>
      <c r="E73" s="100">
        <f>+C73/D73</f>
        <v>8.2881253767329716E-2</v>
      </c>
      <c r="F73" s="34"/>
      <c r="G73" s="93"/>
      <c r="H73" s="36"/>
      <c r="I73" s="36"/>
      <c r="J73" s="19"/>
    </row>
    <row r="74" spans="2:10" ht="13.5" thickBot="1" x14ac:dyDescent="0.25">
      <c r="B74" s="94" t="s">
        <v>98</v>
      </c>
      <c r="C74" s="95">
        <f>+F56</f>
        <v>275</v>
      </c>
      <c r="D74" s="95">
        <f>+D73</f>
        <v>3318</v>
      </c>
      <c r="E74" s="96">
        <f>+C74/D74</f>
        <v>8.2881253767329716E-2</v>
      </c>
      <c r="F74" s="34"/>
      <c r="G74" s="93"/>
      <c r="H74" s="36"/>
      <c r="I74" s="36"/>
      <c r="J74" s="19"/>
    </row>
    <row r="75" spans="2:10" ht="13.5" thickBot="1" x14ac:dyDescent="0.25">
      <c r="B75" s="58"/>
      <c r="C75" s="59"/>
      <c r="D75" s="59"/>
      <c r="E75" s="100"/>
      <c r="F75" s="34"/>
      <c r="G75" s="93"/>
      <c r="H75" s="36"/>
      <c r="I75" s="36"/>
      <c r="J75" s="19"/>
    </row>
    <row r="76" spans="2:10" ht="13.5" thickBot="1" x14ac:dyDescent="0.25">
      <c r="B76" s="94" t="s">
        <v>99</v>
      </c>
      <c r="C76" s="95">
        <f>+F54</f>
        <v>73.736571428571438</v>
      </c>
      <c r="D76" s="95">
        <f>+D74</f>
        <v>3318</v>
      </c>
      <c r="E76" s="96">
        <f>+C76/D76</f>
        <v>2.2223198140015502E-2</v>
      </c>
      <c r="F76" s="34"/>
      <c r="G76" s="93"/>
      <c r="H76" s="36"/>
      <c r="I76" s="36"/>
      <c r="J76" s="36"/>
    </row>
    <row r="77" spans="2:10" ht="13.5" thickBot="1" x14ac:dyDescent="0.25">
      <c r="B77" s="58"/>
      <c r="C77" s="59"/>
      <c r="D77" s="59"/>
      <c r="E77" s="100"/>
      <c r="F77" s="34"/>
      <c r="G77" s="93"/>
      <c r="H77" s="36"/>
      <c r="I77" s="36"/>
    </row>
    <row r="78" spans="2:10" ht="13.5" thickBot="1" x14ac:dyDescent="0.25">
      <c r="B78" s="227" t="s">
        <v>100</v>
      </c>
      <c r="C78" s="228"/>
      <c r="D78" s="229"/>
      <c r="E78" s="96">
        <f>+E69+E74</f>
        <v>1.007655213984328</v>
      </c>
      <c r="G78" s="34"/>
      <c r="H78" s="93"/>
      <c r="I78" s="36"/>
      <c r="J78" s="100"/>
    </row>
    <row r="79" spans="2:10" x14ac:dyDescent="0.2">
      <c r="I79" s="93"/>
      <c r="J79" s="19"/>
    </row>
    <row r="80" spans="2:10" ht="13.5" thickBot="1" x14ac:dyDescent="0.25">
      <c r="B80" s="226" t="s">
        <v>101</v>
      </c>
      <c r="C80" s="226"/>
      <c r="D80" s="226"/>
      <c r="E80" s="226"/>
      <c r="F80" s="226"/>
      <c r="G80" s="34"/>
      <c r="H80" s="93"/>
      <c r="J80" s="19"/>
    </row>
    <row r="81" spans="1:10" ht="13.5" thickBot="1" x14ac:dyDescent="0.25">
      <c r="B81" s="94" t="s">
        <v>95</v>
      </c>
      <c r="C81" s="95">
        <f>+C69</f>
        <v>3068.4</v>
      </c>
      <c r="D81" s="95">
        <f>+D60</f>
        <v>1</v>
      </c>
      <c r="E81" s="96">
        <f>+C81/D81</f>
        <v>3068.4</v>
      </c>
      <c r="F81" s="34"/>
      <c r="G81" s="93"/>
      <c r="H81" s="36"/>
      <c r="I81" s="93"/>
      <c r="J81" s="19"/>
    </row>
    <row r="82" spans="1:10" x14ac:dyDescent="0.2">
      <c r="B82" s="97"/>
      <c r="C82" s="98"/>
      <c r="D82" s="99"/>
      <c r="E82" s="82"/>
      <c r="F82" s="34"/>
      <c r="G82" s="93"/>
      <c r="H82" s="36"/>
      <c r="I82" s="36"/>
      <c r="J82" s="19"/>
    </row>
    <row r="83" spans="1:10" x14ac:dyDescent="0.2">
      <c r="B83" s="94" t="s">
        <v>96</v>
      </c>
      <c r="C83" s="95">
        <f>+C71</f>
        <v>3203.5045714285716</v>
      </c>
      <c r="D83" s="95">
        <f>+D60</f>
        <v>1</v>
      </c>
      <c r="E83" s="100">
        <f>+C83/D83</f>
        <v>3203.5045714285716</v>
      </c>
      <c r="F83" s="34"/>
      <c r="G83" s="93"/>
      <c r="H83" s="36"/>
      <c r="I83" s="36"/>
      <c r="J83" s="19"/>
    </row>
    <row r="84" spans="1:10" x14ac:dyDescent="0.2">
      <c r="B84" s="94"/>
      <c r="C84" s="95"/>
      <c r="D84" s="95"/>
      <c r="E84" s="100"/>
      <c r="F84" s="34"/>
      <c r="G84" s="93"/>
      <c r="H84" s="36"/>
      <c r="I84" s="36"/>
      <c r="J84" s="19"/>
    </row>
    <row r="85" spans="1:10" ht="13.5" thickBot="1" x14ac:dyDescent="0.25">
      <c r="B85" s="94" t="s">
        <v>98</v>
      </c>
      <c r="C85" s="95">
        <f>+C73</f>
        <v>275</v>
      </c>
      <c r="D85" s="95">
        <f>+D60</f>
        <v>1</v>
      </c>
      <c r="E85" s="100">
        <f>+C85/D85</f>
        <v>275</v>
      </c>
      <c r="F85" s="102"/>
      <c r="G85" s="92"/>
      <c r="H85" s="18"/>
      <c r="I85" s="36"/>
    </row>
    <row r="86" spans="1:10" ht="13.5" thickBot="1" x14ac:dyDescent="0.25">
      <c r="B86" s="94" t="s">
        <v>98</v>
      </c>
      <c r="C86" s="95">
        <f>+C74</f>
        <v>275</v>
      </c>
      <c r="D86" s="95">
        <f>+D85</f>
        <v>1</v>
      </c>
      <c r="E86" s="96">
        <f>+C86/D86</f>
        <v>275</v>
      </c>
      <c r="F86" s="101"/>
      <c r="G86" s="92"/>
      <c r="H86" s="18"/>
      <c r="I86" s="18"/>
    </row>
    <row r="87" spans="1:10" x14ac:dyDescent="0.2">
      <c r="I87" s="18"/>
    </row>
    <row r="88" spans="1:10" x14ac:dyDescent="0.2">
      <c r="A88" s="230"/>
      <c r="B88" s="230"/>
      <c r="C88" s="103"/>
      <c r="D88" s="103"/>
      <c r="E88" s="104"/>
      <c r="G88" s="105"/>
    </row>
    <row r="89" spans="1:10" x14ac:dyDescent="0.2">
      <c r="A89" s="37"/>
      <c r="B89" s="106"/>
      <c r="C89" s="107"/>
      <c r="D89" s="107"/>
      <c r="E89" s="108"/>
      <c r="G89" s="105"/>
    </row>
    <row r="90" spans="1:10" x14ac:dyDescent="0.2">
      <c r="A90" s="37"/>
      <c r="B90" s="106"/>
      <c r="C90" s="109"/>
      <c r="D90" s="109"/>
      <c r="E90" s="37"/>
      <c r="G90" s="105"/>
    </row>
    <row r="91" spans="1:10" x14ac:dyDescent="0.2">
      <c r="A91" s="37"/>
      <c r="B91" s="106"/>
      <c r="C91" s="110"/>
      <c r="D91" s="110"/>
      <c r="E91" s="37"/>
      <c r="G91" s="105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M59:N59"/>
    <mergeCell ref="B60:C60"/>
    <mergeCell ref="L60:M60"/>
    <mergeCell ref="B61:C61"/>
    <mergeCell ref="K61:N61"/>
    <mergeCell ref="B55:E55"/>
    <mergeCell ref="C56:E56"/>
    <mergeCell ref="H66:H67"/>
    <mergeCell ref="B58:C58"/>
    <mergeCell ref="B59:C59"/>
    <mergeCell ref="K29:L29"/>
    <mergeCell ref="K30:L30"/>
    <mergeCell ref="B53:E53"/>
    <mergeCell ref="B54:E54"/>
    <mergeCell ref="K54:N54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3EB351AD-D8B3-4581-B85A-E7FD5AF9CF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AF8846-1D42-4B85-B8BB-B8E3DC9CE4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8EC51B-4605-4699-948F-11871B08E818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9CF655D-8D6A-4D29-9E6A-05B5CEF99F3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Receta</vt:lpstr>
      <vt:lpstr>COSTO</vt:lpstr>
      <vt:lpstr>Receta!Área_de_impresión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Spoon</dc:creator>
  <cp:lastModifiedBy>Allan Brenes</cp:lastModifiedBy>
  <cp:lastPrinted>2025-10-20T16:38:09Z</cp:lastPrinted>
  <dcterms:created xsi:type="dcterms:W3CDTF">2003-03-11T22:35:36Z</dcterms:created>
  <dcterms:modified xsi:type="dcterms:W3CDTF">2025-10-20T17:30:33Z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103600.000000000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</Properties>
</file>
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18" documentId="8_{D84178A9-ABE3-4A7A-A885-2A53E0FFE28D}" xr6:coauthVersionLast="47" xr6:coauthVersionMax="47" xr10:uidLastSave="{6E3275AC-AFA7-436C-AD23-02594CB55227}"/>
  <bookViews>
    <workbookView xWindow="-120" yWindow="-120" windowWidth="29040" windowHeight="15840" xr2:uid="{81FC9A41-EDCD-4EAF-AC2A-86EDA50B0A52}"/>
  </bookViews>
  <sheets>
    <sheet name="Hoja1" sheetId="6" r:id="rId1"/>
    <sheet name="COSTO ENSAMBLE " sheetId="5" state="hidden" r:id="rId2"/>
  </sheets>
  <externalReferences>
    <externalReference r:id="rId3"/>
    <externalReference r:id="rId4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D73" i="5"/>
  <c r="D74" i="5"/>
  <c r="D76" i="5"/>
  <c r="D71" i="5"/>
  <c r="D69" i="5"/>
  <c r="F65" i="5"/>
  <c r="C73" i="5"/>
  <c r="C85" i="5"/>
  <c r="D60" i="5"/>
  <c r="D85" i="5"/>
  <c r="D86" i="5"/>
  <c r="E51" i="5"/>
  <c r="C51" i="5"/>
  <c r="F51" i="5"/>
  <c r="E50" i="5"/>
  <c r="D50" i="5"/>
  <c r="B50" i="5"/>
  <c r="E49" i="5"/>
  <c r="D49" i="5"/>
  <c r="B49" i="5"/>
  <c r="A49" i="5"/>
  <c r="C49" i="5"/>
  <c r="E48" i="5"/>
  <c r="D48" i="5"/>
  <c r="B48" i="5"/>
  <c r="E47" i="5"/>
  <c r="D47" i="5"/>
  <c r="B47" i="5"/>
  <c r="D45" i="5"/>
  <c r="B45" i="5"/>
  <c r="A45" i="5"/>
  <c r="C45" i="5"/>
  <c r="E41" i="5"/>
  <c r="D41" i="5"/>
  <c r="C41" i="5"/>
  <c r="B41" i="5"/>
  <c r="A41" i="5"/>
  <c r="A50" i="5"/>
  <c r="C50" i="5"/>
  <c r="E40" i="5"/>
  <c r="D40" i="5"/>
  <c r="B40" i="5"/>
  <c r="A40" i="5"/>
  <c r="C40" i="5"/>
  <c r="E39" i="5"/>
  <c r="D39" i="5"/>
  <c r="B39" i="5"/>
  <c r="A39" i="5"/>
  <c r="C39" i="5"/>
  <c r="E38" i="5"/>
  <c r="D38" i="5"/>
  <c r="B38" i="5"/>
  <c r="A38" i="5"/>
  <c r="C38" i="5"/>
  <c r="C37" i="5"/>
  <c r="A37" i="5"/>
  <c r="A46" i="5"/>
  <c r="C46" i="5"/>
  <c r="E36" i="5"/>
  <c r="D36" i="5"/>
  <c r="B36" i="5"/>
  <c r="A36" i="5"/>
  <c r="C36" i="5"/>
  <c r="A35" i="5"/>
  <c r="C35" i="5"/>
  <c r="D32" i="5"/>
  <c r="C32" i="5"/>
  <c r="B32" i="5"/>
  <c r="E31" i="5"/>
  <c r="D31" i="5"/>
  <c r="C31" i="5"/>
  <c r="B31" i="5"/>
  <c r="D30" i="5"/>
  <c r="C30" i="5"/>
  <c r="B30" i="5"/>
  <c r="E29" i="5"/>
  <c r="D29" i="5"/>
  <c r="C29" i="5"/>
  <c r="B29" i="5"/>
  <c r="E28" i="5"/>
  <c r="D28" i="5"/>
  <c r="C28" i="5"/>
  <c r="B28" i="5"/>
  <c r="C27" i="5"/>
  <c r="B27" i="5"/>
  <c r="E24" i="5"/>
  <c r="F24" i="5"/>
  <c r="D24" i="5"/>
  <c r="C24" i="5"/>
  <c r="B24" i="5"/>
  <c r="E23" i="5"/>
  <c r="F23" i="5"/>
  <c r="D23" i="5"/>
  <c r="C23" i="5"/>
  <c r="B23" i="5"/>
  <c r="E22" i="5"/>
  <c r="D22" i="5"/>
  <c r="C22" i="5"/>
  <c r="B22" i="5"/>
  <c r="E21" i="5"/>
  <c r="F21" i="5"/>
  <c r="D21" i="5"/>
  <c r="C21" i="5"/>
  <c r="B21" i="5"/>
  <c r="E20" i="5"/>
  <c r="D20" i="5"/>
  <c r="C20" i="5"/>
  <c r="B20" i="5"/>
  <c r="C19" i="5"/>
  <c r="F18" i="5"/>
  <c r="D18" i="5"/>
  <c r="C18" i="5"/>
  <c r="B18" i="5"/>
  <c r="C17" i="5"/>
  <c r="F17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D9" i="5"/>
  <c r="C9" i="5"/>
  <c r="B9" i="5"/>
  <c r="C8" i="5"/>
  <c r="H6" i="5"/>
  <c r="E85" i="5"/>
  <c r="F40" i="5"/>
  <c r="F22" i="5"/>
  <c r="F41" i="5"/>
  <c r="F10" i="5"/>
  <c r="F11" i="5"/>
  <c r="F12" i="5"/>
  <c r="F13" i="5"/>
  <c r="F14" i="5"/>
  <c r="F38" i="5"/>
  <c r="F20" i="5"/>
  <c r="F27" i="5"/>
  <c r="F28" i="5"/>
  <c r="F29" i="5"/>
  <c r="F30" i="5"/>
  <c r="F31" i="5"/>
  <c r="F32" i="5"/>
  <c r="F9" i="5"/>
  <c r="F46" i="5"/>
  <c r="F37" i="5"/>
  <c r="F19" i="5"/>
  <c r="F36" i="5"/>
  <c r="F45" i="5"/>
  <c r="F8" i="5"/>
  <c r="F35" i="5"/>
  <c r="F39" i="5"/>
  <c r="F50" i="5"/>
  <c r="F49" i="5"/>
  <c r="E73" i="5"/>
  <c r="D83" i="5"/>
  <c r="A44" i="5"/>
  <c r="C44" i="5"/>
  <c r="F44" i="5"/>
  <c r="A48" i="5"/>
  <c r="C48" i="5"/>
  <c r="F48" i="5"/>
  <c r="D81" i="5"/>
  <c r="A47" i="5"/>
  <c r="C47" i="5"/>
  <c r="F47" i="5"/>
  <c r="F53" i="5"/>
  <c r="H53" i="5"/>
  <c r="F2" i="5"/>
  <c r="F56" i="5"/>
  <c r="F54" i="5"/>
  <c r="F57" i="5"/>
  <c r="F58" i="5"/>
  <c r="O55" i="5"/>
  <c r="F64" i="5"/>
  <c r="C69" i="5"/>
  <c r="E69" i="5"/>
  <c r="F55" i="5"/>
  <c r="F63" i="5"/>
  <c r="H56" i="5"/>
  <c r="C74" i="5"/>
  <c r="H54" i="5"/>
  <c r="G2" i="5"/>
  <c r="C76" i="5"/>
  <c r="E76" i="5"/>
  <c r="C81" i="5"/>
  <c r="E81" i="5"/>
  <c r="H55" i="5"/>
  <c r="O54" i="5"/>
  <c r="O56" i="5"/>
  <c r="E74" i="5"/>
  <c r="E78" i="5"/>
  <c r="C86" i="5"/>
  <c r="E86" i="5"/>
  <c r="C71" i="5"/>
  <c r="E63" i="5"/>
  <c r="F66" i="5"/>
  <c r="H2" i="5"/>
  <c r="H58" i="5"/>
  <c r="H59" i="5"/>
  <c r="O57" i="5"/>
  <c r="O59" i="5"/>
  <c r="G66" i="5"/>
  <c r="G19" i="5"/>
  <c r="G11" i="5"/>
  <c r="G17" i="5"/>
  <c r="G46" i="5"/>
  <c r="G22" i="5"/>
  <c r="G40" i="5"/>
  <c r="G20" i="5"/>
  <c r="G21" i="5"/>
  <c r="G8" i="5"/>
  <c r="G12" i="5"/>
  <c r="G23" i="5"/>
  <c r="G37" i="5"/>
  <c r="G65" i="5"/>
  <c r="G24" i="5"/>
  <c r="G41" i="5"/>
  <c r="G28" i="5"/>
  <c r="G9" i="5"/>
  <c r="G13" i="5"/>
  <c r="G29" i="5"/>
  <c r="G35" i="5"/>
  <c r="G30" i="5"/>
  <c r="G27" i="5"/>
  <c r="G31" i="5"/>
  <c r="G32" i="5"/>
  <c r="G10" i="5"/>
  <c r="G14" i="5"/>
  <c r="G36" i="5"/>
  <c r="G45" i="5"/>
  <c r="G18" i="5"/>
  <c r="G38" i="5"/>
  <c r="G51" i="5"/>
  <c r="G47" i="5"/>
  <c r="G39" i="5"/>
  <c r="G53" i="5"/>
  <c r="G44" i="5"/>
  <c r="G50" i="5"/>
  <c r="G48" i="5"/>
  <c r="G49" i="5"/>
  <c r="G54" i="5"/>
  <c r="G55" i="5"/>
  <c r="G56" i="5"/>
  <c r="G64" i="5"/>
  <c r="C83" i="5"/>
  <c r="E83" i="5"/>
  <c r="E71" i="5"/>
  <c r="G63" i="5"/>
  <c r="O60" i="5"/>
  <c r="O61" i="5"/>
  <c r="O62" i="5"/>
  <c r="O65" i="5"/>
  <c r="E2" i="5"/>
  <c r="P62" i="5"/>
</calcChain>
</file>

<file path=xl/sharedStrings.xml><?xml version="1.0" encoding="utf-8"?>
<sst xmlns="http://schemas.openxmlformats.org/spreadsheetml/2006/main" count="241" uniqueCount="156">
  <si>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</si>
  <si>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</si>
  <si>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</si>
  <si>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</si>
  <si>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</si>
  <si>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</si>
  <si>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</si>
  <si>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</si>
  <si>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</si>
  <si>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</si>
  <si>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</si>
  <si>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</si>
  <si>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</si>
  <si>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</si>
  <si>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</si>
  <si>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</si>
  <si>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</si>
  <si>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</si>
  <si>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</si>
  <si>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</si>
  <si>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</si>
  <si>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</si>
  <si>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</si>
  <si>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</si>
  <si>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</si>
  <si>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</si>
  <si>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EMPAQUE</t>
  </si>
  <si>
    <t>ud</t>
  </si>
  <si>
    <t>min</t>
  </si>
  <si>
    <t>NESTLÉ</t>
  </si>
  <si>
    <t>MAYCA</t>
  </si>
  <si>
    <t xml:space="preserve">1. Cortar cada plancha por la mitad de manera transversal. </t>
  </si>
  <si>
    <t>4.- Decorar con lineas de crema usando boquilla 842 y de manera posterior distribuir en la superficie el chocolate rallado.</t>
  </si>
  <si>
    <t>2. Rellenar una mitad de rosquete con 1 taza de manjar de leche condensada.Tapar con la otra mitad.</t>
  </si>
  <si>
    <t>ETIPLAST</t>
  </si>
  <si>
    <t>CEMUSA</t>
  </si>
  <si>
    <t xml:space="preserve"> 5. Cerrar el contenedor.El etiquetado del producto debe llevar nombre, ingredientes,código, día juliano, fecha de vencimiento y etiqueta Bucca</t>
  </si>
  <si>
    <t>3.- Humedecer con almibar. Cortar 24 porciones con dimensiones aproximadas (6unidades a lo largox 4 unidades a lo ancho)</t>
  </si>
  <si>
    <t>CONTROL DE CAMBIOS</t>
  </si>
  <si>
    <t>908000021</t>
  </si>
  <si>
    <t>ALMIBAR KILO</t>
  </si>
  <si>
    <t>CREMA CHANTILLY CHOCO SPOON KILO</t>
  </si>
  <si>
    <t>51400020</t>
  </si>
  <si>
    <t>BURBUJA I-3 ALTA (CAJA:250 UND)</t>
  </si>
  <si>
    <t>INIX</t>
  </si>
  <si>
    <t>FAS</t>
  </si>
  <si>
    <t>95718</t>
  </si>
  <si>
    <t>CHOCOLATE RALLADO OSCURO</t>
  </si>
  <si>
    <t>MANJAR LECHE CONDENSADA (PAQ: 6 K)</t>
  </si>
  <si>
    <t>Rosquete Easy queque chocolate SP 1300g</t>
  </si>
  <si>
    <t>SE00314</t>
  </si>
  <si>
    <t>MP10007</t>
  </si>
  <si>
    <t>SE00005</t>
  </si>
  <si>
    <t>SE00024</t>
  </si>
  <si>
    <t>SE00392</t>
  </si>
  <si>
    <t>EM10050</t>
  </si>
  <si>
    <t>10900060</t>
  </si>
  <si>
    <t>MP10109</t>
  </si>
  <si>
    <t>EM10002</t>
  </si>
  <si>
    <t>EM10011</t>
  </si>
  <si>
    <t>EM10004</t>
  </si>
  <si>
    <t>50400003</t>
  </si>
  <si>
    <t>EM10061</t>
  </si>
  <si>
    <t>cajas</t>
  </si>
  <si>
    <t>6.- Colocar 8 unidades en la caja musmanni y tapar, colocar etiqueta con nombre y codigo, vencimiento y juliano.</t>
  </si>
  <si>
    <t>3 cajas de 8 unidades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</si>
  <si>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</si>
  <si>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</si>
  <si>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</si>
  <si>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</si>
  <si>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</si>
  <si>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</si>
  <si>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</si>
  <si>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</si>
  <si>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</si>
  <si>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</si>
  <si>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</si>
  <si>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</si>
  <si>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</si>
  <si>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</si>
  <si>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</si>
  <si>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</si>
  <si>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</si>
  <si>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</si>
  <si>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</si>
  <si>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</si>
  <si>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</si>
  <si>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</si>
  <si>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</si>
  <si>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</si>
  <si>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</si>
  <si>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</si>
  <si>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</si>
  <si>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</si>
  <si>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</si>
  <si>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</si>
  <si>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</si>
  <si>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</si>
  <si>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</si>
  <si>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</si>
  <si>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</si>
  <si>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</si>
  <si>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</si>
  <si>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</si>
  <si>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</si>
  <si>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</si>
  <si>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</si>
  <si>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</si>
  <si>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</si>
  <si>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</si>
  <si>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</si>
  <si>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</si>
  <si>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</si>
  <si>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</si>
  <si>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</si>
  <si>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</si>
  <si>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</si>
  <si>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907000296</t>
  </si>
  <si>
    <t xml:space="preserve">UND </t>
  </si>
  <si>
    <t>11400066</t>
  </si>
  <si>
    <t xml:space="preserve">Gramos </t>
  </si>
  <si>
    <t>902000149</t>
  </si>
  <si>
    <t>Gramo</t>
  </si>
  <si>
    <t>0702069</t>
  </si>
  <si>
    <t>0702123</t>
  </si>
  <si>
    <t>0702087</t>
  </si>
  <si>
    <t>0702007</t>
  </si>
  <si>
    <t>Und</t>
  </si>
  <si>
    <t>30300235 (PTI00187) Porcion Torta Selva Negra caja 8 unidades</t>
  </si>
  <si>
    <t>EM10388</t>
  </si>
  <si>
    <t>ETIQUETA TORTA SELVA NEGRA BUCCA PORCION</t>
  </si>
  <si>
    <t>Etiquetas MyL</t>
  </si>
  <si>
    <t>01</t>
  </si>
  <si>
    <t>Javier Tong, Chef</t>
  </si>
  <si>
    <t>Esteban Cartin, Gte Manufactura</t>
  </si>
  <si>
    <t>AREA QUE PRODUCE:</t>
  </si>
  <si>
    <t>Figuras</t>
  </si>
  <si>
    <t xml:space="preserve">AREA QUE EMPACA: </t>
  </si>
  <si>
    <t># Código Netsuite</t>
  </si>
  <si>
    <t>Descripción del ingrediente</t>
  </si>
  <si>
    <t>Ensamble</t>
  </si>
  <si>
    <t>ROSQUETE EASY QUEQUE CHOCOLATE SP 1300G</t>
  </si>
  <si>
    <t>1 UND</t>
  </si>
  <si>
    <t>1 TAZA</t>
  </si>
  <si>
    <t>Decoración</t>
  </si>
  <si>
    <t/>
  </si>
  <si>
    <t>CEREZA ROJA C/TALLO</t>
  </si>
  <si>
    <t>Empaque</t>
  </si>
  <si>
    <t>ETIQ.BLANCA 1 1/4 * 3/4</t>
  </si>
  <si>
    <t xml:space="preserve">ETIQUETA BLANCA 2 5/8X1 15/16 </t>
  </si>
  <si>
    <t xml:space="preserve">ETIQ.FECHA VENCIMIENTO BLANCO </t>
  </si>
  <si>
    <t>CAJA MUSMANNI #2</t>
  </si>
  <si>
    <t>PESO DE CADA PORCIÓN</t>
  </si>
  <si>
    <t>BOQUILLA 842</t>
  </si>
  <si>
    <t>1/4 CEREZA POR  UND</t>
  </si>
  <si>
    <t>ESP-RE-FIF-015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</si>
</sst>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000"/>
    <numFmt numFmtId="171" formatCode="0.0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1"/>
      <color rgb="FF000000"/>
      <name val="Aptos Narrow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3" fillId="0" borderId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/>
    <xf numFmtId="0" fontId="1" fillId="0" borderId="0"/>
    <xf numFmtId="0" fontId="9" fillId="0" borderId="0"/>
  </cellStyleXfs>
  <cellXfs count="303">
    <xf numFmtId="0" fontId="0" fillId="0" borderId="0" xfId="0"/>
    <xf numFmtId="0" fontId="5" fillId="2" borderId="0" xfId="0" applyFont="1" applyFill="1"/>
    <xf numFmtId="0" fontId="6" fillId="2" borderId="4" xfId="4" applyFont="1" applyFill="1" applyBorder="1" applyAlignment="1">
      <alignment horizontal="right"/>
    </xf>
    <xf numFmtId="0" fontId="6" fillId="2" borderId="5" xfId="4" applyFont="1" applyFill="1" applyBorder="1" applyAlignment="1">
      <alignment horizontal="right"/>
    </xf>
    <xf numFmtId="0" fontId="5" fillId="2" borderId="6" xfId="4" applyFont="1" applyFill="1" applyBorder="1" applyAlignment="1">
      <alignment horizontal="right"/>
    </xf>
    <xf numFmtId="0" fontId="5" fillId="2" borderId="5" xfId="4" applyFont="1" applyFill="1" applyBorder="1" applyAlignment="1">
      <alignment horizontal="right"/>
    </xf>
    <xf numFmtId="1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49" fontId="5" fillId="2" borderId="13" xfId="4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5" xfId="0" applyBorder="1"/>
    <xf numFmtId="49" fontId="10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1" fillId="9" borderId="0" xfId="0" applyFont="1" applyFill="1" applyAlignment="1">
      <alignment vertical="center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2" fillId="0" borderId="5" xfId="1" applyFont="1" applyFill="1" applyBorder="1" applyAlignment="1">
      <alignment horizontal="center" vertical="center"/>
    </xf>
    <xf numFmtId="166" fontId="12" fillId="0" borderId="0" xfId="1" applyFont="1" applyFill="1" applyBorder="1" applyAlignment="1">
      <alignment horizontal="center" vertical="center"/>
    </xf>
    <xf numFmtId="166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5" fillId="0" borderId="0" xfId="5" applyNumberFormat="1" applyFont="1" applyFill="1" applyAlignment="1">
      <alignment vertical="center"/>
    </xf>
    <xf numFmtId="0" fontId="11" fillId="0" borderId="0" xfId="0" applyFont="1"/>
    <xf numFmtId="49" fontId="12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6" fontId="11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6" fontId="22" fillId="0" borderId="0" xfId="1" applyFont="1" applyFill="1" applyAlignment="1">
      <alignment horizontal="center" vertical="center"/>
    </xf>
    <xf numFmtId="10" fontId="15" fillId="4" borderId="18" xfId="5" applyNumberFormat="1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4" borderId="18" xfId="0" applyFont="1" applyFill="1" applyBorder="1" applyAlignment="1">
      <alignment vertical="center"/>
    </xf>
    <xf numFmtId="166" fontId="22" fillId="4" borderId="19" xfId="1" applyFont="1" applyFill="1" applyBorder="1" applyAlignment="1">
      <alignment horizontal="center" vertical="center"/>
    </xf>
    <xf numFmtId="166" fontId="24" fillId="0" borderId="0" xfId="1" applyFont="1" applyFill="1" applyBorder="1" applyAlignment="1">
      <alignment horizontal="right"/>
    </xf>
    <xf numFmtId="0" fontId="11" fillId="4" borderId="19" xfId="0" applyFont="1" applyFill="1" applyBorder="1" applyAlignment="1">
      <alignment vertical="center"/>
    </xf>
    <xf numFmtId="10" fontId="15" fillId="4" borderId="19" xfId="5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3" fillId="0" borderId="0" xfId="0" applyFont="1"/>
    <xf numFmtId="9" fontId="23" fillId="0" borderId="0" xfId="0" applyNumberFormat="1" applyFont="1"/>
    <xf numFmtId="9" fontId="41" fillId="0" borderId="0" xfId="5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166" fontId="27" fillId="5" borderId="20" xfId="1" applyFont="1" applyFill="1" applyBorder="1" applyAlignment="1">
      <alignment horizontal="right"/>
    </xf>
    <xf numFmtId="166" fontId="27" fillId="0" borderId="0" xfId="1" applyFont="1" applyFill="1" applyBorder="1" applyAlignment="1">
      <alignment horizontal="right"/>
    </xf>
    <xf numFmtId="166" fontId="12" fillId="0" borderId="5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5" applyNumberFormat="1" applyFont="1" applyFill="1" applyAlignment="1">
      <alignment horizontal="right"/>
    </xf>
    <xf numFmtId="169" fontId="12" fillId="4" borderId="5" xfId="1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166" fontId="12" fillId="6" borderId="5" xfId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5" fillId="4" borderId="21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11" fillId="4" borderId="21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66" fontId="27" fillId="4" borderId="10" xfId="1" applyFont="1" applyFill="1" applyBorder="1" applyAlignment="1">
      <alignment horizontal="right"/>
    </xf>
    <xf numFmtId="0" fontId="12" fillId="4" borderId="11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5" fillId="0" borderId="0" xfId="5" applyNumberFormat="1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166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9" fontId="11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2" fillId="7" borderId="20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66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30" fillId="0" borderId="0" xfId="5" applyNumberFormat="1" applyFont="1" applyFill="1" applyAlignment="1">
      <alignment vertical="center"/>
    </xf>
    <xf numFmtId="166" fontId="30" fillId="0" borderId="0" xfId="1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166" fontId="11" fillId="0" borderId="0" xfId="1" applyFont="1" applyFill="1" applyBorder="1"/>
    <xf numFmtId="10" fontId="30" fillId="0" borderId="0" xfId="5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166" fontId="11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6" fontId="12" fillId="0" borderId="0" xfId="0" applyNumberFormat="1" applyFont="1"/>
    <xf numFmtId="166" fontId="11" fillId="0" borderId="0" xfId="1" applyFont="1" applyAlignment="1">
      <alignment vertical="center"/>
    </xf>
    <xf numFmtId="0" fontId="42" fillId="0" borderId="49" xfId="0" applyFont="1" applyBorder="1" applyAlignment="1">
      <alignment horizontal="center" vertical="center"/>
    </xf>
    <xf numFmtId="0" fontId="42" fillId="0" borderId="21" xfId="0" applyFont="1" applyBorder="1" applyAlignment="1">
      <alignment vertical="center"/>
    </xf>
    <xf numFmtId="14" fontId="44" fillId="2" borderId="0" xfId="7" applyNumberFormat="1" applyFont="1" applyFill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1" fontId="6" fillId="3" borderId="2" xfId="3" applyNumberFormat="1" applyFont="1" applyFill="1" applyBorder="1" applyAlignment="1">
      <alignment horizontal="center"/>
    </xf>
    <xf numFmtId="1" fontId="6" fillId="3" borderId="2" xfId="3" applyNumberFormat="1" applyFont="1" applyFill="1" applyBorder="1" applyAlignment="1">
      <alignment horizontal="center" wrapText="1"/>
    </xf>
    <xf numFmtId="0" fontId="6" fillId="3" borderId="3" xfId="3" applyFont="1" applyFill="1" applyBorder="1" applyAlignment="1">
      <alignment horizontal="center"/>
    </xf>
    <xf numFmtId="0" fontId="45" fillId="0" borderId="42" xfId="3" applyFont="1" applyBorder="1" applyAlignment="1">
      <alignment horizontal="center" vertical="center"/>
    </xf>
    <xf numFmtId="0" fontId="45" fillId="0" borderId="14" xfId="3" applyFont="1" applyBorder="1" applyAlignment="1">
      <alignment horizontal="center" vertical="center"/>
    </xf>
    <xf numFmtId="0" fontId="46" fillId="0" borderId="5" xfId="3" applyFont="1" applyBorder="1" applyAlignment="1">
      <alignment vertical="center"/>
    </xf>
    <xf numFmtId="0" fontId="45" fillId="0" borderId="5" xfId="3" applyFont="1" applyBorder="1" applyAlignment="1">
      <alignment horizontal="center" vertical="center"/>
    </xf>
    <xf numFmtId="1" fontId="45" fillId="0" borderId="5" xfId="3" applyNumberFormat="1" applyFont="1" applyBorder="1" applyAlignment="1">
      <alignment horizontal="center"/>
    </xf>
    <xf numFmtId="1" fontId="45" fillId="0" borderId="5" xfId="3" applyNumberFormat="1" applyFont="1" applyBorder="1" applyAlignment="1">
      <alignment horizontal="center" wrapText="1"/>
    </xf>
    <xf numFmtId="0" fontId="10" fillId="0" borderId="13" xfId="3" applyFont="1" applyBorder="1" applyAlignment="1">
      <alignment horizontal="center"/>
    </xf>
    <xf numFmtId="1" fontId="5" fillId="0" borderId="6" xfId="3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5" xfId="8" applyFont="1" applyBorder="1" applyAlignment="1">
      <alignment horizontal="center"/>
    </xf>
    <xf numFmtId="49" fontId="10" fillId="0" borderId="42" xfId="0" applyNumberFormat="1" applyFont="1" applyBorder="1" applyAlignment="1">
      <alignment horizontal="center"/>
    </xf>
    <xf numFmtId="49" fontId="28" fillId="0" borderId="5" xfId="0" applyNumberFormat="1" applyFont="1" applyBorder="1"/>
    <xf numFmtId="1" fontId="5" fillId="0" borderId="5" xfId="0" applyNumberFormat="1" applyFont="1" applyBorder="1" applyAlignment="1">
      <alignment horizont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170" fontId="9" fillId="0" borderId="6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45" fillId="0" borderId="5" xfId="0" applyFont="1" applyBorder="1" applyAlignment="1">
      <alignment horizontal="center"/>
    </xf>
    <xf numFmtId="1" fontId="45" fillId="0" borderId="5" xfId="0" applyNumberFormat="1" applyFont="1" applyBorder="1" applyAlignment="1">
      <alignment horizontal="center"/>
    </xf>
    <xf numFmtId="1" fontId="45" fillId="0" borderId="5" xfId="0" applyNumberFormat="1" applyFont="1" applyBorder="1" applyAlignment="1">
      <alignment horizontal="center" wrapText="1"/>
    </xf>
    <xf numFmtId="16" fontId="9" fillId="0" borderId="5" xfId="3" applyNumberFormat="1" applyBorder="1" applyAlignment="1">
      <alignment horizontal="center"/>
    </xf>
    <xf numFmtId="1" fontId="9" fillId="0" borderId="0" xfId="3" applyNumberFormat="1" applyAlignment="1">
      <alignment horizontal="center"/>
    </xf>
    <xf numFmtId="1" fontId="9" fillId="0" borderId="0" xfId="3" applyNumberFormat="1" applyAlignment="1">
      <alignment horizontal="center" wrapText="1"/>
    </xf>
    <xf numFmtId="2" fontId="5" fillId="0" borderId="6" xfId="3" applyNumberFormat="1" applyFont="1" applyBorder="1" applyAlignment="1">
      <alignment horizontal="center"/>
    </xf>
    <xf numFmtId="0" fontId="0" fillId="9" borderId="5" xfId="0" applyFill="1" applyBorder="1"/>
    <xf numFmtId="1" fontId="10" fillId="0" borderId="5" xfId="3" applyNumberFormat="1" applyFont="1" applyBorder="1" applyAlignment="1">
      <alignment horizontal="center"/>
    </xf>
    <xf numFmtId="1" fontId="10" fillId="0" borderId="5" xfId="3" applyNumberFormat="1" applyFont="1" applyBorder="1" applyAlignment="1">
      <alignment horizontal="center" wrapText="1"/>
    </xf>
    <xf numFmtId="0" fontId="9" fillId="0" borderId="6" xfId="3" applyBorder="1" applyAlignment="1">
      <alignment horizontal="center"/>
    </xf>
    <xf numFmtId="49" fontId="10" fillId="0" borderId="42" xfId="3" applyNumberFormat="1" applyFont="1" applyBorder="1" applyAlignment="1">
      <alignment horizontal="center"/>
    </xf>
    <xf numFmtId="49" fontId="10" fillId="0" borderId="14" xfId="3" applyNumberFormat="1" applyFont="1" applyBorder="1" applyAlignment="1">
      <alignment horizontal="center"/>
    </xf>
    <xf numFmtId="0" fontId="47" fillId="9" borderId="5" xfId="3" applyFont="1" applyFill="1" applyBorder="1" applyAlignment="1">
      <alignment horizontal="left"/>
    </xf>
    <xf numFmtId="0" fontId="10" fillId="0" borderId="5" xfId="3" applyFont="1" applyBorder="1" applyAlignment="1">
      <alignment horizontal="center"/>
    </xf>
    <xf numFmtId="171" fontId="10" fillId="0" borderId="5" xfId="3" applyNumberFormat="1" applyFont="1" applyBorder="1" applyAlignment="1">
      <alignment horizontal="center"/>
    </xf>
    <xf numFmtId="16" fontId="10" fillId="0" borderId="5" xfId="0" applyNumberFormat="1" applyFont="1" applyBorder="1" applyAlignment="1">
      <alignment horizontal="center"/>
    </xf>
    <xf numFmtId="1" fontId="10" fillId="0" borderId="5" xfId="9" applyNumberFormat="1" applyFont="1" applyBorder="1" applyAlignment="1">
      <alignment horizontal="center"/>
    </xf>
    <xf numFmtId="1" fontId="10" fillId="0" borderId="5" xfId="9" applyNumberFormat="1" applyFont="1" applyBorder="1" applyAlignment="1">
      <alignment horizontal="center" wrapText="1"/>
    </xf>
    <xf numFmtId="49" fontId="45" fillId="0" borderId="34" xfId="3" applyNumberFormat="1" applyFont="1" applyBorder="1" applyAlignment="1">
      <alignment horizontal="center"/>
    </xf>
    <xf numFmtId="49" fontId="45" fillId="0" borderId="30" xfId="3" applyNumberFormat="1" applyFont="1" applyBorder="1" applyAlignment="1">
      <alignment horizontal="center"/>
    </xf>
    <xf numFmtId="0" fontId="48" fillId="9" borderId="5" xfId="3" applyFont="1" applyFill="1" applyBorder="1" applyAlignment="1">
      <alignment vertical="center"/>
    </xf>
    <xf numFmtId="0" fontId="45" fillId="0" borderId="14" xfId="3" applyFont="1" applyBorder="1" applyAlignment="1">
      <alignment horizontal="center"/>
    </xf>
    <xf numFmtId="2" fontId="10" fillId="0" borderId="5" xfId="3" applyNumberFormat="1" applyFont="1" applyBorder="1" applyAlignment="1">
      <alignment horizontal="center"/>
    </xf>
    <xf numFmtId="12" fontId="10" fillId="0" borderId="5" xfId="3" applyNumberFormat="1" applyFont="1" applyBorder="1" applyAlignment="1">
      <alignment horizontal="center"/>
    </xf>
    <xf numFmtId="49" fontId="10" fillId="0" borderId="42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wrapText="1"/>
    </xf>
    <xf numFmtId="0" fontId="49" fillId="0" borderId="5" xfId="0" applyFont="1" applyBorder="1"/>
    <xf numFmtId="0" fontId="49" fillId="0" borderId="5" xfId="0" applyFont="1" applyBorder="1" applyAlignment="1">
      <alignment horizontal="center"/>
    </xf>
    <xf numFmtId="0" fontId="5" fillId="0" borderId="5" xfId="0" quotePrefix="1" applyFont="1" applyBorder="1"/>
    <xf numFmtId="0" fontId="10" fillId="0" borderId="5" xfId="0" applyFont="1" applyBorder="1"/>
    <xf numFmtId="0" fontId="50" fillId="0" borderId="5" xfId="0" applyFont="1" applyBorder="1" applyAlignment="1">
      <alignment horizontal="center"/>
    </xf>
    <xf numFmtId="1" fontId="50" fillId="0" borderId="5" xfId="0" applyNumberFormat="1" applyFont="1" applyBorder="1" applyAlignment="1">
      <alignment horizontal="center"/>
    </xf>
    <xf numFmtId="49" fontId="11" fillId="0" borderId="5" xfId="3" applyNumberFormat="1" applyFont="1" applyBorder="1"/>
    <xf numFmtId="0" fontId="50" fillId="0" borderId="5" xfId="3" applyFont="1" applyBorder="1" applyAlignment="1">
      <alignment horizontal="center"/>
    </xf>
    <xf numFmtId="49" fontId="7" fillId="2" borderId="7" xfId="3" applyNumberFormat="1" applyFont="1" applyFill="1" applyBorder="1" applyAlignment="1">
      <alignment horizontal="center" vertical="center"/>
    </xf>
    <xf numFmtId="49" fontId="7" fillId="2" borderId="0" xfId="3" applyNumberFormat="1" applyFont="1" applyFill="1" applyAlignment="1">
      <alignment horizontal="center" vertical="center"/>
    </xf>
    <xf numFmtId="0" fontId="5" fillId="2" borderId="0" xfId="3" applyFont="1" applyFill="1"/>
    <xf numFmtId="1" fontId="5" fillId="2" borderId="0" xfId="3" applyNumberFormat="1" applyFont="1" applyFill="1" applyAlignment="1">
      <alignment horizontal="center"/>
    </xf>
    <xf numFmtId="167" fontId="5" fillId="2" borderId="0" xfId="3" applyNumberFormat="1" applyFont="1" applyFill="1" applyAlignment="1">
      <alignment horizontal="center" wrapText="1"/>
    </xf>
    <xf numFmtId="0" fontId="5" fillId="2" borderId="8" xfId="3" applyFont="1" applyFill="1" applyBorder="1" applyAlignment="1">
      <alignment horizontal="center"/>
    </xf>
    <xf numFmtId="0" fontId="5" fillId="3" borderId="9" xfId="3" applyFont="1" applyFill="1" applyBorder="1" applyAlignment="1">
      <alignment horizontal="center"/>
    </xf>
    <xf numFmtId="0" fontId="5" fillId="3" borderId="10" xfId="3" applyFont="1" applyFill="1" applyBorder="1" applyAlignment="1">
      <alignment horizontal="center"/>
    </xf>
    <xf numFmtId="0" fontId="5" fillId="3" borderId="10" xfId="3" applyFont="1" applyFill="1" applyBorder="1"/>
    <xf numFmtId="0" fontId="6" fillId="3" borderId="10" xfId="3" applyFont="1" applyFill="1" applyBorder="1" applyAlignment="1">
      <alignment horizontal="center"/>
    </xf>
    <xf numFmtId="1" fontId="6" fillId="3" borderId="10" xfId="3" applyNumberFormat="1" applyFont="1" applyFill="1" applyBorder="1" applyAlignment="1">
      <alignment horizontal="center"/>
    </xf>
    <xf numFmtId="167" fontId="5" fillId="3" borderId="10" xfId="3" applyNumberFormat="1" applyFont="1" applyFill="1" applyBorder="1" applyAlignment="1">
      <alignment horizontal="center" wrapText="1"/>
    </xf>
    <xf numFmtId="0" fontId="5" fillId="3" borderId="11" xfId="3" applyFont="1" applyFill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3" applyFont="1" applyBorder="1" applyAlignment="1">
      <alignment horizontal="center"/>
    </xf>
    <xf numFmtId="14" fontId="5" fillId="2" borderId="25" xfId="4" applyNumberFormat="1" applyFont="1" applyFill="1" applyBorder="1" applyAlignment="1">
      <alignment horizontal="center" vertical="center" wrapText="1"/>
    </xf>
    <xf numFmtId="14" fontId="5" fillId="2" borderId="26" xfId="4" applyNumberFormat="1" applyFont="1" applyFill="1" applyBorder="1" applyAlignment="1">
      <alignment horizontal="center" vertical="center" wrapText="1"/>
    </xf>
    <xf numFmtId="14" fontId="5" fillId="2" borderId="50" xfId="4" applyNumberFormat="1" applyFont="1" applyFill="1" applyBorder="1" applyAlignment="1">
      <alignment horizontal="center" vertical="center" wrapText="1"/>
    </xf>
    <xf numFmtId="0" fontId="5" fillId="2" borderId="27" xfId="4" applyFont="1" applyFill="1" applyBorder="1" applyAlignment="1">
      <alignment horizontal="left"/>
    </xf>
    <xf numFmtId="0" fontId="5" fillId="2" borderId="28" xfId="4" applyFont="1" applyFill="1" applyBorder="1" applyAlignment="1">
      <alignment horizontal="left"/>
    </xf>
    <xf numFmtId="0" fontId="5" fillId="2" borderId="29" xfId="4" applyFont="1" applyFill="1" applyBorder="1" applyAlignment="1">
      <alignment horizontal="left"/>
    </xf>
    <xf numFmtId="0" fontId="5" fillId="2" borderId="23" xfId="4" applyFont="1" applyFill="1" applyBorder="1" applyAlignment="1">
      <alignment horizontal="left"/>
    </xf>
    <xf numFmtId="0" fontId="5" fillId="2" borderId="30" xfId="4" applyFont="1" applyFill="1" applyBorder="1" applyAlignment="1">
      <alignment horizontal="left"/>
    </xf>
    <xf numFmtId="0" fontId="5" fillId="2" borderId="14" xfId="4" applyFont="1" applyFill="1" applyBorder="1" applyAlignment="1">
      <alignment horizontal="left"/>
    </xf>
    <xf numFmtId="0" fontId="5" fillId="2" borderId="39" xfId="4" applyFont="1" applyFill="1" applyBorder="1" applyAlignment="1">
      <alignment horizontal="center"/>
    </xf>
    <xf numFmtId="0" fontId="5" fillId="2" borderId="40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35" xfId="4" applyFont="1" applyFill="1" applyBorder="1" applyAlignment="1">
      <alignment horizontal="center"/>
    </xf>
    <xf numFmtId="0" fontId="5" fillId="2" borderId="36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center"/>
    </xf>
    <xf numFmtId="0" fontId="4" fillId="2" borderId="22" xfId="4" applyFont="1" applyFill="1" applyBorder="1" applyAlignment="1">
      <alignment horizontal="center"/>
    </xf>
    <xf numFmtId="0" fontId="8" fillId="5" borderId="9" xfId="4" applyFont="1" applyFill="1" applyBorder="1" applyAlignment="1">
      <alignment horizontal="center" vertical="center" wrapText="1"/>
    </xf>
    <xf numFmtId="0" fontId="8" fillId="5" borderId="10" xfId="4" applyFont="1" applyFill="1" applyBorder="1" applyAlignment="1">
      <alignment horizontal="center" vertical="center" wrapText="1"/>
    </xf>
    <xf numFmtId="0" fontId="8" fillId="5" borderId="11" xfId="4" applyFont="1" applyFill="1" applyBorder="1" applyAlignment="1">
      <alignment horizontal="center" vertical="center" wrapText="1"/>
    </xf>
    <xf numFmtId="0" fontId="6" fillId="2" borderId="31" xfId="4" applyFont="1" applyFill="1" applyBorder="1" applyAlignment="1">
      <alignment horizontal="right" vertical="top" wrapText="1"/>
    </xf>
    <xf numFmtId="0" fontId="6" fillId="2" borderId="32" xfId="4" applyFont="1" applyFill="1" applyBorder="1" applyAlignment="1">
      <alignment horizontal="right" vertical="top" wrapText="1"/>
    </xf>
    <xf numFmtId="0" fontId="6" fillId="2" borderId="33" xfId="4" applyFont="1" applyFill="1" applyBorder="1" applyAlignment="1">
      <alignment horizontal="right" vertical="top" wrapText="1"/>
    </xf>
    <xf numFmtId="0" fontId="43" fillId="2" borderId="0" xfId="7" applyFont="1" applyFill="1" applyAlignment="1">
      <alignment horizontal="right"/>
    </xf>
    <xf numFmtId="0" fontId="44" fillId="2" borderId="41" xfId="7" applyFont="1" applyFill="1" applyBorder="1" applyAlignment="1">
      <alignment horizontal="center"/>
    </xf>
    <xf numFmtId="0" fontId="43" fillId="2" borderId="0" xfId="7" applyFont="1" applyFill="1"/>
    <xf numFmtId="0" fontId="6" fillId="3" borderId="47" xfId="3" applyFont="1" applyFill="1" applyBorder="1" applyAlignment="1">
      <alignment horizontal="center" vertical="center"/>
    </xf>
    <xf numFmtId="0" fontId="6" fillId="3" borderId="43" xfId="3" applyFont="1" applyFill="1" applyBorder="1" applyAlignment="1">
      <alignment horizontal="center" vertical="center"/>
    </xf>
    <xf numFmtId="0" fontId="6" fillId="3" borderId="47" xfId="3" applyFont="1" applyFill="1" applyBorder="1" applyAlignment="1">
      <alignment horizontal="center" vertical="center" wrapText="1"/>
    </xf>
    <xf numFmtId="0" fontId="6" fillId="3" borderId="43" xfId="3" applyFont="1" applyFill="1" applyBorder="1" applyAlignment="1">
      <alignment horizontal="center" vertical="center" wrapText="1"/>
    </xf>
    <xf numFmtId="0" fontId="6" fillId="3" borderId="4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5" fillId="2" borderId="12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6" fillId="0" borderId="34" xfId="3" applyFont="1" applyBorder="1" applyAlignment="1">
      <alignment horizontal="right"/>
    </xf>
    <xf numFmtId="0" fontId="6" fillId="0" borderId="30" xfId="3" applyFont="1" applyBorder="1" applyAlignment="1">
      <alignment horizontal="right"/>
    </xf>
    <xf numFmtId="0" fontId="6" fillId="0" borderId="14" xfId="3" applyFont="1" applyBorder="1" applyAlignment="1">
      <alignment horizontal="right"/>
    </xf>
    <xf numFmtId="0" fontId="5" fillId="0" borderId="5" xfId="3" applyFont="1" applyBorder="1" applyAlignment="1">
      <alignment horizontal="right"/>
    </xf>
    <xf numFmtId="167" fontId="5" fillId="0" borderId="23" xfId="3" applyNumberFormat="1" applyFont="1" applyBorder="1" applyAlignment="1">
      <alignment horizontal="center"/>
    </xf>
    <xf numFmtId="167" fontId="5" fillId="0" borderId="24" xfId="3" applyNumberFormat="1" applyFont="1" applyBorder="1" applyAlignment="1">
      <alignment horizontal="center"/>
    </xf>
    <xf numFmtId="167" fontId="5" fillId="0" borderId="23" xfId="3" applyNumberFormat="1" applyFont="1" applyBorder="1" applyAlignment="1">
      <alignment horizontal="right" wrapText="1"/>
    </xf>
    <xf numFmtId="167" fontId="5" fillId="0" borderId="14" xfId="3" applyNumberFormat="1" applyFont="1" applyBorder="1" applyAlignment="1">
      <alignment horizontal="right" wrapText="1"/>
    </xf>
    <xf numFmtId="0" fontId="6" fillId="0" borderId="35" xfId="3" applyFont="1" applyBorder="1" applyAlignment="1">
      <alignment horizontal="right"/>
    </xf>
    <xf numFmtId="0" fontId="6" fillId="0" borderId="36" xfId="3" applyFont="1" applyBorder="1" applyAlignment="1">
      <alignment horizontal="right"/>
    </xf>
    <xf numFmtId="0" fontId="6" fillId="0" borderId="37" xfId="3" applyFont="1" applyBorder="1" applyAlignment="1">
      <alignment horizontal="right"/>
    </xf>
    <xf numFmtId="167" fontId="5" fillId="0" borderId="6" xfId="3" applyNumberFormat="1" applyFont="1" applyBorder="1" applyAlignment="1">
      <alignment horizontal="right"/>
    </xf>
    <xf numFmtId="0" fontId="5" fillId="0" borderId="34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6" fillId="0" borderId="43" xfId="3" applyFont="1" applyBorder="1" applyAlignment="1">
      <alignment horizontal="right"/>
    </xf>
    <xf numFmtId="0" fontId="6" fillId="0" borderId="44" xfId="3" applyFont="1" applyBorder="1" applyAlignment="1">
      <alignment horizontal="right"/>
    </xf>
    <xf numFmtId="0" fontId="6" fillId="0" borderId="2" xfId="3" applyFont="1" applyBorder="1" applyAlignment="1">
      <alignment horizontal="right"/>
    </xf>
    <xf numFmtId="0" fontId="5" fillId="0" borderId="2" xfId="3" applyFont="1" applyBorder="1" applyAlignment="1">
      <alignment horizontal="right"/>
    </xf>
    <xf numFmtId="167" fontId="5" fillId="0" borderId="45" xfId="3" applyNumberFormat="1" applyFont="1" applyBorder="1" applyAlignment="1">
      <alignment horizontal="center"/>
    </xf>
    <xf numFmtId="167" fontId="5" fillId="0" borderId="46" xfId="3" applyNumberFormat="1" applyFont="1" applyBorder="1" applyAlignment="1">
      <alignment horizontal="center"/>
    </xf>
    <xf numFmtId="0" fontId="6" fillId="3" borderId="9" xfId="3" applyFont="1" applyFill="1" applyBorder="1" applyAlignment="1">
      <alignment horizontal="left"/>
    </xf>
    <xf numFmtId="0" fontId="6" fillId="3" borderId="10" xfId="3" applyFont="1" applyFill="1" applyBorder="1" applyAlignment="1">
      <alignment horizontal="left"/>
    </xf>
    <xf numFmtId="0" fontId="6" fillId="3" borderId="11" xfId="3" applyFont="1" applyFill="1" applyBorder="1" applyAlignment="1">
      <alignment horizontal="left"/>
    </xf>
    <xf numFmtId="0" fontId="5" fillId="0" borderId="42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53" xfId="3" applyFont="1" applyBorder="1" applyAlignment="1">
      <alignment horizontal="left"/>
    </xf>
    <xf numFmtId="0" fontId="5" fillId="0" borderId="54" xfId="3" applyFont="1" applyBorder="1" applyAlignment="1">
      <alignment horizontal="left"/>
    </xf>
    <xf numFmtId="0" fontId="5" fillId="0" borderId="46" xfId="3" applyFont="1" applyBorder="1" applyAlignment="1">
      <alignment horizontal="left"/>
    </xf>
    <xf numFmtId="0" fontId="6" fillId="11" borderId="48" xfId="4" applyFont="1" applyFill="1" applyBorder="1" applyAlignment="1">
      <alignment horizontal="center"/>
    </xf>
    <xf numFmtId="0" fontId="6" fillId="11" borderId="40" xfId="4" applyFont="1" applyFill="1" applyBorder="1" applyAlignment="1">
      <alignment horizontal="center"/>
    </xf>
    <xf numFmtId="0" fontId="5" fillId="2" borderId="55" xfId="4" applyFont="1" applyFill="1" applyBorder="1" applyAlignment="1">
      <alignment horizontal="left"/>
    </xf>
    <xf numFmtId="0" fontId="5" fillId="2" borderId="0" xfId="4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30" fillId="0" borderId="5" xfId="0" applyFont="1" applyBorder="1" applyAlignment="1">
      <alignment horizontal="right" vertical="center"/>
    </xf>
    <xf numFmtId="0" fontId="31" fillId="0" borderId="7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8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3" fillId="0" borderId="39" xfId="0" applyFont="1" applyBorder="1" applyAlignment="1">
      <alignment horizontal="right"/>
    </xf>
    <xf numFmtId="0" fontId="23" fillId="0" borderId="40" xfId="0" applyFont="1" applyBorder="1" applyAlignment="1">
      <alignment horizontal="right"/>
    </xf>
    <xf numFmtId="0" fontId="11" fillId="0" borderId="5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38" fillId="0" borderId="9" xfId="0" applyFont="1" applyBorder="1" applyAlignment="1">
      <alignment horizontal="right" vertical="center"/>
    </xf>
    <xf numFmtId="0" fontId="38" fillId="0" borderId="10" xfId="0" applyFont="1" applyBorder="1" applyAlignment="1">
      <alignment horizontal="right" vertical="center"/>
    </xf>
    <xf numFmtId="0" fontId="38" fillId="0" borderId="11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41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9" xfId="0" applyFont="1" applyFill="1" applyBorder="1" applyAlignment="1">
      <alignment horizontal="right"/>
    </xf>
    <xf numFmtId="0" fontId="27" fillId="4" borderId="10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12" fillId="0" borderId="41" xfId="0" applyFont="1" applyBorder="1" applyAlignment="1">
      <alignment horizontal="right" vertical="center"/>
    </xf>
    <xf numFmtId="0" fontId="12" fillId="0" borderId="49" xfId="0" applyFont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10" xfId="0" applyFont="1" applyFill="1" applyBorder="1" applyAlignment="1">
      <alignment horizontal="right" vertical="center"/>
    </xf>
    <xf numFmtId="0" fontId="12" fillId="8" borderId="11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</cellXfs>
  <cellStyles count="10">
    <cellStyle name="Millares" xfId="1" builtinId="3"/>
    <cellStyle name="Millares [0]" xfId="2" builtinId="6"/>
    <cellStyle name="Normal" xfId="0" builtinId="0"/>
    <cellStyle name="Normal 2" xfId="3" xr:uid="{6492E321-359B-4D14-9F2C-A7F1415534E5}"/>
    <cellStyle name="Normal 3 2" xfId="9" xr:uid="{AEE65AD4-30F6-46A7-81C0-10FDD770EADA}"/>
    <cellStyle name="Normal 5" xfId="8" xr:uid="{7FCEFB66-C4C6-410F-9FEF-568214E5097D}"/>
    <cellStyle name="Normal_CRITERIOS DE EVALUACION PT DE GB" xfId="4" xr:uid="{5DD545FC-0D80-4D1C-9A63-291AAB69E25B}"/>
    <cellStyle name="Normal_CRITERIOS DE EVALUACION PT DE GB 2" xfId="7" xr:uid="{9DB3F6B3-5DFE-4245-AEA6-2ECBB60AB6EC}"/>
    <cellStyle name="Porcentaje" xfId="5" builtinId="5"/>
    <cellStyle name="Porcentaje 2" xfId="6" xr:uid="{4BA1905E-D68F-4B82-B49A-90DC000F5F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93BF-337B-4962-8A8C-B6B499AF33F2}">
  <dimension ref="A1:I58"/>
  <sheetViews>
    <sheetView tabSelected="1" view="pageBreakPreview" zoomScale="60" zoomScaleNormal="85" workbookViewId="0">
      <selection activeCell="U14" sqref="U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212"/>
      <c r="B1" s="213"/>
      <c r="C1" s="218" t="s">
        <v>22</v>
      </c>
      <c r="D1" s="218"/>
      <c r="E1" s="218"/>
      <c r="F1" s="218"/>
      <c r="G1" s="218"/>
      <c r="H1" s="2" t="s">
        <v>0</v>
      </c>
      <c r="I1" s="10" t="s">
        <v>155</v>
      </c>
    </row>
    <row r="2" spans="1:9" ht="16.5" thickBot="1" x14ac:dyDescent="0.3">
      <c r="A2" s="214"/>
      <c r="B2" s="215"/>
      <c r="C2" s="219" t="s">
        <v>1</v>
      </c>
      <c r="D2" s="219"/>
      <c r="E2" s="219"/>
      <c r="F2" s="219"/>
      <c r="G2" s="219"/>
      <c r="H2" s="3" t="s">
        <v>2</v>
      </c>
      <c r="I2" s="9" t="s">
        <v>132</v>
      </c>
    </row>
    <row r="3" spans="1:9" ht="15.95" customHeight="1" thickBot="1" x14ac:dyDescent="0.25">
      <c r="A3" s="214"/>
      <c r="B3" s="215"/>
      <c r="C3" s="220" t="s">
        <v>128</v>
      </c>
      <c r="D3" s="221"/>
      <c r="E3" s="221"/>
      <c r="F3" s="221"/>
      <c r="G3" s="222"/>
      <c r="H3" s="223" t="s">
        <v>3</v>
      </c>
      <c r="I3" s="203">
        <v>45609</v>
      </c>
    </row>
    <row r="4" spans="1:9" ht="13.5" x14ac:dyDescent="0.25">
      <c r="A4" s="214"/>
      <c r="B4" s="215"/>
      <c r="C4" s="4" t="s">
        <v>4</v>
      </c>
      <c r="D4" s="206" t="s">
        <v>133</v>
      </c>
      <c r="E4" s="207"/>
      <c r="F4" s="207"/>
      <c r="G4" s="208"/>
      <c r="H4" s="224"/>
      <c r="I4" s="204"/>
    </row>
    <row r="5" spans="1:9" ht="14.25" thickBot="1" x14ac:dyDescent="0.3">
      <c r="A5" s="216"/>
      <c r="B5" s="217"/>
      <c r="C5" s="5" t="s">
        <v>5</v>
      </c>
      <c r="D5" s="209" t="s">
        <v>134</v>
      </c>
      <c r="E5" s="210"/>
      <c r="F5" s="210"/>
      <c r="G5" s="211"/>
      <c r="H5" s="225"/>
      <c r="I5" s="205"/>
    </row>
    <row r="6" spans="1:9" ht="18.75" thickBot="1" x14ac:dyDescent="0.3">
      <c r="A6" s="226" t="s">
        <v>135</v>
      </c>
      <c r="B6" s="226"/>
      <c r="C6" s="226"/>
      <c r="D6" s="227" t="s">
        <v>136</v>
      </c>
      <c r="E6" s="227"/>
      <c r="F6" s="227"/>
      <c r="G6" s="228" t="s">
        <v>137</v>
      </c>
      <c r="H6" s="228"/>
      <c r="I6" s="120" t="s">
        <v>136</v>
      </c>
    </row>
    <row r="7" spans="1:9" x14ac:dyDescent="0.2">
      <c r="A7" s="229" t="s">
        <v>6</v>
      </c>
      <c r="B7" s="231" t="s">
        <v>138</v>
      </c>
      <c r="C7" s="233" t="s">
        <v>139</v>
      </c>
      <c r="D7" s="233" t="s">
        <v>7</v>
      </c>
      <c r="E7" s="233" t="s">
        <v>8</v>
      </c>
      <c r="F7" s="233"/>
      <c r="G7" s="233" t="s">
        <v>9</v>
      </c>
      <c r="H7" s="233"/>
      <c r="I7" s="121" t="s">
        <v>10</v>
      </c>
    </row>
    <row r="8" spans="1:9" ht="26.25" thickBot="1" x14ac:dyDescent="0.25">
      <c r="A8" s="230"/>
      <c r="B8" s="232"/>
      <c r="C8" s="234"/>
      <c r="D8" s="234"/>
      <c r="E8" s="122" t="s">
        <v>11</v>
      </c>
      <c r="F8" s="123" t="s">
        <v>12</v>
      </c>
      <c r="G8" s="122" t="s">
        <v>11</v>
      </c>
      <c r="H8" s="123" t="s">
        <v>12</v>
      </c>
      <c r="I8" s="124" t="s">
        <v>13</v>
      </c>
    </row>
    <row r="9" spans="1:9" ht="15" x14ac:dyDescent="0.25">
      <c r="A9" s="125"/>
      <c r="B9" s="126"/>
      <c r="C9" s="127" t="s">
        <v>140</v>
      </c>
      <c r="D9" s="128"/>
      <c r="E9" s="129"/>
      <c r="F9" s="130"/>
      <c r="G9" s="129"/>
      <c r="H9" s="130"/>
      <c r="I9" s="131"/>
    </row>
    <row r="10" spans="1:9" ht="15.95" customHeight="1" x14ac:dyDescent="0.25">
      <c r="A10" s="13">
        <v>907000296</v>
      </c>
      <c r="B10" s="13" t="s">
        <v>50</v>
      </c>
      <c r="C10" s="16" t="s">
        <v>141</v>
      </c>
      <c r="D10" s="12" t="s">
        <v>45</v>
      </c>
      <c r="E10" s="6">
        <v>1090</v>
      </c>
      <c r="F10" s="8" t="s">
        <v>25</v>
      </c>
      <c r="G10" s="132"/>
      <c r="H10" s="132" t="s">
        <v>142</v>
      </c>
      <c r="I10" s="131"/>
    </row>
    <row r="11" spans="1:9" ht="15" x14ac:dyDescent="0.25">
      <c r="A11" s="13">
        <v>11400066</v>
      </c>
      <c r="B11" s="13" t="s">
        <v>51</v>
      </c>
      <c r="C11" s="16" t="s">
        <v>48</v>
      </c>
      <c r="D11" s="12" t="s">
        <v>29</v>
      </c>
      <c r="E11" s="6">
        <v>300</v>
      </c>
      <c r="F11" s="8" t="s">
        <v>25</v>
      </c>
      <c r="G11" s="133"/>
      <c r="H11" s="134" t="s">
        <v>143</v>
      </c>
      <c r="I11" s="131"/>
    </row>
    <row r="12" spans="1:9" ht="15" x14ac:dyDescent="0.25">
      <c r="A12" s="13" t="s">
        <v>39</v>
      </c>
      <c r="B12" s="13" t="s">
        <v>52</v>
      </c>
      <c r="C12" s="16" t="s">
        <v>40</v>
      </c>
      <c r="D12" s="12" t="s">
        <v>45</v>
      </c>
      <c r="E12" s="6">
        <v>60</v>
      </c>
      <c r="F12" s="8" t="s">
        <v>25</v>
      </c>
      <c r="G12" s="11"/>
      <c r="H12" s="134"/>
      <c r="I12" s="131"/>
    </row>
    <row r="13" spans="1:9" ht="15" x14ac:dyDescent="0.25">
      <c r="A13" s="13">
        <v>907000296</v>
      </c>
      <c r="B13" s="13" t="s">
        <v>50</v>
      </c>
      <c r="C13" s="16" t="s">
        <v>141</v>
      </c>
      <c r="D13" s="12" t="s">
        <v>45</v>
      </c>
      <c r="E13" s="6">
        <v>88</v>
      </c>
      <c r="F13" s="8" t="s">
        <v>25</v>
      </c>
      <c r="G13" s="11"/>
      <c r="H13" s="134"/>
      <c r="I13" s="131"/>
    </row>
    <row r="14" spans="1:9" ht="15" x14ac:dyDescent="0.25">
      <c r="A14" s="135"/>
      <c r="B14" s="17"/>
      <c r="C14" s="136"/>
      <c r="D14" s="7"/>
      <c r="E14" s="11"/>
      <c r="F14" s="137"/>
      <c r="G14" s="11"/>
      <c r="H14" s="134"/>
      <c r="I14" s="131"/>
    </row>
    <row r="15" spans="1:9" ht="15" x14ac:dyDescent="0.25">
      <c r="A15" s="138"/>
      <c r="B15" s="139"/>
      <c r="C15" s="140"/>
      <c r="D15" s="7"/>
      <c r="E15" s="6"/>
      <c r="F15" s="8"/>
      <c r="G15" s="141"/>
      <c r="H15" s="134"/>
      <c r="I15" s="131"/>
    </row>
    <row r="16" spans="1:9" ht="15" x14ac:dyDescent="0.25">
      <c r="A16" s="138"/>
      <c r="B16" s="139"/>
      <c r="C16" s="140"/>
      <c r="D16" s="7"/>
      <c r="E16" s="6"/>
      <c r="F16" s="8"/>
      <c r="G16" s="141"/>
      <c r="H16" s="134"/>
      <c r="I16" s="131"/>
    </row>
    <row r="17" spans="1:9" ht="15" x14ac:dyDescent="0.25">
      <c r="A17" s="142"/>
      <c r="B17" s="142"/>
      <c r="C17" s="143"/>
      <c r="D17" s="144"/>
      <c r="E17" s="145"/>
      <c r="F17" s="146"/>
      <c r="G17" s="141"/>
      <c r="H17" s="134"/>
      <c r="I17" s="131"/>
    </row>
    <row r="18" spans="1:9" ht="15" x14ac:dyDescent="0.25">
      <c r="A18" s="13"/>
      <c r="B18" s="13"/>
      <c r="C18" s="16"/>
      <c r="D18" s="147"/>
      <c r="E18" s="148"/>
      <c r="F18" s="149"/>
      <c r="G18" s="150"/>
      <c r="H18" s="134"/>
      <c r="I18" s="131"/>
    </row>
    <row r="19" spans="1:9" ht="15" x14ac:dyDescent="0.25">
      <c r="A19" s="13"/>
      <c r="B19" s="13"/>
      <c r="C19" s="151"/>
      <c r="D19" s="152"/>
      <c r="E19" s="152"/>
      <c r="F19" s="153"/>
      <c r="G19" s="129"/>
      <c r="H19" s="154"/>
      <c r="I19" s="131"/>
    </row>
    <row r="20" spans="1:9" ht="15.75" x14ac:dyDescent="0.25">
      <c r="A20" s="155"/>
      <c r="B20" s="156"/>
      <c r="C20" s="157" t="s">
        <v>144</v>
      </c>
      <c r="D20" s="158" t="s">
        <v>145</v>
      </c>
      <c r="E20" s="159"/>
      <c r="F20" s="153"/>
      <c r="G20" s="129"/>
      <c r="H20" s="154"/>
      <c r="I20" s="131"/>
    </row>
    <row r="21" spans="1:9" ht="15" x14ac:dyDescent="0.25">
      <c r="A21" s="13" t="s">
        <v>46</v>
      </c>
      <c r="B21" s="13" t="s">
        <v>53</v>
      </c>
      <c r="C21" s="16" t="s">
        <v>41</v>
      </c>
      <c r="D21" s="12" t="s">
        <v>45</v>
      </c>
      <c r="E21" s="6">
        <v>528</v>
      </c>
      <c r="F21" s="8" t="s">
        <v>25</v>
      </c>
      <c r="G21" s="129"/>
      <c r="H21" s="202" t="s">
        <v>153</v>
      </c>
      <c r="I21" s="131"/>
    </row>
    <row r="22" spans="1:9" ht="15" x14ac:dyDescent="0.25">
      <c r="A22" s="13">
        <v>902000149</v>
      </c>
      <c r="B22" s="13" t="s">
        <v>54</v>
      </c>
      <c r="C22" s="16" t="s">
        <v>47</v>
      </c>
      <c r="D22" s="12" t="s">
        <v>45</v>
      </c>
      <c r="E22" s="6">
        <v>120</v>
      </c>
      <c r="F22" s="8" t="s">
        <v>25</v>
      </c>
      <c r="G22" s="6"/>
      <c r="H22" s="7"/>
      <c r="I22" s="131"/>
    </row>
    <row r="23" spans="1:9" ht="15" x14ac:dyDescent="0.25">
      <c r="A23" s="13" t="s">
        <v>56</v>
      </c>
      <c r="B23" s="13" t="s">
        <v>57</v>
      </c>
      <c r="C23" s="16" t="s">
        <v>146</v>
      </c>
      <c r="D23" s="12" t="s">
        <v>30</v>
      </c>
      <c r="E23" s="6">
        <v>30</v>
      </c>
      <c r="F23" s="8" t="s">
        <v>25</v>
      </c>
      <c r="G23" s="6"/>
      <c r="H23" s="6" t="s">
        <v>154</v>
      </c>
      <c r="I23" s="131"/>
    </row>
    <row r="24" spans="1:9" ht="15" x14ac:dyDescent="0.25">
      <c r="A24" s="13"/>
      <c r="B24" s="13"/>
      <c r="C24" s="151"/>
      <c r="D24" s="152"/>
      <c r="E24" s="158"/>
      <c r="F24" s="153"/>
      <c r="G24" s="129"/>
      <c r="H24" s="154"/>
      <c r="I24" s="131"/>
    </row>
    <row r="25" spans="1:9" ht="15" x14ac:dyDescent="0.25">
      <c r="A25" s="13"/>
      <c r="B25" s="13"/>
      <c r="C25" s="151"/>
      <c r="D25" s="160" t="s">
        <v>145</v>
      </c>
      <c r="E25" s="161"/>
      <c r="F25" s="162"/>
      <c r="G25" s="129"/>
      <c r="H25" s="154"/>
      <c r="I25" s="131"/>
    </row>
    <row r="26" spans="1:9" ht="15.75" x14ac:dyDescent="0.25">
      <c r="A26" s="163"/>
      <c r="B26" s="164"/>
      <c r="C26" s="165" t="s">
        <v>147</v>
      </c>
      <c r="D26" s="166" t="s">
        <v>145</v>
      </c>
      <c r="E26" s="129"/>
      <c r="F26" s="130"/>
      <c r="G26" s="129"/>
      <c r="H26" s="154"/>
      <c r="I26" s="131"/>
    </row>
    <row r="27" spans="1:9" ht="15" x14ac:dyDescent="0.25">
      <c r="A27" s="13" t="s">
        <v>42</v>
      </c>
      <c r="B27" s="13" t="s">
        <v>55</v>
      </c>
      <c r="C27" s="16" t="s">
        <v>43</v>
      </c>
      <c r="D27" s="12" t="s">
        <v>44</v>
      </c>
      <c r="E27" s="6">
        <v>24</v>
      </c>
      <c r="F27" s="8" t="s">
        <v>27</v>
      </c>
      <c r="G27" s="141"/>
      <c r="H27" s="154"/>
      <c r="I27" s="131"/>
    </row>
    <row r="28" spans="1:9" ht="15" x14ac:dyDescent="0.25">
      <c r="A28" s="13">
        <v>702069</v>
      </c>
      <c r="B28" s="18" t="s">
        <v>58</v>
      </c>
      <c r="C28" s="15" t="s">
        <v>148</v>
      </c>
      <c r="D28" s="12" t="s">
        <v>35</v>
      </c>
      <c r="E28" s="6">
        <v>25</v>
      </c>
      <c r="F28" s="8" t="s">
        <v>27</v>
      </c>
      <c r="G28" s="167"/>
      <c r="H28" s="154"/>
      <c r="I28" s="131"/>
    </row>
    <row r="29" spans="1:9" ht="15" x14ac:dyDescent="0.25">
      <c r="A29" s="13">
        <v>702123</v>
      </c>
      <c r="B29" s="13" t="s">
        <v>59</v>
      </c>
      <c r="C29" s="16" t="s">
        <v>149</v>
      </c>
      <c r="D29" s="12" t="s">
        <v>35</v>
      </c>
      <c r="E29" s="6">
        <v>25</v>
      </c>
      <c r="F29" s="8" t="s">
        <v>27</v>
      </c>
      <c r="G29" s="129"/>
      <c r="H29" s="154"/>
      <c r="I29" s="131"/>
    </row>
    <row r="30" spans="1:9" ht="15.75" thickBot="1" x14ac:dyDescent="0.3">
      <c r="A30" s="14"/>
      <c r="B30" s="118" t="s">
        <v>129</v>
      </c>
      <c r="C30" s="119" t="s">
        <v>130</v>
      </c>
      <c r="D30" s="12" t="s">
        <v>131</v>
      </c>
      <c r="E30" s="6">
        <v>24</v>
      </c>
      <c r="F30" s="8" t="s">
        <v>27</v>
      </c>
      <c r="G30" s="129"/>
      <c r="H30" s="154"/>
      <c r="I30" s="131"/>
    </row>
    <row r="31" spans="1:9" ht="15" x14ac:dyDescent="0.25">
      <c r="A31" s="13">
        <v>702007</v>
      </c>
      <c r="B31" s="18" t="s">
        <v>60</v>
      </c>
      <c r="C31" s="15" t="s">
        <v>150</v>
      </c>
      <c r="D31" s="12" t="s">
        <v>34</v>
      </c>
      <c r="E31" s="7">
        <v>25</v>
      </c>
      <c r="F31" s="8" t="s">
        <v>27</v>
      </c>
      <c r="G31" s="129"/>
      <c r="H31" s="154"/>
      <c r="I31" s="131"/>
    </row>
    <row r="32" spans="1:9" ht="15" x14ac:dyDescent="0.25">
      <c r="A32" s="19" t="s">
        <v>61</v>
      </c>
      <c r="B32" s="19" t="s">
        <v>62</v>
      </c>
      <c r="C32" t="s">
        <v>151</v>
      </c>
      <c r="D32" s="7"/>
      <c r="E32" s="7">
        <v>3</v>
      </c>
      <c r="F32" s="8" t="s">
        <v>27</v>
      </c>
      <c r="G32" s="168"/>
      <c r="H32" s="154"/>
      <c r="I32" s="131"/>
    </row>
    <row r="33" spans="1:9" ht="15" x14ac:dyDescent="0.25">
      <c r="A33" s="169"/>
      <c r="B33" s="170"/>
      <c r="C33" s="171"/>
      <c r="D33" s="172"/>
      <c r="E33" s="173"/>
      <c r="F33" s="174"/>
      <c r="G33" s="152"/>
      <c r="H33" s="154"/>
      <c r="I33" s="131"/>
    </row>
    <row r="34" spans="1:9" ht="15" x14ac:dyDescent="0.25">
      <c r="A34" s="175"/>
      <c r="B34" s="176"/>
      <c r="C34" s="177"/>
      <c r="D34" s="178"/>
      <c r="E34" s="137"/>
      <c r="F34" s="137"/>
      <c r="G34" s="152"/>
      <c r="H34" s="154"/>
      <c r="I34" s="131"/>
    </row>
    <row r="35" spans="1:9" ht="15.75" x14ac:dyDescent="0.25">
      <c r="A35" s="13"/>
      <c r="B35" s="19"/>
      <c r="C35" s="16"/>
      <c r="D35" s="179"/>
      <c r="E35" s="180"/>
      <c r="F35" s="8"/>
      <c r="G35" s="152"/>
      <c r="H35" s="158"/>
      <c r="I35" s="131"/>
    </row>
    <row r="36" spans="1:9" ht="15.75" x14ac:dyDescent="0.25">
      <c r="A36" s="155"/>
      <c r="B36" s="156"/>
      <c r="C36" s="181"/>
      <c r="D36" s="158"/>
      <c r="E36" s="158"/>
      <c r="F36" s="153"/>
      <c r="G36" s="182"/>
      <c r="H36" s="182"/>
      <c r="I36" s="131"/>
    </row>
    <row r="37" spans="1:9" ht="14.25" thickBot="1" x14ac:dyDescent="0.3">
      <c r="A37" s="183"/>
      <c r="B37" s="184"/>
      <c r="C37" s="185"/>
      <c r="D37" s="185"/>
      <c r="E37" s="186"/>
      <c r="F37" s="187"/>
      <c r="G37" s="185"/>
      <c r="H37" s="185"/>
      <c r="I37" s="188"/>
    </row>
    <row r="38" spans="1:9" ht="14.25" thickBot="1" x14ac:dyDescent="0.3">
      <c r="A38" s="189"/>
      <c r="B38" s="190"/>
      <c r="C38" s="191"/>
      <c r="D38" s="192" t="s">
        <v>11</v>
      </c>
      <c r="E38" s="193" t="s">
        <v>14</v>
      </c>
      <c r="F38" s="194"/>
      <c r="G38" s="191"/>
      <c r="H38" s="191"/>
      <c r="I38" s="195"/>
    </row>
    <row r="39" spans="1:9" ht="13.5" x14ac:dyDescent="0.25">
      <c r="A39" s="245" t="s">
        <v>15</v>
      </c>
      <c r="B39" s="246"/>
      <c r="C39" s="247"/>
      <c r="D39" s="196">
        <v>2040</v>
      </c>
      <c r="E39" s="197" t="s">
        <v>25</v>
      </c>
      <c r="F39" s="248" t="s">
        <v>23</v>
      </c>
      <c r="G39" s="248"/>
      <c r="H39" s="235"/>
      <c r="I39" s="236"/>
    </row>
    <row r="40" spans="1:9" ht="13.5" x14ac:dyDescent="0.25">
      <c r="A40" s="237" t="s">
        <v>16</v>
      </c>
      <c r="B40" s="238"/>
      <c r="C40" s="239"/>
      <c r="D40" s="198">
        <v>30</v>
      </c>
      <c r="E40" s="199" t="s">
        <v>28</v>
      </c>
      <c r="F40" s="240" t="s">
        <v>17</v>
      </c>
      <c r="G40" s="240"/>
      <c r="H40" s="241"/>
      <c r="I40" s="242"/>
    </row>
    <row r="41" spans="1:9" ht="13.5" x14ac:dyDescent="0.25">
      <c r="A41" s="237" t="s">
        <v>18</v>
      </c>
      <c r="B41" s="238"/>
      <c r="C41" s="239"/>
      <c r="D41" s="199">
        <v>3</v>
      </c>
      <c r="E41" s="199" t="s">
        <v>63</v>
      </c>
      <c r="F41" s="240" t="s">
        <v>24</v>
      </c>
      <c r="G41" s="240"/>
      <c r="H41" s="241"/>
      <c r="I41" s="242"/>
    </row>
    <row r="42" spans="1:9" ht="13.5" x14ac:dyDescent="0.25">
      <c r="A42" s="237" t="s">
        <v>152</v>
      </c>
      <c r="B42" s="238"/>
      <c r="C42" s="239"/>
      <c r="D42" s="199">
        <v>680</v>
      </c>
      <c r="E42" s="199" t="s">
        <v>25</v>
      </c>
      <c r="F42" s="243" t="s">
        <v>19</v>
      </c>
      <c r="G42" s="244"/>
      <c r="H42" s="241" t="s">
        <v>65</v>
      </c>
      <c r="I42" s="242"/>
    </row>
    <row r="43" spans="1:9" ht="14.25" thickBot="1" x14ac:dyDescent="0.3">
      <c r="A43" s="252" t="s">
        <v>20</v>
      </c>
      <c r="B43" s="253"/>
      <c r="C43" s="254"/>
      <c r="D43" s="200">
        <v>88</v>
      </c>
      <c r="E43" s="201" t="s">
        <v>25</v>
      </c>
      <c r="F43" s="255"/>
      <c r="G43" s="255"/>
      <c r="H43" s="256"/>
      <c r="I43" s="257"/>
    </row>
    <row r="44" spans="1:9" ht="13.5" thickBot="1" x14ac:dyDescent="0.25">
      <c r="A44" s="258" t="s">
        <v>21</v>
      </c>
      <c r="B44" s="259"/>
      <c r="C44" s="259"/>
      <c r="D44" s="259"/>
      <c r="E44" s="259"/>
      <c r="F44" s="259"/>
      <c r="G44" s="259"/>
      <c r="H44" s="259"/>
      <c r="I44" s="260"/>
    </row>
    <row r="45" spans="1:9" ht="14.45" customHeight="1" x14ac:dyDescent="0.25">
      <c r="A45" s="261" t="s">
        <v>31</v>
      </c>
      <c r="B45" s="262"/>
      <c r="C45" s="263"/>
      <c r="D45" s="263"/>
      <c r="E45" s="263"/>
      <c r="F45" s="263"/>
      <c r="G45" s="263"/>
      <c r="H45" s="263"/>
      <c r="I45" s="264"/>
    </row>
    <row r="46" spans="1:9" ht="14.45" customHeight="1" x14ac:dyDescent="0.25">
      <c r="A46" s="261" t="s">
        <v>33</v>
      </c>
      <c r="B46" s="262"/>
      <c r="C46" s="263"/>
      <c r="D46" s="263"/>
      <c r="E46" s="263"/>
      <c r="F46" s="263"/>
      <c r="G46" s="263"/>
      <c r="H46" s="263"/>
      <c r="I46" s="264"/>
    </row>
    <row r="47" spans="1:9" ht="14.45" customHeight="1" x14ac:dyDescent="0.25">
      <c r="A47" s="261" t="s">
        <v>37</v>
      </c>
      <c r="B47" s="262"/>
      <c r="C47" s="263"/>
      <c r="D47" s="263"/>
      <c r="E47" s="263"/>
      <c r="F47" s="263"/>
      <c r="G47" s="263"/>
      <c r="H47" s="263"/>
      <c r="I47" s="264"/>
    </row>
    <row r="48" spans="1:9" ht="14.45" customHeight="1" x14ac:dyDescent="0.25">
      <c r="A48" s="261" t="s">
        <v>32</v>
      </c>
      <c r="B48" s="262"/>
      <c r="C48" s="263"/>
      <c r="D48" s="263"/>
      <c r="E48" s="263"/>
      <c r="F48" s="263"/>
      <c r="G48" s="263"/>
      <c r="H48" s="263"/>
      <c r="I48" s="264"/>
    </row>
    <row r="49" spans="1:9" ht="14.45" customHeight="1" x14ac:dyDescent="0.25">
      <c r="A49" s="261" t="s">
        <v>36</v>
      </c>
      <c r="B49" s="262"/>
      <c r="C49" s="263"/>
      <c r="D49" s="263"/>
      <c r="E49" s="263"/>
      <c r="F49" s="263"/>
      <c r="G49" s="263"/>
      <c r="H49" s="263"/>
      <c r="I49" s="264"/>
    </row>
    <row r="50" spans="1:9" ht="13.5" x14ac:dyDescent="0.25">
      <c r="A50" s="1" t="s">
        <v>64</v>
      </c>
      <c r="B50" s="1"/>
      <c r="C50" s="1"/>
      <c r="D50" s="1"/>
      <c r="E50" s="1"/>
      <c r="F50" s="1"/>
      <c r="G50" s="1"/>
      <c r="H50" s="1"/>
      <c r="I50" s="1"/>
    </row>
    <row r="51" spans="1:9" ht="13.5" x14ac:dyDescent="0.25">
      <c r="A51" s="249"/>
      <c r="B51" s="250"/>
      <c r="C51" s="250"/>
      <c r="D51" s="250"/>
      <c r="E51" s="250"/>
      <c r="F51" s="250"/>
      <c r="G51" s="250"/>
      <c r="H51" s="250"/>
      <c r="I51" s="251"/>
    </row>
    <row r="52" spans="1:9" ht="13.5" x14ac:dyDescent="0.25">
      <c r="A52" s="249"/>
      <c r="B52" s="250"/>
      <c r="C52" s="250"/>
      <c r="D52" s="250"/>
      <c r="E52" s="250"/>
      <c r="F52" s="250"/>
      <c r="G52" s="250"/>
      <c r="H52" s="250"/>
      <c r="I52" s="251"/>
    </row>
    <row r="53" spans="1:9" ht="18" customHeight="1" x14ac:dyDescent="0.25">
      <c r="A53" s="249"/>
      <c r="B53" s="250"/>
      <c r="C53" s="250"/>
      <c r="D53" s="250"/>
      <c r="E53" s="250"/>
      <c r="F53" s="250"/>
      <c r="G53" s="250"/>
      <c r="H53" s="250"/>
      <c r="I53" s="251"/>
    </row>
    <row r="54" spans="1:9" ht="13.5" x14ac:dyDescent="0.25">
      <c r="A54" s="249"/>
      <c r="B54" s="250"/>
      <c r="C54" s="250"/>
      <c r="D54" s="250"/>
      <c r="E54" s="250"/>
      <c r="F54" s="250"/>
      <c r="G54" s="250"/>
      <c r="H54" s="250"/>
      <c r="I54" s="251"/>
    </row>
    <row r="55" spans="1:9" ht="14.25" thickBot="1" x14ac:dyDescent="0.3">
      <c r="A55" s="265"/>
      <c r="B55" s="266"/>
      <c r="C55" s="266"/>
      <c r="D55" s="266"/>
      <c r="E55" s="266"/>
      <c r="F55" s="266"/>
      <c r="G55" s="266"/>
      <c r="H55" s="266"/>
      <c r="I55" s="267"/>
    </row>
    <row r="56" spans="1:9" x14ac:dyDescent="0.2">
      <c r="A56" s="268" t="s">
        <v>38</v>
      </c>
      <c r="B56" s="269"/>
      <c r="C56" s="269"/>
      <c r="D56" s="269"/>
      <c r="E56" s="269"/>
      <c r="F56" s="269"/>
      <c r="G56" s="269"/>
      <c r="H56" s="269"/>
      <c r="I56" s="269"/>
    </row>
    <row r="57" spans="1:9" ht="13.5" x14ac:dyDescent="0.25">
      <c r="A57" s="270"/>
      <c r="B57" s="271"/>
      <c r="C57" s="271"/>
      <c r="D57" s="271"/>
      <c r="E57" s="271"/>
      <c r="F57" s="271"/>
      <c r="G57" s="271"/>
      <c r="H57" s="271"/>
      <c r="I57" s="271"/>
    </row>
    <row r="58" spans="1:9" ht="13.5" x14ac:dyDescent="0.25">
      <c r="A58" s="270"/>
      <c r="B58" s="271"/>
      <c r="C58" s="271"/>
      <c r="D58" s="271"/>
      <c r="E58" s="271"/>
      <c r="F58" s="271"/>
      <c r="G58" s="271"/>
      <c r="H58" s="271"/>
      <c r="I58" s="271"/>
    </row>
  </sheetData>
  <mergeCells count="46">
    <mergeCell ref="A54:I54"/>
    <mergeCell ref="A55:I55"/>
    <mergeCell ref="A56:I56"/>
    <mergeCell ref="A57:I57"/>
    <mergeCell ref="A58:I58"/>
    <mergeCell ref="A53:I53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1:I51"/>
    <mergeCell ref="A52:I52"/>
    <mergeCell ref="H39:I39"/>
    <mergeCell ref="A41:C41"/>
    <mergeCell ref="F41:G41"/>
    <mergeCell ref="H41:I41"/>
    <mergeCell ref="A42:C42"/>
    <mergeCell ref="F42:G42"/>
    <mergeCell ref="H42:I42"/>
    <mergeCell ref="A40:C40"/>
    <mergeCell ref="F40:G40"/>
    <mergeCell ref="H40:I40"/>
    <mergeCell ref="A39:C39"/>
    <mergeCell ref="F39:G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5EEA-EC84-4A32-99A2-526A20FDE19A}">
  <dimension ref="A1:Q91"/>
  <sheetViews>
    <sheetView topLeftCell="A2" workbookViewId="0">
      <selection activeCell="O65" sqref="O65"/>
    </sheetView>
  </sheetViews>
  <sheetFormatPr baseColWidth="10" defaultColWidth="8.42578125" defaultRowHeight="12.75" x14ac:dyDescent="0.2"/>
  <cols>
    <col min="1" max="1" width="10" style="25" bestFit="1" customWidth="1"/>
    <col min="2" max="2" width="44.28515625" style="25" bestFit="1" customWidth="1"/>
    <col min="3" max="3" width="10.42578125" style="25" bestFit="1" customWidth="1"/>
    <col min="4" max="4" width="10.42578125" style="25" customWidth="1"/>
    <col min="5" max="5" width="9.7109375" style="25" bestFit="1" customWidth="1"/>
    <col min="6" max="6" width="9.5703125" style="25" bestFit="1" customWidth="1"/>
    <col min="7" max="7" width="9.5703125" style="107" bestFit="1" customWidth="1"/>
    <col min="8" max="8" width="10.42578125" style="98" bestFit="1" customWidth="1"/>
    <col min="9" max="9" width="4.5703125" style="98" customWidth="1"/>
    <col min="10" max="10" width="1.85546875" style="24" customWidth="1"/>
    <col min="11" max="11" width="7" style="25" bestFit="1" customWidth="1"/>
    <col min="12" max="12" width="6.28515625" style="25" customWidth="1"/>
    <col min="13" max="13" width="20.42578125" style="25" customWidth="1"/>
    <col min="14" max="14" width="6.42578125" style="25" bestFit="1" customWidth="1"/>
    <col min="15" max="15" width="8.85546875" style="25" customWidth="1"/>
    <col min="16" max="16" width="8.42578125" style="25"/>
    <col min="17" max="17" width="3.28515625" style="25" customWidth="1"/>
    <col min="18" max="16384" width="8.42578125" style="25"/>
  </cols>
  <sheetData>
    <row r="1" spans="1:13" ht="27.75" customHeight="1" x14ac:dyDescent="0.2">
      <c r="A1" s="20"/>
      <c r="B1" s="20"/>
      <c r="C1" s="20"/>
      <c r="D1" s="20"/>
      <c r="E1" s="21" t="s">
        <v>66</v>
      </c>
      <c r="F1" s="22" t="s">
        <v>67</v>
      </c>
      <c r="G1" s="22" t="s">
        <v>68</v>
      </c>
      <c r="H1" s="22" t="s">
        <v>69</v>
      </c>
      <c r="I1" s="23"/>
    </row>
    <row r="2" spans="1:13" ht="30.75" customHeight="1" x14ac:dyDescent="0.2">
      <c r="A2" s="20"/>
      <c r="B2" s="20"/>
      <c r="C2" s="20"/>
      <c r="D2" s="20"/>
      <c r="E2" s="26">
        <f>IFERROR(O62,"")</f>
        <v>3556.2119896350873</v>
      </c>
      <c r="F2" s="26">
        <f>IFERROR(H53,"")</f>
        <v>1522.9425989059689</v>
      </c>
      <c r="G2" s="26">
        <f>IFERROR(H54,"")</f>
        <v>586.96124232444447</v>
      </c>
      <c r="H2" s="26">
        <f>IFERROR(H56,"")</f>
        <v>742.92814840467429</v>
      </c>
      <c r="I2" s="27"/>
    </row>
    <row r="3" spans="1:13" ht="15" customHeight="1" x14ac:dyDescent="0.2">
      <c r="A3" s="20"/>
      <c r="B3" s="20"/>
      <c r="C3" s="20"/>
      <c r="D3" s="20"/>
      <c r="E3" s="20"/>
      <c r="F3" s="28"/>
      <c r="G3" s="28"/>
      <c r="H3" s="28"/>
      <c r="I3" s="28"/>
    </row>
    <row r="4" spans="1:13" ht="24.75" customHeight="1" thickBot="1" x14ac:dyDescent="0.25">
      <c r="A4" s="273"/>
      <c r="B4" s="273"/>
      <c r="C4" s="273"/>
      <c r="D4" s="273"/>
      <c r="E4" s="273"/>
      <c r="F4" s="273"/>
      <c r="G4" s="273"/>
      <c r="H4" s="273"/>
      <c r="I4" s="29"/>
    </row>
    <row r="5" spans="1:13" ht="19.5" customHeight="1" thickBot="1" x14ac:dyDescent="0.25">
      <c r="A5" s="274" t="s">
        <v>70</v>
      </c>
      <c r="B5" s="275"/>
      <c r="C5" s="275"/>
      <c r="D5" s="275"/>
      <c r="E5" s="275"/>
      <c r="F5" s="275"/>
      <c r="G5" s="275"/>
      <c r="H5" s="276"/>
      <c r="I5" s="30"/>
    </row>
    <row r="6" spans="1:13" ht="19.5" thickBot="1" x14ac:dyDescent="0.25">
      <c r="A6" s="30"/>
      <c r="B6" s="30"/>
      <c r="C6" s="30"/>
      <c r="D6" s="30"/>
      <c r="E6" s="30"/>
      <c r="F6" s="277" t="s">
        <v>71</v>
      </c>
      <c r="G6" s="277"/>
      <c r="H6" s="31">
        <f ca="1">TODAY()</f>
        <v>45745</v>
      </c>
      <c r="I6" s="31"/>
    </row>
    <row r="7" spans="1:13" ht="26.25" thickBot="1" x14ac:dyDescent="0.25">
      <c r="A7" s="32" t="s">
        <v>72</v>
      </c>
      <c r="B7" s="33" t="s">
        <v>73</v>
      </c>
      <c r="C7" s="33" t="s">
        <v>72</v>
      </c>
      <c r="D7" s="34" t="s">
        <v>74</v>
      </c>
      <c r="E7" s="34" t="s">
        <v>75</v>
      </c>
      <c r="F7" s="34" t="s">
        <v>76</v>
      </c>
      <c r="G7" s="34" t="s">
        <v>77</v>
      </c>
      <c r="H7" s="35" t="s">
        <v>78</v>
      </c>
      <c r="I7" s="36"/>
      <c r="M7" s="25">
        <v>3785</v>
      </c>
    </row>
    <row r="8" spans="1:13" ht="13.5" x14ac:dyDescent="0.25">
      <c r="A8" s="37">
        <v>300</v>
      </c>
      <c r="B8" s="25" t="s">
        <v>48</v>
      </c>
      <c r="C8" s="38">
        <f>+A8</f>
        <v>300</v>
      </c>
      <c r="D8" s="39" t="s">
        <v>120</v>
      </c>
      <c r="E8" s="39">
        <v>2.13</v>
      </c>
      <c r="F8" s="39">
        <f>IFERROR(C8*E8,"")</f>
        <v>639</v>
      </c>
      <c r="G8" s="40">
        <f t="shared" ref="G8:G14" si="0">IFERROR(F8/$F$66,"")</f>
        <v>7.7444331442525965E-2</v>
      </c>
      <c r="H8" s="41" t="s">
        <v>119</v>
      </c>
      <c r="I8" s="41"/>
      <c r="J8" s="42"/>
      <c r="M8" s="25">
        <f>12147/M7</f>
        <v>3.2092470277410832</v>
      </c>
    </row>
    <row r="9" spans="1:13" ht="13.5" x14ac:dyDescent="0.25">
      <c r="A9" s="37">
        <v>30</v>
      </c>
      <c r="B9" s="25" t="str">
        <f>IFERROR(VLOOKUP(H9,'[1]Consolidado MP Planta'!$A$2:$M$823,3,0),"")</f>
        <v>CEREZA ROJA C/TALLO MARASCH (UND:GALON)</v>
      </c>
      <c r="C9" s="38">
        <f t="shared" ref="C9:C14" si="1">+A9</f>
        <v>30</v>
      </c>
      <c r="D9" s="39" t="str">
        <f>IFERROR(VLOOKUP(H9,'[1]Consolidado MP Planta'!$A$2:$M$823,13,0),"")</f>
        <v>Gramos</v>
      </c>
      <c r="E9" s="39">
        <v>3.2</v>
      </c>
      <c r="F9" s="39">
        <f t="shared" ref="F9:F14" si="2">IFERROR(C9*E9,"")</f>
        <v>96</v>
      </c>
      <c r="G9" s="40">
        <f t="shared" si="0"/>
        <v>1.1634829136905311E-2</v>
      </c>
      <c r="H9" s="41" t="s">
        <v>56</v>
      </c>
      <c r="I9" s="41"/>
      <c r="J9" s="42"/>
    </row>
    <row r="10" spans="1:13" ht="13.5" hidden="1" x14ac:dyDescent="0.25">
      <c r="A10" s="37"/>
      <c r="B10" s="25" t="str">
        <f>IFERROR(VLOOKUP(H10,'[1]Consolidado MP Planta'!$A$2:$M$823,3,0),"")</f>
        <v/>
      </c>
      <c r="C10" s="38">
        <f t="shared" si="1"/>
        <v>0</v>
      </c>
      <c r="D10" s="39" t="str">
        <f>IFERROR(VLOOKUP(H10,'[1]Consolidado MP Planta'!$A$2:$M$823,13,0),"")</f>
        <v/>
      </c>
      <c r="E10" s="39" t="str">
        <f>IFERROR(VLOOKUP(H10,'[1]Consolidado MP Planta'!$A$2:$M$823,12,0),"")</f>
        <v/>
      </c>
      <c r="F10" s="39" t="str">
        <f t="shared" si="2"/>
        <v/>
      </c>
      <c r="G10" s="40" t="str">
        <f t="shared" si="0"/>
        <v/>
      </c>
      <c r="H10" s="41"/>
      <c r="I10" s="41"/>
      <c r="J10" s="42"/>
    </row>
    <row r="11" spans="1:13" ht="13.5" hidden="1" x14ac:dyDescent="0.25">
      <c r="A11" s="37"/>
      <c r="B11" s="25" t="str">
        <f>IFERROR(VLOOKUP(H11,'[1]Consolidado MP Planta'!$A$2:$M$823,3,0),"")</f>
        <v/>
      </c>
      <c r="C11" s="38">
        <f t="shared" si="1"/>
        <v>0</v>
      </c>
      <c r="D11" s="39" t="str">
        <f>IFERROR(VLOOKUP(H11,'[1]Consolidado MP Planta'!$A$2:$M$823,13,0),"")</f>
        <v/>
      </c>
      <c r="E11" s="39" t="str">
        <f>IFERROR(VLOOKUP(H11,'[1]Consolidado MP Planta'!$A$2:$M$823,12,0),"")</f>
        <v/>
      </c>
      <c r="F11" s="39" t="str">
        <f t="shared" si="2"/>
        <v/>
      </c>
      <c r="G11" s="40" t="str">
        <f t="shared" si="0"/>
        <v/>
      </c>
      <c r="H11" s="41"/>
      <c r="I11" s="41"/>
      <c r="J11" s="42"/>
    </row>
    <row r="12" spans="1:13" ht="13.5" hidden="1" x14ac:dyDescent="0.25">
      <c r="A12" s="37"/>
      <c r="B12" s="25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41"/>
      <c r="I12" s="41"/>
      <c r="J12" s="42"/>
    </row>
    <row r="13" spans="1:13" ht="13.5" hidden="1" x14ac:dyDescent="0.25">
      <c r="A13" s="37"/>
      <c r="B13" s="25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41"/>
      <c r="I13" s="41"/>
      <c r="J13" s="42"/>
    </row>
    <row r="14" spans="1:13" ht="13.5" hidden="1" x14ac:dyDescent="0.25">
      <c r="A14" s="37"/>
      <c r="B14" s="25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41"/>
      <c r="I14" s="41"/>
      <c r="J14" s="42"/>
    </row>
    <row r="15" spans="1:13" ht="14.25" thickBot="1" x14ac:dyDescent="0.3">
      <c r="A15" s="37"/>
      <c r="B15" s="25" t="str">
        <f>IFERROR(VLOOKUP(H15,'[2]ARTICULOS MP PLANTA'!$A$2:$G$589,2,0),"")</f>
        <v/>
      </c>
      <c r="C15" s="38"/>
      <c r="D15" s="39"/>
      <c r="E15" s="39"/>
      <c r="F15" s="39"/>
      <c r="G15" s="40"/>
      <c r="H15" s="41"/>
      <c r="I15" s="41"/>
      <c r="J15" s="42"/>
    </row>
    <row r="16" spans="1:13" ht="26.25" thickBot="1" x14ac:dyDescent="0.25">
      <c r="A16" s="32" t="s">
        <v>72</v>
      </c>
      <c r="B16" s="33" t="s">
        <v>79</v>
      </c>
      <c r="C16" s="33" t="s">
        <v>72</v>
      </c>
      <c r="D16" s="34" t="s">
        <v>74</v>
      </c>
      <c r="E16" s="34" t="s">
        <v>75</v>
      </c>
      <c r="F16" s="34" t="s">
        <v>76</v>
      </c>
      <c r="G16" s="34" t="s">
        <v>77</v>
      </c>
      <c r="H16" s="35" t="s">
        <v>78</v>
      </c>
      <c r="I16" s="36"/>
      <c r="J16" s="42"/>
    </row>
    <row r="17" spans="1:12" ht="13.5" x14ac:dyDescent="0.25">
      <c r="A17" s="37">
        <v>1.08</v>
      </c>
      <c r="B17" s="25" t="s">
        <v>49</v>
      </c>
      <c r="C17" s="38">
        <f>+A17</f>
        <v>1.08</v>
      </c>
      <c r="D17" s="38" t="s">
        <v>118</v>
      </c>
      <c r="E17" s="39">
        <v>1687.67</v>
      </c>
      <c r="F17" s="39">
        <f>IFERROR(E17*C17,"")</f>
        <v>1822.6836000000003</v>
      </c>
      <c r="G17" s="40">
        <f t="shared" ref="G17:G24" si="3">IFERROR(F17/$F$66,"")</f>
        <v>0.22090221100666113</v>
      </c>
      <c r="H17" s="41" t="s">
        <v>117</v>
      </c>
      <c r="I17" s="41"/>
      <c r="J17" s="42"/>
    </row>
    <row r="18" spans="1:12" ht="13.5" x14ac:dyDescent="0.25">
      <c r="A18" s="37">
        <v>60</v>
      </c>
      <c r="B18" s="25" t="str">
        <f>IFERROR(VLOOKUP(H18,[1]SEMIELABORADOS!$A$2:$M$6000,2,0),"")</f>
        <v>ALMIBAR KILO</v>
      </c>
      <c r="C18" s="38">
        <f t="shared" ref="C18:C24" si="4">+A18</f>
        <v>60</v>
      </c>
      <c r="D18" s="38" t="str">
        <f>IFERROR(VLOOKUP(H18,[1]SEMIELABORADOS!$A$2:$M$6000,6,0),"")</f>
        <v>Gramo</v>
      </c>
      <c r="E18" s="39">
        <v>0.18</v>
      </c>
      <c r="F18" s="39">
        <f t="shared" ref="F18:F24" si="5">IFERROR(E18*C18,"")</f>
        <v>10.799999999999999</v>
      </c>
      <c r="G18" s="40">
        <f t="shared" si="3"/>
        <v>1.3089182779018472E-3</v>
      </c>
      <c r="H18" s="41" t="s">
        <v>39</v>
      </c>
      <c r="I18" s="41"/>
      <c r="J18" s="42"/>
    </row>
    <row r="19" spans="1:12" ht="13.5" x14ac:dyDescent="0.25">
      <c r="A19" s="37">
        <v>120</v>
      </c>
      <c r="B19" s="25" t="s">
        <v>47</v>
      </c>
      <c r="C19" s="38">
        <f>+A19</f>
        <v>120</v>
      </c>
      <c r="D19" s="38" t="s">
        <v>122</v>
      </c>
      <c r="E19" s="39">
        <v>4.7300000000000004</v>
      </c>
      <c r="F19" s="39">
        <f>IFERROR(E19*C19,"")</f>
        <v>567.6</v>
      </c>
      <c r="G19" s="40">
        <f t="shared" si="3"/>
        <v>6.8790927271952657E-2</v>
      </c>
      <c r="H19" s="41" t="s">
        <v>121</v>
      </c>
      <c r="I19" s="41"/>
      <c r="J19" s="42"/>
    </row>
    <row r="20" spans="1:12" ht="13.5" x14ac:dyDescent="0.25">
      <c r="A20" s="37">
        <v>528</v>
      </c>
      <c r="B20" s="25" t="str">
        <f>IFERROR(VLOOKUP(H20,[1]SEMIELABORADOS!$A$2:$M$6000,2,0),"")</f>
        <v>CREMA CHANTILLY CHOCO SPOON KILO</v>
      </c>
      <c r="C20" s="38">
        <f>+A20</f>
        <v>528</v>
      </c>
      <c r="D20" s="38" t="str">
        <f>IFERROR(VLOOKUP(H20,[1]SEMIELABORADOS!$A$2:$M$6000,6,0),"")</f>
        <v>Gramo</v>
      </c>
      <c r="E20" s="39">
        <f>IFERROR(VLOOKUP(H20,[1]SEMIELABORADOS!$A$2:$H$65536,8,0),"")</f>
        <v>2.7135306756020943</v>
      </c>
      <c r="F20" s="39">
        <f>IFERROR(E20*C20,"")</f>
        <v>1432.7441967179059</v>
      </c>
      <c r="G20" s="40">
        <f t="shared" si="3"/>
        <v>0.17364306172609881</v>
      </c>
      <c r="H20" s="41" t="s">
        <v>46</v>
      </c>
      <c r="I20" s="41"/>
      <c r="J20" s="42"/>
    </row>
    <row r="21" spans="1:12" ht="13.5" hidden="1" x14ac:dyDescent="0.25">
      <c r="A21" s="37"/>
      <c r="B21" s="25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41"/>
      <c r="I21" s="41"/>
      <c r="J21" s="42"/>
    </row>
    <row r="22" spans="1:12" ht="13.5" hidden="1" x14ac:dyDescent="0.25">
      <c r="A22" s="37"/>
      <c r="B22" s="25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41"/>
      <c r="I22" s="41"/>
      <c r="J22" s="42"/>
    </row>
    <row r="23" spans="1:12" ht="13.5" hidden="1" x14ac:dyDescent="0.25">
      <c r="A23" s="37"/>
      <c r="B23" s="25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41"/>
      <c r="I23" s="41"/>
      <c r="J23" s="42"/>
    </row>
    <row r="24" spans="1:12" ht="13.5" hidden="1" x14ac:dyDescent="0.25">
      <c r="A24" s="37"/>
      <c r="B24" s="25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41"/>
      <c r="I24" s="41"/>
      <c r="J24" s="42"/>
    </row>
    <row r="25" spans="1:12" ht="14.25" thickBot="1" x14ac:dyDescent="0.3">
      <c r="A25" s="37"/>
      <c r="C25" s="38"/>
      <c r="D25" s="38"/>
      <c r="E25" s="39"/>
      <c r="F25" s="39"/>
      <c r="G25" s="40"/>
      <c r="H25" s="41"/>
      <c r="I25" s="41"/>
      <c r="J25" s="42"/>
    </row>
    <row r="26" spans="1:12" ht="26.25" thickBot="1" x14ac:dyDescent="0.25">
      <c r="A26" s="32" t="s">
        <v>72</v>
      </c>
      <c r="B26" s="33" t="s">
        <v>26</v>
      </c>
      <c r="C26" s="33" t="s">
        <v>72</v>
      </c>
      <c r="D26" s="34" t="s">
        <v>74</v>
      </c>
      <c r="E26" s="34" t="s">
        <v>75</v>
      </c>
      <c r="F26" s="34" t="s">
        <v>76</v>
      </c>
      <c r="G26" s="34" t="s">
        <v>77</v>
      </c>
      <c r="H26" s="35" t="s">
        <v>78</v>
      </c>
      <c r="I26" s="36"/>
    </row>
    <row r="27" spans="1:12" ht="13.5" x14ac:dyDescent="0.25">
      <c r="A27" s="37">
        <v>24</v>
      </c>
      <c r="B27" s="43" t="str">
        <f>IFERROR(VLOOKUP(H27,'[1]Consolidado MP Planta'!$A$2:$M$823,3,0),"")</f>
        <v>BURBUJA I-3 ALTA (CAJA:250 UND)</v>
      </c>
      <c r="C27" s="38">
        <f t="shared" ref="C27:C32" si="6">+A27</f>
        <v>24</v>
      </c>
      <c r="D27" s="39" t="s">
        <v>127</v>
      </c>
      <c r="E27" s="39">
        <v>34.630000000000003</v>
      </c>
      <c r="F27" s="39">
        <f t="shared" ref="F27:F32" si="7">IFERROR(C27*E27,"")</f>
        <v>831.12000000000012</v>
      </c>
      <c r="G27" s="40">
        <f t="shared" ref="G27:G32" si="8">IFERROR(F27/$F$66,"")</f>
        <v>0.10072853325275774</v>
      </c>
      <c r="H27" s="44" t="s">
        <v>42</v>
      </c>
      <c r="I27" s="44"/>
      <c r="J27" s="42"/>
      <c r="K27" s="272"/>
      <c r="L27" s="272"/>
    </row>
    <row r="28" spans="1:12" ht="13.5" x14ac:dyDescent="0.25">
      <c r="A28" s="37">
        <v>25</v>
      </c>
      <c r="B28" s="43" t="str">
        <f>IFERROR(VLOOKUP(H28,'[1]Consolidado MP Planta'!$A$2:$M$823,3,0),"")</f>
        <v>ETIQ.BLANCA 1 1/4 * 3/4 (UND)</v>
      </c>
      <c r="C28" s="38">
        <f t="shared" si="6"/>
        <v>25</v>
      </c>
      <c r="D28" s="39" t="str">
        <f>IFERROR(VLOOKUP(H28,'[1]Consolidado MP Planta'!$A$2:$M$823,13,0),"")</f>
        <v>Und</v>
      </c>
      <c r="E28" s="39">
        <f>IFERROR(VLOOKUP(H28,'[1]Consolidado MP Planta'!$A$2:$M$823,12,0),"")</f>
        <v>0.57999999999999996</v>
      </c>
      <c r="F28" s="39">
        <f t="shared" si="7"/>
        <v>14.499999999999998</v>
      </c>
      <c r="G28" s="40">
        <f t="shared" si="8"/>
        <v>1.7573439842200726E-3</v>
      </c>
      <c r="H28" s="44" t="s">
        <v>123</v>
      </c>
      <c r="I28" s="44"/>
      <c r="J28" s="42"/>
      <c r="K28" s="272"/>
      <c r="L28" s="272"/>
    </row>
    <row r="29" spans="1:12" ht="13.5" x14ac:dyDescent="0.25">
      <c r="A29" s="37">
        <v>25</v>
      </c>
      <c r="B29" s="43" t="str">
        <f>IFERROR(VLOOKUP(H29,'[1]Consolidado MP Planta'!$A$2:$M$823,3,0),"")</f>
        <v>ETIQUETA BLANCA 2 5/8X1 15/16 (UND)</v>
      </c>
      <c r="C29" s="38">
        <f t="shared" si="6"/>
        <v>25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2.1280000000000001</v>
      </c>
      <c r="F29" s="39">
        <f t="shared" si="7"/>
        <v>53.2</v>
      </c>
      <c r="G29" s="40">
        <f t="shared" si="8"/>
        <v>6.4476344800350263E-3</v>
      </c>
      <c r="H29" s="44" t="s">
        <v>124</v>
      </c>
      <c r="I29" s="44"/>
      <c r="J29" s="42"/>
      <c r="K29" s="272"/>
      <c r="L29" s="272"/>
    </row>
    <row r="30" spans="1:12" ht="13.5" x14ac:dyDescent="0.25">
      <c r="A30" s="37">
        <v>24</v>
      </c>
      <c r="B30" s="43" t="str">
        <f>IFERROR(VLOOKUP(H30,'[1]Consolidado MP Planta'!$A$2:$M$823,3,0),"")</f>
        <v>ET.  BUCCA DULCE (UND)</v>
      </c>
      <c r="C30" s="38">
        <f t="shared" si="6"/>
        <v>24</v>
      </c>
      <c r="D30" s="39" t="str">
        <f>IFERROR(VLOOKUP(H30,'[1]Consolidado MP Planta'!$A$2:$M$823,13,0),"")</f>
        <v>Und</v>
      </c>
      <c r="E30" s="39">
        <v>5</v>
      </c>
      <c r="F30" s="39">
        <f t="shared" si="7"/>
        <v>120</v>
      </c>
      <c r="G30" s="40">
        <f t="shared" si="8"/>
        <v>1.4543536421131638E-2</v>
      </c>
      <c r="H30" s="44" t="s">
        <v>125</v>
      </c>
      <c r="I30" s="44"/>
      <c r="J30" s="42"/>
      <c r="K30" s="272"/>
      <c r="L30" s="272"/>
    </row>
    <row r="31" spans="1:12" ht="13.5" x14ac:dyDescent="0.25">
      <c r="A31" s="37">
        <v>25</v>
      </c>
      <c r="B31" s="43" t="str">
        <f>IFERROR(VLOOKUP(H31,'[1]Consolidado MP Planta'!$A$2:$M$823,3,0),"")</f>
        <v>ETIQ.FECHA VENCIMIENTO BLANCO (ROLLO)</v>
      </c>
      <c r="C31" s="38">
        <f t="shared" si="6"/>
        <v>25</v>
      </c>
      <c r="D31" s="39" t="str">
        <f>IFERROR(VLOOKUP(H31,'[1]Consolidado MP Planta'!$A$2:$M$823,13,0),"")</f>
        <v>Gramos</v>
      </c>
      <c r="E31" s="39">
        <f>IFERROR(VLOOKUP(H31,'[1]Consolidado MP Planta'!$A$2:$M$823,12,0),"")</f>
        <v>0.33333333333333331</v>
      </c>
      <c r="F31" s="39">
        <f t="shared" si="7"/>
        <v>8.3333333333333321</v>
      </c>
      <c r="G31" s="40">
        <f t="shared" si="8"/>
        <v>1.0099678070230303E-3</v>
      </c>
      <c r="H31" s="44" t="s">
        <v>126</v>
      </c>
      <c r="I31" s="44"/>
      <c r="J31" s="42"/>
      <c r="K31" s="45"/>
      <c r="L31" s="46"/>
    </row>
    <row r="32" spans="1:12" ht="13.5" x14ac:dyDescent="0.25">
      <c r="A32" s="37">
        <v>3</v>
      </c>
      <c r="B32" s="43" t="str">
        <f>IFERROR(VLOOKUP(H32,'[1]Consolidado MP Planta'!$A$2:$M$823,3,0),"")</f>
        <v>CAJA MUSMANNI #2 (UND)</v>
      </c>
      <c r="C32" s="38">
        <f t="shared" si="6"/>
        <v>3</v>
      </c>
      <c r="D32" s="39" t="str">
        <f>IFERROR(VLOOKUP(H32,'[1]Consolidado MP Planta'!$A$2:$M$823,13,0),"")</f>
        <v>Und</v>
      </c>
      <c r="E32" s="39">
        <v>239</v>
      </c>
      <c r="F32" s="39">
        <f t="shared" si="7"/>
        <v>717</v>
      </c>
      <c r="G32" s="40">
        <f t="shared" si="8"/>
        <v>8.6897630116261532E-2</v>
      </c>
      <c r="H32" s="44" t="s">
        <v>61</v>
      </c>
      <c r="I32" s="44"/>
      <c r="J32" s="42"/>
    </row>
    <row r="33" spans="1:13" ht="14.25" thickBot="1" x14ac:dyDescent="0.3">
      <c r="A33" s="37"/>
      <c r="B33" s="43"/>
      <c r="C33" s="38"/>
      <c r="D33" s="39"/>
      <c r="E33" s="39"/>
      <c r="F33" s="39"/>
      <c r="G33" s="40"/>
      <c r="H33" s="44"/>
      <c r="I33" s="44"/>
      <c r="J33" s="42"/>
    </row>
    <row r="34" spans="1:13" ht="26.25" thickBot="1" x14ac:dyDescent="0.25">
      <c r="A34" s="32" t="s">
        <v>72</v>
      </c>
      <c r="B34" s="33" t="s">
        <v>80</v>
      </c>
      <c r="C34" s="33" t="s">
        <v>72</v>
      </c>
      <c r="D34" s="34" t="s">
        <v>74</v>
      </c>
      <c r="E34" s="34" t="s">
        <v>75</v>
      </c>
      <c r="F34" s="34" t="s">
        <v>76</v>
      </c>
      <c r="G34" s="34" t="s">
        <v>77</v>
      </c>
      <c r="H34" s="35" t="s">
        <v>78</v>
      </c>
      <c r="I34" s="44"/>
      <c r="J34" s="42"/>
    </row>
    <row r="35" spans="1:13" ht="13.5" x14ac:dyDescent="0.25">
      <c r="A35" s="37">
        <f>+A17</f>
        <v>1.08</v>
      </c>
      <c r="B35" s="43" t="s">
        <v>49</v>
      </c>
      <c r="C35" s="38">
        <f>+A35</f>
        <v>1.08</v>
      </c>
      <c r="D35" s="39" t="s">
        <v>118</v>
      </c>
      <c r="E35" s="39">
        <v>14.88</v>
      </c>
      <c r="F35" s="39">
        <f>IFERROR(E35*C35,"")</f>
        <v>16.070400000000003</v>
      </c>
      <c r="G35" s="40">
        <f t="shared" ref="G35:G41" si="9">IFERROR(F35/$F$66,"")</f>
        <v>1.9476703975179492E-3</v>
      </c>
      <c r="H35" s="44" t="s">
        <v>117</v>
      </c>
      <c r="I35" s="44"/>
      <c r="J35" s="42"/>
    </row>
    <row r="36" spans="1:13" ht="13.5" x14ac:dyDescent="0.25">
      <c r="A36" s="37">
        <f t="shared" ref="A36:A41" si="10">+A18</f>
        <v>60</v>
      </c>
      <c r="B36" s="43" t="str">
        <f>IFERROR(VLOOKUP(H36,[1]SEMIELABORADOS!$A$2:$M$6000,2,0),"")</f>
        <v>ALMIBAR KILO</v>
      </c>
      <c r="C36" s="38">
        <f t="shared" ref="C36:C41" si="11">+A36</f>
        <v>60</v>
      </c>
      <c r="D36" s="39" t="str">
        <f>IFERROR(VLOOKUP(H36,[1]SEMIELABORADOS!$A$2:$M$6000,6,0),"")</f>
        <v>Gramo</v>
      </c>
      <c r="E36" s="39">
        <f>IFERROR(VLOOKUP(H36,[1]SEMIELABORADOS!$A$2:$M$65536,10,0),"")</f>
        <v>1.0250838E-2</v>
      </c>
      <c r="F36" s="39">
        <f t="shared" ref="F36:F41" si="12">IFERROR(E36*C36,"")</f>
        <v>0.61505027999999995</v>
      </c>
      <c r="G36" s="40">
        <f t="shared" si="9"/>
        <v>7.4541717900060094E-5</v>
      </c>
      <c r="H36" s="44" t="s">
        <v>39</v>
      </c>
      <c r="I36" s="44"/>
      <c r="J36" s="42"/>
    </row>
    <row r="37" spans="1:13" ht="13.5" x14ac:dyDescent="0.25">
      <c r="A37" s="37">
        <f t="shared" si="10"/>
        <v>120</v>
      </c>
      <c r="B37" s="25" t="s">
        <v>47</v>
      </c>
      <c r="C37" s="38">
        <f t="shared" si="11"/>
        <v>120</v>
      </c>
      <c r="D37" s="39" t="s">
        <v>122</v>
      </c>
      <c r="E37" s="39">
        <v>0</v>
      </c>
      <c r="F37" s="39">
        <f t="shared" si="12"/>
        <v>0</v>
      </c>
      <c r="G37" s="40">
        <f t="shared" si="9"/>
        <v>0</v>
      </c>
      <c r="H37" s="44" t="s">
        <v>121</v>
      </c>
      <c r="I37" s="44"/>
      <c r="J37" s="42"/>
    </row>
    <row r="38" spans="1:13" ht="13.5" x14ac:dyDescent="0.25">
      <c r="A38" s="37">
        <f t="shared" si="10"/>
        <v>528</v>
      </c>
      <c r="B38" s="43" t="str">
        <f>IFERROR(VLOOKUP(H38,[1]SEMIELABORADOS!$A$2:$M$6000,2,0),"")</f>
        <v>CREMA CHANTILLY CHOCO SPOON KILO</v>
      </c>
      <c r="C38" s="38">
        <f>+A38</f>
        <v>528</v>
      </c>
      <c r="D38" s="39" t="str">
        <f>IFERROR(VLOOKUP(H38,[1]SEMIELABORADOS!$A$2:$M$6000,6,0),"")</f>
        <v>Gramo</v>
      </c>
      <c r="E38" s="39">
        <f>IFERROR(VLOOKUP(H38,[1]SEMIELABORADOS!$A$2:$M$65536,10,0),"")</f>
        <v>8.5119999999999998E-5</v>
      </c>
      <c r="F38" s="39">
        <f>IFERROR(E38*C38,"")</f>
        <v>4.4943360000000002E-2</v>
      </c>
      <c r="G38" s="40">
        <f t="shared" si="9"/>
        <v>5.44696160873359E-6</v>
      </c>
      <c r="H38" s="44" t="s">
        <v>46</v>
      </c>
      <c r="I38" s="44"/>
      <c r="J38" s="42"/>
    </row>
    <row r="39" spans="1:13" ht="13.5" hidden="1" x14ac:dyDescent="0.25">
      <c r="A39" s="37">
        <f t="shared" si="10"/>
        <v>0</v>
      </c>
      <c r="B39" s="43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4"/>
      <c r="I39" s="44"/>
      <c r="J39" s="42"/>
    </row>
    <row r="40" spans="1:13" ht="13.5" hidden="1" x14ac:dyDescent="0.25">
      <c r="A40" s="37">
        <f t="shared" si="10"/>
        <v>0</v>
      </c>
      <c r="B40" s="43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40" t="str">
        <f t="shared" si="9"/>
        <v/>
      </c>
      <c r="H40" s="44"/>
      <c r="I40" s="44"/>
      <c r="J40" s="42"/>
    </row>
    <row r="41" spans="1:13" ht="13.5" hidden="1" x14ac:dyDescent="0.25">
      <c r="A41" s="37">
        <f t="shared" si="10"/>
        <v>0</v>
      </c>
      <c r="B41" s="43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40" t="str">
        <f t="shared" si="9"/>
        <v/>
      </c>
      <c r="H41" s="44"/>
      <c r="I41" s="44"/>
      <c r="J41" s="42"/>
    </row>
    <row r="42" spans="1:13" ht="14.25" thickBot="1" x14ac:dyDescent="0.3">
      <c r="A42" s="37"/>
      <c r="B42" s="43"/>
      <c r="C42" s="38"/>
      <c r="D42" s="39"/>
      <c r="E42" s="39"/>
      <c r="F42" s="39"/>
      <c r="G42" s="40"/>
      <c r="H42" s="44"/>
      <c r="I42" s="44"/>
      <c r="J42" s="42"/>
    </row>
    <row r="43" spans="1:13" ht="26.25" thickBot="1" x14ac:dyDescent="0.25">
      <c r="A43" s="32" t="s">
        <v>72</v>
      </c>
      <c r="B43" s="33" t="s">
        <v>81</v>
      </c>
      <c r="C43" s="33" t="s">
        <v>72</v>
      </c>
      <c r="D43" s="34" t="s">
        <v>74</v>
      </c>
      <c r="E43" s="34" t="s">
        <v>75</v>
      </c>
      <c r="F43" s="34" t="s">
        <v>76</v>
      </c>
      <c r="G43" s="34" t="s">
        <v>77</v>
      </c>
      <c r="H43" s="35" t="s">
        <v>78</v>
      </c>
      <c r="I43" s="36"/>
      <c r="J43" s="42"/>
    </row>
    <row r="44" spans="1:13" ht="13.5" x14ac:dyDescent="0.25">
      <c r="A44" s="37">
        <f>+A35</f>
        <v>1.08</v>
      </c>
      <c r="B44" s="43" t="s">
        <v>49</v>
      </c>
      <c r="C44" s="38">
        <f>+A44</f>
        <v>1.08</v>
      </c>
      <c r="D44" s="39" t="s">
        <v>118</v>
      </c>
      <c r="E44" s="39">
        <v>118.78</v>
      </c>
      <c r="F44" s="39">
        <f>IFERROR(E44*C44,"")</f>
        <v>128.2824</v>
      </c>
      <c r="G44" s="40">
        <f>IFERROR(F44/$F$66,"")</f>
        <v>1.5547331304918144E-2</v>
      </c>
      <c r="H44" s="44" t="s">
        <v>117</v>
      </c>
      <c r="I44" s="36"/>
      <c r="J44" s="42"/>
    </row>
    <row r="45" spans="1:13" ht="13.5" x14ac:dyDescent="0.25">
      <c r="A45" s="37">
        <f t="shared" ref="A45:A50" si="13">+A36</f>
        <v>60</v>
      </c>
      <c r="B45" s="43" t="str">
        <f>IFERROR(VLOOKUP(H45,[1]SEMIELABORADOS!$A$2:$M$6000,2,0),"")</f>
        <v>ALMIBAR KILO</v>
      </c>
      <c r="C45" s="38">
        <f t="shared" ref="C45:C50" si="14">+A45</f>
        <v>60</v>
      </c>
      <c r="D45" s="39" t="str">
        <f>IFERROR(VLOOKUP(H45,[1]SEMIELABORADOS!$A$2:$M$6000,6,0),"")</f>
        <v>Gramo</v>
      </c>
      <c r="E45" s="39">
        <v>0.03</v>
      </c>
      <c r="F45" s="39">
        <f t="shared" ref="F45:F50" si="15">IFERROR(E45*C45,"")</f>
        <v>1.7999999999999998</v>
      </c>
      <c r="G45" s="40">
        <f t="shared" ref="G45:G50" si="16">IFERROR(F45/$F$66,"")</f>
        <v>2.1815304631697454E-4</v>
      </c>
      <c r="H45" s="44" t="s">
        <v>39</v>
      </c>
      <c r="I45" s="36"/>
      <c r="J45" s="42"/>
      <c r="M45" s="47"/>
    </row>
    <row r="46" spans="1:13" ht="13.5" x14ac:dyDescent="0.25">
      <c r="A46" s="37">
        <f t="shared" si="13"/>
        <v>120</v>
      </c>
      <c r="B46" s="25" t="s">
        <v>47</v>
      </c>
      <c r="C46" s="38">
        <f t="shared" si="14"/>
        <v>120</v>
      </c>
      <c r="D46" s="39" t="s">
        <v>122</v>
      </c>
      <c r="E46" s="39">
        <v>0.09</v>
      </c>
      <c r="F46" s="39">
        <f t="shared" si="15"/>
        <v>10.799999999999999</v>
      </c>
      <c r="G46" s="40">
        <f t="shared" si="16"/>
        <v>1.3089182779018472E-3</v>
      </c>
      <c r="H46" s="44" t="s">
        <v>121</v>
      </c>
      <c r="I46" s="36"/>
      <c r="J46" s="42"/>
    </row>
    <row r="47" spans="1:13" ht="13.5" x14ac:dyDescent="0.25">
      <c r="A47" s="37">
        <f t="shared" si="13"/>
        <v>528</v>
      </c>
      <c r="B47" s="43" t="str">
        <f>IFERROR(VLOOKUP(H47,[1]SEMIELABORADOS!$A$2:$M$6000,2,0),"")</f>
        <v>CREMA CHANTILLY CHOCO SPOON KILO</v>
      </c>
      <c r="C47" s="38">
        <f t="shared" si="14"/>
        <v>528</v>
      </c>
      <c r="D47" s="39" t="str">
        <f>IFERROR(VLOOKUP(H47,[1]SEMIELABORADOS!$A$2:$M$6000,6,0),"")</f>
        <v>Gramo</v>
      </c>
      <c r="E47" s="39">
        <f>IFERROR(VLOOKUP(H47,[1]SEMIELABORADOS!$A$2:$M$65536,12,0),"")</f>
        <v>0.48845084320837695</v>
      </c>
      <c r="F47" s="39">
        <f t="shared" si="15"/>
        <v>257.90204521402302</v>
      </c>
      <c r="G47" s="40">
        <f t="shared" si="16"/>
        <v>3.1256731563787353E-2</v>
      </c>
      <c r="H47" s="44" t="s">
        <v>46</v>
      </c>
      <c r="I47" s="36"/>
      <c r="J47" s="42"/>
    </row>
    <row r="48" spans="1:13" ht="13.5" hidden="1" x14ac:dyDescent="0.25">
      <c r="A48" s="37">
        <f t="shared" si="13"/>
        <v>0</v>
      </c>
      <c r="B48" s="43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4"/>
      <c r="I48" s="36"/>
      <c r="J48" s="42"/>
    </row>
    <row r="49" spans="1:17" ht="13.5" hidden="1" x14ac:dyDescent="0.25">
      <c r="A49" s="37">
        <f t="shared" si="13"/>
        <v>0</v>
      </c>
      <c r="B49" s="43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4"/>
      <c r="I49" s="36"/>
      <c r="J49" s="42"/>
    </row>
    <row r="50" spans="1:17" ht="13.5" hidden="1" x14ac:dyDescent="0.25">
      <c r="A50" s="37">
        <f t="shared" si="13"/>
        <v>0</v>
      </c>
      <c r="B50" s="43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3"/>
      <c r="I50" s="36"/>
      <c r="J50" s="42"/>
    </row>
    <row r="51" spans="1:17" ht="13.5" x14ac:dyDescent="0.25">
      <c r="A51" s="37">
        <v>1</v>
      </c>
      <c r="B51" s="43" t="s">
        <v>82</v>
      </c>
      <c r="C51" s="38">
        <f>+A51</f>
        <v>1</v>
      </c>
      <c r="D51" s="38" t="s">
        <v>83</v>
      </c>
      <c r="E51" s="39">
        <f>+F65</f>
        <v>1830</v>
      </c>
      <c r="F51" s="39">
        <f>IFERROR(C51*E51,"")</f>
        <v>1830</v>
      </c>
      <c r="G51" s="40">
        <f>IFERROR(F51/$F$66,"")</f>
        <v>0.22178893042225747</v>
      </c>
      <c r="H51" s="48"/>
      <c r="I51" s="48"/>
      <c r="J51" s="42"/>
    </row>
    <row r="52" spans="1:17" ht="14.25" thickBot="1" x14ac:dyDescent="0.3">
      <c r="A52" s="37"/>
      <c r="B52" s="43"/>
      <c r="C52" s="38"/>
      <c r="D52" s="38"/>
      <c r="E52" s="39"/>
      <c r="F52" s="39"/>
      <c r="G52" s="40"/>
      <c r="H52" s="48"/>
      <c r="I52" s="48"/>
      <c r="J52" s="42"/>
    </row>
    <row r="53" spans="1:17" ht="13.5" thickBot="1" x14ac:dyDescent="0.25">
      <c r="A53" s="49"/>
      <c r="B53" s="282" t="s">
        <v>84</v>
      </c>
      <c r="C53" s="282"/>
      <c r="D53" s="282"/>
      <c r="E53" s="282"/>
      <c r="F53" s="51">
        <f>SUM(F8:F14,F17:F24)</f>
        <v>4568.8277967179065</v>
      </c>
      <c r="G53" s="40">
        <f>+F53/$F$66</f>
        <v>0.55372427886204578</v>
      </c>
      <c r="H53" s="52">
        <f>+F53/$D$60</f>
        <v>1522.9425989059689</v>
      </c>
      <c r="I53" s="52"/>
      <c r="J53" s="53"/>
      <c r="K53" s="54"/>
      <c r="L53" s="54"/>
      <c r="M53" s="54"/>
      <c r="N53" s="54"/>
      <c r="O53" s="54"/>
      <c r="P53" s="54"/>
      <c r="Q53" s="55"/>
    </row>
    <row r="54" spans="1:17" x14ac:dyDescent="0.2">
      <c r="A54" s="49"/>
      <c r="B54" s="282" t="s">
        <v>85</v>
      </c>
      <c r="C54" s="282"/>
      <c r="D54" s="282"/>
      <c r="E54" s="282"/>
      <c r="F54" s="51">
        <f>SUM(F27:F32,F35:F41)</f>
        <v>1760.8837269733335</v>
      </c>
      <c r="G54" s="40">
        <f>+F54/$F$66</f>
        <v>0.2134123051384558</v>
      </c>
      <c r="H54" s="52">
        <f>+F54/$D$60</f>
        <v>586.96124232444447</v>
      </c>
      <c r="I54" s="52"/>
      <c r="J54" s="56"/>
      <c r="K54" s="283" t="s">
        <v>86</v>
      </c>
      <c r="L54" s="284"/>
      <c r="M54" s="284"/>
      <c r="N54" s="284"/>
      <c r="O54" s="57">
        <f>+F55</f>
        <v>6329.7115236912396</v>
      </c>
      <c r="P54" s="57"/>
      <c r="Q54" s="58"/>
    </row>
    <row r="55" spans="1:17" x14ac:dyDescent="0.2">
      <c r="A55" s="49"/>
      <c r="B55" s="282" t="s">
        <v>87</v>
      </c>
      <c r="C55" s="282"/>
      <c r="D55" s="282"/>
      <c r="E55" s="282"/>
      <c r="F55" s="51">
        <f>+F53+F54</f>
        <v>6329.7115236912396</v>
      </c>
      <c r="G55" s="40">
        <f>+F55/$F$66</f>
        <v>0.76713658400050144</v>
      </c>
      <c r="H55" s="52">
        <f>+F55/$D$60</f>
        <v>2109.903841230413</v>
      </c>
      <c r="I55" s="52"/>
      <c r="J55" s="59"/>
      <c r="K55" s="60"/>
      <c r="M55" s="61" t="s">
        <v>88</v>
      </c>
      <c r="N55" s="62"/>
      <c r="O55" s="57">
        <f>+F56</f>
        <v>2228.784445214023</v>
      </c>
      <c r="P55" s="57"/>
      <c r="Q55" s="58"/>
    </row>
    <row r="56" spans="1:17" ht="13.5" thickBot="1" x14ac:dyDescent="0.25">
      <c r="A56" s="49"/>
      <c r="B56" s="50"/>
      <c r="C56" s="282" t="s">
        <v>89</v>
      </c>
      <c r="D56" s="282"/>
      <c r="E56" s="282"/>
      <c r="F56" s="51">
        <f>SUM(F44:F51)</f>
        <v>2228.784445214023</v>
      </c>
      <c r="G56" s="40">
        <f>+F56/$F$66</f>
        <v>0.27012006461518179</v>
      </c>
      <c r="H56" s="52">
        <f>+F56/$D$60</f>
        <v>742.92814840467429</v>
      </c>
      <c r="I56" s="52"/>
      <c r="J56" s="59"/>
      <c r="K56" s="60"/>
      <c r="L56" s="60"/>
      <c r="M56" s="60" t="s">
        <v>90</v>
      </c>
      <c r="N56" s="63"/>
      <c r="O56" s="57">
        <f>O54*N56</f>
        <v>0</v>
      </c>
      <c r="P56" s="57"/>
      <c r="Q56" s="58"/>
    </row>
    <row r="57" spans="1:17" ht="13.5" thickBot="1" x14ac:dyDescent="0.25">
      <c r="A57" s="49"/>
      <c r="B57" s="64"/>
      <c r="C57" s="64"/>
      <c r="D57" s="64"/>
      <c r="E57" s="64"/>
      <c r="F57" s="65">
        <f>+F56/61</f>
        <v>36.537449921541359</v>
      </c>
      <c r="G57" s="40"/>
      <c r="H57" s="66"/>
      <c r="I57" s="52"/>
      <c r="J57" s="59"/>
      <c r="K57" s="67"/>
      <c r="M57" s="68" t="s">
        <v>91</v>
      </c>
      <c r="N57" s="69"/>
      <c r="O57" s="70">
        <f>SUM(O54:O56)</f>
        <v>8558.495968905263</v>
      </c>
      <c r="P57" s="71"/>
      <c r="Q57" s="58"/>
    </row>
    <row r="58" spans="1:17" x14ac:dyDescent="0.2">
      <c r="B58" s="285" t="s">
        <v>92</v>
      </c>
      <c r="C58" s="285"/>
      <c r="D58" s="72">
        <v>2040</v>
      </c>
      <c r="E58" s="73"/>
      <c r="F58" s="117">
        <f>+F57*58</f>
        <v>2119.172095449399</v>
      </c>
      <c r="G58" s="40"/>
      <c r="H58" s="66">
        <f>+H56/61</f>
        <v>12.179149973847119</v>
      </c>
      <c r="I58" s="74"/>
      <c r="J58" s="59"/>
      <c r="K58" s="67"/>
      <c r="L58" s="60"/>
      <c r="M58" s="60" t="s">
        <v>93</v>
      </c>
      <c r="N58" s="75"/>
      <c r="O58" s="57">
        <v>2110.14</v>
      </c>
      <c r="P58" s="57"/>
      <c r="Q58" s="58"/>
    </row>
    <row r="59" spans="1:17" x14ac:dyDescent="0.2">
      <c r="B59" s="285" t="s">
        <v>94</v>
      </c>
      <c r="C59" s="285"/>
      <c r="D59" s="76">
        <v>680</v>
      </c>
      <c r="E59" s="73"/>
      <c r="G59" s="40"/>
      <c r="H59" s="66">
        <f>+H58*58</f>
        <v>706.39069848313295</v>
      </c>
      <c r="I59" s="74"/>
      <c r="J59" s="59"/>
      <c r="K59" s="67"/>
      <c r="L59" s="60"/>
      <c r="M59" s="286" t="s">
        <v>91</v>
      </c>
      <c r="N59" s="286"/>
      <c r="O59" s="57">
        <f>SUM(O57:O58)</f>
        <v>10668.635968905262</v>
      </c>
      <c r="P59" s="57"/>
      <c r="Q59" s="58"/>
    </row>
    <row r="60" spans="1:17" ht="13.5" thickBot="1" x14ac:dyDescent="0.25">
      <c r="B60" s="278" t="s">
        <v>95</v>
      </c>
      <c r="C60" s="278"/>
      <c r="D60" s="72">
        <f>+D58/D59</f>
        <v>3</v>
      </c>
      <c r="E60" s="73"/>
      <c r="F60" s="77"/>
      <c r="G60" s="40"/>
      <c r="H60" s="66"/>
      <c r="I60" s="74"/>
      <c r="J60" s="59"/>
      <c r="K60" s="67"/>
      <c r="L60" s="286"/>
      <c r="M60" s="286"/>
      <c r="N60" s="75"/>
      <c r="O60" s="57">
        <f>+O59*N60</f>
        <v>0</v>
      </c>
      <c r="P60" s="57"/>
      <c r="Q60" s="58"/>
    </row>
    <row r="61" spans="1:17" ht="13.5" thickBot="1" x14ac:dyDescent="0.25">
      <c r="B61" s="278" t="s">
        <v>96</v>
      </c>
      <c r="C61" s="278"/>
      <c r="D61" s="78"/>
      <c r="E61" s="73"/>
      <c r="F61" s="77"/>
      <c r="G61" s="40"/>
      <c r="H61" s="66"/>
      <c r="I61" s="74"/>
      <c r="J61" s="59"/>
      <c r="K61" s="279" t="s">
        <v>97</v>
      </c>
      <c r="L61" s="280"/>
      <c r="M61" s="280"/>
      <c r="N61" s="281"/>
      <c r="O61" s="70">
        <f>SUM(O59:O60)</f>
        <v>10668.635968905262</v>
      </c>
      <c r="P61" s="79" t="s">
        <v>98</v>
      </c>
      <c r="Q61" s="58"/>
    </row>
    <row r="62" spans="1:17" ht="13.5" thickBot="1" x14ac:dyDescent="0.25">
      <c r="C62" s="49" t="s">
        <v>99</v>
      </c>
      <c r="D62" s="80"/>
      <c r="E62" s="23" t="s">
        <v>100</v>
      </c>
      <c r="F62" s="81" t="s">
        <v>101</v>
      </c>
      <c r="G62" s="40"/>
      <c r="H62" s="66"/>
      <c r="I62" s="74"/>
      <c r="J62" s="82"/>
      <c r="K62" s="83"/>
      <c r="L62" s="292" t="s">
        <v>102</v>
      </c>
      <c r="M62" s="292"/>
      <c r="N62" s="292"/>
      <c r="O62" s="84">
        <f>+O61/D60</f>
        <v>3556.2119896350873</v>
      </c>
      <c r="P62" s="85">
        <f>+O62/D59</f>
        <v>5.2297235141692457</v>
      </c>
      <c r="Q62" s="86"/>
    </row>
    <row r="63" spans="1:17" ht="13.5" thickBot="1" x14ac:dyDescent="0.25">
      <c r="B63" s="293" t="s">
        <v>87</v>
      </c>
      <c r="C63" s="293"/>
      <c r="D63" s="293"/>
      <c r="E63" s="87">
        <f>+F63/F63</f>
        <v>1</v>
      </c>
      <c r="F63" s="88">
        <f>SUM(F55)</f>
        <v>6329.7115236912396</v>
      </c>
      <c r="G63" s="40">
        <f>+F63/$F$66</f>
        <v>0.76713658400050144</v>
      </c>
      <c r="H63" s="66"/>
      <c r="I63" s="74"/>
      <c r="K63" s="294"/>
      <c r="L63" s="295"/>
      <c r="M63" s="295"/>
      <c r="N63" s="295"/>
      <c r="O63" s="89"/>
      <c r="P63" s="90"/>
    </row>
    <row r="64" spans="1:17" ht="13.5" thickBot="1" x14ac:dyDescent="0.25">
      <c r="B64" s="296" t="s">
        <v>103</v>
      </c>
      <c r="C64" s="296"/>
      <c r="D64" s="296"/>
      <c r="E64" s="91">
        <v>0.02</v>
      </c>
      <c r="F64" s="88">
        <f>+F53*E64</f>
        <v>91.376555934358137</v>
      </c>
      <c r="G64" s="40">
        <f>+F64/$F$66</f>
        <v>1.1074485577240915E-2</v>
      </c>
      <c r="H64" s="52"/>
      <c r="I64" s="74"/>
      <c r="J64" s="92"/>
      <c r="O64" s="93"/>
      <c r="P64" s="50"/>
    </row>
    <row r="65" spans="2:15" ht="13.5" thickBot="1" x14ac:dyDescent="0.25">
      <c r="B65" s="297" t="s">
        <v>104</v>
      </c>
      <c r="C65" s="298"/>
      <c r="D65" s="94">
        <v>30</v>
      </c>
      <c r="E65" s="95">
        <v>61</v>
      </c>
      <c r="F65" s="88">
        <f>+E65*D65</f>
        <v>1830</v>
      </c>
      <c r="G65" s="40">
        <f>+F65/$F$66</f>
        <v>0.22178893042225747</v>
      </c>
      <c r="H65" s="52"/>
      <c r="I65" s="52"/>
      <c r="J65" s="42"/>
      <c r="O65" s="25">
        <f>+O62/8</f>
        <v>444.52649870438592</v>
      </c>
    </row>
    <row r="66" spans="2:15" ht="13.5" thickBot="1" x14ac:dyDescent="0.25">
      <c r="B66" s="299" t="s">
        <v>105</v>
      </c>
      <c r="C66" s="300"/>
      <c r="D66" s="300"/>
      <c r="E66" s="301"/>
      <c r="F66" s="65">
        <f>SUM(F63:F65)</f>
        <v>8251.0880796255988</v>
      </c>
      <c r="G66" s="40">
        <f>+F66/$F$66</f>
        <v>1</v>
      </c>
      <c r="H66" s="302"/>
      <c r="I66" s="52"/>
      <c r="J66" s="42"/>
      <c r="M66" s="25" t="s">
        <v>106</v>
      </c>
    </row>
    <row r="67" spans="2:15" x14ac:dyDescent="0.2">
      <c r="C67" s="47"/>
      <c r="D67" s="47"/>
      <c r="E67" s="97"/>
      <c r="F67" s="88"/>
      <c r="G67" s="40"/>
      <c r="H67" s="302"/>
      <c r="I67" s="96"/>
      <c r="J67" s="25"/>
      <c r="M67" s="25" t="s">
        <v>107</v>
      </c>
    </row>
    <row r="68" spans="2:15" ht="13.5" thickBot="1" x14ac:dyDescent="0.25">
      <c r="B68" s="287" t="s">
        <v>108</v>
      </c>
      <c r="C68" s="287"/>
      <c r="D68" s="287"/>
      <c r="E68" s="287"/>
      <c r="F68" s="287"/>
      <c r="G68" s="40"/>
      <c r="H68" s="99"/>
      <c r="I68" s="96"/>
      <c r="J68" s="25"/>
      <c r="M68" s="25" t="s">
        <v>109</v>
      </c>
    </row>
    <row r="69" spans="2:15" ht="13.5" thickBot="1" x14ac:dyDescent="0.25">
      <c r="B69" s="100" t="s">
        <v>110</v>
      </c>
      <c r="C69" s="101">
        <f>+F53</f>
        <v>4568.8277967179065</v>
      </c>
      <c r="D69" s="101">
        <f>+D58</f>
        <v>2040</v>
      </c>
      <c r="E69" s="102">
        <f>+C69/D69</f>
        <v>2.2396214689793661</v>
      </c>
      <c r="F69" s="40"/>
      <c r="G69" s="99"/>
      <c r="H69" s="42"/>
      <c r="I69" s="99"/>
      <c r="J69" s="25"/>
    </row>
    <row r="70" spans="2:15" x14ac:dyDescent="0.2">
      <c r="B70" s="103"/>
      <c r="C70" s="104"/>
      <c r="D70" s="105"/>
      <c r="E70" s="88"/>
      <c r="F70" s="40"/>
      <c r="G70" s="99"/>
      <c r="H70" s="42"/>
      <c r="I70" s="42"/>
      <c r="J70" s="25"/>
    </row>
    <row r="71" spans="2:15" x14ac:dyDescent="0.2">
      <c r="B71" s="100" t="s">
        <v>111</v>
      </c>
      <c r="C71" s="101">
        <f>SUM(F63:F64)</f>
        <v>6421.0880796255979</v>
      </c>
      <c r="D71" s="101">
        <f>+D58</f>
        <v>2040</v>
      </c>
      <c r="E71" s="106">
        <f>+C71/D71</f>
        <v>3.1475921958949007</v>
      </c>
      <c r="F71" s="40"/>
      <c r="G71" s="99"/>
      <c r="H71" s="42"/>
      <c r="I71" s="42"/>
      <c r="J71" s="25"/>
    </row>
    <row r="72" spans="2:15" x14ac:dyDescent="0.2">
      <c r="B72" s="100"/>
      <c r="C72" s="101"/>
      <c r="D72" s="101"/>
      <c r="E72" s="106"/>
      <c r="F72" s="40"/>
      <c r="G72" s="99"/>
      <c r="H72" s="42"/>
      <c r="I72" s="42"/>
      <c r="J72" s="25"/>
    </row>
    <row r="73" spans="2:15" ht="13.5" thickBot="1" x14ac:dyDescent="0.25">
      <c r="B73" s="100" t="s">
        <v>112</v>
      </c>
      <c r="C73" s="101">
        <f>+F65</f>
        <v>1830</v>
      </c>
      <c r="D73" s="101">
        <f>+D58</f>
        <v>2040</v>
      </c>
      <c r="E73" s="106">
        <f>+C73/D73</f>
        <v>0.8970588235294118</v>
      </c>
      <c r="F73" s="40"/>
      <c r="G73" s="99"/>
      <c r="H73" s="42"/>
      <c r="I73" s="42"/>
      <c r="J73" s="25"/>
    </row>
    <row r="74" spans="2:15" ht="13.5" thickBot="1" x14ac:dyDescent="0.25">
      <c r="B74" s="100" t="s">
        <v>113</v>
      </c>
      <c r="C74" s="101">
        <f>+F56</f>
        <v>2228.784445214023</v>
      </c>
      <c r="D74" s="101">
        <f>+D73</f>
        <v>2040</v>
      </c>
      <c r="E74" s="102">
        <f>+C74/D74</f>
        <v>1.0925413947127565</v>
      </c>
      <c r="F74" s="40"/>
      <c r="G74" s="99"/>
      <c r="H74" s="42"/>
      <c r="I74" s="42"/>
      <c r="J74" s="25"/>
    </row>
    <row r="75" spans="2:15" ht="13.5" thickBot="1" x14ac:dyDescent="0.25">
      <c r="B75" s="64"/>
      <c r="C75" s="65"/>
      <c r="D75" s="65"/>
      <c r="E75" s="106"/>
      <c r="F75" s="40"/>
      <c r="G75" s="99"/>
      <c r="H75" s="42"/>
      <c r="I75" s="42"/>
      <c r="J75" s="25"/>
    </row>
    <row r="76" spans="2:15" ht="13.5" thickBot="1" x14ac:dyDescent="0.25">
      <c r="B76" s="100" t="s">
        <v>114</v>
      </c>
      <c r="C76" s="101">
        <f>+F54</f>
        <v>1760.8837269733335</v>
      </c>
      <c r="D76" s="101">
        <f>+D74</f>
        <v>2040</v>
      </c>
      <c r="E76" s="102">
        <f>+C76/D76</f>
        <v>0.86317829753594777</v>
      </c>
      <c r="F76" s="40"/>
      <c r="G76" s="99"/>
      <c r="H76" s="42"/>
      <c r="I76" s="42"/>
      <c r="J76" s="42"/>
    </row>
    <row r="77" spans="2:15" ht="13.5" thickBot="1" x14ac:dyDescent="0.25">
      <c r="B77" s="64"/>
      <c r="C77" s="65"/>
      <c r="D77" s="65"/>
      <c r="E77" s="106"/>
      <c r="F77" s="40"/>
      <c r="G77" s="99"/>
      <c r="H77" s="42"/>
      <c r="I77" s="42"/>
    </row>
    <row r="78" spans="2:15" ht="13.5" thickBot="1" x14ac:dyDescent="0.25">
      <c r="B78" s="288" t="s">
        <v>115</v>
      </c>
      <c r="C78" s="289"/>
      <c r="D78" s="290"/>
      <c r="E78" s="102">
        <f>+E69+E74</f>
        <v>3.3321628636921226</v>
      </c>
      <c r="G78" s="40"/>
      <c r="H78" s="99"/>
      <c r="I78" s="42"/>
      <c r="J78" s="106"/>
    </row>
    <row r="79" spans="2:15" x14ac:dyDescent="0.2">
      <c r="I79" s="99"/>
      <c r="J79" s="25"/>
    </row>
    <row r="80" spans="2:15" ht="13.5" thickBot="1" x14ac:dyDescent="0.25">
      <c r="B80" s="287" t="s">
        <v>116</v>
      </c>
      <c r="C80" s="287"/>
      <c r="D80" s="287"/>
      <c r="E80" s="287"/>
      <c r="F80" s="287"/>
      <c r="G80" s="40"/>
      <c r="H80" s="99"/>
      <c r="J80" s="25"/>
    </row>
    <row r="81" spans="1:10" ht="13.5" thickBot="1" x14ac:dyDescent="0.25">
      <c r="B81" s="100" t="s">
        <v>110</v>
      </c>
      <c r="C81" s="101">
        <f>+C69</f>
        <v>4568.8277967179065</v>
      </c>
      <c r="D81" s="101">
        <f>+D60</f>
        <v>3</v>
      </c>
      <c r="E81" s="102">
        <f>+C81/D81</f>
        <v>1522.9425989059689</v>
      </c>
      <c r="F81" s="40"/>
      <c r="G81" s="99"/>
      <c r="H81" s="42"/>
      <c r="I81" s="99"/>
      <c r="J81" s="25"/>
    </row>
    <row r="82" spans="1:10" x14ac:dyDescent="0.2">
      <c r="B82" s="103"/>
      <c r="C82" s="104"/>
      <c r="D82" s="105"/>
      <c r="E82" s="88"/>
      <c r="F82" s="40"/>
      <c r="G82" s="99"/>
      <c r="H82" s="42"/>
      <c r="I82" s="42"/>
      <c r="J82" s="25"/>
    </row>
    <row r="83" spans="1:10" x14ac:dyDescent="0.2">
      <c r="B83" s="100" t="s">
        <v>111</v>
      </c>
      <c r="C83" s="101">
        <f>+C71</f>
        <v>6421.0880796255979</v>
      </c>
      <c r="D83" s="101">
        <f>+D60</f>
        <v>3</v>
      </c>
      <c r="E83" s="106">
        <f>+C83/D83</f>
        <v>2140.3626932085326</v>
      </c>
      <c r="F83" s="40"/>
      <c r="G83" s="99"/>
      <c r="H83" s="42"/>
      <c r="I83" s="42"/>
      <c r="J83" s="25"/>
    </row>
    <row r="84" spans="1:10" x14ac:dyDescent="0.2">
      <c r="B84" s="100"/>
      <c r="C84" s="101"/>
      <c r="D84" s="101"/>
      <c r="E84" s="106"/>
      <c r="F84" s="40"/>
      <c r="G84" s="99"/>
      <c r="H84" s="42"/>
      <c r="I84" s="42"/>
      <c r="J84" s="25"/>
    </row>
    <row r="85" spans="1:10" ht="13.5" thickBot="1" x14ac:dyDescent="0.25">
      <c r="B85" s="100" t="s">
        <v>113</v>
      </c>
      <c r="C85" s="101">
        <f>+C73</f>
        <v>1830</v>
      </c>
      <c r="D85" s="101">
        <f>+D60</f>
        <v>3</v>
      </c>
      <c r="E85" s="106">
        <f>+C85/D85</f>
        <v>610</v>
      </c>
      <c r="F85" s="108"/>
      <c r="G85" s="98"/>
      <c r="H85" s="24"/>
      <c r="I85" s="42"/>
    </row>
    <row r="86" spans="1:10" ht="13.5" thickBot="1" x14ac:dyDescent="0.25">
      <c r="B86" s="100" t="s">
        <v>113</v>
      </c>
      <c r="C86" s="101">
        <f>+C74</f>
        <v>2228.784445214023</v>
      </c>
      <c r="D86" s="101">
        <f>+D85</f>
        <v>3</v>
      </c>
      <c r="E86" s="102">
        <f>+C86/D86</f>
        <v>742.92814840467429</v>
      </c>
      <c r="F86" s="107"/>
      <c r="G86" s="98"/>
      <c r="H86" s="24"/>
      <c r="I86" s="24"/>
    </row>
    <row r="87" spans="1:10" x14ac:dyDescent="0.2">
      <c r="I87" s="24"/>
    </row>
    <row r="88" spans="1:10" x14ac:dyDescent="0.2">
      <c r="A88" s="291"/>
      <c r="B88" s="291"/>
      <c r="C88" s="109"/>
      <c r="D88" s="109"/>
      <c r="E88" s="110"/>
      <c r="G88" s="111"/>
    </row>
    <row r="89" spans="1:10" x14ac:dyDescent="0.2">
      <c r="A89" s="43"/>
      <c r="B89" s="112"/>
      <c r="C89" s="113"/>
      <c r="D89" s="113"/>
      <c r="E89" s="114"/>
      <c r="G89" s="111"/>
    </row>
    <row r="90" spans="1:10" x14ac:dyDescent="0.2">
      <c r="A90" s="43"/>
      <c r="B90" s="112"/>
      <c r="C90" s="115"/>
      <c r="D90" s="115"/>
      <c r="E90" s="43"/>
      <c r="G90" s="111"/>
    </row>
    <row r="91" spans="1:10" x14ac:dyDescent="0.2">
      <c r="A91" s="43"/>
      <c r="B91" s="112"/>
      <c r="C91" s="116"/>
      <c r="D91" s="116"/>
      <c r="E91" s="43"/>
      <c r="G91" s="11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5F10CAD-FE57-4F43-ABC1-234733A77FF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E8C464B-1726-48C5-8C8D-E8BEA5F69B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8FDA6F-C1D5-45DF-B3D6-90E04956FE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F97E85E-1DDE-45C6-A595-8986D083CE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ENSAMBLE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2025-03-29T18:06:20Z</cp:lastPrinted>
  <dcterms:created xsi:type="dcterms:W3CDTF">2012-05-10T22:32:20Z</dcterms:created>
  <dcterms:modified xsi:type="dcterms:W3CDTF">2025-03-29T18:06:21Z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316200.000000000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
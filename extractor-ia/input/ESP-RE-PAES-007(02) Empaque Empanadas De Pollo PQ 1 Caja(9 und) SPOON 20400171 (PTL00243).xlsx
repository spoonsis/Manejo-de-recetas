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1" documentId="8_{74AB9C16-1EE7-4E85-A9FA-5958C084A8B7}" xr6:coauthVersionLast="47" xr6:coauthVersionMax="47" xr10:uidLastSave="{48354387-B04F-4021-9C6A-31BEA6FA5063}"/>
  <bookViews>
    <workbookView xWindow="-120" yWindow="-120" windowWidth="20730" windowHeight="11040" xr2:uid="{1D9177BF-B54A-408F-BA27-C7FBE22B1783}"/>
  </bookViews>
  <sheets>
    <sheet name="Empaque Empanada pollo 9 und" sheetId="2" r:id="rId1"/>
    <sheet name="Costo Actual " sheetId="3" state="hidden" r:id="rId2"/>
    <sheet name="Nuevo costo " sheetId="4" state="hidden" r:id="rId3"/>
  </sheets>
  <definedNames>
    <definedName name="_xlnm.Print_Area" localSheetId="0">'Empaque Empanada pollo 9 und'!$A$1:$I$41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3" l="1"/>
  <c r="L27" i="4"/>
  <c r="L29" i="4" s="1"/>
  <c r="K26" i="4"/>
  <c r="L27" i="3"/>
</calcChain>
</file>

<file path=xl/sharedStrings.xml><?xml version="1.0" encoding="utf-8"?>
<sst xmlns="http://schemas.openxmlformats.org/spreadsheetml/2006/main" count="278" uniqueCount="129">
  <si>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</si>
  <si>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</si>
  <si>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</si>
  <si>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</si>
  <si>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</si>
  <si>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</si>
  <si>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</si>
  <si>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</si>
  <si>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</si>
  <si>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</si>
  <si>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</si>
  <si>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</si>
  <si>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</si>
  <si>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</si>
  <si>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</si>
  <si>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</si>
  <si>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</si>
  <si>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</si>
  <si>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</si>
  <si>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</si>
  <si>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</si>
  <si>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</si>
  <si>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</si>
  <si>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</si>
  <si>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</si>
  <si>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Min.</t>
  </si>
  <si>
    <t>SERVICIOS DE PASTELERIA S.A.</t>
  </si>
  <si>
    <t>Cajas</t>
  </si>
  <si>
    <t>Javier Tong, Chef</t>
  </si>
  <si>
    <t>FAS</t>
  </si>
  <si>
    <t>ud</t>
  </si>
  <si>
    <t>ETIQ.FECHA VENCIMIENTO BLANCO (ROLLO)</t>
  </si>
  <si>
    <t>ETIQ.BLANCA 1 1/4 * 3/4 (UND)</t>
  </si>
  <si>
    <t>Esteban Cartin, Gte Manufactura</t>
  </si>
  <si>
    <t>EM10004</t>
  </si>
  <si>
    <t>EM10002</t>
  </si>
  <si>
    <t>906000005</t>
  </si>
  <si>
    <t>SE00214</t>
  </si>
  <si>
    <t>AREA QUE PRODUCE:</t>
  </si>
  <si>
    <t>Pastas</t>
  </si>
  <si>
    <t xml:space="preserve">AREA QUE EMPACA: </t>
  </si>
  <si>
    <t># Código Netsuite</t>
  </si>
  <si>
    <t>Ensamble</t>
  </si>
  <si>
    <t>EMPANADA POLLO PEQ HOJALDRE</t>
  </si>
  <si>
    <t>Decoración</t>
  </si>
  <si>
    <t>Empaque</t>
  </si>
  <si>
    <t>LITOGRAFIA CR</t>
  </si>
  <si>
    <t>PLASTICOS P</t>
  </si>
  <si>
    <t>ETIPLAST</t>
  </si>
  <si>
    <t>Tiempo de Horneo:</t>
  </si>
  <si>
    <t>Temperatura de Horneo:</t>
  </si>
  <si>
    <t>CONTROL DE CAMBIOS</t>
  </si>
  <si>
    <t>ESP-RE-PAES-007</t>
  </si>
  <si>
    <t>EM10017</t>
  </si>
  <si>
    <t>EM10016</t>
  </si>
  <si>
    <t>Bolsa 12X18 Transparente</t>
  </si>
  <si>
    <t>1.- Enfriar y empacar 9 unidades por caja.</t>
  </si>
  <si>
    <t>2.- Cubrir con media bolsa 12x18, sellar. Etiquetar con fecha de vencimiento.</t>
  </si>
  <si>
    <t>Revision #2: Se quita papel encerado, se cambia la bolsa y se aumentan las unidades.</t>
  </si>
  <si>
    <t>FILTROS :</t>
  </si>
  <si>
    <t>SUBSIDIARIA</t>
  </si>
  <si>
    <t>Empresa principal : Servicios de Pastelería S.A.</t>
  </si>
  <si>
    <t>ARTÍCULO</t>
  </si>
  <si>
    <t>PTL00118 Empanada Pollo Pequeña 1/6 und</t>
  </si>
  <si>
    <t>UBICACIÓN</t>
  </si>
  <si>
    <t>Bodega Administrativa</t>
  </si>
  <si>
    <t>LISTA DE MATERIALES</t>
  </si>
  <si>
    <t>BOM PTL00118</t>
  </si>
  <si>
    <t>CONTROL DE VISUALIZACIÓN</t>
  </si>
  <si>
    <t>Por revisión</t>
  </si>
  <si>
    <t>FECHA/FECHA EFECTIVA</t>
  </si>
  <si>
    <t>01/08/2023</t>
  </si>
  <si>
    <t>REVISIÓN DE LISTA DE MATERIALES</t>
  </si>
  <si>
    <t>REV V1 BOM PTL00118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</si>
  <si>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</si>
  <si>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</si>
  <si>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</si>
  <si>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</si>
  <si>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</si>
  <si>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</si>
  <si>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</si>
  <si>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</si>
  <si>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</si>
  <si>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</si>
  <si>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</si>
  <si>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</si>
  <si>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CRC967.10</t>
  </si>
  <si>
    <t>CRC967.10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</si>
  <si>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</si>
  <si>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</si>
  <si>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</si>
  <si>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</si>
  <si>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</si>
  <si>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</si>
  <si>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</si>
  <si>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</si>
  <si>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</si>
  <si>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</si>
  <si>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</si>
  <si>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SC-MO1</t>
  </si>
  <si>
    <t>Mano de Obra</t>
  </si>
  <si>
    <t>3.88</t>
  </si>
  <si>
    <t>100%</t>
  </si>
  <si>
    <t>77.00</t>
  </si>
  <si>
    <t>298.76</t>
  </si>
  <si>
    <t>SC-GIF1</t>
  </si>
  <si>
    <t>Gastos Indirectos Fabricación</t>
  </si>
  <si>
    <t>64.00</t>
  </si>
  <si>
    <t>248.32</t>
  </si>
  <si>
    <t>EM10054</t>
  </si>
  <si>
    <t>Caja Blanca Mini</t>
  </si>
  <si>
    <t>25.75</t>
  </si>
  <si>
    <t>EM10037</t>
  </si>
  <si>
    <t>Bolsa 8X12 Transparente</t>
  </si>
  <si>
    <t>2.5</t>
  </si>
  <si>
    <t>2.199884</t>
  </si>
  <si>
    <t>GRAMOS</t>
  </si>
  <si>
    <t>5.50</t>
  </si>
  <si>
    <t>Etiq.Blanca 1 1/4 * 3/4</t>
  </si>
  <si>
    <t>0.58</t>
  </si>
  <si>
    <t>Empanada Pollo Peq Hojaldre</t>
  </si>
  <si>
    <t>6</t>
  </si>
  <si>
    <t>64.69806306</t>
  </si>
  <si>
    <t>388.19</t>
  </si>
  <si>
    <t xml:space="preserve">Caja Blanca Mediana </t>
  </si>
  <si>
    <t>Empaque Empanadas De Pollo PQ 1 Caja(9 und) SPOON 20400171 (PTL00243)</t>
  </si>
  <si>
    <t>EM10055</t>
  </si>
  <si>
    <t>Caja Blanca Pequeña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</si>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</sst>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</cellStyleXfs>
  <cellXfs count="172">
    <xf numFmtId="0" fontId="0" fillId="0" borderId="0" xfId="0"/>
    <xf numFmtId="0" fontId="4" fillId="2" borderId="0" xfId="0" applyFont="1" applyFill="1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49" fontId="4" fillId="2" borderId="8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49" fontId="9" fillId="0" borderId="5" xfId="0" applyNumberFormat="1" applyFont="1" applyBorder="1"/>
    <xf numFmtId="14" fontId="13" fillId="2" borderId="0" xfId="3" applyNumberFormat="1" applyFont="1" applyFill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14" fillId="0" borderId="41" xfId="4" applyFont="1" applyBorder="1" applyAlignment="1">
      <alignment horizontal="center" vertical="center"/>
    </xf>
    <xf numFmtId="0" fontId="14" fillId="0" borderId="30" xfId="4" applyFont="1" applyBorder="1" applyAlignment="1">
      <alignment horizontal="center" vertical="center"/>
    </xf>
    <xf numFmtId="0" fontId="15" fillId="0" borderId="5" xfId="4" applyFont="1" applyBorder="1" applyAlignment="1">
      <alignment vertical="center"/>
    </xf>
    <xf numFmtId="0" fontId="14" fillId="0" borderId="5" xfId="4" applyFont="1" applyBorder="1" applyAlignment="1">
      <alignment horizontal="center" vertical="center"/>
    </xf>
    <xf numFmtId="1" fontId="14" fillId="0" borderId="5" xfId="4" applyNumberFormat="1" applyFont="1" applyBorder="1" applyAlignment="1">
      <alignment horizontal="center"/>
    </xf>
    <xf numFmtId="1" fontId="14" fillId="0" borderId="5" xfId="4" applyNumberFormat="1" applyFont="1" applyBorder="1" applyAlignment="1">
      <alignment horizontal="center" wrapText="1"/>
    </xf>
    <xf numFmtId="0" fontId="8" fillId="0" borderId="8" xfId="4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 applyAlignment="1">
      <alignment horizontal="center"/>
    </xf>
    <xf numFmtId="2" fontId="14" fillId="0" borderId="5" xfId="4" applyNumberFormat="1" applyFont="1" applyBorder="1" applyAlignment="1">
      <alignment horizontal="center"/>
    </xf>
    <xf numFmtId="1" fontId="5" fillId="5" borderId="18" xfId="4" applyNumberFormat="1" applyFont="1" applyFill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1" fillId="0" borderId="5" xfId="4" applyBorder="1" applyAlignment="1">
      <alignment horizontal="center"/>
    </xf>
    <xf numFmtId="0" fontId="0" fillId="5" borderId="5" xfId="0" applyFill="1" applyBorder="1"/>
    <xf numFmtId="1" fontId="8" fillId="0" borderId="5" xfId="4" applyNumberFormat="1" applyFont="1" applyBorder="1" applyAlignment="1">
      <alignment horizontal="center"/>
    </xf>
    <xf numFmtId="1" fontId="8" fillId="0" borderId="5" xfId="4" applyNumberFormat="1" applyFont="1" applyBorder="1" applyAlignment="1">
      <alignment horizontal="center" wrapText="1"/>
    </xf>
    <xf numFmtId="49" fontId="8" fillId="0" borderId="41" xfId="4" applyNumberFormat="1" applyFont="1" applyBorder="1" applyAlignment="1">
      <alignment horizontal="center"/>
    </xf>
    <xf numFmtId="49" fontId="8" fillId="0" borderId="30" xfId="4" applyNumberFormat="1" applyFont="1" applyBorder="1" applyAlignment="1">
      <alignment horizontal="center"/>
    </xf>
    <xf numFmtId="0" fontId="16" fillId="5" borderId="5" xfId="4" applyFont="1" applyFill="1" applyBorder="1" applyAlignment="1">
      <alignment horizontal="left"/>
    </xf>
    <xf numFmtId="0" fontId="8" fillId="0" borderId="5" xfId="4" applyFont="1" applyBorder="1" applyAlignment="1">
      <alignment horizontal="center"/>
    </xf>
    <xf numFmtId="166" fontId="8" fillId="0" borderId="5" xfId="4" applyNumberFormat="1" applyFont="1" applyBorder="1" applyAlignment="1">
      <alignment horizontal="center"/>
    </xf>
    <xf numFmtId="0" fontId="11" fillId="0" borderId="41" xfId="5" applyBorder="1" applyAlignment="1">
      <alignment horizontal="center"/>
    </xf>
    <xf numFmtId="0" fontId="11" fillId="5" borderId="5" xfId="5" applyFill="1" applyBorder="1"/>
    <xf numFmtId="16" fontId="8" fillId="0" borderId="5" xfId="5" applyNumberFormat="1" applyFont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1" fontId="8" fillId="0" borderId="5" xfId="5" applyNumberFormat="1" applyFont="1" applyBorder="1" applyAlignment="1">
      <alignment horizontal="center"/>
    </xf>
    <xf numFmtId="1" fontId="8" fillId="0" borderId="5" xfId="5" applyNumberFormat="1" applyFont="1" applyBorder="1" applyAlignment="1">
      <alignment horizontal="center" wrapText="1"/>
    </xf>
    <xf numFmtId="49" fontId="14" fillId="0" borderId="37" xfId="4" applyNumberFormat="1" applyFont="1" applyBorder="1" applyAlignment="1">
      <alignment horizontal="center"/>
    </xf>
    <xf numFmtId="49" fontId="14" fillId="0" borderId="29" xfId="4" applyNumberFormat="1" applyFont="1" applyBorder="1" applyAlignment="1">
      <alignment horizontal="center"/>
    </xf>
    <xf numFmtId="0" fontId="17" fillId="5" borderId="5" xfId="4" applyFont="1" applyFill="1" applyBorder="1" applyAlignment="1">
      <alignment vertical="center"/>
    </xf>
    <xf numFmtId="0" fontId="14" fillId="0" borderId="30" xfId="4" applyFont="1" applyBorder="1" applyAlignment="1">
      <alignment horizontal="center"/>
    </xf>
    <xf numFmtId="166" fontId="14" fillId="0" borderId="5" xfId="4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7" fontId="5" fillId="5" borderId="5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5" xfId="4" applyFont="1" applyBorder="1" applyAlignment="1">
      <alignment horizontal="center"/>
    </xf>
    <xf numFmtId="0" fontId="19" fillId="0" borderId="41" xfId="0" quotePrefix="1" applyFont="1" applyBorder="1" applyAlignment="1">
      <alignment horizontal="center"/>
    </xf>
    <xf numFmtId="0" fontId="19" fillId="0" borderId="30" xfId="0" quotePrefix="1" applyFont="1" applyBorder="1" applyAlignment="1">
      <alignment horizontal="center"/>
    </xf>
    <xf numFmtId="0" fontId="20" fillId="0" borderId="5" xfId="0" quotePrefix="1" applyFont="1" applyBorder="1"/>
    <xf numFmtId="0" fontId="5" fillId="5" borderId="5" xfId="0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8" fillId="5" borderId="41" xfId="4" applyNumberFormat="1" applyFont="1" applyFill="1" applyBorder="1" applyAlignment="1">
      <alignment horizontal="center"/>
    </xf>
    <xf numFmtId="49" fontId="8" fillId="5" borderId="30" xfId="4" applyNumberFormat="1" applyFont="1" applyFill="1" applyBorder="1" applyAlignment="1">
      <alignment horizontal="center"/>
    </xf>
    <xf numFmtId="49" fontId="9" fillId="5" borderId="5" xfId="4" applyNumberFormat="1" applyFont="1" applyFill="1" applyBorder="1"/>
    <xf numFmtId="12" fontId="8" fillId="0" borderId="5" xfId="4" applyNumberFormat="1" applyFont="1" applyBorder="1" applyAlignment="1">
      <alignment horizontal="center"/>
    </xf>
    <xf numFmtId="49" fontId="6" fillId="2" borderId="10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 wrapText="1"/>
    </xf>
    <xf numFmtId="0" fontId="4" fillId="2" borderId="11" xfId="4" applyFont="1" applyFill="1" applyBorder="1" applyAlignment="1">
      <alignment horizontal="center"/>
    </xf>
    <xf numFmtId="0" fontId="11" fillId="0" borderId="0" xfId="4"/>
    <xf numFmtId="0" fontId="4" fillId="2" borderId="0" xfId="4" applyFont="1" applyFill="1" applyAlignment="1">
      <alignment horizontal="left" indent="1"/>
    </xf>
    <xf numFmtId="0" fontId="4" fillId="3" borderId="12" xfId="4" applyFont="1" applyFill="1" applyBorder="1" applyAlignment="1">
      <alignment horizontal="center"/>
    </xf>
    <xf numFmtId="0" fontId="4" fillId="3" borderId="13" xfId="4" applyFont="1" applyFill="1" applyBorder="1" applyAlignment="1">
      <alignment horizontal="center"/>
    </xf>
    <xf numFmtId="0" fontId="4" fillId="3" borderId="13" xfId="4" applyFont="1" applyFill="1" applyBorder="1"/>
    <xf numFmtId="0" fontId="5" fillId="3" borderId="13" xfId="4" applyFont="1" applyFill="1" applyBorder="1" applyAlignment="1">
      <alignment horizontal="center"/>
    </xf>
    <xf numFmtId="1" fontId="5" fillId="3" borderId="13" xfId="4" applyNumberFormat="1" applyFont="1" applyFill="1" applyBorder="1" applyAlignment="1">
      <alignment horizontal="center"/>
    </xf>
    <xf numFmtId="165" fontId="4" fillId="3" borderId="13" xfId="4" applyNumberFormat="1" applyFont="1" applyFill="1" applyBorder="1" applyAlignment="1">
      <alignment horizontal="center" wrapText="1"/>
    </xf>
    <xf numFmtId="0" fontId="4" fillId="3" borderId="14" xfId="4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9" fontId="4" fillId="2" borderId="0" xfId="6" applyFont="1" applyFill="1"/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7" borderId="0" xfId="0" applyFill="1"/>
    <xf numFmtId="0" fontId="1" fillId="7" borderId="0" xfId="0" applyFont="1" applyFill="1"/>
    <xf numFmtId="14" fontId="4" fillId="2" borderId="9" xfId="2" applyNumberFormat="1" applyFont="1" applyFill="1" applyBorder="1" applyAlignment="1">
      <alignment horizontal="center" vertical="center" wrapText="1"/>
    </xf>
    <xf numFmtId="14" fontId="4" fillId="2" borderId="24" xfId="2" applyNumberFormat="1" applyFont="1" applyFill="1" applyBorder="1" applyAlignment="1">
      <alignment horizontal="center" vertical="center" wrapText="1"/>
    </xf>
    <xf numFmtId="14" fontId="4" fillId="2" borderId="7" xfId="2" applyNumberFormat="1" applyFont="1" applyFill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27" xfId="2" applyFont="1" applyFill="1" applyBorder="1" applyAlignment="1">
      <alignment horizontal="left"/>
    </xf>
    <xf numFmtId="0" fontId="4" fillId="2" borderId="28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left"/>
    </xf>
    <xf numFmtId="0" fontId="4" fillId="2" borderId="30" xfId="2" applyFont="1" applyFill="1" applyBorder="1" applyAlignment="1">
      <alignment horizontal="left"/>
    </xf>
    <xf numFmtId="0" fontId="4" fillId="2" borderId="19" xfId="2" applyFont="1" applyFill="1" applyBorder="1" applyAlignment="1">
      <alignment horizontal="center"/>
    </xf>
    <xf numFmtId="0" fontId="4" fillId="2" borderId="20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3" fillId="2" borderId="42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 vertical="center" wrapText="1"/>
    </xf>
    <xf numFmtId="0" fontId="7" fillId="4" borderId="13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right" vertical="top" wrapText="1"/>
    </xf>
    <xf numFmtId="0" fontId="5" fillId="2" borderId="22" xfId="2" applyFont="1" applyFill="1" applyBorder="1" applyAlignment="1">
      <alignment horizontal="right" vertical="top" wrapText="1"/>
    </xf>
    <xf numFmtId="0" fontId="5" fillId="2" borderId="23" xfId="2" applyFont="1" applyFill="1" applyBorder="1" applyAlignment="1">
      <alignment horizontal="right" vertical="top" wrapText="1"/>
    </xf>
    <xf numFmtId="0" fontId="12" fillId="2" borderId="0" xfId="3" applyFont="1" applyFill="1" applyAlignment="1">
      <alignment horizontal="right"/>
    </xf>
    <xf numFmtId="0" fontId="13" fillId="2" borderId="21" xfId="3" applyFont="1" applyFill="1" applyBorder="1" applyAlignment="1">
      <alignment horizontal="center"/>
    </xf>
    <xf numFmtId="0" fontId="12" fillId="2" borderId="0" xfId="3" applyFont="1" applyFill="1"/>
    <xf numFmtId="0" fontId="5" fillId="3" borderId="34" xfId="4" applyFont="1" applyFill="1" applyBorder="1" applyAlignment="1">
      <alignment horizontal="center" vertical="center"/>
    </xf>
    <xf numFmtId="0" fontId="5" fillId="3" borderId="39" xfId="4" applyFont="1" applyFill="1" applyBorder="1" applyAlignment="1">
      <alignment horizontal="center" vertical="center"/>
    </xf>
    <xf numFmtId="0" fontId="5" fillId="3" borderId="34" xfId="4" applyFont="1" applyFill="1" applyBorder="1" applyAlignment="1">
      <alignment horizontal="center" vertical="center" wrapText="1"/>
    </xf>
    <xf numFmtId="0" fontId="5" fillId="3" borderId="39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0" borderId="31" xfId="4" applyFont="1" applyBorder="1" applyAlignment="1">
      <alignment horizontal="right"/>
    </xf>
    <xf numFmtId="0" fontId="5" fillId="0" borderId="32" xfId="4" applyFont="1" applyBorder="1" applyAlignment="1">
      <alignment horizontal="right"/>
    </xf>
    <xf numFmtId="0" fontId="5" fillId="0" borderId="16" xfId="4" applyFont="1" applyBorder="1" applyAlignment="1">
      <alignment horizontal="right"/>
    </xf>
    <xf numFmtId="165" fontId="4" fillId="0" borderId="6" xfId="4" applyNumberFormat="1" applyFont="1" applyBorder="1" applyAlignment="1">
      <alignment horizontal="right"/>
    </xf>
    <xf numFmtId="0" fontId="4" fillId="2" borderId="15" xfId="4" applyFont="1" applyFill="1" applyBorder="1" applyAlignment="1">
      <alignment horizontal="center"/>
    </xf>
    <xf numFmtId="0" fontId="4" fillId="2" borderId="33" xfId="4" applyFont="1" applyFill="1" applyBorder="1" applyAlignment="1">
      <alignment horizontal="center"/>
    </xf>
    <xf numFmtId="0" fontId="5" fillId="0" borderId="37" xfId="4" applyFont="1" applyBorder="1" applyAlignment="1">
      <alignment horizontal="right"/>
    </xf>
    <xf numFmtId="0" fontId="5" fillId="0" borderId="29" xfId="4" applyFont="1" applyBorder="1" applyAlignment="1">
      <alignment horizontal="right"/>
    </xf>
    <xf numFmtId="0" fontId="5" fillId="0" borderId="30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165" fontId="4" fillId="0" borderId="28" xfId="4" applyNumberFormat="1" applyFont="1" applyBorder="1" applyAlignment="1">
      <alignment horizontal="center"/>
    </xf>
    <xf numFmtId="165" fontId="4" fillId="0" borderId="38" xfId="4" applyNumberFormat="1" applyFont="1" applyBorder="1" applyAlignment="1">
      <alignment horizontal="center"/>
    </xf>
    <xf numFmtId="0" fontId="4" fillId="0" borderId="41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65" fontId="4" fillId="0" borderId="28" xfId="4" applyNumberFormat="1" applyFont="1" applyBorder="1" applyAlignment="1">
      <alignment horizontal="right" wrapText="1"/>
    </xf>
    <xf numFmtId="165" fontId="4" fillId="0" borderId="30" xfId="4" applyNumberFormat="1" applyFont="1" applyBorder="1" applyAlignment="1">
      <alignment horizontal="right" wrapText="1"/>
    </xf>
    <xf numFmtId="0" fontId="5" fillId="0" borderId="39" xfId="4" applyFont="1" applyBorder="1" applyAlignment="1">
      <alignment horizontal="right"/>
    </xf>
    <xf numFmtId="0" fontId="5" fillId="0" borderId="40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165" fontId="4" fillId="0" borderId="35" xfId="4" applyNumberFormat="1" applyFont="1" applyBorder="1" applyAlignment="1">
      <alignment horizontal="center"/>
    </xf>
    <xf numFmtId="165" fontId="4" fillId="0" borderId="36" xfId="4" applyNumberFormat="1" applyFont="1" applyBorder="1" applyAlignment="1">
      <alignment horizontal="center"/>
    </xf>
    <xf numFmtId="0" fontId="5" fillId="3" borderId="12" xfId="4" applyFont="1" applyFill="1" applyBorder="1" applyAlignment="1">
      <alignment horizontal="left"/>
    </xf>
    <xf numFmtId="0" fontId="5" fillId="3" borderId="13" xfId="4" applyFont="1" applyFill="1" applyBorder="1" applyAlignment="1">
      <alignment horizontal="left"/>
    </xf>
    <xf numFmtId="0" fontId="5" fillId="3" borderId="14" xfId="4" applyFont="1" applyFill="1" applyBorder="1" applyAlignment="1">
      <alignment horizontal="left"/>
    </xf>
    <xf numFmtId="0" fontId="4" fillId="0" borderId="43" xfId="4" applyFont="1" applyBorder="1" applyAlignment="1">
      <alignment horizontal="left"/>
    </xf>
    <xf numFmtId="0" fontId="4" fillId="0" borderId="42" xfId="4" applyFont="1" applyBorder="1" applyAlignment="1">
      <alignment horizontal="left"/>
    </xf>
    <xf numFmtId="0" fontId="4" fillId="0" borderId="36" xfId="4" applyFont="1" applyBorder="1" applyAlignment="1">
      <alignment horizontal="left"/>
    </xf>
    <xf numFmtId="0" fontId="5" fillId="6" borderId="44" xfId="2" applyFont="1" applyFill="1" applyBorder="1" applyAlignment="1">
      <alignment horizontal="center"/>
    </xf>
    <xf numFmtId="0" fontId="5" fillId="6" borderId="20" xfId="2" applyFont="1" applyFill="1" applyBorder="1" applyAlignment="1">
      <alignment horizontal="center"/>
    </xf>
    <xf numFmtId="0" fontId="4" fillId="2" borderId="45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37" xfId="4" applyFont="1" applyBorder="1" applyAlignment="1">
      <alignment horizontal="left"/>
    </xf>
    <xf numFmtId="0" fontId="4" fillId="0" borderId="29" xfId="4" applyFont="1" applyBorder="1" applyAlignment="1">
      <alignment horizontal="left"/>
    </xf>
    <xf numFmtId="0" fontId="4" fillId="0" borderId="38" xfId="4" applyFont="1" applyBorder="1" applyAlignment="1">
      <alignment horizontal="left"/>
    </xf>
    <xf numFmtId="0" fontId="21" fillId="0" borderId="28" xfId="0" applyFont="1" applyBorder="1"/>
    <xf numFmtId="0" fontId="21" fillId="0" borderId="29" xfId="0" applyFont="1" applyBorder="1"/>
    <xf numFmtId="0" fontId="21" fillId="0" borderId="30" xfId="0" applyFont="1" applyBorder="1"/>
    <xf numFmtId="0" fontId="22" fillId="0" borderId="31" xfId="4" applyFont="1" applyBorder="1" applyAlignment="1">
      <alignment horizontal="left" wrapText="1"/>
    </xf>
    <xf numFmtId="0" fontId="22" fillId="0" borderId="32" xfId="4" applyFont="1" applyBorder="1" applyAlignment="1">
      <alignment horizontal="left" wrapText="1"/>
    </xf>
    <xf numFmtId="0" fontId="22" fillId="0" borderId="33" xfId="4" applyFont="1" applyBorder="1" applyAlignment="1">
      <alignment horizontal="left" wrapText="1"/>
    </xf>
    <xf numFmtId="0" fontId="4" fillId="0" borderId="37" xfId="4" applyFont="1" applyBorder="1" applyAlignment="1">
      <alignment horizontal="left" wrapText="1"/>
    </xf>
    <xf numFmtId="0" fontId="4" fillId="0" borderId="29" xfId="4" applyFont="1" applyBorder="1" applyAlignment="1">
      <alignment horizontal="left" wrapText="1"/>
    </xf>
    <xf numFmtId="0" fontId="4" fillId="0" borderId="38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8B3CE031-50D9-44DF-8448-7DEDA400BAFE}"/>
    <cellStyle name="Normal 3 2" xfId="5" xr:uid="{4C7E89EE-6E08-42D8-B22C-BFCC2CD21313}"/>
    <cellStyle name="Normal_CRITERIOS DE EVALUACION PT DE GB" xfId="2" xr:uid="{D689B420-182E-4E14-8590-7A0988FAAEE8}"/>
    <cellStyle name="Normal_CRITERIOS DE EVALUACION PT DE GB 2" xfId="3" xr:uid="{92318986-F71F-413C-8706-23585C4E2191}"/>
    <cellStyle name="Porcentaje 2 2" xfId="6" xr:uid="{E5448ADB-F04E-416E-BEA3-B35FA7C82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107016</xdr:colOff>
      <xdr:row>1</xdr:row>
      <xdr:rowOff>103654</xdr:rowOff>
    </xdr:from>
    <xdr:to>
      <xdr:col>1</xdr:col>
      <xdr:colOff>568025</xdr:colOff>
      <xdr:row>4</xdr:row>
      <xdr:rowOff>1681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CA58BFF-2B2F-4DDB-B9DE-2FADA098D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16" y="303679"/>
          <a:ext cx="1223009" cy="555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E5B3-B07B-422E-AC81-416161D4A88D}">
  <dimension ref="A1:M41"/>
  <sheetViews>
    <sheetView tabSelected="1" topLeftCell="A7" zoomScaleNormal="100" zoomScaleSheetLayoutView="9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6" max="6" width="9.28515625" customWidth="1"/>
    <col min="7" max="7" width="3.28515625" hidden="1" customWidth="1"/>
    <col min="8" max="8" width="27" customWidth="1"/>
    <col min="9" max="9" width="17.42578125" bestFit="1" customWidth="1"/>
  </cols>
  <sheetData>
    <row r="1" spans="1:13" ht="15.75" x14ac:dyDescent="0.25">
      <c r="A1" s="101"/>
      <c r="B1" s="102"/>
      <c r="C1" s="107" t="s">
        <v>26</v>
      </c>
      <c r="D1" s="107"/>
      <c r="E1" s="107"/>
      <c r="F1" s="107"/>
      <c r="G1" s="107"/>
      <c r="H1" s="2" t="s">
        <v>0</v>
      </c>
      <c r="I1" s="12" t="s">
        <v>52</v>
      </c>
      <c r="J1" s="1"/>
      <c r="K1" s="1"/>
      <c r="L1" s="1"/>
      <c r="M1" s="1"/>
    </row>
    <row r="2" spans="1:13" ht="18" customHeight="1" thickBot="1" x14ac:dyDescent="0.3">
      <c r="A2" s="103"/>
      <c r="B2" s="104"/>
      <c r="C2" s="108" t="s">
        <v>1</v>
      </c>
      <c r="D2" s="109"/>
      <c r="E2" s="109"/>
      <c r="F2" s="109"/>
      <c r="G2" s="110"/>
      <c r="H2" s="3" t="s">
        <v>2</v>
      </c>
      <c r="I2" s="11" t="s">
        <v>128</v>
      </c>
    </row>
    <row r="3" spans="1:13" ht="15.95" customHeight="1" thickBot="1" x14ac:dyDescent="0.25">
      <c r="A3" s="103"/>
      <c r="B3" s="104"/>
      <c r="C3" s="111" t="s">
        <v>125</v>
      </c>
      <c r="D3" s="112"/>
      <c r="E3" s="112"/>
      <c r="F3" s="112"/>
      <c r="G3" s="113"/>
      <c r="H3" s="114" t="s">
        <v>3</v>
      </c>
      <c r="I3" s="92">
        <v>45611</v>
      </c>
    </row>
    <row r="4" spans="1:13" ht="18" customHeight="1" x14ac:dyDescent="0.25">
      <c r="A4" s="103"/>
      <c r="B4" s="104"/>
      <c r="C4" s="4" t="s">
        <v>4</v>
      </c>
      <c r="D4" s="95" t="s">
        <v>28</v>
      </c>
      <c r="E4" s="96"/>
      <c r="F4" s="96"/>
      <c r="G4" s="97"/>
      <c r="H4" s="115"/>
      <c r="I4" s="93"/>
    </row>
    <row r="5" spans="1:13" ht="14.25" thickBot="1" x14ac:dyDescent="0.3">
      <c r="A5" s="105"/>
      <c r="B5" s="106"/>
      <c r="C5" s="5" t="s">
        <v>5</v>
      </c>
      <c r="D5" s="98" t="s">
        <v>33</v>
      </c>
      <c r="E5" s="99"/>
      <c r="F5" s="99"/>
      <c r="G5" s="100"/>
      <c r="H5" s="116"/>
      <c r="I5" s="94"/>
    </row>
    <row r="6" spans="1:13" ht="18.75" thickBot="1" x14ac:dyDescent="0.3">
      <c r="A6" s="117" t="s">
        <v>38</v>
      </c>
      <c r="B6" s="117"/>
      <c r="C6" s="117"/>
      <c r="D6" s="118" t="s">
        <v>39</v>
      </c>
      <c r="E6" s="118"/>
      <c r="F6" s="118"/>
      <c r="G6" s="119" t="s">
        <v>40</v>
      </c>
      <c r="H6" s="119"/>
      <c r="I6" s="14" t="s">
        <v>39</v>
      </c>
    </row>
    <row r="7" spans="1:13" ht="25.5" x14ac:dyDescent="0.2">
      <c r="A7" s="120" t="s">
        <v>6</v>
      </c>
      <c r="B7" s="122" t="s">
        <v>41</v>
      </c>
      <c r="C7" s="124" t="s">
        <v>7</v>
      </c>
      <c r="D7" s="124" t="s">
        <v>8</v>
      </c>
      <c r="E7" s="124" t="s">
        <v>9</v>
      </c>
      <c r="F7" s="124"/>
      <c r="G7" s="124" t="s">
        <v>10</v>
      </c>
      <c r="H7" s="124"/>
      <c r="I7" s="15" t="s">
        <v>11</v>
      </c>
    </row>
    <row r="8" spans="1:13" ht="26.25" thickBot="1" x14ac:dyDescent="0.25">
      <c r="A8" s="121"/>
      <c r="B8" s="123"/>
      <c r="C8" s="125"/>
      <c r="D8" s="125"/>
      <c r="E8" s="16" t="s">
        <v>12</v>
      </c>
      <c r="F8" s="17" t="s">
        <v>13</v>
      </c>
      <c r="G8" s="16" t="s">
        <v>12</v>
      </c>
      <c r="H8" s="17" t="s">
        <v>13</v>
      </c>
      <c r="I8" s="18" t="s">
        <v>14</v>
      </c>
    </row>
    <row r="9" spans="1:13" ht="15" x14ac:dyDescent="0.25">
      <c r="A9" s="19"/>
      <c r="B9" s="20"/>
      <c r="C9" s="21" t="s">
        <v>42</v>
      </c>
      <c r="D9" s="22"/>
      <c r="E9" s="23"/>
      <c r="F9" s="24"/>
      <c r="G9" s="23"/>
      <c r="H9" s="24"/>
      <c r="I9" s="25"/>
    </row>
    <row r="10" spans="1:13" ht="18" customHeight="1" x14ac:dyDescent="0.25">
      <c r="A10" s="26" t="s">
        <v>36</v>
      </c>
      <c r="B10" s="26" t="s">
        <v>37</v>
      </c>
      <c r="C10" s="13" t="s">
        <v>43</v>
      </c>
      <c r="D10" s="10" t="s">
        <v>29</v>
      </c>
      <c r="E10" s="6">
        <v>9</v>
      </c>
      <c r="F10" s="7" t="s">
        <v>30</v>
      </c>
      <c r="G10" s="6"/>
      <c r="H10" s="7"/>
      <c r="I10" s="25"/>
    </row>
    <row r="11" spans="1:13" ht="15" x14ac:dyDescent="0.25">
      <c r="A11" s="27"/>
      <c r="B11" s="27"/>
      <c r="C11" s="28"/>
      <c r="D11" s="27"/>
      <c r="E11" s="29"/>
      <c r="F11" s="29"/>
      <c r="G11" s="30"/>
      <c r="H11" s="31"/>
      <c r="I11" s="25"/>
    </row>
    <row r="12" spans="1:13" ht="15" x14ac:dyDescent="0.25">
      <c r="A12" s="32"/>
      <c r="B12" s="33"/>
      <c r="C12" s="34"/>
      <c r="D12" s="35"/>
      <c r="E12" s="35"/>
      <c r="F12" s="35"/>
      <c r="G12" s="30"/>
      <c r="H12" s="31"/>
      <c r="I12" s="25"/>
    </row>
    <row r="13" spans="1:13" ht="15.75" x14ac:dyDescent="0.25">
      <c r="A13" s="39"/>
      <c r="B13" s="40"/>
      <c r="C13" s="41" t="s">
        <v>44</v>
      </c>
      <c r="D13" s="42"/>
      <c r="E13" s="43"/>
      <c r="F13" s="38"/>
      <c r="G13" s="23"/>
      <c r="H13" s="24"/>
      <c r="I13" s="25"/>
    </row>
    <row r="14" spans="1:13" ht="15" x14ac:dyDescent="0.25">
      <c r="A14" s="44"/>
      <c r="B14" s="35"/>
      <c r="C14" s="45"/>
      <c r="D14" s="46"/>
      <c r="E14" s="37"/>
      <c r="F14" s="38"/>
      <c r="G14" s="23"/>
      <c r="H14" s="24"/>
      <c r="I14" s="25"/>
    </row>
    <row r="15" spans="1:13" ht="15" x14ac:dyDescent="0.25">
      <c r="A15" s="33"/>
      <c r="B15" s="33"/>
      <c r="C15" s="36"/>
      <c r="D15" s="47"/>
      <c r="E15" s="48"/>
      <c r="F15" s="49"/>
      <c r="G15" s="23"/>
      <c r="H15" s="24"/>
      <c r="I15" s="25"/>
    </row>
    <row r="16" spans="1:13" ht="15.75" x14ac:dyDescent="0.25">
      <c r="A16" s="50"/>
      <c r="B16" s="51"/>
      <c r="C16" s="52" t="s">
        <v>45</v>
      </c>
      <c r="D16" s="53"/>
      <c r="E16" s="54"/>
      <c r="F16" s="24"/>
      <c r="G16" s="23"/>
      <c r="I16" s="25"/>
    </row>
    <row r="17" spans="1:13" ht="15" x14ac:dyDescent="0.25">
      <c r="A17" s="55"/>
      <c r="B17" t="s">
        <v>126</v>
      </c>
      <c r="C17" t="s">
        <v>127</v>
      </c>
      <c r="D17" s="56" t="s">
        <v>46</v>
      </c>
      <c r="E17" s="29">
        <v>1</v>
      </c>
      <c r="F17" s="29" t="s">
        <v>30</v>
      </c>
      <c r="G17" s="57"/>
      <c r="H17" s="24"/>
      <c r="I17" s="25"/>
    </row>
    <row r="18" spans="1:13" ht="15" x14ac:dyDescent="0.25">
      <c r="A18" s="33"/>
      <c r="B18" t="s">
        <v>54</v>
      </c>
      <c r="C18" t="s">
        <v>55</v>
      </c>
      <c r="D18" s="27" t="s">
        <v>47</v>
      </c>
      <c r="E18" s="29">
        <v>0.5</v>
      </c>
      <c r="F18" s="29" t="s">
        <v>30</v>
      </c>
      <c r="G18" s="57"/>
      <c r="H18" s="24"/>
      <c r="I18" s="25"/>
    </row>
    <row r="19" spans="1:13" ht="15.75" x14ac:dyDescent="0.25">
      <c r="A19" s="58">
        <v>702007</v>
      </c>
      <c r="B19" s="33" t="s">
        <v>34</v>
      </c>
      <c r="C19" t="s">
        <v>31</v>
      </c>
      <c r="D19" s="59" t="s">
        <v>48</v>
      </c>
      <c r="E19" s="37">
        <v>1</v>
      </c>
      <c r="F19" s="38" t="s">
        <v>30</v>
      </c>
      <c r="G19" s="23"/>
      <c r="H19" s="24"/>
      <c r="I19" s="25"/>
    </row>
    <row r="20" spans="1:13" ht="15" x14ac:dyDescent="0.25">
      <c r="A20" s="60">
        <v>702069</v>
      </c>
      <c r="B20" s="61" t="s">
        <v>35</v>
      </c>
      <c r="C20" s="62" t="s">
        <v>32</v>
      </c>
      <c r="D20" s="63" t="s">
        <v>48</v>
      </c>
      <c r="E20" s="64">
        <v>1</v>
      </c>
      <c r="F20" s="65" t="s">
        <v>30</v>
      </c>
      <c r="G20" s="23"/>
      <c r="H20" s="24"/>
      <c r="I20" s="25"/>
    </row>
    <row r="21" spans="1:13" ht="15" x14ac:dyDescent="0.25">
      <c r="A21" s="66"/>
      <c r="B21" s="67"/>
      <c r="C21" s="68"/>
      <c r="D21" s="56"/>
      <c r="E21" s="37"/>
      <c r="F21" s="38"/>
      <c r="G21" s="69"/>
      <c r="H21" s="42"/>
      <c r="I21" s="25"/>
    </row>
    <row r="22" spans="1:13" ht="14.25" thickBot="1" x14ac:dyDescent="0.3">
      <c r="A22" s="70"/>
      <c r="B22" s="71"/>
      <c r="C22" s="72"/>
      <c r="D22" s="72"/>
      <c r="E22" s="73"/>
      <c r="F22" s="74"/>
      <c r="G22" s="72"/>
      <c r="H22" s="72"/>
      <c r="I22" s="75"/>
      <c r="J22" s="76"/>
      <c r="K22" s="76"/>
      <c r="L22" s="77"/>
      <c r="M22" s="76"/>
    </row>
    <row r="23" spans="1:13" ht="14.25" thickBot="1" x14ac:dyDescent="0.3">
      <c r="A23" s="78"/>
      <c r="B23" s="79"/>
      <c r="C23" s="80"/>
      <c r="D23" s="81" t="s">
        <v>12</v>
      </c>
      <c r="E23" s="82" t="s">
        <v>16</v>
      </c>
      <c r="F23" s="83"/>
      <c r="G23" s="80"/>
      <c r="H23" s="80"/>
      <c r="I23" s="84"/>
      <c r="J23" s="76"/>
      <c r="K23" s="76"/>
      <c r="L23" s="77"/>
      <c r="M23" s="76"/>
    </row>
    <row r="24" spans="1:13" ht="13.5" x14ac:dyDescent="0.25">
      <c r="A24" s="126" t="s">
        <v>17</v>
      </c>
      <c r="B24" s="127"/>
      <c r="C24" s="128"/>
      <c r="D24" s="6">
        <v>324</v>
      </c>
      <c r="E24" s="9" t="s">
        <v>15</v>
      </c>
      <c r="F24" s="129" t="s">
        <v>49</v>
      </c>
      <c r="G24" s="129"/>
      <c r="H24" s="130"/>
      <c r="I24" s="131"/>
      <c r="J24" s="76"/>
      <c r="K24" s="76"/>
      <c r="L24" s="77"/>
      <c r="M24" s="76"/>
    </row>
    <row r="25" spans="1:13" ht="13.5" x14ac:dyDescent="0.25">
      <c r="A25" s="132" t="s">
        <v>18</v>
      </c>
      <c r="B25" s="133"/>
      <c r="C25" s="134"/>
      <c r="D25" s="85">
        <v>1</v>
      </c>
      <c r="E25" s="8" t="s">
        <v>25</v>
      </c>
      <c r="F25" s="135" t="s">
        <v>19</v>
      </c>
      <c r="G25" s="135"/>
      <c r="H25" s="136"/>
      <c r="I25" s="137"/>
      <c r="J25" s="76"/>
      <c r="K25" s="76"/>
      <c r="L25" s="77"/>
      <c r="M25" s="76"/>
    </row>
    <row r="26" spans="1:13" ht="13.5" x14ac:dyDescent="0.25">
      <c r="A26" s="132" t="s">
        <v>20</v>
      </c>
      <c r="B26" s="133"/>
      <c r="C26" s="134"/>
      <c r="D26" s="8">
        <v>1</v>
      </c>
      <c r="E26" s="8" t="s">
        <v>27</v>
      </c>
      <c r="F26" s="135" t="s">
        <v>50</v>
      </c>
      <c r="G26" s="135"/>
      <c r="H26" s="136"/>
      <c r="I26" s="137"/>
      <c r="J26" s="76"/>
      <c r="K26" s="76"/>
      <c r="L26" s="77"/>
      <c r="M26" s="76"/>
    </row>
    <row r="27" spans="1:13" ht="13.5" x14ac:dyDescent="0.25">
      <c r="A27" s="132" t="s">
        <v>21</v>
      </c>
      <c r="B27" s="133"/>
      <c r="C27" s="134"/>
      <c r="D27" s="86">
        <v>324</v>
      </c>
      <c r="E27" s="8" t="s">
        <v>15</v>
      </c>
      <c r="F27" s="142" t="s">
        <v>22</v>
      </c>
      <c r="G27" s="143"/>
      <c r="H27" s="136"/>
      <c r="I27" s="137"/>
      <c r="J27" s="76"/>
      <c r="K27" s="76"/>
      <c r="L27" s="77"/>
      <c r="M27" s="87"/>
    </row>
    <row r="28" spans="1:13" ht="14.25" thickBot="1" x14ac:dyDescent="0.3">
      <c r="A28" s="144" t="s">
        <v>23</v>
      </c>
      <c r="B28" s="145"/>
      <c r="C28" s="146"/>
      <c r="D28" s="88">
        <v>0</v>
      </c>
      <c r="E28" s="89" t="s">
        <v>15</v>
      </c>
      <c r="F28" s="147"/>
      <c r="G28" s="147"/>
      <c r="H28" s="148"/>
      <c r="I28" s="149"/>
      <c r="J28" s="72"/>
      <c r="K28" s="72"/>
      <c r="L28" s="77"/>
      <c r="M28" s="72"/>
    </row>
    <row r="29" spans="1:13" ht="13.5" thickBot="1" x14ac:dyDescent="0.25">
      <c r="A29" s="150" t="s">
        <v>24</v>
      </c>
      <c r="B29" s="151"/>
      <c r="C29" s="151"/>
      <c r="D29" s="151"/>
      <c r="E29" s="151"/>
      <c r="F29" s="151"/>
      <c r="G29" s="151"/>
      <c r="H29" s="151"/>
      <c r="I29" s="152"/>
      <c r="J29" s="76"/>
      <c r="K29" s="76"/>
      <c r="L29" s="76"/>
      <c r="M29" s="76"/>
    </row>
    <row r="30" spans="1:13" ht="18.600000000000001" customHeight="1" x14ac:dyDescent="0.25">
      <c r="A30" s="138" t="s">
        <v>56</v>
      </c>
      <c r="B30" s="139"/>
      <c r="C30" s="140"/>
      <c r="D30" s="140"/>
      <c r="E30" s="140"/>
      <c r="F30" s="140"/>
      <c r="G30" s="140"/>
      <c r="H30" s="140"/>
      <c r="I30" s="141"/>
      <c r="J30" s="76"/>
      <c r="K30" s="76"/>
      <c r="L30" s="76"/>
      <c r="M30" s="76"/>
    </row>
    <row r="31" spans="1:13" ht="14.45" customHeight="1" x14ac:dyDescent="0.25">
      <c r="A31" s="138" t="s">
        <v>57</v>
      </c>
      <c r="B31" s="139"/>
      <c r="C31" s="140"/>
      <c r="D31" s="140"/>
      <c r="E31" s="140"/>
      <c r="F31" s="140"/>
      <c r="G31" s="140"/>
      <c r="H31" s="140"/>
      <c r="I31" s="141"/>
      <c r="J31" s="76"/>
      <c r="K31" s="76"/>
      <c r="L31" s="76"/>
      <c r="M31" s="76"/>
    </row>
    <row r="32" spans="1:13" ht="14.45" customHeight="1" x14ac:dyDescent="0.25">
      <c r="A32" s="160"/>
      <c r="B32" s="161"/>
      <c r="C32" s="161"/>
      <c r="D32" s="161"/>
      <c r="E32" s="161"/>
      <c r="F32" s="161"/>
      <c r="G32" s="161"/>
      <c r="H32" s="161"/>
      <c r="I32" s="162"/>
      <c r="J32" s="76"/>
      <c r="K32" s="76"/>
      <c r="L32" s="76"/>
      <c r="M32" s="76"/>
    </row>
    <row r="33" spans="1:13" ht="14.45" customHeight="1" x14ac:dyDescent="0.3">
      <c r="A33" s="163"/>
      <c r="B33" s="164"/>
      <c r="C33" s="164"/>
      <c r="D33" s="164"/>
      <c r="E33" s="164"/>
      <c r="F33" s="164"/>
      <c r="G33" s="164"/>
      <c r="H33" s="164"/>
      <c r="I33" s="165"/>
      <c r="J33" s="76"/>
      <c r="K33" s="76"/>
      <c r="L33" s="76"/>
      <c r="M33" s="76"/>
    </row>
    <row r="34" spans="1:13" ht="14.45" customHeight="1" x14ac:dyDescent="0.25">
      <c r="A34" s="166"/>
      <c r="B34" s="167"/>
      <c r="C34" s="167"/>
      <c r="D34" s="167"/>
      <c r="E34" s="167"/>
      <c r="F34" s="167"/>
      <c r="G34" s="167"/>
      <c r="H34" s="167"/>
      <c r="I34" s="168"/>
      <c r="J34" s="76"/>
      <c r="K34" s="76"/>
      <c r="L34" s="76"/>
      <c r="M34" s="76"/>
    </row>
    <row r="35" spans="1:13" x14ac:dyDescent="0.2">
      <c r="J35" s="76"/>
      <c r="K35" s="76"/>
      <c r="L35" s="76"/>
      <c r="M35" s="76"/>
    </row>
    <row r="36" spans="1:13" ht="18" customHeight="1" x14ac:dyDescent="0.25">
      <c r="A36" s="166"/>
      <c r="B36" s="167"/>
      <c r="C36" s="167"/>
      <c r="D36" s="167"/>
      <c r="E36" s="167"/>
      <c r="F36" s="167"/>
      <c r="G36" s="167"/>
      <c r="H36" s="167"/>
      <c r="I36" s="168"/>
      <c r="J36" s="76"/>
      <c r="K36" s="76"/>
      <c r="L36" s="76"/>
      <c r="M36" s="76"/>
    </row>
    <row r="37" spans="1:13" ht="13.5" x14ac:dyDescent="0.25">
      <c r="A37" s="169"/>
      <c r="B37" s="170"/>
      <c r="C37" s="170"/>
      <c r="D37" s="170"/>
      <c r="E37" s="170"/>
      <c r="F37" s="170"/>
      <c r="G37" s="170"/>
      <c r="H37" s="170"/>
      <c r="I37" s="171"/>
      <c r="J37" s="76"/>
      <c r="K37" s="76"/>
      <c r="L37" s="76"/>
      <c r="M37" s="76"/>
    </row>
    <row r="38" spans="1:13" ht="14.25" thickBot="1" x14ac:dyDescent="0.3">
      <c r="A38" s="153"/>
      <c r="B38" s="154"/>
      <c r="C38" s="154"/>
      <c r="D38" s="154"/>
      <c r="E38" s="154"/>
      <c r="F38" s="154"/>
      <c r="G38" s="154"/>
      <c r="H38" s="154"/>
      <c r="I38" s="155"/>
      <c r="J38" s="76"/>
      <c r="K38" s="76"/>
      <c r="L38" s="76"/>
      <c r="M38" s="76"/>
    </row>
    <row r="39" spans="1:13" x14ac:dyDescent="0.2">
      <c r="A39" s="156" t="s">
        <v>51</v>
      </c>
      <c r="B39" s="157"/>
      <c r="C39" s="157"/>
      <c r="D39" s="157"/>
      <c r="E39" s="157"/>
      <c r="F39" s="157"/>
      <c r="G39" s="157"/>
      <c r="H39" s="157"/>
      <c r="I39" s="157"/>
      <c r="J39" s="76"/>
      <c r="K39" s="76"/>
      <c r="L39" s="76"/>
      <c r="M39" s="76"/>
    </row>
    <row r="40" spans="1:13" ht="13.5" x14ac:dyDescent="0.25">
      <c r="A40" s="158" t="s">
        <v>58</v>
      </c>
      <c r="B40" s="159"/>
      <c r="C40" s="159"/>
      <c r="D40" s="159"/>
      <c r="E40" s="159"/>
      <c r="F40" s="159"/>
      <c r="G40" s="159"/>
      <c r="H40" s="159"/>
      <c r="I40" s="159"/>
      <c r="J40" s="76"/>
      <c r="K40" s="76"/>
      <c r="L40" s="76"/>
      <c r="M40" s="76"/>
    </row>
    <row r="41" spans="1:13" ht="13.5" x14ac:dyDescent="0.25">
      <c r="A41" s="158"/>
      <c r="B41" s="159"/>
      <c r="C41" s="159"/>
      <c r="D41" s="159"/>
      <c r="E41" s="159"/>
      <c r="F41" s="159"/>
      <c r="G41" s="159"/>
      <c r="H41" s="159"/>
      <c r="I41" s="159"/>
    </row>
  </sheetData>
  <mergeCells count="44">
    <mergeCell ref="A38:I38"/>
    <mergeCell ref="A39:I39"/>
    <mergeCell ref="A40:I40"/>
    <mergeCell ref="A41:I41"/>
    <mergeCell ref="A32:I32"/>
    <mergeCell ref="A33:I33"/>
    <mergeCell ref="A34:I34"/>
    <mergeCell ref="A36:I36"/>
    <mergeCell ref="A37:I37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F0DE-DA93-4D79-BACE-8D06C099414F}">
  <dimension ref="A2:L28"/>
  <sheetViews>
    <sheetView topLeftCell="A7" workbookViewId="0">
      <selection activeCell="L29" sqref="L29"/>
    </sheetView>
  </sheetViews>
  <sheetFormatPr baseColWidth="10" defaultRowHeight="12.75" x14ac:dyDescent="0.2"/>
  <sheetData>
    <row r="2" spans="1:2" x14ac:dyDescent="0.2">
      <c r="A2" t="s">
        <v>59</v>
      </c>
    </row>
    <row r="3" spans="1:2" x14ac:dyDescent="0.2">
      <c r="A3" t="s">
        <v>60</v>
      </c>
      <c r="B3" t="s">
        <v>61</v>
      </c>
    </row>
    <row r="4" spans="1:2" x14ac:dyDescent="0.2">
      <c r="A4" t="s">
        <v>62</v>
      </c>
      <c r="B4" t="s">
        <v>63</v>
      </c>
    </row>
    <row r="5" spans="1:2" x14ac:dyDescent="0.2">
      <c r="A5" t="s">
        <v>64</v>
      </c>
      <c r="B5" t="s">
        <v>65</v>
      </c>
    </row>
    <row r="6" spans="1:2" x14ac:dyDescent="0.2">
      <c r="A6" t="s">
        <v>66</v>
      </c>
      <c r="B6" t="s">
        <v>67</v>
      </c>
    </row>
    <row r="7" spans="1:2" x14ac:dyDescent="0.2">
      <c r="A7" t="s">
        <v>68</v>
      </c>
      <c r="B7" t="s">
        <v>69</v>
      </c>
    </row>
    <row r="8" spans="1:2" x14ac:dyDescent="0.2">
      <c r="A8" t="s">
        <v>70</v>
      </c>
      <c r="B8" t="s">
        <v>71</v>
      </c>
    </row>
    <row r="9" spans="1:2" x14ac:dyDescent="0.2">
      <c r="A9" t="s">
        <v>72</v>
      </c>
      <c r="B9" t="s">
        <v>73</v>
      </c>
    </row>
    <row r="10" spans="1:2" x14ac:dyDescent="0.2">
      <c r="A10" t="s">
        <v>74</v>
      </c>
      <c r="B10" t="s">
        <v>75</v>
      </c>
    </row>
    <row r="11" spans="1:2" x14ac:dyDescent="0.2">
      <c r="A11" t="s">
        <v>76</v>
      </c>
      <c r="B11" t="s">
        <v>77</v>
      </c>
    </row>
    <row r="12" spans="1:2" x14ac:dyDescent="0.2">
      <c r="A12" t="s">
        <v>78</v>
      </c>
      <c r="B12" t="s">
        <v>79</v>
      </c>
    </row>
    <row r="13" spans="1:2" x14ac:dyDescent="0.2">
      <c r="A13" t="s">
        <v>80</v>
      </c>
      <c r="B13" t="s">
        <v>81</v>
      </c>
    </row>
    <row r="14" spans="1:2" x14ac:dyDescent="0.2">
      <c r="A14" t="s">
        <v>82</v>
      </c>
      <c r="B14" t="s">
        <v>83</v>
      </c>
    </row>
    <row r="17" spans="1:12" x14ac:dyDescent="0.2">
      <c r="A17" t="s">
        <v>84</v>
      </c>
      <c r="B17" t="s">
        <v>85</v>
      </c>
    </row>
    <row r="18" spans="1:12" x14ac:dyDescent="0.2">
      <c r="A18" t="s">
        <v>86</v>
      </c>
      <c r="B18" t="s">
        <v>87</v>
      </c>
    </row>
    <row r="20" spans="1:12" x14ac:dyDescent="0.2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</row>
    <row r="21" spans="1:12" x14ac:dyDescent="0.2">
      <c r="A21" t="s">
        <v>99</v>
      </c>
      <c r="B21" t="s">
        <v>79</v>
      </c>
      <c r="C21" t="s">
        <v>100</v>
      </c>
      <c r="D21" t="s">
        <v>101</v>
      </c>
      <c r="E21" t="s">
        <v>102</v>
      </c>
      <c r="F21" t="s">
        <v>101</v>
      </c>
      <c r="G21" t="s">
        <v>101</v>
      </c>
      <c r="H21" t="s">
        <v>101</v>
      </c>
      <c r="I21" t="s">
        <v>103</v>
      </c>
      <c r="J21" t="s">
        <v>97</v>
      </c>
      <c r="K21" t="s">
        <v>104</v>
      </c>
      <c r="L21">
        <v>298.76</v>
      </c>
    </row>
    <row r="22" spans="1:12" x14ac:dyDescent="0.2">
      <c r="A22" t="s">
        <v>105</v>
      </c>
      <c r="B22" t="s">
        <v>79</v>
      </c>
      <c r="C22" t="s">
        <v>106</v>
      </c>
      <c r="D22" t="s">
        <v>101</v>
      </c>
      <c r="E22" t="s">
        <v>102</v>
      </c>
      <c r="F22" t="s">
        <v>101</v>
      </c>
      <c r="G22" t="s">
        <v>101</v>
      </c>
      <c r="H22" t="s">
        <v>101</v>
      </c>
      <c r="I22" t="s">
        <v>107</v>
      </c>
      <c r="J22" t="s">
        <v>97</v>
      </c>
      <c r="K22" t="s">
        <v>108</v>
      </c>
      <c r="L22">
        <v>248.32</v>
      </c>
    </row>
    <row r="23" spans="1:12" x14ac:dyDescent="0.2">
      <c r="A23" t="s">
        <v>109</v>
      </c>
      <c r="B23" t="s">
        <v>79</v>
      </c>
      <c r="C23" t="s">
        <v>110</v>
      </c>
      <c r="D23" t="s">
        <v>79</v>
      </c>
      <c r="E23" t="s">
        <v>102</v>
      </c>
      <c r="F23" t="s">
        <v>79</v>
      </c>
      <c r="G23" t="s">
        <v>79</v>
      </c>
      <c r="H23" t="s">
        <v>79</v>
      </c>
      <c r="I23" t="s">
        <v>111</v>
      </c>
      <c r="J23" t="s">
        <v>97</v>
      </c>
      <c r="K23" t="s">
        <v>111</v>
      </c>
      <c r="L23">
        <v>25.75</v>
      </c>
    </row>
    <row r="24" spans="1:12" x14ac:dyDescent="0.2">
      <c r="A24" t="s">
        <v>112</v>
      </c>
      <c r="B24" t="s">
        <v>79</v>
      </c>
      <c r="C24" t="s">
        <v>113</v>
      </c>
      <c r="D24" t="s">
        <v>114</v>
      </c>
      <c r="E24" t="s">
        <v>102</v>
      </c>
      <c r="F24" t="s">
        <v>114</v>
      </c>
      <c r="G24" t="s">
        <v>114</v>
      </c>
      <c r="H24" t="s">
        <v>114</v>
      </c>
      <c r="I24" t="s">
        <v>115</v>
      </c>
      <c r="J24" t="s">
        <v>116</v>
      </c>
      <c r="K24" t="s">
        <v>117</v>
      </c>
      <c r="L24">
        <v>5.5</v>
      </c>
    </row>
    <row r="25" spans="1:12" x14ac:dyDescent="0.2">
      <c r="A25" t="s">
        <v>35</v>
      </c>
      <c r="B25" t="s">
        <v>79</v>
      </c>
      <c r="C25" t="s">
        <v>118</v>
      </c>
      <c r="D25" t="s">
        <v>79</v>
      </c>
      <c r="E25" t="s">
        <v>102</v>
      </c>
      <c r="F25" t="s">
        <v>79</v>
      </c>
      <c r="G25" t="s">
        <v>79</v>
      </c>
      <c r="H25" t="s">
        <v>79</v>
      </c>
      <c r="I25" t="s">
        <v>119</v>
      </c>
      <c r="J25" t="s">
        <v>97</v>
      </c>
      <c r="K25" t="s">
        <v>119</v>
      </c>
      <c r="L25">
        <v>0.57999999999999996</v>
      </c>
    </row>
    <row r="26" spans="1:12" x14ac:dyDescent="0.2">
      <c r="A26" t="s">
        <v>37</v>
      </c>
      <c r="B26" t="s">
        <v>79</v>
      </c>
      <c r="C26" t="s">
        <v>120</v>
      </c>
      <c r="D26" t="s">
        <v>121</v>
      </c>
      <c r="E26" t="s">
        <v>102</v>
      </c>
      <c r="F26" t="s">
        <v>121</v>
      </c>
      <c r="G26" t="s">
        <v>121</v>
      </c>
      <c r="H26" t="s">
        <v>121</v>
      </c>
      <c r="I26" t="s">
        <v>122</v>
      </c>
      <c r="J26" t="s">
        <v>97</v>
      </c>
      <c r="K26" t="s">
        <v>123</v>
      </c>
      <c r="L26">
        <v>388.19</v>
      </c>
    </row>
    <row r="27" spans="1:12" x14ac:dyDescent="0.2">
      <c r="L27">
        <f>SUM(L21:L26)</f>
        <v>967.09999999999991</v>
      </c>
    </row>
    <row r="28" spans="1:12" x14ac:dyDescent="0.2">
      <c r="L28">
        <f>+L27/6</f>
        <v>161.18333333333331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CCB9-308E-4140-BFC3-A56C0008D074}">
  <dimension ref="A2:L29"/>
  <sheetViews>
    <sheetView topLeftCell="A10" workbookViewId="0">
      <selection activeCell="F31" sqref="F31"/>
    </sheetView>
  </sheetViews>
  <sheetFormatPr baseColWidth="10" defaultRowHeight="12.75" x14ac:dyDescent="0.2"/>
  <cols>
    <col min="3" max="3" width="27.28515625" customWidth="1"/>
  </cols>
  <sheetData>
    <row r="2" spans="1:2" x14ac:dyDescent="0.2">
      <c r="A2" t="s">
        <v>59</v>
      </c>
    </row>
    <row r="3" spans="1:2" x14ac:dyDescent="0.2">
      <c r="A3" t="s">
        <v>60</v>
      </c>
      <c r="B3" t="s">
        <v>61</v>
      </c>
    </row>
    <row r="4" spans="1:2" x14ac:dyDescent="0.2">
      <c r="A4" t="s">
        <v>62</v>
      </c>
      <c r="B4" t="s">
        <v>63</v>
      </c>
    </row>
    <row r="5" spans="1:2" x14ac:dyDescent="0.2">
      <c r="A5" t="s">
        <v>64</v>
      </c>
      <c r="B5" t="s">
        <v>65</v>
      </c>
    </row>
    <row r="6" spans="1:2" x14ac:dyDescent="0.2">
      <c r="A6" t="s">
        <v>66</v>
      </c>
      <c r="B6" t="s">
        <v>67</v>
      </c>
    </row>
    <row r="7" spans="1:2" x14ac:dyDescent="0.2">
      <c r="A7" t="s">
        <v>68</v>
      </c>
      <c r="B7" t="s">
        <v>69</v>
      </c>
    </row>
    <row r="8" spans="1:2" x14ac:dyDescent="0.2">
      <c r="A8" t="s">
        <v>70</v>
      </c>
      <c r="B8" t="s">
        <v>71</v>
      </c>
    </row>
    <row r="9" spans="1:2" x14ac:dyDescent="0.2">
      <c r="A9" t="s">
        <v>72</v>
      </c>
      <c r="B9" t="s">
        <v>73</v>
      </c>
    </row>
    <row r="10" spans="1:2" x14ac:dyDescent="0.2">
      <c r="A10" t="s">
        <v>74</v>
      </c>
      <c r="B10" t="s">
        <v>75</v>
      </c>
    </row>
    <row r="11" spans="1:2" x14ac:dyDescent="0.2">
      <c r="A11" t="s">
        <v>76</v>
      </c>
      <c r="B11" t="s">
        <v>77</v>
      </c>
    </row>
    <row r="12" spans="1:2" x14ac:dyDescent="0.2">
      <c r="A12" t="s">
        <v>78</v>
      </c>
      <c r="B12" t="s">
        <v>79</v>
      </c>
    </row>
    <row r="13" spans="1:2" x14ac:dyDescent="0.2">
      <c r="A13" t="s">
        <v>80</v>
      </c>
      <c r="B13" t="s">
        <v>81</v>
      </c>
    </row>
    <row r="14" spans="1:2" x14ac:dyDescent="0.2">
      <c r="A14" t="s">
        <v>82</v>
      </c>
      <c r="B14" t="s">
        <v>83</v>
      </c>
    </row>
    <row r="17" spans="1:12" x14ac:dyDescent="0.2">
      <c r="A17" t="s">
        <v>84</v>
      </c>
      <c r="B17" t="s">
        <v>85</v>
      </c>
    </row>
    <row r="18" spans="1:12" x14ac:dyDescent="0.2">
      <c r="A18" t="s">
        <v>86</v>
      </c>
      <c r="B18" t="s">
        <v>87</v>
      </c>
    </row>
    <row r="20" spans="1:12" x14ac:dyDescent="0.2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</row>
    <row r="21" spans="1:12" x14ac:dyDescent="0.2">
      <c r="A21" t="s">
        <v>99</v>
      </c>
      <c r="B21" t="s">
        <v>79</v>
      </c>
      <c r="C21" t="s">
        <v>100</v>
      </c>
      <c r="D21" t="s">
        <v>101</v>
      </c>
      <c r="E21" t="s">
        <v>102</v>
      </c>
      <c r="F21" t="s">
        <v>101</v>
      </c>
      <c r="G21" t="s">
        <v>101</v>
      </c>
      <c r="H21" t="s">
        <v>101</v>
      </c>
      <c r="I21" t="s">
        <v>103</v>
      </c>
      <c r="J21" t="s">
        <v>97</v>
      </c>
      <c r="K21" t="s">
        <v>104</v>
      </c>
      <c r="L21">
        <v>298.76</v>
      </c>
    </row>
    <row r="22" spans="1:12" x14ac:dyDescent="0.2">
      <c r="A22" t="s">
        <v>105</v>
      </c>
      <c r="B22" t="s">
        <v>79</v>
      </c>
      <c r="C22" t="s">
        <v>106</v>
      </c>
      <c r="D22" t="s">
        <v>101</v>
      </c>
      <c r="E22" t="s">
        <v>102</v>
      </c>
      <c r="F22" t="s">
        <v>101</v>
      </c>
      <c r="G22" t="s">
        <v>101</v>
      </c>
      <c r="H22" t="s">
        <v>101</v>
      </c>
      <c r="I22" t="s">
        <v>107</v>
      </c>
      <c r="J22" t="s">
        <v>97</v>
      </c>
      <c r="K22" t="s">
        <v>108</v>
      </c>
      <c r="L22">
        <v>248.32</v>
      </c>
    </row>
    <row r="23" spans="1:12" x14ac:dyDescent="0.2">
      <c r="A23" s="90" t="s">
        <v>53</v>
      </c>
      <c r="B23" s="90" t="s">
        <v>79</v>
      </c>
      <c r="C23" s="91" t="s">
        <v>124</v>
      </c>
      <c r="D23" s="90" t="s">
        <v>79</v>
      </c>
      <c r="E23" s="90" t="s">
        <v>102</v>
      </c>
      <c r="F23" s="90" t="s">
        <v>79</v>
      </c>
      <c r="G23" s="90" t="s">
        <v>79</v>
      </c>
      <c r="H23" s="90" t="s">
        <v>79</v>
      </c>
      <c r="I23" s="90">
        <v>49.75</v>
      </c>
      <c r="J23" s="90" t="s">
        <v>97</v>
      </c>
      <c r="K23" s="90">
        <v>49.75</v>
      </c>
      <c r="L23" s="90">
        <v>49.75</v>
      </c>
    </row>
    <row r="24" spans="1:12" x14ac:dyDescent="0.2">
      <c r="A24" t="s">
        <v>112</v>
      </c>
      <c r="B24" t="s">
        <v>79</v>
      </c>
      <c r="C24" t="s">
        <v>113</v>
      </c>
      <c r="D24" t="s">
        <v>114</v>
      </c>
      <c r="E24" t="s">
        <v>102</v>
      </c>
      <c r="F24" t="s">
        <v>114</v>
      </c>
      <c r="G24" t="s">
        <v>114</v>
      </c>
      <c r="H24" t="s">
        <v>114</v>
      </c>
      <c r="I24" t="s">
        <v>115</v>
      </c>
      <c r="J24" t="s">
        <v>116</v>
      </c>
      <c r="K24" t="s">
        <v>117</v>
      </c>
      <c r="L24">
        <v>5.5</v>
      </c>
    </row>
    <row r="25" spans="1:12" x14ac:dyDescent="0.2">
      <c r="A25" t="s">
        <v>35</v>
      </c>
      <c r="B25" t="s">
        <v>79</v>
      </c>
      <c r="C25" t="s">
        <v>118</v>
      </c>
      <c r="D25" t="s">
        <v>79</v>
      </c>
      <c r="E25" t="s">
        <v>102</v>
      </c>
      <c r="F25" t="s">
        <v>79</v>
      </c>
      <c r="G25" t="s">
        <v>79</v>
      </c>
      <c r="H25" t="s">
        <v>79</v>
      </c>
      <c r="I25" t="s">
        <v>119</v>
      </c>
      <c r="J25" t="s">
        <v>97</v>
      </c>
      <c r="K25" t="s">
        <v>119</v>
      </c>
      <c r="L25">
        <v>0.57999999999999996</v>
      </c>
    </row>
    <row r="26" spans="1:12" x14ac:dyDescent="0.2">
      <c r="A26" s="90" t="s">
        <v>37</v>
      </c>
      <c r="B26" s="90" t="s">
        <v>79</v>
      </c>
      <c r="C26" s="90" t="s">
        <v>120</v>
      </c>
      <c r="D26" s="90">
        <v>9</v>
      </c>
      <c r="E26" s="90" t="s">
        <v>102</v>
      </c>
      <c r="F26" s="90">
        <v>9</v>
      </c>
      <c r="G26" s="90">
        <v>9</v>
      </c>
      <c r="H26" s="90">
        <v>9</v>
      </c>
      <c r="I26" s="90" t="s">
        <v>122</v>
      </c>
      <c r="J26" s="90" t="s">
        <v>97</v>
      </c>
      <c r="K26" s="90">
        <f>9*64.7</f>
        <v>582.30000000000007</v>
      </c>
      <c r="L26" s="90">
        <v>582.29999999999995</v>
      </c>
    </row>
    <row r="27" spans="1:12" x14ac:dyDescent="0.2">
      <c r="L27">
        <f>SUM(L21:L26)</f>
        <v>1185.21</v>
      </c>
    </row>
    <row r="29" spans="1:12" x14ac:dyDescent="0.2">
      <c r="L29">
        <f>+L27/9</f>
        <v>131.69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B46C32-09EE-4DA3-93EA-9E05D2F595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BA57832-421E-45EA-BED8-34AB2444E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73F4E-D7A3-40F5-9C54-B291FE1FDA5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97095A0-6E73-4FDA-8FF1-4682C31B4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Empaque Empanada pollo 9 und</vt:lpstr>
      <vt:lpstr>Costo Actual </vt:lpstr>
      <vt:lpstr>Nuevo costo </vt:lpstr>
      <vt:lpstr>'Empaque Empanada pollo 9 und'!Área_de_impresión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2025-05-26T17:13:02Z</cp:lastPrinted>
  <dcterms:created xsi:type="dcterms:W3CDTF">2012-05-10T22:32:20Z</dcterms:created>
  <dcterms:modified xsi:type="dcterms:W3CDTF">2025-05-26T21:55:54Z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303600.000000000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
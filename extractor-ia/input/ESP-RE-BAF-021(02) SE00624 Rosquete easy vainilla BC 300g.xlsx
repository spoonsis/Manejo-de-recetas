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0" documentId="8_{4F9C2F44-46F8-4FB9-97F8-43C3ED4100C5}" xr6:coauthVersionLast="47" xr6:coauthVersionMax="47" xr10:uidLastSave="{00000000-0000-0000-0000-000000000000}"/>
  <bookViews>
    <workbookView minimized="1" xWindow="5805" yWindow="3705" windowWidth="15375" windowHeight="7785" tabRatio="807" firstSheet="2" activeTab="2" xr2:uid="{93DF36B7-6ED9-40F2-93AD-A97D508EA7D8}"/>
  </bookViews>
  <sheets>
    <sheet name="Premezcla Easy BC" sheetId="7" state="hidden" r:id="rId1"/>
    <sheet name="Batido Easy Vainilla BC " sheetId="8" state="hidden" r:id="rId2"/>
    <sheet name="Hoja2" sheetId="18" r:id="rId3"/>
    <sheet name="Costo Rosquete 300 g" sheetId="4" state="hidden" r:id="rId4"/>
    <sheet name="Ensamble" sheetId="1" state="hidden" r:id="rId5"/>
    <sheet name="Crema chantilly Blanca" sheetId="9" state="hidden" r:id="rId6"/>
    <sheet name="Crema Verde electrico" sheetId="11" state="hidden" r:id="rId7"/>
    <sheet name="Crema Naranja Bucca" sheetId="10" state="hidden" r:id="rId8"/>
    <sheet name="Premezcla Batido Vainilla Dawn" sheetId="16" state="hidden" r:id="rId9"/>
    <sheet name="Batido Vainilla Easy Dawn" sheetId="15" state="hidden" r:id="rId10"/>
    <sheet name="Rosquete Easy 320" sheetId="14" state="hidden" r:id="rId11"/>
    <sheet name="Procesado de Borona " sheetId="13" state="hidden" r:id="rId12"/>
    <sheet name="Crema Chantilly Morado Barnie" sheetId="12" state="hidden" r:id="rId13"/>
    <sheet name="Crema Dulce de leche" sheetId="6" state="hidden" r:id="rId14"/>
    <sheet name="Hoja1" sheetId="17" state="hidden" r:id="rId15"/>
    <sheet name="Costo Ensamble " sheetId="2" state="hidden" r:id="rId16"/>
  </sheets>
  <externalReferences>
    <externalReference r:id="rId17"/>
    <externalReference r:id="rId18"/>
  </externalReferences>
  <definedNames>
    <definedName name="_xlnm.Print_Area" localSheetId="4">Ensamble!$A$1:$I$53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6" l="1"/>
  <c r="D31" i="16" s="1"/>
  <c r="H25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D30" i="15"/>
  <c r="D29" i="15"/>
  <c r="H14" i="15"/>
  <c r="G14" i="15"/>
  <c r="H13" i="15"/>
  <c r="G13" i="15"/>
  <c r="H12" i="15"/>
  <c r="G12" i="15"/>
  <c r="H11" i="15"/>
  <c r="G11" i="15"/>
  <c r="H10" i="15"/>
  <c r="G10" i="15"/>
  <c r="D19" i="14"/>
  <c r="D23" i="14" s="1"/>
  <c r="G14" i="14"/>
  <c r="G13" i="14"/>
  <c r="G12" i="14"/>
  <c r="G10" i="14"/>
  <c r="G9" i="14"/>
  <c r="G8" i="14"/>
  <c r="D21" i="14" l="1"/>
  <c r="E11" i="14" s="1"/>
  <c r="G11" i="14" s="1"/>
  <c r="D21" i="13"/>
  <c r="D22" i="13" s="1"/>
  <c r="D20" i="12"/>
  <c r="D19" i="12"/>
  <c r="G13" i="12"/>
  <c r="G12" i="12"/>
  <c r="G11" i="12"/>
  <c r="G10" i="12"/>
  <c r="G9" i="12"/>
  <c r="E17" i="11"/>
  <c r="E16" i="11"/>
  <c r="D20" i="10"/>
  <c r="D23" i="10" s="1"/>
  <c r="E32" i="9"/>
  <c r="E29" i="9"/>
  <c r="D19" i="6"/>
  <c r="D22" i="8"/>
  <c r="F15" i="8"/>
  <c r="D73" i="4"/>
  <c r="D74" i="4" s="1"/>
  <c r="D76" i="4" s="1"/>
  <c r="D71" i="4"/>
  <c r="D69" i="4"/>
  <c r="F65" i="4"/>
  <c r="E51" i="4" s="1"/>
  <c r="F51" i="4" s="1"/>
  <c r="D60" i="4"/>
  <c r="D85" i="4" s="1"/>
  <c r="D86" i="4" s="1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1" i="4"/>
  <c r="D41" i="4"/>
  <c r="B41" i="4"/>
  <c r="A41" i="4"/>
  <c r="A50" i="4" s="1"/>
  <c r="C50" i="4" s="1"/>
  <c r="E40" i="4"/>
  <c r="D40" i="4"/>
  <c r="B40" i="4"/>
  <c r="A40" i="4"/>
  <c r="C40" i="4" s="1"/>
  <c r="E39" i="4"/>
  <c r="D39" i="4"/>
  <c r="B39" i="4"/>
  <c r="A39" i="4"/>
  <c r="C39" i="4" s="1"/>
  <c r="E38" i="4"/>
  <c r="D38" i="4"/>
  <c r="B38" i="4"/>
  <c r="A38" i="4"/>
  <c r="C38" i="4" s="1"/>
  <c r="E37" i="4"/>
  <c r="D37" i="4"/>
  <c r="B37" i="4"/>
  <c r="A37" i="4"/>
  <c r="A46" i="4" s="1"/>
  <c r="C46" i="4" s="1"/>
  <c r="A36" i="4"/>
  <c r="C36" i="4" s="1"/>
  <c r="F36" i="4" s="1"/>
  <c r="A35" i="4"/>
  <c r="C35" i="4" s="1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4" i="4"/>
  <c r="F24" i="4" s="1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D19" i="4"/>
  <c r="C19" i="4"/>
  <c r="B19" i="4"/>
  <c r="F18" i="4"/>
  <c r="D18" i="4"/>
  <c r="C18" i="4"/>
  <c r="B18" i="4"/>
  <c r="C17" i="4"/>
  <c r="B15" i="4"/>
  <c r="E14" i="4"/>
  <c r="F14" i="4" s="1"/>
  <c r="D14" i="4"/>
  <c r="C14" i="4"/>
  <c r="B14" i="4"/>
  <c r="E13" i="4"/>
  <c r="D13" i="4"/>
  <c r="C13" i="4"/>
  <c r="B13" i="4"/>
  <c r="E12" i="4"/>
  <c r="F12" i="4" s="1"/>
  <c r="D12" i="4"/>
  <c r="C12" i="4"/>
  <c r="B12" i="4"/>
  <c r="E11" i="4"/>
  <c r="D11" i="4"/>
  <c r="C11" i="4"/>
  <c r="B11" i="4"/>
  <c r="E10" i="4"/>
  <c r="F10" i="4" s="1"/>
  <c r="D10" i="4"/>
  <c r="C10" i="4"/>
  <c r="B10" i="4"/>
  <c r="E9" i="4"/>
  <c r="D9" i="4"/>
  <c r="C9" i="4"/>
  <c r="B9" i="4"/>
  <c r="E8" i="4"/>
  <c r="F8" i="4" s="1"/>
  <c r="D8" i="4"/>
  <c r="C8" i="4"/>
  <c r="B8" i="4"/>
  <c r="H6" i="4"/>
  <c r="F19" i="4" l="1"/>
  <c r="F31" i="4"/>
  <c r="F40" i="4"/>
  <c r="D83" i="4"/>
  <c r="D81" i="4"/>
  <c r="F46" i="4"/>
  <c r="F50" i="4"/>
  <c r="F30" i="4"/>
  <c r="F32" i="4"/>
  <c r="C37" i="4"/>
  <c r="F37" i="4" s="1"/>
  <c r="A49" i="4"/>
  <c r="C49" i="4" s="1"/>
  <c r="F49" i="4" s="1"/>
  <c r="C41" i="4"/>
  <c r="F41" i="4" s="1"/>
  <c r="F9" i="4"/>
  <c r="F11" i="4"/>
  <c r="F13" i="4"/>
  <c r="F29" i="4"/>
  <c r="F27" i="4"/>
  <c r="F28" i="4"/>
  <c r="A45" i="4"/>
  <c r="C45" i="4" s="1"/>
  <c r="F17" i="4"/>
  <c r="F35" i="4"/>
  <c r="F38" i="4"/>
  <c r="F39" i="4"/>
  <c r="F45" i="4"/>
  <c r="A44" i="4"/>
  <c r="C44" i="4" s="1"/>
  <c r="F44" i="4" s="1"/>
  <c r="A48" i="4"/>
  <c r="C48" i="4" s="1"/>
  <c r="F48" i="4" s="1"/>
  <c r="A47" i="4"/>
  <c r="C47" i="4" s="1"/>
  <c r="F47" i="4" s="1"/>
  <c r="C73" i="4"/>
  <c r="F53" i="4" l="1"/>
  <c r="F64" i="4" s="1"/>
  <c r="F56" i="4"/>
  <c r="F54" i="4"/>
  <c r="C85" i="4"/>
  <c r="E85" i="4" s="1"/>
  <c r="E73" i="4"/>
  <c r="H53" i="4" l="1"/>
  <c r="F2" i="4" s="1"/>
  <c r="C69" i="4"/>
  <c r="E69" i="4" s="1"/>
  <c r="H54" i="4"/>
  <c r="C76" i="4"/>
  <c r="E76" i="4" s="1"/>
  <c r="F55" i="4"/>
  <c r="H56" i="4"/>
  <c r="C74" i="4"/>
  <c r="C81" i="4" l="1"/>
  <c r="E81" i="4" s="1"/>
  <c r="E17" i="2"/>
  <c r="G2" i="4"/>
  <c r="E35" i="2"/>
  <c r="H2" i="4"/>
  <c r="H58" i="4"/>
  <c r="H59" i="4" s="1"/>
  <c r="O58" i="4" s="1"/>
  <c r="O55" i="4"/>
  <c r="H55" i="4"/>
  <c r="F63" i="4"/>
  <c r="O54" i="4"/>
  <c r="E74" i="4"/>
  <c r="E78" i="4" s="1"/>
  <c r="C86" i="4"/>
  <c r="E86" i="4" s="1"/>
  <c r="O56" i="4" l="1"/>
  <c r="O57" i="4" s="1"/>
  <c r="O59" i="4" s="1"/>
  <c r="C71" i="4"/>
  <c r="E63" i="4"/>
  <c r="F66" i="4"/>
  <c r="G63" i="4" s="1"/>
  <c r="C83" i="4" l="1"/>
  <c r="E83" i="4" s="1"/>
  <c r="E71" i="4"/>
  <c r="G66" i="4"/>
  <c r="G11" i="4"/>
  <c r="G41" i="4"/>
  <c r="G20" i="4"/>
  <c r="G17" i="4"/>
  <c r="G14" i="4"/>
  <c r="G35" i="4"/>
  <c r="G24" i="4"/>
  <c r="G37" i="4"/>
  <c r="G65" i="4"/>
  <c r="G50" i="4"/>
  <c r="G12" i="4"/>
  <c r="G18" i="4"/>
  <c r="G46" i="4"/>
  <c r="G29" i="4"/>
  <c r="G40" i="4"/>
  <c r="G22" i="4"/>
  <c r="G51" i="4"/>
  <c r="G8" i="4"/>
  <c r="G30" i="4"/>
  <c r="G27" i="4"/>
  <c r="G19" i="4"/>
  <c r="G13" i="4"/>
  <c r="G31" i="4"/>
  <c r="G23" i="4"/>
  <c r="G32" i="4"/>
  <c r="G49" i="4"/>
  <c r="G10" i="4"/>
  <c r="G28" i="4"/>
  <c r="G9" i="4"/>
  <c r="G21" i="4"/>
  <c r="G36" i="4"/>
  <c r="G48" i="4"/>
  <c r="G47" i="4"/>
  <c r="G38" i="4"/>
  <c r="G45" i="4"/>
  <c r="G39" i="4"/>
  <c r="G53" i="4"/>
  <c r="G44" i="4"/>
  <c r="G64" i="4"/>
  <c r="G56" i="4"/>
  <c r="G54" i="4"/>
  <c r="G55" i="4"/>
  <c r="O60" i="4"/>
  <c r="O61" i="4" s="1"/>
  <c r="O62" i="4" s="1"/>
  <c r="P62" i="4" l="1"/>
  <c r="E2" i="4"/>
  <c r="D73" i="2" l="1"/>
  <c r="D74" i="2" s="1"/>
  <c r="D76" i="2" s="1"/>
  <c r="D71" i="2"/>
  <c r="D69" i="2"/>
  <c r="F65" i="2"/>
  <c r="C73" i="2" s="1"/>
  <c r="D60" i="2"/>
  <c r="D85" i="2" s="1"/>
  <c r="D86" i="2" s="1"/>
  <c r="C51" i="2"/>
  <c r="E50" i="2"/>
  <c r="D50" i="2"/>
  <c r="B50" i="2"/>
  <c r="E49" i="2"/>
  <c r="D49" i="2"/>
  <c r="B49" i="2"/>
  <c r="A49" i="2"/>
  <c r="C49" i="2" s="1"/>
  <c r="E46" i="2"/>
  <c r="D46" i="2"/>
  <c r="B46" i="2"/>
  <c r="E45" i="2"/>
  <c r="D45" i="2"/>
  <c r="B45" i="2"/>
  <c r="A41" i="2"/>
  <c r="A50" i="2" s="1"/>
  <c r="C50" i="2" s="1"/>
  <c r="E40" i="2"/>
  <c r="D40" i="2"/>
  <c r="B40" i="2"/>
  <c r="A40" i="2"/>
  <c r="C40" i="2" s="1"/>
  <c r="A39" i="2"/>
  <c r="C39" i="2" s="1"/>
  <c r="A38" i="2"/>
  <c r="C38" i="2" s="1"/>
  <c r="F38" i="2" s="1"/>
  <c r="E37" i="2"/>
  <c r="D37" i="2"/>
  <c r="B37" i="2"/>
  <c r="A37" i="2"/>
  <c r="A46" i="2" s="1"/>
  <c r="C46" i="2" s="1"/>
  <c r="E36" i="2"/>
  <c r="D36" i="2"/>
  <c r="C36" i="2"/>
  <c r="B36" i="2"/>
  <c r="A36" i="2"/>
  <c r="A45" i="2" s="1"/>
  <c r="C45" i="2" s="1"/>
  <c r="A35" i="2"/>
  <c r="C35" i="2" s="1"/>
  <c r="D32" i="2"/>
  <c r="C32" i="2"/>
  <c r="B32" i="2"/>
  <c r="D31" i="2"/>
  <c r="C31" i="2"/>
  <c r="B31" i="2"/>
  <c r="D30" i="2"/>
  <c r="C30" i="2"/>
  <c r="B30" i="2"/>
  <c r="D29" i="2"/>
  <c r="C29" i="2"/>
  <c r="B29" i="2"/>
  <c r="C28" i="2"/>
  <c r="B28" i="2"/>
  <c r="D27" i="2"/>
  <c r="C27" i="2"/>
  <c r="B27" i="2"/>
  <c r="E24" i="2"/>
  <c r="F24" i="2" s="1"/>
  <c r="D24" i="2"/>
  <c r="C24" i="2"/>
  <c r="B24" i="2"/>
  <c r="C23" i="2"/>
  <c r="F23" i="2" s="1"/>
  <c r="D22" i="2"/>
  <c r="C22" i="2"/>
  <c r="B22" i="2"/>
  <c r="F21" i="2"/>
  <c r="C21" i="2"/>
  <c r="C20" i="2"/>
  <c r="D19" i="2"/>
  <c r="C19" i="2"/>
  <c r="B19" i="2"/>
  <c r="D18" i="2"/>
  <c r="C18" i="2"/>
  <c r="B18" i="2"/>
  <c r="C17" i="2"/>
  <c r="B15" i="2"/>
  <c r="E14" i="2"/>
  <c r="D14" i="2"/>
  <c r="C14" i="2"/>
  <c r="B14" i="2"/>
  <c r="E13" i="2"/>
  <c r="F13" i="2" s="1"/>
  <c r="D13" i="2"/>
  <c r="C13" i="2"/>
  <c r="B13" i="2"/>
  <c r="E12" i="2"/>
  <c r="D12" i="2"/>
  <c r="C12" i="2"/>
  <c r="B12" i="2"/>
  <c r="E11" i="2"/>
  <c r="F11" i="2" s="1"/>
  <c r="D11" i="2"/>
  <c r="C11" i="2"/>
  <c r="B11" i="2"/>
  <c r="E10" i="2"/>
  <c r="D10" i="2"/>
  <c r="C10" i="2"/>
  <c r="B10" i="2"/>
  <c r="E9" i="2"/>
  <c r="F9" i="2" s="1"/>
  <c r="D9" i="2"/>
  <c r="C9" i="2"/>
  <c r="B9" i="2"/>
  <c r="E8" i="2"/>
  <c r="D8" i="2"/>
  <c r="C8" i="2"/>
  <c r="B8" i="2"/>
  <c r="H6" i="2"/>
  <c r="D35" i="1"/>
  <c r="F32" i="2" l="1"/>
  <c r="F31" i="2"/>
  <c r="F29" i="2"/>
  <c r="F28" i="2"/>
  <c r="F27" i="2"/>
  <c r="F51" i="2"/>
  <c r="E51" i="2"/>
  <c r="F8" i="2"/>
  <c r="F10" i="2"/>
  <c r="F12" i="2"/>
  <c r="F14" i="2"/>
  <c r="F46" i="2"/>
  <c r="F30" i="2"/>
  <c r="F50" i="2"/>
  <c r="C41" i="2"/>
  <c r="F41" i="2" s="1"/>
  <c r="F40" i="2"/>
  <c r="F22" i="2"/>
  <c r="F39" i="2"/>
  <c r="F20" i="2"/>
  <c r="F37" i="2"/>
  <c r="F19" i="2"/>
  <c r="C37" i="2"/>
  <c r="F36" i="2"/>
  <c r="F45" i="2"/>
  <c r="F18" i="2"/>
  <c r="F35" i="2"/>
  <c r="F17" i="2"/>
  <c r="C85" i="2"/>
  <c r="E85" i="2" s="1"/>
  <c r="E73" i="2"/>
  <c r="F49" i="2"/>
  <c r="D83" i="2"/>
  <c r="A44" i="2"/>
  <c r="C44" i="2" s="1"/>
  <c r="F44" i="2" s="1"/>
  <c r="A48" i="2"/>
  <c r="C48" i="2" s="1"/>
  <c r="F48" i="2" s="1"/>
  <c r="D81" i="2"/>
  <c r="A47" i="2"/>
  <c r="C47" i="2" s="1"/>
  <c r="F47" i="2" s="1"/>
  <c r="F53" i="2" l="1"/>
  <c r="H53" i="2" s="1"/>
  <c r="F2" i="2" s="1"/>
  <c r="F54" i="2"/>
  <c r="H54" i="2" s="1"/>
  <c r="G2" i="2" s="1"/>
  <c r="F56" i="2"/>
  <c r="C69" i="2" l="1"/>
  <c r="C81" i="2" s="1"/>
  <c r="E81" i="2" s="1"/>
  <c r="F64" i="2"/>
  <c r="F55" i="2"/>
  <c r="H55" i="2" s="1"/>
  <c r="C76" i="2"/>
  <c r="E76" i="2" s="1"/>
  <c r="H56" i="2"/>
  <c r="C74" i="2"/>
  <c r="E69" i="2" l="1"/>
  <c r="O54" i="2"/>
  <c r="O56" i="2" s="1"/>
  <c r="F63" i="2"/>
  <c r="F66" i="2" s="1"/>
  <c r="G63" i="2" s="1"/>
  <c r="H2" i="2"/>
  <c r="H58" i="2"/>
  <c r="H59" i="2" s="1"/>
  <c r="O58" i="2" s="1"/>
  <c r="O55" i="2"/>
  <c r="E74" i="2"/>
  <c r="E78" i="2" s="1"/>
  <c r="C86" i="2"/>
  <c r="E86" i="2" s="1"/>
  <c r="O57" i="2" l="1"/>
  <c r="O59" i="2" s="1"/>
  <c r="O60" i="2" s="1"/>
  <c r="E63" i="2"/>
  <c r="C71" i="2"/>
  <c r="C83" i="2" s="1"/>
  <c r="E83" i="2" s="1"/>
  <c r="G66" i="2"/>
  <c r="G65" i="2"/>
  <c r="G18" i="2"/>
  <c r="G39" i="2"/>
  <c r="G13" i="2"/>
  <c r="G31" i="2"/>
  <c r="G22" i="2"/>
  <c r="G40" i="2"/>
  <c r="G12" i="2"/>
  <c r="G28" i="2"/>
  <c r="G51" i="2"/>
  <c r="G32" i="2"/>
  <c r="G14" i="2"/>
  <c r="G29" i="2"/>
  <c r="G19" i="2"/>
  <c r="G23" i="2"/>
  <c r="G46" i="2"/>
  <c r="G9" i="2"/>
  <c r="G20" i="2"/>
  <c r="G35" i="2"/>
  <c r="G24" i="2"/>
  <c r="G50" i="2"/>
  <c r="G8" i="2"/>
  <c r="G17" i="2"/>
  <c r="G41" i="2"/>
  <c r="G27" i="2"/>
  <c r="G37" i="2"/>
  <c r="G11" i="2"/>
  <c r="G21" i="2"/>
  <c r="G38" i="2"/>
  <c r="G30" i="2"/>
  <c r="G10" i="2"/>
  <c r="G45" i="2"/>
  <c r="G36" i="2"/>
  <c r="G49" i="2"/>
  <c r="G44" i="2"/>
  <c r="G48" i="2"/>
  <c r="G54" i="2"/>
  <c r="G53" i="2"/>
  <c r="G47" i="2"/>
  <c r="G64" i="2"/>
  <c r="G56" i="2"/>
  <c r="G55" i="2"/>
  <c r="O61" i="2" l="1"/>
  <c r="O62" i="2" s="1"/>
  <c r="P62" i="2" s="1"/>
  <c r="E71" i="2"/>
  <c r="E2" i="2" l="1"/>
</calcChain>
</file>

<file path=xl/sharedStrings.xml><?xml version="1.0" encoding="utf-8"?>
<sst xmlns="http://schemas.openxmlformats.org/spreadsheetml/2006/main" count="1217" uniqueCount="391">
  <si>
    <t>SERVICIOS DE PASTELERIA S.A.</t>
  </si>
  <si>
    <t>CÓDIGO:</t>
  </si>
  <si>
    <t>ESP-RE-PRES-129</t>
  </si>
  <si>
    <t>ESPECIFICACION DE RECETA</t>
  </si>
  <si>
    <t>REVISIÓN:</t>
  </si>
  <si>
    <t>02</t>
  </si>
  <si>
    <t>906000136(SE00436)  Premezcla Easy vainilla BC</t>
  </si>
  <si>
    <t>FECHA DE APROBACIÓN:</t>
  </si>
  <si>
    <t>15/03/2023</t>
  </si>
  <si>
    <t>Elaborado</t>
  </si>
  <si>
    <t>Javier Tong, Chef</t>
  </si>
  <si>
    <t>Aprobado</t>
  </si>
  <si>
    <t>Esteban Cartin, Gerente de Manufactura</t>
  </si>
  <si>
    <t>AREA QUE PRODUCE:</t>
  </si>
  <si>
    <t>Premezclas</t>
  </si>
  <si>
    <t xml:space="preserve">AREA QUE EMPACA: </t>
  </si>
  <si>
    <t xml:space="preserve"># Código </t>
  </si>
  <si>
    <t># Codigo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</si>
  <si>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</si>
  <si>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</si>
  <si>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</si>
  <si>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</si>
  <si>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</si>
  <si>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</si>
  <si>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</si>
  <si>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</si>
  <si>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MP10491</t>
  </si>
  <si>
    <t>EASY VAINILLA BC</t>
  </si>
  <si>
    <t>Puratos</t>
  </si>
  <si>
    <t>g</t>
  </si>
  <si>
    <t>510301</t>
  </si>
  <si>
    <t>MP10074</t>
  </si>
  <si>
    <t>AZUCAR BLANCO INDUSTRIAL (SACO:50 K)</t>
  </si>
  <si>
    <t>Layca</t>
  </si>
  <si>
    <t>11200072</t>
  </si>
  <si>
    <t>MP10478</t>
  </si>
  <si>
    <t>HARINA SILVER CAKE (SACO: 25K)</t>
  </si>
  <si>
    <t>Fhacasa</t>
  </si>
  <si>
    <t>0510107</t>
  </si>
  <si>
    <t>MP10036</t>
  </si>
  <si>
    <t xml:space="preserve">Harina Harisol Winter </t>
  </si>
  <si>
    <t>1212410</t>
  </si>
  <si>
    <t>MP10008</t>
  </si>
  <si>
    <t>PRESERVANTE 1047S (PAQ=5 KILO)</t>
  </si>
  <si>
    <t>Mayca</t>
  </si>
  <si>
    <t>MP10304</t>
  </si>
  <si>
    <t>POLVO HORNEAR FLEISHMAN (PAQ:2.5 K)</t>
  </si>
  <si>
    <t>Fleishman</t>
  </si>
  <si>
    <t>1950708</t>
  </si>
  <si>
    <t>EM10013</t>
  </si>
  <si>
    <t>BOLSA 17x25 TRANSP KILO</t>
  </si>
  <si>
    <t>ud</t>
  </si>
  <si>
    <t>EM10258</t>
  </si>
  <si>
    <t>BOLSA TRANSP 20x30x2000</t>
  </si>
  <si>
    <t>0702123</t>
  </si>
  <si>
    <t>EM10011</t>
  </si>
  <si>
    <t>ETIQUETA BLANCA 2 5/8X1 15/16 (UND)</t>
  </si>
  <si>
    <t>EM10037</t>
  </si>
  <si>
    <t>BOLSA 8x12 TRANSPARENTE KILO</t>
  </si>
  <si>
    <t>EM10133</t>
  </si>
  <si>
    <t>ETIQUETA ROJA LETRA ALERJENO (UND)</t>
  </si>
  <si>
    <t>Unidad</t>
  </si>
  <si>
    <t>PESO TOTAL OBTENIDO</t>
  </si>
  <si>
    <t>TIEMPO TOTAL DE PREPARACION</t>
  </si>
  <si>
    <t>min</t>
  </si>
  <si>
    <t>CANTIDAD DE PORCIONES OBTENIDAS</t>
  </si>
  <si>
    <t>tanda</t>
  </si>
  <si>
    <t>PESO DE CADA PORCIÓN</t>
  </si>
  <si>
    <t>MERMA</t>
  </si>
  <si>
    <t>PROCEDIMIENTO DE PREPARACION DE LA  RECETA</t>
  </si>
  <si>
    <t>1.- En una bolsa 20x30 empacar el nucleo easy con el harina. En una bolsa 17x25 empacar el azucar, y etiquetar.</t>
  </si>
  <si>
    <t>2.- En la otra bolsa 8x12 empacar el preservante, polvo de hornear. Colocar en la misma bolsa del harina.</t>
  </si>
  <si>
    <t>Control de cambios</t>
  </si>
  <si>
    <t>2, Actualizacion de procedimiento y de bolsas</t>
  </si>
  <si>
    <t>ESP-RE-BAF-118</t>
  </si>
  <si>
    <t>907000286(SE00437) Batido Easy Vainilla BC</t>
  </si>
  <si>
    <t>Batidos</t>
  </si>
  <si>
    <t>SE00436</t>
  </si>
  <si>
    <t>PREMEZCLA EASY VAINILLA BC</t>
  </si>
  <si>
    <t>FAS</t>
  </si>
  <si>
    <t>1210482</t>
  </si>
  <si>
    <t>MP10005</t>
  </si>
  <si>
    <t>HUEVO LIQUIDO ESPECIAL INNOV (CAJA:10 K)</t>
  </si>
  <si>
    <t>INNOVO</t>
  </si>
  <si>
    <t>10415</t>
  </si>
  <si>
    <t>AGUA POTABLE (PLANTA)</t>
  </si>
  <si>
    <t>MP10002</t>
  </si>
  <si>
    <t>ACEITE CAPULLO RBD (UND:17 L)</t>
  </si>
  <si>
    <t>CAPULLO</t>
  </si>
  <si>
    <t>1.- Agregar el huevo y la mitad del agua con los secos, batir 1 minuto a velocidad 1, luego 2 minutos en 2.</t>
  </si>
  <si>
    <t>2.- Agregar la otra mitad del agua y el aceite y batir por 2 minutos en velocidad 2.</t>
  </si>
  <si>
    <t>3.- Dosificar.</t>
  </si>
  <si>
    <t>CONTROL DE CAMBIOS</t>
  </si>
  <si>
    <t>Revision #2: Actualizacion del procedimiento.</t>
  </si>
  <si>
    <t>ESP-RE-BAF-021</t>
  </si>
  <si>
    <t xml:space="preserve"> SE00624 Rosquete easy vainilla BC 300g</t>
  </si>
  <si>
    <t>Esteban Cartin, Gte Manufactura</t>
  </si>
  <si>
    <t># Código Netsuite</t>
  </si>
  <si>
    <t>Ensamble</t>
  </si>
  <si>
    <t>907000286</t>
  </si>
  <si>
    <t>SE00437</t>
  </si>
  <si>
    <t>BATIDO EASY VAINILLA BC</t>
  </si>
  <si>
    <t>MEZCLA P/ENGRASE MOLDES KILO</t>
  </si>
  <si>
    <t>Decoración</t>
  </si>
  <si>
    <t>Empaque</t>
  </si>
  <si>
    <t>EM10004</t>
  </si>
  <si>
    <t>ETIQ.FECHA VENCIMIENTO BLANCO (ROLLO)</t>
  </si>
  <si>
    <t>ETIPLAST</t>
  </si>
  <si>
    <t>AS00028</t>
  </si>
  <si>
    <t>BOLSA TRANSPARENTE 56X96X1.80 KILO</t>
  </si>
  <si>
    <t>PLASTICOS P</t>
  </si>
  <si>
    <t/>
  </si>
  <si>
    <t>Tiempo de Horneo:</t>
  </si>
  <si>
    <t>Horno:</t>
  </si>
  <si>
    <t>Temperatura de Horneo:</t>
  </si>
  <si>
    <t>Otros</t>
  </si>
  <si>
    <t>1.- Dosificar en moldes engrasados 300g de mezcla.</t>
  </si>
  <si>
    <t>2.- Precalnetar Hornear hasta llegar a 260°C. Hornear entre 22 a 26 min en el Dicte a 220°C,</t>
  </si>
  <si>
    <t>3.- Enfriar, desmoldar y empacar 12 unidades por lata, cubrir con bolsa plastica. Etiqueta nombre y fecha.</t>
  </si>
  <si>
    <t xml:space="preserve">2, Correccion horneo: Precalentado, temperatura y tiempo.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</si>
  <si>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</si>
  <si>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</si>
  <si>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</si>
  <si>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</si>
  <si>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</si>
  <si>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</si>
  <si>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</si>
  <si>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</si>
  <si>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</si>
  <si>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</si>
  <si>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</si>
  <si>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</si>
  <si>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</si>
  <si>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</si>
  <si>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Gramos</t>
  </si>
  <si>
    <t>902000019</t>
  </si>
  <si>
    <t>EMPAQUE</t>
  </si>
  <si>
    <t>0702007</t>
  </si>
  <si>
    <t>1950928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</si>
  <si>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</si>
  <si>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</si>
  <si>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</si>
  <si>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</si>
  <si>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</si>
  <si>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</si>
  <si>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</si>
  <si>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</si>
  <si>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</si>
  <si>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</si>
  <si>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</si>
  <si>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</si>
  <si>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</si>
  <si>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</si>
  <si>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</si>
  <si>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</si>
  <si>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</si>
  <si>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</si>
  <si>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</si>
  <si>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</si>
  <si>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</si>
  <si>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</si>
  <si>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</si>
  <si>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</si>
  <si>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</si>
  <si>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</si>
  <si>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</si>
  <si>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</si>
  <si>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</si>
  <si>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</si>
  <si>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</si>
  <si>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</si>
  <si>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</si>
  <si>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</si>
  <si>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</si>
  <si>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</si>
  <si>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</si>
  <si>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Torta Fiestera Walmart ambiente</t>
  </si>
  <si>
    <t>Juan Pablo Brenes , chef</t>
  </si>
  <si>
    <t>DECORACIÓN</t>
  </si>
  <si>
    <t xml:space="preserve">DECORACIÓN </t>
  </si>
  <si>
    <t>SE00454</t>
  </si>
  <si>
    <t>ROSQUETE EASY VAINILLA BC 350 G</t>
  </si>
  <si>
    <t>1 1/2 ud</t>
  </si>
  <si>
    <t>SE00032</t>
  </si>
  <si>
    <t>CREMA DULCE LECHE KILO</t>
  </si>
  <si>
    <t>1/2 taza por capa</t>
  </si>
  <si>
    <t>DECORACION</t>
  </si>
  <si>
    <t>SE00010</t>
  </si>
  <si>
    <t>CREMA CHANTILLY BLANCA (SPOON-IND)</t>
  </si>
  <si>
    <t>CREMA NARANJA BUCCA 20000G</t>
  </si>
  <si>
    <t>SE00457</t>
  </si>
  <si>
    <t xml:space="preserve">Crema Chantilly Verde Electrico </t>
  </si>
  <si>
    <t>SE00066</t>
  </si>
  <si>
    <t>CREMA CHANTILLY MORADO BARNIE KILO</t>
  </si>
  <si>
    <t>SE00392</t>
  </si>
  <si>
    <t xml:space="preserve">CHOCOLATE RALLADO OSCURO </t>
  </si>
  <si>
    <t>EM10009</t>
  </si>
  <si>
    <t xml:space="preserve">Quequera Red  Base/Domo 10 </t>
  </si>
  <si>
    <t>Export pmt</t>
  </si>
  <si>
    <t>EM10084</t>
  </si>
  <si>
    <t xml:space="preserve">Orla # 10 Bucca </t>
  </si>
  <si>
    <t>EM10005</t>
  </si>
  <si>
    <t xml:space="preserve">ETIQ.FECHA VENCIMIENTO </t>
  </si>
  <si>
    <t>Etiplast</t>
  </si>
  <si>
    <t>EM10002</t>
  </si>
  <si>
    <t>ETIQ.BLANCA 1 1/4 * 3/4</t>
  </si>
  <si>
    <t>Cemusa</t>
  </si>
  <si>
    <t>ETIQUETA BLANCA 2 5/8X1 15/16 PRE BLANCA</t>
  </si>
  <si>
    <t>EM10248</t>
  </si>
  <si>
    <t>CINTA ADHESIVA TRANSPARENTE 2*100</t>
  </si>
  <si>
    <t>cm</t>
  </si>
  <si>
    <t>1.- Partir los rosquetes por la mitad y rellenar dos capas con 1/2 taza de crema dulce de leche.</t>
  </si>
  <si>
    <t>2.- Encremar con crema chantilly blanca de forma lisa.</t>
  </si>
  <si>
    <t>3.- Con boquilla 2C hacer al borde un circulo de conchas con la crema naranja, luego la verde y luego la morada barnie, al centro colocar el chocolate rallado oscuro.</t>
  </si>
  <si>
    <t>4.- Tapar y etiquetar</t>
  </si>
  <si>
    <t xml:space="preserve">CONTROL DE CAMBIOS </t>
  </si>
  <si>
    <t xml:space="preserve">ESP-RE-DES-036 </t>
  </si>
  <si>
    <t>10</t>
  </si>
  <si>
    <t>Crema Blanca Spoon (20800g)   (95717(SE00010))</t>
  </si>
  <si>
    <t>ICG</t>
  </si>
  <si>
    <t>MP10047</t>
  </si>
  <si>
    <t>BETTERCREME SUPREMO (UND:4 K)</t>
  </si>
  <si>
    <t>Richs</t>
  </si>
  <si>
    <t>4 galones</t>
  </si>
  <si>
    <t>MP10048</t>
  </si>
  <si>
    <t>CREMA PRESTIGE GRAND (UND:4 K)</t>
  </si>
  <si>
    <t>1 galones</t>
  </si>
  <si>
    <t>AyA</t>
  </si>
  <si>
    <t>Aseal</t>
  </si>
  <si>
    <t>Etiplas</t>
  </si>
  <si>
    <t>Tanda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</si>
  <si>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</si>
  <si>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</si>
  <si>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</si>
  <si>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</si>
  <si>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</si>
  <si>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</si>
  <si>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9, Actuaizacion de codigos</t>
  </si>
  <si>
    <t>10, Actuaizacion de procedimiento</t>
  </si>
  <si>
    <t>ESP-RE-DES-080</t>
  </si>
  <si>
    <t>04</t>
  </si>
  <si>
    <t>Crema Verde Electrico 905000063(SE00457)</t>
  </si>
  <si>
    <t>24/04/2023</t>
  </si>
  <si>
    <t>CREMA CHANTILLY BLANCA SPOON-IND KILO</t>
  </si>
  <si>
    <t>MP10152</t>
  </si>
  <si>
    <t>COLORANTE GEL ELECTRIC GREEN (UD=130ml)</t>
  </si>
  <si>
    <t>Master Pack</t>
  </si>
  <si>
    <t>MP10156</t>
  </si>
  <si>
    <t>COLORANTE GEL LEMON YELLOW UND 130 ML</t>
  </si>
  <si>
    <t>Minutos</t>
  </si>
  <si>
    <t>1, Mezclar la crema con los colorantes, hatsa homogeneo</t>
  </si>
  <si>
    <t>2.- Mantener en refrigeración.</t>
  </si>
  <si>
    <t>2: Se agrega el codigo del producto.</t>
  </si>
  <si>
    <t>3: Actualizacion de colorantes y codigos y cantidades.</t>
  </si>
  <si>
    <t>4: Se Elimina la crema supremo, la crema prestige, el preservante, el agua. Se agrega el subproducto crema chantilly Spoon</t>
  </si>
  <si>
    <t xml:space="preserve">ESP-RE-DES-060 </t>
  </si>
  <si>
    <t>07</t>
  </si>
  <si>
    <t>ESP-RE-DES-060  Crema naranja Bucca 905000060 SE00401</t>
  </si>
  <si>
    <t>Juan Pablo Brenes, Chef</t>
  </si>
  <si>
    <t>Esteban Cartin. Gte de Manufactura</t>
  </si>
  <si>
    <t>0310148</t>
  </si>
  <si>
    <t>BETTERCREME SUPREMO 4K</t>
  </si>
  <si>
    <t>Rich´s</t>
  </si>
  <si>
    <t>2 Galones</t>
  </si>
  <si>
    <t>11400031</t>
  </si>
  <si>
    <t>CREMA PRESTIGE GRAND 4 KILOS</t>
  </si>
  <si>
    <t>3 Galones</t>
  </si>
  <si>
    <t>AGUA</t>
  </si>
  <si>
    <t>PRESERVANTE 1047S KILO</t>
  </si>
  <si>
    <t>10400007</t>
  </si>
  <si>
    <t>MP10153</t>
  </si>
  <si>
    <t>COLORANTE GEL ELECTRIC ORANGE (UND=4.5 OZ)</t>
  </si>
  <si>
    <t>American Colors</t>
  </si>
  <si>
    <t>0702012</t>
  </si>
  <si>
    <t>ETIQ.FECHA VENCIMIENTO VERDE</t>
  </si>
  <si>
    <t>1.- Colocar todos los ingredientes (preservante disuelto con agua) en la top cream, Batir por 10 a 12 minutos, hasta que se obtenga la consistencia deseada.</t>
  </si>
  <si>
    <t>2.- Colocar en una tina, etiquetar con fecha de producción.</t>
  </si>
  <si>
    <t>Revisión #6: Actualización de codigo interno.</t>
  </si>
  <si>
    <t xml:space="preserve">Revision #7 : Codigos Netsuite </t>
  </si>
  <si>
    <t>ESP-RE-PRES-132</t>
  </si>
  <si>
    <t>906000138(SE00443) Premezcla Batido Nucleo Vainilla  Dawn</t>
  </si>
  <si>
    <t>Javier Tong, chef</t>
  </si>
  <si>
    <t>Premezcla</t>
  </si>
  <si>
    <t>LAICA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</si>
  <si>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</si>
  <si>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</si>
  <si>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</si>
  <si>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</si>
  <si>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</si>
  <si>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</si>
  <si>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</si>
  <si>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</si>
  <si>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</si>
  <si>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</si>
  <si>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</si>
  <si>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</si>
  <si>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</si>
  <si>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</si>
  <si>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</si>
  <si>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</si>
  <si>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</si>
  <si>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1, En una bolsa 17x25 empacar el azucar. Etiquetar</t>
  </si>
  <si>
    <t>2, En una bolsa 17x25 empacar las harinas, concentrado,cmc, leche en polvo y la goma. Etiquetar</t>
  </si>
  <si>
    <t>3, En una bolsa 8*12 pesar el preservante y el bicarbonato (se debe pesar justo antes de su uso)</t>
  </si>
  <si>
    <t>Revision #2: Ajuste en la cantidad de goma xantana y cmc</t>
  </si>
  <si>
    <t xml:space="preserve">ESP-RE-BAS-169 </t>
  </si>
  <si>
    <t>907000306(SE00444) Batido Nucleo vainilla Dawn</t>
  </si>
  <si>
    <t>27/01/2023</t>
  </si>
  <si>
    <t>SE00443</t>
  </si>
  <si>
    <t>PREMEZCLA BATIDO NUCLEO VAINILLA DAWN</t>
  </si>
  <si>
    <t xml:space="preserve">HUEVO ENTERO PASTERI INNOVO ( CAJA: 10 K) </t>
  </si>
  <si>
    <t>MP10315</t>
  </si>
  <si>
    <t>PRESERVANTE MIXTO (UND:17 K)</t>
  </si>
  <si>
    <t>PURATOS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</si>
  <si>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</si>
  <si>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</si>
  <si>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</si>
  <si>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7 min en velocidad 3. con globo</t>
  </si>
  <si>
    <t>2, Se reduce la cantidad de Mixo.</t>
  </si>
  <si>
    <t xml:space="preserve">ESP-RE-BAS-178 </t>
  </si>
  <si>
    <t>907000310(SE00448) Rosquete nucleo vainilla Dawn Redondo 320g</t>
  </si>
  <si>
    <t>23/03/2023</t>
  </si>
  <si>
    <t>Esteban Cartín. Gte de Manufactura</t>
  </si>
  <si>
    <t>SE00444</t>
  </si>
  <si>
    <t>BATIDO NUCLEO VAINILLA DAWN</t>
  </si>
  <si>
    <t>Plasticos P</t>
  </si>
  <si>
    <t>0702069</t>
  </si>
  <si>
    <t>ETIQ.BLANCA 1 1/4 * 3/4 (UND)</t>
  </si>
  <si>
    <t>Min</t>
  </si>
  <si>
    <t>1.- Pesar 320g de mezcla en los moldes previamente engrasados.</t>
  </si>
  <si>
    <t>2.- Hornear por Dicte 1 o 2 a 175°C por 50 min</t>
  </si>
  <si>
    <t>3.- Enfriar, desmoldar, colocar 12 rosquetes por lata, etiquetar con nombre y fecha de producción.</t>
  </si>
  <si>
    <t>2, Cambio de horneo</t>
  </si>
  <si>
    <t xml:space="preserve">ESP-RE-DES-032 </t>
  </si>
  <si>
    <t>Procesado de Borona (1206g) 910000011(SE00071)</t>
  </si>
  <si>
    <t>907000310</t>
  </si>
  <si>
    <t>SE00448</t>
  </si>
  <si>
    <t>Rosquete Vainilla Dawn 320g</t>
  </si>
  <si>
    <t>EM10252</t>
  </si>
  <si>
    <t>Plástico Autoaderible 1/ 12*2000</t>
  </si>
  <si>
    <t>BELCA</t>
  </si>
  <si>
    <t>CEMUSA</t>
  </si>
  <si>
    <t>25 min</t>
  </si>
  <si>
    <t>20 min</t>
  </si>
  <si>
    <t>Marshall</t>
  </si>
  <si>
    <t>Vulcan</t>
  </si>
  <si>
    <t>175°C</t>
  </si>
  <si>
    <t>300°F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</si>
  <si>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Colocar los rosquetes en una bandeja limpia, en pedazos y bien separados unos de otros</t>
    </r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</si>
  <si>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Hornear por 25 minutos a 175°C en el Marshall o 20 minutos a 300°F en el Vulcan. Sacar y enfriar</t>
    </r>
  </si>
  <si>
    <r>
      <rPr>
        <b/>
        <sz val="11"/>
        <rFont val="Times New Roman"/>
        <family val="1"/>
      </rPr>
      <t xml:space="preserve">3-. </t>
    </r>
    <r>
      <rPr>
        <sz val="11"/>
        <rFont val="Times New Roman"/>
        <family val="1"/>
      </rPr>
      <t>Colocar el producto en el procesador y procesar por impulsos hasta formar la borona o deshacer el rosquete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</si>
  <si>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Colocar en baldes sellados y sanitizados. No procesar grandes cantidades para evitar la formación de moho</t>
    </r>
  </si>
  <si>
    <t>Versión #02 : Se actualiza formato, receta, tiempos y temperaturas de horneos</t>
  </si>
  <si>
    <t>Version #3: Se cambian los rosquetes.</t>
  </si>
  <si>
    <t>ESP-RE-DEF-077</t>
  </si>
  <si>
    <t>905000101(SE00066) Crema  Chantilly Morado Barnie</t>
  </si>
  <si>
    <t>Decoracion</t>
  </si>
  <si>
    <t>MP10155</t>
  </si>
  <si>
    <t>COLORANTE EXOTIC PURPLE</t>
  </si>
  <si>
    <t>10400011</t>
  </si>
  <si>
    <t>MP10149</t>
  </si>
  <si>
    <t>COLORANTE ARTIFICIAL ROSADO F225 (LITRO)</t>
  </si>
  <si>
    <t>Azteck</t>
  </si>
  <si>
    <t>2, Se cambia el colorante rosado y se aumenta cantidad</t>
  </si>
  <si>
    <t xml:space="preserve">3: Se aumenta el colorante rosado. </t>
  </si>
  <si>
    <t xml:space="preserve">ESP-RE-DES-040 </t>
  </si>
  <si>
    <t>Crema de Dulce de Leche(24500g) 96344(SE00032)</t>
  </si>
  <si>
    <t>Jeffry Rodriguez, Gerente de Manufactura</t>
  </si>
  <si>
    <t>MP10165</t>
  </si>
  <si>
    <t>CREMA BETTER DULCE LECHE RICH (UND:4 K)</t>
  </si>
  <si>
    <t>Rich</t>
  </si>
  <si>
    <t>4 Galones</t>
  </si>
  <si>
    <t>Spoon</t>
  </si>
  <si>
    <t>1.- Colocar la crema de dulce de leche y la prestige en la top cream con el agua y preservante.</t>
  </si>
  <si>
    <t>2.- Batir por 12 minutos, mantener en refrigeracin a 5°C.</t>
  </si>
  <si>
    <t>4, Actualizacion de codigos</t>
  </si>
  <si>
    <t>Rosquete easy vainilla BC 300g</t>
  </si>
  <si>
    <t xml:space="preserve">UND </t>
  </si>
  <si>
    <t>NUEVO</t>
  </si>
  <si>
    <t>96344</t>
  </si>
  <si>
    <t>95717</t>
  </si>
  <si>
    <t>Gramo</t>
  </si>
  <si>
    <t>905000060</t>
  </si>
  <si>
    <t>905000063</t>
  </si>
  <si>
    <t>905000101</t>
  </si>
  <si>
    <t>Borona P/Decorar</t>
  </si>
  <si>
    <t>910000011</t>
  </si>
  <si>
    <t>121603</t>
  </si>
  <si>
    <t>UND</t>
  </si>
  <si>
    <t>1952875</t>
  </si>
  <si>
    <t>703020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</si>
</sst>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65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9.85"/>
      <color indexed="8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4"/>
      <name val="Times New Roman"/>
      <family val="1"/>
    </font>
    <font>
      <b/>
      <sz val="11"/>
      <color rgb="FFFF0000"/>
      <name val="Arial"/>
      <family val="2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sz val="12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7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" fillId="0" borderId="0"/>
  </cellStyleXfs>
  <cellXfs count="849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0" borderId="10" xfId="0" applyNumberFormat="1" applyFont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 wrapText="1"/>
    </xf>
    <xf numFmtId="1" fontId="2" fillId="0" borderId="8" xfId="0" applyNumberFormat="1" applyFont="1" applyBorder="1" applyAlignment="1">
      <alignment horizontal="center" wrapText="1"/>
    </xf>
    <xf numFmtId="0" fontId="3" fillId="0" borderId="0" xfId="3"/>
    <xf numFmtId="0" fontId="2" fillId="5" borderId="10" xfId="0" applyFont="1" applyFill="1" applyBorder="1" applyAlignment="1">
      <alignment horizontal="center"/>
    </xf>
    <xf numFmtId="1" fontId="2" fillId="5" borderId="11" xfId="3" applyNumberFormat="1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/>
    </xf>
    <xf numFmtId="0" fontId="1" fillId="5" borderId="11" xfId="0" applyFont="1" applyFill="1" applyBorder="1"/>
    <xf numFmtId="0" fontId="1" fillId="5" borderId="12" xfId="0" applyFont="1" applyFill="1" applyBorder="1" applyAlignment="1">
      <alignment horizontal="center"/>
    </xf>
    <xf numFmtId="0" fontId="1" fillId="5" borderId="4" xfId="0" applyFont="1" applyFill="1" applyBorder="1"/>
    <xf numFmtId="1" fontId="2" fillId="5" borderId="8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/>
    </xf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2" fontId="2" fillId="5" borderId="11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4" fillId="4" borderId="29" xfId="0" applyFont="1" applyFill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8" fillId="3" borderId="31" xfId="4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right"/>
    </xf>
    <xf numFmtId="0" fontId="1" fillId="5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" fontId="2" fillId="7" borderId="14" xfId="0" applyNumberFormat="1" applyFont="1" applyFill="1" applyBorder="1" applyAlignment="1">
      <alignment horizontal="center"/>
    </xf>
    <xf numFmtId="0" fontId="6" fillId="5" borderId="11" xfId="0" applyFont="1" applyFill="1" applyBorder="1"/>
    <xf numFmtId="0" fontId="13" fillId="0" borderId="12" xfId="0" applyFont="1" applyBorder="1" applyAlignment="1">
      <alignment horizontal="center"/>
    </xf>
    <xf numFmtId="0" fontId="3" fillId="0" borderId="11" xfId="0" applyFont="1" applyBorder="1"/>
    <xf numFmtId="0" fontId="13" fillId="0" borderId="11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5" fillId="0" borderId="11" xfId="0" applyFont="1" applyBorder="1" applyAlignment="1">
      <alignment horizontal="left"/>
    </xf>
    <xf numFmtId="0" fontId="14" fillId="0" borderId="21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4" fillId="0" borderId="11" xfId="0" applyFont="1" applyBorder="1" applyAlignment="1">
      <alignment horizontal="center"/>
    </xf>
    <xf numFmtId="0" fontId="14" fillId="0" borderId="11" xfId="0" applyFont="1" applyBorder="1"/>
    <xf numFmtId="0" fontId="13" fillId="0" borderId="21" xfId="0" applyFont="1" applyBorder="1" applyAlignment="1">
      <alignment horizontal="center"/>
    </xf>
    <xf numFmtId="0" fontId="14" fillId="5" borderId="0" xfId="0" applyFont="1" applyFill="1" applyAlignment="1">
      <alignment vertical="center"/>
    </xf>
    <xf numFmtId="0" fontId="15" fillId="8" borderId="11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3" fontId="15" fillId="0" borderId="11" xfId="5" applyFont="1" applyFill="1" applyBorder="1" applyAlignment="1">
      <alignment horizontal="center" vertical="center"/>
    </xf>
    <xf numFmtId="43" fontId="15" fillId="0" borderId="0" xfId="5" applyFont="1" applyFill="1" applyBorder="1" applyAlignment="1">
      <alignment horizontal="center" vertical="center"/>
    </xf>
    <xf numFmtId="43" fontId="18" fillId="0" borderId="0" xfId="5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 wrapText="1"/>
    </xf>
    <xf numFmtId="0" fontId="15" fillId="9" borderId="47" xfId="0" applyFont="1" applyFill="1" applyBorder="1" applyAlignment="1">
      <alignment horizontal="center" vertical="center"/>
    </xf>
    <xf numFmtId="0" fontId="15" fillId="9" borderId="48" xfId="0" applyFont="1" applyFill="1" applyBorder="1" applyAlignment="1">
      <alignment horizontal="center" vertical="center"/>
    </xf>
    <xf numFmtId="0" fontId="15" fillId="9" borderId="48" xfId="0" applyFont="1" applyFill="1" applyBorder="1" applyAlignment="1">
      <alignment horizontal="center" vertical="center" wrapText="1"/>
    </xf>
    <xf numFmtId="0" fontId="15" fillId="9" borderId="49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/>
    </xf>
    <xf numFmtId="4" fontId="22" fillId="0" borderId="0" xfId="6" applyNumberFormat="1" applyFont="1" applyFill="1" applyAlignment="1">
      <alignment horizontal="center" vertical="center"/>
    </xf>
    <xf numFmtId="4" fontId="15" fillId="0" borderId="0" xfId="6" applyNumberFormat="1" applyFont="1" applyFill="1" applyAlignment="1">
      <alignment horizontal="center" vertical="center"/>
    </xf>
    <xf numFmtId="10" fontId="15" fillId="0" borderId="0" xfId="7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17" fillId="0" borderId="0" xfId="7" applyNumberFormat="1" applyFont="1" applyFill="1" applyAlignment="1">
      <alignment vertical="center"/>
    </xf>
    <xf numFmtId="0" fontId="14" fillId="0" borderId="0" xfId="0" applyFont="1"/>
    <xf numFmtId="49" fontId="15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5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5" applyNumberFormat="1" applyFont="1" applyFill="1" applyAlignment="1">
      <alignment vertical="center"/>
    </xf>
    <xf numFmtId="43" fontId="24" fillId="0" borderId="0" xfId="5" applyFont="1" applyFill="1" applyAlignment="1">
      <alignment horizontal="center" vertical="center"/>
    </xf>
    <xf numFmtId="10" fontId="17" fillId="9" borderId="50" xfId="7" applyNumberFormat="1" applyFont="1" applyFill="1" applyBorder="1" applyAlignment="1">
      <alignment vertical="center"/>
    </xf>
    <xf numFmtId="0" fontId="14" fillId="9" borderId="45" xfId="0" applyFont="1" applyFill="1" applyBorder="1" applyAlignment="1">
      <alignment vertical="center"/>
    </xf>
    <xf numFmtId="0" fontId="14" fillId="9" borderId="50" xfId="0" applyFont="1" applyFill="1" applyBorder="1" applyAlignment="1">
      <alignment vertical="center"/>
    </xf>
    <xf numFmtId="43" fontId="24" fillId="9" borderId="51" xfId="5" applyFont="1" applyFill="1" applyBorder="1" applyAlignment="1">
      <alignment horizontal="center" vertical="center"/>
    </xf>
    <xf numFmtId="43" fontId="26" fillId="0" borderId="0" xfId="5" applyFont="1" applyFill="1" applyBorder="1" applyAlignment="1">
      <alignment horizontal="right"/>
    </xf>
    <xf numFmtId="0" fontId="14" fillId="9" borderId="51" xfId="0" applyFont="1" applyFill="1" applyBorder="1" applyAlignment="1">
      <alignment vertical="center"/>
    </xf>
    <xf numFmtId="10" fontId="17" fillId="9" borderId="51" xfId="7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/>
    <xf numFmtId="9" fontId="25" fillId="0" borderId="0" xfId="0" applyNumberFormat="1" applyFont="1"/>
    <xf numFmtId="9" fontId="27" fillId="0" borderId="0" xfId="7" applyFont="1" applyFill="1" applyAlignment="1">
      <alignment horizontal="center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24" fillId="0" borderId="0" xfId="6" applyNumberFormat="1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9" fillId="0" borderId="16" xfId="0" applyFont="1" applyBorder="1" applyAlignment="1">
      <alignment horizontal="right"/>
    </xf>
    <xf numFmtId="43" fontId="30" fillId="6" borderId="52" xfId="5" applyFont="1" applyFill="1" applyBorder="1" applyAlignment="1">
      <alignment horizontal="right"/>
    </xf>
    <xf numFmtId="43" fontId="30" fillId="0" borderId="0" xfId="5" applyFont="1" applyFill="1" applyBorder="1" applyAlignment="1">
      <alignment horizontal="right"/>
    </xf>
    <xf numFmtId="43" fontId="15" fillId="0" borderId="11" xfId="5" applyFont="1" applyFill="1" applyBorder="1" applyAlignment="1">
      <alignment vertical="center"/>
    </xf>
    <xf numFmtId="0" fontId="31" fillId="0" borderId="0" xfId="0" applyFont="1" applyAlignment="1">
      <alignment horizontal="left" vertical="center"/>
    </xf>
    <xf numFmtId="4" fontId="24" fillId="0" borderId="0" xfId="6" applyNumberFormat="1" applyFont="1" applyFill="1" applyAlignment="1">
      <alignment horizontal="center" vertical="center"/>
    </xf>
    <xf numFmtId="10" fontId="32" fillId="0" borderId="0" xfId="7" applyNumberFormat="1" applyFont="1" applyFill="1" applyAlignment="1">
      <alignment horizontal="right"/>
    </xf>
    <xf numFmtId="169" fontId="15" fillId="9" borderId="11" xfId="5" applyNumberFormat="1" applyFont="1" applyFill="1" applyBorder="1" applyAlignment="1">
      <alignment vertical="center"/>
    </xf>
    <xf numFmtId="4" fontId="14" fillId="0" borderId="0" xfId="0" applyNumberFormat="1" applyFont="1" applyAlignment="1">
      <alignment horizontal="center" vertical="center"/>
    </xf>
    <xf numFmtId="43" fontId="15" fillId="10" borderId="11" xfId="5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7" fillId="9" borderId="53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2" fontId="32" fillId="0" borderId="0" xfId="5" applyNumberFormat="1" applyFont="1" applyFill="1" applyBorder="1" applyAlignment="1">
      <alignment horizontal="center"/>
    </xf>
    <xf numFmtId="2" fontId="29" fillId="0" borderId="0" xfId="5" applyNumberFormat="1" applyFont="1" applyFill="1" applyBorder="1" applyAlignment="1">
      <alignment horizontal="center"/>
    </xf>
    <xf numFmtId="0" fontId="14" fillId="9" borderId="53" xfId="0" applyFont="1" applyFill="1" applyBorder="1" applyAlignment="1">
      <alignment vertical="center"/>
    </xf>
    <xf numFmtId="10" fontId="14" fillId="0" borderId="0" xfId="7" applyNumberFormat="1" applyFont="1" applyFill="1" applyAlignment="1">
      <alignment vertical="center"/>
    </xf>
    <xf numFmtId="4" fontId="14" fillId="0" borderId="0" xfId="5" applyNumberFormat="1" applyFont="1" applyFill="1" applyAlignment="1">
      <alignment vertical="center"/>
    </xf>
    <xf numFmtId="43" fontId="30" fillId="9" borderId="45" xfId="5" applyFont="1" applyFill="1" applyBorder="1" applyAlignment="1">
      <alignment horizontal="right"/>
    </xf>
    <xf numFmtId="0" fontId="15" fillId="9" borderId="46" xfId="0" applyFont="1" applyFill="1" applyBorder="1" applyAlignment="1">
      <alignment horizontal="right" vertical="center"/>
    </xf>
    <xf numFmtId="10" fontId="36" fillId="0" borderId="0" xfId="5" applyNumberFormat="1" applyFont="1" applyFill="1" applyAlignment="1">
      <alignment vertical="center"/>
    </xf>
    <xf numFmtId="10" fontId="17" fillId="0" borderId="0" xfId="7" applyNumberFormat="1" applyFont="1" applyFill="1" applyBorder="1" applyAlignment="1">
      <alignment vertical="center"/>
    </xf>
    <xf numFmtId="166" fontId="37" fillId="0" borderId="0" xfId="0" applyNumberFormat="1" applyFont="1" applyAlignment="1">
      <alignment horizontal="center" vertical="center"/>
    </xf>
    <xf numFmtId="0" fontId="14" fillId="5" borderId="52" xfId="0" applyFont="1" applyFill="1" applyBorder="1" applyAlignment="1">
      <alignment horizontal="center" vertical="center"/>
    </xf>
    <xf numFmtId="43" fontId="38" fillId="0" borderId="0" xfId="5" applyFont="1" applyFill="1" applyAlignment="1">
      <alignment vertical="center"/>
    </xf>
    <xf numFmtId="4" fontId="39" fillId="0" borderId="0" xfId="6" applyNumberFormat="1" applyFont="1" applyFill="1" applyAlignment="1">
      <alignment horizontal="center" vertical="center" wrapText="1"/>
    </xf>
    <xf numFmtId="9" fontId="14" fillId="0" borderId="0" xfId="5" applyNumberFormat="1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" fontId="15" fillId="12" borderId="52" xfId="5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43" fontId="40" fillId="0" borderId="0" xfId="5" applyFont="1" applyFill="1" applyAlignment="1">
      <alignment vertical="center"/>
    </xf>
    <xf numFmtId="9" fontId="40" fillId="0" borderId="0" xfId="5" applyNumberFormat="1" applyFont="1" applyFill="1" applyAlignment="1">
      <alignment vertical="center"/>
    </xf>
    <xf numFmtId="4" fontId="15" fillId="0" borderId="0" xfId="5" applyNumberFormat="1" applyFont="1" applyFill="1" applyAlignment="1">
      <alignment horizontal="center" vertical="center"/>
    </xf>
    <xf numFmtId="10" fontId="33" fillId="0" borderId="0" xfId="7" applyNumberFormat="1" applyFont="1" applyFill="1" applyAlignment="1">
      <alignment vertical="center"/>
    </xf>
    <xf numFmtId="43" fontId="33" fillId="0" borderId="0" xfId="5" applyFont="1" applyFill="1" applyBorder="1" applyAlignment="1">
      <alignment vertical="center"/>
    </xf>
    <xf numFmtId="4" fontId="14" fillId="0" borderId="0" xfId="0" applyNumberFormat="1" applyFont="1" applyAlignment="1">
      <alignment horizontal="center"/>
    </xf>
    <xf numFmtId="43" fontId="14" fillId="0" borderId="0" xfId="5" applyFont="1" applyFill="1" applyBorder="1"/>
    <xf numFmtId="10" fontId="33" fillId="0" borderId="0" xfId="7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43" fontId="14" fillId="0" borderId="0" xfId="5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6" fontId="15" fillId="0" borderId="0" xfId="0" applyNumberFormat="1" applyFont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3" fillId="7" borderId="12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12" fillId="7" borderId="11" xfId="0" applyFont="1" applyFill="1" applyBorder="1"/>
    <xf numFmtId="0" fontId="13" fillId="7" borderId="12" xfId="0" applyFont="1" applyFill="1" applyBorder="1" applyAlignment="1">
      <alignment horizontal="center"/>
    </xf>
    <xf numFmtId="0" fontId="14" fillId="7" borderId="8" xfId="0" applyFont="1" applyFill="1" applyBorder="1"/>
    <xf numFmtId="0" fontId="2" fillId="7" borderId="21" xfId="0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2" fillId="7" borderId="35" xfId="0" applyFont="1" applyFill="1" applyBorder="1" applyAlignment="1">
      <alignment horizontal="center"/>
    </xf>
    <xf numFmtId="1" fontId="4" fillId="7" borderId="8" xfId="0" applyNumberFormat="1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1" xfId="0" applyFont="1" applyFill="1" applyBorder="1"/>
    <xf numFmtId="0" fontId="3" fillId="13" borderId="0" xfId="0" applyFont="1" applyFill="1" applyAlignment="1">
      <alignment horizontal="center"/>
    </xf>
    <xf numFmtId="0" fontId="3" fillId="13" borderId="0" xfId="0" applyFont="1" applyFill="1"/>
    <xf numFmtId="0" fontId="0" fillId="0" borderId="0" xfId="0" applyAlignment="1">
      <alignment horizontal="center"/>
    </xf>
    <xf numFmtId="0" fontId="3" fillId="0" borderId="11" xfId="0" applyFont="1" applyBorder="1" applyAlignment="1">
      <alignment horizontal="center"/>
    </xf>
    <xf numFmtId="0" fontId="4" fillId="3" borderId="14" xfId="4" applyFont="1" applyFill="1" applyBorder="1" applyAlignment="1">
      <alignment horizontal="right"/>
    </xf>
    <xf numFmtId="0" fontId="2" fillId="3" borderId="13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0" fontId="15" fillId="0" borderId="0" xfId="2" applyNumberFormat="1" applyFont="1" applyFill="1" applyAlignment="1">
      <alignment vertical="center"/>
    </xf>
    <xf numFmtId="10" fontId="17" fillId="0" borderId="0" xfId="2" applyNumberFormat="1" applyFont="1" applyFill="1" applyAlignment="1">
      <alignment vertical="center"/>
    </xf>
    <xf numFmtId="10" fontId="17" fillId="9" borderId="50" xfId="2" applyNumberFormat="1" applyFont="1" applyFill="1" applyBorder="1" applyAlignment="1">
      <alignment vertical="center"/>
    </xf>
    <xf numFmtId="10" fontId="17" fillId="9" borderId="51" xfId="2" applyNumberFormat="1" applyFont="1" applyFill="1" applyBorder="1" applyAlignment="1">
      <alignment vertical="center"/>
    </xf>
    <xf numFmtId="9" fontId="27" fillId="0" borderId="0" xfId="2" applyFont="1" applyFill="1" applyAlignment="1">
      <alignment horizontal="center"/>
    </xf>
    <xf numFmtId="10" fontId="32" fillId="0" borderId="0" xfId="2" applyNumberFormat="1" applyFont="1" applyFill="1" applyAlignment="1">
      <alignment horizontal="right"/>
    </xf>
    <xf numFmtId="10" fontId="14" fillId="0" borderId="0" xfId="2" applyNumberFormat="1" applyFont="1" applyFill="1" applyAlignment="1">
      <alignment vertical="center"/>
    </xf>
    <xf numFmtId="10" fontId="17" fillId="0" borderId="0" xfId="2" applyNumberFormat="1" applyFont="1" applyFill="1" applyBorder="1" applyAlignment="1">
      <alignment vertical="center"/>
    </xf>
    <xf numFmtId="10" fontId="33" fillId="0" borderId="0" xfId="2" applyNumberFormat="1" applyFont="1" applyFill="1" applyAlignment="1">
      <alignment vertical="center"/>
    </xf>
    <xf numFmtId="10" fontId="33" fillId="0" borderId="0" xfId="2" applyNumberFormat="1" applyFont="1" applyFill="1" applyBorder="1" applyAlignment="1">
      <alignment vertical="center"/>
    </xf>
    <xf numFmtId="0" fontId="14" fillId="14" borderId="0" xfId="0" applyFont="1" applyFill="1" applyAlignment="1">
      <alignment vertical="center"/>
    </xf>
    <xf numFmtId="0" fontId="45" fillId="3" borderId="14" xfId="4" applyFont="1" applyFill="1" applyBorder="1" applyAlignment="1">
      <alignment horizontal="right"/>
    </xf>
    <xf numFmtId="0" fontId="3" fillId="3" borderId="13" xfId="4" applyFont="1" applyFill="1" applyBorder="1" applyAlignment="1">
      <alignment horizontal="center"/>
    </xf>
    <xf numFmtId="0" fontId="3" fillId="3" borderId="0" xfId="0" applyFont="1" applyFill="1"/>
    <xf numFmtId="0" fontId="45" fillId="3" borderId="11" xfId="4" applyFont="1" applyFill="1" applyBorder="1" applyAlignment="1">
      <alignment horizontal="right"/>
    </xf>
    <xf numFmtId="49" fontId="0" fillId="3" borderId="10" xfId="4" applyNumberFormat="1" applyFont="1" applyFill="1" applyBorder="1" applyAlignment="1">
      <alignment horizontal="center"/>
    </xf>
    <xf numFmtId="0" fontId="3" fillId="3" borderId="11" xfId="4" applyFont="1" applyFill="1" applyBorder="1" applyAlignment="1">
      <alignment horizontal="right"/>
    </xf>
    <xf numFmtId="0" fontId="3" fillId="3" borderId="2" xfId="4" applyFont="1" applyFill="1" applyBorder="1" applyAlignment="1">
      <alignment horizontal="right"/>
    </xf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right"/>
    </xf>
    <xf numFmtId="0" fontId="3" fillId="3" borderId="0" xfId="4" applyFont="1" applyFill="1" applyAlignment="1">
      <alignment horizontal="left"/>
    </xf>
    <xf numFmtId="0" fontId="45" fillId="3" borderId="0" xfId="4" applyFont="1" applyFill="1" applyAlignment="1">
      <alignment horizontal="right" vertical="top" wrapText="1"/>
    </xf>
    <xf numFmtId="14" fontId="3" fillId="3" borderId="0" xfId="4" applyNumberFormat="1" applyFont="1" applyFill="1" applyAlignment="1">
      <alignment horizontal="center" vertical="center" wrapText="1"/>
    </xf>
    <xf numFmtId="14" fontId="49" fillId="3" borderId="0" xfId="4" applyNumberFormat="1" applyFont="1" applyFill="1" applyAlignment="1">
      <alignment horizontal="center" vertical="center" wrapText="1"/>
    </xf>
    <xf numFmtId="0" fontId="45" fillId="4" borderId="13" xfId="0" applyFont="1" applyFill="1" applyBorder="1" applyAlignment="1">
      <alignment horizontal="center" vertical="center" wrapText="1"/>
    </xf>
    <xf numFmtId="1" fontId="45" fillId="4" borderId="28" xfId="0" applyNumberFormat="1" applyFont="1" applyFill="1" applyBorder="1" applyAlignment="1">
      <alignment horizontal="center"/>
    </xf>
    <xf numFmtId="1" fontId="45" fillId="4" borderId="2" xfId="0" applyNumberFormat="1" applyFont="1" applyFill="1" applyBorder="1" applyAlignment="1">
      <alignment horizontal="center" wrapText="1"/>
    </xf>
    <xf numFmtId="1" fontId="45" fillId="4" borderId="2" xfId="0" applyNumberFormat="1" applyFont="1" applyFill="1" applyBorder="1" applyAlignment="1">
      <alignment horizontal="center"/>
    </xf>
    <xf numFmtId="0" fontId="45" fillId="4" borderId="1" xfId="0" applyFont="1" applyFill="1" applyBorder="1" applyAlignment="1">
      <alignment horizontal="center"/>
    </xf>
    <xf numFmtId="0" fontId="50" fillId="0" borderId="1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/>
    </xf>
    <xf numFmtId="0" fontId="51" fillId="0" borderId="8" xfId="0" applyFont="1" applyBorder="1" applyAlignment="1">
      <alignment horizontal="center"/>
    </xf>
    <xf numFmtId="1" fontId="51" fillId="0" borderId="8" xfId="0" applyNumberFormat="1" applyFont="1" applyBorder="1" applyAlignment="1">
      <alignment horizontal="center"/>
    </xf>
    <xf numFmtId="0" fontId="45" fillId="5" borderId="7" xfId="0" applyFont="1" applyFill="1" applyBorder="1" applyAlignment="1">
      <alignment horizontal="center"/>
    </xf>
    <xf numFmtId="0" fontId="50" fillId="0" borderId="9" xfId="0" applyFont="1" applyBorder="1" applyAlignment="1">
      <alignment horizontal="center" vertical="center"/>
    </xf>
    <xf numFmtId="0" fontId="50" fillId="0" borderId="39" xfId="0" applyFont="1" applyBorder="1" applyAlignment="1">
      <alignment horizontal="center" vertical="center"/>
    </xf>
    <xf numFmtId="0" fontId="14" fillId="0" borderId="8" xfId="0" applyFont="1" applyBorder="1"/>
    <xf numFmtId="0" fontId="7" fillId="0" borderId="8" xfId="0" applyFont="1" applyBorder="1"/>
    <xf numFmtId="164" fontId="51" fillId="0" borderId="8" xfId="0" applyNumberFormat="1" applyFont="1" applyBorder="1" applyAlignment="1">
      <alignment horizontal="center"/>
    </xf>
    <xf numFmtId="49" fontId="52" fillId="3" borderId="17" xfId="0" applyNumberFormat="1" applyFont="1" applyFill="1" applyBorder="1" applyAlignment="1">
      <alignment horizontal="center" vertical="center"/>
    </xf>
    <xf numFmtId="49" fontId="52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wrapText="1"/>
    </xf>
    <xf numFmtId="0" fontId="3" fillId="3" borderId="16" xfId="0" applyFont="1" applyFill="1" applyBorder="1" applyAlignment="1">
      <alignment horizontal="center"/>
    </xf>
    <xf numFmtId="0" fontId="3" fillId="3" borderId="0" xfId="0" applyFont="1" applyFill="1" applyAlignment="1">
      <alignment horizontal="left" indent="1"/>
    </xf>
    <xf numFmtId="0" fontId="3" fillId="4" borderId="44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3" fillId="4" borderId="45" xfId="0" applyFont="1" applyFill="1" applyBorder="1"/>
    <xf numFmtId="0" fontId="45" fillId="4" borderId="45" xfId="0" applyFont="1" applyFill="1" applyBorder="1" applyAlignment="1">
      <alignment horizontal="center"/>
    </xf>
    <xf numFmtId="1" fontId="45" fillId="4" borderId="45" xfId="0" applyNumberFormat="1" applyFont="1" applyFill="1" applyBorder="1" applyAlignment="1">
      <alignment horizontal="center"/>
    </xf>
    <xf numFmtId="164" fontId="3" fillId="4" borderId="45" xfId="0" applyNumberFormat="1" applyFont="1" applyFill="1" applyBorder="1" applyAlignment="1">
      <alignment horizontal="center" wrapText="1"/>
    </xf>
    <xf numFmtId="0" fontId="3" fillId="4" borderId="46" xfId="0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9" fontId="3" fillId="3" borderId="0" xfId="2" applyFill="1"/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2" fillId="3" borderId="0" xfId="0" applyFont="1" applyFill="1" applyAlignment="1">
      <alignment vertical="center"/>
    </xf>
    <xf numFmtId="49" fontId="3" fillId="3" borderId="10" xfId="4" applyNumberFormat="1" applyFont="1" applyFill="1" applyBorder="1" applyAlignment="1">
      <alignment horizontal="center"/>
    </xf>
    <xf numFmtId="0" fontId="55" fillId="0" borderId="11" xfId="0" applyFont="1" applyBorder="1" applyAlignment="1">
      <alignment horizontal="center"/>
    </xf>
    <xf numFmtId="0" fontId="46" fillId="5" borderId="11" xfId="0" applyFont="1" applyFill="1" applyBorder="1" applyAlignment="1">
      <alignment horizontal="center"/>
    </xf>
    <xf numFmtId="0" fontId="0" fillId="5" borderId="11" xfId="0" applyFill="1" applyBorder="1" applyAlignment="1">
      <alignment horizontal="left"/>
    </xf>
    <xf numFmtId="0" fontId="0" fillId="5" borderId="11" xfId="0" quotePrefix="1" applyFill="1" applyBorder="1" applyAlignment="1">
      <alignment horizontal="center"/>
    </xf>
    <xf numFmtId="0" fontId="0" fillId="5" borderId="11" xfId="0" applyFill="1" applyBorder="1" applyAlignment="1">
      <alignment vertical="center"/>
    </xf>
    <xf numFmtId="0" fontId="51" fillId="0" borderId="39" xfId="0" applyFont="1" applyBorder="1" applyAlignment="1">
      <alignment horizontal="center"/>
    </xf>
    <xf numFmtId="0" fontId="3" fillId="3" borderId="11" xfId="0" applyFont="1" applyFill="1" applyBorder="1"/>
    <xf numFmtId="1" fontId="3" fillId="3" borderId="11" xfId="0" applyNumberFormat="1" applyFon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 wrapText="1"/>
    </xf>
    <xf numFmtId="0" fontId="2" fillId="3" borderId="28" xfId="4" applyFont="1" applyFill="1" applyBorder="1" applyAlignment="1">
      <alignment horizontal="right"/>
    </xf>
    <xf numFmtId="14" fontId="49" fillId="3" borderId="46" xfId="4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16" fontId="13" fillId="3" borderId="11" xfId="0" applyNumberFormat="1" applyFont="1" applyFill="1" applyBorder="1" applyAlignment="1">
      <alignment horizontal="center"/>
    </xf>
    <xf numFmtId="1" fontId="51" fillId="3" borderId="11" xfId="0" applyNumberFormat="1" applyFont="1" applyFill="1" applyBorder="1" applyAlignment="1">
      <alignment horizontal="center"/>
    </xf>
    <xf numFmtId="1" fontId="13" fillId="3" borderId="11" xfId="0" applyNumberFormat="1" applyFont="1" applyFill="1" applyBorder="1" applyAlignment="1">
      <alignment horizontal="center" wrapText="1"/>
    </xf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1" fillId="3" borderId="11" xfId="0" applyFont="1" applyFill="1" applyBorder="1" applyAlignment="1">
      <alignment horizontal="center"/>
    </xf>
    <xf numFmtId="0" fontId="13" fillId="0" borderId="11" xfId="0" applyFont="1" applyBorder="1"/>
    <xf numFmtId="49" fontId="5" fillId="3" borderId="17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2" fillId="3" borderId="16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0" fontId="2" fillId="4" borderId="45" xfId="0" applyFont="1" applyFill="1" applyBorder="1"/>
    <xf numFmtId="0" fontId="4" fillId="4" borderId="45" xfId="0" applyFont="1" applyFill="1" applyBorder="1" applyAlignment="1">
      <alignment horizontal="center"/>
    </xf>
    <xf numFmtId="1" fontId="4" fillId="4" borderId="45" xfId="0" applyNumberFormat="1" applyFont="1" applyFill="1" applyBorder="1" applyAlignment="1">
      <alignment horizontal="center"/>
    </xf>
    <xf numFmtId="164" fontId="2" fillId="4" borderId="45" xfId="0" applyNumberFormat="1" applyFont="1" applyFill="1" applyBorder="1" applyAlignment="1">
      <alignment horizontal="center" wrapText="1"/>
    </xf>
    <xf numFmtId="0" fontId="2" fillId="4" borderId="46" xfId="0" applyFont="1" applyFill="1" applyBorder="1" applyAlignment="1">
      <alignment horizontal="center"/>
    </xf>
    <xf numFmtId="0" fontId="2" fillId="0" borderId="56" xfId="0" applyFont="1" applyBorder="1" applyAlignment="1">
      <alignment horizontal="center"/>
    </xf>
    <xf numFmtId="9" fontId="2" fillId="3" borderId="0" xfId="7" applyFont="1" applyFill="1"/>
    <xf numFmtId="0" fontId="2" fillId="0" borderId="2" xfId="0" applyFont="1" applyBorder="1" applyAlignment="1">
      <alignment horizontal="center"/>
    </xf>
    <xf numFmtId="0" fontId="5" fillId="3" borderId="0" xfId="0" applyFont="1" applyFill="1" applyAlignment="1">
      <alignment vertical="center"/>
    </xf>
    <xf numFmtId="0" fontId="2" fillId="3" borderId="11" xfId="0" applyFont="1" applyFill="1" applyBorder="1"/>
    <xf numFmtId="0" fontId="4" fillId="4" borderId="29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4" fillId="0" borderId="11" xfId="0" applyNumberFormat="1" applyFont="1" applyBorder="1"/>
    <xf numFmtId="16" fontId="2" fillId="0" borderId="11" xfId="0" applyNumberFormat="1" applyFont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16" fontId="13" fillId="0" borderId="11" xfId="0" applyNumberFormat="1" applyFont="1" applyBorder="1" applyAlignment="1">
      <alignment horizontal="center"/>
    </xf>
    <xf numFmtId="1" fontId="51" fillId="0" borderId="11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 wrapText="1"/>
    </xf>
    <xf numFmtId="1" fontId="51" fillId="0" borderId="11" xfId="0" applyNumberFormat="1" applyFont="1" applyBorder="1" applyAlignment="1">
      <alignment horizontal="center" wrapText="1"/>
    </xf>
    <xf numFmtId="49" fontId="13" fillId="0" borderId="36" xfId="0" applyNumberFormat="1" applyFont="1" applyBorder="1" applyAlignment="1">
      <alignment horizontal="center"/>
    </xf>
    <xf numFmtId="49" fontId="14" fillId="0" borderId="28" xfId="0" applyNumberFormat="1" applyFont="1" applyBorder="1"/>
    <xf numFmtId="16" fontId="13" fillId="0" borderId="28" xfId="0" applyNumberFormat="1" applyFont="1" applyBorder="1" applyAlignment="1">
      <alignment horizontal="center"/>
    </xf>
    <xf numFmtId="1" fontId="51" fillId="0" borderId="28" xfId="0" applyNumberFormat="1" applyFont="1" applyBorder="1" applyAlignment="1">
      <alignment horizontal="center"/>
    </xf>
    <xf numFmtId="1" fontId="51" fillId="0" borderId="28" xfId="0" applyNumberFormat="1" applyFont="1" applyBorder="1" applyAlignment="1">
      <alignment horizontal="center" wrapText="1"/>
    </xf>
    <xf numFmtId="1" fontId="2" fillId="0" borderId="60" xfId="0" applyNumberFormat="1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9" fontId="13" fillId="5" borderId="40" xfId="0" applyNumberFormat="1" applyFont="1" applyFill="1" applyBorder="1" applyAlignment="1">
      <alignment horizontal="center"/>
    </xf>
    <xf numFmtId="49" fontId="13" fillId="5" borderId="43" xfId="0" applyNumberFormat="1" applyFont="1" applyFill="1" applyBorder="1" applyAlignment="1">
      <alignment horizontal="center"/>
    </xf>
    <xf numFmtId="49" fontId="14" fillId="5" borderId="43" xfId="0" applyNumberFormat="1" applyFont="1" applyFill="1" applyBorder="1"/>
    <xf numFmtId="16" fontId="13" fillId="5" borderId="43" xfId="0" applyNumberFormat="1" applyFont="1" applyFill="1" applyBorder="1" applyAlignment="1">
      <alignment horizontal="center"/>
    </xf>
    <xf numFmtId="1" fontId="51" fillId="5" borderId="43" xfId="0" applyNumberFormat="1" applyFont="1" applyFill="1" applyBorder="1" applyAlignment="1">
      <alignment horizontal="center"/>
    </xf>
    <xf numFmtId="1" fontId="51" fillId="5" borderId="43" xfId="0" applyNumberFormat="1" applyFont="1" applyFill="1" applyBorder="1" applyAlignment="1">
      <alignment horizontal="center" wrapText="1"/>
    </xf>
    <xf numFmtId="1" fontId="2" fillId="5" borderId="43" xfId="0" applyNumberFormat="1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58" xfId="0" applyFont="1" applyFill="1" applyBorder="1" applyAlignment="1">
      <alignment horizontal="center"/>
    </xf>
    <xf numFmtId="49" fontId="13" fillId="5" borderId="17" xfId="0" applyNumberFormat="1" applyFont="1" applyFill="1" applyBorder="1" applyAlignment="1">
      <alignment horizontal="center"/>
    </xf>
    <xf numFmtId="49" fontId="13" fillId="5" borderId="0" xfId="0" applyNumberFormat="1" applyFont="1" applyFill="1" applyAlignment="1">
      <alignment horizontal="center"/>
    </xf>
    <xf numFmtId="49" fontId="14" fillId="5" borderId="0" xfId="0" applyNumberFormat="1" applyFont="1" applyFill="1"/>
    <xf numFmtId="16" fontId="13" fillId="5" borderId="0" xfId="0" applyNumberFormat="1" applyFont="1" applyFill="1" applyAlignment="1">
      <alignment horizontal="center"/>
    </xf>
    <xf numFmtId="1" fontId="51" fillId="5" borderId="0" xfId="0" applyNumberFormat="1" applyFont="1" applyFill="1" applyAlignment="1">
      <alignment horizontal="center"/>
    </xf>
    <xf numFmtId="1" fontId="51" fillId="5" borderId="0" xfId="0" applyNumberFormat="1" applyFont="1" applyFill="1" applyAlignment="1">
      <alignment horizontal="center" wrapText="1"/>
    </xf>
    <xf numFmtId="1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27" xfId="0" quotePrefix="1" applyFont="1" applyFill="1" applyBorder="1" applyAlignment="1">
      <alignment horizontal="right"/>
    </xf>
    <xf numFmtId="0" fontId="2" fillId="5" borderId="26" xfId="0" quotePrefix="1" applyFont="1" applyFill="1" applyBorder="1" applyAlignment="1">
      <alignment horizontal="right"/>
    </xf>
    <xf numFmtId="0" fontId="2" fillId="5" borderId="26" xfId="0" quotePrefix="1" applyFont="1" applyFill="1" applyBorder="1"/>
    <xf numFmtId="0" fontId="13" fillId="5" borderId="26" xfId="0" applyFont="1" applyFill="1" applyBorder="1"/>
    <xf numFmtId="1" fontId="2" fillId="5" borderId="26" xfId="0" applyNumberFormat="1" applyFont="1" applyFill="1" applyBorder="1" applyAlignment="1">
      <alignment horizontal="center" wrapText="1"/>
    </xf>
    <xf numFmtId="0" fontId="2" fillId="5" borderId="3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13" fillId="0" borderId="12" xfId="0" applyNumberFormat="1" applyFont="1" applyBorder="1" applyAlignment="1">
      <alignment horizontal="center"/>
    </xf>
    <xf numFmtId="49" fontId="14" fillId="0" borderId="11" xfId="0" applyNumberFormat="1" applyFont="1" applyBorder="1"/>
    <xf numFmtId="16" fontId="51" fillId="0" borderId="11" xfId="0" applyNumberFormat="1" applyFont="1" applyBorder="1" applyAlignment="1">
      <alignment horizontal="center"/>
    </xf>
    <xf numFmtId="1" fontId="56" fillId="0" borderId="11" xfId="0" applyNumberFormat="1" applyFont="1" applyBorder="1" applyAlignment="1">
      <alignment horizontal="center"/>
    </xf>
    <xf numFmtId="49" fontId="13" fillId="0" borderId="21" xfId="0" applyNumberFormat="1" applyFont="1" applyBorder="1" applyAlignment="1">
      <alignment horizontal="center"/>
    </xf>
    <xf numFmtId="0" fontId="2" fillId="0" borderId="12" xfId="0" quotePrefix="1" applyFont="1" applyBorder="1" applyAlignment="1">
      <alignment horizontal="right"/>
    </xf>
    <xf numFmtId="0" fontId="2" fillId="0" borderId="21" xfId="0" quotePrefix="1" applyFont="1" applyBorder="1" applyAlignment="1">
      <alignment horizontal="right"/>
    </xf>
    <xf numFmtId="0" fontId="2" fillId="0" borderId="11" xfId="0" quotePrefix="1" applyFont="1" applyBorder="1"/>
    <xf numFmtId="0" fontId="2" fillId="3" borderId="2" xfId="4" applyFont="1" applyFill="1" applyBorder="1" applyAlignment="1">
      <alignment horizontal="right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0" xfId="0" applyBorder="1" applyAlignment="1">
      <alignment horizontal="left" vertical="center"/>
    </xf>
    <xf numFmtId="49" fontId="13" fillId="0" borderId="11" xfId="0" applyNumberFormat="1" applyFont="1" applyBorder="1" applyAlignment="1">
      <alignment horizontal="center"/>
    </xf>
    <xf numFmtId="0" fontId="51" fillId="0" borderId="0" xfId="0" applyFont="1"/>
    <xf numFmtId="0" fontId="2" fillId="3" borderId="39" xfId="4" applyFont="1" applyFill="1" applyBorder="1" applyAlignment="1">
      <alignment horizontal="right"/>
    </xf>
    <xf numFmtId="0" fontId="2" fillId="3" borderId="36" xfId="4" applyFont="1" applyFill="1" applyBorder="1" applyAlignment="1">
      <alignment horizontal="right"/>
    </xf>
    <xf numFmtId="14" fontId="57" fillId="3" borderId="46" xfId="4" applyNumberFormat="1" applyFont="1" applyFill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/>
    </xf>
    <xf numFmtId="0" fontId="58" fillId="0" borderId="21" xfId="0" applyFont="1" applyBorder="1" applyAlignment="1">
      <alignment horizontal="center" vertical="center"/>
    </xf>
    <xf numFmtId="0" fontId="59" fillId="0" borderId="11" xfId="0" applyFont="1" applyBorder="1"/>
    <xf numFmtId="16" fontId="13" fillId="0" borderId="11" xfId="3" applyNumberFormat="1" applyFont="1" applyBorder="1" applyAlignment="1">
      <alignment horizontal="center" vertical="center"/>
    </xf>
    <xf numFmtId="1" fontId="13" fillId="0" borderId="28" xfId="3" applyNumberFormat="1" applyFont="1" applyBorder="1" applyAlignment="1">
      <alignment horizontal="center" vertical="center"/>
    </xf>
    <xf numFmtId="1" fontId="13" fillId="0" borderId="28" xfId="3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1" fontId="13" fillId="0" borderId="11" xfId="3" applyNumberFormat="1" applyFont="1" applyBorder="1" applyAlignment="1">
      <alignment horizontal="center"/>
    </xf>
    <xf numFmtId="1" fontId="13" fillId="0" borderId="11" xfId="3" applyNumberFormat="1" applyFont="1" applyBorder="1" applyAlignment="1">
      <alignment horizont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20" xfId="0" applyNumberFormat="1" applyFont="1" applyBorder="1"/>
    <xf numFmtId="164" fontId="2" fillId="0" borderId="4" xfId="0" applyNumberFormat="1" applyFont="1" applyBorder="1"/>
    <xf numFmtId="0" fontId="60" fillId="17" borderId="17" xfId="3" applyFont="1" applyFill="1" applyBorder="1" applyAlignment="1">
      <alignment vertical="center"/>
    </xf>
    <xf numFmtId="0" fontId="60" fillId="17" borderId="0" xfId="3" applyFont="1" applyFill="1" applyAlignment="1">
      <alignment vertical="center"/>
    </xf>
    <xf numFmtId="1" fontId="4" fillId="4" borderId="28" xfId="0" applyNumberFormat="1" applyFont="1" applyFill="1" applyBorder="1" applyAlignment="1">
      <alignment horizontal="center"/>
    </xf>
    <xf numFmtId="1" fontId="4" fillId="4" borderId="28" xfId="0" applyNumberFormat="1" applyFont="1" applyFill="1" applyBorder="1" applyAlignment="1">
      <alignment horizontal="center" wrapText="1"/>
    </xf>
    <xf numFmtId="0" fontId="13" fillId="0" borderId="11" xfId="0" applyFont="1" applyBorder="1" applyAlignment="1">
      <alignment horizontal="center" vertical="center"/>
    </xf>
    <xf numFmtId="1" fontId="44" fillId="0" borderId="11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/>
    </xf>
    <xf numFmtId="49" fontId="13" fillId="0" borderId="71" xfId="0" applyNumberFormat="1" applyFont="1" applyBorder="1" applyAlignment="1">
      <alignment horizontal="center"/>
    </xf>
    <xf numFmtId="49" fontId="13" fillId="0" borderId="63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16" fontId="13" fillId="0" borderId="21" xfId="0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center" wrapText="1"/>
    </xf>
    <xf numFmtId="49" fontId="2" fillId="0" borderId="11" xfId="0" applyNumberFormat="1" applyFont="1" applyBorder="1" applyAlignment="1">
      <alignment horizontal="center"/>
    </xf>
    <xf numFmtId="49" fontId="2" fillId="0" borderId="11" xfId="0" applyNumberFormat="1" applyFont="1" applyBorder="1"/>
    <xf numFmtId="0" fontId="13" fillId="0" borderId="28" xfId="0" applyFont="1" applyBorder="1"/>
    <xf numFmtId="1" fontId="2" fillId="0" borderId="28" xfId="0" applyNumberFormat="1" applyFont="1" applyBorder="1" applyAlignment="1">
      <alignment horizontal="center" wrapText="1"/>
    </xf>
    <xf numFmtId="0" fontId="2" fillId="0" borderId="29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3" fillId="0" borderId="70" xfId="0" applyFont="1" applyBorder="1" applyAlignment="1">
      <alignment horizontal="left" vertical="center"/>
    </xf>
    <xf numFmtId="0" fontId="7" fillId="0" borderId="11" xfId="3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61" fillId="0" borderId="8" xfId="0" applyFont="1" applyBorder="1"/>
    <xf numFmtId="165" fontId="0" fillId="0" borderId="11" xfId="0" applyNumberFormat="1" applyBorder="1" applyAlignment="1">
      <alignment horizontal="left" vertical="center"/>
    </xf>
    <xf numFmtId="1" fontId="54" fillId="0" borderId="11" xfId="3" applyNumberFormat="1" applyFont="1" applyBorder="1" applyAlignment="1">
      <alignment horizontal="center"/>
    </xf>
    <xf numFmtId="1" fontId="54" fillId="0" borderId="11" xfId="3" applyNumberFormat="1" applyFont="1" applyBorder="1" applyAlignment="1">
      <alignment horizontal="center" wrapText="1"/>
    </xf>
    <xf numFmtId="0" fontId="45" fillId="5" borderId="10" xfId="0" applyFont="1" applyFill="1" applyBorder="1" applyAlignment="1">
      <alignment horizontal="center"/>
    </xf>
    <xf numFmtId="49" fontId="54" fillId="0" borderId="12" xfId="3" applyNumberFormat="1" applyFont="1" applyBorder="1" applyAlignment="1">
      <alignment horizontal="center"/>
    </xf>
    <xf numFmtId="49" fontId="54" fillId="0" borderId="21" xfId="3" applyNumberFormat="1" applyFont="1" applyBorder="1" applyAlignment="1">
      <alignment horizontal="center"/>
    </xf>
    <xf numFmtId="49" fontId="3" fillId="0" borderId="11" xfId="3" applyNumberFormat="1" applyBorder="1"/>
    <xf numFmtId="16" fontId="54" fillId="0" borderId="11" xfId="3" applyNumberFormat="1" applyFont="1" applyBorder="1" applyAlignment="1">
      <alignment horizontal="center"/>
    </xf>
    <xf numFmtId="49" fontId="45" fillId="0" borderId="11" xfId="3" applyNumberFormat="1" applyFont="1" applyBorder="1"/>
    <xf numFmtId="49" fontId="54" fillId="5" borderId="12" xfId="0" applyNumberFormat="1" applyFont="1" applyFill="1" applyBorder="1" applyAlignment="1">
      <alignment horizontal="right"/>
    </xf>
    <xf numFmtId="49" fontId="54" fillId="5" borderId="21" xfId="0" applyNumberFormat="1" applyFont="1" applyFill="1" applyBorder="1" applyAlignment="1">
      <alignment horizontal="right"/>
    </xf>
    <xf numFmtId="49" fontId="3" fillId="5" borderId="11" xfId="0" applyNumberFormat="1" applyFont="1" applyFill="1" applyBorder="1"/>
    <xf numFmtId="0" fontId="7" fillId="0" borderId="11" xfId="0" applyFont="1" applyBorder="1"/>
    <xf numFmtId="0" fontId="3" fillId="0" borderId="10" xfId="0" applyFont="1" applyBorder="1" applyAlignment="1">
      <alignment horizontal="center"/>
    </xf>
    <xf numFmtId="0" fontId="3" fillId="0" borderId="12" xfId="0" quotePrefix="1" applyFont="1" applyBorder="1" applyAlignment="1">
      <alignment horizontal="right"/>
    </xf>
    <xf numFmtId="0" fontId="3" fillId="0" borderId="21" xfId="0" quotePrefix="1" applyFont="1" applyBorder="1" applyAlignment="1">
      <alignment horizontal="right"/>
    </xf>
    <xf numFmtId="0" fontId="3" fillId="0" borderId="11" xfId="0" quotePrefix="1" applyFont="1" applyBorder="1"/>
    <xf numFmtId="0" fontId="54" fillId="0" borderId="11" xfId="0" applyFont="1" applyBorder="1"/>
    <xf numFmtId="1" fontId="3" fillId="0" borderId="11" xfId="0" applyNumberFormat="1" applyFont="1" applyBorder="1" applyAlignment="1">
      <alignment horizontal="center" wrapText="1"/>
    </xf>
    <xf numFmtId="9" fontId="3" fillId="3" borderId="0" xfId="2" applyFont="1" applyFill="1"/>
    <xf numFmtId="0" fontId="0" fillId="3" borderId="0" xfId="0" applyFill="1"/>
    <xf numFmtId="2" fontId="3" fillId="0" borderId="8" xfId="0" applyNumberFormat="1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2" fontId="3" fillId="0" borderId="11" xfId="0" applyNumberFormat="1" applyFont="1" applyBorder="1" applyAlignment="1">
      <alignment horizontal="center" wrapText="1"/>
    </xf>
    <xf numFmtId="0" fontId="4" fillId="4" borderId="13" xfId="3" applyFont="1" applyFill="1" applyBorder="1" applyAlignment="1">
      <alignment horizontal="center" vertical="center" wrapText="1"/>
    </xf>
    <xf numFmtId="1" fontId="4" fillId="4" borderId="2" xfId="3" applyNumberFormat="1" applyFont="1" applyFill="1" applyBorder="1" applyAlignment="1">
      <alignment horizontal="center"/>
    </xf>
    <xf numFmtId="1" fontId="4" fillId="4" borderId="2" xfId="3" applyNumberFormat="1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/>
    </xf>
    <xf numFmtId="0" fontId="44" fillId="0" borderId="12" xfId="3" applyFont="1" applyBorder="1" applyAlignment="1">
      <alignment horizontal="center" vertical="center"/>
    </xf>
    <xf numFmtId="0" fontId="44" fillId="0" borderId="21" xfId="3" applyFont="1" applyBorder="1" applyAlignment="1">
      <alignment horizontal="center" vertical="center"/>
    </xf>
    <xf numFmtId="0" fontId="62" fillId="0" borderId="11" xfId="3" applyFont="1" applyBorder="1" applyAlignment="1">
      <alignment vertical="center"/>
    </xf>
    <xf numFmtId="0" fontId="44" fillId="0" borderId="11" xfId="3" applyFont="1" applyBorder="1" applyAlignment="1">
      <alignment horizontal="center" vertical="center"/>
    </xf>
    <xf numFmtId="1" fontId="44" fillId="0" borderId="11" xfId="3" applyNumberFormat="1" applyFont="1" applyBorder="1" applyAlignment="1">
      <alignment horizontal="center"/>
    </xf>
    <xf numFmtId="1" fontId="44" fillId="0" borderId="11" xfId="3" applyNumberFormat="1" applyFont="1" applyBorder="1" applyAlignment="1">
      <alignment horizontal="center" wrapText="1"/>
    </xf>
    <xf numFmtId="0" fontId="13" fillId="0" borderId="10" xfId="3" applyFont="1" applyBorder="1" applyAlignment="1">
      <alignment horizontal="center"/>
    </xf>
    <xf numFmtId="1" fontId="0" fillId="0" borderId="11" xfId="0" applyNumberFormat="1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21" xfId="0" applyBorder="1" applyAlignment="1">
      <alignment horizontal="center"/>
    </xf>
    <xf numFmtId="49" fontId="13" fillId="0" borderId="12" xfId="3" applyNumberFormat="1" applyFont="1" applyBorder="1" applyAlignment="1">
      <alignment horizontal="center"/>
    </xf>
    <xf numFmtId="49" fontId="13" fillId="0" borderId="21" xfId="3" applyNumberFormat="1" applyFont="1" applyBorder="1" applyAlignment="1">
      <alignment horizontal="center"/>
    </xf>
    <xf numFmtId="0" fontId="59" fillId="5" borderId="11" xfId="3" applyFont="1" applyFill="1" applyBorder="1" applyAlignment="1">
      <alignment horizontal="left"/>
    </xf>
    <xf numFmtId="0" fontId="2" fillId="5" borderId="11" xfId="3" applyFont="1" applyFill="1" applyBorder="1" applyAlignment="1">
      <alignment horizontal="center"/>
    </xf>
    <xf numFmtId="1" fontId="0" fillId="0" borderId="21" xfId="0" applyNumberFormat="1" applyBorder="1"/>
    <xf numFmtId="0" fontId="13" fillId="0" borderId="11" xfId="3" applyFont="1" applyBorder="1" applyAlignment="1">
      <alignment horizontal="center"/>
    </xf>
    <xf numFmtId="165" fontId="13" fillId="0" borderId="11" xfId="3" applyNumberFormat="1" applyFont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8" xfId="0" applyFont="1" applyFill="1" applyBorder="1"/>
    <xf numFmtId="49" fontId="44" fillId="0" borderId="6" xfId="3" applyNumberFormat="1" applyFont="1" applyBorder="1" applyAlignment="1">
      <alignment horizontal="center"/>
    </xf>
    <xf numFmtId="49" fontId="44" fillId="0" borderId="5" xfId="3" applyNumberFormat="1" applyFont="1" applyBorder="1" applyAlignment="1">
      <alignment horizontal="center"/>
    </xf>
    <xf numFmtId="0" fontId="63" fillId="5" borderId="11" xfId="3" applyFont="1" applyFill="1" applyBorder="1" applyAlignment="1">
      <alignment vertical="center"/>
    </xf>
    <xf numFmtId="0" fontId="44" fillId="0" borderId="21" xfId="3" applyFont="1" applyBorder="1" applyAlignment="1">
      <alignment horizontal="center"/>
    </xf>
    <xf numFmtId="165" fontId="44" fillId="0" borderId="11" xfId="3" applyNumberFormat="1" applyFont="1" applyBorder="1" applyAlignment="1">
      <alignment horizontal="center"/>
    </xf>
    <xf numFmtId="49" fontId="15" fillId="0" borderId="11" xfId="0" applyNumberFormat="1" applyFont="1" applyBorder="1"/>
    <xf numFmtId="170" fontId="4" fillId="5" borderId="11" xfId="5" applyNumberFormat="1" applyFont="1" applyFill="1" applyBorder="1" applyAlignment="1">
      <alignment horizontal="center"/>
    </xf>
    <xf numFmtId="0" fontId="64" fillId="0" borderId="12" xfId="0" applyFont="1" applyBorder="1" applyAlignment="1">
      <alignment horizontal="center"/>
    </xf>
    <xf numFmtId="0" fontId="64" fillId="0" borderId="21" xfId="0" applyFont="1" applyBorder="1" applyAlignment="1">
      <alignment horizontal="center"/>
    </xf>
    <xf numFmtId="0" fontId="40" fillId="0" borderId="11" xfId="0" applyFont="1" applyBorder="1"/>
    <xf numFmtId="12" fontId="13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49" fontId="5" fillId="3" borderId="17" xfId="3" applyNumberFormat="1" applyFont="1" applyFill="1" applyBorder="1" applyAlignment="1">
      <alignment horizontal="center" vertical="center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6" xfId="3" applyFont="1" applyFill="1" applyBorder="1" applyAlignment="1">
      <alignment horizontal="center"/>
    </xf>
    <xf numFmtId="0" fontId="2" fillId="4" borderId="44" xfId="3" applyFont="1" applyFill="1" applyBorder="1" applyAlignment="1">
      <alignment horizontal="center"/>
    </xf>
    <xf numFmtId="0" fontId="2" fillId="4" borderId="45" xfId="3" applyFont="1" applyFill="1" applyBorder="1" applyAlignment="1">
      <alignment horizontal="center"/>
    </xf>
    <xf numFmtId="0" fontId="2" fillId="4" borderId="45" xfId="3" applyFont="1" applyFill="1" applyBorder="1"/>
    <xf numFmtId="0" fontId="4" fillId="4" borderId="45" xfId="3" applyFont="1" applyFill="1" applyBorder="1" applyAlignment="1">
      <alignment horizontal="center"/>
    </xf>
    <xf numFmtId="1" fontId="4" fillId="4" borderId="45" xfId="3" applyNumberFormat="1" applyFont="1" applyFill="1" applyBorder="1" applyAlignment="1">
      <alignment horizontal="center"/>
    </xf>
    <xf numFmtId="164" fontId="2" fillId="4" borderId="45" xfId="3" applyNumberFormat="1" applyFont="1" applyFill="1" applyBorder="1" applyAlignment="1">
      <alignment horizontal="center" wrapText="1"/>
    </xf>
    <xf numFmtId="0" fontId="2" fillId="4" borderId="46" xfId="3" applyFont="1" applyFill="1" applyBorder="1" applyAlignment="1">
      <alignment horizontal="center"/>
    </xf>
    <xf numFmtId="14" fontId="3" fillId="3" borderId="10" xfId="4" applyNumberFormat="1" applyFont="1" applyFill="1" applyBorder="1" applyAlignment="1">
      <alignment horizontal="center" vertical="center" wrapText="1"/>
    </xf>
    <xf numFmtId="14" fontId="3" fillId="3" borderId="1" xfId="4" applyNumberFormat="1" applyFont="1" applyFill="1" applyBorder="1" applyAlignment="1">
      <alignment horizontal="center" vertical="center" wrapText="1"/>
    </xf>
    <xf numFmtId="0" fontId="3" fillId="3" borderId="11" xfId="4" applyFont="1" applyFill="1" applyBorder="1" applyAlignment="1">
      <alignment horizontal="left"/>
    </xf>
    <xf numFmtId="0" fontId="3" fillId="3" borderId="2" xfId="4" applyFont="1" applyFill="1" applyBorder="1" applyAlignment="1">
      <alignment horizontal="left"/>
    </xf>
    <xf numFmtId="0" fontId="3" fillId="3" borderId="40" xfId="4" applyFont="1" applyFill="1" applyBorder="1" applyAlignment="1">
      <alignment horizontal="center"/>
    </xf>
    <xf numFmtId="0" fontId="3" fillId="3" borderId="61" xfId="4" applyFont="1" applyFill="1" applyBorder="1" applyAlignment="1">
      <alignment horizontal="center"/>
    </xf>
    <xf numFmtId="0" fontId="3" fillId="3" borderId="17" xfId="4" applyFont="1" applyFill="1" applyBorder="1" applyAlignment="1">
      <alignment horizontal="center"/>
    </xf>
    <xf numFmtId="0" fontId="3" fillId="3" borderId="35" xfId="4" applyFont="1" applyFill="1" applyBorder="1" applyAlignment="1">
      <alignment horizontal="center"/>
    </xf>
    <xf numFmtId="0" fontId="3" fillId="3" borderId="27" xfId="4" applyFont="1" applyFill="1" applyBorder="1" applyAlignment="1">
      <alignment horizontal="center"/>
    </xf>
    <xf numFmtId="0" fontId="3" fillId="3" borderId="33" xfId="4" applyFont="1" applyFill="1" applyBorder="1" applyAlignment="1">
      <alignment horizontal="center"/>
    </xf>
    <xf numFmtId="0" fontId="47" fillId="3" borderId="14" xfId="4" applyFont="1" applyFill="1" applyBorder="1" applyAlignment="1">
      <alignment horizontal="center"/>
    </xf>
    <xf numFmtId="0" fontId="47" fillId="3" borderId="11" xfId="4" applyFont="1" applyFill="1" applyBorder="1" applyAlignment="1">
      <alignment horizontal="center"/>
    </xf>
    <xf numFmtId="0" fontId="48" fillId="6" borderId="20" xfId="4" applyFont="1" applyFill="1" applyBorder="1" applyAlignment="1">
      <alignment horizontal="center" vertical="center" wrapText="1"/>
    </xf>
    <xf numFmtId="0" fontId="48" fillId="6" borderId="5" xfId="4" applyFont="1" applyFill="1" applyBorder="1" applyAlignment="1">
      <alignment horizontal="center" vertical="center" wrapText="1"/>
    </xf>
    <xf numFmtId="0" fontId="48" fillId="6" borderId="21" xfId="4" applyFont="1" applyFill="1" applyBorder="1" applyAlignment="1">
      <alignment horizontal="center" vertical="center" wrapText="1"/>
    </xf>
    <xf numFmtId="0" fontId="45" fillId="3" borderId="11" xfId="4" applyFont="1" applyFill="1" applyBorder="1" applyAlignment="1">
      <alignment horizontal="right" vertical="top" wrapText="1"/>
    </xf>
    <xf numFmtId="0" fontId="45" fillId="3" borderId="2" xfId="4" applyFont="1" applyFill="1" applyBorder="1" applyAlignment="1">
      <alignment horizontal="right" vertical="top" wrapText="1"/>
    </xf>
    <xf numFmtId="0" fontId="47" fillId="3" borderId="0" xfId="4" applyFont="1" applyFill="1" applyAlignment="1">
      <alignment horizontal="right"/>
    </xf>
    <xf numFmtId="0" fontId="49" fillId="3" borderId="26" xfId="4" applyFont="1" applyFill="1" applyBorder="1" applyAlignment="1">
      <alignment horizontal="center"/>
    </xf>
    <xf numFmtId="0" fontId="45" fillId="4" borderId="15" xfId="0" applyFont="1" applyFill="1" applyBorder="1" applyAlignment="1">
      <alignment horizontal="center" vertical="center"/>
    </xf>
    <xf numFmtId="0" fontId="45" fillId="4" borderId="30" xfId="0" applyFont="1" applyFill="1" applyBorder="1" applyAlignment="1">
      <alignment horizontal="center" vertical="center"/>
    </xf>
    <xf numFmtId="0" fontId="45" fillId="4" borderId="37" xfId="0" applyFont="1" applyFill="1" applyBorder="1" applyAlignment="1">
      <alignment horizontal="center" vertical="center" wrapText="1"/>
    </xf>
    <xf numFmtId="0" fontId="45" fillId="4" borderId="8" xfId="0" applyFont="1" applyFill="1" applyBorder="1" applyAlignment="1">
      <alignment horizontal="center" vertical="center" wrapText="1"/>
    </xf>
    <xf numFmtId="0" fontId="45" fillId="4" borderId="14" xfId="0" applyFont="1" applyFill="1" applyBorder="1" applyAlignment="1">
      <alignment horizontal="center" vertical="center"/>
    </xf>
    <xf numFmtId="0" fontId="45" fillId="4" borderId="28" xfId="0" applyFont="1" applyFill="1" applyBorder="1" applyAlignment="1">
      <alignment horizontal="center" vertical="center"/>
    </xf>
    <xf numFmtId="0" fontId="45" fillId="0" borderId="54" xfId="0" applyFont="1" applyBorder="1" applyAlignment="1">
      <alignment horizontal="right"/>
    </xf>
    <xf numFmtId="0" fontId="45" fillId="0" borderId="55" xfId="0" applyFont="1" applyBorder="1" applyAlignment="1">
      <alignment horizontal="right"/>
    </xf>
    <xf numFmtId="0" fontId="45" fillId="0" borderId="39" xfId="0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3" fillId="3" borderId="56" xfId="0" applyFont="1" applyFill="1" applyBorder="1" applyAlignment="1">
      <alignment horizontal="center"/>
    </xf>
    <xf numFmtId="0" fontId="3" fillId="3" borderId="57" xfId="0" applyFont="1" applyFill="1" applyBorder="1" applyAlignment="1">
      <alignment horizontal="center"/>
    </xf>
    <xf numFmtId="0" fontId="45" fillId="0" borderId="6" xfId="0" applyFont="1" applyBorder="1" applyAlignment="1">
      <alignment horizontal="right"/>
    </xf>
    <xf numFmtId="0" fontId="45" fillId="0" borderId="5" xfId="0" applyFont="1" applyBorder="1" applyAlignment="1">
      <alignment horizontal="right"/>
    </xf>
    <xf numFmtId="0" fontId="45" fillId="0" borderId="21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164" fontId="3" fillId="0" borderId="20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53" fillId="0" borderId="54" xfId="3" applyFont="1" applyBorder="1" applyAlignment="1">
      <alignment horizontal="left" wrapText="1"/>
    </xf>
    <xf numFmtId="0" fontId="53" fillId="0" borderId="55" xfId="3" applyFont="1" applyBorder="1" applyAlignment="1">
      <alignment horizontal="left" wrapText="1"/>
    </xf>
    <xf numFmtId="0" fontId="53" fillId="0" borderId="57" xfId="3" applyFont="1" applyBorder="1" applyAlignment="1">
      <alignment horizontal="left" wrapText="1"/>
    </xf>
    <xf numFmtId="164" fontId="3" fillId="0" borderId="20" xfId="0" applyNumberFormat="1" applyFont="1" applyBorder="1" applyAlignment="1">
      <alignment horizontal="right" wrapText="1"/>
    </xf>
    <xf numFmtId="164" fontId="3" fillId="0" borderId="21" xfId="0" applyNumberFormat="1" applyFont="1" applyBorder="1" applyAlignment="1">
      <alignment horizontal="right" wrapText="1"/>
    </xf>
    <xf numFmtId="0" fontId="45" fillId="0" borderId="3" xfId="0" applyFont="1" applyBorder="1" applyAlignment="1">
      <alignment horizontal="right"/>
    </xf>
    <xf numFmtId="0" fontId="45" fillId="0" borderId="41" xfId="0" applyFont="1" applyBorder="1" applyAlignment="1">
      <alignment horizontal="right"/>
    </xf>
    <xf numFmtId="0" fontId="45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4" fontId="3" fillId="0" borderId="19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0" fontId="45" fillId="4" borderId="44" xfId="0" applyFont="1" applyFill="1" applyBorder="1" applyAlignment="1">
      <alignment horizontal="left"/>
    </xf>
    <xf numFmtId="0" fontId="45" fillId="4" borderId="45" xfId="0" applyFont="1" applyFill="1" applyBorder="1" applyAlignment="1">
      <alignment horizontal="left"/>
    </xf>
    <xf numFmtId="0" fontId="45" fillId="4" borderId="46" xfId="0" applyFont="1" applyFill="1" applyBorder="1" applyAlignment="1">
      <alignment horizontal="left"/>
    </xf>
    <xf numFmtId="0" fontId="54" fillId="0" borderId="27" xfId="3" applyFont="1" applyBorder="1" applyAlignment="1">
      <alignment horizontal="left"/>
    </xf>
    <xf numFmtId="0" fontId="54" fillId="0" borderId="26" xfId="3" applyFont="1" applyBorder="1" applyAlignment="1">
      <alignment horizontal="left"/>
    </xf>
    <xf numFmtId="0" fontId="54" fillId="0" borderId="31" xfId="3" applyFont="1" applyBorder="1" applyAlignment="1">
      <alignment horizontal="left"/>
    </xf>
    <xf numFmtId="0" fontId="54" fillId="0" borderId="54" xfId="3" applyFont="1" applyBorder="1" applyAlignment="1">
      <alignment horizontal="left"/>
    </xf>
    <xf numFmtId="0" fontId="54" fillId="0" borderId="55" xfId="3" applyFont="1" applyBorder="1" applyAlignment="1">
      <alignment horizontal="left"/>
    </xf>
    <xf numFmtId="0" fontId="54" fillId="0" borderId="57" xfId="3" applyFont="1" applyBorder="1" applyAlignment="1">
      <alignment horizontal="left"/>
    </xf>
    <xf numFmtId="14" fontId="0" fillId="3" borderId="10" xfId="4" applyNumberFormat="1" applyFont="1" applyFill="1" applyBorder="1" applyAlignment="1">
      <alignment horizontal="center" vertical="center" wrapText="1"/>
    </xf>
    <xf numFmtId="0" fontId="45" fillId="4" borderId="37" xfId="0" applyFont="1" applyFill="1" applyBorder="1" applyAlignment="1">
      <alignment horizontal="center" vertical="center"/>
    </xf>
    <xf numFmtId="0" fontId="45" fillId="4" borderId="8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4" fillId="18" borderId="64" xfId="4" applyFont="1" applyFill="1" applyBorder="1" applyAlignment="1">
      <alignment horizontal="center"/>
    </xf>
    <xf numFmtId="0" fontId="4" fillId="18" borderId="43" xfId="4" applyFont="1" applyFill="1" applyBorder="1" applyAlignment="1">
      <alignment horizontal="center"/>
    </xf>
    <xf numFmtId="0" fontId="2" fillId="3" borderId="65" xfId="4" applyFont="1" applyFill="1" applyBorder="1" applyAlignment="1">
      <alignment horizontal="left"/>
    </xf>
    <xf numFmtId="0" fontId="2" fillId="3" borderId="0" xfId="4" applyFont="1" applyFill="1" applyAlignment="1">
      <alignment horizontal="left"/>
    </xf>
    <xf numFmtId="0" fontId="4" fillId="0" borderId="3" xfId="3" applyFont="1" applyBorder="1" applyAlignment="1">
      <alignment horizontal="right"/>
    </xf>
    <xf numFmtId="0" fontId="4" fillId="0" borderId="41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0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0" fontId="4" fillId="4" borderId="44" xfId="3" applyFont="1" applyFill="1" applyBorder="1" applyAlignment="1">
      <alignment horizontal="left"/>
    </xf>
    <xf numFmtId="0" fontId="4" fillId="4" borderId="45" xfId="3" applyFont="1" applyFill="1" applyBorder="1" applyAlignment="1">
      <alignment horizontal="left"/>
    </xf>
    <xf numFmtId="0" fontId="4" fillId="4" borderId="46" xfId="3" applyFont="1" applyFill="1" applyBorder="1" applyAlignment="1">
      <alignment horizontal="left"/>
    </xf>
    <xf numFmtId="0" fontId="2" fillId="0" borderId="12" xfId="8" applyFont="1" applyBorder="1" applyAlignment="1">
      <alignment horizontal="left"/>
    </xf>
    <xf numFmtId="0" fontId="2" fillId="0" borderId="21" xfId="8" applyFont="1" applyBorder="1" applyAlignment="1">
      <alignment horizontal="left"/>
    </xf>
    <xf numFmtId="0" fontId="2" fillId="0" borderId="11" xfId="8" applyFont="1" applyBorder="1" applyAlignment="1">
      <alignment horizontal="left"/>
    </xf>
    <xf numFmtId="0" fontId="2" fillId="0" borderId="10" xfId="8" applyFont="1" applyBorder="1" applyAlignment="1">
      <alignment horizontal="left"/>
    </xf>
    <xf numFmtId="0" fontId="2" fillId="0" borderId="9" xfId="8" applyFont="1" applyBorder="1" applyAlignment="1">
      <alignment horizontal="left" wrapText="1"/>
    </xf>
    <xf numFmtId="0" fontId="2" fillId="0" borderId="39" xfId="8" applyFont="1" applyBorder="1" applyAlignment="1">
      <alignment horizontal="left" wrapText="1"/>
    </xf>
    <xf numFmtId="0" fontId="2" fillId="0" borderId="8" xfId="8" applyFont="1" applyBorder="1" applyAlignment="1">
      <alignment horizontal="left" wrapText="1"/>
    </xf>
    <xf numFmtId="0" fontId="2" fillId="0" borderId="7" xfId="8" applyFont="1" applyBorder="1" applyAlignment="1">
      <alignment horizontal="left" wrapText="1"/>
    </xf>
    <xf numFmtId="0" fontId="2" fillId="0" borderId="59" xfId="8" applyFont="1" applyBorder="1" applyAlignment="1">
      <alignment horizontal="left"/>
    </xf>
    <xf numFmtId="0" fontId="2" fillId="0" borderId="35" xfId="8" applyFont="1" applyBorder="1" applyAlignment="1">
      <alignment horizontal="left"/>
    </xf>
    <xf numFmtId="0" fontId="2" fillId="0" borderId="60" xfId="8" applyFont="1" applyBorder="1" applyAlignment="1">
      <alignment horizontal="left"/>
    </xf>
    <xf numFmtId="0" fontId="2" fillId="0" borderId="34" xfId="8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41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20" xfId="3" applyNumberFormat="1" applyFont="1" applyBorder="1" applyAlignment="1">
      <alignment horizontal="right" wrapText="1"/>
    </xf>
    <xf numFmtId="164" fontId="2" fillId="0" borderId="21" xfId="3" applyNumberFormat="1" applyFont="1" applyBorder="1" applyAlignment="1">
      <alignment horizontal="right" wrapText="1"/>
    </xf>
    <xf numFmtId="164" fontId="2" fillId="0" borderId="20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4" fillId="0" borderId="54" xfId="3" applyFont="1" applyBorder="1" applyAlignment="1">
      <alignment horizontal="right"/>
    </xf>
    <xf numFmtId="0" fontId="4" fillId="0" borderId="55" xfId="3" applyFont="1" applyBorder="1" applyAlignment="1">
      <alignment horizontal="right"/>
    </xf>
    <xf numFmtId="0" fontId="4" fillId="0" borderId="39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3" borderId="56" xfId="3" applyFont="1" applyFill="1" applyBorder="1" applyAlignment="1">
      <alignment horizontal="center"/>
    </xf>
    <xf numFmtId="0" fontId="2" fillId="3" borderId="57" xfId="3" applyFont="1" applyFill="1" applyBorder="1" applyAlignment="1">
      <alignment horizontal="center"/>
    </xf>
    <xf numFmtId="0" fontId="4" fillId="4" borderId="15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4" borderId="1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34" xfId="4" applyNumberFormat="1" applyFont="1" applyFill="1" applyBorder="1" applyAlignment="1">
      <alignment horizontal="center" vertical="center" wrapText="1"/>
    </xf>
    <xf numFmtId="14" fontId="2" fillId="3" borderId="7" xfId="4" applyNumberFormat="1" applyFont="1" applyFill="1" applyBorder="1" applyAlignment="1">
      <alignment horizontal="center" vertical="center" wrapText="1"/>
    </xf>
    <xf numFmtId="0" fontId="2" fillId="3" borderId="23" xfId="4" applyFont="1" applyFill="1" applyBorder="1" applyAlignment="1">
      <alignment horizontal="left"/>
    </xf>
    <xf numFmtId="0" fontId="2" fillId="3" borderId="38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2" fillId="3" borderId="40" xfId="4" applyFont="1" applyFill="1" applyBorder="1" applyAlignment="1">
      <alignment horizontal="center"/>
    </xf>
    <xf numFmtId="0" fontId="2" fillId="3" borderId="43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54" xfId="4" applyFont="1" applyFill="1" applyBorder="1" applyAlignment="1">
      <alignment horizontal="center"/>
    </xf>
    <xf numFmtId="0" fontId="2" fillId="3" borderId="55" xfId="4" applyFont="1" applyFill="1" applyBorder="1" applyAlignment="1">
      <alignment horizontal="center"/>
    </xf>
    <xf numFmtId="0" fontId="11" fillId="3" borderId="14" xfId="4" applyFont="1" applyFill="1" applyBorder="1" applyAlignment="1">
      <alignment horizontal="center"/>
    </xf>
    <xf numFmtId="0" fontId="11" fillId="3" borderId="19" xfId="4" applyFont="1" applyFill="1" applyBorder="1" applyAlignment="1">
      <alignment horizontal="center"/>
    </xf>
    <xf numFmtId="0" fontId="11" fillId="3" borderId="68" xfId="4" applyFont="1" applyFill="1" applyBorder="1" applyAlignment="1">
      <alignment horizontal="center"/>
    </xf>
    <xf numFmtId="0" fontId="11" fillId="3" borderId="41" xfId="4" applyFont="1" applyFill="1" applyBorder="1" applyAlignment="1">
      <alignment horizontal="center"/>
    </xf>
    <xf numFmtId="0" fontId="9" fillId="6" borderId="44" xfId="4" applyFont="1" applyFill="1" applyBorder="1" applyAlignment="1">
      <alignment horizontal="center" vertical="center" wrapText="1"/>
    </xf>
    <xf numFmtId="0" fontId="9" fillId="6" borderId="45" xfId="4" applyFont="1" applyFill="1" applyBorder="1" applyAlignment="1">
      <alignment horizontal="center" vertical="center" wrapText="1"/>
    </xf>
    <xf numFmtId="0" fontId="9" fillId="6" borderId="46" xfId="4" applyFont="1" applyFill="1" applyBorder="1" applyAlignment="1">
      <alignment horizontal="center" vertical="center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5" xfId="4" applyFont="1" applyFill="1" applyBorder="1" applyAlignment="1">
      <alignment horizontal="right" vertical="top" wrapText="1"/>
    </xf>
    <xf numFmtId="0" fontId="4" fillId="3" borderId="33" xfId="4" applyFont="1" applyFill="1" applyBorder="1" applyAlignment="1">
      <alignment horizontal="right" vertical="top" wrapText="1"/>
    </xf>
    <xf numFmtId="0" fontId="24" fillId="0" borderId="0" xfId="0" applyFont="1" applyAlignment="1">
      <alignment horizontal="center" vertical="center"/>
    </xf>
    <xf numFmtId="0" fontId="41" fillId="0" borderId="44" xfId="0" applyFont="1" applyBorder="1" applyAlignment="1">
      <alignment horizontal="right" vertical="center"/>
    </xf>
    <xf numFmtId="0" fontId="41" fillId="0" borderId="45" xfId="0" applyFont="1" applyBorder="1" applyAlignment="1">
      <alignment horizontal="right" vertical="center"/>
    </xf>
    <xf numFmtId="0" fontId="41" fillId="0" borderId="46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2" fillId="0" borderId="26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30" fillId="9" borderId="44" xfId="0" applyFont="1" applyFill="1" applyBorder="1" applyAlignment="1">
      <alignment horizontal="right"/>
    </xf>
    <xf numFmtId="0" fontId="30" fillId="9" borderId="45" xfId="0" applyFont="1" applyFill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5" fillId="0" borderId="26" xfId="0" applyFont="1" applyBorder="1" applyAlignment="1">
      <alignment horizontal="right" vertical="center"/>
    </xf>
    <xf numFmtId="0" fontId="15" fillId="0" borderId="31" xfId="0" applyFont="1" applyBorder="1" applyAlignment="1">
      <alignment horizontal="right" vertical="center"/>
    </xf>
    <xf numFmtId="0" fontId="15" fillId="11" borderId="44" xfId="0" applyFont="1" applyFill="1" applyBorder="1" applyAlignment="1">
      <alignment horizontal="right" vertical="center"/>
    </xf>
    <xf numFmtId="0" fontId="15" fillId="11" borderId="45" xfId="0" applyFont="1" applyFill="1" applyBorder="1" applyAlignment="1">
      <alignment horizontal="right" vertical="center"/>
    </xf>
    <xf numFmtId="0" fontId="15" fillId="11" borderId="46" xfId="0" applyFont="1" applyFill="1" applyBorder="1" applyAlignment="1">
      <alignment horizontal="right" vertical="center"/>
    </xf>
    <xf numFmtId="4" fontId="39" fillId="0" borderId="0" xfId="6" applyNumberFormat="1" applyFont="1" applyFill="1" applyAlignment="1">
      <alignment horizontal="center" vertical="center" wrapText="1"/>
    </xf>
    <xf numFmtId="0" fontId="33" fillId="0" borderId="11" xfId="0" applyFont="1" applyBorder="1" applyAlignment="1">
      <alignment horizontal="right" vertical="center"/>
    </xf>
    <xf numFmtId="0" fontId="34" fillId="0" borderId="17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34" fillId="0" borderId="16" xfId="0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25" fillId="0" borderId="40" xfId="0" applyFont="1" applyBorder="1" applyAlignment="1">
      <alignment horizontal="right"/>
    </xf>
    <xf numFmtId="0" fontId="25" fillId="0" borderId="43" xfId="0" applyFont="1" applyBorder="1" applyAlignment="1">
      <alignment horizontal="right"/>
    </xf>
    <xf numFmtId="0" fontId="14" fillId="0" borderId="11" xfId="0" applyFont="1" applyBorder="1" applyAlignment="1">
      <alignment horizontal="right" vertical="center"/>
    </xf>
    <xf numFmtId="0" fontId="25" fillId="0" borderId="0" xfId="0" applyFont="1" applyAlignment="1">
      <alignment horizontal="right"/>
    </xf>
    <xf numFmtId="0" fontId="19" fillId="0" borderId="26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right" vertical="center" wrapText="1"/>
    </xf>
    <xf numFmtId="0" fontId="8" fillId="3" borderId="26" xfId="4" applyFont="1" applyFill="1" applyBorder="1" applyAlignment="1">
      <alignment horizontal="center" vertical="center"/>
    </xf>
    <xf numFmtId="1" fontId="1" fillId="5" borderId="11" xfId="0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4" fillId="0" borderId="4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2" fillId="5" borderId="20" xfId="0" applyNumberFormat="1" applyFont="1" applyFill="1" applyBorder="1" applyAlignment="1">
      <alignment horizontal="center"/>
    </xf>
    <xf numFmtId="165" fontId="2" fillId="5" borderId="21" xfId="0" applyNumberFormat="1" applyFont="1" applyFill="1" applyBorder="1" applyAlignment="1">
      <alignment horizontal="center"/>
    </xf>
    <xf numFmtId="14" fontId="2" fillId="3" borderId="32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9" fillId="3" borderId="26" xfId="4" applyFont="1" applyFill="1" applyBorder="1" applyAlignment="1">
      <alignment vertical="center"/>
    </xf>
    <xf numFmtId="0" fontId="11" fillId="3" borderId="28" xfId="4" applyFont="1" applyFill="1" applyBorder="1" applyAlignment="1">
      <alignment horizontal="center"/>
    </xf>
    <xf numFmtId="0" fontId="9" fillId="6" borderId="25" xfId="4" applyFont="1" applyFill="1" applyBorder="1" applyAlignment="1">
      <alignment horizontal="center" vertical="center" wrapText="1"/>
    </xf>
    <xf numFmtId="0" fontId="9" fillId="6" borderId="38" xfId="4" applyFont="1" applyFill="1" applyBorder="1" applyAlignment="1">
      <alignment horizontal="center" vertical="center" wrapText="1"/>
    </xf>
    <xf numFmtId="0" fontId="9" fillId="6" borderId="22" xfId="4" applyFont="1" applyFill="1" applyBorder="1" applyAlignment="1">
      <alignment horizontal="center" vertical="center" wrapText="1"/>
    </xf>
    <xf numFmtId="0" fontId="9" fillId="3" borderId="27" xfId="4" applyFont="1" applyFill="1" applyBorder="1" applyAlignment="1">
      <alignment horizontal="right" vertical="center"/>
    </xf>
    <xf numFmtId="0" fontId="9" fillId="3" borderId="26" xfId="4" applyFont="1" applyFill="1" applyBorder="1" applyAlignment="1">
      <alignment horizontal="right" vertical="center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2" fontId="2" fillId="5" borderId="20" xfId="3" applyNumberFormat="1" applyFont="1" applyFill="1" applyBorder="1" applyAlignment="1">
      <alignment horizontal="center"/>
    </xf>
    <xf numFmtId="12" fontId="2" fillId="5" borderId="21" xfId="3" applyNumberFormat="1" applyFont="1" applyFill="1" applyBorder="1" applyAlignment="1">
      <alignment horizontal="center"/>
    </xf>
    <xf numFmtId="1" fontId="51" fillId="0" borderId="20" xfId="0" applyNumberFormat="1" applyFont="1" applyBorder="1" applyAlignment="1">
      <alignment horizontal="center"/>
    </xf>
    <xf numFmtId="1" fontId="51" fillId="0" borderId="21" xfId="0" applyNumberFormat="1" applyFont="1" applyBorder="1" applyAlignment="1">
      <alignment horizontal="center"/>
    </xf>
    <xf numFmtId="0" fontId="4" fillId="0" borderId="54" xfId="0" applyFont="1" applyBorder="1" applyAlignment="1">
      <alignment horizontal="right"/>
    </xf>
    <xf numFmtId="0" fontId="4" fillId="0" borderId="55" xfId="0" applyFont="1" applyBorder="1" applyAlignment="1">
      <alignment horizontal="right"/>
    </xf>
    <xf numFmtId="0" fontId="4" fillId="0" borderId="39" xfId="0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2" fillId="3" borderId="56" xfId="0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64" xfId="4" applyFont="1" applyFill="1" applyBorder="1" applyAlignment="1">
      <alignment horizontal="center"/>
    </xf>
    <xf numFmtId="0" fontId="2" fillId="3" borderId="65" xfId="4" applyFont="1" applyFill="1" applyBorder="1" applyAlignment="1">
      <alignment horizontal="center"/>
    </xf>
    <xf numFmtId="0" fontId="2" fillId="3" borderId="66" xfId="4" applyFont="1" applyFill="1" applyBorder="1" applyAlignment="1">
      <alignment horizontal="center"/>
    </xf>
    <xf numFmtId="0" fontId="4" fillId="4" borderId="44" xfId="0" applyFont="1" applyFill="1" applyBorder="1" applyAlignment="1">
      <alignment horizontal="left"/>
    </xf>
    <xf numFmtId="0" fontId="4" fillId="4" borderId="45" xfId="0" applyFont="1" applyFill="1" applyBorder="1" applyAlignment="1">
      <alignment horizontal="left"/>
    </xf>
    <xf numFmtId="0" fontId="4" fillId="4" borderId="46" xfId="0" applyFont="1" applyFill="1" applyBorder="1" applyAlignment="1">
      <alignment horizontal="left"/>
    </xf>
    <xf numFmtId="164" fontId="2" fillId="0" borderId="20" xfId="0" applyNumberFormat="1" applyFont="1" applyBorder="1" applyAlignment="1">
      <alignment horizontal="right" wrapText="1"/>
    </xf>
    <xf numFmtId="164" fontId="2" fillId="0" borderId="21" xfId="0" applyNumberFormat="1" applyFont="1" applyBorder="1" applyAlignment="1">
      <alignment horizontal="right" wrapText="1"/>
    </xf>
    <xf numFmtId="0" fontId="13" fillId="0" borderId="54" xfId="0" applyFont="1" applyBorder="1" applyAlignment="1">
      <alignment horizontal="left"/>
    </xf>
    <xf numFmtId="0" fontId="13" fillId="0" borderId="55" xfId="0" applyFont="1" applyBorder="1" applyAlignment="1">
      <alignment horizontal="left"/>
    </xf>
    <xf numFmtId="0" fontId="13" fillId="0" borderId="57" xfId="0" applyFont="1" applyBorder="1" applyAlignment="1">
      <alignment horizontal="left"/>
    </xf>
    <xf numFmtId="0" fontId="4" fillId="4" borderId="1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4" fillId="15" borderId="67" xfId="0" applyFont="1" applyFill="1" applyBorder="1" applyAlignment="1">
      <alignment horizontal="left"/>
    </xf>
    <xf numFmtId="0" fontId="4" fillId="15" borderId="33" xfId="0" applyFont="1" applyFill="1" applyBorder="1" applyAlignment="1">
      <alignment horizontal="left"/>
    </xf>
    <xf numFmtId="0" fontId="4" fillId="15" borderId="42" xfId="0" applyFont="1" applyFill="1" applyBorder="1" applyAlignment="1">
      <alignment horizontal="left"/>
    </xf>
    <xf numFmtId="0" fontId="4" fillId="15" borderId="32" xfId="0" applyFont="1" applyFill="1" applyBorder="1" applyAlignment="1">
      <alignment horizontal="left"/>
    </xf>
    <xf numFmtId="0" fontId="9" fillId="6" borderId="47" xfId="4" applyFont="1" applyFill="1" applyBorder="1" applyAlignment="1">
      <alignment horizontal="center"/>
    </xf>
    <xf numFmtId="0" fontId="9" fillId="6" borderId="48" xfId="4" applyFont="1" applyFill="1" applyBorder="1" applyAlignment="1">
      <alignment horizontal="center"/>
    </xf>
    <xf numFmtId="0" fontId="9" fillId="6" borderId="49" xfId="4" applyFont="1" applyFill="1" applyBorder="1" applyAlignment="1">
      <alignment horizontal="center"/>
    </xf>
    <xf numFmtId="0" fontId="51" fillId="0" borderId="6" xfId="3" applyFont="1" applyBorder="1" applyAlignment="1">
      <alignment horizontal="left"/>
    </xf>
    <xf numFmtId="0" fontId="51" fillId="0" borderId="5" xfId="3" applyFont="1" applyBorder="1" applyAlignment="1">
      <alignment horizontal="left"/>
    </xf>
    <xf numFmtId="0" fontId="51" fillId="0" borderId="4" xfId="3" applyFont="1" applyBorder="1" applyAlignment="1">
      <alignment horizontal="left"/>
    </xf>
    <xf numFmtId="0" fontId="4" fillId="15" borderId="3" xfId="0" applyFont="1" applyFill="1" applyBorder="1" applyAlignment="1">
      <alignment horizontal="left"/>
    </xf>
    <xf numFmtId="0" fontId="4" fillId="15" borderId="41" xfId="0" applyFont="1" applyFill="1" applyBorder="1" applyAlignment="1">
      <alignment horizontal="left"/>
    </xf>
    <xf numFmtId="0" fontId="4" fillId="15" borderId="2" xfId="0" applyFont="1" applyFill="1" applyBorder="1" applyAlignment="1">
      <alignment horizontal="left"/>
    </xf>
    <xf numFmtId="0" fontId="4" fillId="15" borderId="1" xfId="0" applyFont="1" applyFill="1" applyBorder="1" applyAlignment="1">
      <alignment horizontal="left"/>
    </xf>
    <xf numFmtId="0" fontId="0" fillId="3" borderId="11" xfId="4" applyFont="1" applyFill="1" applyBorder="1" applyAlignment="1">
      <alignment horizontal="left"/>
    </xf>
    <xf numFmtId="0" fontId="45" fillId="4" borderId="2" xfId="0" applyFont="1" applyFill="1" applyBorder="1" applyAlignment="1">
      <alignment horizontal="center" vertical="center"/>
    </xf>
    <xf numFmtId="0" fontId="45" fillId="4" borderId="3" xfId="0" applyFont="1" applyFill="1" applyBorder="1" applyAlignment="1">
      <alignment horizontal="center" vertical="center"/>
    </xf>
    <xf numFmtId="0" fontId="45" fillId="4" borderId="4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3" borderId="62" xfId="4" applyFont="1" applyFill="1" applyBorder="1" applyAlignment="1">
      <alignment horizontal="left"/>
    </xf>
    <xf numFmtId="0" fontId="2" fillId="3" borderId="63" xfId="4" applyFont="1" applyFill="1" applyBorder="1" applyAlignment="1">
      <alignment horizontal="left"/>
    </xf>
    <xf numFmtId="0" fontId="2" fillId="3" borderId="36" xfId="4" applyFont="1" applyFill="1" applyBorder="1" applyAlignment="1">
      <alignment horizontal="left"/>
    </xf>
    <xf numFmtId="0" fontId="2" fillId="3" borderId="61" xfId="4" applyFont="1" applyFill="1" applyBorder="1" applyAlignment="1">
      <alignment horizontal="center"/>
    </xf>
    <xf numFmtId="0" fontId="2" fillId="3" borderId="35" xfId="4" applyFont="1" applyFill="1" applyBorder="1" applyAlignment="1">
      <alignment horizontal="center"/>
    </xf>
    <xf numFmtId="0" fontId="2" fillId="3" borderId="33" xfId="4" applyFont="1" applyFill="1" applyBorder="1" applyAlignment="1">
      <alignment horizontal="center"/>
    </xf>
    <xf numFmtId="0" fontId="11" fillId="3" borderId="24" xfId="4" applyFont="1" applyFill="1" applyBorder="1" applyAlignment="1">
      <alignment horizontal="center"/>
    </xf>
    <xf numFmtId="0" fontId="11" fillId="3" borderId="36" xfId="4" applyFont="1" applyFill="1" applyBorder="1" applyAlignment="1">
      <alignment horizontal="center"/>
    </xf>
    <xf numFmtId="0" fontId="53" fillId="3" borderId="44" xfId="4" applyFont="1" applyFill="1" applyBorder="1" applyAlignment="1">
      <alignment horizontal="right" vertical="center"/>
    </xf>
    <xf numFmtId="0" fontId="53" fillId="3" borderId="45" xfId="4" applyFont="1" applyFill="1" applyBorder="1" applyAlignment="1">
      <alignment horizontal="right" vertical="center"/>
    </xf>
    <xf numFmtId="0" fontId="57" fillId="3" borderId="45" xfId="4" applyFont="1" applyFill="1" applyBorder="1" applyAlignment="1">
      <alignment horizontal="center" vertical="center"/>
    </xf>
    <xf numFmtId="0" fontId="53" fillId="3" borderId="45" xfId="4" applyFont="1" applyFill="1" applyBorder="1" applyAlignment="1">
      <alignment horizontal="center" vertical="center"/>
    </xf>
    <xf numFmtId="0" fontId="13" fillId="0" borderId="71" xfId="3" applyFont="1" applyBorder="1" applyAlignment="1">
      <alignment horizontal="left" vertical="center"/>
    </xf>
    <xf numFmtId="0" fontId="13" fillId="0" borderId="63" xfId="3" applyFont="1" applyBorder="1" applyAlignment="1">
      <alignment horizontal="left" vertical="center"/>
    </xf>
    <xf numFmtId="0" fontId="13" fillId="0" borderId="72" xfId="3" applyFont="1" applyBorder="1" applyAlignment="1">
      <alignment horizontal="left" vertical="center"/>
    </xf>
    <xf numFmtId="0" fontId="6" fillId="16" borderId="44" xfId="3" applyFont="1" applyFill="1" applyBorder="1" applyAlignment="1">
      <alignment horizontal="left" vertical="center"/>
    </xf>
    <xf numFmtId="0" fontId="6" fillId="16" borderId="45" xfId="3" applyFont="1" applyFill="1" applyBorder="1" applyAlignment="1">
      <alignment horizontal="left" vertical="center"/>
    </xf>
    <xf numFmtId="0" fontId="6" fillId="16" borderId="46" xfId="3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7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/>
    </xf>
    <xf numFmtId="0" fontId="13" fillId="0" borderId="55" xfId="3" applyFont="1" applyBorder="1" applyAlignment="1">
      <alignment horizontal="left" vertical="center"/>
    </xf>
    <xf numFmtId="0" fontId="13" fillId="0" borderId="57" xfId="3" applyFont="1" applyBorder="1" applyAlignment="1">
      <alignment horizontal="left" vertical="center"/>
    </xf>
    <xf numFmtId="0" fontId="13" fillId="0" borderId="6" xfId="3" applyFont="1" applyBorder="1" applyAlignment="1">
      <alignment horizontal="left" vertical="center"/>
    </xf>
    <xf numFmtId="0" fontId="13" fillId="0" borderId="5" xfId="3" applyFont="1" applyBorder="1" applyAlignment="1">
      <alignment horizontal="left" vertical="center"/>
    </xf>
    <xf numFmtId="0" fontId="13" fillId="0" borderId="4" xfId="3" applyFont="1" applyBorder="1" applyAlignment="1">
      <alignment horizontal="left" vertical="center"/>
    </xf>
    <xf numFmtId="0" fontId="13" fillId="0" borderId="6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2" fillId="3" borderId="19" xfId="4" applyFont="1" applyFill="1" applyBorder="1" applyAlignment="1">
      <alignment horizontal="left"/>
    </xf>
    <xf numFmtId="0" fontId="2" fillId="3" borderId="68" xfId="4" applyFont="1" applyFill="1" applyBorder="1" applyAlignment="1">
      <alignment horizontal="left"/>
    </xf>
    <xf numFmtId="0" fontId="2" fillId="3" borderId="41" xfId="4" applyFont="1" applyFill="1" applyBorder="1" applyAlignment="1">
      <alignment horizontal="left"/>
    </xf>
    <xf numFmtId="0" fontId="47" fillId="3" borderId="44" xfId="4" applyFont="1" applyFill="1" applyBorder="1" applyAlignment="1">
      <alignment horizontal="right"/>
    </xf>
    <xf numFmtId="0" fontId="47" fillId="3" borderId="45" xfId="4" applyFont="1" applyFill="1" applyBorder="1" applyAlignment="1">
      <alignment horizontal="right"/>
    </xf>
    <xf numFmtId="0" fontId="49" fillId="3" borderId="45" xfId="4" applyFont="1" applyFill="1" applyBorder="1" applyAlignment="1">
      <alignment horizontal="center"/>
    </xf>
    <xf numFmtId="0" fontId="47" fillId="3" borderId="0" xfId="4" applyFont="1" applyFill="1" applyAlignment="1"/>
    <xf numFmtId="0" fontId="47" fillId="3" borderId="45" xfId="4" applyFont="1" applyFill="1" applyBorder="1" applyAlignment="1"/>
  </cellXfs>
  <cellStyles count="9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2 2" xfId="8" xr:uid="{EFE4F5E3-F39A-4DEC-AC57-AC8EED8CCC7A}"/>
    <cellStyle name="Normal 3" xfId="1" xr:uid="{803E519B-2740-4E7A-923A-CB7740063403}"/>
    <cellStyle name="Normal_CRITERIOS DE EVALUACION PT DE GB 2" xfId="4" xr:uid="{0E6C28D8-E8D3-415B-A485-03AE705826C7}"/>
    <cellStyle name="Porcentaje" xfId="7" builtinId="5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gif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387349</xdr:colOff>
      <xdr:row>0</xdr:row>
      <xdr:rowOff>1</xdr:rowOff>
    </xdr:from>
    <xdr:to>
      <xdr:col>1</xdr:col>
      <xdr:colOff>245312</xdr:colOff>
      <xdr:row>4</xdr:row>
      <xdr:rowOff>190501</xdr:rowOff>
    </xdr:to>
    <xdr:pic>
      <xdr:nvPicPr>
        <xdr:cNvPr id="2" name="Imagen 29">
          <a:extLst>
            <a:ext uri="{FF2B5EF4-FFF2-40B4-BE49-F238E27FC236}">
              <a16:creationId xmlns:a16="http://schemas.microsoft.com/office/drawing/2014/main" id="{56D58C9C-1C57-4F64-92A8-6AC7F7408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49" y="1"/>
          <a:ext cx="924763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292100</xdr:colOff>
      <xdr:row>0</xdr:row>
      <xdr:rowOff>222249</xdr:rowOff>
    </xdr:from>
    <xdr:ext cx="1562100" cy="1023065"/>
    <xdr:pic>
      <xdr:nvPicPr>
        <xdr:cNvPr id="2" name="Imagen 29">
          <a:extLst>
            <a:ext uri="{FF2B5EF4-FFF2-40B4-BE49-F238E27FC236}">
              <a16:creationId xmlns:a16="http://schemas.microsoft.com/office/drawing/2014/main" id="{8F24AB0A-BD9A-4EB9-8651-2A32C9E3C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222249"/>
          <a:ext cx="1562100" cy="1023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179917</xdr:rowOff>
    </xdr:from>
    <xdr:to>
      <xdr:col>1</xdr:col>
      <xdr:colOff>709083</xdr:colOff>
      <xdr:row>3</xdr:row>
      <xdr:rowOff>127000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4EC4F665-2DF1-4181-A14F-AB3AB9F18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917"/>
          <a:ext cx="1471083" cy="783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14</xdr:row>
      <xdr:rowOff>28575</xdr:rowOff>
    </xdr:from>
    <xdr:to>
      <xdr:col>6</xdr:col>
      <xdr:colOff>428625</xdr:colOff>
      <xdr:row>25</xdr:row>
      <xdr:rowOff>57150</xdr:rowOff>
    </xdr:to>
    <xdr:pic>
      <xdr:nvPicPr>
        <xdr:cNvPr id="3" name="Picture 3" descr="100_0099">
          <a:extLst>
            <a:ext uri="{FF2B5EF4-FFF2-40B4-BE49-F238E27FC236}">
              <a16:creationId xmlns:a16="http://schemas.microsoft.com/office/drawing/2014/main" id="{A1824675-2B3E-49F5-836A-7C24E510D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476625"/>
          <a:ext cx="18192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0</xdr:row>
      <xdr:rowOff>0</xdr:rowOff>
    </xdr:from>
    <xdr:to>
      <xdr:col>2</xdr:col>
      <xdr:colOff>657225</xdr:colOff>
      <xdr:row>3</xdr:row>
      <xdr:rowOff>0</xdr:rowOff>
    </xdr:to>
    <xdr:pic>
      <xdr:nvPicPr>
        <xdr:cNvPr id="4" name="5 Imagen" descr="C:\Users\mbeeche\Desktop\logo de spoon nuevo.gif">
          <a:extLst>
            <a:ext uri="{FF2B5EF4-FFF2-40B4-BE49-F238E27FC236}">
              <a16:creationId xmlns:a16="http://schemas.microsoft.com/office/drawing/2014/main" id="{D09F1E6D-704A-4BA0-96B5-F93BA56A0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0"/>
          <a:ext cx="16859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533400</xdr:colOff>
      <xdr:row>14</xdr:row>
      <xdr:rowOff>104775</xdr:rowOff>
    </xdr:from>
    <xdr:to>
      <xdr:col>6</xdr:col>
      <xdr:colOff>514350</xdr:colOff>
      <xdr:row>25</xdr:row>
      <xdr:rowOff>85725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EADEEF33-C3CB-4D57-9540-1EE7035F3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3248025" y="3552825"/>
          <a:ext cx="226695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276226</xdr:colOff>
      <xdr:row>0</xdr:row>
      <xdr:rowOff>66676</xdr:rowOff>
    </xdr:from>
    <xdr:to>
      <xdr:col>2</xdr:col>
      <xdr:colOff>571501</xdr:colOff>
      <xdr:row>3</xdr:row>
      <xdr:rowOff>125924</xdr:rowOff>
    </xdr:to>
    <xdr:pic>
      <xdr:nvPicPr>
        <xdr:cNvPr id="2" name="5 Imagen" descr="C:\Users\mbeeche\Desktop\logo de spoon nuevo.gif">
          <a:extLst>
            <a:ext uri="{FF2B5EF4-FFF2-40B4-BE49-F238E27FC236}">
              <a16:creationId xmlns:a16="http://schemas.microsoft.com/office/drawing/2014/main" id="{3F60BEB5-5D1A-4EFD-AC5C-AE4CAAC85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6" y="66676"/>
          <a:ext cx="1371600" cy="706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48685</xdr:rowOff>
    </xdr:from>
    <xdr:to>
      <xdr:col>1</xdr:col>
      <xdr:colOff>492125</xdr:colOff>
      <xdr:row>4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733F81-8337-4D71-8284-B5F5EA238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48685"/>
          <a:ext cx="1276350" cy="8561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95250</xdr:rowOff>
    </xdr:from>
    <xdr:ext cx="1697567" cy="1280583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61013BF2-242B-4B44-9BC0-34A405266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28599" y="95250"/>
          <a:ext cx="1697567" cy="1280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38100</xdr:rowOff>
    </xdr:from>
    <xdr:ext cx="1346974" cy="123776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7DA28C21-C8FC-4622-A78A-BE01F774F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09550" y="38100"/>
          <a:ext cx="1346974" cy="1237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255868</xdr:colOff>
      <xdr:row>0</xdr:row>
      <xdr:rowOff>36232</xdr:rowOff>
    </xdr:from>
    <xdr:to>
      <xdr:col>1</xdr:col>
      <xdr:colOff>381000</xdr:colOff>
      <xdr:row>4</xdr:row>
      <xdr:rowOff>114601</xdr:rowOff>
    </xdr:to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BF733F5B-A99C-4F63-B87A-F1738B574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55868" y="36232"/>
          <a:ext cx="1201457" cy="8975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1</xdr:col>
      <xdr:colOff>381000</xdr:colOff>
      <xdr:row>4</xdr:row>
      <xdr:rowOff>96151</xdr:rowOff>
    </xdr:to>
    <xdr:pic>
      <xdr:nvPicPr>
        <xdr:cNvPr id="2" name="Picture 11" descr="LOGO FINAL">
          <a:extLst>
            <a:ext uri="{FF2B5EF4-FFF2-40B4-BE49-F238E27FC236}">
              <a16:creationId xmlns:a16="http://schemas.microsoft.com/office/drawing/2014/main" id="{FD475E97-E8BC-478C-AA78-CAD37E693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114300" y="66675"/>
          <a:ext cx="1343025" cy="87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1</xdr:row>
      <xdr:rowOff>19050</xdr:rowOff>
    </xdr:from>
    <xdr:to>
      <xdr:col>1</xdr:col>
      <xdr:colOff>455705</xdr:colOff>
      <xdr:row>4</xdr:row>
      <xdr:rowOff>152400</xdr:rowOff>
    </xdr:to>
    <xdr:pic>
      <xdr:nvPicPr>
        <xdr:cNvPr id="2" name="Imagen 29">
          <a:extLst>
            <a:ext uri="{FF2B5EF4-FFF2-40B4-BE49-F238E27FC236}">
              <a16:creationId xmlns:a16="http://schemas.microsoft.com/office/drawing/2014/main" id="{50A2BF4F-81DE-4E20-B595-8E28D0F58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219075"/>
          <a:ext cx="1274854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266701</xdr:colOff>
      <xdr:row>0</xdr:row>
      <xdr:rowOff>0</xdr:rowOff>
    </xdr:from>
    <xdr:to>
      <xdr:col>1</xdr:col>
      <xdr:colOff>314325</xdr:colOff>
      <xdr:row>4</xdr:row>
      <xdr:rowOff>150667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2B499B14-C194-447C-A6C8-0A6652FA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66701" y="0"/>
          <a:ext cx="1133474" cy="969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18</xdr:row>
      <xdr:rowOff>161925</xdr:rowOff>
    </xdr:from>
    <xdr:to>
      <xdr:col>23</xdr:col>
      <xdr:colOff>191470</xdr:colOff>
      <xdr:row>40</xdr:row>
      <xdr:rowOff>19604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30E53C-AA24-0851-1853-7259149A7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581275"/>
          <a:ext cx="6954220" cy="39724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DDDA-F718-40BF-B398-B5D28ADAA365}">
  <dimension ref="A1:I39"/>
  <sheetViews>
    <sheetView workbookViewId="0">
      <selection activeCell="C12" sqref="C12"/>
    </sheetView>
  </sheetViews>
  <sheetFormatPr defaultColWidth="11.42578125" defaultRowHeight="15"/>
  <cols>
    <col min="1" max="1" width="16" customWidth="1"/>
    <col min="2" max="2" width="14.42578125" customWidth="1"/>
    <col min="3" max="3" width="36" customWidth="1"/>
    <col min="8" max="8" width="19.140625" customWidth="1"/>
    <col min="9" max="9" width="18.5703125" customWidth="1"/>
  </cols>
  <sheetData>
    <row r="1" spans="1:9" ht="18">
      <c r="A1" s="503"/>
      <c r="B1" s="504"/>
      <c r="C1" s="509" t="s">
        <v>0</v>
      </c>
      <c r="D1" s="509"/>
      <c r="E1" s="509"/>
      <c r="F1" s="509"/>
      <c r="G1" s="509"/>
      <c r="H1" s="223" t="s">
        <v>1</v>
      </c>
      <c r="I1" s="224" t="s">
        <v>2</v>
      </c>
    </row>
    <row r="2" spans="1:9" ht="18">
      <c r="A2" s="505"/>
      <c r="B2" s="506"/>
      <c r="C2" s="510" t="s">
        <v>3</v>
      </c>
      <c r="D2" s="510"/>
      <c r="E2" s="510"/>
      <c r="F2" s="510"/>
      <c r="G2" s="510"/>
      <c r="H2" s="226" t="s">
        <v>4</v>
      </c>
      <c r="I2" s="272" t="s">
        <v>5</v>
      </c>
    </row>
    <row r="3" spans="1:9">
      <c r="A3" s="505"/>
      <c r="B3" s="506"/>
      <c r="C3" s="511" t="s">
        <v>6</v>
      </c>
      <c r="D3" s="512"/>
      <c r="E3" s="512"/>
      <c r="F3" s="512"/>
      <c r="G3" s="513"/>
      <c r="H3" s="514" t="s">
        <v>7</v>
      </c>
      <c r="I3" s="499" t="s">
        <v>8</v>
      </c>
    </row>
    <row r="4" spans="1:9">
      <c r="A4" s="505"/>
      <c r="B4" s="506"/>
      <c r="C4" s="228" t="s">
        <v>9</v>
      </c>
      <c r="D4" s="501" t="s">
        <v>10</v>
      </c>
      <c r="E4" s="501"/>
      <c r="F4" s="501"/>
      <c r="G4" s="501"/>
      <c r="H4" s="514"/>
      <c r="I4" s="499"/>
    </row>
    <row r="5" spans="1:9" ht="15.75" thickBot="1">
      <c r="A5" s="507"/>
      <c r="B5" s="508"/>
      <c r="C5" s="229" t="s">
        <v>11</v>
      </c>
      <c r="D5" s="502" t="s">
        <v>12</v>
      </c>
      <c r="E5" s="502"/>
      <c r="F5" s="502"/>
      <c r="G5" s="502"/>
      <c r="H5" s="515"/>
      <c r="I5" s="500"/>
    </row>
    <row r="6" spans="1:9">
      <c r="A6" s="230"/>
      <c r="B6" s="230"/>
      <c r="C6" s="231"/>
      <c r="D6" s="232"/>
      <c r="E6" s="232"/>
      <c r="F6" s="232"/>
      <c r="G6" s="232"/>
      <c r="H6" s="233"/>
      <c r="I6" s="234"/>
    </row>
    <row r="7" spans="1:9" ht="18.75" thickBot="1">
      <c r="A7" s="516" t="s">
        <v>13</v>
      </c>
      <c r="B7" s="516"/>
      <c r="C7" s="516"/>
      <c r="D7" s="517" t="s">
        <v>14</v>
      </c>
      <c r="E7" s="517"/>
      <c r="F7" s="517"/>
      <c r="G7" s="847" t="s">
        <v>15</v>
      </c>
      <c r="H7" s="847"/>
      <c r="I7" s="235" t="s">
        <v>14</v>
      </c>
    </row>
    <row r="8" spans="1:9">
      <c r="A8" s="518" t="s">
        <v>16</v>
      </c>
      <c r="B8" s="520" t="s">
        <v>17</v>
      </c>
      <c r="C8" s="522" t="s">
        <v>18</v>
      </c>
      <c r="D8" s="522" t="s">
        <v>19</v>
      </c>
      <c r="E8" s="522" t="s">
        <v>20</v>
      </c>
      <c r="F8" s="522"/>
      <c r="G8" s="522" t="s">
        <v>21</v>
      </c>
      <c r="H8" s="522"/>
      <c r="I8" s="236" t="s">
        <v>22</v>
      </c>
    </row>
    <row r="9" spans="1:9" ht="27" thickBot="1">
      <c r="A9" s="519"/>
      <c r="B9" s="521"/>
      <c r="C9" s="523"/>
      <c r="D9" s="523"/>
      <c r="E9" s="237" t="s">
        <v>23</v>
      </c>
      <c r="F9" s="238" t="s">
        <v>24</v>
      </c>
      <c r="G9" s="239" t="s">
        <v>23</v>
      </c>
      <c r="H9" s="238" t="s">
        <v>24</v>
      </c>
      <c r="I9" s="240" t="s">
        <v>25</v>
      </c>
    </row>
    <row r="10" spans="1:9" ht="15.75">
      <c r="A10" s="273">
        <v>11200080</v>
      </c>
      <c r="B10" s="273" t="s">
        <v>26</v>
      </c>
      <c r="C10" s="84" t="s">
        <v>27</v>
      </c>
      <c r="D10" s="242" t="s">
        <v>28</v>
      </c>
      <c r="E10" s="242">
        <v>4600</v>
      </c>
      <c r="F10" s="243" t="s">
        <v>29</v>
      </c>
      <c r="G10" s="244"/>
      <c r="H10" s="243"/>
      <c r="I10" s="245"/>
    </row>
    <row r="11" spans="1:9" ht="15.75">
      <c r="A11" s="274" t="s">
        <v>30</v>
      </c>
      <c r="B11" s="274" t="s">
        <v>31</v>
      </c>
      <c r="C11" s="275" t="s">
        <v>32</v>
      </c>
      <c r="D11" s="242" t="s">
        <v>33</v>
      </c>
      <c r="E11" s="242">
        <v>11000</v>
      </c>
      <c r="F11" s="243" t="s">
        <v>29</v>
      </c>
      <c r="G11" s="244"/>
      <c r="H11" s="243"/>
      <c r="I11" s="245"/>
    </row>
    <row r="12" spans="1:9" ht="15.75">
      <c r="A12" s="208" t="s">
        <v>34</v>
      </c>
      <c r="B12" s="208" t="s">
        <v>35</v>
      </c>
      <c r="C12" s="209" t="s">
        <v>36</v>
      </c>
      <c r="D12" s="242" t="s">
        <v>37</v>
      </c>
      <c r="E12" s="242">
        <v>7500</v>
      </c>
      <c r="F12" s="243" t="s">
        <v>29</v>
      </c>
      <c r="G12" s="244"/>
      <c r="H12" s="243"/>
      <c r="I12" s="245"/>
    </row>
    <row r="13" spans="1:9" ht="15.75">
      <c r="A13" s="210" t="s">
        <v>38</v>
      </c>
      <c r="B13" s="210" t="s">
        <v>39</v>
      </c>
      <c r="C13" s="211" t="s">
        <v>40</v>
      </c>
      <c r="D13" s="242" t="s">
        <v>37</v>
      </c>
      <c r="E13" s="242">
        <v>1900</v>
      </c>
      <c r="F13" s="243"/>
      <c r="G13" s="244"/>
      <c r="H13" s="243"/>
      <c r="I13" s="245"/>
    </row>
    <row r="14" spans="1:9" ht="15.75">
      <c r="A14" s="274" t="s">
        <v>41</v>
      </c>
      <c r="B14" s="274" t="s">
        <v>42</v>
      </c>
      <c r="C14" s="275" t="s">
        <v>43</v>
      </c>
      <c r="D14" s="242" t="s">
        <v>44</v>
      </c>
      <c r="E14" s="242">
        <v>50</v>
      </c>
      <c r="F14" s="243" t="s">
        <v>29</v>
      </c>
      <c r="G14" s="244"/>
      <c r="H14" s="243"/>
      <c r="I14" s="245"/>
    </row>
    <row r="15" spans="1:9" ht="15.75">
      <c r="A15" s="276">
        <v>10100046</v>
      </c>
      <c r="B15" s="276" t="s">
        <v>45</v>
      </c>
      <c r="C15" s="277" t="s">
        <v>46</v>
      </c>
      <c r="D15" s="242" t="s">
        <v>47</v>
      </c>
      <c r="E15" s="242">
        <v>300</v>
      </c>
      <c r="F15" s="243" t="s">
        <v>29</v>
      </c>
      <c r="G15" s="244"/>
      <c r="H15" s="243"/>
      <c r="I15" s="245"/>
    </row>
    <row r="16" spans="1:9" ht="15.75">
      <c r="A16" s="276"/>
      <c r="B16" s="276"/>
      <c r="C16" s="277"/>
      <c r="D16" s="278"/>
      <c r="E16" s="243"/>
      <c r="F16" s="243"/>
      <c r="G16" s="244"/>
      <c r="H16" s="243"/>
      <c r="I16" s="245"/>
    </row>
    <row r="17" spans="1:9" ht="15.75">
      <c r="A17" s="274" t="s">
        <v>48</v>
      </c>
      <c r="B17" s="274" t="s">
        <v>49</v>
      </c>
      <c r="C17" s="275" t="s">
        <v>50</v>
      </c>
      <c r="D17" s="278"/>
      <c r="E17" s="243">
        <v>1</v>
      </c>
      <c r="F17" s="243" t="s">
        <v>51</v>
      </c>
      <c r="G17" s="244"/>
      <c r="H17" s="243"/>
      <c r="I17" s="245"/>
    </row>
    <row r="18" spans="1:9" ht="15.75">
      <c r="A18" s="274">
        <v>503000042</v>
      </c>
      <c r="B18" s="274" t="s">
        <v>52</v>
      </c>
      <c r="C18" s="275" t="s">
        <v>53</v>
      </c>
      <c r="D18" s="278"/>
      <c r="E18" s="243">
        <v>1</v>
      </c>
      <c r="F18" s="243" t="s">
        <v>51</v>
      </c>
      <c r="G18" s="244"/>
      <c r="H18" s="243"/>
      <c r="I18" s="245"/>
    </row>
    <row r="19" spans="1:9" ht="15.75">
      <c r="A19" s="274" t="s">
        <v>54</v>
      </c>
      <c r="B19" s="274" t="s">
        <v>55</v>
      </c>
      <c r="C19" s="275" t="s">
        <v>56</v>
      </c>
      <c r="D19" s="278"/>
      <c r="E19" s="243">
        <v>2</v>
      </c>
      <c r="F19" s="243" t="s">
        <v>51</v>
      </c>
      <c r="G19" s="244"/>
      <c r="H19" s="243"/>
      <c r="I19" s="245"/>
    </row>
    <row r="20" spans="1:9" ht="15.75">
      <c r="A20" s="208">
        <v>1950705</v>
      </c>
      <c r="B20" s="208" t="s">
        <v>57</v>
      </c>
      <c r="C20" s="209" t="s">
        <v>58</v>
      </c>
      <c r="D20" s="242"/>
      <c r="E20" s="242">
        <v>1</v>
      </c>
      <c r="F20" s="242" t="s">
        <v>51</v>
      </c>
      <c r="G20" s="244"/>
      <c r="H20" s="243"/>
      <c r="I20" s="245"/>
    </row>
    <row r="21" spans="1:9" ht="15.75" thickBot="1">
      <c r="A21" s="208">
        <v>60100010</v>
      </c>
      <c r="B21" s="208" t="s">
        <v>59</v>
      </c>
      <c r="C21" s="209" t="s">
        <v>60</v>
      </c>
      <c r="D21" s="279"/>
      <c r="E21" s="280">
        <v>1</v>
      </c>
      <c r="F21" s="281" t="s">
        <v>51</v>
      </c>
      <c r="G21" s="225"/>
      <c r="H21" s="225"/>
      <c r="I21" s="255"/>
    </row>
    <row r="22" spans="1:9" ht="15.75" thickBot="1">
      <c r="A22" s="257"/>
      <c r="B22" s="258"/>
      <c r="C22" s="259"/>
      <c r="D22" s="260" t="s">
        <v>23</v>
      </c>
      <c r="E22" s="261" t="s">
        <v>61</v>
      </c>
      <c r="F22" s="262"/>
      <c r="G22" s="259"/>
      <c r="H22" s="259"/>
      <c r="I22" s="263"/>
    </row>
    <row r="23" spans="1:9">
      <c r="A23" s="524" t="s">
        <v>62</v>
      </c>
      <c r="B23" s="525"/>
      <c r="C23" s="526"/>
      <c r="D23" s="264">
        <v>25350</v>
      </c>
      <c r="E23" s="265" t="s">
        <v>29</v>
      </c>
      <c r="F23" s="527"/>
      <c r="G23" s="527"/>
      <c r="H23" s="528"/>
      <c r="I23" s="529"/>
    </row>
    <row r="24" spans="1:9">
      <c r="A24" s="530" t="s">
        <v>63</v>
      </c>
      <c r="B24" s="531"/>
      <c r="C24" s="532"/>
      <c r="D24" s="266">
        <v>4</v>
      </c>
      <c r="E24" s="201" t="s">
        <v>64</v>
      </c>
      <c r="F24" s="533"/>
      <c r="G24" s="533"/>
      <c r="H24" s="534"/>
      <c r="I24" s="535"/>
    </row>
    <row r="25" spans="1:9">
      <c r="A25" s="530" t="s">
        <v>65</v>
      </c>
      <c r="B25" s="531"/>
      <c r="C25" s="532"/>
      <c r="D25" s="201">
        <v>1</v>
      </c>
      <c r="E25" s="201" t="s">
        <v>66</v>
      </c>
      <c r="F25" s="533"/>
      <c r="G25" s="533"/>
      <c r="H25" s="534"/>
      <c r="I25" s="535"/>
    </row>
    <row r="26" spans="1:9">
      <c r="A26" s="530" t="s">
        <v>67</v>
      </c>
      <c r="B26" s="531"/>
      <c r="C26" s="532"/>
      <c r="D26" s="267">
        <v>25350</v>
      </c>
      <c r="E26" s="201" t="s">
        <v>29</v>
      </c>
      <c r="F26" s="539"/>
      <c r="G26" s="540"/>
      <c r="H26" s="534"/>
      <c r="I26" s="535"/>
    </row>
    <row r="27" spans="1:9" ht="15.75" thickBot="1">
      <c r="A27" s="541" t="s">
        <v>68</v>
      </c>
      <c r="B27" s="542"/>
      <c r="C27" s="543"/>
      <c r="D27" s="269">
        <v>0</v>
      </c>
      <c r="E27" s="270" t="s">
        <v>29</v>
      </c>
      <c r="F27" s="544"/>
      <c r="G27" s="544"/>
      <c r="H27" s="545"/>
      <c r="I27" s="546"/>
    </row>
    <row r="28" spans="1:9" ht="15.75" thickBot="1">
      <c r="A28" s="547" t="s">
        <v>69</v>
      </c>
      <c r="B28" s="548"/>
      <c r="C28" s="548"/>
      <c r="D28" s="548"/>
      <c r="E28" s="548"/>
      <c r="F28" s="548"/>
      <c r="G28" s="548"/>
      <c r="H28" s="548"/>
      <c r="I28" s="549"/>
    </row>
    <row r="29" spans="1:9">
      <c r="A29" s="536" t="s">
        <v>70</v>
      </c>
      <c r="B29" s="537"/>
      <c r="C29" s="537"/>
      <c r="D29" s="537"/>
      <c r="E29" s="537"/>
      <c r="F29" s="537"/>
      <c r="G29" s="537"/>
      <c r="H29" s="537"/>
      <c r="I29" s="538"/>
    </row>
    <row r="30" spans="1:9" ht="14.1" customHeight="1">
      <c r="A30" s="536" t="s">
        <v>71</v>
      </c>
      <c r="B30" s="537"/>
      <c r="C30" s="537"/>
      <c r="D30" s="537"/>
      <c r="E30" s="537"/>
      <c r="F30" s="537"/>
      <c r="G30" s="537"/>
      <c r="H30" s="537"/>
      <c r="I30" s="538"/>
    </row>
    <row r="31" spans="1:9">
      <c r="A31" s="536"/>
      <c r="B31" s="537"/>
      <c r="C31" s="537"/>
      <c r="D31" s="537"/>
      <c r="E31" s="537"/>
      <c r="F31" s="537"/>
      <c r="G31" s="537"/>
      <c r="H31" s="537"/>
      <c r="I31" s="538"/>
    </row>
    <row r="32" spans="1:9">
      <c r="A32" s="536"/>
      <c r="B32" s="537"/>
      <c r="C32" s="537"/>
      <c r="D32" s="537"/>
      <c r="E32" s="537"/>
      <c r="F32" s="537"/>
      <c r="G32" s="537"/>
      <c r="H32" s="537"/>
      <c r="I32" s="538"/>
    </row>
    <row r="33" spans="1:9">
      <c r="A33" s="536"/>
      <c r="B33" s="537"/>
      <c r="C33" s="537"/>
      <c r="D33" s="537"/>
      <c r="E33" s="537"/>
      <c r="F33" s="537"/>
      <c r="G33" s="537"/>
      <c r="H33" s="537"/>
      <c r="I33" s="538"/>
    </row>
    <row r="34" spans="1:9">
      <c r="A34" s="536"/>
      <c r="B34" s="537"/>
      <c r="C34" s="537"/>
      <c r="D34" s="537"/>
      <c r="E34" s="537"/>
      <c r="F34" s="537"/>
      <c r="G34" s="537"/>
      <c r="H34" s="537"/>
      <c r="I34" s="538"/>
    </row>
    <row r="35" spans="1:9">
      <c r="A35" s="553"/>
      <c r="B35" s="554"/>
      <c r="C35" s="554"/>
      <c r="D35" s="554"/>
      <c r="E35" s="554"/>
      <c r="F35" s="554"/>
      <c r="G35" s="554"/>
      <c r="H35" s="554"/>
      <c r="I35" s="555"/>
    </row>
    <row r="36" spans="1:9">
      <c r="A36" s="553"/>
      <c r="B36" s="554"/>
      <c r="C36" s="554"/>
      <c r="D36" s="554"/>
      <c r="E36" s="554"/>
      <c r="F36" s="554"/>
      <c r="G36" s="554"/>
      <c r="H36" s="554"/>
      <c r="I36" s="555"/>
    </row>
    <row r="37" spans="1:9" ht="15.75" thickBot="1">
      <c r="A37" s="550"/>
      <c r="B37" s="551"/>
      <c r="C37" s="551"/>
      <c r="D37" s="551"/>
      <c r="E37" s="551"/>
      <c r="F37" s="551"/>
      <c r="G37" s="551"/>
      <c r="H37" s="551"/>
      <c r="I37" s="552"/>
    </row>
    <row r="38" spans="1:9" ht="15.75" thickBot="1">
      <c r="A38" s="547" t="s">
        <v>72</v>
      </c>
      <c r="B38" s="548"/>
      <c r="C38" s="548"/>
      <c r="D38" s="548"/>
      <c r="E38" s="548"/>
      <c r="F38" s="548"/>
      <c r="G38" s="548"/>
      <c r="H38" s="548"/>
      <c r="I38" s="549"/>
    </row>
    <row r="39" spans="1:9">
      <c r="A39" t="s">
        <v>73</v>
      </c>
    </row>
  </sheetData>
  <mergeCells count="43">
    <mergeCell ref="A37:I37"/>
    <mergeCell ref="A38:I38"/>
    <mergeCell ref="A31:I31"/>
    <mergeCell ref="A32:I32"/>
    <mergeCell ref="A33:I33"/>
    <mergeCell ref="A34:I34"/>
    <mergeCell ref="A35:I35"/>
    <mergeCell ref="A36:I36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23:C23"/>
    <mergeCell ref="F23:G23"/>
    <mergeCell ref="H23:I23"/>
    <mergeCell ref="A24:C24"/>
    <mergeCell ref="F24:G24"/>
    <mergeCell ref="H24:I24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9584-A5D8-432A-86BB-5E7CD942373F}">
  <dimension ref="A1:M34"/>
  <sheetViews>
    <sheetView workbookViewId="0">
      <selection activeCell="B10" sqref="B10"/>
    </sheetView>
  </sheetViews>
  <sheetFormatPr defaultColWidth="11.42578125" defaultRowHeight="12.75"/>
  <cols>
    <col min="1" max="1" width="16.140625" style="225" customWidth="1"/>
    <col min="2" max="2" width="15.85546875" style="225" customWidth="1"/>
    <col min="3" max="3" width="44.7109375" style="225" customWidth="1"/>
    <col min="4" max="4" width="15.5703125" style="225" customWidth="1"/>
    <col min="5" max="5" width="11.42578125" style="225"/>
    <col min="6" max="6" width="13.140625" style="225" customWidth="1"/>
    <col min="7" max="7" width="12.5703125" style="225" customWidth="1"/>
    <col min="8" max="8" width="15.5703125" style="225" customWidth="1"/>
    <col min="9" max="9" width="16" style="225" customWidth="1"/>
    <col min="10" max="16384" width="11.42578125" style="225"/>
  </cols>
  <sheetData>
    <row r="1" spans="1:12" ht="18">
      <c r="A1" s="503"/>
      <c r="B1" s="504"/>
      <c r="C1" s="509" t="s">
        <v>0</v>
      </c>
      <c r="D1" s="509"/>
      <c r="E1" s="509"/>
      <c r="F1" s="509"/>
      <c r="G1" s="509"/>
      <c r="H1" s="223" t="s">
        <v>1</v>
      </c>
      <c r="I1" s="224" t="s">
        <v>74</v>
      </c>
    </row>
    <row r="2" spans="1:12" ht="18">
      <c r="A2" s="505"/>
      <c r="B2" s="506"/>
      <c r="C2" s="510" t="s">
        <v>3</v>
      </c>
      <c r="D2" s="510"/>
      <c r="E2" s="510"/>
      <c r="F2" s="510"/>
      <c r="G2" s="510"/>
      <c r="H2" s="226" t="s">
        <v>4</v>
      </c>
      <c r="I2" s="227" t="s">
        <v>5</v>
      </c>
    </row>
    <row r="3" spans="1:12" ht="50.1" customHeight="1">
      <c r="A3" s="505"/>
      <c r="B3" s="506"/>
      <c r="C3" s="511" t="s">
        <v>75</v>
      </c>
      <c r="D3" s="512"/>
      <c r="E3" s="512"/>
      <c r="F3" s="512"/>
      <c r="G3" s="513"/>
      <c r="H3" s="514" t="s">
        <v>7</v>
      </c>
      <c r="I3" s="556">
        <v>45167</v>
      </c>
    </row>
    <row r="4" spans="1:12">
      <c r="A4" s="505"/>
      <c r="B4" s="506"/>
      <c r="C4" s="228" t="s">
        <v>9</v>
      </c>
      <c r="D4" s="501" t="s">
        <v>10</v>
      </c>
      <c r="E4" s="501"/>
      <c r="F4" s="501"/>
      <c r="G4" s="501"/>
      <c r="H4" s="514"/>
      <c r="I4" s="499"/>
    </row>
    <row r="5" spans="1:12" ht="13.5" thickBot="1">
      <c r="A5" s="507"/>
      <c r="B5" s="508"/>
      <c r="C5" s="229" t="s">
        <v>11</v>
      </c>
      <c r="D5" s="502" t="s">
        <v>12</v>
      </c>
      <c r="E5" s="502"/>
      <c r="F5" s="502"/>
      <c r="G5" s="502"/>
      <c r="H5" s="515"/>
      <c r="I5" s="500"/>
    </row>
    <row r="6" spans="1:12">
      <c r="A6" s="230"/>
      <c r="B6" s="230"/>
      <c r="C6" s="231"/>
      <c r="D6" s="232"/>
      <c r="E6" s="232"/>
      <c r="F6" s="232"/>
      <c r="G6" s="232"/>
      <c r="H6" s="233"/>
      <c r="I6" s="234"/>
    </row>
    <row r="7" spans="1:12" ht="18.75" thickBot="1">
      <c r="A7" s="516" t="s">
        <v>13</v>
      </c>
      <c r="B7" s="516"/>
      <c r="C7" s="516"/>
      <c r="D7" s="517" t="s">
        <v>76</v>
      </c>
      <c r="E7" s="517"/>
      <c r="F7" s="517"/>
      <c r="G7" s="847" t="s">
        <v>15</v>
      </c>
      <c r="H7" s="847"/>
      <c r="I7" s="235" t="s">
        <v>76</v>
      </c>
    </row>
    <row r="8" spans="1:12" ht="25.5">
      <c r="A8" s="518" t="s">
        <v>16</v>
      </c>
      <c r="B8" s="557" t="s">
        <v>17</v>
      </c>
      <c r="C8" s="522" t="s">
        <v>18</v>
      </c>
      <c r="D8" s="522" t="s">
        <v>19</v>
      </c>
      <c r="E8" s="522" t="s">
        <v>20</v>
      </c>
      <c r="F8" s="522"/>
      <c r="G8" s="522" t="s">
        <v>21</v>
      </c>
      <c r="H8" s="522"/>
      <c r="I8" s="236" t="s">
        <v>22</v>
      </c>
    </row>
    <row r="9" spans="1:12" ht="26.25" thickBot="1">
      <c r="A9" s="519"/>
      <c r="B9" s="558"/>
      <c r="C9" s="523"/>
      <c r="D9" s="523"/>
      <c r="E9" s="237" t="s">
        <v>23</v>
      </c>
      <c r="F9" s="238" t="s">
        <v>24</v>
      </c>
      <c r="G9" s="239" t="s">
        <v>23</v>
      </c>
      <c r="H9" s="238" t="s">
        <v>24</v>
      </c>
      <c r="I9" s="240" t="s">
        <v>25</v>
      </c>
    </row>
    <row r="10" spans="1:12" ht="15.75">
      <c r="A10" s="241">
        <v>906000136</v>
      </c>
      <c r="B10" s="241" t="s">
        <v>77</v>
      </c>
      <c r="C10" s="84" t="s">
        <v>78</v>
      </c>
      <c r="D10" s="242" t="s">
        <v>79</v>
      </c>
      <c r="E10" s="242">
        <v>25350</v>
      </c>
      <c r="F10" s="243" t="s">
        <v>29</v>
      </c>
      <c r="G10" s="244"/>
      <c r="H10" s="243"/>
      <c r="I10" s="245"/>
    </row>
    <row r="11" spans="1:12" ht="15.75">
      <c r="A11" s="208" t="s">
        <v>80</v>
      </c>
      <c r="B11" s="208" t="s">
        <v>81</v>
      </c>
      <c r="C11" s="209" t="s">
        <v>82</v>
      </c>
      <c r="D11" s="242" t="s">
        <v>83</v>
      </c>
      <c r="E11" s="242">
        <v>9600</v>
      </c>
      <c r="F11" s="243" t="s">
        <v>29</v>
      </c>
      <c r="G11" s="244"/>
      <c r="H11" s="243"/>
      <c r="I11" s="245"/>
    </row>
    <row r="12" spans="1:12" ht="15.75">
      <c r="A12" s="208" t="s">
        <v>84</v>
      </c>
      <c r="B12" s="208"/>
      <c r="C12" s="209" t="s">
        <v>85</v>
      </c>
      <c r="D12" s="242" t="s">
        <v>79</v>
      </c>
      <c r="E12" s="242">
        <v>10200</v>
      </c>
      <c r="F12" s="243" t="s">
        <v>29</v>
      </c>
      <c r="G12" s="244"/>
      <c r="H12" s="243"/>
      <c r="I12" s="245"/>
    </row>
    <row r="13" spans="1:12" ht="15.75">
      <c r="A13" s="241">
        <v>10100050</v>
      </c>
      <c r="B13" s="241" t="s">
        <v>86</v>
      </c>
      <c r="C13" s="84" t="s">
        <v>87</v>
      </c>
      <c r="D13" s="242" t="s">
        <v>88</v>
      </c>
      <c r="E13" s="242">
        <v>1400</v>
      </c>
      <c r="F13" s="243" t="s">
        <v>29</v>
      </c>
      <c r="G13" s="244"/>
      <c r="H13" s="243"/>
      <c r="I13" s="245"/>
    </row>
    <row r="14" spans="1:12" ht="15.75">
      <c r="A14" s="246"/>
      <c r="B14" s="247"/>
      <c r="C14" s="248"/>
      <c r="D14" s="243"/>
      <c r="E14" s="243"/>
      <c r="F14" s="243"/>
      <c r="G14" s="242">
        <v>4600</v>
      </c>
      <c r="H14" s="243"/>
      <c r="I14" s="245"/>
    </row>
    <row r="15" spans="1:12" ht="15.75">
      <c r="A15" s="246"/>
      <c r="B15" s="247"/>
      <c r="C15" s="249"/>
      <c r="D15" s="243"/>
      <c r="E15" s="243"/>
      <c r="F15" s="250">
        <f>+G14/D18</f>
        <v>0.1</v>
      </c>
      <c r="G15" s="244"/>
      <c r="H15" s="243"/>
      <c r="I15" s="245"/>
    </row>
    <row r="16" spans="1:12" ht="13.5" thickBot="1">
      <c r="A16" s="251"/>
      <c r="B16" s="252"/>
      <c r="E16" s="253"/>
      <c r="F16" s="254"/>
      <c r="I16" s="255"/>
      <c r="L16" s="256"/>
    </row>
    <row r="17" spans="1:13" ht="13.5" thickBot="1">
      <c r="A17" s="257"/>
      <c r="B17" s="258"/>
      <c r="C17" s="259"/>
      <c r="D17" s="260" t="s">
        <v>23</v>
      </c>
      <c r="E17" s="261" t="s">
        <v>61</v>
      </c>
      <c r="F17" s="262"/>
      <c r="G17" s="259"/>
      <c r="H17" s="259"/>
      <c r="I17" s="263"/>
      <c r="L17" s="256"/>
    </row>
    <row r="18" spans="1:13">
      <c r="A18" s="524" t="s">
        <v>62</v>
      </c>
      <c r="B18" s="525"/>
      <c r="C18" s="526"/>
      <c r="D18" s="264">
        <v>46000</v>
      </c>
      <c r="E18" s="265" t="s">
        <v>29</v>
      </c>
      <c r="F18" s="527"/>
      <c r="G18" s="527"/>
      <c r="H18" s="528"/>
      <c r="I18" s="529"/>
      <c r="L18" s="256"/>
    </row>
    <row r="19" spans="1:13">
      <c r="A19" s="530" t="s">
        <v>63</v>
      </c>
      <c r="B19" s="531"/>
      <c r="C19" s="532"/>
      <c r="D19" s="266">
        <v>11</v>
      </c>
      <c r="E19" s="201" t="s">
        <v>64</v>
      </c>
      <c r="F19" s="533"/>
      <c r="G19" s="533"/>
      <c r="H19" s="534"/>
      <c r="I19" s="535"/>
      <c r="L19" s="256"/>
    </row>
    <row r="20" spans="1:13">
      <c r="A20" s="530" t="s">
        <v>65</v>
      </c>
      <c r="B20" s="531"/>
      <c r="C20" s="532"/>
      <c r="D20" s="201">
        <v>1</v>
      </c>
      <c r="E20" s="201" t="s">
        <v>51</v>
      </c>
      <c r="F20" s="533"/>
      <c r="G20" s="533"/>
      <c r="H20" s="534"/>
      <c r="I20" s="535"/>
      <c r="L20" s="256"/>
    </row>
    <row r="21" spans="1:13">
      <c r="A21" s="530" t="s">
        <v>67</v>
      </c>
      <c r="B21" s="531"/>
      <c r="C21" s="532"/>
      <c r="D21" s="267">
        <v>49000</v>
      </c>
      <c r="E21" s="201" t="s">
        <v>29</v>
      </c>
      <c r="F21" s="539"/>
      <c r="G21" s="540"/>
      <c r="H21" s="534"/>
      <c r="I21" s="535"/>
      <c r="L21" s="256"/>
      <c r="M21" s="268"/>
    </row>
    <row r="22" spans="1:13" ht="13.5" thickBot="1">
      <c r="A22" s="541" t="s">
        <v>68</v>
      </c>
      <c r="B22" s="542"/>
      <c r="C22" s="543"/>
      <c r="D22" s="269">
        <f>SUM(E10:E13)-D18</f>
        <v>550</v>
      </c>
      <c r="E22" s="270" t="s">
        <v>29</v>
      </c>
      <c r="F22" s="544"/>
      <c r="G22" s="544"/>
      <c r="H22" s="545"/>
      <c r="I22" s="546"/>
      <c r="L22" s="256"/>
    </row>
    <row r="23" spans="1:13" ht="13.5" thickBot="1">
      <c r="A23" s="547" t="s">
        <v>69</v>
      </c>
      <c r="B23" s="548"/>
      <c r="C23" s="548"/>
      <c r="D23" s="548"/>
      <c r="E23" s="548"/>
      <c r="F23" s="548"/>
      <c r="G23" s="548"/>
      <c r="H23" s="548"/>
      <c r="I23" s="549"/>
    </row>
    <row r="24" spans="1:13" ht="15">
      <c r="A24" s="536" t="s">
        <v>89</v>
      </c>
      <c r="B24" s="537"/>
      <c r="C24" s="537"/>
      <c r="D24" s="537"/>
      <c r="E24" s="537"/>
      <c r="F24" s="537"/>
      <c r="G24" s="537"/>
      <c r="H24" s="537"/>
      <c r="I24" s="538"/>
    </row>
    <row r="25" spans="1:13" ht="15">
      <c r="A25" s="536" t="s">
        <v>90</v>
      </c>
      <c r="B25" s="537"/>
      <c r="C25" s="537"/>
      <c r="D25" s="537"/>
      <c r="E25" s="537"/>
      <c r="F25" s="537"/>
      <c r="G25" s="537"/>
      <c r="H25" s="537"/>
      <c r="I25" s="538"/>
    </row>
    <row r="26" spans="1:13" ht="15">
      <c r="A26" s="536" t="s">
        <v>91</v>
      </c>
      <c r="B26" s="537"/>
      <c r="C26" s="537"/>
      <c r="D26" s="537"/>
      <c r="E26" s="537"/>
      <c r="F26" s="537"/>
      <c r="G26" s="537"/>
      <c r="H26" s="537"/>
      <c r="I26" s="538"/>
    </row>
    <row r="27" spans="1:13" ht="15">
      <c r="A27" s="536"/>
      <c r="B27" s="537"/>
      <c r="C27" s="537"/>
      <c r="D27" s="537"/>
      <c r="E27" s="537"/>
      <c r="F27" s="537"/>
      <c r="G27" s="537"/>
      <c r="H27" s="537"/>
      <c r="I27" s="538"/>
    </row>
    <row r="28" spans="1:13" ht="15">
      <c r="A28" s="536"/>
      <c r="B28" s="537"/>
      <c r="C28" s="537"/>
      <c r="D28" s="537"/>
      <c r="E28" s="537"/>
      <c r="F28" s="537"/>
      <c r="G28" s="537"/>
      <c r="H28" s="537"/>
      <c r="I28" s="538"/>
    </row>
    <row r="29" spans="1:13" ht="15">
      <c r="A29" s="536"/>
      <c r="B29" s="537"/>
      <c r="C29" s="537"/>
      <c r="D29" s="537"/>
      <c r="E29" s="537"/>
      <c r="F29" s="537"/>
      <c r="G29" s="537"/>
      <c r="H29" s="537"/>
      <c r="I29" s="538"/>
    </row>
    <row r="30" spans="1:13" ht="14.25">
      <c r="A30" s="553" t="s">
        <v>92</v>
      </c>
      <c r="B30" s="554"/>
      <c r="C30" s="554"/>
      <c r="D30" s="554"/>
      <c r="E30" s="554"/>
      <c r="F30" s="554"/>
      <c r="G30" s="554"/>
      <c r="H30" s="554"/>
      <c r="I30" s="555"/>
    </row>
    <row r="31" spans="1:13" ht="14.25">
      <c r="A31" s="553" t="s">
        <v>93</v>
      </c>
      <c r="B31" s="554"/>
      <c r="C31" s="554"/>
      <c r="D31" s="554"/>
      <c r="E31" s="554"/>
      <c r="F31" s="554"/>
      <c r="G31" s="554"/>
      <c r="H31" s="554"/>
      <c r="I31" s="555"/>
    </row>
    <row r="32" spans="1:13" ht="15" thickBot="1">
      <c r="A32" s="550"/>
      <c r="B32" s="551"/>
      <c r="C32" s="551"/>
      <c r="D32" s="551"/>
      <c r="E32" s="551"/>
      <c r="F32" s="551"/>
      <c r="G32" s="551"/>
      <c r="H32" s="551"/>
      <c r="I32" s="552"/>
    </row>
    <row r="34" spans="1:3">
      <c r="A34" s="271"/>
      <c r="B34" s="271"/>
      <c r="C34" s="271"/>
    </row>
  </sheetData>
  <mergeCells count="42">
    <mergeCell ref="A32:I32"/>
    <mergeCell ref="A26:I26"/>
    <mergeCell ref="A27:I27"/>
    <mergeCell ref="A28:I28"/>
    <mergeCell ref="A29:I29"/>
    <mergeCell ref="A30:I30"/>
    <mergeCell ref="A31:I31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18:C18"/>
    <mergeCell ref="F18:G18"/>
    <mergeCell ref="H18:I18"/>
    <mergeCell ref="A19:C19"/>
    <mergeCell ref="F19:G19"/>
    <mergeCell ref="H19:I19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7C27-88CF-48BC-9AD4-1CDCBC87B387}">
  <dimension ref="A1:I57"/>
  <sheetViews>
    <sheetView tabSelected="1" zoomScale="70" zoomScaleNormal="70" workbookViewId="0">
      <selection sqref="A1:B5"/>
    </sheetView>
  </sheetViews>
  <sheetFormatPr defaultColWidth="11.42578125" defaultRowHeight="1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>
      <c r="A1" s="620"/>
      <c r="B1" s="621"/>
      <c r="C1" s="626" t="s">
        <v>0</v>
      </c>
      <c r="D1" s="626"/>
      <c r="E1" s="626"/>
      <c r="F1" s="626"/>
      <c r="G1" s="626"/>
      <c r="H1" s="202" t="s">
        <v>1</v>
      </c>
      <c r="I1" s="224" t="s">
        <v>94</v>
      </c>
    </row>
    <row r="2" spans="1:9" ht="18" customHeight="1" thickBot="1">
      <c r="A2" s="622"/>
      <c r="B2" s="623"/>
      <c r="C2" s="627" t="s">
        <v>3</v>
      </c>
      <c r="D2" s="628"/>
      <c r="E2" s="628"/>
      <c r="F2" s="628"/>
      <c r="G2" s="629"/>
      <c r="H2" s="204" t="s">
        <v>4</v>
      </c>
      <c r="I2" s="205" t="s">
        <v>5</v>
      </c>
    </row>
    <row r="3" spans="1:9" ht="31.5" customHeight="1" thickBot="1">
      <c r="A3" s="622"/>
      <c r="B3" s="623"/>
      <c r="C3" s="630" t="s">
        <v>95</v>
      </c>
      <c r="D3" s="631"/>
      <c r="E3" s="631"/>
      <c r="F3" s="631"/>
      <c r="G3" s="632"/>
      <c r="H3" s="633" t="s">
        <v>7</v>
      </c>
      <c r="I3" s="611">
        <v>45618</v>
      </c>
    </row>
    <row r="4" spans="1:9" ht="18" customHeight="1">
      <c r="A4" s="622"/>
      <c r="B4" s="623"/>
      <c r="C4" s="206" t="s">
        <v>9</v>
      </c>
      <c r="D4" s="614" t="s">
        <v>10</v>
      </c>
      <c r="E4" s="615"/>
      <c r="F4" s="615"/>
      <c r="G4" s="616"/>
      <c r="H4" s="634"/>
      <c r="I4" s="612"/>
    </row>
    <row r="5" spans="1:9" ht="15.75" thickBot="1">
      <c r="A5" s="624"/>
      <c r="B5" s="625"/>
      <c r="C5" s="207" t="s">
        <v>11</v>
      </c>
      <c r="D5" s="617" t="s">
        <v>96</v>
      </c>
      <c r="E5" s="618"/>
      <c r="F5" s="618"/>
      <c r="G5" s="619"/>
      <c r="H5" s="635"/>
      <c r="I5" s="613"/>
    </row>
    <row r="6" spans="1:9" ht="18.75" thickBot="1">
      <c r="A6" s="516" t="s">
        <v>13</v>
      </c>
      <c r="B6" s="516"/>
      <c r="C6" s="516"/>
      <c r="D6" s="517" t="s">
        <v>76</v>
      </c>
      <c r="E6" s="517"/>
      <c r="F6" s="517"/>
      <c r="G6" s="847" t="s">
        <v>15</v>
      </c>
      <c r="H6" s="847"/>
      <c r="I6" s="235" t="s">
        <v>76</v>
      </c>
    </row>
    <row r="7" spans="1:9">
      <c r="A7" s="605" t="s">
        <v>16</v>
      </c>
      <c r="B7" s="607" t="s">
        <v>97</v>
      </c>
      <c r="C7" s="609" t="s">
        <v>18</v>
      </c>
      <c r="D7" s="609" t="s">
        <v>19</v>
      </c>
      <c r="E7" s="609" t="s">
        <v>20</v>
      </c>
      <c r="F7" s="609"/>
      <c r="G7" s="609" t="s">
        <v>21</v>
      </c>
      <c r="H7" s="609"/>
      <c r="I7" s="446" t="s">
        <v>22</v>
      </c>
    </row>
    <row r="8" spans="1:9" ht="27" thickBot="1">
      <c r="A8" s="606"/>
      <c r="B8" s="608"/>
      <c r="C8" s="610"/>
      <c r="D8" s="610"/>
      <c r="E8" s="447" t="s">
        <v>23</v>
      </c>
      <c r="F8" s="448" t="s">
        <v>24</v>
      </c>
      <c r="G8" s="447" t="s">
        <v>23</v>
      </c>
      <c r="H8" s="448" t="s">
        <v>24</v>
      </c>
      <c r="I8" s="449" t="s">
        <v>25</v>
      </c>
    </row>
    <row r="9" spans="1:9" ht="18.600000000000001" customHeight="1">
      <c r="A9" s="450"/>
      <c r="B9" s="451"/>
      <c r="C9" s="452" t="s">
        <v>98</v>
      </c>
      <c r="D9" s="453"/>
      <c r="E9" s="454"/>
      <c r="F9" s="455"/>
      <c r="G9" s="454"/>
      <c r="H9" s="455"/>
      <c r="I9" s="456"/>
    </row>
    <row r="10" spans="1:9" ht="18" customHeight="1">
      <c r="A10" s="457" t="s">
        <v>99</v>
      </c>
      <c r="B10" s="208" t="s">
        <v>100</v>
      </c>
      <c r="C10" s="209" t="s">
        <v>101</v>
      </c>
      <c r="D10" s="458" t="s">
        <v>79</v>
      </c>
      <c r="E10" s="459">
        <v>46000</v>
      </c>
      <c r="F10" s="460" t="s">
        <v>29</v>
      </c>
      <c r="G10" s="461"/>
      <c r="H10" s="462"/>
      <c r="I10" s="456"/>
    </row>
    <row r="11" spans="1:9">
      <c r="A11" s="458">
        <v>902000019</v>
      </c>
      <c r="B11" s="458"/>
      <c r="C11" s="463" t="s">
        <v>102</v>
      </c>
      <c r="D11" s="458" t="s">
        <v>79</v>
      </c>
      <c r="E11" s="459">
        <v>3033.333333333333</v>
      </c>
      <c r="F11" s="460" t="s">
        <v>29</v>
      </c>
      <c r="G11" s="461"/>
      <c r="H11" s="462"/>
      <c r="I11" s="456"/>
    </row>
    <row r="12" spans="1:9">
      <c r="A12" s="458"/>
      <c r="B12" s="458"/>
      <c r="C12" s="463"/>
      <c r="D12" s="458"/>
      <c r="E12" s="459"/>
      <c r="F12" s="460"/>
      <c r="G12" s="461"/>
      <c r="H12" s="462"/>
      <c r="I12" s="456"/>
    </row>
    <row r="13" spans="1:9">
      <c r="A13" s="458"/>
      <c r="B13" s="458"/>
      <c r="C13" s="463"/>
      <c r="D13" s="458"/>
      <c r="E13" s="459"/>
      <c r="F13" s="460"/>
      <c r="G13" s="461"/>
      <c r="H13" s="462"/>
      <c r="I13" s="456"/>
    </row>
    <row r="14" spans="1:9">
      <c r="A14" s="458"/>
      <c r="B14" s="458"/>
      <c r="C14" s="463"/>
      <c r="D14" s="458"/>
      <c r="E14" s="459"/>
      <c r="F14" s="460"/>
      <c r="G14" s="461"/>
      <c r="H14" s="462"/>
      <c r="I14" s="456"/>
    </row>
    <row r="15" spans="1:9">
      <c r="A15" s="458"/>
      <c r="B15" s="458"/>
      <c r="C15" s="463"/>
      <c r="D15" s="458"/>
      <c r="E15" s="459"/>
      <c r="F15" s="460"/>
      <c r="G15" s="461"/>
      <c r="H15" s="462"/>
      <c r="I15" s="456"/>
    </row>
    <row r="16" spans="1:9">
      <c r="A16" s="458"/>
      <c r="B16" s="458"/>
      <c r="C16" s="463"/>
      <c r="D16" s="458"/>
      <c r="E16" s="459"/>
      <c r="F16" s="460"/>
      <c r="G16" s="461"/>
      <c r="H16" s="462"/>
      <c r="I16" s="456"/>
    </row>
    <row r="17" spans="1:9">
      <c r="A17" s="458"/>
      <c r="B17" s="458"/>
      <c r="C17" s="463"/>
      <c r="D17" s="458"/>
      <c r="E17" s="459"/>
      <c r="F17" s="460"/>
      <c r="G17" s="461"/>
      <c r="H17" s="462"/>
      <c r="I17" s="456"/>
    </row>
    <row r="18" spans="1:9">
      <c r="A18" s="458"/>
      <c r="B18" s="458"/>
      <c r="C18" s="463"/>
      <c r="D18" s="458"/>
      <c r="E18" s="459"/>
      <c r="F18" s="460"/>
      <c r="G18" s="461"/>
      <c r="H18" s="462"/>
      <c r="I18" s="456"/>
    </row>
    <row r="19" spans="1:9">
      <c r="A19" s="458"/>
      <c r="B19" s="458"/>
      <c r="C19" s="463"/>
      <c r="D19" s="458"/>
      <c r="E19" s="459"/>
      <c r="F19" s="460"/>
      <c r="G19" s="461"/>
      <c r="H19" s="462"/>
      <c r="I19" s="456"/>
    </row>
    <row r="20" spans="1:9" ht="15.75">
      <c r="A20" s="464"/>
      <c r="B20" s="464"/>
      <c r="C20" s="209"/>
      <c r="D20" s="242"/>
      <c r="E20" s="242"/>
      <c r="F20" s="242"/>
      <c r="G20" s="11"/>
      <c r="H20" s="462"/>
      <c r="I20" s="456"/>
    </row>
    <row r="21" spans="1:9" ht="15.75">
      <c r="A21" s="465"/>
      <c r="B21" s="466"/>
      <c r="C21" s="467" t="s">
        <v>103</v>
      </c>
      <c r="D21" s="242"/>
      <c r="E21" s="242"/>
      <c r="F21" s="242"/>
      <c r="G21" s="11"/>
      <c r="H21" s="462"/>
      <c r="I21" s="456"/>
    </row>
    <row r="22" spans="1:9">
      <c r="A22" s="457"/>
      <c r="B22" s="208"/>
      <c r="C22" s="209"/>
      <c r="D22" s="468"/>
      <c r="E22" s="468"/>
      <c r="F22" s="468"/>
      <c r="G22" s="454"/>
      <c r="H22" s="462"/>
      <c r="I22" s="456"/>
    </row>
    <row r="23" spans="1:9">
      <c r="A23" s="469"/>
      <c r="B23" s="464"/>
      <c r="C23" s="209"/>
      <c r="D23" s="468"/>
      <c r="E23" s="468"/>
      <c r="F23" s="468"/>
      <c r="G23" s="454"/>
      <c r="H23" s="462"/>
      <c r="I23" s="456"/>
    </row>
    <row r="24" spans="1:9">
      <c r="A24" s="469"/>
      <c r="B24" s="464"/>
      <c r="C24" s="209"/>
      <c r="D24" s="468"/>
      <c r="E24" s="468"/>
      <c r="F24" s="468"/>
      <c r="G24" s="454"/>
      <c r="H24" s="462"/>
      <c r="I24" s="456"/>
    </row>
    <row r="25" spans="1:9" ht="15.75">
      <c r="A25" s="465"/>
      <c r="B25" s="466"/>
      <c r="C25" s="467"/>
      <c r="D25" s="470"/>
      <c r="E25" s="471"/>
      <c r="F25" s="384"/>
      <c r="G25" s="454"/>
      <c r="H25" s="462"/>
      <c r="I25" s="456"/>
    </row>
    <row r="26" spans="1:9">
      <c r="A26" s="43"/>
      <c r="B26" s="472"/>
      <c r="C26" s="473"/>
      <c r="D26" s="41"/>
      <c r="E26" s="46"/>
      <c r="F26" s="45"/>
      <c r="G26" s="454"/>
      <c r="H26" s="462"/>
      <c r="I26" s="456"/>
    </row>
    <row r="27" spans="1:9">
      <c r="A27" s="208"/>
      <c r="B27" s="208"/>
      <c r="C27" s="209"/>
      <c r="D27" s="317"/>
      <c r="E27" s="29"/>
      <c r="F27" s="28"/>
      <c r="G27" s="454"/>
      <c r="H27" s="462"/>
      <c r="I27" s="456"/>
    </row>
    <row r="28" spans="1:9" ht="15.75">
      <c r="A28" s="474"/>
      <c r="B28" s="475"/>
      <c r="C28" s="476" t="s">
        <v>104</v>
      </c>
      <c r="D28" s="477"/>
      <c r="E28" s="478"/>
      <c r="F28" s="455"/>
      <c r="G28" s="454"/>
      <c r="H28" s="462"/>
      <c r="I28" s="456"/>
    </row>
    <row r="29" spans="1:9">
      <c r="A29" s="358">
        <v>702007</v>
      </c>
      <c r="B29" s="362" t="s">
        <v>105</v>
      </c>
      <c r="C29" s="479" t="s">
        <v>106</v>
      </c>
      <c r="D29" s="76" t="s">
        <v>107</v>
      </c>
      <c r="E29" s="397">
        <v>11.821428571428571</v>
      </c>
      <c r="F29" s="321" t="s">
        <v>51</v>
      </c>
      <c r="G29" s="480"/>
      <c r="H29" s="462"/>
      <c r="I29" s="456"/>
    </row>
    <row r="30" spans="1:9">
      <c r="A30" s="358">
        <v>702123</v>
      </c>
      <c r="B30" s="362" t="s">
        <v>55</v>
      </c>
      <c r="C30" s="479" t="s">
        <v>56</v>
      </c>
      <c r="D30" s="76" t="s">
        <v>79</v>
      </c>
      <c r="E30" s="397">
        <v>10</v>
      </c>
      <c r="F30" s="321" t="s">
        <v>51</v>
      </c>
      <c r="G30" s="480"/>
      <c r="H30" s="462"/>
      <c r="I30" s="456"/>
    </row>
    <row r="31" spans="1:9">
      <c r="A31" s="481">
        <v>1950928</v>
      </c>
      <c r="B31" s="482" t="s">
        <v>108</v>
      </c>
      <c r="C31" s="483" t="s">
        <v>109</v>
      </c>
      <c r="D31" s="76" t="s">
        <v>110</v>
      </c>
      <c r="E31" s="397">
        <v>10</v>
      </c>
      <c r="F31" s="321" t="s">
        <v>51</v>
      </c>
      <c r="G31" s="480"/>
      <c r="H31" s="462"/>
      <c r="I31" s="456"/>
    </row>
    <row r="32" spans="1:9">
      <c r="A32" s="210"/>
      <c r="B32" s="210"/>
      <c r="C32" s="211"/>
      <c r="D32" s="76"/>
      <c r="E32" s="397"/>
      <c r="F32" s="321"/>
      <c r="G32" s="454"/>
      <c r="H32" s="462"/>
      <c r="I32" s="456"/>
    </row>
    <row r="33" spans="1:9">
      <c r="A33" s="210"/>
      <c r="B33" s="210"/>
      <c r="C33" s="211"/>
      <c r="D33" s="76"/>
      <c r="E33" s="397"/>
      <c r="F33" s="321"/>
      <c r="G33" s="454"/>
      <c r="H33" s="462"/>
      <c r="I33" s="456"/>
    </row>
    <row r="34" spans="1:9">
      <c r="A34" s="210"/>
      <c r="B34" s="210"/>
      <c r="C34" s="211"/>
      <c r="D34" s="76"/>
      <c r="E34" s="397"/>
      <c r="F34" s="321"/>
      <c r="G34" s="484"/>
      <c r="H34" s="462"/>
      <c r="I34" s="456"/>
    </row>
    <row r="35" spans="1:9" ht="15.75">
      <c r="A35" s="210"/>
      <c r="B35" s="210"/>
      <c r="C35" s="211"/>
      <c r="D35" s="242"/>
      <c r="E35" s="397"/>
      <c r="F35" s="321"/>
      <c r="G35" s="383"/>
      <c r="H35" s="462"/>
      <c r="I35" s="456"/>
    </row>
    <row r="36" spans="1:9">
      <c r="A36" s="485"/>
      <c r="B36" s="485"/>
      <c r="C36" s="365"/>
      <c r="D36" s="76"/>
      <c r="E36" s="28"/>
      <c r="F36" s="28"/>
      <c r="G36" s="383"/>
      <c r="H36" s="455"/>
      <c r="I36" s="456"/>
    </row>
    <row r="37" spans="1:9" ht="15.75" thickBot="1">
      <c r="A37" s="486"/>
      <c r="B37" s="487"/>
      <c r="C37" s="488" t="s">
        <v>111</v>
      </c>
      <c r="D37" s="488"/>
      <c r="E37" s="489"/>
      <c r="F37" s="490"/>
      <c r="G37" s="488"/>
      <c r="H37" s="488"/>
      <c r="I37" s="491"/>
    </row>
    <row r="38" spans="1:9" ht="15.75" thickBot="1">
      <c r="A38" s="492"/>
      <c r="B38" s="493"/>
      <c r="C38" s="494" t="s">
        <v>111</v>
      </c>
      <c r="D38" s="495" t="s">
        <v>23</v>
      </c>
      <c r="E38" s="496" t="s">
        <v>61</v>
      </c>
      <c r="F38" s="497"/>
      <c r="G38" s="494"/>
      <c r="H38" s="494"/>
      <c r="I38" s="498"/>
    </row>
    <row r="39" spans="1:9">
      <c r="A39" s="599" t="s">
        <v>62</v>
      </c>
      <c r="B39" s="600"/>
      <c r="C39" s="601"/>
      <c r="D39" s="411">
        <v>45500</v>
      </c>
      <c r="E39" s="308" t="s">
        <v>29</v>
      </c>
      <c r="F39" s="602" t="s">
        <v>112</v>
      </c>
      <c r="G39" s="602"/>
      <c r="H39" s="603"/>
      <c r="I39" s="604"/>
    </row>
    <row r="40" spans="1:9">
      <c r="A40" s="591" t="s">
        <v>63</v>
      </c>
      <c r="B40" s="592"/>
      <c r="C40" s="593"/>
      <c r="D40" s="11">
        <v>50</v>
      </c>
      <c r="E40" s="11" t="s">
        <v>64</v>
      </c>
      <c r="F40" s="594" t="s">
        <v>113</v>
      </c>
      <c r="G40" s="594"/>
      <c r="H40" s="570"/>
      <c r="I40" s="571"/>
    </row>
    <row r="41" spans="1:9">
      <c r="A41" s="591" t="s">
        <v>65</v>
      </c>
      <c r="B41" s="592"/>
      <c r="C41" s="593"/>
      <c r="D41" s="29">
        <v>151.66666666666666</v>
      </c>
      <c r="E41" s="11" t="s">
        <v>51</v>
      </c>
      <c r="F41" s="594" t="s">
        <v>114</v>
      </c>
      <c r="G41" s="594"/>
      <c r="H41" s="570"/>
      <c r="I41" s="571"/>
    </row>
    <row r="42" spans="1:9">
      <c r="A42" s="591" t="s">
        <v>67</v>
      </c>
      <c r="B42" s="592"/>
      <c r="C42" s="593"/>
      <c r="D42" s="29">
        <v>300</v>
      </c>
      <c r="E42" s="11" t="s">
        <v>29</v>
      </c>
      <c r="F42" s="595" t="s">
        <v>115</v>
      </c>
      <c r="G42" s="596"/>
      <c r="H42" s="597"/>
      <c r="I42" s="598"/>
    </row>
    <row r="43" spans="1:9" ht="15.75" thickBot="1">
      <c r="A43" s="566" t="s">
        <v>68</v>
      </c>
      <c r="B43" s="567"/>
      <c r="C43" s="568"/>
      <c r="D43" s="356">
        <v>500</v>
      </c>
      <c r="E43" s="310" t="s">
        <v>29</v>
      </c>
      <c r="F43" s="569"/>
      <c r="G43" s="569"/>
      <c r="H43" s="570"/>
      <c r="I43" s="571"/>
    </row>
    <row r="44" spans="1:9" ht="15.75" thickBot="1">
      <c r="A44" s="572" t="s">
        <v>69</v>
      </c>
      <c r="B44" s="573"/>
      <c r="C44" s="573"/>
      <c r="D44" s="573"/>
      <c r="E44" s="573"/>
      <c r="F44" s="573"/>
      <c r="G44" s="573"/>
      <c r="H44" s="573"/>
      <c r="I44" s="574"/>
    </row>
    <row r="45" spans="1:9" ht="14.45" customHeight="1">
      <c r="A45" s="575" t="s">
        <v>116</v>
      </c>
      <c r="B45" s="576"/>
      <c r="C45" s="577"/>
      <c r="D45" s="577"/>
      <c r="E45" s="577"/>
      <c r="F45" s="577"/>
      <c r="G45" s="577"/>
      <c r="H45" s="577"/>
      <c r="I45" s="578"/>
    </row>
    <row r="46" spans="1:9" ht="26.45" customHeight="1">
      <c r="A46" s="579" t="s">
        <v>117</v>
      </c>
      <c r="B46" s="580"/>
      <c r="C46" s="581"/>
      <c r="D46" s="581"/>
      <c r="E46" s="581"/>
      <c r="F46" s="581"/>
      <c r="G46" s="581"/>
      <c r="H46" s="581"/>
      <c r="I46" s="582"/>
    </row>
    <row r="47" spans="1:9" ht="14.45" customHeight="1">
      <c r="A47" s="583" t="s">
        <v>118</v>
      </c>
      <c r="B47" s="584"/>
      <c r="C47" s="585"/>
      <c r="D47" s="585"/>
      <c r="E47" s="585"/>
      <c r="F47" s="585"/>
      <c r="G47" s="585"/>
      <c r="H47" s="585"/>
      <c r="I47" s="586"/>
    </row>
    <row r="48" spans="1:9" ht="14.45" customHeight="1" thickBot="1">
      <c r="A48" s="587"/>
      <c r="B48" s="588"/>
      <c r="C48" s="589"/>
      <c r="D48" s="589"/>
      <c r="E48" s="589"/>
      <c r="F48" s="589"/>
      <c r="G48" s="589"/>
      <c r="H48" s="589"/>
      <c r="I48" s="590"/>
    </row>
    <row r="49" spans="1:9">
      <c r="A49" s="536"/>
      <c r="B49" s="537"/>
      <c r="C49" s="537"/>
      <c r="D49" s="537"/>
      <c r="E49" s="537"/>
      <c r="F49" s="537"/>
      <c r="G49" s="537"/>
      <c r="H49" s="537"/>
      <c r="I49" s="538"/>
    </row>
    <row r="50" spans="1:9" ht="14.45" customHeight="1">
      <c r="A50" s="536"/>
      <c r="B50" s="537"/>
      <c r="C50" s="537"/>
      <c r="D50" s="537"/>
      <c r="E50" s="537"/>
      <c r="F50" s="537"/>
      <c r="G50" s="537"/>
      <c r="H50" s="537"/>
      <c r="I50" s="538"/>
    </row>
    <row r="51" spans="1:9" ht="14.45" customHeight="1">
      <c r="A51" s="559"/>
      <c r="B51" s="560"/>
      <c r="C51" s="560"/>
      <c r="D51" s="560"/>
      <c r="E51" s="560"/>
      <c r="F51" s="560"/>
      <c r="G51" s="560"/>
      <c r="H51" s="560"/>
      <c r="I51" s="561"/>
    </row>
    <row r="52" spans="1:9" ht="18" customHeight="1">
      <c r="A52" s="559"/>
      <c r="B52" s="560"/>
      <c r="C52" s="560"/>
      <c r="D52" s="560"/>
      <c r="E52" s="560"/>
      <c r="F52" s="560"/>
      <c r="G52" s="560"/>
      <c r="H52" s="560"/>
      <c r="I52" s="561"/>
    </row>
    <row r="53" spans="1:9" ht="14.45" customHeight="1">
      <c r="A53" s="559"/>
      <c r="B53" s="560"/>
      <c r="C53" s="560"/>
      <c r="D53" s="560"/>
      <c r="E53" s="560"/>
      <c r="F53" s="560"/>
      <c r="G53" s="560"/>
      <c r="H53" s="560"/>
      <c r="I53" s="561"/>
    </row>
    <row r="54" spans="1:9" ht="14.45" customHeight="1" thickBot="1">
      <c r="A54" s="559"/>
      <c r="B54" s="560"/>
      <c r="C54" s="560"/>
      <c r="D54" s="560"/>
      <c r="E54" s="560"/>
      <c r="F54" s="560"/>
      <c r="G54" s="560"/>
      <c r="H54" s="560"/>
      <c r="I54" s="561"/>
    </row>
    <row r="55" spans="1:9" ht="14.45" customHeight="1">
      <c r="A55" s="562" t="s">
        <v>92</v>
      </c>
      <c r="B55" s="563"/>
      <c r="C55" s="563"/>
      <c r="D55" s="563"/>
      <c r="E55" s="563"/>
      <c r="F55" s="563"/>
      <c r="G55" s="563"/>
      <c r="H55" s="563"/>
      <c r="I55" s="563"/>
    </row>
    <row r="56" spans="1:9">
      <c r="A56" s="564" t="s">
        <v>119</v>
      </c>
      <c r="B56" s="565"/>
      <c r="C56" s="565"/>
      <c r="D56" s="565"/>
      <c r="E56" s="565"/>
      <c r="F56" s="565"/>
      <c r="G56" s="565"/>
      <c r="H56" s="565"/>
      <c r="I56" s="565"/>
    </row>
    <row r="57" spans="1:9">
      <c r="A57" s="564"/>
      <c r="B57" s="565"/>
      <c r="C57" s="565"/>
      <c r="D57" s="565"/>
      <c r="E57" s="565"/>
      <c r="F57" s="565"/>
      <c r="G57" s="565"/>
      <c r="H57" s="565"/>
      <c r="I57" s="565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FDF2-C15E-4E81-ABF7-FA5A6707D554}">
  <dimension ref="A1:Q91"/>
  <sheetViews>
    <sheetView workbookViewId="0">
      <selection activeCell="M17" sqref="M17"/>
    </sheetView>
  </sheetViews>
  <sheetFormatPr defaultColWidth="8.42578125" defaultRowHeight="12.7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220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5" width="9.28515625" style="91" customWidth="1"/>
    <col min="16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>
      <c r="A1" s="86"/>
      <c r="B1" s="86"/>
      <c r="C1" s="86"/>
      <c r="D1" s="86"/>
      <c r="E1" s="87" t="s">
        <v>120</v>
      </c>
      <c r="F1" s="88" t="s">
        <v>121</v>
      </c>
      <c r="G1" s="88" t="s">
        <v>122</v>
      </c>
      <c r="H1" s="88" t="s">
        <v>123</v>
      </c>
      <c r="I1" s="89"/>
    </row>
    <row r="2" spans="1:10" ht="30.75" customHeight="1">
      <c r="A2" s="86"/>
      <c r="B2" s="86"/>
      <c r="C2" s="86"/>
      <c r="D2" s="86"/>
      <c r="E2" s="92">
        <f>IFERROR(O62,"")</f>
        <v>384.29561324778632</v>
      </c>
      <c r="F2" s="92">
        <f>IFERROR(H53,"")</f>
        <v>380.48782417582424</v>
      </c>
      <c r="G2" s="92">
        <f>IFERROR(H54,"")</f>
        <v>3.4633846153846153</v>
      </c>
      <c r="H2" s="92">
        <f>IFERROR(H56,"")</f>
        <v>26.775758241758243</v>
      </c>
      <c r="I2" s="93"/>
    </row>
    <row r="3" spans="1:10" ht="15" customHeight="1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>
      <c r="A4" s="662"/>
      <c r="B4" s="662"/>
      <c r="C4" s="662"/>
      <c r="D4" s="662"/>
      <c r="E4" s="662"/>
      <c r="F4" s="662"/>
      <c r="G4" s="662"/>
      <c r="H4" s="662"/>
      <c r="I4" s="95"/>
    </row>
    <row r="5" spans="1:10" ht="19.5" customHeight="1" thickBot="1">
      <c r="A5" s="663" t="s">
        <v>124</v>
      </c>
      <c r="B5" s="664"/>
      <c r="C5" s="664"/>
      <c r="D5" s="664"/>
      <c r="E5" s="664"/>
      <c r="F5" s="664"/>
      <c r="G5" s="664"/>
      <c r="H5" s="665"/>
      <c r="I5" s="96"/>
    </row>
    <row r="6" spans="1:10" ht="19.5" thickBot="1">
      <c r="A6" s="96"/>
      <c r="B6" s="96"/>
      <c r="C6" s="96"/>
      <c r="D6" s="96"/>
      <c r="E6" s="96"/>
      <c r="F6" s="666" t="s">
        <v>125</v>
      </c>
      <c r="G6" s="666"/>
      <c r="H6" s="97">
        <f ca="1">TODAY()</f>
        <v>45814</v>
      </c>
      <c r="I6" s="97"/>
    </row>
    <row r="7" spans="1:10" ht="26.25" hidden="1" thickBot="1">
      <c r="A7" s="98" t="s">
        <v>126</v>
      </c>
      <c r="B7" s="99" t="s">
        <v>127</v>
      </c>
      <c r="C7" s="99" t="s">
        <v>126</v>
      </c>
      <c r="D7" s="100" t="s">
        <v>128</v>
      </c>
      <c r="E7" s="100" t="s">
        <v>129</v>
      </c>
      <c r="F7" s="100" t="s">
        <v>130</v>
      </c>
      <c r="G7" s="100" t="s">
        <v>131</v>
      </c>
      <c r="H7" s="101" t="s">
        <v>132</v>
      </c>
      <c r="I7" s="102"/>
    </row>
    <row r="8" spans="1:10" ht="13.5" hidden="1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212" t="str">
        <f t="shared" ref="G8:G14" si="0">IFERROR(F8/$F$66,"")</f>
        <v/>
      </c>
      <c r="H8" s="107"/>
      <c r="I8" s="107"/>
      <c r="J8" s="213"/>
    </row>
    <row r="9" spans="1:10" ht="13.5" hidden="1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212" t="str">
        <f t="shared" si="0"/>
        <v/>
      </c>
      <c r="H9" s="107"/>
      <c r="I9" s="107"/>
      <c r="J9" s="213"/>
    </row>
    <row r="10" spans="1:10" ht="13.5" hidden="1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212" t="str">
        <f t="shared" si="0"/>
        <v/>
      </c>
      <c r="H10" s="107"/>
      <c r="I10" s="107"/>
      <c r="J10" s="213"/>
    </row>
    <row r="11" spans="1:10" ht="13.5" hidden="1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212" t="str">
        <f t="shared" si="0"/>
        <v/>
      </c>
      <c r="H11" s="107"/>
      <c r="I11" s="107"/>
      <c r="J11" s="213"/>
    </row>
    <row r="12" spans="1:10" ht="13.5" hidden="1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212" t="str">
        <f t="shared" si="0"/>
        <v/>
      </c>
      <c r="H12" s="107"/>
      <c r="I12" s="107"/>
      <c r="J12" s="213"/>
    </row>
    <row r="13" spans="1:10" ht="13.5" hidden="1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212" t="str">
        <f t="shared" si="0"/>
        <v/>
      </c>
      <c r="H13" s="107"/>
      <c r="I13" s="107"/>
      <c r="J13" s="213"/>
    </row>
    <row r="14" spans="1:10" ht="13.5" hidden="1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212" t="str">
        <f t="shared" si="0"/>
        <v/>
      </c>
      <c r="H14" s="107"/>
      <c r="I14" s="107"/>
      <c r="J14" s="213"/>
    </row>
    <row r="15" spans="1:10" ht="14.25" hidden="1" thickBot="1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212"/>
      <c r="H15" s="107"/>
      <c r="I15" s="107"/>
      <c r="J15" s="213"/>
    </row>
    <row r="16" spans="1:10" ht="26.25" thickBot="1">
      <c r="A16" s="98" t="s">
        <v>126</v>
      </c>
      <c r="B16" s="99" t="s">
        <v>133</v>
      </c>
      <c r="C16" s="99" t="s">
        <v>126</v>
      </c>
      <c r="D16" s="100" t="s">
        <v>128</v>
      </c>
      <c r="E16" s="100" t="s">
        <v>129</v>
      </c>
      <c r="F16" s="100" t="s">
        <v>130</v>
      </c>
      <c r="G16" s="100" t="s">
        <v>131</v>
      </c>
      <c r="H16" s="101" t="s">
        <v>132</v>
      </c>
      <c r="I16" s="102"/>
      <c r="J16" s="213"/>
    </row>
    <row r="17" spans="1:12" ht="13.5">
      <c r="A17" s="103">
        <v>46000</v>
      </c>
      <c r="B17" s="91" t="s">
        <v>101</v>
      </c>
      <c r="C17" s="104">
        <f>+A17</f>
        <v>46000</v>
      </c>
      <c r="D17" s="104" t="s">
        <v>134</v>
      </c>
      <c r="E17" s="105">
        <v>1.1200000000000001</v>
      </c>
      <c r="F17" s="105">
        <f>IFERROR(E17*C17,"")</f>
        <v>51520.000000000007</v>
      </c>
      <c r="G17" s="212">
        <f t="shared" ref="G17:G24" si="3">IFERROR(F17/$F$66,"")</f>
        <v>0.82515510449468266</v>
      </c>
      <c r="H17" s="107" t="s">
        <v>99</v>
      </c>
      <c r="I17" s="107"/>
      <c r="J17" s="213"/>
    </row>
    <row r="18" spans="1:12" ht="13.5">
      <c r="A18" s="103">
        <v>3033</v>
      </c>
      <c r="B18" s="91" t="str">
        <f>IFERROR(VLOOKUP(H18,[1]SEMIELABORADOS!$A$2:$M$6000,2,0),"")</f>
        <v>MEZCLA P/ENGRASE MOLDES KILO</v>
      </c>
      <c r="C18" s="104">
        <f t="shared" ref="C18:C24" si="4">+A18</f>
        <v>3033</v>
      </c>
      <c r="D18" s="104" t="str">
        <f>IFERROR(VLOOKUP(H18,[1]SEMIELABORADOS!$A$2:$M$6000,6,0),"")</f>
        <v>Gramo</v>
      </c>
      <c r="E18" s="105">
        <v>2.04</v>
      </c>
      <c r="F18" s="105">
        <f t="shared" ref="F18:F24" si="5">IFERROR(E18*C18,"")</f>
        <v>6187.32</v>
      </c>
      <c r="G18" s="212">
        <f t="shared" si="3"/>
        <v>9.9097412289247649E-2</v>
      </c>
      <c r="H18" s="107" t="s">
        <v>135</v>
      </c>
      <c r="I18" s="107"/>
      <c r="J18" s="213"/>
    </row>
    <row r="19" spans="1:12" ht="13.5" hidden="1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212" t="str">
        <f t="shared" si="3"/>
        <v/>
      </c>
      <c r="H19" s="107"/>
      <c r="I19" s="107"/>
      <c r="J19" s="213"/>
    </row>
    <row r="20" spans="1:12" ht="13.5" hidden="1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212" t="str">
        <f t="shared" si="3"/>
        <v/>
      </c>
      <c r="H20" s="107"/>
      <c r="I20" s="107"/>
      <c r="J20" s="213"/>
    </row>
    <row r="21" spans="1:12" ht="13.5" hidden="1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212" t="str">
        <f t="shared" si="3"/>
        <v/>
      </c>
      <c r="H21" s="107"/>
      <c r="I21" s="107"/>
      <c r="J21" s="213"/>
    </row>
    <row r="22" spans="1:12" ht="13.5" hidden="1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212" t="str">
        <f t="shared" si="3"/>
        <v/>
      </c>
      <c r="H22" s="107"/>
      <c r="I22" s="107"/>
      <c r="J22" s="213"/>
    </row>
    <row r="23" spans="1:12" ht="13.5" hidden="1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212" t="str">
        <f t="shared" si="3"/>
        <v/>
      </c>
      <c r="H23" s="107"/>
      <c r="I23" s="107"/>
      <c r="J23" s="213"/>
    </row>
    <row r="24" spans="1:12" ht="13.5" hidden="1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212" t="str">
        <f t="shared" si="3"/>
        <v/>
      </c>
      <c r="H24" s="107"/>
      <c r="I24" s="107"/>
      <c r="J24" s="213"/>
    </row>
    <row r="25" spans="1:12" ht="14.25" thickBot="1">
      <c r="A25" s="103"/>
      <c r="C25" s="104"/>
      <c r="D25" s="104"/>
      <c r="E25" s="105"/>
      <c r="F25" s="105"/>
      <c r="G25" s="212"/>
      <c r="H25" s="107"/>
      <c r="I25" s="107"/>
      <c r="J25" s="213"/>
    </row>
    <row r="26" spans="1:12" ht="26.25" thickBot="1">
      <c r="A26" s="98" t="s">
        <v>126</v>
      </c>
      <c r="B26" s="99" t="s">
        <v>136</v>
      </c>
      <c r="C26" s="99" t="s">
        <v>126</v>
      </c>
      <c r="D26" s="100" t="s">
        <v>128</v>
      </c>
      <c r="E26" s="100" t="s">
        <v>129</v>
      </c>
      <c r="F26" s="100" t="s">
        <v>130</v>
      </c>
      <c r="G26" s="100" t="s">
        <v>131</v>
      </c>
      <c r="H26" s="101" t="s">
        <v>132</v>
      </c>
      <c r="I26" s="102"/>
    </row>
    <row r="27" spans="1:12" ht="13.5">
      <c r="A27" s="103">
        <v>12</v>
      </c>
      <c r="B27" s="109" t="str">
        <f>IFERROR(VLOOKUP(H27,'[1]Consolidado MP Planta'!$A$2:$M$823,3,0),"")</f>
        <v>ETIQ.FECHA VENCIMIENTO BLANCO (ROLLO)</v>
      </c>
      <c r="C27" s="104">
        <f t="shared" ref="C27:C32" si="6">+A27</f>
        <v>12</v>
      </c>
      <c r="D27" s="105" t="str">
        <f>IFERROR(VLOOKUP(H27,'[1]Consolidado MP Planta'!$A$2:$M$823,13,0),"")</f>
        <v>Gramos</v>
      </c>
      <c r="E27" s="105">
        <f>IFERROR(VLOOKUP(H27,'[1]Consolidado MP Planta'!$A$2:$M$823,12,0),"")</f>
        <v>0.33333333333333331</v>
      </c>
      <c r="F27" s="105">
        <f t="shared" ref="F27:F32" si="7">IFERROR(C27*E27,"")</f>
        <v>4</v>
      </c>
      <c r="G27" s="212">
        <f t="shared" ref="G27:G32" si="8">IFERROR(F27/$F$66,"")</f>
        <v>6.4064837305487777E-5</v>
      </c>
      <c r="H27" s="110" t="s">
        <v>137</v>
      </c>
      <c r="I27" s="110"/>
      <c r="J27" s="213"/>
      <c r="K27" s="656"/>
      <c r="L27" s="656"/>
    </row>
    <row r="28" spans="1:12" ht="13.5">
      <c r="A28" s="103">
        <v>10</v>
      </c>
      <c r="B28" s="109" t="str">
        <f>IFERROR(VLOOKUP(H28,'[1]Consolidado MP Planta'!$A$2:$M$823,3,0),"")</f>
        <v>ETIQUETA BLANCA 2 5/8X1 15/16 (UND)</v>
      </c>
      <c r="C28" s="104">
        <f t="shared" si="6"/>
        <v>10</v>
      </c>
      <c r="D28" s="105" t="str">
        <f>IFERROR(VLOOKUP(H28,'[1]Consolidado MP Planta'!$A$2:$M$823,13,0),"")</f>
        <v>Und</v>
      </c>
      <c r="E28" s="105">
        <f>IFERROR(VLOOKUP(H28,'[1]Consolidado MP Planta'!$A$2:$M$823,12,0),"")</f>
        <v>2.1280000000000001</v>
      </c>
      <c r="F28" s="105">
        <f t="shared" si="7"/>
        <v>21.28</v>
      </c>
      <c r="G28" s="212">
        <f t="shared" si="8"/>
        <v>3.4082493446519499E-4</v>
      </c>
      <c r="H28" s="110" t="s">
        <v>54</v>
      </c>
      <c r="I28" s="110"/>
      <c r="J28" s="213"/>
      <c r="K28" s="656"/>
      <c r="L28" s="656"/>
    </row>
    <row r="29" spans="1:12" ht="13.5">
      <c r="A29" s="103">
        <v>10</v>
      </c>
      <c r="B29" s="109" t="str">
        <f>IFERROR(VLOOKUP(H29,'[1]Consolidado MP Planta'!$A$2:$M$823,3,0),"")</f>
        <v>BOLSA TRANSPARENTE 56X96X1.80 KILO</v>
      </c>
      <c r="C29" s="104">
        <f t="shared" si="6"/>
        <v>10</v>
      </c>
      <c r="D29" s="105" t="str">
        <f>IFERROR(VLOOKUP(H29,'[1]Consolidado MP Planta'!$A$2:$M$823,13,0),"")</f>
        <v>Und</v>
      </c>
      <c r="E29" s="105">
        <f>IFERROR(VLOOKUP(H29,'[1]Consolidado MP Planta'!$A$2:$M$823,12,0),"")</f>
        <v>50</v>
      </c>
      <c r="F29" s="105">
        <f t="shared" si="7"/>
        <v>500</v>
      </c>
      <c r="G29" s="212">
        <f t="shared" si="8"/>
        <v>8.0081046631859717E-3</v>
      </c>
      <c r="H29" s="110" t="s">
        <v>138</v>
      </c>
      <c r="I29" s="110"/>
      <c r="J29" s="213"/>
      <c r="K29" s="656"/>
      <c r="L29" s="656"/>
    </row>
    <row r="30" spans="1:12" ht="13.5" hidden="1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212" t="str">
        <f t="shared" si="8"/>
        <v/>
      </c>
      <c r="H30" s="110"/>
      <c r="I30" s="110"/>
      <c r="J30" s="213"/>
      <c r="K30" s="656"/>
      <c r="L30" s="656"/>
    </row>
    <row r="31" spans="1:12" ht="13.5" hidden="1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212" t="str">
        <f t="shared" si="8"/>
        <v/>
      </c>
      <c r="H31" s="110"/>
      <c r="I31" s="110"/>
      <c r="J31" s="213"/>
      <c r="K31" s="111"/>
      <c r="L31" s="112"/>
    </row>
    <row r="32" spans="1:12" ht="13.5" hidden="1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212" t="str">
        <f t="shared" si="8"/>
        <v/>
      </c>
      <c r="H32" s="110"/>
      <c r="I32" s="110"/>
      <c r="J32" s="213"/>
    </row>
    <row r="33" spans="1:13" ht="14.25" thickBot="1">
      <c r="A33" s="103"/>
      <c r="B33" s="109"/>
      <c r="C33" s="104"/>
      <c r="D33" s="105"/>
      <c r="E33" s="105"/>
      <c r="F33" s="105"/>
      <c r="G33" s="212"/>
      <c r="H33" s="110"/>
      <c r="I33" s="110"/>
      <c r="J33" s="213"/>
    </row>
    <row r="34" spans="1:13" ht="26.25" thickBot="1">
      <c r="A34" s="98" t="s">
        <v>126</v>
      </c>
      <c r="B34" s="99" t="s">
        <v>139</v>
      </c>
      <c r="C34" s="99" t="s">
        <v>126</v>
      </c>
      <c r="D34" s="100" t="s">
        <v>128</v>
      </c>
      <c r="E34" s="100" t="s">
        <v>129</v>
      </c>
      <c r="F34" s="100" t="s">
        <v>130</v>
      </c>
      <c r="G34" s="100" t="s">
        <v>131</v>
      </c>
      <c r="H34" s="101" t="s">
        <v>132</v>
      </c>
      <c r="I34" s="110"/>
      <c r="J34" s="213"/>
    </row>
    <row r="35" spans="1:13" ht="13.5">
      <c r="A35" s="103">
        <f>+A17</f>
        <v>46000</v>
      </c>
      <c r="B35" s="109" t="s">
        <v>101</v>
      </c>
      <c r="C35" s="104">
        <f>+A35</f>
        <v>46000</v>
      </c>
      <c r="D35" s="104" t="s">
        <v>134</v>
      </c>
      <c r="E35" s="105">
        <v>0</v>
      </c>
      <c r="F35" s="105">
        <f>IFERROR(E35*C35,"")</f>
        <v>0</v>
      </c>
      <c r="G35" s="212">
        <f t="shared" ref="G35:G41" si="9">IFERROR(F35/$F$66,"")</f>
        <v>0</v>
      </c>
      <c r="H35" s="110" t="s">
        <v>99</v>
      </c>
      <c r="I35" s="110"/>
      <c r="J35" s="213"/>
    </row>
    <row r="36" spans="1:13" ht="13.5">
      <c r="A36" s="103">
        <f t="shared" ref="A36:A41" si="10">+A18</f>
        <v>3033</v>
      </c>
      <c r="B36" s="109" t="s">
        <v>102</v>
      </c>
      <c r="C36" s="104">
        <f t="shared" ref="C36:C41" si="11">+A36</f>
        <v>3033</v>
      </c>
      <c r="D36" s="105" t="s">
        <v>134</v>
      </c>
      <c r="E36" s="105">
        <v>0</v>
      </c>
      <c r="F36" s="105">
        <f t="shared" ref="F36:F41" si="12">IFERROR(E36*C36,"")</f>
        <v>0</v>
      </c>
      <c r="G36" s="212">
        <f t="shared" si="9"/>
        <v>0</v>
      </c>
      <c r="H36" s="110"/>
      <c r="I36" s="110"/>
      <c r="J36" s="213"/>
    </row>
    <row r="37" spans="1:13" ht="13.5" hidden="1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212" t="str">
        <f t="shared" si="9"/>
        <v/>
      </c>
      <c r="H37" s="110"/>
      <c r="I37" s="110"/>
      <c r="J37" s="213"/>
    </row>
    <row r="38" spans="1:13" ht="13.5" hidden="1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212" t="str">
        <f t="shared" si="9"/>
        <v/>
      </c>
      <c r="H38" s="110"/>
      <c r="I38" s="110"/>
      <c r="J38" s="213"/>
    </row>
    <row r="39" spans="1:13" ht="13.5" hidden="1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212" t="str">
        <f t="shared" si="9"/>
        <v/>
      </c>
      <c r="H39" s="110"/>
      <c r="I39" s="110"/>
      <c r="J39" s="213"/>
    </row>
    <row r="40" spans="1:13" ht="13.5" hidden="1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212" t="str">
        <f t="shared" si="9"/>
        <v/>
      </c>
      <c r="H40" s="110"/>
      <c r="I40" s="110"/>
      <c r="J40" s="213"/>
    </row>
    <row r="41" spans="1:13" ht="13.5" hidden="1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212" t="str">
        <f t="shared" si="9"/>
        <v/>
      </c>
      <c r="H41" s="110"/>
      <c r="I41" s="110"/>
      <c r="J41" s="213"/>
    </row>
    <row r="42" spans="1:13" ht="14.25" thickBot="1">
      <c r="A42" s="103"/>
      <c r="B42" s="109"/>
      <c r="C42" s="104"/>
      <c r="D42" s="105"/>
      <c r="E42" s="105"/>
      <c r="F42" s="105"/>
      <c r="G42" s="212"/>
      <c r="H42" s="110"/>
      <c r="I42" s="110"/>
      <c r="J42" s="213"/>
    </row>
    <row r="43" spans="1:13" ht="26.25" thickBot="1">
      <c r="A43" s="98" t="s">
        <v>126</v>
      </c>
      <c r="B43" s="99" t="s">
        <v>140</v>
      </c>
      <c r="C43" s="99" t="s">
        <v>126</v>
      </c>
      <c r="D43" s="100" t="s">
        <v>128</v>
      </c>
      <c r="E43" s="100" t="s">
        <v>129</v>
      </c>
      <c r="F43" s="100" t="s">
        <v>130</v>
      </c>
      <c r="G43" s="100" t="s">
        <v>131</v>
      </c>
      <c r="H43" s="101" t="s">
        <v>132</v>
      </c>
      <c r="I43" s="102"/>
      <c r="J43" s="213"/>
    </row>
    <row r="44" spans="1:13" ht="13.5">
      <c r="A44" s="103">
        <f>+A35</f>
        <v>46000</v>
      </c>
      <c r="B44" s="109" t="s">
        <v>101</v>
      </c>
      <c r="C44" s="104">
        <f>+A44</f>
        <v>46000</v>
      </c>
      <c r="D44" s="104" t="s">
        <v>134</v>
      </c>
      <c r="E44" s="105">
        <v>0.02</v>
      </c>
      <c r="F44" s="105">
        <f>IFERROR(E44*C44,"")</f>
        <v>920</v>
      </c>
      <c r="G44" s="212">
        <f>IFERROR(F44/$F$66,"")</f>
        <v>1.4734912580262188E-2</v>
      </c>
      <c r="H44" s="110" t="s">
        <v>99</v>
      </c>
      <c r="I44" s="102"/>
      <c r="J44" s="213"/>
    </row>
    <row r="45" spans="1:13" ht="13.5">
      <c r="A45" s="103">
        <f t="shared" ref="A45:A50" si="13">+A36</f>
        <v>3033</v>
      </c>
      <c r="B45" s="109" t="s">
        <v>102</v>
      </c>
      <c r="C45" s="104">
        <f t="shared" ref="C45:C50" si="14">+A45</f>
        <v>3033</v>
      </c>
      <c r="D45" s="105" t="s">
        <v>134</v>
      </c>
      <c r="E45" s="105">
        <v>0.03</v>
      </c>
      <c r="F45" s="105">
        <f t="shared" ref="F45:F50" si="15">IFERROR(E45*C45,"")</f>
        <v>90.99</v>
      </c>
      <c r="G45" s="212">
        <f t="shared" ref="G45:G50" si="16">IFERROR(F45/$F$66,"")</f>
        <v>1.4573148866065832E-3</v>
      </c>
      <c r="H45" s="110"/>
      <c r="I45" s="102"/>
      <c r="J45" s="213"/>
      <c r="M45" s="113"/>
    </row>
    <row r="46" spans="1:13" ht="13.5" hidden="1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212" t="str">
        <f t="shared" si="16"/>
        <v/>
      </c>
      <c r="H46" s="110"/>
      <c r="I46" s="102"/>
      <c r="J46" s="213"/>
    </row>
    <row r="47" spans="1:13" ht="13.5" hidden="1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212" t="str">
        <f t="shared" si="16"/>
        <v/>
      </c>
      <c r="H47" s="110"/>
      <c r="I47" s="102"/>
      <c r="J47" s="213"/>
    </row>
    <row r="48" spans="1:13" ht="13.5" hidden="1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212" t="str">
        <f t="shared" si="16"/>
        <v/>
      </c>
      <c r="H48" s="110"/>
      <c r="I48" s="102"/>
      <c r="J48" s="213"/>
    </row>
    <row r="49" spans="1:17" ht="13.5" hidden="1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212" t="str">
        <f t="shared" si="16"/>
        <v/>
      </c>
      <c r="H49" s="110"/>
      <c r="I49" s="102"/>
      <c r="J49" s="213"/>
    </row>
    <row r="50" spans="1:17" ht="13.5" hidden="1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212" t="str">
        <f t="shared" si="16"/>
        <v/>
      </c>
      <c r="H50" s="109"/>
      <c r="I50" s="102"/>
      <c r="J50" s="213"/>
    </row>
    <row r="51" spans="1:17" ht="13.5">
      <c r="A51" s="103">
        <v>1</v>
      </c>
      <c r="B51" s="109" t="s">
        <v>141</v>
      </c>
      <c r="C51" s="104">
        <f>+A51</f>
        <v>1</v>
      </c>
      <c r="D51" s="104" t="s">
        <v>142</v>
      </c>
      <c r="E51" s="105">
        <f>+F65</f>
        <v>3050</v>
      </c>
      <c r="F51" s="105">
        <f>IFERROR(C51*E51,"")</f>
        <v>3050</v>
      </c>
      <c r="G51" s="212">
        <f>IFERROR(F51/$F$66,"")</f>
        <v>4.8849438445434434E-2</v>
      </c>
      <c r="H51" s="114"/>
      <c r="I51" s="114"/>
      <c r="J51" s="213"/>
    </row>
    <row r="52" spans="1:17" ht="14.25" thickBot="1">
      <c r="A52" s="103"/>
      <c r="B52" s="109"/>
      <c r="C52" s="104"/>
      <c r="D52" s="104"/>
      <c r="E52" s="105"/>
      <c r="F52" s="105"/>
      <c r="G52" s="212"/>
      <c r="H52" s="114"/>
      <c r="I52" s="114"/>
      <c r="J52" s="213"/>
    </row>
    <row r="53" spans="1:17" ht="13.5" thickBot="1">
      <c r="A53" s="115"/>
      <c r="B53" s="657" t="s">
        <v>143</v>
      </c>
      <c r="C53" s="657"/>
      <c r="D53" s="657"/>
      <c r="E53" s="657"/>
      <c r="F53" s="117">
        <f>SUM(F8:F14,F17:F24)</f>
        <v>57707.320000000007</v>
      </c>
      <c r="G53" s="212">
        <f>+F53/$F$66</f>
        <v>0.92425251678393039</v>
      </c>
      <c r="H53" s="118">
        <f>+F53/$D$60</f>
        <v>380.48782417582424</v>
      </c>
      <c r="I53" s="118"/>
      <c r="J53" s="214"/>
      <c r="K53" s="120"/>
      <c r="L53" s="120"/>
      <c r="M53" s="120"/>
      <c r="N53" s="120"/>
      <c r="O53" s="120"/>
      <c r="P53" s="120"/>
      <c r="Q53" s="121"/>
    </row>
    <row r="54" spans="1:17">
      <c r="A54" s="115"/>
      <c r="B54" s="657" t="s">
        <v>144</v>
      </c>
      <c r="C54" s="657"/>
      <c r="D54" s="657"/>
      <c r="E54" s="657"/>
      <c r="F54" s="117">
        <f>SUM(F27:F32,F35:F41)</f>
        <v>525.28</v>
      </c>
      <c r="G54" s="212">
        <f>+F54/$F$66</f>
        <v>8.4129944349566541E-3</v>
      </c>
      <c r="H54" s="118">
        <f>+F54/$D$60</f>
        <v>3.4633846153846153</v>
      </c>
      <c r="I54" s="118"/>
      <c r="J54" s="122"/>
      <c r="K54" s="658" t="s">
        <v>145</v>
      </c>
      <c r="L54" s="659"/>
      <c r="M54" s="659"/>
      <c r="N54" s="659"/>
      <c r="O54" s="123">
        <f>+F55</f>
        <v>58232.600000000006</v>
      </c>
      <c r="P54" s="123"/>
      <c r="Q54" s="124"/>
    </row>
    <row r="55" spans="1:17">
      <c r="A55" s="115"/>
      <c r="B55" s="657" t="s">
        <v>146</v>
      </c>
      <c r="C55" s="657"/>
      <c r="D55" s="657"/>
      <c r="E55" s="657"/>
      <c r="F55" s="117">
        <f>+F53+F54</f>
        <v>58232.600000000006</v>
      </c>
      <c r="G55" s="212">
        <f>+F55/$F$66</f>
        <v>0.93266551121888697</v>
      </c>
      <c r="H55" s="118">
        <f>+F55/$D$60</f>
        <v>383.95120879120884</v>
      </c>
      <c r="I55" s="118"/>
      <c r="J55" s="215"/>
      <c r="K55" s="126"/>
      <c r="M55" s="127" t="s">
        <v>147</v>
      </c>
      <c r="N55" s="128"/>
      <c r="O55" s="123">
        <f>+H56</f>
        <v>26.775758241758243</v>
      </c>
      <c r="P55" s="123"/>
      <c r="Q55" s="124"/>
    </row>
    <row r="56" spans="1:17" ht="13.5" thickBot="1">
      <c r="A56" s="115"/>
      <c r="B56" s="116"/>
      <c r="C56" s="657" t="s">
        <v>148</v>
      </c>
      <c r="D56" s="657"/>
      <c r="E56" s="657"/>
      <c r="F56" s="117">
        <f>SUM(F44:F51)</f>
        <v>4060.99</v>
      </c>
      <c r="G56" s="212">
        <f>+F56/$F$66</f>
        <v>6.5041665912303204E-2</v>
      </c>
      <c r="H56" s="118">
        <f>+F56/$D$60</f>
        <v>26.775758241758243</v>
      </c>
      <c r="I56" s="118"/>
      <c r="J56" s="215"/>
      <c r="K56" s="126"/>
      <c r="L56" s="126"/>
      <c r="M56" s="126" t="s">
        <v>149</v>
      </c>
      <c r="N56" s="216"/>
      <c r="O56" s="123">
        <f>O54*N56</f>
        <v>0</v>
      </c>
      <c r="P56" s="123"/>
      <c r="Q56" s="124"/>
    </row>
    <row r="57" spans="1:17" ht="13.5" thickBot="1">
      <c r="A57" s="115"/>
      <c r="B57" s="130"/>
      <c r="C57" s="130"/>
      <c r="D57" s="130"/>
      <c r="E57" s="130"/>
      <c r="F57" s="131"/>
      <c r="G57" s="212"/>
      <c r="H57" s="132"/>
      <c r="I57" s="118"/>
      <c r="J57" s="215"/>
      <c r="K57" s="133"/>
      <c r="M57" s="134" t="s">
        <v>150</v>
      </c>
      <c r="N57" s="135"/>
      <c r="O57" s="136">
        <f>SUM(O54:O56)</f>
        <v>58259.375758241767</v>
      </c>
      <c r="P57" s="137"/>
      <c r="Q57" s="124"/>
    </row>
    <row r="58" spans="1:17">
      <c r="B58" s="660" t="s">
        <v>151</v>
      </c>
      <c r="C58" s="660"/>
      <c r="D58" s="138">
        <v>45500</v>
      </c>
      <c r="E58" s="139"/>
      <c r="G58" s="212"/>
      <c r="H58" s="132">
        <f>+H56/61</f>
        <v>0.43894685642226627</v>
      </c>
      <c r="I58" s="140"/>
      <c r="J58" s="215"/>
      <c r="K58" s="133"/>
      <c r="L58" s="126"/>
      <c r="M58" s="126" t="s">
        <v>152</v>
      </c>
      <c r="N58" s="217"/>
      <c r="O58" s="123">
        <f>+H59</f>
        <v>25.458917672491445</v>
      </c>
      <c r="P58" s="123"/>
      <c r="Q58" s="124"/>
    </row>
    <row r="59" spans="1:17">
      <c r="B59" s="660" t="s">
        <v>153</v>
      </c>
      <c r="C59" s="660"/>
      <c r="D59" s="142">
        <v>300</v>
      </c>
      <c r="E59" s="139"/>
      <c r="G59" s="212"/>
      <c r="H59" s="132">
        <f>+H58*58</f>
        <v>25.458917672491445</v>
      </c>
      <c r="I59" s="140"/>
      <c r="J59" s="215"/>
      <c r="K59" s="133"/>
      <c r="L59" s="126"/>
      <c r="M59" s="661" t="s">
        <v>150</v>
      </c>
      <c r="N59" s="661"/>
      <c r="O59" s="123">
        <f>SUM(O57:O58)</f>
        <v>58284.834675914259</v>
      </c>
      <c r="P59" s="123"/>
      <c r="Q59" s="124"/>
    </row>
    <row r="60" spans="1:17" ht="13.5" thickBot="1">
      <c r="B60" s="652" t="s">
        <v>154</v>
      </c>
      <c r="C60" s="652"/>
      <c r="D60" s="138">
        <f>+D58/D59</f>
        <v>151.66666666666666</v>
      </c>
      <c r="E60" s="139"/>
      <c r="F60" s="143"/>
      <c r="G60" s="212"/>
      <c r="H60" s="132"/>
      <c r="I60" s="140"/>
      <c r="J60" s="215"/>
      <c r="K60" s="133"/>
      <c r="L60" s="661"/>
      <c r="M60" s="661"/>
      <c r="N60" s="217"/>
      <c r="O60" s="123">
        <f>+O59*N60</f>
        <v>0</v>
      </c>
      <c r="P60" s="123"/>
      <c r="Q60" s="124"/>
    </row>
    <row r="61" spans="1:17" ht="13.5" thickBot="1">
      <c r="B61" s="652" t="s">
        <v>155</v>
      </c>
      <c r="C61" s="652"/>
      <c r="D61" s="144"/>
      <c r="E61" s="139"/>
      <c r="F61" s="143"/>
      <c r="G61" s="212"/>
      <c r="H61" s="132"/>
      <c r="I61" s="140"/>
      <c r="J61" s="215"/>
      <c r="K61" s="653" t="s">
        <v>156</v>
      </c>
      <c r="L61" s="654"/>
      <c r="M61" s="654"/>
      <c r="N61" s="655"/>
      <c r="O61" s="136">
        <f>SUM(O59:O60)</f>
        <v>58284.834675914259</v>
      </c>
      <c r="P61" s="145" t="s">
        <v>157</v>
      </c>
      <c r="Q61" s="124"/>
    </row>
    <row r="62" spans="1:17" ht="13.5" thickBot="1">
      <c r="C62" s="115" t="s">
        <v>158</v>
      </c>
      <c r="D62" s="146"/>
      <c r="E62" s="89" t="s">
        <v>159</v>
      </c>
      <c r="F62" s="147" t="s">
        <v>160</v>
      </c>
      <c r="G62" s="212"/>
      <c r="H62" s="132"/>
      <c r="I62" s="140"/>
      <c r="J62" s="148"/>
      <c r="K62" s="149"/>
      <c r="L62" s="641" t="s">
        <v>161</v>
      </c>
      <c r="M62" s="641"/>
      <c r="N62" s="641"/>
      <c r="O62" s="150">
        <f>+O61/D60</f>
        <v>384.29561324778632</v>
      </c>
      <c r="P62" s="151">
        <f>+O62/D59</f>
        <v>1.280985377492621</v>
      </c>
      <c r="Q62" s="152"/>
    </row>
    <row r="63" spans="1:17" ht="13.5" thickBot="1">
      <c r="B63" s="642" t="s">
        <v>146</v>
      </c>
      <c r="C63" s="642"/>
      <c r="D63" s="642"/>
      <c r="E63" s="218">
        <f>+F63/F63</f>
        <v>1</v>
      </c>
      <c r="F63" s="154">
        <f>SUM(F55)</f>
        <v>58232.600000000006</v>
      </c>
      <c r="G63" s="212">
        <f>+F63/$F$66</f>
        <v>0.93266551121888697</v>
      </c>
      <c r="H63" s="132"/>
      <c r="I63" s="140"/>
      <c r="K63" s="643"/>
      <c r="L63" s="644"/>
      <c r="M63" s="644"/>
      <c r="N63" s="644"/>
      <c r="O63" s="155"/>
      <c r="P63" s="156"/>
    </row>
    <row r="64" spans="1:17" ht="13.5" thickBot="1">
      <c r="B64" s="645" t="s">
        <v>162</v>
      </c>
      <c r="C64" s="645"/>
      <c r="D64" s="645"/>
      <c r="E64" s="157">
        <v>0.02</v>
      </c>
      <c r="F64" s="154">
        <f>+F53*E64</f>
        <v>1154.1464000000001</v>
      </c>
      <c r="G64" s="212">
        <f>+F64/$F$66</f>
        <v>1.8485050335678606E-2</v>
      </c>
      <c r="H64" s="118"/>
      <c r="I64" s="140"/>
      <c r="J64" s="219"/>
      <c r="O64" s="159"/>
      <c r="P64" s="116"/>
    </row>
    <row r="65" spans="2:13" ht="13.5" thickBot="1">
      <c r="B65" s="646" t="s">
        <v>163</v>
      </c>
      <c r="C65" s="647"/>
      <c r="D65" s="160">
        <v>50</v>
      </c>
      <c r="E65" s="161">
        <v>61</v>
      </c>
      <c r="F65" s="154">
        <f>+E65*D65</f>
        <v>3050</v>
      </c>
      <c r="G65" s="212">
        <f>+F65/$F$66</f>
        <v>4.8849438445434434E-2</v>
      </c>
      <c r="H65" s="118"/>
      <c r="I65" s="118"/>
      <c r="J65" s="213"/>
    </row>
    <row r="66" spans="2:13" ht="13.5" thickBot="1">
      <c r="B66" s="648" t="s">
        <v>164</v>
      </c>
      <c r="C66" s="649"/>
      <c r="D66" s="649"/>
      <c r="E66" s="650"/>
      <c r="F66" s="131">
        <f>SUM(F63:F65)</f>
        <v>62436.746400000004</v>
      </c>
      <c r="G66" s="212">
        <f>+F66/$F$66</f>
        <v>1</v>
      </c>
      <c r="H66" s="651"/>
      <c r="I66" s="118"/>
      <c r="J66" s="213"/>
      <c r="M66" s="91" t="s">
        <v>165</v>
      </c>
    </row>
    <row r="67" spans="2:13">
      <c r="C67" s="113"/>
      <c r="D67" s="113"/>
      <c r="E67" s="163"/>
      <c r="F67" s="154"/>
      <c r="G67" s="212"/>
      <c r="H67" s="651"/>
      <c r="I67" s="162"/>
      <c r="J67" s="91"/>
      <c r="M67" s="91" t="s">
        <v>166</v>
      </c>
    </row>
    <row r="68" spans="2:13" ht="13.5" thickBot="1">
      <c r="B68" s="636" t="s">
        <v>167</v>
      </c>
      <c r="C68" s="636"/>
      <c r="D68" s="636"/>
      <c r="E68" s="636"/>
      <c r="F68" s="636"/>
      <c r="G68" s="212"/>
      <c r="H68" s="165"/>
      <c r="I68" s="162"/>
      <c r="J68" s="91"/>
      <c r="M68" s="91" t="s">
        <v>168</v>
      </c>
    </row>
    <row r="69" spans="2:13" ht="13.5" thickBot="1">
      <c r="B69" s="166" t="s">
        <v>169</v>
      </c>
      <c r="C69" s="167">
        <f>+F53</f>
        <v>57707.320000000007</v>
      </c>
      <c r="D69" s="167">
        <f>+D58</f>
        <v>45500</v>
      </c>
      <c r="E69" s="168">
        <f>+C69/D69</f>
        <v>1.2682927472527474</v>
      </c>
      <c r="F69" s="212"/>
      <c r="G69" s="165"/>
      <c r="H69" s="213"/>
      <c r="I69" s="165"/>
      <c r="J69" s="91"/>
    </row>
    <row r="70" spans="2:13">
      <c r="B70" s="169"/>
      <c r="C70" s="170"/>
      <c r="D70" s="171"/>
      <c r="E70" s="154"/>
      <c r="F70" s="212"/>
      <c r="G70" s="165"/>
      <c r="H70" s="213"/>
      <c r="I70" s="213"/>
      <c r="J70" s="91"/>
    </row>
    <row r="71" spans="2:13">
      <c r="B71" s="166" t="s">
        <v>170</v>
      </c>
      <c r="C71" s="167">
        <f>SUM(F63:F64)</f>
        <v>59386.746400000004</v>
      </c>
      <c r="D71" s="167">
        <f>+D58</f>
        <v>45500</v>
      </c>
      <c r="E71" s="172">
        <f>+C71/D71</f>
        <v>1.3052032175824178</v>
      </c>
      <c r="F71" s="212"/>
      <c r="G71" s="165"/>
      <c r="H71" s="213"/>
      <c r="I71" s="213"/>
      <c r="J71" s="91"/>
    </row>
    <row r="72" spans="2:13">
      <c r="B72" s="166"/>
      <c r="C72" s="167"/>
      <c r="D72" s="167"/>
      <c r="E72" s="172"/>
      <c r="F72" s="212"/>
      <c r="G72" s="165"/>
      <c r="H72" s="213"/>
      <c r="I72" s="213"/>
      <c r="J72" s="91"/>
    </row>
    <row r="73" spans="2:13" ht="13.5" thickBot="1">
      <c r="B73" s="166" t="s">
        <v>171</v>
      </c>
      <c r="C73" s="167">
        <f>+F65</f>
        <v>3050</v>
      </c>
      <c r="D73" s="167">
        <f>+D58</f>
        <v>45500</v>
      </c>
      <c r="E73" s="172">
        <f>+C73/D73</f>
        <v>6.7032967032967031E-2</v>
      </c>
      <c r="F73" s="212"/>
      <c r="G73" s="165"/>
      <c r="H73" s="213"/>
      <c r="I73" s="213"/>
      <c r="J73" s="91"/>
    </row>
    <row r="74" spans="2:13" ht="13.5" thickBot="1">
      <c r="B74" s="166" t="s">
        <v>172</v>
      </c>
      <c r="C74" s="167">
        <f>+F56</f>
        <v>4060.99</v>
      </c>
      <c r="D74" s="167">
        <f>+D73</f>
        <v>45500</v>
      </c>
      <c r="E74" s="168">
        <f>+C74/D74</f>
        <v>8.9252527472527474E-2</v>
      </c>
      <c r="F74" s="212"/>
      <c r="G74" s="165"/>
      <c r="H74" s="213"/>
      <c r="I74" s="213"/>
      <c r="J74" s="91"/>
    </row>
    <row r="75" spans="2:13" ht="13.5" thickBot="1">
      <c r="B75" s="130"/>
      <c r="C75" s="131"/>
      <c r="D75" s="131"/>
      <c r="E75" s="172"/>
      <c r="F75" s="212"/>
      <c r="G75" s="165"/>
      <c r="H75" s="213"/>
      <c r="I75" s="213"/>
      <c r="J75" s="91"/>
    </row>
    <row r="76" spans="2:13" ht="13.5" thickBot="1">
      <c r="B76" s="166" t="s">
        <v>173</v>
      </c>
      <c r="C76" s="167">
        <f>+F54</f>
        <v>525.28</v>
      </c>
      <c r="D76" s="167">
        <f>+D74</f>
        <v>45500</v>
      </c>
      <c r="E76" s="168">
        <f>+C76/D76</f>
        <v>1.1544615384615384E-2</v>
      </c>
      <c r="F76" s="212"/>
      <c r="G76" s="165"/>
      <c r="H76" s="213"/>
      <c r="I76" s="213"/>
      <c r="J76" s="213"/>
    </row>
    <row r="77" spans="2:13" ht="13.5" thickBot="1">
      <c r="B77" s="130"/>
      <c r="C77" s="131"/>
      <c r="D77" s="131"/>
      <c r="E77" s="172"/>
      <c r="F77" s="212"/>
      <c r="G77" s="165"/>
      <c r="H77" s="213"/>
      <c r="I77" s="213"/>
    </row>
    <row r="78" spans="2:13" ht="13.5" thickBot="1">
      <c r="B78" s="637" t="s">
        <v>174</v>
      </c>
      <c r="C78" s="638"/>
      <c r="D78" s="639"/>
      <c r="E78" s="168">
        <f>+E69+E74</f>
        <v>1.357545274725275</v>
      </c>
      <c r="G78" s="212"/>
      <c r="H78" s="165"/>
      <c r="I78" s="213"/>
      <c r="J78" s="172"/>
    </row>
    <row r="79" spans="2:13">
      <c r="I79" s="165"/>
      <c r="J79" s="91"/>
    </row>
    <row r="80" spans="2:13" ht="13.5" thickBot="1">
      <c r="B80" s="636" t="s">
        <v>175</v>
      </c>
      <c r="C80" s="636"/>
      <c r="D80" s="636"/>
      <c r="E80" s="636"/>
      <c r="F80" s="636"/>
      <c r="G80" s="212"/>
      <c r="H80" s="165"/>
      <c r="J80" s="91"/>
    </row>
    <row r="81" spans="1:10" ht="13.5" thickBot="1">
      <c r="B81" s="166" t="s">
        <v>169</v>
      </c>
      <c r="C81" s="167">
        <f>+C69</f>
        <v>57707.320000000007</v>
      </c>
      <c r="D81" s="167">
        <f>+D60</f>
        <v>151.66666666666666</v>
      </c>
      <c r="E81" s="168">
        <f>+C81/D81</f>
        <v>380.48782417582424</v>
      </c>
      <c r="F81" s="212"/>
      <c r="G81" s="165"/>
      <c r="H81" s="213"/>
      <c r="I81" s="165"/>
      <c r="J81" s="91"/>
    </row>
    <row r="82" spans="1:10">
      <c r="B82" s="169"/>
      <c r="C82" s="170"/>
      <c r="D82" s="171"/>
      <c r="E82" s="154"/>
      <c r="F82" s="212"/>
      <c r="G82" s="165"/>
      <c r="H82" s="213"/>
      <c r="I82" s="213"/>
      <c r="J82" s="91"/>
    </row>
    <row r="83" spans="1:10">
      <c r="B83" s="166" t="s">
        <v>170</v>
      </c>
      <c r="C83" s="167">
        <f>+C71</f>
        <v>59386.746400000004</v>
      </c>
      <c r="D83" s="167">
        <f>+D60</f>
        <v>151.66666666666666</v>
      </c>
      <c r="E83" s="172">
        <f>+C83/D83</f>
        <v>391.56096527472533</v>
      </c>
      <c r="F83" s="212"/>
      <c r="G83" s="165"/>
      <c r="H83" s="213"/>
      <c r="I83" s="213"/>
      <c r="J83" s="91"/>
    </row>
    <row r="84" spans="1:10">
      <c r="B84" s="166"/>
      <c r="C84" s="167"/>
      <c r="D84" s="167"/>
      <c r="E84" s="172"/>
      <c r="F84" s="212"/>
      <c r="G84" s="165"/>
      <c r="H84" s="213"/>
      <c r="I84" s="213"/>
      <c r="J84" s="91"/>
    </row>
    <row r="85" spans="1:10" ht="13.5" thickBot="1">
      <c r="B85" s="166" t="s">
        <v>172</v>
      </c>
      <c r="C85" s="167">
        <f>+C73</f>
        <v>3050</v>
      </c>
      <c r="D85" s="167">
        <f>+D60</f>
        <v>151.66666666666666</v>
      </c>
      <c r="E85" s="172">
        <f>+C85/D85</f>
        <v>20.109890109890109</v>
      </c>
      <c r="F85" s="174"/>
      <c r="G85" s="164"/>
      <c r="H85" s="90"/>
      <c r="I85" s="213"/>
    </row>
    <row r="86" spans="1:10" ht="13.5" thickBot="1">
      <c r="B86" s="166" t="s">
        <v>172</v>
      </c>
      <c r="C86" s="167">
        <f>+C74</f>
        <v>4060.99</v>
      </c>
      <c r="D86" s="167">
        <f>+D85</f>
        <v>151.66666666666666</v>
      </c>
      <c r="E86" s="168">
        <f>+C86/D86</f>
        <v>26.775758241758243</v>
      </c>
      <c r="F86" s="220"/>
      <c r="G86" s="164"/>
      <c r="H86" s="90"/>
      <c r="I86" s="90"/>
    </row>
    <row r="87" spans="1:10">
      <c r="I87" s="90"/>
    </row>
    <row r="88" spans="1:10">
      <c r="A88" s="640"/>
      <c r="B88" s="640"/>
      <c r="C88" s="175"/>
      <c r="D88" s="175"/>
      <c r="E88" s="176"/>
      <c r="G88" s="221"/>
    </row>
    <row r="89" spans="1:10">
      <c r="A89" s="109"/>
      <c r="B89" s="178"/>
      <c r="C89" s="179"/>
      <c r="D89" s="179"/>
      <c r="E89" s="180"/>
      <c r="G89" s="221"/>
    </row>
    <row r="90" spans="1:10">
      <c r="A90" s="109"/>
      <c r="B90" s="178"/>
      <c r="C90" s="181"/>
      <c r="D90" s="181"/>
      <c r="E90" s="109"/>
      <c r="G90" s="221"/>
    </row>
    <row r="91" spans="1:10">
      <c r="A91" s="109"/>
      <c r="B91" s="178"/>
      <c r="C91" s="182"/>
      <c r="D91" s="182"/>
      <c r="E91" s="109"/>
      <c r="G91" s="22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52"/>
  <sheetViews>
    <sheetView view="pageBreakPreview" topLeftCell="A3" zoomScaleNormal="100" zoomScaleSheetLayoutView="100" workbookViewId="0">
      <selection activeCell="C14" sqref="C14"/>
    </sheetView>
  </sheetViews>
  <sheetFormatPr defaultColWidth="11.42578125" defaultRowHeight="15"/>
  <cols>
    <col min="1" max="1" width="14.42578125" customWidth="1"/>
    <col min="2" max="2" width="13.5703125" customWidth="1"/>
    <col min="3" max="3" width="50.85546875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9" ht="16.5">
      <c r="A1" s="620"/>
      <c r="B1" s="621"/>
      <c r="C1" s="626" t="s">
        <v>0</v>
      </c>
      <c r="D1" s="626"/>
      <c r="E1" s="626"/>
      <c r="F1" s="626"/>
      <c r="G1" s="626"/>
      <c r="H1" s="64" t="s">
        <v>1</v>
      </c>
      <c r="I1" s="63"/>
    </row>
    <row r="2" spans="1:9" ht="17.25" thickBot="1">
      <c r="A2" s="622"/>
      <c r="B2" s="623"/>
      <c r="C2" s="708" t="s">
        <v>3</v>
      </c>
      <c r="D2" s="708"/>
      <c r="E2" s="708"/>
      <c r="F2" s="708"/>
      <c r="G2" s="708"/>
      <c r="H2" s="61" t="s">
        <v>4</v>
      </c>
      <c r="I2" s="62"/>
    </row>
    <row r="3" spans="1:9" ht="50.1" customHeight="1">
      <c r="A3" s="622"/>
      <c r="B3" s="623"/>
      <c r="C3" s="709" t="s">
        <v>176</v>
      </c>
      <c r="D3" s="710"/>
      <c r="E3" s="710"/>
      <c r="F3" s="710"/>
      <c r="G3" s="711"/>
      <c r="H3" s="633" t="s">
        <v>7</v>
      </c>
      <c r="I3" s="611"/>
    </row>
    <row r="4" spans="1:9" ht="16.5">
      <c r="A4" s="622"/>
      <c r="B4" s="623"/>
      <c r="C4" s="61" t="s">
        <v>9</v>
      </c>
      <c r="D4" s="697" t="s">
        <v>177</v>
      </c>
      <c r="E4" s="697"/>
      <c r="F4" s="697"/>
      <c r="G4" s="697"/>
      <c r="H4" s="634"/>
      <c r="I4" s="612"/>
    </row>
    <row r="5" spans="1:9" ht="17.25" thickBot="1">
      <c r="A5" s="705"/>
      <c r="B5" s="706"/>
      <c r="C5" s="60" t="s">
        <v>11</v>
      </c>
      <c r="D5" s="698" t="s">
        <v>96</v>
      </c>
      <c r="E5" s="698"/>
      <c r="F5" s="698"/>
      <c r="G5" s="698"/>
      <c r="H5" s="635"/>
      <c r="I5" s="696"/>
    </row>
    <row r="6" spans="1:9" ht="30.75" customHeight="1" thickBot="1">
      <c r="A6" s="712" t="s">
        <v>13</v>
      </c>
      <c r="B6" s="713"/>
      <c r="C6" s="713"/>
      <c r="D6" s="667" t="s">
        <v>178</v>
      </c>
      <c r="E6" s="667"/>
      <c r="F6" s="667"/>
      <c r="G6" s="707" t="s">
        <v>15</v>
      </c>
      <c r="H6" s="707"/>
      <c r="I6" s="59" t="s">
        <v>179</v>
      </c>
    </row>
    <row r="7" spans="1:9" ht="29.25" customHeight="1">
      <c r="A7" s="699" t="s">
        <v>16</v>
      </c>
      <c r="B7" s="703" t="s">
        <v>17</v>
      </c>
      <c r="C7" s="701" t="s">
        <v>18</v>
      </c>
      <c r="D7" s="701" t="s">
        <v>19</v>
      </c>
      <c r="E7" s="701" t="s">
        <v>20</v>
      </c>
      <c r="F7" s="701"/>
      <c r="G7" s="701" t="s">
        <v>21</v>
      </c>
      <c r="H7" s="701"/>
      <c r="I7" s="58" t="s">
        <v>22</v>
      </c>
    </row>
    <row r="8" spans="1:9" ht="26.25" thickBot="1">
      <c r="A8" s="700"/>
      <c r="B8" s="704"/>
      <c r="C8" s="702"/>
      <c r="D8" s="702"/>
      <c r="E8" s="57" t="s">
        <v>23</v>
      </c>
      <c r="F8" s="56" t="s">
        <v>24</v>
      </c>
      <c r="G8" s="57" t="s">
        <v>23</v>
      </c>
      <c r="H8" s="56" t="s">
        <v>24</v>
      </c>
      <c r="I8" s="55" t="s">
        <v>25</v>
      </c>
    </row>
    <row r="9" spans="1:9">
      <c r="A9" s="183">
        <v>907000287</v>
      </c>
      <c r="B9" s="183" t="s">
        <v>180</v>
      </c>
      <c r="C9" s="184" t="s">
        <v>181</v>
      </c>
      <c r="D9" s="54" t="s">
        <v>79</v>
      </c>
      <c r="E9" s="13">
        <v>456</v>
      </c>
      <c r="F9" s="53" t="s">
        <v>29</v>
      </c>
      <c r="G9" s="72" t="s">
        <v>182</v>
      </c>
      <c r="H9" s="52"/>
      <c r="I9" s="51"/>
    </row>
    <row r="10" spans="1:9">
      <c r="A10" s="185">
        <v>96344</v>
      </c>
      <c r="B10" s="186" t="s">
        <v>183</v>
      </c>
      <c r="C10" s="187" t="s">
        <v>184</v>
      </c>
      <c r="D10" s="41" t="s">
        <v>79</v>
      </c>
      <c r="E10" s="35">
        <v>60</v>
      </c>
      <c r="F10" s="50" t="s">
        <v>29</v>
      </c>
      <c r="G10" s="35" t="s">
        <v>185</v>
      </c>
      <c r="H10" s="48"/>
      <c r="I10" s="47"/>
    </row>
    <row r="11" spans="1:9">
      <c r="A11" s="43"/>
      <c r="B11" s="65"/>
      <c r="C11" s="42"/>
      <c r="D11" s="41"/>
      <c r="E11" s="46"/>
      <c r="F11" s="45"/>
      <c r="G11" s="49"/>
      <c r="H11" s="48"/>
      <c r="I11" s="47"/>
    </row>
    <row r="12" spans="1:9">
      <c r="A12" s="43"/>
      <c r="B12" s="65"/>
      <c r="C12" s="73" t="s">
        <v>186</v>
      </c>
      <c r="D12" s="41"/>
      <c r="E12" s="46"/>
      <c r="F12" s="45"/>
      <c r="G12" s="49"/>
      <c r="H12" s="48"/>
      <c r="I12" s="47"/>
    </row>
    <row r="13" spans="1:9">
      <c r="A13" s="188">
        <v>95717</v>
      </c>
      <c r="B13" s="183" t="s">
        <v>187</v>
      </c>
      <c r="C13" s="189" t="s">
        <v>188</v>
      </c>
      <c r="D13" s="190" t="s">
        <v>79</v>
      </c>
      <c r="E13" s="191">
        <v>120</v>
      </c>
      <c r="F13" s="45" t="s">
        <v>29</v>
      </c>
      <c r="G13" s="35"/>
      <c r="H13" s="48"/>
      <c r="I13" s="47"/>
    </row>
    <row r="14" spans="1:9">
      <c r="A14" s="192">
        <v>905000060</v>
      </c>
      <c r="B14" s="193"/>
      <c r="C14" s="193" t="s">
        <v>189</v>
      </c>
      <c r="D14" s="194" t="s">
        <v>79</v>
      </c>
      <c r="E14" s="195">
        <v>60</v>
      </c>
      <c r="F14" s="45" t="s">
        <v>29</v>
      </c>
      <c r="G14" s="35"/>
      <c r="H14" s="48"/>
      <c r="I14" s="47"/>
    </row>
    <row r="15" spans="1:9">
      <c r="A15" s="196">
        <v>905000063</v>
      </c>
      <c r="B15" s="196" t="s">
        <v>190</v>
      </c>
      <c r="C15" s="197" t="s">
        <v>191</v>
      </c>
      <c r="D15" s="190" t="s">
        <v>79</v>
      </c>
      <c r="E15" s="195">
        <v>40</v>
      </c>
      <c r="F15" s="45" t="s">
        <v>29</v>
      </c>
      <c r="G15" s="35"/>
      <c r="H15" s="48"/>
      <c r="I15" s="47"/>
    </row>
    <row r="16" spans="1:9" ht="13.5" customHeight="1">
      <c r="A16" s="198">
        <v>905000101</v>
      </c>
      <c r="B16" s="198" t="s">
        <v>192</v>
      </c>
      <c r="C16" s="199" t="s">
        <v>193</v>
      </c>
      <c r="D16" s="190" t="s">
        <v>79</v>
      </c>
      <c r="E16" s="191">
        <v>30</v>
      </c>
      <c r="F16" s="45" t="s">
        <v>29</v>
      </c>
      <c r="G16" s="668"/>
      <c r="H16" s="669"/>
      <c r="I16" s="44"/>
    </row>
    <row r="17" spans="1:12" ht="13.5" customHeight="1">
      <c r="A17" s="70">
        <v>902000149</v>
      </c>
      <c r="B17" s="71" t="s">
        <v>194</v>
      </c>
      <c r="C17" s="75" t="s">
        <v>195</v>
      </c>
      <c r="D17" s="76" t="s">
        <v>79</v>
      </c>
      <c r="E17" s="46">
        <v>10</v>
      </c>
      <c r="F17" s="45" t="s">
        <v>29</v>
      </c>
      <c r="G17" s="669"/>
      <c r="H17" s="669"/>
      <c r="I17" s="44"/>
    </row>
    <row r="18" spans="1:12" ht="13.5" customHeight="1">
      <c r="A18" s="43"/>
      <c r="B18" s="65"/>
      <c r="C18" s="42"/>
      <c r="D18" s="41"/>
      <c r="E18" s="46"/>
      <c r="F18" s="45"/>
      <c r="G18" s="669"/>
      <c r="H18" s="669"/>
      <c r="I18" s="44"/>
    </row>
    <row r="19" spans="1:12">
      <c r="A19" s="77"/>
      <c r="B19" s="77"/>
      <c r="C19" s="78" t="s">
        <v>136</v>
      </c>
      <c r="D19" s="79"/>
      <c r="E19" s="80"/>
      <c r="F19" s="40"/>
      <c r="G19" s="749"/>
      <c r="H19" s="750"/>
      <c r="I19" s="39"/>
      <c r="L19" s="38"/>
    </row>
    <row r="20" spans="1:12" ht="13.7" customHeight="1">
      <c r="A20" s="81">
        <v>121603</v>
      </c>
      <c r="B20" s="81" t="s">
        <v>196</v>
      </c>
      <c r="C20" s="82" t="s">
        <v>197</v>
      </c>
      <c r="D20" s="83" t="s">
        <v>198</v>
      </c>
      <c r="E20" s="80">
        <v>1</v>
      </c>
      <c r="F20" s="40" t="s">
        <v>51</v>
      </c>
      <c r="G20" s="694"/>
      <c r="H20" s="695"/>
      <c r="I20" s="39"/>
      <c r="L20" s="38"/>
    </row>
    <row r="21" spans="1:12">
      <c r="A21" s="81">
        <v>1952875</v>
      </c>
      <c r="B21" s="81" t="s">
        <v>199</v>
      </c>
      <c r="C21" s="82" t="s">
        <v>200</v>
      </c>
      <c r="D21" s="83"/>
      <c r="E21" s="80">
        <v>1</v>
      </c>
      <c r="F21" s="37" t="s">
        <v>51</v>
      </c>
      <c r="G21" s="29"/>
      <c r="H21" s="36"/>
      <c r="I21" s="33"/>
    </row>
    <row r="22" spans="1:12">
      <c r="A22" s="76">
        <v>702012</v>
      </c>
      <c r="B22" s="76" t="s">
        <v>201</v>
      </c>
      <c r="C22" s="84" t="s">
        <v>202</v>
      </c>
      <c r="D22" s="83" t="s">
        <v>203</v>
      </c>
      <c r="E22" s="80">
        <v>1</v>
      </c>
      <c r="F22" s="28" t="s">
        <v>51</v>
      </c>
      <c r="G22" s="29"/>
      <c r="H22" s="36"/>
      <c r="I22" s="34"/>
    </row>
    <row r="23" spans="1:12">
      <c r="A23" s="76">
        <v>702069</v>
      </c>
      <c r="B23" s="76" t="s">
        <v>204</v>
      </c>
      <c r="C23" s="84" t="s">
        <v>205</v>
      </c>
      <c r="D23" s="83" t="s">
        <v>206</v>
      </c>
      <c r="E23" s="80">
        <v>1</v>
      </c>
      <c r="F23" s="28" t="s">
        <v>51</v>
      </c>
      <c r="G23" s="11"/>
      <c r="H23" s="26"/>
      <c r="I23" s="34"/>
    </row>
    <row r="24" spans="1:12">
      <c r="A24" s="74">
        <v>702123</v>
      </c>
      <c r="B24" s="85" t="s">
        <v>55</v>
      </c>
      <c r="C24" s="84" t="s">
        <v>207</v>
      </c>
      <c r="D24" s="83" t="s">
        <v>203</v>
      </c>
      <c r="E24" s="83">
        <v>1</v>
      </c>
      <c r="F24" s="28" t="s">
        <v>51</v>
      </c>
      <c r="G24" s="11"/>
      <c r="H24" s="26"/>
      <c r="I24" s="34"/>
    </row>
    <row r="25" spans="1:12">
      <c r="A25" s="74">
        <v>703020</v>
      </c>
      <c r="B25" s="81" t="s">
        <v>208</v>
      </c>
      <c r="C25" s="84" t="s">
        <v>209</v>
      </c>
      <c r="D25" s="83" t="s">
        <v>44</v>
      </c>
      <c r="E25" s="83">
        <v>60</v>
      </c>
      <c r="F25" s="28" t="s">
        <v>210</v>
      </c>
      <c r="G25" s="11"/>
      <c r="H25" s="26"/>
      <c r="I25" s="34"/>
    </row>
    <row r="26" spans="1:12">
      <c r="A26" s="32"/>
      <c r="B26" s="66"/>
      <c r="C26" s="31"/>
      <c r="D26" s="30"/>
      <c r="E26" s="29"/>
      <c r="F26" s="28"/>
      <c r="G26" s="11"/>
      <c r="H26" s="26"/>
      <c r="I26" s="33"/>
    </row>
    <row r="27" spans="1:12">
      <c r="A27" s="32"/>
      <c r="B27" s="66"/>
      <c r="C27" s="31"/>
      <c r="D27" s="30"/>
      <c r="E27" s="29"/>
      <c r="F27" s="28"/>
      <c r="G27" s="11"/>
      <c r="H27" s="26"/>
      <c r="I27" s="33"/>
    </row>
    <row r="28" spans="1:12">
      <c r="A28" s="32"/>
      <c r="B28" s="66"/>
      <c r="C28" s="31"/>
      <c r="D28" s="30"/>
      <c r="E28" s="29"/>
      <c r="F28" s="28"/>
      <c r="G28" s="27"/>
      <c r="H28" s="26"/>
      <c r="I28" s="25"/>
    </row>
    <row r="29" spans="1:12" ht="15.75" thickBot="1">
      <c r="A29" s="24"/>
      <c r="B29" s="67"/>
      <c r="C29" s="21"/>
      <c r="D29" s="21"/>
      <c r="E29" s="23"/>
      <c r="F29" s="22"/>
      <c r="G29" s="21"/>
      <c r="H29" s="21"/>
      <c r="I29" s="20"/>
      <c r="L29" s="8"/>
    </row>
    <row r="30" spans="1:12" ht="15.75" thickBot="1">
      <c r="A30" s="19"/>
      <c r="B30" s="68"/>
      <c r="C30" s="15"/>
      <c r="D30" s="18" t="s">
        <v>23</v>
      </c>
      <c r="E30" s="17" t="s">
        <v>61</v>
      </c>
      <c r="F30" s="16"/>
      <c r="G30" s="15"/>
      <c r="H30" s="15"/>
      <c r="I30" s="14"/>
      <c r="L30" s="8"/>
    </row>
    <row r="31" spans="1:12">
      <c r="A31" s="674" t="s">
        <v>62</v>
      </c>
      <c r="B31" s="675"/>
      <c r="C31" s="676"/>
      <c r="D31" s="13">
        <v>770</v>
      </c>
      <c r="E31" s="12" t="s">
        <v>29</v>
      </c>
      <c r="F31" s="677" t="s">
        <v>112</v>
      </c>
      <c r="G31" s="677"/>
      <c r="H31" s="678"/>
      <c r="I31" s="679"/>
      <c r="L31" s="8"/>
    </row>
    <row r="32" spans="1:12">
      <c r="A32" s="680" t="s">
        <v>63</v>
      </c>
      <c r="B32" s="681"/>
      <c r="C32" s="682"/>
      <c r="D32" s="11">
        <v>8</v>
      </c>
      <c r="E32" s="11" t="s">
        <v>64</v>
      </c>
      <c r="F32" s="683" t="s">
        <v>113</v>
      </c>
      <c r="G32" s="683"/>
      <c r="H32" s="684"/>
      <c r="I32" s="685"/>
      <c r="L32" s="8"/>
    </row>
    <row r="33" spans="1:13">
      <c r="A33" s="680" t="s">
        <v>65</v>
      </c>
      <c r="B33" s="681"/>
      <c r="C33" s="682"/>
      <c r="D33" s="11">
        <v>1</v>
      </c>
      <c r="E33" s="11" t="s">
        <v>51</v>
      </c>
      <c r="F33" s="683" t="s">
        <v>114</v>
      </c>
      <c r="G33" s="683"/>
      <c r="H33" s="684"/>
      <c r="I33" s="685"/>
      <c r="L33" s="8"/>
    </row>
    <row r="34" spans="1:13">
      <c r="A34" s="680" t="s">
        <v>67</v>
      </c>
      <c r="B34" s="681"/>
      <c r="C34" s="682"/>
      <c r="D34" s="10">
        <v>770</v>
      </c>
      <c r="E34" s="9" t="s">
        <v>29</v>
      </c>
      <c r="F34" s="689" t="s">
        <v>115</v>
      </c>
      <c r="G34" s="689"/>
      <c r="H34" s="684"/>
      <c r="I34" s="685"/>
      <c r="L34" s="8"/>
    </row>
    <row r="35" spans="1:13" ht="15.75" thickBot="1">
      <c r="A35" s="690" t="s">
        <v>68</v>
      </c>
      <c r="B35" s="691"/>
      <c r="C35" s="692"/>
      <c r="D35" s="7">
        <f>SUM(E9:E17)-D31</f>
        <v>6</v>
      </c>
      <c r="E35" s="6" t="s">
        <v>29</v>
      </c>
      <c r="F35" s="693"/>
      <c r="G35" s="693"/>
      <c r="H35" s="747"/>
      <c r="I35" s="748"/>
      <c r="J35" s="5"/>
      <c r="K35" s="5"/>
      <c r="M35" s="5"/>
    </row>
    <row r="36" spans="1:13" ht="15.75" thickBot="1">
      <c r="A36" s="740" t="s">
        <v>69</v>
      </c>
      <c r="B36" s="741"/>
      <c r="C36" s="741"/>
      <c r="D36" s="741"/>
      <c r="E36" s="741"/>
      <c r="F36" s="741"/>
      <c r="G36" s="741"/>
      <c r="H36" s="741"/>
      <c r="I36" s="742"/>
    </row>
    <row r="37" spans="1:13">
      <c r="A37" s="743" t="s">
        <v>211</v>
      </c>
      <c r="B37" s="744"/>
      <c r="C37" s="745"/>
      <c r="D37" s="745"/>
      <c r="E37" s="745"/>
      <c r="F37" s="745"/>
      <c r="G37" s="745"/>
      <c r="H37" s="745"/>
      <c r="I37" s="746"/>
      <c r="J37" s="1"/>
      <c r="K37" s="1"/>
      <c r="L37" s="3"/>
      <c r="M37" s="1"/>
    </row>
    <row r="38" spans="1:13" ht="27.6" customHeight="1">
      <c r="A38" s="686" t="s">
        <v>212</v>
      </c>
      <c r="B38" s="561"/>
      <c r="C38" s="687"/>
      <c r="D38" s="687"/>
      <c r="E38" s="687"/>
      <c r="F38" s="687"/>
      <c r="G38" s="687"/>
      <c r="H38" s="687"/>
      <c r="I38" s="688"/>
      <c r="J38" s="1"/>
      <c r="K38" s="1"/>
      <c r="L38" s="3"/>
      <c r="M38" s="4"/>
    </row>
    <row r="39" spans="1:13">
      <c r="A39" s="718" t="s">
        <v>213</v>
      </c>
      <c r="B39" s="719"/>
      <c r="C39" s="720"/>
      <c r="D39" s="720"/>
      <c r="E39" s="720"/>
      <c r="F39" s="720"/>
      <c r="G39" s="720"/>
      <c r="H39" s="720"/>
      <c r="I39" s="721"/>
      <c r="J39" s="2"/>
      <c r="K39" s="2"/>
      <c r="L39" s="3"/>
      <c r="M39" s="2"/>
    </row>
    <row r="40" spans="1:13">
      <c r="A40" s="737" t="s">
        <v>214</v>
      </c>
      <c r="B40" s="738"/>
      <c r="C40" s="738"/>
      <c r="D40" s="738"/>
      <c r="E40" s="738"/>
      <c r="F40" s="738"/>
      <c r="G40" s="738"/>
      <c r="H40" s="738"/>
      <c r="I40" s="739"/>
      <c r="J40" s="2"/>
      <c r="K40" s="2"/>
      <c r="L40" s="3"/>
      <c r="M40" s="2"/>
    </row>
    <row r="41" spans="1:13">
      <c r="A41" s="722"/>
      <c r="B41" s="723"/>
      <c r="C41" s="724"/>
      <c r="D41" s="724"/>
      <c r="E41" s="724"/>
      <c r="F41" s="724"/>
      <c r="G41" s="724"/>
      <c r="H41" s="724"/>
      <c r="I41" s="725"/>
      <c r="J41" s="1"/>
      <c r="K41" s="1"/>
      <c r="L41" s="1"/>
      <c r="M41" s="1"/>
    </row>
    <row r="42" spans="1:13" ht="15.75" thickBot="1">
      <c r="A42" s="726"/>
      <c r="B42" s="727"/>
      <c r="C42" s="728"/>
      <c r="D42" s="728"/>
      <c r="E42" s="728"/>
      <c r="F42" s="728"/>
      <c r="G42" s="728"/>
      <c r="H42" s="728"/>
      <c r="I42" s="729"/>
      <c r="J42" s="1"/>
      <c r="K42" s="1"/>
      <c r="L42" s="1"/>
      <c r="M42" s="1"/>
    </row>
    <row r="43" spans="1:13">
      <c r="A43" s="730" t="s">
        <v>215</v>
      </c>
      <c r="B43" s="731"/>
      <c r="C43" s="731"/>
      <c r="D43" s="731"/>
      <c r="E43" s="731"/>
      <c r="F43" s="731"/>
      <c r="G43" s="731"/>
      <c r="H43" s="731"/>
      <c r="I43" s="732"/>
      <c r="J43" s="1"/>
      <c r="K43" s="1"/>
      <c r="L43" s="1"/>
      <c r="M43" s="1"/>
    </row>
    <row r="44" spans="1:13" ht="15.75" thickBot="1">
      <c r="A44" s="733"/>
      <c r="B44" s="734"/>
      <c r="C44" s="735"/>
      <c r="D44" s="735"/>
      <c r="E44" s="735"/>
      <c r="F44" s="735"/>
      <c r="G44" s="735"/>
      <c r="H44" s="735"/>
      <c r="I44" s="736"/>
      <c r="J44" s="1"/>
      <c r="K44" s="1"/>
      <c r="L44" s="1"/>
      <c r="M44" s="1"/>
    </row>
    <row r="45" spans="1:13" ht="15.75" thickBot="1">
      <c r="A45" s="714"/>
      <c r="B45" s="715"/>
      <c r="C45" s="716"/>
      <c r="D45" s="716"/>
      <c r="E45" s="716"/>
      <c r="F45" s="716"/>
      <c r="G45" s="716"/>
      <c r="H45" s="716"/>
      <c r="I45" s="717"/>
      <c r="J45" s="1"/>
      <c r="K45" s="1"/>
      <c r="L45" s="1"/>
      <c r="M45" s="1"/>
    </row>
    <row r="46" spans="1:13" ht="15.75" thickBot="1">
      <c r="A46" s="714"/>
      <c r="B46" s="715"/>
      <c r="C46" s="716"/>
      <c r="D46" s="716"/>
      <c r="E46" s="716"/>
      <c r="F46" s="716"/>
      <c r="G46" s="716"/>
      <c r="H46" s="716"/>
      <c r="I46" s="717"/>
      <c r="J46" s="1"/>
      <c r="K46" s="1"/>
      <c r="L46" s="1"/>
      <c r="M46" s="1"/>
    </row>
    <row r="47" spans="1:13" ht="15.75" thickBot="1">
      <c r="A47" s="714"/>
      <c r="B47" s="715"/>
      <c r="C47" s="716"/>
      <c r="D47" s="716"/>
      <c r="E47" s="716"/>
      <c r="F47" s="716"/>
      <c r="G47" s="716"/>
      <c r="H47" s="716"/>
      <c r="I47" s="717"/>
    </row>
    <row r="48" spans="1:13" ht="15.75" thickBot="1">
      <c r="A48" s="714"/>
      <c r="B48" s="715"/>
      <c r="C48" s="716"/>
      <c r="D48" s="716"/>
      <c r="E48" s="716"/>
      <c r="F48" s="716"/>
      <c r="G48" s="716"/>
      <c r="H48" s="716"/>
      <c r="I48" s="717"/>
    </row>
    <row r="49" spans="1:9" ht="15.75" thickBot="1">
      <c r="A49" s="714"/>
      <c r="B49" s="715"/>
      <c r="C49" s="716"/>
      <c r="D49" s="716"/>
      <c r="E49" s="716"/>
      <c r="F49" s="716"/>
      <c r="G49" s="716"/>
      <c r="H49" s="716"/>
      <c r="I49" s="717"/>
    </row>
    <row r="50" spans="1:9" ht="15.75" thickBot="1">
      <c r="A50" s="714"/>
      <c r="B50" s="715"/>
      <c r="C50" s="716"/>
      <c r="D50" s="716"/>
      <c r="E50" s="716"/>
      <c r="F50" s="716"/>
      <c r="G50" s="716"/>
      <c r="H50" s="716"/>
      <c r="I50" s="717"/>
    </row>
    <row r="51" spans="1:9" ht="15.75" thickBot="1">
      <c r="A51" s="714"/>
      <c r="B51" s="715"/>
      <c r="C51" s="716"/>
      <c r="D51" s="716"/>
      <c r="E51" s="716"/>
      <c r="F51" s="716"/>
      <c r="G51" s="716"/>
      <c r="H51" s="716"/>
      <c r="I51" s="717"/>
    </row>
    <row r="52" spans="1:9" ht="15" customHeight="1" thickBot="1">
      <c r="A52" s="670"/>
      <c r="B52" s="671"/>
      <c r="C52" s="672"/>
      <c r="D52" s="672"/>
      <c r="E52" s="672"/>
      <c r="F52" s="672"/>
      <c r="G52" s="672"/>
      <c r="H52" s="672"/>
      <c r="I52" s="673"/>
    </row>
  </sheetData>
  <mergeCells count="54">
    <mergeCell ref="G17:H17"/>
    <mergeCell ref="A36:I36"/>
    <mergeCell ref="A37:I37"/>
    <mergeCell ref="H35:I35"/>
    <mergeCell ref="A33:C33"/>
    <mergeCell ref="F33:G33"/>
    <mergeCell ref="H33:I33"/>
    <mergeCell ref="A34:C34"/>
    <mergeCell ref="G19:H19"/>
    <mergeCell ref="A51:I51"/>
    <mergeCell ref="A46:I46"/>
    <mergeCell ref="A39:I39"/>
    <mergeCell ref="A41:I41"/>
    <mergeCell ref="A42:I42"/>
    <mergeCell ref="A43:I43"/>
    <mergeCell ref="A44:I44"/>
    <mergeCell ref="A45:I45"/>
    <mergeCell ref="A50:I50"/>
    <mergeCell ref="A49:I49"/>
    <mergeCell ref="A48:I48"/>
    <mergeCell ref="A40:I40"/>
    <mergeCell ref="A47:I47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D6:F6"/>
    <mergeCell ref="G16:H16"/>
    <mergeCell ref="G18:H18"/>
    <mergeCell ref="A52:I52"/>
    <mergeCell ref="A31:C31"/>
    <mergeCell ref="F31:G31"/>
    <mergeCell ref="H31:I31"/>
    <mergeCell ref="A32:C32"/>
    <mergeCell ref="F32:G32"/>
    <mergeCell ref="H32:I32"/>
    <mergeCell ref="A38:I38"/>
    <mergeCell ref="F34:G34"/>
    <mergeCell ref="H34:I34"/>
    <mergeCell ref="A35:C35"/>
    <mergeCell ref="F35:G35"/>
    <mergeCell ref="G20:H20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894E-B2FB-412F-929B-12D8DDF4A817}">
  <dimension ref="A1:N42"/>
  <sheetViews>
    <sheetView workbookViewId="0">
      <selection activeCell="D6" sqref="D6:D7"/>
    </sheetView>
  </sheetViews>
  <sheetFormatPr defaultColWidth="11.42578125" defaultRowHeight="13.5"/>
  <cols>
    <col min="1" max="1" width="11.42578125" style="5"/>
    <col min="2" max="2" width="16.140625" style="5" customWidth="1"/>
    <col min="3" max="3" width="13.140625" style="5" customWidth="1"/>
    <col min="4" max="4" width="40.5703125" style="5" customWidth="1"/>
    <col min="5" max="5" width="15.5703125" style="5" customWidth="1"/>
    <col min="6" max="6" width="11.42578125" style="5"/>
    <col min="7" max="7" width="13.140625" style="5" customWidth="1"/>
    <col min="8" max="8" width="12.5703125" style="5" customWidth="1"/>
    <col min="9" max="9" width="15.5703125" style="5" customWidth="1"/>
    <col min="10" max="10" width="16" style="5" customWidth="1"/>
    <col min="11" max="257" width="11.42578125" style="5"/>
    <col min="258" max="258" width="16.140625" style="5" customWidth="1"/>
    <col min="259" max="259" width="13.140625" style="5" customWidth="1"/>
    <col min="260" max="260" width="40.5703125" style="5" customWidth="1"/>
    <col min="261" max="261" width="15.5703125" style="5" customWidth="1"/>
    <col min="262" max="262" width="11.42578125" style="5"/>
    <col min="263" max="263" width="13.140625" style="5" customWidth="1"/>
    <col min="264" max="264" width="12.5703125" style="5" customWidth="1"/>
    <col min="265" max="265" width="15.5703125" style="5" customWidth="1"/>
    <col min="266" max="266" width="16" style="5" customWidth="1"/>
    <col min="267" max="513" width="11.42578125" style="5"/>
    <col min="514" max="514" width="16.140625" style="5" customWidth="1"/>
    <col min="515" max="515" width="13.140625" style="5" customWidth="1"/>
    <col min="516" max="516" width="40.5703125" style="5" customWidth="1"/>
    <col min="517" max="517" width="15.5703125" style="5" customWidth="1"/>
    <col min="518" max="518" width="11.42578125" style="5"/>
    <col min="519" max="519" width="13.140625" style="5" customWidth="1"/>
    <col min="520" max="520" width="12.5703125" style="5" customWidth="1"/>
    <col min="521" max="521" width="15.5703125" style="5" customWidth="1"/>
    <col min="522" max="522" width="16" style="5" customWidth="1"/>
    <col min="523" max="769" width="11.42578125" style="5"/>
    <col min="770" max="770" width="16.140625" style="5" customWidth="1"/>
    <col min="771" max="771" width="13.140625" style="5" customWidth="1"/>
    <col min="772" max="772" width="40.5703125" style="5" customWidth="1"/>
    <col min="773" max="773" width="15.5703125" style="5" customWidth="1"/>
    <col min="774" max="774" width="11.42578125" style="5"/>
    <col min="775" max="775" width="13.140625" style="5" customWidth="1"/>
    <col min="776" max="776" width="12.5703125" style="5" customWidth="1"/>
    <col min="777" max="777" width="15.5703125" style="5" customWidth="1"/>
    <col min="778" max="778" width="16" style="5" customWidth="1"/>
    <col min="779" max="1025" width="11.42578125" style="5"/>
    <col min="1026" max="1026" width="16.140625" style="5" customWidth="1"/>
    <col min="1027" max="1027" width="13.140625" style="5" customWidth="1"/>
    <col min="1028" max="1028" width="40.5703125" style="5" customWidth="1"/>
    <col min="1029" max="1029" width="15.5703125" style="5" customWidth="1"/>
    <col min="1030" max="1030" width="11.42578125" style="5"/>
    <col min="1031" max="1031" width="13.140625" style="5" customWidth="1"/>
    <col min="1032" max="1032" width="12.5703125" style="5" customWidth="1"/>
    <col min="1033" max="1033" width="15.5703125" style="5" customWidth="1"/>
    <col min="1034" max="1034" width="16" style="5" customWidth="1"/>
    <col min="1035" max="1281" width="11.42578125" style="5"/>
    <col min="1282" max="1282" width="16.140625" style="5" customWidth="1"/>
    <col min="1283" max="1283" width="13.140625" style="5" customWidth="1"/>
    <col min="1284" max="1284" width="40.5703125" style="5" customWidth="1"/>
    <col min="1285" max="1285" width="15.5703125" style="5" customWidth="1"/>
    <col min="1286" max="1286" width="11.42578125" style="5"/>
    <col min="1287" max="1287" width="13.140625" style="5" customWidth="1"/>
    <col min="1288" max="1288" width="12.5703125" style="5" customWidth="1"/>
    <col min="1289" max="1289" width="15.5703125" style="5" customWidth="1"/>
    <col min="1290" max="1290" width="16" style="5" customWidth="1"/>
    <col min="1291" max="1537" width="11.42578125" style="5"/>
    <col min="1538" max="1538" width="16.140625" style="5" customWidth="1"/>
    <col min="1539" max="1539" width="13.140625" style="5" customWidth="1"/>
    <col min="1540" max="1540" width="40.5703125" style="5" customWidth="1"/>
    <col min="1541" max="1541" width="15.5703125" style="5" customWidth="1"/>
    <col min="1542" max="1542" width="11.42578125" style="5"/>
    <col min="1543" max="1543" width="13.140625" style="5" customWidth="1"/>
    <col min="1544" max="1544" width="12.5703125" style="5" customWidth="1"/>
    <col min="1545" max="1545" width="15.5703125" style="5" customWidth="1"/>
    <col min="1546" max="1546" width="16" style="5" customWidth="1"/>
    <col min="1547" max="1793" width="11.42578125" style="5"/>
    <col min="1794" max="1794" width="16.140625" style="5" customWidth="1"/>
    <col min="1795" max="1795" width="13.140625" style="5" customWidth="1"/>
    <col min="1796" max="1796" width="40.5703125" style="5" customWidth="1"/>
    <col min="1797" max="1797" width="15.5703125" style="5" customWidth="1"/>
    <col min="1798" max="1798" width="11.42578125" style="5"/>
    <col min="1799" max="1799" width="13.140625" style="5" customWidth="1"/>
    <col min="1800" max="1800" width="12.5703125" style="5" customWidth="1"/>
    <col min="1801" max="1801" width="15.5703125" style="5" customWidth="1"/>
    <col min="1802" max="1802" width="16" style="5" customWidth="1"/>
    <col min="1803" max="2049" width="11.42578125" style="5"/>
    <col min="2050" max="2050" width="16.140625" style="5" customWidth="1"/>
    <col min="2051" max="2051" width="13.140625" style="5" customWidth="1"/>
    <col min="2052" max="2052" width="40.5703125" style="5" customWidth="1"/>
    <col min="2053" max="2053" width="15.5703125" style="5" customWidth="1"/>
    <col min="2054" max="2054" width="11.42578125" style="5"/>
    <col min="2055" max="2055" width="13.140625" style="5" customWidth="1"/>
    <col min="2056" max="2056" width="12.5703125" style="5" customWidth="1"/>
    <col min="2057" max="2057" width="15.5703125" style="5" customWidth="1"/>
    <col min="2058" max="2058" width="16" style="5" customWidth="1"/>
    <col min="2059" max="2305" width="11.42578125" style="5"/>
    <col min="2306" max="2306" width="16.140625" style="5" customWidth="1"/>
    <col min="2307" max="2307" width="13.140625" style="5" customWidth="1"/>
    <col min="2308" max="2308" width="40.5703125" style="5" customWidth="1"/>
    <col min="2309" max="2309" width="15.5703125" style="5" customWidth="1"/>
    <col min="2310" max="2310" width="11.42578125" style="5"/>
    <col min="2311" max="2311" width="13.140625" style="5" customWidth="1"/>
    <col min="2312" max="2312" width="12.5703125" style="5" customWidth="1"/>
    <col min="2313" max="2313" width="15.5703125" style="5" customWidth="1"/>
    <col min="2314" max="2314" width="16" style="5" customWidth="1"/>
    <col min="2315" max="2561" width="11.42578125" style="5"/>
    <col min="2562" max="2562" width="16.140625" style="5" customWidth="1"/>
    <col min="2563" max="2563" width="13.140625" style="5" customWidth="1"/>
    <col min="2564" max="2564" width="40.5703125" style="5" customWidth="1"/>
    <col min="2565" max="2565" width="15.5703125" style="5" customWidth="1"/>
    <col min="2566" max="2566" width="11.42578125" style="5"/>
    <col min="2567" max="2567" width="13.140625" style="5" customWidth="1"/>
    <col min="2568" max="2568" width="12.5703125" style="5" customWidth="1"/>
    <col min="2569" max="2569" width="15.5703125" style="5" customWidth="1"/>
    <col min="2570" max="2570" width="16" style="5" customWidth="1"/>
    <col min="2571" max="2817" width="11.42578125" style="5"/>
    <col min="2818" max="2818" width="16.140625" style="5" customWidth="1"/>
    <col min="2819" max="2819" width="13.140625" style="5" customWidth="1"/>
    <col min="2820" max="2820" width="40.5703125" style="5" customWidth="1"/>
    <col min="2821" max="2821" width="15.5703125" style="5" customWidth="1"/>
    <col min="2822" max="2822" width="11.42578125" style="5"/>
    <col min="2823" max="2823" width="13.140625" style="5" customWidth="1"/>
    <col min="2824" max="2824" width="12.5703125" style="5" customWidth="1"/>
    <col min="2825" max="2825" width="15.5703125" style="5" customWidth="1"/>
    <col min="2826" max="2826" width="16" style="5" customWidth="1"/>
    <col min="2827" max="3073" width="11.42578125" style="5"/>
    <col min="3074" max="3074" width="16.140625" style="5" customWidth="1"/>
    <col min="3075" max="3075" width="13.140625" style="5" customWidth="1"/>
    <col min="3076" max="3076" width="40.5703125" style="5" customWidth="1"/>
    <col min="3077" max="3077" width="15.5703125" style="5" customWidth="1"/>
    <col min="3078" max="3078" width="11.42578125" style="5"/>
    <col min="3079" max="3079" width="13.140625" style="5" customWidth="1"/>
    <col min="3080" max="3080" width="12.5703125" style="5" customWidth="1"/>
    <col min="3081" max="3081" width="15.5703125" style="5" customWidth="1"/>
    <col min="3082" max="3082" width="16" style="5" customWidth="1"/>
    <col min="3083" max="3329" width="11.42578125" style="5"/>
    <col min="3330" max="3330" width="16.140625" style="5" customWidth="1"/>
    <col min="3331" max="3331" width="13.140625" style="5" customWidth="1"/>
    <col min="3332" max="3332" width="40.5703125" style="5" customWidth="1"/>
    <col min="3333" max="3333" width="15.5703125" style="5" customWidth="1"/>
    <col min="3334" max="3334" width="11.42578125" style="5"/>
    <col min="3335" max="3335" width="13.140625" style="5" customWidth="1"/>
    <col min="3336" max="3336" width="12.5703125" style="5" customWidth="1"/>
    <col min="3337" max="3337" width="15.5703125" style="5" customWidth="1"/>
    <col min="3338" max="3338" width="16" style="5" customWidth="1"/>
    <col min="3339" max="3585" width="11.42578125" style="5"/>
    <col min="3586" max="3586" width="16.140625" style="5" customWidth="1"/>
    <col min="3587" max="3587" width="13.140625" style="5" customWidth="1"/>
    <col min="3588" max="3588" width="40.5703125" style="5" customWidth="1"/>
    <col min="3589" max="3589" width="15.5703125" style="5" customWidth="1"/>
    <col min="3590" max="3590" width="11.42578125" style="5"/>
    <col min="3591" max="3591" width="13.140625" style="5" customWidth="1"/>
    <col min="3592" max="3592" width="12.5703125" style="5" customWidth="1"/>
    <col min="3593" max="3593" width="15.5703125" style="5" customWidth="1"/>
    <col min="3594" max="3594" width="16" style="5" customWidth="1"/>
    <col min="3595" max="3841" width="11.42578125" style="5"/>
    <col min="3842" max="3842" width="16.140625" style="5" customWidth="1"/>
    <col min="3843" max="3843" width="13.140625" style="5" customWidth="1"/>
    <col min="3844" max="3844" width="40.5703125" style="5" customWidth="1"/>
    <col min="3845" max="3845" width="15.5703125" style="5" customWidth="1"/>
    <col min="3846" max="3846" width="11.42578125" style="5"/>
    <col min="3847" max="3847" width="13.140625" style="5" customWidth="1"/>
    <col min="3848" max="3848" width="12.5703125" style="5" customWidth="1"/>
    <col min="3849" max="3849" width="15.5703125" style="5" customWidth="1"/>
    <col min="3850" max="3850" width="16" style="5" customWidth="1"/>
    <col min="3851" max="4097" width="11.42578125" style="5"/>
    <col min="4098" max="4098" width="16.140625" style="5" customWidth="1"/>
    <col min="4099" max="4099" width="13.140625" style="5" customWidth="1"/>
    <col min="4100" max="4100" width="40.5703125" style="5" customWidth="1"/>
    <col min="4101" max="4101" width="15.5703125" style="5" customWidth="1"/>
    <col min="4102" max="4102" width="11.42578125" style="5"/>
    <col min="4103" max="4103" width="13.140625" style="5" customWidth="1"/>
    <col min="4104" max="4104" width="12.5703125" style="5" customWidth="1"/>
    <col min="4105" max="4105" width="15.5703125" style="5" customWidth="1"/>
    <col min="4106" max="4106" width="16" style="5" customWidth="1"/>
    <col min="4107" max="4353" width="11.42578125" style="5"/>
    <col min="4354" max="4354" width="16.140625" style="5" customWidth="1"/>
    <col min="4355" max="4355" width="13.140625" style="5" customWidth="1"/>
    <col min="4356" max="4356" width="40.5703125" style="5" customWidth="1"/>
    <col min="4357" max="4357" width="15.5703125" style="5" customWidth="1"/>
    <col min="4358" max="4358" width="11.42578125" style="5"/>
    <col min="4359" max="4359" width="13.140625" style="5" customWidth="1"/>
    <col min="4360" max="4360" width="12.5703125" style="5" customWidth="1"/>
    <col min="4361" max="4361" width="15.5703125" style="5" customWidth="1"/>
    <col min="4362" max="4362" width="16" style="5" customWidth="1"/>
    <col min="4363" max="4609" width="11.42578125" style="5"/>
    <col min="4610" max="4610" width="16.140625" style="5" customWidth="1"/>
    <col min="4611" max="4611" width="13.140625" style="5" customWidth="1"/>
    <col min="4612" max="4612" width="40.5703125" style="5" customWidth="1"/>
    <col min="4613" max="4613" width="15.5703125" style="5" customWidth="1"/>
    <col min="4614" max="4614" width="11.42578125" style="5"/>
    <col min="4615" max="4615" width="13.140625" style="5" customWidth="1"/>
    <col min="4616" max="4616" width="12.5703125" style="5" customWidth="1"/>
    <col min="4617" max="4617" width="15.5703125" style="5" customWidth="1"/>
    <col min="4618" max="4618" width="16" style="5" customWidth="1"/>
    <col min="4619" max="4865" width="11.42578125" style="5"/>
    <col min="4866" max="4866" width="16.140625" style="5" customWidth="1"/>
    <col min="4867" max="4867" width="13.140625" style="5" customWidth="1"/>
    <col min="4868" max="4868" width="40.5703125" style="5" customWidth="1"/>
    <col min="4869" max="4869" width="15.5703125" style="5" customWidth="1"/>
    <col min="4870" max="4870" width="11.42578125" style="5"/>
    <col min="4871" max="4871" width="13.140625" style="5" customWidth="1"/>
    <col min="4872" max="4872" width="12.5703125" style="5" customWidth="1"/>
    <col min="4873" max="4873" width="15.5703125" style="5" customWidth="1"/>
    <col min="4874" max="4874" width="16" style="5" customWidth="1"/>
    <col min="4875" max="5121" width="11.42578125" style="5"/>
    <col min="5122" max="5122" width="16.140625" style="5" customWidth="1"/>
    <col min="5123" max="5123" width="13.140625" style="5" customWidth="1"/>
    <col min="5124" max="5124" width="40.5703125" style="5" customWidth="1"/>
    <col min="5125" max="5125" width="15.5703125" style="5" customWidth="1"/>
    <col min="5126" max="5126" width="11.42578125" style="5"/>
    <col min="5127" max="5127" width="13.140625" style="5" customWidth="1"/>
    <col min="5128" max="5128" width="12.5703125" style="5" customWidth="1"/>
    <col min="5129" max="5129" width="15.5703125" style="5" customWidth="1"/>
    <col min="5130" max="5130" width="16" style="5" customWidth="1"/>
    <col min="5131" max="5377" width="11.42578125" style="5"/>
    <col min="5378" max="5378" width="16.140625" style="5" customWidth="1"/>
    <col min="5379" max="5379" width="13.140625" style="5" customWidth="1"/>
    <col min="5380" max="5380" width="40.5703125" style="5" customWidth="1"/>
    <col min="5381" max="5381" width="15.5703125" style="5" customWidth="1"/>
    <col min="5382" max="5382" width="11.42578125" style="5"/>
    <col min="5383" max="5383" width="13.140625" style="5" customWidth="1"/>
    <col min="5384" max="5384" width="12.5703125" style="5" customWidth="1"/>
    <col min="5385" max="5385" width="15.5703125" style="5" customWidth="1"/>
    <col min="5386" max="5386" width="16" style="5" customWidth="1"/>
    <col min="5387" max="5633" width="11.42578125" style="5"/>
    <col min="5634" max="5634" width="16.140625" style="5" customWidth="1"/>
    <col min="5635" max="5635" width="13.140625" style="5" customWidth="1"/>
    <col min="5636" max="5636" width="40.5703125" style="5" customWidth="1"/>
    <col min="5637" max="5637" width="15.5703125" style="5" customWidth="1"/>
    <col min="5638" max="5638" width="11.42578125" style="5"/>
    <col min="5639" max="5639" width="13.140625" style="5" customWidth="1"/>
    <col min="5640" max="5640" width="12.5703125" style="5" customWidth="1"/>
    <col min="5641" max="5641" width="15.5703125" style="5" customWidth="1"/>
    <col min="5642" max="5642" width="16" style="5" customWidth="1"/>
    <col min="5643" max="5889" width="11.42578125" style="5"/>
    <col min="5890" max="5890" width="16.140625" style="5" customWidth="1"/>
    <col min="5891" max="5891" width="13.140625" style="5" customWidth="1"/>
    <col min="5892" max="5892" width="40.5703125" style="5" customWidth="1"/>
    <col min="5893" max="5893" width="15.5703125" style="5" customWidth="1"/>
    <col min="5894" max="5894" width="11.42578125" style="5"/>
    <col min="5895" max="5895" width="13.140625" style="5" customWidth="1"/>
    <col min="5896" max="5896" width="12.5703125" style="5" customWidth="1"/>
    <col min="5897" max="5897" width="15.5703125" style="5" customWidth="1"/>
    <col min="5898" max="5898" width="16" style="5" customWidth="1"/>
    <col min="5899" max="6145" width="11.42578125" style="5"/>
    <col min="6146" max="6146" width="16.140625" style="5" customWidth="1"/>
    <col min="6147" max="6147" width="13.140625" style="5" customWidth="1"/>
    <col min="6148" max="6148" width="40.5703125" style="5" customWidth="1"/>
    <col min="6149" max="6149" width="15.5703125" style="5" customWidth="1"/>
    <col min="6150" max="6150" width="11.42578125" style="5"/>
    <col min="6151" max="6151" width="13.140625" style="5" customWidth="1"/>
    <col min="6152" max="6152" width="12.5703125" style="5" customWidth="1"/>
    <col min="6153" max="6153" width="15.5703125" style="5" customWidth="1"/>
    <col min="6154" max="6154" width="16" style="5" customWidth="1"/>
    <col min="6155" max="6401" width="11.42578125" style="5"/>
    <col min="6402" max="6402" width="16.140625" style="5" customWidth="1"/>
    <col min="6403" max="6403" width="13.140625" style="5" customWidth="1"/>
    <col min="6404" max="6404" width="40.5703125" style="5" customWidth="1"/>
    <col min="6405" max="6405" width="15.5703125" style="5" customWidth="1"/>
    <col min="6406" max="6406" width="11.42578125" style="5"/>
    <col min="6407" max="6407" width="13.140625" style="5" customWidth="1"/>
    <col min="6408" max="6408" width="12.5703125" style="5" customWidth="1"/>
    <col min="6409" max="6409" width="15.5703125" style="5" customWidth="1"/>
    <col min="6410" max="6410" width="16" style="5" customWidth="1"/>
    <col min="6411" max="6657" width="11.42578125" style="5"/>
    <col min="6658" max="6658" width="16.140625" style="5" customWidth="1"/>
    <col min="6659" max="6659" width="13.140625" style="5" customWidth="1"/>
    <col min="6660" max="6660" width="40.5703125" style="5" customWidth="1"/>
    <col min="6661" max="6661" width="15.5703125" style="5" customWidth="1"/>
    <col min="6662" max="6662" width="11.42578125" style="5"/>
    <col min="6663" max="6663" width="13.140625" style="5" customWidth="1"/>
    <col min="6664" max="6664" width="12.5703125" style="5" customWidth="1"/>
    <col min="6665" max="6665" width="15.5703125" style="5" customWidth="1"/>
    <col min="6666" max="6666" width="16" style="5" customWidth="1"/>
    <col min="6667" max="6913" width="11.42578125" style="5"/>
    <col min="6914" max="6914" width="16.140625" style="5" customWidth="1"/>
    <col min="6915" max="6915" width="13.140625" style="5" customWidth="1"/>
    <col min="6916" max="6916" width="40.5703125" style="5" customWidth="1"/>
    <col min="6917" max="6917" width="15.5703125" style="5" customWidth="1"/>
    <col min="6918" max="6918" width="11.42578125" style="5"/>
    <col min="6919" max="6919" width="13.140625" style="5" customWidth="1"/>
    <col min="6920" max="6920" width="12.5703125" style="5" customWidth="1"/>
    <col min="6921" max="6921" width="15.5703125" style="5" customWidth="1"/>
    <col min="6922" max="6922" width="16" style="5" customWidth="1"/>
    <col min="6923" max="7169" width="11.42578125" style="5"/>
    <col min="7170" max="7170" width="16.140625" style="5" customWidth="1"/>
    <col min="7171" max="7171" width="13.140625" style="5" customWidth="1"/>
    <col min="7172" max="7172" width="40.5703125" style="5" customWidth="1"/>
    <col min="7173" max="7173" width="15.5703125" style="5" customWidth="1"/>
    <col min="7174" max="7174" width="11.42578125" style="5"/>
    <col min="7175" max="7175" width="13.140625" style="5" customWidth="1"/>
    <col min="7176" max="7176" width="12.5703125" style="5" customWidth="1"/>
    <col min="7177" max="7177" width="15.5703125" style="5" customWidth="1"/>
    <col min="7178" max="7178" width="16" style="5" customWidth="1"/>
    <col min="7179" max="7425" width="11.42578125" style="5"/>
    <col min="7426" max="7426" width="16.140625" style="5" customWidth="1"/>
    <col min="7427" max="7427" width="13.140625" style="5" customWidth="1"/>
    <col min="7428" max="7428" width="40.5703125" style="5" customWidth="1"/>
    <col min="7429" max="7429" width="15.5703125" style="5" customWidth="1"/>
    <col min="7430" max="7430" width="11.42578125" style="5"/>
    <col min="7431" max="7431" width="13.140625" style="5" customWidth="1"/>
    <col min="7432" max="7432" width="12.5703125" style="5" customWidth="1"/>
    <col min="7433" max="7433" width="15.5703125" style="5" customWidth="1"/>
    <col min="7434" max="7434" width="16" style="5" customWidth="1"/>
    <col min="7435" max="7681" width="11.42578125" style="5"/>
    <col min="7682" max="7682" width="16.140625" style="5" customWidth="1"/>
    <col min="7683" max="7683" width="13.140625" style="5" customWidth="1"/>
    <col min="7684" max="7684" width="40.5703125" style="5" customWidth="1"/>
    <col min="7685" max="7685" width="15.5703125" style="5" customWidth="1"/>
    <col min="7686" max="7686" width="11.42578125" style="5"/>
    <col min="7687" max="7687" width="13.140625" style="5" customWidth="1"/>
    <col min="7688" max="7688" width="12.5703125" style="5" customWidth="1"/>
    <col min="7689" max="7689" width="15.5703125" style="5" customWidth="1"/>
    <col min="7690" max="7690" width="16" style="5" customWidth="1"/>
    <col min="7691" max="7937" width="11.42578125" style="5"/>
    <col min="7938" max="7938" width="16.140625" style="5" customWidth="1"/>
    <col min="7939" max="7939" width="13.140625" style="5" customWidth="1"/>
    <col min="7940" max="7940" width="40.5703125" style="5" customWidth="1"/>
    <col min="7941" max="7941" width="15.5703125" style="5" customWidth="1"/>
    <col min="7942" max="7942" width="11.42578125" style="5"/>
    <col min="7943" max="7943" width="13.140625" style="5" customWidth="1"/>
    <col min="7944" max="7944" width="12.5703125" style="5" customWidth="1"/>
    <col min="7945" max="7945" width="15.5703125" style="5" customWidth="1"/>
    <col min="7946" max="7946" width="16" style="5" customWidth="1"/>
    <col min="7947" max="8193" width="11.42578125" style="5"/>
    <col min="8194" max="8194" width="16.140625" style="5" customWidth="1"/>
    <col min="8195" max="8195" width="13.140625" style="5" customWidth="1"/>
    <col min="8196" max="8196" width="40.5703125" style="5" customWidth="1"/>
    <col min="8197" max="8197" width="15.5703125" style="5" customWidth="1"/>
    <col min="8198" max="8198" width="11.42578125" style="5"/>
    <col min="8199" max="8199" width="13.140625" style="5" customWidth="1"/>
    <col min="8200" max="8200" width="12.5703125" style="5" customWidth="1"/>
    <col min="8201" max="8201" width="15.5703125" style="5" customWidth="1"/>
    <col min="8202" max="8202" width="16" style="5" customWidth="1"/>
    <col min="8203" max="8449" width="11.42578125" style="5"/>
    <col min="8450" max="8450" width="16.140625" style="5" customWidth="1"/>
    <col min="8451" max="8451" width="13.140625" style="5" customWidth="1"/>
    <col min="8452" max="8452" width="40.5703125" style="5" customWidth="1"/>
    <col min="8453" max="8453" width="15.5703125" style="5" customWidth="1"/>
    <col min="8454" max="8454" width="11.42578125" style="5"/>
    <col min="8455" max="8455" width="13.140625" style="5" customWidth="1"/>
    <col min="8456" max="8456" width="12.5703125" style="5" customWidth="1"/>
    <col min="8457" max="8457" width="15.5703125" style="5" customWidth="1"/>
    <col min="8458" max="8458" width="16" style="5" customWidth="1"/>
    <col min="8459" max="8705" width="11.42578125" style="5"/>
    <col min="8706" max="8706" width="16.140625" style="5" customWidth="1"/>
    <col min="8707" max="8707" width="13.140625" style="5" customWidth="1"/>
    <col min="8708" max="8708" width="40.5703125" style="5" customWidth="1"/>
    <col min="8709" max="8709" width="15.5703125" style="5" customWidth="1"/>
    <col min="8710" max="8710" width="11.42578125" style="5"/>
    <col min="8711" max="8711" width="13.140625" style="5" customWidth="1"/>
    <col min="8712" max="8712" width="12.5703125" style="5" customWidth="1"/>
    <col min="8713" max="8713" width="15.5703125" style="5" customWidth="1"/>
    <col min="8714" max="8714" width="16" style="5" customWidth="1"/>
    <col min="8715" max="8961" width="11.42578125" style="5"/>
    <col min="8962" max="8962" width="16.140625" style="5" customWidth="1"/>
    <col min="8963" max="8963" width="13.140625" style="5" customWidth="1"/>
    <col min="8964" max="8964" width="40.5703125" style="5" customWidth="1"/>
    <col min="8965" max="8965" width="15.5703125" style="5" customWidth="1"/>
    <col min="8966" max="8966" width="11.42578125" style="5"/>
    <col min="8967" max="8967" width="13.140625" style="5" customWidth="1"/>
    <col min="8968" max="8968" width="12.5703125" style="5" customWidth="1"/>
    <col min="8969" max="8969" width="15.5703125" style="5" customWidth="1"/>
    <col min="8970" max="8970" width="16" style="5" customWidth="1"/>
    <col min="8971" max="9217" width="11.42578125" style="5"/>
    <col min="9218" max="9218" width="16.140625" style="5" customWidth="1"/>
    <col min="9219" max="9219" width="13.140625" style="5" customWidth="1"/>
    <col min="9220" max="9220" width="40.5703125" style="5" customWidth="1"/>
    <col min="9221" max="9221" width="15.5703125" style="5" customWidth="1"/>
    <col min="9222" max="9222" width="11.42578125" style="5"/>
    <col min="9223" max="9223" width="13.140625" style="5" customWidth="1"/>
    <col min="9224" max="9224" width="12.5703125" style="5" customWidth="1"/>
    <col min="9225" max="9225" width="15.5703125" style="5" customWidth="1"/>
    <col min="9226" max="9226" width="16" style="5" customWidth="1"/>
    <col min="9227" max="9473" width="11.42578125" style="5"/>
    <col min="9474" max="9474" width="16.140625" style="5" customWidth="1"/>
    <col min="9475" max="9475" width="13.140625" style="5" customWidth="1"/>
    <col min="9476" max="9476" width="40.5703125" style="5" customWidth="1"/>
    <col min="9477" max="9477" width="15.5703125" style="5" customWidth="1"/>
    <col min="9478" max="9478" width="11.42578125" style="5"/>
    <col min="9479" max="9479" width="13.140625" style="5" customWidth="1"/>
    <col min="9480" max="9480" width="12.5703125" style="5" customWidth="1"/>
    <col min="9481" max="9481" width="15.5703125" style="5" customWidth="1"/>
    <col min="9482" max="9482" width="16" style="5" customWidth="1"/>
    <col min="9483" max="9729" width="11.42578125" style="5"/>
    <col min="9730" max="9730" width="16.140625" style="5" customWidth="1"/>
    <col min="9731" max="9731" width="13.140625" style="5" customWidth="1"/>
    <col min="9732" max="9732" width="40.5703125" style="5" customWidth="1"/>
    <col min="9733" max="9733" width="15.5703125" style="5" customWidth="1"/>
    <col min="9734" max="9734" width="11.42578125" style="5"/>
    <col min="9735" max="9735" width="13.140625" style="5" customWidth="1"/>
    <col min="9736" max="9736" width="12.5703125" style="5" customWidth="1"/>
    <col min="9737" max="9737" width="15.5703125" style="5" customWidth="1"/>
    <col min="9738" max="9738" width="16" style="5" customWidth="1"/>
    <col min="9739" max="9985" width="11.42578125" style="5"/>
    <col min="9986" max="9986" width="16.140625" style="5" customWidth="1"/>
    <col min="9987" max="9987" width="13.140625" style="5" customWidth="1"/>
    <col min="9988" max="9988" width="40.5703125" style="5" customWidth="1"/>
    <col min="9989" max="9989" width="15.5703125" style="5" customWidth="1"/>
    <col min="9990" max="9990" width="11.42578125" style="5"/>
    <col min="9991" max="9991" width="13.140625" style="5" customWidth="1"/>
    <col min="9992" max="9992" width="12.5703125" style="5" customWidth="1"/>
    <col min="9993" max="9993" width="15.5703125" style="5" customWidth="1"/>
    <col min="9994" max="9994" width="16" style="5" customWidth="1"/>
    <col min="9995" max="10241" width="11.42578125" style="5"/>
    <col min="10242" max="10242" width="16.140625" style="5" customWidth="1"/>
    <col min="10243" max="10243" width="13.140625" style="5" customWidth="1"/>
    <col min="10244" max="10244" width="40.5703125" style="5" customWidth="1"/>
    <col min="10245" max="10245" width="15.5703125" style="5" customWidth="1"/>
    <col min="10246" max="10246" width="11.42578125" style="5"/>
    <col min="10247" max="10247" width="13.140625" style="5" customWidth="1"/>
    <col min="10248" max="10248" width="12.5703125" style="5" customWidth="1"/>
    <col min="10249" max="10249" width="15.5703125" style="5" customWidth="1"/>
    <col min="10250" max="10250" width="16" style="5" customWidth="1"/>
    <col min="10251" max="10497" width="11.42578125" style="5"/>
    <col min="10498" max="10498" width="16.140625" style="5" customWidth="1"/>
    <col min="10499" max="10499" width="13.140625" style="5" customWidth="1"/>
    <col min="10500" max="10500" width="40.5703125" style="5" customWidth="1"/>
    <col min="10501" max="10501" width="15.5703125" style="5" customWidth="1"/>
    <col min="10502" max="10502" width="11.42578125" style="5"/>
    <col min="10503" max="10503" width="13.140625" style="5" customWidth="1"/>
    <col min="10504" max="10504" width="12.5703125" style="5" customWidth="1"/>
    <col min="10505" max="10505" width="15.5703125" style="5" customWidth="1"/>
    <col min="10506" max="10506" width="16" style="5" customWidth="1"/>
    <col min="10507" max="10753" width="11.42578125" style="5"/>
    <col min="10754" max="10754" width="16.140625" style="5" customWidth="1"/>
    <col min="10755" max="10755" width="13.140625" style="5" customWidth="1"/>
    <col min="10756" max="10756" width="40.5703125" style="5" customWidth="1"/>
    <col min="10757" max="10757" width="15.5703125" style="5" customWidth="1"/>
    <col min="10758" max="10758" width="11.42578125" style="5"/>
    <col min="10759" max="10759" width="13.140625" style="5" customWidth="1"/>
    <col min="10760" max="10760" width="12.5703125" style="5" customWidth="1"/>
    <col min="10761" max="10761" width="15.5703125" style="5" customWidth="1"/>
    <col min="10762" max="10762" width="16" style="5" customWidth="1"/>
    <col min="10763" max="11009" width="11.42578125" style="5"/>
    <col min="11010" max="11010" width="16.140625" style="5" customWidth="1"/>
    <col min="11011" max="11011" width="13.140625" style="5" customWidth="1"/>
    <col min="11012" max="11012" width="40.5703125" style="5" customWidth="1"/>
    <col min="11013" max="11013" width="15.5703125" style="5" customWidth="1"/>
    <col min="11014" max="11014" width="11.42578125" style="5"/>
    <col min="11015" max="11015" width="13.140625" style="5" customWidth="1"/>
    <col min="11016" max="11016" width="12.5703125" style="5" customWidth="1"/>
    <col min="11017" max="11017" width="15.5703125" style="5" customWidth="1"/>
    <col min="11018" max="11018" width="16" style="5" customWidth="1"/>
    <col min="11019" max="11265" width="11.42578125" style="5"/>
    <col min="11266" max="11266" width="16.140625" style="5" customWidth="1"/>
    <col min="11267" max="11267" width="13.140625" style="5" customWidth="1"/>
    <col min="11268" max="11268" width="40.5703125" style="5" customWidth="1"/>
    <col min="11269" max="11269" width="15.5703125" style="5" customWidth="1"/>
    <col min="11270" max="11270" width="11.42578125" style="5"/>
    <col min="11271" max="11271" width="13.140625" style="5" customWidth="1"/>
    <col min="11272" max="11272" width="12.5703125" style="5" customWidth="1"/>
    <col min="11273" max="11273" width="15.5703125" style="5" customWidth="1"/>
    <col min="11274" max="11274" width="16" style="5" customWidth="1"/>
    <col min="11275" max="11521" width="11.42578125" style="5"/>
    <col min="11522" max="11522" width="16.140625" style="5" customWidth="1"/>
    <col min="11523" max="11523" width="13.140625" style="5" customWidth="1"/>
    <col min="11524" max="11524" width="40.5703125" style="5" customWidth="1"/>
    <col min="11525" max="11525" width="15.5703125" style="5" customWidth="1"/>
    <col min="11526" max="11526" width="11.42578125" style="5"/>
    <col min="11527" max="11527" width="13.140625" style="5" customWidth="1"/>
    <col min="11528" max="11528" width="12.5703125" style="5" customWidth="1"/>
    <col min="11529" max="11529" width="15.5703125" style="5" customWidth="1"/>
    <col min="11530" max="11530" width="16" style="5" customWidth="1"/>
    <col min="11531" max="11777" width="11.42578125" style="5"/>
    <col min="11778" max="11778" width="16.140625" style="5" customWidth="1"/>
    <col min="11779" max="11779" width="13.140625" style="5" customWidth="1"/>
    <col min="11780" max="11780" width="40.5703125" style="5" customWidth="1"/>
    <col min="11781" max="11781" width="15.5703125" style="5" customWidth="1"/>
    <col min="11782" max="11782" width="11.42578125" style="5"/>
    <col min="11783" max="11783" width="13.140625" style="5" customWidth="1"/>
    <col min="11784" max="11784" width="12.5703125" style="5" customWidth="1"/>
    <col min="11785" max="11785" width="15.5703125" style="5" customWidth="1"/>
    <col min="11786" max="11786" width="16" style="5" customWidth="1"/>
    <col min="11787" max="12033" width="11.42578125" style="5"/>
    <col min="12034" max="12034" width="16.140625" style="5" customWidth="1"/>
    <col min="12035" max="12035" width="13.140625" style="5" customWidth="1"/>
    <col min="12036" max="12036" width="40.5703125" style="5" customWidth="1"/>
    <col min="12037" max="12037" width="15.5703125" style="5" customWidth="1"/>
    <col min="12038" max="12038" width="11.42578125" style="5"/>
    <col min="12039" max="12039" width="13.140625" style="5" customWidth="1"/>
    <col min="12040" max="12040" width="12.5703125" style="5" customWidth="1"/>
    <col min="12041" max="12041" width="15.5703125" style="5" customWidth="1"/>
    <col min="12042" max="12042" width="16" style="5" customWidth="1"/>
    <col min="12043" max="12289" width="11.42578125" style="5"/>
    <col min="12290" max="12290" width="16.140625" style="5" customWidth="1"/>
    <col min="12291" max="12291" width="13.140625" style="5" customWidth="1"/>
    <col min="12292" max="12292" width="40.5703125" style="5" customWidth="1"/>
    <col min="12293" max="12293" width="15.5703125" style="5" customWidth="1"/>
    <col min="12294" max="12294" width="11.42578125" style="5"/>
    <col min="12295" max="12295" width="13.140625" style="5" customWidth="1"/>
    <col min="12296" max="12296" width="12.5703125" style="5" customWidth="1"/>
    <col min="12297" max="12297" width="15.5703125" style="5" customWidth="1"/>
    <col min="12298" max="12298" width="16" style="5" customWidth="1"/>
    <col min="12299" max="12545" width="11.42578125" style="5"/>
    <col min="12546" max="12546" width="16.140625" style="5" customWidth="1"/>
    <col min="12547" max="12547" width="13.140625" style="5" customWidth="1"/>
    <col min="12548" max="12548" width="40.5703125" style="5" customWidth="1"/>
    <col min="12549" max="12549" width="15.5703125" style="5" customWidth="1"/>
    <col min="12550" max="12550" width="11.42578125" style="5"/>
    <col min="12551" max="12551" width="13.140625" style="5" customWidth="1"/>
    <col min="12552" max="12552" width="12.5703125" style="5" customWidth="1"/>
    <col min="12553" max="12553" width="15.5703125" style="5" customWidth="1"/>
    <col min="12554" max="12554" width="16" style="5" customWidth="1"/>
    <col min="12555" max="12801" width="11.42578125" style="5"/>
    <col min="12802" max="12802" width="16.140625" style="5" customWidth="1"/>
    <col min="12803" max="12803" width="13.140625" style="5" customWidth="1"/>
    <col min="12804" max="12804" width="40.5703125" style="5" customWidth="1"/>
    <col min="12805" max="12805" width="15.5703125" style="5" customWidth="1"/>
    <col min="12806" max="12806" width="11.42578125" style="5"/>
    <col min="12807" max="12807" width="13.140625" style="5" customWidth="1"/>
    <col min="12808" max="12808" width="12.5703125" style="5" customWidth="1"/>
    <col min="12809" max="12809" width="15.5703125" style="5" customWidth="1"/>
    <col min="12810" max="12810" width="16" style="5" customWidth="1"/>
    <col min="12811" max="13057" width="11.42578125" style="5"/>
    <col min="13058" max="13058" width="16.140625" style="5" customWidth="1"/>
    <col min="13059" max="13059" width="13.140625" style="5" customWidth="1"/>
    <col min="13060" max="13060" width="40.5703125" style="5" customWidth="1"/>
    <col min="13061" max="13061" width="15.5703125" style="5" customWidth="1"/>
    <col min="13062" max="13062" width="11.42578125" style="5"/>
    <col min="13063" max="13063" width="13.140625" style="5" customWidth="1"/>
    <col min="13064" max="13064" width="12.5703125" style="5" customWidth="1"/>
    <col min="13065" max="13065" width="15.5703125" style="5" customWidth="1"/>
    <col min="13066" max="13066" width="16" style="5" customWidth="1"/>
    <col min="13067" max="13313" width="11.42578125" style="5"/>
    <col min="13314" max="13314" width="16.140625" style="5" customWidth="1"/>
    <col min="13315" max="13315" width="13.140625" style="5" customWidth="1"/>
    <col min="13316" max="13316" width="40.5703125" style="5" customWidth="1"/>
    <col min="13317" max="13317" width="15.5703125" style="5" customWidth="1"/>
    <col min="13318" max="13318" width="11.42578125" style="5"/>
    <col min="13319" max="13319" width="13.140625" style="5" customWidth="1"/>
    <col min="13320" max="13320" width="12.5703125" style="5" customWidth="1"/>
    <col min="13321" max="13321" width="15.5703125" style="5" customWidth="1"/>
    <col min="13322" max="13322" width="16" style="5" customWidth="1"/>
    <col min="13323" max="13569" width="11.42578125" style="5"/>
    <col min="13570" max="13570" width="16.140625" style="5" customWidth="1"/>
    <col min="13571" max="13571" width="13.140625" style="5" customWidth="1"/>
    <col min="13572" max="13572" width="40.5703125" style="5" customWidth="1"/>
    <col min="13573" max="13573" width="15.5703125" style="5" customWidth="1"/>
    <col min="13574" max="13574" width="11.42578125" style="5"/>
    <col min="13575" max="13575" width="13.140625" style="5" customWidth="1"/>
    <col min="13576" max="13576" width="12.5703125" style="5" customWidth="1"/>
    <col min="13577" max="13577" width="15.5703125" style="5" customWidth="1"/>
    <col min="13578" max="13578" width="16" style="5" customWidth="1"/>
    <col min="13579" max="13825" width="11.42578125" style="5"/>
    <col min="13826" max="13826" width="16.140625" style="5" customWidth="1"/>
    <col min="13827" max="13827" width="13.140625" style="5" customWidth="1"/>
    <col min="13828" max="13828" width="40.5703125" style="5" customWidth="1"/>
    <col min="13829" max="13829" width="15.5703125" style="5" customWidth="1"/>
    <col min="13830" max="13830" width="11.42578125" style="5"/>
    <col min="13831" max="13831" width="13.140625" style="5" customWidth="1"/>
    <col min="13832" max="13832" width="12.5703125" style="5" customWidth="1"/>
    <col min="13833" max="13833" width="15.5703125" style="5" customWidth="1"/>
    <col min="13834" max="13834" width="16" style="5" customWidth="1"/>
    <col min="13835" max="14081" width="11.42578125" style="5"/>
    <col min="14082" max="14082" width="16.140625" style="5" customWidth="1"/>
    <col min="14083" max="14083" width="13.140625" style="5" customWidth="1"/>
    <col min="14084" max="14084" width="40.5703125" style="5" customWidth="1"/>
    <col min="14085" max="14085" width="15.5703125" style="5" customWidth="1"/>
    <col min="14086" max="14086" width="11.42578125" style="5"/>
    <col min="14087" max="14087" width="13.140625" style="5" customWidth="1"/>
    <col min="14088" max="14088" width="12.5703125" style="5" customWidth="1"/>
    <col min="14089" max="14089" width="15.5703125" style="5" customWidth="1"/>
    <col min="14090" max="14090" width="16" style="5" customWidth="1"/>
    <col min="14091" max="14337" width="11.42578125" style="5"/>
    <col min="14338" max="14338" width="16.140625" style="5" customWidth="1"/>
    <col min="14339" max="14339" width="13.140625" style="5" customWidth="1"/>
    <col min="14340" max="14340" width="40.5703125" style="5" customWidth="1"/>
    <col min="14341" max="14341" width="15.5703125" style="5" customWidth="1"/>
    <col min="14342" max="14342" width="11.42578125" style="5"/>
    <col min="14343" max="14343" width="13.140625" style="5" customWidth="1"/>
    <col min="14344" max="14344" width="12.5703125" style="5" customWidth="1"/>
    <col min="14345" max="14345" width="15.5703125" style="5" customWidth="1"/>
    <col min="14346" max="14346" width="16" style="5" customWidth="1"/>
    <col min="14347" max="14593" width="11.42578125" style="5"/>
    <col min="14594" max="14594" width="16.140625" style="5" customWidth="1"/>
    <col min="14595" max="14595" width="13.140625" style="5" customWidth="1"/>
    <col min="14596" max="14596" width="40.5703125" style="5" customWidth="1"/>
    <col min="14597" max="14597" width="15.5703125" style="5" customWidth="1"/>
    <col min="14598" max="14598" width="11.42578125" style="5"/>
    <col min="14599" max="14599" width="13.140625" style="5" customWidth="1"/>
    <col min="14600" max="14600" width="12.5703125" style="5" customWidth="1"/>
    <col min="14601" max="14601" width="15.5703125" style="5" customWidth="1"/>
    <col min="14602" max="14602" width="16" style="5" customWidth="1"/>
    <col min="14603" max="14849" width="11.42578125" style="5"/>
    <col min="14850" max="14850" width="16.140625" style="5" customWidth="1"/>
    <col min="14851" max="14851" width="13.140625" style="5" customWidth="1"/>
    <col min="14852" max="14852" width="40.5703125" style="5" customWidth="1"/>
    <col min="14853" max="14853" width="15.5703125" style="5" customWidth="1"/>
    <col min="14854" max="14854" width="11.42578125" style="5"/>
    <col min="14855" max="14855" width="13.140625" style="5" customWidth="1"/>
    <col min="14856" max="14856" width="12.5703125" style="5" customWidth="1"/>
    <col min="14857" max="14857" width="15.5703125" style="5" customWidth="1"/>
    <col min="14858" max="14858" width="16" style="5" customWidth="1"/>
    <col min="14859" max="15105" width="11.42578125" style="5"/>
    <col min="15106" max="15106" width="16.140625" style="5" customWidth="1"/>
    <col min="15107" max="15107" width="13.140625" style="5" customWidth="1"/>
    <col min="15108" max="15108" width="40.5703125" style="5" customWidth="1"/>
    <col min="15109" max="15109" width="15.5703125" style="5" customWidth="1"/>
    <col min="15110" max="15110" width="11.42578125" style="5"/>
    <col min="15111" max="15111" width="13.140625" style="5" customWidth="1"/>
    <col min="15112" max="15112" width="12.5703125" style="5" customWidth="1"/>
    <col min="15113" max="15113" width="15.5703125" style="5" customWidth="1"/>
    <col min="15114" max="15114" width="16" style="5" customWidth="1"/>
    <col min="15115" max="15361" width="11.42578125" style="5"/>
    <col min="15362" max="15362" width="16.140625" style="5" customWidth="1"/>
    <col min="15363" max="15363" width="13.140625" style="5" customWidth="1"/>
    <col min="15364" max="15364" width="40.5703125" style="5" customWidth="1"/>
    <col min="15365" max="15365" width="15.5703125" style="5" customWidth="1"/>
    <col min="15366" max="15366" width="11.42578125" style="5"/>
    <col min="15367" max="15367" width="13.140625" style="5" customWidth="1"/>
    <col min="15368" max="15368" width="12.5703125" style="5" customWidth="1"/>
    <col min="15369" max="15369" width="15.5703125" style="5" customWidth="1"/>
    <col min="15370" max="15370" width="16" style="5" customWidth="1"/>
    <col min="15371" max="15617" width="11.42578125" style="5"/>
    <col min="15618" max="15618" width="16.140625" style="5" customWidth="1"/>
    <col min="15619" max="15619" width="13.140625" style="5" customWidth="1"/>
    <col min="15620" max="15620" width="40.5703125" style="5" customWidth="1"/>
    <col min="15621" max="15621" width="15.5703125" style="5" customWidth="1"/>
    <col min="15622" max="15622" width="11.42578125" style="5"/>
    <col min="15623" max="15623" width="13.140625" style="5" customWidth="1"/>
    <col min="15624" max="15624" width="12.5703125" style="5" customWidth="1"/>
    <col min="15625" max="15625" width="15.5703125" style="5" customWidth="1"/>
    <col min="15626" max="15626" width="16" style="5" customWidth="1"/>
    <col min="15627" max="15873" width="11.42578125" style="5"/>
    <col min="15874" max="15874" width="16.140625" style="5" customWidth="1"/>
    <col min="15875" max="15875" width="13.140625" style="5" customWidth="1"/>
    <col min="15876" max="15876" width="40.5703125" style="5" customWidth="1"/>
    <col min="15877" max="15877" width="15.5703125" style="5" customWidth="1"/>
    <col min="15878" max="15878" width="11.42578125" style="5"/>
    <col min="15879" max="15879" width="13.140625" style="5" customWidth="1"/>
    <col min="15880" max="15880" width="12.5703125" style="5" customWidth="1"/>
    <col min="15881" max="15881" width="15.5703125" style="5" customWidth="1"/>
    <col min="15882" max="15882" width="16" style="5" customWidth="1"/>
    <col min="15883" max="16129" width="11.42578125" style="5"/>
    <col min="16130" max="16130" width="16.140625" style="5" customWidth="1"/>
    <col min="16131" max="16131" width="13.140625" style="5" customWidth="1"/>
    <col min="16132" max="16132" width="40.5703125" style="5" customWidth="1"/>
    <col min="16133" max="16133" width="15.5703125" style="5" customWidth="1"/>
    <col min="16134" max="16134" width="11.42578125" style="5"/>
    <col min="16135" max="16135" width="13.140625" style="5" customWidth="1"/>
    <col min="16136" max="16136" width="12.5703125" style="5" customWidth="1"/>
    <col min="16137" max="16137" width="15.5703125" style="5" customWidth="1"/>
    <col min="16138" max="16138" width="16" style="5" customWidth="1"/>
    <col min="16139" max="16384" width="11.42578125" style="5"/>
  </cols>
  <sheetData>
    <row r="1" spans="1:10" ht="15.75">
      <c r="A1" s="312"/>
      <c r="B1" s="765"/>
      <c r="C1" s="621"/>
      <c r="D1" s="626" t="s">
        <v>0</v>
      </c>
      <c r="E1" s="626"/>
      <c r="F1" s="626"/>
      <c r="G1" s="626"/>
      <c r="H1" s="626"/>
      <c r="I1" s="202" t="s">
        <v>1</v>
      </c>
      <c r="J1" s="203" t="s">
        <v>216</v>
      </c>
    </row>
    <row r="2" spans="1:10" ht="16.5" thickBot="1">
      <c r="A2" s="312"/>
      <c r="B2" s="766"/>
      <c r="C2" s="623"/>
      <c r="D2" s="708" t="s">
        <v>3</v>
      </c>
      <c r="E2" s="708"/>
      <c r="F2" s="708"/>
      <c r="G2" s="708"/>
      <c r="H2" s="708"/>
      <c r="I2" s="204" t="s">
        <v>4</v>
      </c>
      <c r="J2" s="205" t="s">
        <v>217</v>
      </c>
    </row>
    <row r="3" spans="1:10" ht="50.1" customHeight="1" thickBot="1">
      <c r="A3" s="312"/>
      <c r="B3" s="766"/>
      <c r="C3" s="623"/>
      <c r="D3" s="630" t="s">
        <v>218</v>
      </c>
      <c r="E3" s="631"/>
      <c r="F3" s="631"/>
      <c r="G3" s="631"/>
      <c r="H3" s="632"/>
      <c r="I3" s="633" t="s">
        <v>7</v>
      </c>
      <c r="J3" s="611">
        <v>44320</v>
      </c>
    </row>
    <row r="4" spans="1:10">
      <c r="A4" s="312"/>
      <c r="B4" s="766"/>
      <c r="C4" s="623"/>
      <c r="D4" s="206" t="s">
        <v>9</v>
      </c>
      <c r="E4" s="614" t="s">
        <v>10</v>
      </c>
      <c r="F4" s="615"/>
      <c r="G4" s="615"/>
      <c r="H4" s="616"/>
      <c r="I4" s="634"/>
      <c r="J4" s="612"/>
    </row>
    <row r="5" spans="1:10" ht="15" customHeight="1" thickBot="1">
      <c r="A5" s="312"/>
      <c r="B5" s="767"/>
      <c r="C5" s="706"/>
      <c r="D5" s="207" t="s">
        <v>11</v>
      </c>
      <c r="E5" s="617" t="s">
        <v>96</v>
      </c>
      <c r="F5" s="618"/>
      <c r="G5" s="618"/>
      <c r="H5" s="619"/>
      <c r="I5" s="635"/>
      <c r="J5" s="612"/>
    </row>
    <row r="6" spans="1:10" ht="25.5">
      <c r="A6" s="759" t="s">
        <v>16</v>
      </c>
      <c r="B6" s="759" t="s">
        <v>16</v>
      </c>
      <c r="C6" s="761" t="s">
        <v>17</v>
      </c>
      <c r="D6" s="763" t="s">
        <v>18</v>
      </c>
      <c r="E6" s="763" t="s">
        <v>19</v>
      </c>
      <c r="F6" s="763" t="s">
        <v>20</v>
      </c>
      <c r="G6" s="763"/>
      <c r="H6" s="763" t="s">
        <v>21</v>
      </c>
      <c r="I6" s="763"/>
      <c r="J6" s="284" t="s">
        <v>22</v>
      </c>
    </row>
    <row r="7" spans="1:10" ht="27" thickBot="1">
      <c r="A7" s="760"/>
      <c r="B7" s="760"/>
      <c r="C7" s="762"/>
      <c r="D7" s="764"/>
      <c r="E7" s="764"/>
      <c r="F7" s="285" t="s">
        <v>23</v>
      </c>
      <c r="G7" s="286" t="s">
        <v>24</v>
      </c>
      <c r="H7" s="285" t="s">
        <v>23</v>
      </c>
      <c r="I7" s="286" t="s">
        <v>24</v>
      </c>
      <c r="J7" s="313" t="s">
        <v>25</v>
      </c>
    </row>
    <row r="8" spans="1:10">
      <c r="A8" s="314" t="s">
        <v>219</v>
      </c>
      <c r="B8" s="315"/>
      <c r="C8" s="315"/>
      <c r="D8" s="316"/>
      <c r="E8" s="317"/>
      <c r="F8" s="11"/>
      <c r="G8" s="28"/>
      <c r="H8" s="29"/>
      <c r="I8" s="11"/>
      <c r="J8" s="318"/>
    </row>
    <row r="9" spans="1:10" ht="15.75">
      <c r="A9" s="314">
        <v>310148</v>
      </c>
      <c r="B9" s="210">
        <v>310148</v>
      </c>
      <c r="C9" s="200" t="s">
        <v>220</v>
      </c>
      <c r="D9" s="211" t="s">
        <v>221</v>
      </c>
      <c r="E9" s="319" t="s">
        <v>222</v>
      </c>
      <c r="F9" s="320">
        <v>16000</v>
      </c>
      <c r="G9" s="321" t="s">
        <v>29</v>
      </c>
      <c r="H9" s="751" t="s">
        <v>223</v>
      </c>
      <c r="I9" s="752"/>
      <c r="J9" s="293"/>
    </row>
    <row r="10" spans="1:10" ht="15.75">
      <c r="A10" s="314">
        <v>11400031</v>
      </c>
      <c r="B10" s="210">
        <v>11400031</v>
      </c>
      <c r="C10" s="200" t="s">
        <v>224</v>
      </c>
      <c r="D10" s="211" t="s">
        <v>225</v>
      </c>
      <c r="E10" s="319" t="s">
        <v>222</v>
      </c>
      <c r="F10" s="320">
        <v>4000</v>
      </c>
      <c r="G10" s="321" t="s">
        <v>29</v>
      </c>
      <c r="H10" s="751" t="s">
        <v>226</v>
      </c>
      <c r="I10" s="752"/>
      <c r="J10" s="293"/>
    </row>
    <row r="11" spans="1:10" ht="15.75">
      <c r="A11" s="314">
        <v>10415</v>
      </c>
      <c r="B11" s="208" t="s">
        <v>84</v>
      </c>
      <c r="C11" s="208"/>
      <c r="D11" s="209" t="s">
        <v>85</v>
      </c>
      <c r="E11" s="319" t="s">
        <v>227</v>
      </c>
      <c r="F11" s="320">
        <v>1000</v>
      </c>
      <c r="G11" s="321" t="s">
        <v>29</v>
      </c>
      <c r="H11" s="320"/>
      <c r="I11" s="242"/>
      <c r="J11" s="293"/>
    </row>
    <row r="12" spans="1:10" ht="15.75">
      <c r="A12" s="314">
        <v>1212410</v>
      </c>
      <c r="B12" s="210">
        <v>1212410</v>
      </c>
      <c r="C12" s="200" t="s">
        <v>42</v>
      </c>
      <c r="D12" s="211" t="s">
        <v>43</v>
      </c>
      <c r="E12" s="319" t="s">
        <v>228</v>
      </c>
      <c r="F12" s="320">
        <v>15</v>
      </c>
      <c r="G12" s="321" t="s">
        <v>29</v>
      </c>
      <c r="H12" s="320"/>
      <c r="I12" s="242"/>
      <c r="J12" s="293"/>
    </row>
    <row r="13" spans="1:10" ht="15.75">
      <c r="A13" s="314">
        <v>702069</v>
      </c>
      <c r="B13" s="210">
        <v>702123</v>
      </c>
      <c r="C13" s="210" t="s">
        <v>55</v>
      </c>
      <c r="D13" s="211" t="s">
        <v>56</v>
      </c>
      <c r="E13" s="319" t="s">
        <v>229</v>
      </c>
      <c r="F13" s="320">
        <v>1</v>
      </c>
      <c r="G13" s="322" t="s">
        <v>51</v>
      </c>
      <c r="H13" s="291"/>
      <c r="I13" s="292"/>
      <c r="J13" s="293"/>
    </row>
    <row r="14" spans="1:10" ht="16.5" thickBot="1">
      <c r="A14" s="312"/>
      <c r="B14" s="323"/>
      <c r="C14" s="323"/>
      <c r="D14" s="324"/>
      <c r="E14" s="325"/>
      <c r="F14" s="326"/>
      <c r="G14" s="327"/>
      <c r="H14" s="328"/>
      <c r="I14" s="329"/>
      <c r="J14" s="330"/>
    </row>
    <row r="15" spans="1:10" ht="15.75">
      <c r="B15" s="331"/>
      <c r="C15" s="332"/>
      <c r="D15" s="333"/>
      <c r="E15" s="334"/>
      <c r="F15" s="335"/>
      <c r="G15" s="336"/>
      <c r="H15" s="337"/>
      <c r="I15" s="338"/>
      <c r="J15" s="339"/>
    </row>
    <row r="16" spans="1:10" ht="15.75">
      <c r="B16" s="340"/>
      <c r="C16" s="341"/>
      <c r="D16" s="342"/>
      <c r="E16" s="343"/>
      <c r="F16" s="344"/>
      <c r="G16" s="345"/>
      <c r="H16" s="346"/>
      <c r="I16" s="347"/>
      <c r="J16" s="348"/>
    </row>
    <row r="17" spans="2:14" ht="15.75">
      <c r="B17" s="340"/>
      <c r="C17" s="341"/>
      <c r="D17" s="342"/>
      <c r="E17" s="343"/>
      <c r="F17" s="344"/>
      <c r="G17" s="345"/>
      <c r="H17" s="346"/>
      <c r="I17" s="347"/>
      <c r="J17" s="348"/>
    </row>
    <row r="18" spans="2:14" ht="15.75">
      <c r="B18" s="340"/>
      <c r="C18" s="341"/>
      <c r="D18" s="342"/>
      <c r="E18" s="343"/>
      <c r="F18" s="344"/>
      <c r="G18" s="345"/>
      <c r="H18" s="346"/>
      <c r="I18" s="347"/>
      <c r="J18" s="348"/>
    </row>
    <row r="19" spans="2:14" ht="15.75">
      <c r="B19" s="340"/>
      <c r="C19" s="341"/>
      <c r="D19" s="342"/>
      <c r="E19" s="343"/>
      <c r="F19" s="344"/>
      <c r="G19" s="345"/>
      <c r="H19" s="346"/>
      <c r="I19" s="347"/>
      <c r="J19" s="348"/>
    </row>
    <row r="20" spans="2:14" ht="15.75">
      <c r="B20" s="340"/>
      <c r="C20" s="341"/>
      <c r="D20" s="342"/>
      <c r="E20" s="343"/>
      <c r="F20" s="344"/>
      <c r="G20" s="345"/>
      <c r="H20" s="346"/>
      <c r="I20" s="347"/>
      <c r="J20" s="348"/>
    </row>
    <row r="21" spans="2:14" ht="15.75">
      <c r="B21" s="340"/>
      <c r="C21" s="341"/>
      <c r="D21" s="342"/>
      <c r="E21" s="343"/>
      <c r="F21" s="344"/>
      <c r="G21" s="345"/>
      <c r="H21" s="346"/>
      <c r="I21" s="347"/>
      <c r="J21" s="348"/>
    </row>
    <row r="22" spans="2:14" ht="15.75">
      <c r="B22" s="340"/>
      <c r="C22" s="341"/>
      <c r="D22" s="342"/>
      <c r="E22" s="343"/>
      <c r="F22" s="344"/>
      <c r="G22" s="345"/>
      <c r="H22" s="346"/>
      <c r="I22" s="347"/>
      <c r="J22" s="348"/>
    </row>
    <row r="23" spans="2:14" ht="15.75">
      <c r="B23" s="340"/>
      <c r="C23" s="341"/>
      <c r="D23" s="342"/>
      <c r="E23" s="343"/>
      <c r="F23" s="344"/>
      <c r="G23" s="345"/>
      <c r="H23" s="346"/>
      <c r="I23" s="347"/>
      <c r="J23" s="348"/>
    </row>
    <row r="24" spans="2:14" ht="15.75">
      <c r="B24" s="340"/>
      <c r="C24" s="341"/>
      <c r="D24" s="342"/>
      <c r="E24" s="343"/>
      <c r="F24" s="344"/>
      <c r="G24" s="345"/>
      <c r="H24" s="346"/>
      <c r="I24" s="347"/>
      <c r="J24" s="348"/>
    </row>
    <row r="25" spans="2:14" ht="15.75">
      <c r="B25" s="340"/>
      <c r="C25" s="341"/>
      <c r="D25" s="342"/>
      <c r="E25" s="343"/>
      <c r="F25" s="344"/>
      <c r="G25" s="345"/>
      <c r="H25" s="346"/>
      <c r="I25" s="347"/>
      <c r="J25" s="348"/>
    </row>
    <row r="26" spans="2:14" ht="15.75" thickBot="1">
      <c r="B26" s="349"/>
      <c r="C26" s="350"/>
      <c r="D26" s="351"/>
      <c r="E26" s="352"/>
      <c r="F26" s="353"/>
      <c r="G26" s="353"/>
      <c r="H26" s="353"/>
      <c r="I26" s="353"/>
      <c r="J26" s="354"/>
    </row>
    <row r="27" spans="2:14" ht="14.25" thickBot="1">
      <c r="B27" s="296"/>
      <c r="C27" s="297"/>
      <c r="F27" s="298"/>
      <c r="G27" s="299"/>
      <c r="J27" s="300"/>
      <c r="M27" s="8"/>
    </row>
    <row r="28" spans="2:14" ht="14.25" thickBot="1">
      <c r="B28" s="301"/>
      <c r="C28" s="302"/>
      <c r="D28" s="303"/>
      <c r="E28" s="304" t="s">
        <v>23</v>
      </c>
      <c r="F28" s="305" t="s">
        <v>61</v>
      </c>
      <c r="G28" s="306"/>
      <c r="H28" s="303"/>
      <c r="I28" s="303"/>
      <c r="J28" s="307"/>
      <c r="M28" s="8"/>
    </row>
    <row r="29" spans="2:14">
      <c r="B29" s="753" t="s">
        <v>62</v>
      </c>
      <c r="C29" s="754"/>
      <c r="D29" s="755"/>
      <c r="E29" s="291">
        <f>SUM(F9:F12)-E33</f>
        <v>20800</v>
      </c>
      <c r="F29" s="308" t="s">
        <v>29</v>
      </c>
      <c r="G29" s="756" t="s">
        <v>112</v>
      </c>
      <c r="H29" s="756"/>
      <c r="I29" s="757"/>
      <c r="J29" s="758"/>
      <c r="M29" s="8"/>
    </row>
    <row r="30" spans="2:14">
      <c r="B30" s="680" t="s">
        <v>63</v>
      </c>
      <c r="C30" s="681"/>
      <c r="D30" s="682"/>
      <c r="E30" s="355">
        <v>10</v>
      </c>
      <c r="F30" s="11" t="s">
        <v>64</v>
      </c>
      <c r="G30" s="683" t="s">
        <v>113</v>
      </c>
      <c r="H30" s="683"/>
      <c r="I30" s="684"/>
      <c r="J30" s="685"/>
      <c r="M30" s="8"/>
    </row>
    <row r="31" spans="2:14">
      <c r="B31" s="680" t="s">
        <v>65</v>
      </c>
      <c r="C31" s="681"/>
      <c r="D31" s="682"/>
      <c r="E31" s="11">
        <v>1</v>
      </c>
      <c r="F31" s="11" t="s">
        <v>230</v>
      </c>
      <c r="G31" s="683" t="s">
        <v>114</v>
      </c>
      <c r="H31" s="683"/>
      <c r="I31" s="684"/>
      <c r="J31" s="685"/>
      <c r="M31" s="8"/>
    </row>
    <row r="32" spans="2:14">
      <c r="B32" s="680" t="s">
        <v>67</v>
      </c>
      <c r="C32" s="681"/>
      <c r="D32" s="682"/>
      <c r="E32" s="29">
        <f>E29</f>
        <v>20800</v>
      </c>
      <c r="F32" s="11" t="s">
        <v>29</v>
      </c>
      <c r="G32" s="771" t="s">
        <v>115</v>
      </c>
      <c r="H32" s="772"/>
      <c r="I32" s="684"/>
      <c r="J32" s="685"/>
      <c r="M32" s="8"/>
      <c r="N32" s="4"/>
    </row>
    <row r="33" spans="2:13" ht="14.25" thickBot="1">
      <c r="B33" s="690" t="s">
        <v>68</v>
      </c>
      <c r="C33" s="691"/>
      <c r="D33" s="692"/>
      <c r="E33" s="356">
        <v>215</v>
      </c>
      <c r="F33" s="310" t="s">
        <v>29</v>
      </c>
      <c r="G33" s="693"/>
      <c r="H33" s="693"/>
      <c r="I33" s="747"/>
      <c r="J33" s="748"/>
      <c r="M33" s="8"/>
    </row>
    <row r="34" spans="2:13" ht="14.25" thickBot="1">
      <c r="B34" s="768" t="s">
        <v>69</v>
      </c>
      <c r="C34" s="769"/>
      <c r="D34" s="769"/>
      <c r="E34" s="769"/>
      <c r="F34" s="769"/>
      <c r="G34" s="769"/>
      <c r="H34" s="769"/>
      <c r="I34" s="769"/>
      <c r="J34" s="770"/>
    </row>
    <row r="35" spans="2:13" ht="16.5" customHeight="1">
      <c r="B35" s="773" t="s">
        <v>231</v>
      </c>
      <c r="C35" s="774"/>
      <c r="D35" s="774"/>
      <c r="E35" s="774"/>
      <c r="F35" s="774"/>
      <c r="G35" s="774"/>
      <c r="H35" s="774"/>
      <c r="I35" s="774"/>
      <c r="J35" s="775"/>
    </row>
    <row r="36" spans="2:13" ht="16.5" customHeight="1">
      <c r="B36" s="773" t="s">
        <v>232</v>
      </c>
      <c r="C36" s="774"/>
      <c r="D36" s="774"/>
      <c r="E36" s="774"/>
      <c r="F36" s="774"/>
      <c r="G36" s="774"/>
      <c r="H36" s="774"/>
      <c r="I36" s="774"/>
      <c r="J36" s="775"/>
    </row>
    <row r="37" spans="2:13" ht="16.5" customHeight="1">
      <c r="B37" s="773" t="s">
        <v>233</v>
      </c>
      <c r="C37" s="774"/>
      <c r="D37" s="774"/>
      <c r="E37" s="774"/>
      <c r="F37" s="774"/>
      <c r="G37" s="774"/>
      <c r="H37" s="774"/>
      <c r="I37" s="774"/>
      <c r="J37" s="775"/>
    </row>
    <row r="38" spans="2:13" ht="16.5" customHeight="1">
      <c r="B38" s="773" t="s">
        <v>234</v>
      </c>
      <c r="C38" s="774"/>
      <c r="D38" s="774"/>
      <c r="E38" s="774"/>
      <c r="F38" s="774"/>
      <c r="G38" s="774"/>
      <c r="H38" s="774"/>
      <c r="I38" s="774"/>
      <c r="J38" s="775"/>
    </row>
    <row r="39" spans="2:13" ht="16.5" customHeight="1" thickBot="1">
      <c r="B39" s="773" t="s">
        <v>235</v>
      </c>
      <c r="C39" s="774"/>
      <c r="D39" s="774"/>
      <c r="E39" s="774"/>
      <c r="F39" s="774"/>
      <c r="G39" s="774"/>
      <c r="H39" s="774"/>
      <c r="I39" s="774"/>
      <c r="J39" s="775"/>
    </row>
    <row r="40" spans="2:13" ht="16.5" customHeight="1" thickBot="1">
      <c r="B40" s="768" t="s">
        <v>236</v>
      </c>
      <c r="C40" s="769"/>
      <c r="D40" s="769"/>
      <c r="E40" s="769"/>
      <c r="F40" s="769"/>
      <c r="G40" s="769"/>
      <c r="H40" s="769"/>
      <c r="I40" s="769"/>
      <c r="J40" s="770"/>
    </row>
    <row r="41" spans="2:13">
      <c r="B41" s="5" t="s">
        <v>237</v>
      </c>
    </row>
    <row r="42" spans="2:13">
      <c r="B42" s="5" t="s">
        <v>238</v>
      </c>
      <c r="D42" s="311"/>
    </row>
  </sheetData>
  <mergeCells count="39">
    <mergeCell ref="B40:J40"/>
    <mergeCell ref="G32:H32"/>
    <mergeCell ref="I32:J32"/>
    <mergeCell ref="B33:D33"/>
    <mergeCell ref="G33:H33"/>
    <mergeCell ref="I33:J33"/>
    <mergeCell ref="B34:J34"/>
    <mergeCell ref="B32:D32"/>
    <mergeCell ref="B35:J35"/>
    <mergeCell ref="B36:J36"/>
    <mergeCell ref="B37:J37"/>
    <mergeCell ref="B38:J38"/>
    <mergeCell ref="B39:J39"/>
    <mergeCell ref="J3:J5"/>
    <mergeCell ref="E4:H4"/>
    <mergeCell ref="E5:H5"/>
    <mergeCell ref="A6:A7"/>
    <mergeCell ref="B6:B7"/>
    <mergeCell ref="C6:C7"/>
    <mergeCell ref="D6:D7"/>
    <mergeCell ref="E6:E7"/>
    <mergeCell ref="F6:G6"/>
    <mergeCell ref="H6:I6"/>
    <mergeCell ref="B1:C5"/>
    <mergeCell ref="D1:H1"/>
    <mergeCell ref="D2:H2"/>
    <mergeCell ref="D3:H3"/>
    <mergeCell ref="I3:I5"/>
    <mergeCell ref="H9:I9"/>
    <mergeCell ref="H10:I10"/>
    <mergeCell ref="B29:D29"/>
    <mergeCell ref="G29:H29"/>
    <mergeCell ref="B31:D31"/>
    <mergeCell ref="G31:H31"/>
    <mergeCell ref="I31:J31"/>
    <mergeCell ref="I29:J29"/>
    <mergeCell ref="B30:D30"/>
    <mergeCell ref="G30:H30"/>
    <mergeCell ref="I30:J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90DA-6406-4FC7-9A9F-FD5F1B357D38}">
  <dimension ref="B1:N28"/>
  <sheetViews>
    <sheetView workbookViewId="0">
      <selection activeCell="E9" sqref="E9"/>
    </sheetView>
  </sheetViews>
  <sheetFormatPr defaultColWidth="11.42578125" defaultRowHeight="13.5"/>
  <cols>
    <col min="1" max="1" width="11.42578125" style="5"/>
    <col min="2" max="2" width="16.140625" style="5" customWidth="1"/>
    <col min="3" max="3" width="13.5703125" style="5" customWidth="1"/>
    <col min="4" max="4" width="40.5703125" style="5" customWidth="1"/>
    <col min="5" max="5" width="15.5703125" style="5" customWidth="1"/>
    <col min="6" max="6" width="11.42578125" style="5"/>
    <col min="7" max="7" width="13.140625" style="5" customWidth="1"/>
    <col min="8" max="8" width="12.5703125" style="5" customWidth="1"/>
    <col min="9" max="9" width="15.5703125" style="5" customWidth="1"/>
    <col min="10" max="10" width="16" style="5" customWidth="1"/>
    <col min="11" max="257" width="11.42578125" style="5"/>
    <col min="258" max="258" width="16.140625" style="5" customWidth="1"/>
    <col min="259" max="259" width="13.5703125" style="5" customWidth="1"/>
    <col min="260" max="260" width="40.5703125" style="5" customWidth="1"/>
    <col min="261" max="261" width="15.5703125" style="5" customWidth="1"/>
    <col min="262" max="262" width="11.42578125" style="5"/>
    <col min="263" max="263" width="13.140625" style="5" customWidth="1"/>
    <col min="264" max="264" width="12.5703125" style="5" customWidth="1"/>
    <col min="265" max="265" width="15.5703125" style="5" customWidth="1"/>
    <col min="266" max="266" width="16" style="5" customWidth="1"/>
    <col min="267" max="513" width="11.42578125" style="5"/>
    <col min="514" max="514" width="16.140625" style="5" customWidth="1"/>
    <col min="515" max="515" width="13.5703125" style="5" customWidth="1"/>
    <col min="516" max="516" width="40.5703125" style="5" customWidth="1"/>
    <col min="517" max="517" width="15.5703125" style="5" customWidth="1"/>
    <col min="518" max="518" width="11.42578125" style="5"/>
    <col min="519" max="519" width="13.140625" style="5" customWidth="1"/>
    <col min="520" max="520" width="12.5703125" style="5" customWidth="1"/>
    <col min="521" max="521" width="15.5703125" style="5" customWidth="1"/>
    <col min="522" max="522" width="16" style="5" customWidth="1"/>
    <col min="523" max="769" width="11.42578125" style="5"/>
    <col min="770" max="770" width="16.140625" style="5" customWidth="1"/>
    <col min="771" max="771" width="13.5703125" style="5" customWidth="1"/>
    <col min="772" max="772" width="40.5703125" style="5" customWidth="1"/>
    <col min="773" max="773" width="15.5703125" style="5" customWidth="1"/>
    <col min="774" max="774" width="11.42578125" style="5"/>
    <col min="775" max="775" width="13.140625" style="5" customWidth="1"/>
    <col min="776" max="776" width="12.5703125" style="5" customWidth="1"/>
    <col min="777" max="777" width="15.5703125" style="5" customWidth="1"/>
    <col min="778" max="778" width="16" style="5" customWidth="1"/>
    <col min="779" max="1025" width="11.42578125" style="5"/>
    <col min="1026" max="1026" width="16.140625" style="5" customWidth="1"/>
    <col min="1027" max="1027" width="13.5703125" style="5" customWidth="1"/>
    <col min="1028" max="1028" width="40.5703125" style="5" customWidth="1"/>
    <col min="1029" max="1029" width="15.5703125" style="5" customWidth="1"/>
    <col min="1030" max="1030" width="11.42578125" style="5"/>
    <col min="1031" max="1031" width="13.140625" style="5" customWidth="1"/>
    <col min="1032" max="1032" width="12.5703125" style="5" customWidth="1"/>
    <col min="1033" max="1033" width="15.5703125" style="5" customWidth="1"/>
    <col min="1034" max="1034" width="16" style="5" customWidth="1"/>
    <col min="1035" max="1281" width="11.42578125" style="5"/>
    <col min="1282" max="1282" width="16.140625" style="5" customWidth="1"/>
    <col min="1283" max="1283" width="13.5703125" style="5" customWidth="1"/>
    <col min="1284" max="1284" width="40.5703125" style="5" customWidth="1"/>
    <col min="1285" max="1285" width="15.5703125" style="5" customWidth="1"/>
    <col min="1286" max="1286" width="11.42578125" style="5"/>
    <col min="1287" max="1287" width="13.140625" style="5" customWidth="1"/>
    <col min="1288" max="1288" width="12.5703125" style="5" customWidth="1"/>
    <col min="1289" max="1289" width="15.5703125" style="5" customWidth="1"/>
    <col min="1290" max="1290" width="16" style="5" customWidth="1"/>
    <col min="1291" max="1537" width="11.42578125" style="5"/>
    <col min="1538" max="1538" width="16.140625" style="5" customWidth="1"/>
    <col min="1539" max="1539" width="13.5703125" style="5" customWidth="1"/>
    <col min="1540" max="1540" width="40.5703125" style="5" customWidth="1"/>
    <col min="1541" max="1541" width="15.5703125" style="5" customWidth="1"/>
    <col min="1542" max="1542" width="11.42578125" style="5"/>
    <col min="1543" max="1543" width="13.140625" style="5" customWidth="1"/>
    <col min="1544" max="1544" width="12.5703125" style="5" customWidth="1"/>
    <col min="1545" max="1545" width="15.5703125" style="5" customWidth="1"/>
    <col min="1546" max="1546" width="16" style="5" customWidth="1"/>
    <col min="1547" max="1793" width="11.42578125" style="5"/>
    <col min="1794" max="1794" width="16.140625" style="5" customWidth="1"/>
    <col min="1795" max="1795" width="13.5703125" style="5" customWidth="1"/>
    <col min="1796" max="1796" width="40.5703125" style="5" customWidth="1"/>
    <col min="1797" max="1797" width="15.5703125" style="5" customWidth="1"/>
    <col min="1798" max="1798" width="11.42578125" style="5"/>
    <col min="1799" max="1799" width="13.140625" style="5" customWidth="1"/>
    <col min="1800" max="1800" width="12.5703125" style="5" customWidth="1"/>
    <col min="1801" max="1801" width="15.5703125" style="5" customWidth="1"/>
    <col min="1802" max="1802" width="16" style="5" customWidth="1"/>
    <col min="1803" max="2049" width="11.42578125" style="5"/>
    <col min="2050" max="2050" width="16.140625" style="5" customWidth="1"/>
    <col min="2051" max="2051" width="13.5703125" style="5" customWidth="1"/>
    <col min="2052" max="2052" width="40.5703125" style="5" customWidth="1"/>
    <col min="2053" max="2053" width="15.5703125" style="5" customWidth="1"/>
    <col min="2054" max="2054" width="11.42578125" style="5"/>
    <col min="2055" max="2055" width="13.140625" style="5" customWidth="1"/>
    <col min="2056" max="2056" width="12.5703125" style="5" customWidth="1"/>
    <col min="2057" max="2057" width="15.5703125" style="5" customWidth="1"/>
    <col min="2058" max="2058" width="16" style="5" customWidth="1"/>
    <col min="2059" max="2305" width="11.42578125" style="5"/>
    <col min="2306" max="2306" width="16.140625" style="5" customWidth="1"/>
    <col min="2307" max="2307" width="13.5703125" style="5" customWidth="1"/>
    <col min="2308" max="2308" width="40.5703125" style="5" customWidth="1"/>
    <col min="2309" max="2309" width="15.5703125" style="5" customWidth="1"/>
    <col min="2310" max="2310" width="11.42578125" style="5"/>
    <col min="2311" max="2311" width="13.140625" style="5" customWidth="1"/>
    <col min="2312" max="2312" width="12.5703125" style="5" customWidth="1"/>
    <col min="2313" max="2313" width="15.5703125" style="5" customWidth="1"/>
    <col min="2314" max="2314" width="16" style="5" customWidth="1"/>
    <col min="2315" max="2561" width="11.42578125" style="5"/>
    <col min="2562" max="2562" width="16.140625" style="5" customWidth="1"/>
    <col min="2563" max="2563" width="13.5703125" style="5" customWidth="1"/>
    <col min="2564" max="2564" width="40.5703125" style="5" customWidth="1"/>
    <col min="2565" max="2565" width="15.5703125" style="5" customWidth="1"/>
    <col min="2566" max="2566" width="11.42578125" style="5"/>
    <col min="2567" max="2567" width="13.140625" style="5" customWidth="1"/>
    <col min="2568" max="2568" width="12.5703125" style="5" customWidth="1"/>
    <col min="2569" max="2569" width="15.5703125" style="5" customWidth="1"/>
    <col min="2570" max="2570" width="16" style="5" customWidth="1"/>
    <col min="2571" max="2817" width="11.42578125" style="5"/>
    <col min="2818" max="2818" width="16.140625" style="5" customWidth="1"/>
    <col min="2819" max="2819" width="13.5703125" style="5" customWidth="1"/>
    <col min="2820" max="2820" width="40.5703125" style="5" customWidth="1"/>
    <col min="2821" max="2821" width="15.5703125" style="5" customWidth="1"/>
    <col min="2822" max="2822" width="11.42578125" style="5"/>
    <col min="2823" max="2823" width="13.140625" style="5" customWidth="1"/>
    <col min="2824" max="2824" width="12.5703125" style="5" customWidth="1"/>
    <col min="2825" max="2825" width="15.5703125" style="5" customWidth="1"/>
    <col min="2826" max="2826" width="16" style="5" customWidth="1"/>
    <col min="2827" max="3073" width="11.42578125" style="5"/>
    <col min="3074" max="3074" width="16.140625" style="5" customWidth="1"/>
    <col min="3075" max="3075" width="13.5703125" style="5" customWidth="1"/>
    <col min="3076" max="3076" width="40.5703125" style="5" customWidth="1"/>
    <col min="3077" max="3077" width="15.5703125" style="5" customWidth="1"/>
    <col min="3078" max="3078" width="11.42578125" style="5"/>
    <col min="3079" max="3079" width="13.140625" style="5" customWidth="1"/>
    <col min="3080" max="3080" width="12.5703125" style="5" customWidth="1"/>
    <col min="3081" max="3081" width="15.5703125" style="5" customWidth="1"/>
    <col min="3082" max="3082" width="16" style="5" customWidth="1"/>
    <col min="3083" max="3329" width="11.42578125" style="5"/>
    <col min="3330" max="3330" width="16.140625" style="5" customWidth="1"/>
    <col min="3331" max="3331" width="13.5703125" style="5" customWidth="1"/>
    <col min="3332" max="3332" width="40.5703125" style="5" customWidth="1"/>
    <col min="3333" max="3333" width="15.5703125" style="5" customWidth="1"/>
    <col min="3334" max="3334" width="11.42578125" style="5"/>
    <col min="3335" max="3335" width="13.140625" style="5" customWidth="1"/>
    <col min="3336" max="3336" width="12.5703125" style="5" customWidth="1"/>
    <col min="3337" max="3337" width="15.5703125" style="5" customWidth="1"/>
    <col min="3338" max="3338" width="16" style="5" customWidth="1"/>
    <col min="3339" max="3585" width="11.42578125" style="5"/>
    <col min="3586" max="3586" width="16.140625" style="5" customWidth="1"/>
    <col min="3587" max="3587" width="13.5703125" style="5" customWidth="1"/>
    <col min="3588" max="3588" width="40.5703125" style="5" customWidth="1"/>
    <col min="3589" max="3589" width="15.5703125" style="5" customWidth="1"/>
    <col min="3590" max="3590" width="11.42578125" style="5"/>
    <col min="3591" max="3591" width="13.140625" style="5" customWidth="1"/>
    <col min="3592" max="3592" width="12.5703125" style="5" customWidth="1"/>
    <col min="3593" max="3593" width="15.5703125" style="5" customWidth="1"/>
    <col min="3594" max="3594" width="16" style="5" customWidth="1"/>
    <col min="3595" max="3841" width="11.42578125" style="5"/>
    <col min="3842" max="3842" width="16.140625" style="5" customWidth="1"/>
    <col min="3843" max="3843" width="13.5703125" style="5" customWidth="1"/>
    <col min="3844" max="3844" width="40.5703125" style="5" customWidth="1"/>
    <col min="3845" max="3845" width="15.5703125" style="5" customWidth="1"/>
    <col min="3846" max="3846" width="11.42578125" style="5"/>
    <col min="3847" max="3847" width="13.140625" style="5" customWidth="1"/>
    <col min="3848" max="3848" width="12.5703125" style="5" customWidth="1"/>
    <col min="3849" max="3849" width="15.5703125" style="5" customWidth="1"/>
    <col min="3850" max="3850" width="16" style="5" customWidth="1"/>
    <col min="3851" max="4097" width="11.42578125" style="5"/>
    <col min="4098" max="4098" width="16.140625" style="5" customWidth="1"/>
    <col min="4099" max="4099" width="13.5703125" style="5" customWidth="1"/>
    <col min="4100" max="4100" width="40.5703125" style="5" customWidth="1"/>
    <col min="4101" max="4101" width="15.5703125" style="5" customWidth="1"/>
    <col min="4102" max="4102" width="11.42578125" style="5"/>
    <col min="4103" max="4103" width="13.140625" style="5" customWidth="1"/>
    <col min="4104" max="4104" width="12.5703125" style="5" customWidth="1"/>
    <col min="4105" max="4105" width="15.5703125" style="5" customWidth="1"/>
    <col min="4106" max="4106" width="16" style="5" customWidth="1"/>
    <col min="4107" max="4353" width="11.42578125" style="5"/>
    <col min="4354" max="4354" width="16.140625" style="5" customWidth="1"/>
    <col min="4355" max="4355" width="13.5703125" style="5" customWidth="1"/>
    <col min="4356" max="4356" width="40.5703125" style="5" customWidth="1"/>
    <col min="4357" max="4357" width="15.5703125" style="5" customWidth="1"/>
    <col min="4358" max="4358" width="11.42578125" style="5"/>
    <col min="4359" max="4359" width="13.140625" style="5" customWidth="1"/>
    <col min="4360" max="4360" width="12.5703125" style="5" customWidth="1"/>
    <col min="4361" max="4361" width="15.5703125" style="5" customWidth="1"/>
    <col min="4362" max="4362" width="16" style="5" customWidth="1"/>
    <col min="4363" max="4609" width="11.42578125" style="5"/>
    <col min="4610" max="4610" width="16.140625" style="5" customWidth="1"/>
    <col min="4611" max="4611" width="13.5703125" style="5" customWidth="1"/>
    <col min="4612" max="4612" width="40.5703125" style="5" customWidth="1"/>
    <col min="4613" max="4613" width="15.5703125" style="5" customWidth="1"/>
    <col min="4614" max="4614" width="11.42578125" style="5"/>
    <col min="4615" max="4615" width="13.140625" style="5" customWidth="1"/>
    <col min="4616" max="4616" width="12.5703125" style="5" customWidth="1"/>
    <col min="4617" max="4617" width="15.5703125" style="5" customWidth="1"/>
    <col min="4618" max="4618" width="16" style="5" customWidth="1"/>
    <col min="4619" max="4865" width="11.42578125" style="5"/>
    <col min="4866" max="4866" width="16.140625" style="5" customWidth="1"/>
    <col min="4867" max="4867" width="13.5703125" style="5" customWidth="1"/>
    <col min="4868" max="4868" width="40.5703125" style="5" customWidth="1"/>
    <col min="4869" max="4869" width="15.5703125" style="5" customWidth="1"/>
    <col min="4870" max="4870" width="11.42578125" style="5"/>
    <col min="4871" max="4871" width="13.140625" style="5" customWidth="1"/>
    <col min="4872" max="4872" width="12.5703125" style="5" customWidth="1"/>
    <col min="4873" max="4873" width="15.5703125" style="5" customWidth="1"/>
    <col min="4874" max="4874" width="16" style="5" customWidth="1"/>
    <col min="4875" max="5121" width="11.42578125" style="5"/>
    <col min="5122" max="5122" width="16.140625" style="5" customWidth="1"/>
    <col min="5123" max="5123" width="13.5703125" style="5" customWidth="1"/>
    <col min="5124" max="5124" width="40.5703125" style="5" customWidth="1"/>
    <col min="5125" max="5125" width="15.5703125" style="5" customWidth="1"/>
    <col min="5126" max="5126" width="11.42578125" style="5"/>
    <col min="5127" max="5127" width="13.140625" style="5" customWidth="1"/>
    <col min="5128" max="5128" width="12.5703125" style="5" customWidth="1"/>
    <col min="5129" max="5129" width="15.5703125" style="5" customWidth="1"/>
    <col min="5130" max="5130" width="16" style="5" customWidth="1"/>
    <col min="5131" max="5377" width="11.42578125" style="5"/>
    <col min="5378" max="5378" width="16.140625" style="5" customWidth="1"/>
    <col min="5379" max="5379" width="13.5703125" style="5" customWidth="1"/>
    <col min="5380" max="5380" width="40.5703125" style="5" customWidth="1"/>
    <col min="5381" max="5381" width="15.5703125" style="5" customWidth="1"/>
    <col min="5382" max="5382" width="11.42578125" style="5"/>
    <col min="5383" max="5383" width="13.140625" style="5" customWidth="1"/>
    <col min="5384" max="5384" width="12.5703125" style="5" customWidth="1"/>
    <col min="5385" max="5385" width="15.5703125" style="5" customWidth="1"/>
    <col min="5386" max="5386" width="16" style="5" customWidth="1"/>
    <col min="5387" max="5633" width="11.42578125" style="5"/>
    <col min="5634" max="5634" width="16.140625" style="5" customWidth="1"/>
    <col min="5635" max="5635" width="13.5703125" style="5" customWidth="1"/>
    <col min="5636" max="5636" width="40.5703125" style="5" customWidth="1"/>
    <col min="5637" max="5637" width="15.5703125" style="5" customWidth="1"/>
    <col min="5638" max="5638" width="11.42578125" style="5"/>
    <col min="5639" max="5639" width="13.140625" style="5" customWidth="1"/>
    <col min="5640" max="5640" width="12.5703125" style="5" customWidth="1"/>
    <col min="5641" max="5641" width="15.5703125" style="5" customWidth="1"/>
    <col min="5642" max="5642" width="16" style="5" customWidth="1"/>
    <col min="5643" max="5889" width="11.42578125" style="5"/>
    <col min="5890" max="5890" width="16.140625" style="5" customWidth="1"/>
    <col min="5891" max="5891" width="13.5703125" style="5" customWidth="1"/>
    <col min="5892" max="5892" width="40.5703125" style="5" customWidth="1"/>
    <col min="5893" max="5893" width="15.5703125" style="5" customWidth="1"/>
    <col min="5894" max="5894" width="11.42578125" style="5"/>
    <col min="5895" max="5895" width="13.140625" style="5" customWidth="1"/>
    <col min="5896" max="5896" width="12.5703125" style="5" customWidth="1"/>
    <col min="5897" max="5897" width="15.5703125" style="5" customWidth="1"/>
    <col min="5898" max="5898" width="16" style="5" customWidth="1"/>
    <col min="5899" max="6145" width="11.42578125" style="5"/>
    <col min="6146" max="6146" width="16.140625" style="5" customWidth="1"/>
    <col min="6147" max="6147" width="13.5703125" style="5" customWidth="1"/>
    <col min="6148" max="6148" width="40.5703125" style="5" customWidth="1"/>
    <col min="6149" max="6149" width="15.5703125" style="5" customWidth="1"/>
    <col min="6150" max="6150" width="11.42578125" style="5"/>
    <col min="6151" max="6151" width="13.140625" style="5" customWidth="1"/>
    <col min="6152" max="6152" width="12.5703125" style="5" customWidth="1"/>
    <col min="6153" max="6153" width="15.5703125" style="5" customWidth="1"/>
    <col min="6154" max="6154" width="16" style="5" customWidth="1"/>
    <col min="6155" max="6401" width="11.42578125" style="5"/>
    <col min="6402" max="6402" width="16.140625" style="5" customWidth="1"/>
    <col min="6403" max="6403" width="13.5703125" style="5" customWidth="1"/>
    <col min="6404" max="6404" width="40.5703125" style="5" customWidth="1"/>
    <col min="6405" max="6405" width="15.5703125" style="5" customWidth="1"/>
    <col min="6406" max="6406" width="11.42578125" style="5"/>
    <col min="6407" max="6407" width="13.140625" style="5" customWidth="1"/>
    <col min="6408" max="6408" width="12.5703125" style="5" customWidth="1"/>
    <col min="6409" max="6409" width="15.5703125" style="5" customWidth="1"/>
    <col min="6410" max="6410" width="16" style="5" customWidth="1"/>
    <col min="6411" max="6657" width="11.42578125" style="5"/>
    <col min="6658" max="6658" width="16.140625" style="5" customWidth="1"/>
    <col min="6659" max="6659" width="13.5703125" style="5" customWidth="1"/>
    <col min="6660" max="6660" width="40.5703125" style="5" customWidth="1"/>
    <col min="6661" max="6661" width="15.5703125" style="5" customWidth="1"/>
    <col min="6662" max="6662" width="11.42578125" style="5"/>
    <col min="6663" max="6663" width="13.140625" style="5" customWidth="1"/>
    <col min="6664" max="6664" width="12.5703125" style="5" customWidth="1"/>
    <col min="6665" max="6665" width="15.5703125" style="5" customWidth="1"/>
    <col min="6666" max="6666" width="16" style="5" customWidth="1"/>
    <col min="6667" max="6913" width="11.42578125" style="5"/>
    <col min="6914" max="6914" width="16.140625" style="5" customWidth="1"/>
    <col min="6915" max="6915" width="13.5703125" style="5" customWidth="1"/>
    <col min="6916" max="6916" width="40.5703125" style="5" customWidth="1"/>
    <col min="6917" max="6917" width="15.5703125" style="5" customWidth="1"/>
    <col min="6918" max="6918" width="11.42578125" style="5"/>
    <col min="6919" max="6919" width="13.140625" style="5" customWidth="1"/>
    <col min="6920" max="6920" width="12.5703125" style="5" customWidth="1"/>
    <col min="6921" max="6921" width="15.5703125" style="5" customWidth="1"/>
    <col min="6922" max="6922" width="16" style="5" customWidth="1"/>
    <col min="6923" max="7169" width="11.42578125" style="5"/>
    <col min="7170" max="7170" width="16.140625" style="5" customWidth="1"/>
    <col min="7171" max="7171" width="13.5703125" style="5" customWidth="1"/>
    <col min="7172" max="7172" width="40.5703125" style="5" customWidth="1"/>
    <col min="7173" max="7173" width="15.5703125" style="5" customWidth="1"/>
    <col min="7174" max="7174" width="11.42578125" style="5"/>
    <col min="7175" max="7175" width="13.140625" style="5" customWidth="1"/>
    <col min="7176" max="7176" width="12.5703125" style="5" customWidth="1"/>
    <col min="7177" max="7177" width="15.5703125" style="5" customWidth="1"/>
    <col min="7178" max="7178" width="16" style="5" customWidth="1"/>
    <col min="7179" max="7425" width="11.42578125" style="5"/>
    <col min="7426" max="7426" width="16.140625" style="5" customWidth="1"/>
    <col min="7427" max="7427" width="13.5703125" style="5" customWidth="1"/>
    <col min="7428" max="7428" width="40.5703125" style="5" customWidth="1"/>
    <col min="7429" max="7429" width="15.5703125" style="5" customWidth="1"/>
    <col min="7430" max="7430" width="11.42578125" style="5"/>
    <col min="7431" max="7431" width="13.140625" style="5" customWidth="1"/>
    <col min="7432" max="7432" width="12.5703125" style="5" customWidth="1"/>
    <col min="7433" max="7433" width="15.5703125" style="5" customWidth="1"/>
    <col min="7434" max="7434" width="16" style="5" customWidth="1"/>
    <col min="7435" max="7681" width="11.42578125" style="5"/>
    <col min="7682" max="7682" width="16.140625" style="5" customWidth="1"/>
    <col min="7683" max="7683" width="13.5703125" style="5" customWidth="1"/>
    <col min="7684" max="7684" width="40.5703125" style="5" customWidth="1"/>
    <col min="7685" max="7685" width="15.5703125" style="5" customWidth="1"/>
    <col min="7686" max="7686" width="11.42578125" style="5"/>
    <col min="7687" max="7687" width="13.140625" style="5" customWidth="1"/>
    <col min="7688" max="7688" width="12.5703125" style="5" customWidth="1"/>
    <col min="7689" max="7689" width="15.5703125" style="5" customWidth="1"/>
    <col min="7690" max="7690" width="16" style="5" customWidth="1"/>
    <col min="7691" max="7937" width="11.42578125" style="5"/>
    <col min="7938" max="7938" width="16.140625" style="5" customWidth="1"/>
    <col min="7939" max="7939" width="13.5703125" style="5" customWidth="1"/>
    <col min="7940" max="7940" width="40.5703125" style="5" customWidth="1"/>
    <col min="7941" max="7941" width="15.5703125" style="5" customWidth="1"/>
    <col min="7942" max="7942" width="11.42578125" style="5"/>
    <col min="7943" max="7943" width="13.140625" style="5" customWidth="1"/>
    <col min="7944" max="7944" width="12.5703125" style="5" customWidth="1"/>
    <col min="7945" max="7945" width="15.5703125" style="5" customWidth="1"/>
    <col min="7946" max="7946" width="16" style="5" customWidth="1"/>
    <col min="7947" max="8193" width="11.42578125" style="5"/>
    <col min="8194" max="8194" width="16.140625" style="5" customWidth="1"/>
    <col min="8195" max="8195" width="13.5703125" style="5" customWidth="1"/>
    <col min="8196" max="8196" width="40.5703125" style="5" customWidth="1"/>
    <col min="8197" max="8197" width="15.5703125" style="5" customWidth="1"/>
    <col min="8198" max="8198" width="11.42578125" style="5"/>
    <col min="8199" max="8199" width="13.140625" style="5" customWidth="1"/>
    <col min="8200" max="8200" width="12.5703125" style="5" customWidth="1"/>
    <col min="8201" max="8201" width="15.5703125" style="5" customWidth="1"/>
    <col min="8202" max="8202" width="16" style="5" customWidth="1"/>
    <col min="8203" max="8449" width="11.42578125" style="5"/>
    <col min="8450" max="8450" width="16.140625" style="5" customWidth="1"/>
    <col min="8451" max="8451" width="13.5703125" style="5" customWidth="1"/>
    <col min="8452" max="8452" width="40.5703125" style="5" customWidth="1"/>
    <col min="8453" max="8453" width="15.5703125" style="5" customWidth="1"/>
    <col min="8454" max="8454" width="11.42578125" style="5"/>
    <col min="8455" max="8455" width="13.140625" style="5" customWidth="1"/>
    <col min="8456" max="8456" width="12.5703125" style="5" customWidth="1"/>
    <col min="8457" max="8457" width="15.5703125" style="5" customWidth="1"/>
    <col min="8458" max="8458" width="16" style="5" customWidth="1"/>
    <col min="8459" max="8705" width="11.42578125" style="5"/>
    <col min="8706" max="8706" width="16.140625" style="5" customWidth="1"/>
    <col min="8707" max="8707" width="13.5703125" style="5" customWidth="1"/>
    <col min="8708" max="8708" width="40.5703125" style="5" customWidth="1"/>
    <col min="8709" max="8709" width="15.5703125" style="5" customWidth="1"/>
    <col min="8710" max="8710" width="11.42578125" style="5"/>
    <col min="8711" max="8711" width="13.140625" style="5" customWidth="1"/>
    <col min="8712" max="8712" width="12.5703125" style="5" customWidth="1"/>
    <col min="8713" max="8713" width="15.5703125" style="5" customWidth="1"/>
    <col min="8714" max="8714" width="16" style="5" customWidth="1"/>
    <col min="8715" max="8961" width="11.42578125" style="5"/>
    <col min="8962" max="8962" width="16.140625" style="5" customWidth="1"/>
    <col min="8963" max="8963" width="13.5703125" style="5" customWidth="1"/>
    <col min="8964" max="8964" width="40.5703125" style="5" customWidth="1"/>
    <col min="8965" max="8965" width="15.5703125" style="5" customWidth="1"/>
    <col min="8966" max="8966" width="11.42578125" style="5"/>
    <col min="8967" max="8967" width="13.140625" style="5" customWidth="1"/>
    <col min="8968" max="8968" width="12.5703125" style="5" customWidth="1"/>
    <col min="8969" max="8969" width="15.5703125" style="5" customWidth="1"/>
    <col min="8970" max="8970" width="16" style="5" customWidth="1"/>
    <col min="8971" max="9217" width="11.42578125" style="5"/>
    <col min="9218" max="9218" width="16.140625" style="5" customWidth="1"/>
    <col min="9219" max="9219" width="13.5703125" style="5" customWidth="1"/>
    <col min="9220" max="9220" width="40.5703125" style="5" customWidth="1"/>
    <col min="9221" max="9221" width="15.5703125" style="5" customWidth="1"/>
    <col min="9222" max="9222" width="11.42578125" style="5"/>
    <col min="9223" max="9223" width="13.140625" style="5" customWidth="1"/>
    <col min="9224" max="9224" width="12.5703125" style="5" customWidth="1"/>
    <col min="9225" max="9225" width="15.5703125" style="5" customWidth="1"/>
    <col min="9226" max="9226" width="16" style="5" customWidth="1"/>
    <col min="9227" max="9473" width="11.42578125" style="5"/>
    <col min="9474" max="9474" width="16.140625" style="5" customWidth="1"/>
    <col min="9475" max="9475" width="13.5703125" style="5" customWidth="1"/>
    <col min="9476" max="9476" width="40.5703125" style="5" customWidth="1"/>
    <col min="9477" max="9477" width="15.5703125" style="5" customWidth="1"/>
    <col min="9478" max="9478" width="11.42578125" style="5"/>
    <col min="9479" max="9479" width="13.140625" style="5" customWidth="1"/>
    <col min="9480" max="9480" width="12.5703125" style="5" customWidth="1"/>
    <col min="9481" max="9481" width="15.5703125" style="5" customWidth="1"/>
    <col min="9482" max="9482" width="16" style="5" customWidth="1"/>
    <col min="9483" max="9729" width="11.42578125" style="5"/>
    <col min="9730" max="9730" width="16.140625" style="5" customWidth="1"/>
    <col min="9731" max="9731" width="13.5703125" style="5" customWidth="1"/>
    <col min="9732" max="9732" width="40.5703125" style="5" customWidth="1"/>
    <col min="9733" max="9733" width="15.5703125" style="5" customWidth="1"/>
    <col min="9734" max="9734" width="11.42578125" style="5"/>
    <col min="9735" max="9735" width="13.140625" style="5" customWidth="1"/>
    <col min="9736" max="9736" width="12.5703125" style="5" customWidth="1"/>
    <col min="9737" max="9737" width="15.5703125" style="5" customWidth="1"/>
    <col min="9738" max="9738" width="16" style="5" customWidth="1"/>
    <col min="9739" max="9985" width="11.42578125" style="5"/>
    <col min="9986" max="9986" width="16.140625" style="5" customWidth="1"/>
    <col min="9987" max="9987" width="13.5703125" style="5" customWidth="1"/>
    <col min="9988" max="9988" width="40.5703125" style="5" customWidth="1"/>
    <col min="9989" max="9989" width="15.5703125" style="5" customWidth="1"/>
    <col min="9990" max="9990" width="11.42578125" style="5"/>
    <col min="9991" max="9991" width="13.140625" style="5" customWidth="1"/>
    <col min="9992" max="9992" width="12.5703125" style="5" customWidth="1"/>
    <col min="9993" max="9993" width="15.5703125" style="5" customWidth="1"/>
    <col min="9994" max="9994" width="16" style="5" customWidth="1"/>
    <col min="9995" max="10241" width="11.42578125" style="5"/>
    <col min="10242" max="10242" width="16.140625" style="5" customWidth="1"/>
    <col min="10243" max="10243" width="13.5703125" style="5" customWidth="1"/>
    <col min="10244" max="10244" width="40.5703125" style="5" customWidth="1"/>
    <col min="10245" max="10245" width="15.5703125" style="5" customWidth="1"/>
    <col min="10246" max="10246" width="11.42578125" style="5"/>
    <col min="10247" max="10247" width="13.140625" style="5" customWidth="1"/>
    <col min="10248" max="10248" width="12.5703125" style="5" customWidth="1"/>
    <col min="10249" max="10249" width="15.5703125" style="5" customWidth="1"/>
    <col min="10250" max="10250" width="16" style="5" customWidth="1"/>
    <col min="10251" max="10497" width="11.42578125" style="5"/>
    <col min="10498" max="10498" width="16.140625" style="5" customWidth="1"/>
    <col min="10499" max="10499" width="13.5703125" style="5" customWidth="1"/>
    <col min="10500" max="10500" width="40.5703125" style="5" customWidth="1"/>
    <col min="10501" max="10501" width="15.5703125" style="5" customWidth="1"/>
    <col min="10502" max="10502" width="11.42578125" style="5"/>
    <col min="10503" max="10503" width="13.140625" style="5" customWidth="1"/>
    <col min="10504" max="10504" width="12.5703125" style="5" customWidth="1"/>
    <col min="10505" max="10505" width="15.5703125" style="5" customWidth="1"/>
    <col min="10506" max="10506" width="16" style="5" customWidth="1"/>
    <col min="10507" max="10753" width="11.42578125" style="5"/>
    <col min="10754" max="10754" width="16.140625" style="5" customWidth="1"/>
    <col min="10755" max="10755" width="13.5703125" style="5" customWidth="1"/>
    <col min="10756" max="10756" width="40.5703125" style="5" customWidth="1"/>
    <col min="10757" max="10757" width="15.5703125" style="5" customWidth="1"/>
    <col min="10758" max="10758" width="11.42578125" style="5"/>
    <col min="10759" max="10759" width="13.140625" style="5" customWidth="1"/>
    <col min="10760" max="10760" width="12.5703125" style="5" customWidth="1"/>
    <col min="10761" max="10761" width="15.5703125" style="5" customWidth="1"/>
    <col min="10762" max="10762" width="16" style="5" customWidth="1"/>
    <col min="10763" max="11009" width="11.42578125" style="5"/>
    <col min="11010" max="11010" width="16.140625" style="5" customWidth="1"/>
    <col min="11011" max="11011" width="13.5703125" style="5" customWidth="1"/>
    <col min="11012" max="11012" width="40.5703125" style="5" customWidth="1"/>
    <col min="11013" max="11013" width="15.5703125" style="5" customWidth="1"/>
    <col min="11014" max="11014" width="11.42578125" style="5"/>
    <col min="11015" max="11015" width="13.140625" style="5" customWidth="1"/>
    <col min="11016" max="11016" width="12.5703125" style="5" customWidth="1"/>
    <col min="11017" max="11017" width="15.5703125" style="5" customWidth="1"/>
    <col min="11018" max="11018" width="16" style="5" customWidth="1"/>
    <col min="11019" max="11265" width="11.42578125" style="5"/>
    <col min="11266" max="11266" width="16.140625" style="5" customWidth="1"/>
    <col min="11267" max="11267" width="13.5703125" style="5" customWidth="1"/>
    <col min="11268" max="11268" width="40.5703125" style="5" customWidth="1"/>
    <col min="11269" max="11269" width="15.5703125" style="5" customWidth="1"/>
    <col min="11270" max="11270" width="11.42578125" style="5"/>
    <col min="11271" max="11271" width="13.140625" style="5" customWidth="1"/>
    <col min="11272" max="11272" width="12.5703125" style="5" customWidth="1"/>
    <col min="11273" max="11273" width="15.5703125" style="5" customWidth="1"/>
    <col min="11274" max="11274" width="16" style="5" customWidth="1"/>
    <col min="11275" max="11521" width="11.42578125" style="5"/>
    <col min="11522" max="11522" width="16.140625" style="5" customWidth="1"/>
    <col min="11523" max="11523" width="13.5703125" style="5" customWidth="1"/>
    <col min="11524" max="11524" width="40.5703125" style="5" customWidth="1"/>
    <col min="11525" max="11525" width="15.5703125" style="5" customWidth="1"/>
    <col min="11526" max="11526" width="11.42578125" style="5"/>
    <col min="11527" max="11527" width="13.140625" style="5" customWidth="1"/>
    <col min="11528" max="11528" width="12.5703125" style="5" customWidth="1"/>
    <col min="11529" max="11529" width="15.5703125" style="5" customWidth="1"/>
    <col min="11530" max="11530" width="16" style="5" customWidth="1"/>
    <col min="11531" max="11777" width="11.42578125" style="5"/>
    <col min="11778" max="11778" width="16.140625" style="5" customWidth="1"/>
    <col min="11779" max="11779" width="13.5703125" style="5" customWidth="1"/>
    <col min="11780" max="11780" width="40.5703125" style="5" customWidth="1"/>
    <col min="11781" max="11781" width="15.5703125" style="5" customWidth="1"/>
    <col min="11782" max="11782" width="11.42578125" style="5"/>
    <col min="11783" max="11783" width="13.140625" style="5" customWidth="1"/>
    <col min="11784" max="11784" width="12.5703125" style="5" customWidth="1"/>
    <col min="11785" max="11785" width="15.5703125" style="5" customWidth="1"/>
    <col min="11786" max="11786" width="16" style="5" customWidth="1"/>
    <col min="11787" max="12033" width="11.42578125" style="5"/>
    <col min="12034" max="12034" width="16.140625" style="5" customWidth="1"/>
    <col min="12035" max="12035" width="13.5703125" style="5" customWidth="1"/>
    <col min="12036" max="12036" width="40.5703125" style="5" customWidth="1"/>
    <col min="12037" max="12037" width="15.5703125" style="5" customWidth="1"/>
    <col min="12038" max="12038" width="11.42578125" style="5"/>
    <col min="12039" max="12039" width="13.140625" style="5" customWidth="1"/>
    <col min="12040" max="12040" width="12.5703125" style="5" customWidth="1"/>
    <col min="12041" max="12041" width="15.5703125" style="5" customWidth="1"/>
    <col min="12042" max="12042" width="16" style="5" customWidth="1"/>
    <col min="12043" max="12289" width="11.42578125" style="5"/>
    <col min="12290" max="12290" width="16.140625" style="5" customWidth="1"/>
    <col min="12291" max="12291" width="13.5703125" style="5" customWidth="1"/>
    <col min="12292" max="12292" width="40.5703125" style="5" customWidth="1"/>
    <col min="12293" max="12293" width="15.5703125" style="5" customWidth="1"/>
    <col min="12294" max="12294" width="11.42578125" style="5"/>
    <col min="12295" max="12295" width="13.140625" style="5" customWidth="1"/>
    <col min="12296" max="12296" width="12.5703125" style="5" customWidth="1"/>
    <col min="12297" max="12297" width="15.5703125" style="5" customWidth="1"/>
    <col min="12298" max="12298" width="16" style="5" customWidth="1"/>
    <col min="12299" max="12545" width="11.42578125" style="5"/>
    <col min="12546" max="12546" width="16.140625" style="5" customWidth="1"/>
    <col min="12547" max="12547" width="13.5703125" style="5" customWidth="1"/>
    <col min="12548" max="12548" width="40.5703125" style="5" customWidth="1"/>
    <col min="12549" max="12549" width="15.5703125" style="5" customWidth="1"/>
    <col min="12550" max="12550" width="11.42578125" style="5"/>
    <col min="12551" max="12551" width="13.140625" style="5" customWidth="1"/>
    <col min="12552" max="12552" width="12.5703125" style="5" customWidth="1"/>
    <col min="12553" max="12553" width="15.5703125" style="5" customWidth="1"/>
    <col min="12554" max="12554" width="16" style="5" customWidth="1"/>
    <col min="12555" max="12801" width="11.42578125" style="5"/>
    <col min="12802" max="12802" width="16.140625" style="5" customWidth="1"/>
    <col min="12803" max="12803" width="13.5703125" style="5" customWidth="1"/>
    <col min="12804" max="12804" width="40.5703125" style="5" customWidth="1"/>
    <col min="12805" max="12805" width="15.5703125" style="5" customWidth="1"/>
    <col min="12806" max="12806" width="11.42578125" style="5"/>
    <col min="12807" max="12807" width="13.140625" style="5" customWidth="1"/>
    <col min="12808" max="12808" width="12.5703125" style="5" customWidth="1"/>
    <col min="12809" max="12809" width="15.5703125" style="5" customWidth="1"/>
    <col min="12810" max="12810" width="16" style="5" customWidth="1"/>
    <col min="12811" max="13057" width="11.42578125" style="5"/>
    <col min="13058" max="13058" width="16.140625" style="5" customWidth="1"/>
    <col min="13059" max="13059" width="13.5703125" style="5" customWidth="1"/>
    <col min="13060" max="13060" width="40.5703125" style="5" customWidth="1"/>
    <col min="13061" max="13061" width="15.5703125" style="5" customWidth="1"/>
    <col min="13062" max="13062" width="11.42578125" style="5"/>
    <col min="13063" max="13063" width="13.140625" style="5" customWidth="1"/>
    <col min="13064" max="13064" width="12.5703125" style="5" customWidth="1"/>
    <col min="13065" max="13065" width="15.5703125" style="5" customWidth="1"/>
    <col min="13066" max="13066" width="16" style="5" customWidth="1"/>
    <col min="13067" max="13313" width="11.42578125" style="5"/>
    <col min="13314" max="13314" width="16.140625" style="5" customWidth="1"/>
    <col min="13315" max="13315" width="13.5703125" style="5" customWidth="1"/>
    <col min="13316" max="13316" width="40.5703125" style="5" customWidth="1"/>
    <col min="13317" max="13317" width="15.5703125" style="5" customWidth="1"/>
    <col min="13318" max="13318" width="11.42578125" style="5"/>
    <col min="13319" max="13319" width="13.140625" style="5" customWidth="1"/>
    <col min="13320" max="13320" width="12.5703125" style="5" customWidth="1"/>
    <col min="13321" max="13321" width="15.5703125" style="5" customWidth="1"/>
    <col min="13322" max="13322" width="16" style="5" customWidth="1"/>
    <col min="13323" max="13569" width="11.42578125" style="5"/>
    <col min="13570" max="13570" width="16.140625" style="5" customWidth="1"/>
    <col min="13571" max="13571" width="13.5703125" style="5" customWidth="1"/>
    <col min="13572" max="13572" width="40.5703125" style="5" customWidth="1"/>
    <col min="13573" max="13573" width="15.5703125" style="5" customWidth="1"/>
    <col min="13574" max="13574" width="11.42578125" style="5"/>
    <col min="13575" max="13575" width="13.140625" style="5" customWidth="1"/>
    <col min="13576" max="13576" width="12.5703125" style="5" customWidth="1"/>
    <col min="13577" max="13577" width="15.5703125" style="5" customWidth="1"/>
    <col min="13578" max="13578" width="16" style="5" customWidth="1"/>
    <col min="13579" max="13825" width="11.42578125" style="5"/>
    <col min="13826" max="13826" width="16.140625" style="5" customWidth="1"/>
    <col min="13827" max="13827" width="13.5703125" style="5" customWidth="1"/>
    <col min="13828" max="13828" width="40.5703125" style="5" customWidth="1"/>
    <col min="13829" max="13829" width="15.5703125" style="5" customWidth="1"/>
    <col min="13830" max="13830" width="11.42578125" style="5"/>
    <col min="13831" max="13831" width="13.140625" style="5" customWidth="1"/>
    <col min="13832" max="13832" width="12.5703125" style="5" customWidth="1"/>
    <col min="13833" max="13833" width="15.5703125" style="5" customWidth="1"/>
    <col min="13834" max="13834" width="16" style="5" customWidth="1"/>
    <col min="13835" max="14081" width="11.42578125" style="5"/>
    <col min="14082" max="14082" width="16.140625" style="5" customWidth="1"/>
    <col min="14083" max="14083" width="13.5703125" style="5" customWidth="1"/>
    <col min="14084" max="14084" width="40.5703125" style="5" customWidth="1"/>
    <col min="14085" max="14085" width="15.5703125" style="5" customWidth="1"/>
    <col min="14086" max="14086" width="11.42578125" style="5"/>
    <col min="14087" max="14087" width="13.140625" style="5" customWidth="1"/>
    <col min="14088" max="14088" width="12.5703125" style="5" customWidth="1"/>
    <col min="14089" max="14089" width="15.5703125" style="5" customWidth="1"/>
    <col min="14090" max="14090" width="16" style="5" customWidth="1"/>
    <col min="14091" max="14337" width="11.42578125" style="5"/>
    <col min="14338" max="14338" width="16.140625" style="5" customWidth="1"/>
    <col min="14339" max="14339" width="13.5703125" style="5" customWidth="1"/>
    <col min="14340" max="14340" width="40.5703125" style="5" customWidth="1"/>
    <col min="14341" max="14341" width="15.5703125" style="5" customWidth="1"/>
    <col min="14342" max="14342" width="11.42578125" style="5"/>
    <col min="14343" max="14343" width="13.140625" style="5" customWidth="1"/>
    <col min="14344" max="14344" width="12.5703125" style="5" customWidth="1"/>
    <col min="14345" max="14345" width="15.5703125" style="5" customWidth="1"/>
    <col min="14346" max="14346" width="16" style="5" customWidth="1"/>
    <col min="14347" max="14593" width="11.42578125" style="5"/>
    <col min="14594" max="14594" width="16.140625" style="5" customWidth="1"/>
    <col min="14595" max="14595" width="13.5703125" style="5" customWidth="1"/>
    <col min="14596" max="14596" width="40.5703125" style="5" customWidth="1"/>
    <col min="14597" max="14597" width="15.5703125" style="5" customWidth="1"/>
    <col min="14598" max="14598" width="11.42578125" style="5"/>
    <col min="14599" max="14599" width="13.140625" style="5" customWidth="1"/>
    <col min="14600" max="14600" width="12.5703125" style="5" customWidth="1"/>
    <col min="14601" max="14601" width="15.5703125" style="5" customWidth="1"/>
    <col min="14602" max="14602" width="16" style="5" customWidth="1"/>
    <col min="14603" max="14849" width="11.42578125" style="5"/>
    <col min="14850" max="14850" width="16.140625" style="5" customWidth="1"/>
    <col min="14851" max="14851" width="13.5703125" style="5" customWidth="1"/>
    <col min="14852" max="14852" width="40.5703125" style="5" customWidth="1"/>
    <col min="14853" max="14853" width="15.5703125" style="5" customWidth="1"/>
    <col min="14854" max="14854" width="11.42578125" style="5"/>
    <col min="14855" max="14855" width="13.140625" style="5" customWidth="1"/>
    <col min="14856" max="14856" width="12.5703125" style="5" customWidth="1"/>
    <col min="14857" max="14857" width="15.5703125" style="5" customWidth="1"/>
    <col min="14858" max="14858" width="16" style="5" customWidth="1"/>
    <col min="14859" max="15105" width="11.42578125" style="5"/>
    <col min="15106" max="15106" width="16.140625" style="5" customWidth="1"/>
    <col min="15107" max="15107" width="13.5703125" style="5" customWidth="1"/>
    <col min="15108" max="15108" width="40.5703125" style="5" customWidth="1"/>
    <col min="15109" max="15109" width="15.5703125" style="5" customWidth="1"/>
    <col min="15110" max="15110" width="11.42578125" style="5"/>
    <col min="15111" max="15111" width="13.140625" style="5" customWidth="1"/>
    <col min="15112" max="15112" width="12.5703125" style="5" customWidth="1"/>
    <col min="15113" max="15113" width="15.5703125" style="5" customWidth="1"/>
    <col min="15114" max="15114" width="16" style="5" customWidth="1"/>
    <col min="15115" max="15361" width="11.42578125" style="5"/>
    <col min="15362" max="15362" width="16.140625" style="5" customWidth="1"/>
    <col min="15363" max="15363" width="13.5703125" style="5" customWidth="1"/>
    <col min="15364" max="15364" width="40.5703125" style="5" customWidth="1"/>
    <col min="15365" max="15365" width="15.5703125" style="5" customWidth="1"/>
    <col min="15366" max="15366" width="11.42578125" style="5"/>
    <col min="15367" max="15367" width="13.140625" style="5" customWidth="1"/>
    <col min="15368" max="15368" width="12.5703125" style="5" customWidth="1"/>
    <col min="15369" max="15369" width="15.5703125" style="5" customWidth="1"/>
    <col min="15370" max="15370" width="16" style="5" customWidth="1"/>
    <col min="15371" max="15617" width="11.42578125" style="5"/>
    <col min="15618" max="15618" width="16.140625" style="5" customWidth="1"/>
    <col min="15619" max="15619" width="13.5703125" style="5" customWidth="1"/>
    <col min="15620" max="15620" width="40.5703125" style="5" customWidth="1"/>
    <col min="15621" max="15621" width="15.5703125" style="5" customWidth="1"/>
    <col min="15622" max="15622" width="11.42578125" style="5"/>
    <col min="15623" max="15623" width="13.140625" style="5" customWidth="1"/>
    <col min="15624" max="15624" width="12.5703125" style="5" customWidth="1"/>
    <col min="15625" max="15625" width="15.5703125" style="5" customWidth="1"/>
    <col min="15626" max="15626" width="16" style="5" customWidth="1"/>
    <col min="15627" max="15873" width="11.42578125" style="5"/>
    <col min="15874" max="15874" width="16.140625" style="5" customWidth="1"/>
    <col min="15875" max="15875" width="13.5703125" style="5" customWidth="1"/>
    <col min="15876" max="15876" width="40.5703125" style="5" customWidth="1"/>
    <col min="15877" max="15877" width="15.5703125" style="5" customWidth="1"/>
    <col min="15878" max="15878" width="11.42578125" style="5"/>
    <col min="15879" max="15879" width="13.140625" style="5" customWidth="1"/>
    <col min="15880" max="15880" width="12.5703125" style="5" customWidth="1"/>
    <col min="15881" max="15881" width="15.5703125" style="5" customWidth="1"/>
    <col min="15882" max="15882" width="16" style="5" customWidth="1"/>
    <col min="15883" max="16129" width="11.42578125" style="5"/>
    <col min="16130" max="16130" width="16.140625" style="5" customWidth="1"/>
    <col min="16131" max="16131" width="13.5703125" style="5" customWidth="1"/>
    <col min="16132" max="16132" width="40.5703125" style="5" customWidth="1"/>
    <col min="16133" max="16133" width="15.5703125" style="5" customWidth="1"/>
    <col min="16134" max="16134" width="11.42578125" style="5"/>
    <col min="16135" max="16135" width="13.140625" style="5" customWidth="1"/>
    <col min="16136" max="16136" width="12.5703125" style="5" customWidth="1"/>
    <col min="16137" max="16137" width="15.5703125" style="5" customWidth="1"/>
    <col min="16138" max="16138" width="16" style="5" customWidth="1"/>
    <col min="16139" max="16384" width="11.42578125" style="5"/>
  </cols>
  <sheetData>
    <row r="1" spans="2:14" ht="15.75">
      <c r="B1" s="620"/>
      <c r="C1" s="621"/>
      <c r="D1" s="626" t="s">
        <v>0</v>
      </c>
      <c r="E1" s="626"/>
      <c r="F1" s="626"/>
      <c r="G1" s="626"/>
      <c r="H1" s="626"/>
      <c r="I1" s="202" t="s">
        <v>1</v>
      </c>
      <c r="J1" s="203" t="s">
        <v>239</v>
      </c>
    </row>
    <row r="2" spans="2:14" ht="16.5" thickBot="1">
      <c r="B2" s="622"/>
      <c r="C2" s="623"/>
      <c r="D2" s="708" t="s">
        <v>3</v>
      </c>
      <c r="E2" s="708"/>
      <c r="F2" s="708"/>
      <c r="G2" s="708"/>
      <c r="H2" s="708"/>
      <c r="I2" s="204" t="s">
        <v>4</v>
      </c>
      <c r="J2" s="205" t="s">
        <v>240</v>
      </c>
    </row>
    <row r="3" spans="2:14" ht="18.75" thickBot="1">
      <c r="B3" s="622"/>
      <c r="C3" s="623"/>
      <c r="D3" s="630" t="s">
        <v>241</v>
      </c>
      <c r="E3" s="631"/>
      <c r="F3" s="631"/>
      <c r="G3" s="631"/>
      <c r="H3" s="632"/>
      <c r="I3" s="633" t="s">
        <v>7</v>
      </c>
      <c r="J3" s="611" t="s">
        <v>242</v>
      </c>
    </row>
    <row r="4" spans="2:14">
      <c r="B4" s="622"/>
      <c r="C4" s="623"/>
      <c r="D4" s="206" t="s">
        <v>9</v>
      </c>
      <c r="E4" s="614" t="s">
        <v>10</v>
      </c>
      <c r="F4" s="615"/>
      <c r="G4" s="615"/>
      <c r="H4" s="616"/>
      <c r="I4" s="634"/>
      <c r="J4" s="612"/>
    </row>
    <row r="5" spans="2:14" ht="14.25" thickBot="1">
      <c r="B5" s="705"/>
      <c r="C5" s="706"/>
      <c r="D5" s="207" t="s">
        <v>11</v>
      </c>
      <c r="E5" s="617" t="s">
        <v>96</v>
      </c>
      <c r="F5" s="618"/>
      <c r="G5" s="618"/>
      <c r="H5" s="619"/>
      <c r="I5" s="635"/>
      <c r="J5" s="612"/>
    </row>
    <row r="6" spans="2:14" ht="25.5">
      <c r="B6" s="776" t="s">
        <v>16</v>
      </c>
      <c r="C6" s="761" t="s">
        <v>17</v>
      </c>
      <c r="D6" s="763" t="s">
        <v>18</v>
      </c>
      <c r="E6" s="763" t="s">
        <v>19</v>
      </c>
      <c r="F6" s="763" t="s">
        <v>20</v>
      </c>
      <c r="G6" s="763"/>
      <c r="H6" s="763" t="s">
        <v>21</v>
      </c>
      <c r="I6" s="763"/>
      <c r="J6" s="284" t="s">
        <v>22</v>
      </c>
    </row>
    <row r="7" spans="2:14" ht="27" thickBot="1">
      <c r="B7" s="777"/>
      <c r="C7" s="762"/>
      <c r="D7" s="764"/>
      <c r="E7" s="764"/>
      <c r="F7" s="285" t="s">
        <v>23</v>
      </c>
      <c r="G7" s="286" t="s">
        <v>24</v>
      </c>
      <c r="H7" s="285" t="s">
        <v>23</v>
      </c>
      <c r="I7" s="286" t="s">
        <v>24</v>
      </c>
      <c r="J7" s="313" t="s">
        <v>25</v>
      </c>
    </row>
    <row r="8" spans="2:14" ht="15">
      <c r="B8" s="200">
        <v>95717</v>
      </c>
      <c r="C8" s="200" t="s">
        <v>187</v>
      </c>
      <c r="D8" t="s">
        <v>243</v>
      </c>
      <c r="E8" s="317" t="s">
        <v>79</v>
      </c>
      <c r="F8" s="11">
        <v>10400</v>
      </c>
      <c r="G8" s="28" t="s">
        <v>29</v>
      </c>
      <c r="H8" s="29"/>
      <c r="I8" s="11"/>
      <c r="J8" s="318"/>
    </row>
    <row r="9" spans="2:14" ht="15.75">
      <c r="B9" s="208">
        <v>10400001</v>
      </c>
      <c r="C9" s="208" t="s">
        <v>244</v>
      </c>
      <c r="D9" s="209" t="s">
        <v>245</v>
      </c>
      <c r="E9" s="319" t="s">
        <v>246</v>
      </c>
      <c r="F9" s="326">
        <v>100</v>
      </c>
      <c r="G9" s="327" t="s">
        <v>29</v>
      </c>
      <c r="H9" s="291"/>
      <c r="I9" s="292"/>
      <c r="J9" s="25"/>
    </row>
    <row r="10" spans="2:14" ht="15.75">
      <c r="B10" s="208">
        <v>10400006</v>
      </c>
      <c r="C10" s="208" t="s">
        <v>247</v>
      </c>
      <c r="D10" s="209" t="s">
        <v>248</v>
      </c>
      <c r="E10" s="319" t="s">
        <v>246</v>
      </c>
      <c r="F10" s="326">
        <v>100</v>
      </c>
      <c r="G10" s="327" t="s">
        <v>29</v>
      </c>
      <c r="H10" s="291"/>
      <c r="I10" s="292"/>
      <c r="J10" s="25"/>
    </row>
    <row r="11" spans="2:14" ht="14.25" thickBot="1">
      <c r="B11" s="296"/>
      <c r="C11" s="297"/>
      <c r="F11" s="298"/>
      <c r="G11" s="299"/>
      <c r="J11" s="300"/>
      <c r="M11" s="8"/>
    </row>
    <row r="12" spans="2:14" ht="14.25" thickBot="1">
      <c r="B12" s="301"/>
      <c r="C12" s="302"/>
      <c r="D12" s="303"/>
      <c r="E12" s="304" t="s">
        <v>23</v>
      </c>
      <c r="F12" s="305" t="s">
        <v>61</v>
      </c>
      <c r="G12" s="306"/>
      <c r="H12" s="303"/>
      <c r="I12" s="303"/>
      <c r="J12" s="307"/>
      <c r="M12" s="8"/>
    </row>
    <row r="13" spans="2:14">
      <c r="B13" s="753" t="s">
        <v>62</v>
      </c>
      <c r="C13" s="754"/>
      <c r="D13" s="755"/>
      <c r="E13" s="291">
        <v>10400</v>
      </c>
      <c r="F13" s="308" t="s">
        <v>29</v>
      </c>
      <c r="G13" s="756" t="s">
        <v>112</v>
      </c>
      <c r="H13" s="756"/>
      <c r="I13" s="757"/>
      <c r="J13" s="758"/>
      <c r="M13" s="8"/>
    </row>
    <row r="14" spans="2:14">
      <c r="B14" s="680" t="s">
        <v>63</v>
      </c>
      <c r="C14" s="681"/>
      <c r="D14" s="682"/>
      <c r="E14" s="355">
        <v>2</v>
      </c>
      <c r="F14" s="11" t="s">
        <v>249</v>
      </c>
      <c r="G14" s="683" t="s">
        <v>113</v>
      </c>
      <c r="H14" s="683"/>
      <c r="I14" s="684"/>
      <c r="J14" s="685"/>
      <c r="M14" s="8"/>
    </row>
    <row r="15" spans="2:14">
      <c r="B15" s="680" t="s">
        <v>65</v>
      </c>
      <c r="C15" s="681"/>
      <c r="D15" s="682"/>
      <c r="E15" s="11">
        <v>1</v>
      </c>
      <c r="F15" s="11" t="s">
        <v>230</v>
      </c>
      <c r="G15" s="683" t="s">
        <v>114</v>
      </c>
      <c r="H15" s="683"/>
      <c r="I15" s="684"/>
      <c r="J15" s="685"/>
      <c r="M15" s="8"/>
    </row>
    <row r="16" spans="2:14">
      <c r="B16" s="680" t="s">
        <v>67</v>
      </c>
      <c r="C16" s="681"/>
      <c r="D16" s="682"/>
      <c r="E16" s="29">
        <f>E13</f>
        <v>10400</v>
      </c>
      <c r="F16" s="11" t="s">
        <v>29</v>
      </c>
      <c r="G16" s="771" t="s">
        <v>115</v>
      </c>
      <c r="H16" s="772"/>
      <c r="I16" s="684"/>
      <c r="J16" s="685"/>
      <c r="M16" s="8"/>
      <c r="N16" s="4"/>
    </row>
    <row r="17" spans="2:13" ht="14.25" thickBot="1">
      <c r="B17" s="690" t="s">
        <v>68</v>
      </c>
      <c r="C17" s="691"/>
      <c r="D17" s="692"/>
      <c r="E17" s="356">
        <f>SUM(F8:F10)-E13</f>
        <v>200</v>
      </c>
      <c r="F17" s="310" t="s">
        <v>29</v>
      </c>
      <c r="G17" s="693"/>
      <c r="H17" s="693"/>
      <c r="I17" s="747"/>
      <c r="J17" s="748"/>
      <c r="M17" s="8"/>
    </row>
    <row r="18" spans="2:13" ht="14.25" thickBot="1">
      <c r="B18" s="768" t="s">
        <v>69</v>
      </c>
      <c r="C18" s="769"/>
      <c r="D18" s="769"/>
      <c r="E18" s="769"/>
      <c r="F18" s="769"/>
      <c r="G18" s="769"/>
      <c r="H18" s="769"/>
      <c r="I18" s="769"/>
      <c r="J18" s="770"/>
    </row>
    <row r="19" spans="2:13" ht="16.5" customHeight="1">
      <c r="B19" s="773" t="s">
        <v>250</v>
      </c>
      <c r="C19" s="774"/>
      <c r="D19" s="774"/>
      <c r="E19" s="774"/>
      <c r="F19" s="774"/>
      <c r="G19" s="774"/>
      <c r="H19" s="774"/>
      <c r="I19" s="774"/>
      <c r="J19" s="775"/>
    </row>
    <row r="20" spans="2:13" ht="16.5" customHeight="1">
      <c r="B20" s="773" t="s">
        <v>251</v>
      </c>
      <c r="C20" s="774"/>
      <c r="D20" s="774"/>
      <c r="E20" s="774"/>
      <c r="F20" s="774"/>
      <c r="G20" s="774"/>
      <c r="H20" s="774"/>
      <c r="I20" s="774"/>
      <c r="J20" s="775"/>
    </row>
    <row r="21" spans="2:13" ht="16.5" customHeight="1">
      <c r="B21" s="773"/>
      <c r="C21" s="774"/>
      <c r="D21" s="774"/>
      <c r="E21" s="774"/>
      <c r="F21" s="774"/>
      <c r="G21" s="774"/>
      <c r="H21" s="774"/>
      <c r="I21" s="774"/>
      <c r="J21" s="775"/>
    </row>
    <row r="22" spans="2:13" ht="16.5" customHeight="1">
      <c r="B22" s="773"/>
      <c r="C22" s="774"/>
      <c r="D22" s="774"/>
      <c r="E22" s="774"/>
      <c r="F22" s="774"/>
      <c r="G22" s="774"/>
      <c r="H22" s="774"/>
      <c r="I22" s="774"/>
      <c r="J22" s="775"/>
    </row>
    <row r="23" spans="2:13" ht="15.75" thickBot="1">
      <c r="B23" s="782"/>
      <c r="C23" s="783"/>
      <c r="D23" s="783"/>
      <c r="E23" s="783"/>
      <c r="F23" s="783"/>
      <c r="G23" s="783"/>
      <c r="H23" s="783"/>
      <c r="I23" s="783"/>
      <c r="J23" s="784"/>
    </row>
    <row r="24" spans="2:13" ht="14.25" thickBot="1">
      <c r="B24" s="778"/>
      <c r="C24" s="779"/>
      <c r="D24" s="780"/>
      <c r="E24" s="780"/>
      <c r="F24" s="780"/>
      <c r="G24" s="780"/>
      <c r="H24" s="780"/>
      <c r="I24" s="780"/>
      <c r="J24" s="781"/>
    </row>
    <row r="25" spans="2:13" ht="14.25" thickBot="1">
      <c r="B25" s="785" t="s">
        <v>92</v>
      </c>
      <c r="C25" s="786"/>
      <c r="D25" s="787"/>
      <c r="E25" s="787"/>
      <c r="F25" s="787"/>
      <c r="G25" s="787"/>
      <c r="H25" s="787"/>
      <c r="I25" s="787"/>
      <c r="J25" s="788"/>
    </row>
    <row r="26" spans="2:13" ht="14.25" thickBot="1">
      <c r="B26" s="778" t="s">
        <v>252</v>
      </c>
      <c r="C26" s="779"/>
      <c r="D26" s="780"/>
      <c r="E26" s="780"/>
      <c r="F26" s="780"/>
      <c r="G26" s="780"/>
      <c r="H26" s="780"/>
      <c r="I26" s="780"/>
      <c r="J26" s="781"/>
    </row>
    <row r="27" spans="2:13" ht="14.25" thickBot="1">
      <c r="B27" s="778" t="s">
        <v>253</v>
      </c>
      <c r="C27" s="779"/>
      <c r="D27" s="780"/>
      <c r="E27" s="780"/>
      <c r="F27" s="780"/>
      <c r="G27" s="780"/>
      <c r="H27" s="780"/>
      <c r="I27" s="780"/>
      <c r="J27" s="781"/>
    </row>
    <row r="28" spans="2:13">
      <c r="B28" s="5" t="s">
        <v>254</v>
      </c>
    </row>
  </sheetData>
  <mergeCells count="39">
    <mergeCell ref="B27:J27"/>
    <mergeCell ref="B21:J21"/>
    <mergeCell ref="B22:J22"/>
    <mergeCell ref="B23:J23"/>
    <mergeCell ref="B24:J24"/>
    <mergeCell ref="B25:J25"/>
    <mergeCell ref="B26:J26"/>
    <mergeCell ref="B20:J20"/>
    <mergeCell ref="B15:D15"/>
    <mergeCell ref="G15:H15"/>
    <mergeCell ref="I15:J15"/>
    <mergeCell ref="B16:D16"/>
    <mergeCell ref="G16:H16"/>
    <mergeCell ref="I16:J16"/>
    <mergeCell ref="B17:D17"/>
    <mergeCell ref="G17:H17"/>
    <mergeCell ref="I17:J17"/>
    <mergeCell ref="B18:J18"/>
    <mergeCell ref="B19:J19"/>
    <mergeCell ref="B13:D13"/>
    <mergeCell ref="G13:H13"/>
    <mergeCell ref="I13:J13"/>
    <mergeCell ref="B14:D14"/>
    <mergeCell ref="G14:H14"/>
    <mergeCell ref="I14:J14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4F50-F382-4AAF-BE0D-8881DD43514D}">
  <dimension ref="A1:M31"/>
  <sheetViews>
    <sheetView workbookViewId="0">
      <selection activeCell="C8" sqref="C8"/>
    </sheetView>
  </sheetViews>
  <sheetFormatPr defaultColWidth="11.42578125" defaultRowHeight="13.5"/>
  <cols>
    <col min="1" max="1" width="16.140625" style="5" customWidth="1"/>
    <col min="2" max="2" width="13" style="5" customWidth="1"/>
    <col min="3" max="3" width="43" style="5" customWidth="1"/>
    <col min="4" max="4" width="15.5703125" style="5" customWidth="1"/>
    <col min="5" max="5" width="11.42578125" style="5"/>
    <col min="6" max="6" width="13.140625" style="5" customWidth="1"/>
    <col min="7" max="7" width="12.5703125" style="5" customWidth="1"/>
    <col min="8" max="8" width="15.5703125" style="5" customWidth="1"/>
    <col min="9" max="9" width="16" style="5" customWidth="1"/>
    <col min="10" max="256" width="11.42578125" style="5"/>
    <col min="257" max="257" width="16.140625" style="5" customWidth="1"/>
    <col min="258" max="258" width="13.140625" style="5" customWidth="1"/>
    <col min="259" max="259" width="43" style="5" customWidth="1"/>
    <col min="260" max="260" width="15.5703125" style="5" customWidth="1"/>
    <col min="261" max="261" width="11.42578125" style="5"/>
    <col min="262" max="262" width="13.140625" style="5" customWidth="1"/>
    <col min="263" max="263" width="12.5703125" style="5" customWidth="1"/>
    <col min="264" max="264" width="15.5703125" style="5" customWidth="1"/>
    <col min="265" max="265" width="16" style="5" customWidth="1"/>
    <col min="266" max="512" width="11.42578125" style="5"/>
    <col min="513" max="513" width="16.140625" style="5" customWidth="1"/>
    <col min="514" max="514" width="13.140625" style="5" customWidth="1"/>
    <col min="515" max="515" width="43" style="5" customWidth="1"/>
    <col min="516" max="516" width="15.5703125" style="5" customWidth="1"/>
    <col min="517" max="517" width="11.42578125" style="5"/>
    <col min="518" max="518" width="13.140625" style="5" customWidth="1"/>
    <col min="519" max="519" width="12.5703125" style="5" customWidth="1"/>
    <col min="520" max="520" width="15.5703125" style="5" customWidth="1"/>
    <col min="521" max="521" width="16" style="5" customWidth="1"/>
    <col min="522" max="768" width="11.42578125" style="5"/>
    <col min="769" max="769" width="16.140625" style="5" customWidth="1"/>
    <col min="770" max="770" width="13.140625" style="5" customWidth="1"/>
    <col min="771" max="771" width="43" style="5" customWidth="1"/>
    <col min="772" max="772" width="15.5703125" style="5" customWidth="1"/>
    <col min="773" max="773" width="11.42578125" style="5"/>
    <col min="774" max="774" width="13.140625" style="5" customWidth="1"/>
    <col min="775" max="775" width="12.5703125" style="5" customWidth="1"/>
    <col min="776" max="776" width="15.5703125" style="5" customWidth="1"/>
    <col min="777" max="777" width="16" style="5" customWidth="1"/>
    <col min="778" max="1024" width="11.42578125" style="5"/>
    <col min="1025" max="1025" width="16.140625" style="5" customWidth="1"/>
    <col min="1026" max="1026" width="13.140625" style="5" customWidth="1"/>
    <col min="1027" max="1027" width="43" style="5" customWidth="1"/>
    <col min="1028" max="1028" width="15.5703125" style="5" customWidth="1"/>
    <col min="1029" max="1029" width="11.42578125" style="5"/>
    <col min="1030" max="1030" width="13.140625" style="5" customWidth="1"/>
    <col min="1031" max="1031" width="12.5703125" style="5" customWidth="1"/>
    <col min="1032" max="1032" width="15.5703125" style="5" customWidth="1"/>
    <col min="1033" max="1033" width="16" style="5" customWidth="1"/>
    <col min="1034" max="1280" width="11.42578125" style="5"/>
    <col min="1281" max="1281" width="16.140625" style="5" customWidth="1"/>
    <col min="1282" max="1282" width="13.140625" style="5" customWidth="1"/>
    <col min="1283" max="1283" width="43" style="5" customWidth="1"/>
    <col min="1284" max="1284" width="15.5703125" style="5" customWidth="1"/>
    <col min="1285" max="1285" width="11.42578125" style="5"/>
    <col min="1286" max="1286" width="13.140625" style="5" customWidth="1"/>
    <col min="1287" max="1287" width="12.5703125" style="5" customWidth="1"/>
    <col min="1288" max="1288" width="15.5703125" style="5" customWidth="1"/>
    <col min="1289" max="1289" width="16" style="5" customWidth="1"/>
    <col min="1290" max="1536" width="11.42578125" style="5"/>
    <col min="1537" max="1537" width="16.140625" style="5" customWidth="1"/>
    <col min="1538" max="1538" width="13.140625" style="5" customWidth="1"/>
    <col min="1539" max="1539" width="43" style="5" customWidth="1"/>
    <col min="1540" max="1540" width="15.5703125" style="5" customWidth="1"/>
    <col min="1541" max="1541" width="11.42578125" style="5"/>
    <col min="1542" max="1542" width="13.140625" style="5" customWidth="1"/>
    <col min="1543" max="1543" width="12.5703125" style="5" customWidth="1"/>
    <col min="1544" max="1544" width="15.5703125" style="5" customWidth="1"/>
    <col min="1545" max="1545" width="16" style="5" customWidth="1"/>
    <col min="1546" max="1792" width="11.42578125" style="5"/>
    <col min="1793" max="1793" width="16.140625" style="5" customWidth="1"/>
    <col min="1794" max="1794" width="13.140625" style="5" customWidth="1"/>
    <col min="1795" max="1795" width="43" style="5" customWidth="1"/>
    <col min="1796" max="1796" width="15.5703125" style="5" customWidth="1"/>
    <col min="1797" max="1797" width="11.42578125" style="5"/>
    <col min="1798" max="1798" width="13.140625" style="5" customWidth="1"/>
    <col min="1799" max="1799" width="12.5703125" style="5" customWidth="1"/>
    <col min="1800" max="1800" width="15.5703125" style="5" customWidth="1"/>
    <col min="1801" max="1801" width="16" style="5" customWidth="1"/>
    <col min="1802" max="2048" width="11.42578125" style="5"/>
    <col min="2049" max="2049" width="16.140625" style="5" customWidth="1"/>
    <col min="2050" max="2050" width="13.140625" style="5" customWidth="1"/>
    <col min="2051" max="2051" width="43" style="5" customWidth="1"/>
    <col min="2052" max="2052" width="15.5703125" style="5" customWidth="1"/>
    <col min="2053" max="2053" width="11.42578125" style="5"/>
    <col min="2054" max="2054" width="13.140625" style="5" customWidth="1"/>
    <col min="2055" max="2055" width="12.5703125" style="5" customWidth="1"/>
    <col min="2056" max="2056" width="15.5703125" style="5" customWidth="1"/>
    <col min="2057" max="2057" width="16" style="5" customWidth="1"/>
    <col min="2058" max="2304" width="11.42578125" style="5"/>
    <col min="2305" max="2305" width="16.140625" style="5" customWidth="1"/>
    <col min="2306" max="2306" width="13.140625" style="5" customWidth="1"/>
    <col min="2307" max="2307" width="43" style="5" customWidth="1"/>
    <col min="2308" max="2308" width="15.5703125" style="5" customWidth="1"/>
    <col min="2309" max="2309" width="11.42578125" style="5"/>
    <col min="2310" max="2310" width="13.140625" style="5" customWidth="1"/>
    <col min="2311" max="2311" width="12.5703125" style="5" customWidth="1"/>
    <col min="2312" max="2312" width="15.5703125" style="5" customWidth="1"/>
    <col min="2313" max="2313" width="16" style="5" customWidth="1"/>
    <col min="2314" max="2560" width="11.42578125" style="5"/>
    <col min="2561" max="2561" width="16.140625" style="5" customWidth="1"/>
    <col min="2562" max="2562" width="13.140625" style="5" customWidth="1"/>
    <col min="2563" max="2563" width="43" style="5" customWidth="1"/>
    <col min="2564" max="2564" width="15.5703125" style="5" customWidth="1"/>
    <col min="2565" max="2565" width="11.42578125" style="5"/>
    <col min="2566" max="2566" width="13.140625" style="5" customWidth="1"/>
    <col min="2567" max="2567" width="12.5703125" style="5" customWidth="1"/>
    <col min="2568" max="2568" width="15.5703125" style="5" customWidth="1"/>
    <col min="2569" max="2569" width="16" style="5" customWidth="1"/>
    <col min="2570" max="2816" width="11.42578125" style="5"/>
    <col min="2817" max="2817" width="16.140625" style="5" customWidth="1"/>
    <col min="2818" max="2818" width="13.140625" style="5" customWidth="1"/>
    <col min="2819" max="2819" width="43" style="5" customWidth="1"/>
    <col min="2820" max="2820" width="15.5703125" style="5" customWidth="1"/>
    <col min="2821" max="2821" width="11.42578125" style="5"/>
    <col min="2822" max="2822" width="13.140625" style="5" customWidth="1"/>
    <col min="2823" max="2823" width="12.5703125" style="5" customWidth="1"/>
    <col min="2824" max="2824" width="15.5703125" style="5" customWidth="1"/>
    <col min="2825" max="2825" width="16" style="5" customWidth="1"/>
    <col min="2826" max="3072" width="11.42578125" style="5"/>
    <col min="3073" max="3073" width="16.140625" style="5" customWidth="1"/>
    <col min="3074" max="3074" width="13.140625" style="5" customWidth="1"/>
    <col min="3075" max="3075" width="43" style="5" customWidth="1"/>
    <col min="3076" max="3076" width="15.5703125" style="5" customWidth="1"/>
    <col min="3077" max="3077" width="11.42578125" style="5"/>
    <col min="3078" max="3078" width="13.140625" style="5" customWidth="1"/>
    <col min="3079" max="3079" width="12.5703125" style="5" customWidth="1"/>
    <col min="3080" max="3080" width="15.5703125" style="5" customWidth="1"/>
    <col min="3081" max="3081" width="16" style="5" customWidth="1"/>
    <col min="3082" max="3328" width="11.42578125" style="5"/>
    <col min="3329" max="3329" width="16.140625" style="5" customWidth="1"/>
    <col min="3330" max="3330" width="13.140625" style="5" customWidth="1"/>
    <col min="3331" max="3331" width="43" style="5" customWidth="1"/>
    <col min="3332" max="3332" width="15.5703125" style="5" customWidth="1"/>
    <col min="3333" max="3333" width="11.42578125" style="5"/>
    <col min="3334" max="3334" width="13.140625" style="5" customWidth="1"/>
    <col min="3335" max="3335" width="12.5703125" style="5" customWidth="1"/>
    <col min="3336" max="3336" width="15.5703125" style="5" customWidth="1"/>
    <col min="3337" max="3337" width="16" style="5" customWidth="1"/>
    <col min="3338" max="3584" width="11.42578125" style="5"/>
    <col min="3585" max="3585" width="16.140625" style="5" customWidth="1"/>
    <col min="3586" max="3586" width="13.140625" style="5" customWidth="1"/>
    <col min="3587" max="3587" width="43" style="5" customWidth="1"/>
    <col min="3588" max="3588" width="15.5703125" style="5" customWidth="1"/>
    <col min="3589" max="3589" width="11.42578125" style="5"/>
    <col min="3590" max="3590" width="13.140625" style="5" customWidth="1"/>
    <col min="3591" max="3591" width="12.5703125" style="5" customWidth="1"/>
    <col min="3592" max="3592" width="15.5703125" style="5" customWidth="1"/>
    <col min="3593" max="3593" width="16" style="5" customWidth="1"/>
    <col min="3594" max="3840" width="11.42578125" style="5"/>
    <col min="3841" max="3841" width="16.140625" style="5" customWidth="1"/>
    <col min="3842" max="3842" width="13.140625" style="5" customWidth="1"/>
    <col min="3843" max="3843" width="43" style="5" customWidth="1"/>
    <col min="3844" max="3844" width="15.5703125" style="5" customWidth="1"/>
    <col min="3845" max="3845" width="11.42578125" style="5"/>
    <col min="3846" max="3846" width="13.140625" style="5" customWidth="1"/>
    <col min="3847" max="3847" width="12.5703125" style="5" customWidth="1"/>
    <col min="3848" max="3848" width="15.5703125" style="5" customWidth="1"/>
    <col min="3849" max="3849" width="16" style="5" customWidth="1"/>
    <col min="3850" max="4096" width="11.42578125" style="5"/>
    <col min="4097" max="4097" width="16.140625" style="5" customWidth="1"/>
    <col min="4098" max="4098" width="13.140625" style="5" customWidth="1"/>
    <col min="4099" max="4099" width="43" style="5" customWidth="1"/>
    <col min="4100" max="4100" width="15.5703125" style="5" customWidth="1"/>
    <col min="4101" max="4101" width="11.42578125" style="5"/>
    <col min="4102" max="4102" width="13.140625" style="5" customWidth="1"/>
    <col min="4103" max="4103" width="12.5703125" style="5" customWidth="1"/>
    <col min="4104" max="4104" width="15.5703125" style="5" customWidth="1"/>
    <col min="4105" max="4105" width="16" style="5" customWidth="1"/>
    <col min="4106" max="4352" width="11.42578125" style="5"/>
    <col min="4353" max="4353" width="16.140625" style="5" customWidth="1"/>
    <col min="4354" max="4354" width="13.140625" style="5" customWidth="1"/>
    <col min="4355" max="4355" width="43" style="5" customWidth="1"/>
    <col min="4356" max="4356" width="15.5703125" style="5" customWidth="1"/>
    <col min="4357" max="4357" width="11.42578125" style="5"/>
    <col min="4358" max="4358" width="13.140625" style="5" customWidth="1"/>
    <col min="4359" max="4359" width="12.5703125" style="5" customWidth="1"/>
    <col min="4360" max="4360" width="15.5703125" style="5" customWidth="1"/>
    <col min="4361" max="4361" width="16" style="5" customWidth="1"/>
    <col min="4362" max="4608" width="11.42578125" style="5"/>
    <col min="4609" max="4609" width="16.140625" style="5" customWidth="1"/>
    <col min="4610" max="4610" width="13.140625" style="5" customWidth="1"/>
    <col min="4611" max="4611" width="43" style="5" customWidth="1"/>
    <col min="4612" max="4612" width="15.5703125" style="5" customWidth="1"/>
    <col min="4613" max="4613" width="11.42578125" style="5"/>
    <col min="4614" max="4614" width="13.140625" style="5" customWidth="1"/>
    <col min="4615" max="4615" width="12.5703125" style="5" customWidth="1"/>
    <col min="4616" max="4616" width="15.5703125" style="5" customWidth="1"/>
    <col min="4617" max="4617" width="16" style="5" customWidth="1"/>
    <col min="4618" max="4864" width="11.42578125" style="5"/>
    <col min="4865" max="4865" width="16.140625" style="5" customWidth="1"/>
    <col min="4866" max="4866" width="13.140625" style="5" customWidth="1"/>
    <col min="4867" max="4867" width="43" style="5" customWidth="1"/>
    <col min="4868" max="4868" width="15.5703125" style="5" customWidth="1"/>
    <col min="4869" max="4869" width="11.42578125" style="5"/>
    <col min="4870" max="4870" width="13.140625" style="5" customWidth="1"/>
    <col min="4871" max="4871" width="12.5703125" style="5" customWidth="1"/>
    <col min="4872" max="4872" width="15.5703125" style="5" customWidth="1"/>
    <col min="4873" max="4873" width="16" style="5" customWidth="1"/>
    <col min="4874" max="5120" width="11.42578125" style="5"/>
    <col min="5121" max="5121" width="16.140625" style="5" customWidth="1"/>
    <col min="5122" max="5122" width="13.140625" style="5" customWidth="1"/>
    <col min="5123" max="5123" width="43" style="5" customWidth="1"/>
    <col min="5124" max="5124" width="15.5703125" style="5" customWidth="1"/>
    <col min="5125" max="5125" width="11.42578125" style="5"/>
    <col min="5126" max="5126" width="13.140625" style="5" customWidth="1"/>
    <col min="5127" max="5127" width="12.5703125" style="5" customWidth="1"/>
    <col min="5128" max="5128" width="15.5703125" style="5" customWidth="1"/>
    <col min="5129" max="5129" width="16" style="5" customWidth="1"/>
    <col min="5130" max="5376" width="11.42578125" style="5"/>
    <col min="5377" max="5377" width="16.140625" style="5" customWidth="1"/>
    <col min="5378" max="5378" width="13.140625" style="5" customWidth="1"/>
    <col min="5379" max="5379" width="43" style="5" customWidth="1"/>
    <col min="5380" max="5380" width="15.5703125" style="5" customWidth="1"/>
    <col min="5381" max="5381" width="11.42578125" style="5"/>
    <col min="5382" max="5382" width="13.140625" style="5" customWidth="1"/>
    <col min="5383" max="5383" width="12.5703125" style="5" customWidth="1"/>
    <col min="5384" max="5384" width="15.5703125" style="5" customWidth="1"/>
    <col min="5385" max="5385" width="16" style="5" customWidth="1"/>
    <col min="5386" max="5632" width="11.42578125" style="5"/>
    <col min="5633" max="5633" width="16.140625" style="5" customWidth="1"/>
    <col min="5634" max="5634" width="13.140625" style="5" customWidth="1"/>
    <col min="5635" max="5635" width="43" style="5" customWidth="1"/>
    <col min="5636" max="5636" width="15.5703125" style="5" customWidth="1"/>
    <col min="5637" max="5637" width="11.42578125" style="5"/>
    <col min="5638" max="5638" width="13.140625" style="5" customWidth="1"/>
    <col min="5639" max="5639" width="12.5703125" style="5" customWidth="1"/>
    <col min="5640" max="5640" width="15.5703125" style="5" customWidth="1"/>
    <col min="5641" max="5641" width="16" style="5" customWidth="1"/>
    <col min="5642" max="5888" width="11.42578125" style="5"/>
    <col min="5889" max="5889" width="16.140625" style="5" customWidth="1"/>
    <col min="5890" max="5890" width="13.140625" style="5" customWidth="1"/>
    <col min="5891" max="5891" width="43" style="5" customWidth="1"/>
    <col min="5892" max="5892" width="15.5703125" style="5" customWidth="1"/>
    <col min="5893" max="5893" width="11.42578125" style="5"/>
    <col min="5894" max="5894" width="13.140625" style="5" customWidth="1"/>
    <col min="5895" max="5895" width="12.5703125" style="5" customWidth="1"/>
    <col min="5896" max="5896" width="15.5703125" style="5" customWidth="1"/>
    <col min="5897" max="5897" width="16" style="5" customWidth="1"/>
    <col min="5898" max="6144" width="11.42578125" style="5"/>
    <col min="6145" max="6145" width="16.140625" style="5" customWidth="1"/>
    <col min="6146" max="6146" width="13.140625" style="5" customWidth="1"/>
    <col min="6147" max="6147" width="43" style="5" customWidth="1"/>
    <col min="6148" max="6148" width="15.5703125" style="5" customWidth="1"/>
    <col min="6149" max="6149" width="11.42578125" style="5"/>
    <col min="6150" max="6150" width="13.140625" style="5" customWidth="1"/>
    <col min="6151" max="6151" width="12.5703125" style="5" customWidth="1"/>
    <col min="6152" max="6152" width="15.5703125" style="5" customWidth="1"/>
    <col min="6153" max="6153" width="16" style="5" customWidth="1"/>
    <col min="6154" max="6400" width="11.42578125" style="5"/>
    <col min="6401" max="6401" width="16.140625" style="5" customWidth="1"/>
    <col min="6402" max="6402" width="13.140625" style="5" customWidth="1"/>
    <col min="6403" max="6403" width="43" style="5" customWidth="1"/>
    <col min="6404" max="6404" width="15.5703125" style="5" customWidth="1"/>
    <col min="6405" max="6405" width="11.42578125" style="5"/>
    <col min="6406" max="6406" width="13.140625" style="5" customWidth="1"/>
    <col min="6407" max="6407" width="12.5703125" style="5" customWidth="1"/>
    <col min="6408" max="6408" width="15.5703125" style="5" customWidth="1"/>
    <col min="6409" max="6409" width="16" style="5" customWidth="1"/>
    <col min="6410" max="6656" width="11.42578125" style="5"/>
    <col min="6657" max="6657" width="16.140625" style="5" customWidth="1"/>
    <col min="6658" max="6658" width="13.140625" style="5" customWidth="1"/>
    <col min="6659" max="6659" width="43" style="5" customWidth="1"/>
    <col min="6660" max="6660" width="15.5703125" style="5" customWidth="1"/>
    <col min="6661" max="6661" width="11.42578125" style="5"/>
    <col min="6662" max="6662" width="13.140625" style="5" customWidth="1"/>
    <col min="6663" max="6663" width="12.5703125" style="5" customWidth="1"/>
    <col min="6664" max="6664" width="15.5703125" style="5" customWidth="1"/>
    <col min="6665" max="6665" width="16" style="5" customWidth="1"/>
    <col min="6666" max="6912" width="11.42578125" style="5"/>
    <col min="6913" max="6913" width="16.140625" style="5" customWidth="1"/>
    <col min="6914" max="6914" width="13.140625" style="5" customWidth="1"/>
    <col min="6915" max="6915" width="43" style="5" customWidth="1"/>
    <col min="6916" max="6916" width="15.5703125" style="5" customWidth="1"/>
    <col min="6917" max="6917" width="11.42578125" style="5"/>
    <col min="6918" max="6918" width="13.140625" style="5" customWidth="1"/>
    <col min="6919" max="6919" width="12.5703125" style="5" customWidth="1"/>
    <col min="6920" max="6920" width="15.5703125" style="5" customWidth="1"/>
    <col min="6921" max="6921" width="16" style="5" customWidth="1"/>
    <col min="6922" max="7168" width="11.42578125" style="5"/>
    <col min="7169" max="7169" width="16.140625" style="5" customWidth="1"/>
    <col min="7170" max="7170" width="13.140625" style="5" customWidth="1"/>
    <col min="7171" max="7171" width="43" style="5" customWidth="1"/>
    <col min="7172" max="7172" width="15.5703125" style="5" customWidth="1"/>
    <col min="7173" max="7173" width="11.42578125" style="5"/>
    <col min="7174" max="7174" width="13.140625" style="5" customWidth="1"/>
    <col min="7175" max="7175" width="12.5703125" style="5" customWidth="1"/>
    <col min="7176" max="7176" width="15.5703125" style="5" customWidth="1"/>
    <col min="7177" max="7177" width="16" style="5" customWidth="1"/>
    <col min="7178" max="7424" width="11.42578125" style="5"/>
    <col min="7425" max="7425" width="16.140625" style="5" customWidth="1"/>
    <col min="7426" max="7426" width="13.140625" style="5" customWidth="1"/>
    <col min="7427" max="7427" width="43" style="5" customWidth="1"/>
    <col min="7428" max="7428" width="15.5703125" style="5" customWidth="1"/>
    <col min="7429" max="7429" width="11.42578125" style="5"/>
    <col min="7430" max="7430" width="13.140625" style="5" customWidth="1"/>
    <col min="7431" max="7431" width="12.5703125" style="5" customWidth="1"/>
    <col min="7432" max="7432" width="15.5703125" style="5" customWidth="1"/>
    <col min="7433" max="7433" width="16" style="5" customWidth="1"/>
    <col min="7434" max="7680" width="11.42578125" style="5"/>
    <col min="7681" max="7681" width="16.140625" style="5" customWidth="1"/>
    <col min="7682" max="7682" width="13.140625" style="5" customWidth="1"/>
    <col min="7683" max="7683" width="43" style="5" customWidth="1"/>
    <col min="7684" max="7684" width="15.5703125" style="5" customWidth="1"/>
    <col min="7685" max="7685" width="11.42578125" style="5"/>
    <col min="7686" max="7686" width="13.140625" style="5" customWidth="1"/>
    <col min="7687" max="7687" width="12.5703125" style="5" customWidth="1"/>
    <col min="7688" max="7688" width="15.5703125" style="5" customWidth="1"/>
    <col min="7689" max="7689" width="16" style="5" customWidth="1"/>
    <col min="7690" max="7936" width="11.42578125" style="5"/>
    <col min="7937" max="7937" width="16.140625" style="5" customWidth="1"/>
    <col min="7938" max="7938" width="13.140625" style="5" customWidth="1"/>
    <col min="7939" max="7939" width="43" style="5" customWidth="1"/>
    <col min="7940" max="7940" width="15.5703125" style="5" customWidth="1"/>
    <col min="7941" max="7941" width="11.42578125" style="5"/>
    <col min="7942" max="7942" width="13.140625" style="5" customWidth="1"/>
    <col min="7943" max="7943" width="12.5703125" style="5" customWidth="1"/>
    <col min="7944" max="7944" width="15.5703125" style="5" customWidth="1"/>
    <col min="7945" max="7945" width="16" style="5" customWidth="1"/>
    <col min="7946" max="8192" width="11.42578125" style="5"/>
    <col min="8193" max="8193" width="16.140625" style="5" customWidth="1"/>
    <col min="8194" max="8194" width="13.140625" style="5" customWidth="1"/>
    <col min="8195" max="8195" width="43" style="5" customWidth="1"/>
    <col min="8196" max="8196" width="15.5703125" style="5" customWidth="1"/>
    <col min="8197" max="8197" width="11.42578125" style="5"/>
    <col min="8198" max="8198" width="13.140625" style="5" customWidth="1"/>
    <col min="8199" max="8199" width="12.5703125" style="5" customWidth="1"/>
    <col min="8200" max="8200" width="15.5703125" style="5" customWidth="1"/>
    <col min="8201" max="8201" width="16" style="5" customWidth="1"/>
    <col min="8202" max="8448" width="11.42578125" style="5"/>
    <col min="8449" max="8449" width="16.140625" style="5" customWidth="1"/>
    <col min="8450" max="8450" width="13.140625" style="5" customWidth="1"/>
    <col min="8451" max="8451" width="43" style="5" customWidth="1"/>
    <col min="8452" max="8452" width="15.5703125" style="5" customWidth="1"/>
    <col min="8453" max="8453" width="11.42578125" style="5"/>
    <col min="8454" max="8454" width="13.140625" style="5" customWidth="1"/>
    <col min="8455" max="8455" width="12.5703125" style="5" customWidth="1"/>
    <col min="8456" max="8456" width="15.5703125" style="5" customWidth="1"/>
    <col min="8457" max="8457" width="16" style="5" customWidth="1"/>
    <col min="8458" max="8704" width="11.42578125" style="5"/>
    <col min="8705" max="8705" width="16.140625" style="5" customWidth="1"/>
    <col min="8706" max="8706" width="13.140625" style="5" customWidth="1"/>
    <col min="8707" max="8707" width="43" style="5" customWidth="1"/>
    <col min="8708" max="8708" width="15.5703125" style="5" customWidth="1"/>
    <col min="8709" max="8709" width="11.42578125" style="5"/>
    <col min="8710" max="8710" width="13.140625" style="5" customWidth="1"/>
    <col min="8711" max="8711" width="12.5703125" style="5" customWidth="1"/>
    <col min="8712" max="8712" width="15.5703125" style="5" customWidth="1"/>
    <col min="8713" max="8713" width="16" style="5" customWidth="1"/>
    <col min="8714" max="8960" width="11.42578125" style="5"/>
    <col min="8961" max="8961" width="16.140625" style="5" customWidth="1"/>
    <col min="8962" max="8962" width="13.140625" style="5" customWidth="1"/>
    <col min="8963" max="8963" width="43" style="5" customWidth="1"/>
    <col min="8964" max="8964" width="15.5703125" style="5" customWidth="1"/>
    <col min="8965" max="8965" width="11.42578125" style="5"/>
    <col min="8966" max="8966" width="13.140625" style="5" customWidth="1"/>
    <col min="8967" max="8967" width="12.5703125" style="5" customWidth="1"/>
    <col min="8968" max="8968" width="15.5703125" style="5" customWidth="1"/>
    <col min="8969" max="8969" width="16" style="5" customWidth="1"/>
    <col min="8970" max="9216" width="11.42578125" style="5"/>
    <col min="9217" max="9217" width="16.140625" style="5" customWidth="1"/>
    <col min="9218" max="9218" width="13.140625" style="5" customWidth="1"/>
    <col min="9219" max="9219" width="43" style="5" customWidth="1"/>
    <col min="9220" max="9220" width="15.5703125" style="5" customWidth="1"/>
    <col min="9221" max="9221" width="11.42578125" style="5"/>
    <col min="9222" max="9222" width="13.140625" style="5" customWidth="1"/>
    <col min="9223" max="9223" width="12.5703125" style="5" customWidth="1"/>
    <col min="9224" max="9224" width="15.5703125" style="5" customWidth="1"/>
    <col min="9225" max="9225" width="16" style="5" customWidth="1"/>
    <col min="9226" max="9472" width="11.42578125" style="5"/>
    <col min="9473" max="9473" width="16.140625" style="5" customWidth="1"/>
    <col min="9474" max="9474" width="13.140625" style="5" customWidth="1"/>
    <col min="9475" max="9475" width="43" style="5" customWidth="1"/>
    <col min="9476" max="9476" width="15.5703125" style="5" customWidth="1"/>
    <col min="9477" max="9477" width="11.42578125" style="5"/>
    <col min="9478" max="9478" width="13.140625" style="5" customWidth="1"/>
    <col min="9479" max="9479" width="12.5703125" style="5" customWidth="1"/>
    <col min="9480" max="9480" width="15.5703125" style="5" customWidth="1"/>
    <col min="9481" max="9481" width="16" style="5" customWidth="1"/>
    <col min="9482" max="9728" width="11.42578125" style="5"/>
    <col min="9729" max="9729" width="16.140625" style="5" customWidth="1"/>
    <col min="9730" max="9730" width="13.140625" style="5" customWidth="1"/>
    <col min="9731" max="9731" width="43" style="5" customWidth="1"/>
    <col min="9732" max="9732" width="15.5703125" style="5" customWidth="1"/>
    <col min="9733" max="9733" width="11.42578125" style="5"/>
    <col min="9734" max="9734" width="13.140625" style="5" customWidth="1"/>
    <col min="9735" max="9735" width="12.5703125" style="5" customWidth="1"/>
    <col min="9736" max="9736" width="15.5703125" style="5" customWidth="1"/>
    <col min="9737" max="9737" width="16" style="5" customWidth="1"/>
    <col min="9738" max="9984" width="11.42578125" style="5"/>
    <col min="9985" max="9985" width="16.140625" style="5" customWidth="1"/>
    <col min="9986" max="9986" width="13.140625" style="5" customWidth="1"/>
    <col min="9987" max="9987" width="43" style="5" customWidth="1"/>
    <col min="9988" max="9988" width="15.5703125" style="5" customWidth="1"/>
    <col min="9989" max="9989" width="11.42578125" style="5"/>
    <col min="9990" max="9990" width="13.140625" style="5" customWidth="1"/>
    <col min="9991" max="9991" width="12.5703125" style="5" customWidth="1"/>
    <col min="9992" max="9992" width="15.5703125" style="5" customWidth="1"/>
    <col min="9993" max="9993" width="16" style="5" customWidth="1"/>
    <col min="9994" max="10240" width="11.42578125" style="5"/>
    <col min="10241" max="10241" width="16.140625" style="5" customWidth="1"/>
    <col min="10242" max="10242" width="13.140625" style="5" customWidth="1"/>
    <col min="10243" max="10243" width="43" style="5" customWidth="1"/>
    <col min="10244" max="10244" width="15.5703125" style="5" customWidth="1"/>
    <col min="10245" max="10245" width="11.42578125" style="5"/>
    <col min="10246" max="10246" width="13.140625" style="5" customWidth="1"/>
    <col min="10247" max="10247" width="12.5703125" style="5" customWidth="1"/>
    <col min="10248" max="10248" width="15.5703125" style="5" customWidth="1"/>
    <col min="10249" max="10249" width="16" style="5" customWidth="1"/>
    <col min="10250" max="10496" width="11.42578125" style="5"/>
    <col min="10497" max="10497" width="16.140625" style="5" customWidth="1"/>
    <col min="10498" max="10498" width="13.140625" style="5" customWidth="1"/>
    <col min="10499" max="10499" width="43" style="5" customWidth="1"/>
    <col min="10500" max="10500" width="15.5703125" style="5" customWidth="1"/>
    <col min="10501" max="10501" width="11.42578125" style="5"/>
    <col min="10502" max="10502" width="13.140625" style="5" customWidth="1"/>
    <col min="10503" max="10503" width="12.5703125" style="5" customWidth="1"/>
    <col min="10504" max="10504" width="15.5703125" style="5" customWidth="1"/>
    <col min="10505" max="10505" width="16" style="5" customWidth="1"/>
    <col min="10506" max="10752" width="11.42578125" style="5"/>
    <col min="10753" max="10753" width="16.140625" style="5" customWidth="1"/>
    <col min="10754" max="10754" width="13.140625" style="5" customWidth="1"/>
    <col min="10755" max="10755" width="43" style="5" customWidth="1"/>
    <col min="10756" max="10756" width="15.5703125" style="5" customWidth="1"/>
    <col min="10757" max="10757" width="11.42578125" style="5"/>
    <col min="10758" max="10758" width="13.140625" style="5" customWidth="1"/>
    <col min="10759" max="10759" width="12.5703125" style="5" customWidth="1"/>
    <col min="10760" max="10760" width="15.5703125" style="5" customWidth="1"/>
    <col min="10761" max="10761" width="16" style="5" customWidth="1"/>
    <col min="10762" max="11008" width="11.42578125" style="5"/>
    <col min="11009" max="11009" width="16.140625" style="5" customWidth="1"/>
    <col min="11010" max="11010" width="13.140625" style="5" customWidth="1"/>
    <col min="11011" max="11011" width="43" style="5" customWidth="1"/>
    <col min="11012" max="11012" width="15.5703125" style="5" customWidth="1"/>
    <col min="11013" max="11013" width="11.42578125" style="5"/>
    <col min="11014" max="11014" width="13.140625" style="5" customWidth="1"/>
    <col min="11015" max="11015" width="12.5703125" style="5" customWidth="1"/>
    <col min="11016" max="11016" width="15.5703125" style="5" customWidth="1"/>
    <col min="11017" max="11017" width="16" style="5" customWidth="1"/>
    <col min="11018" max="11264" width="11.42578125" style="5"/>
    <col min="11265" max="11265" width="16.140625" style="5" customWidth="1"/>
    <col min="11266" max="11266" width="13.140625" style="5" customWidth="1"/>
    <col min="11267" max="11267" width="43" style="5" customWidth="1"/>
    <col min="11268" max="11268" width="15.5703125" style="5" customWidth="1"/>
    <col min="11269" max="11269" width="11.42578125" style="5"/>
    <col min="11270" max="11270" width="13.140625" style="5" customWidth="1"/>
    <col min="11271" max="11271" width="12.5703125" style="5" customWidth="1"/>
    <col min="11272" max="11272" width="15.5703125" style="5" customWidth="1"/>
    <col min="11273" max="11273" width="16" style="5" customWidth="1"/>
    <col min="11274" max="11520" width="11.42578125" style="5"/>
    <col min="11521" max="11521" width="16.140625" style="5" customWidth="1"/>
    <col min="11522" max="11522" width="13.140625" style="5" customWidth="1"/>
    <col min="11523" max="11523" width="43" style="5" customWidth="1"/>
    <col min="11524" max="11524" width="15.5703125" style="5" customWidth="1"/>
    <col min="11525" max="11525" width="11.42578125" style="5"/>
    <col min="11526" max="11526" width="13.140625" style="5" customWidth="1"/>
    <col min="11527" max="11527" width="12.5703125" style="5" customWidth="1"/>
    <col min="11528" max="11528" width="15.5703125" style="5" customWidth="1"/>
    <col min="11529" max="11529" width="16" style="5" customWidth="1"/>
    <col min="11530" max="11776" width="11.42578125" style="5"/>
    <col min="11777" max="11777" width="16.140625" style="5" customWidth="1"/>
    <col min="11778" max="11778" width="13.140625" style="5" customWidth="1"/>
    <col min="11779" max="11779" width="43" style="5" customWidth="1"/>
    <col min="11780" max="11780" width="15.5703125" style="5" customWidth="1"/>
    <col min="11781" max="11781" width="11.42578125" style="5"/>
    <col min="11782" max="11782" width="13.140625" style="5" customWidth="1"/>
    <col min="11783" max="11783" width="12.5703125" style="5" customWidth="1"/>
    <col min="11784" max="11784" width="15.5703125" style="5" customWidth="1"/>
    <col min="11785" max="11785" width="16" style="5" customWidth="1"/>
    <col min="11786" max="12032" width="11.42578125" style="5"/>
    <col min="12033" max="12033" width="16.140625" style="5" customWidth="1"/>
    <col min="12034" max="12034" width="13.140625" style="5" customWidth="1"/>
    <col min="12035" max="12035" width="43" style="5" customWidth="1"/>
    <col min="12036" max="12036" width="15.5703125" style="5" customWidth="1"/>
    <col min="12037" max="12037" width="11.42578125" style="5"/>
    <col min="12038" max="12038" width="13.140625" style="5" customWidth="1"/>
    <col min="12039" max="12039" width="12.5703125" style="5" customWidth="1"/>
    <col min="12040" max="12040" width="15.5703125" style="5" customWidth="1"/>
    <col min="12041" max="12041" width="16" style="5" customWidth="1"/>
    <col min="12042" max="12288" width="11.42578125" style="5"/>
    <col min="12289" max="12289" width="16.140625" style="5" customWidth="1"/>
    <col min="12290" max="12290" width="13.140625" style="5" customWidth="1"/>
    <col min="12291" max="12291" width="43" style="5" customWidth="1"/>
    <col min="12292" max="12292" width="15.5703125" style="5" customWidth="1"/>
    <col min="12293" max="12293" width="11.42578125" style="5"/>
    <col min="12294" max="12294" width="13.140625" style="5" customWidth="1"/>
    <col min="12295" max="12295" width="12.5703125" style="5" customWidth="1"/>
    <col min="12296" max="12296" width="15.5703125" style="5" customWidth="1"/>
    <col min="12297" max="12297" width="16" style="5" customWidth="1"/>
    <col min="12298" max="12544" width="11.42578125" style="5"/>
    <col min="12545" max="12545" width="16.140625" style="5" customWidth="1"/>
    <col min="12546" max="12546" width="13.140625" style="5" customWidth="1"/>
    <col min="12547" max="12547" width="43" style="5" customWidth="1"/>
    <col min="12548" max="12548" width="15.5703125" style="5" customWidth="1"/>
    <col min="12549" max="12549" width="11.42578125" style="5"/>
    <col min="12550" max="12550" width="13.140625" style="5" customWidth="1"/>
    <col min="12551" max="12551" width="12.5703125" style="5" customWidth="1"/>
    <col min="12552" max="12552" width="15.5703125" style="5" customWidth="1"/>
    <col min="12553" max="12553" width="16" style="5" customWidth="1"/>
    <col min="12554" max="12800" width="11.42578125" style="5"/>
    <col min="12801" max="12801" width="16.140625" style="5" customWidth="1"/>
    <col min="12802" max="12802" width="13.140625" style="5" customWidth="1"/>
    <col min="12803" max="12803" width="43" style="5" customWidth="1"/>
    <col min="12804" max="12804" width="15.5703125" style="5" customWidth="1"/>
    <col min="12805" max="12805" width="11.42578125" style="5"/>
    <col min="12806" max="12806" width="13.140625" style="5" customWidth="1"/>
    <col min="12807" max="12807" width="12.5703125" style="5" customWidth="1"/>
    <col min="12808" max="12808" width="15.5703125" style="5" customWidth="1"/>
    <col min="12809" max="12809" width="16" style="5" customWidth="1"/>
    <col min="12810" max="13056" width="11.42578125" style="5"/>
    <col min="13057" max="13057" width="16.140625" style="5" customWidth="1"/>
    <col min="13058" max="13058" width="13.140625" style="5" customWidth="1"/>
    <col min="13059" max="13059" width="43" style="5" customWidth="1"/>
    <col min="13060" max="13060" width="15.5703125" style="5" customWidth="1"/>
    <col min="13061" max="13061" width="11.42578125" style="5"/>
    <col min="13062" max="13062" width="13.140625" style="5" customWidth="1"/>
    <col min="13063" max="13063" width="12.5703125" style="5" customWidth="1"/>
    <col min="13064" max="13064" width="15.5703125" style="5" customWidth="1"/>
    <col min="13065" max="13065" width="16" style="5" customWidth="1"/>
    <col min="13066" max="13312" width="11.42578125" style="5"/>
    <col min="13313" max="13313" width="16.140625" style="5" customWidth="1"/>
    <col min="13314" max="13314" width="13.140625" style="5" customWidth="1"/>
    <col min="13315" max="13315" width="43" style="5" customWidth="1"/>
    <col min="13316" max="13316" width="15.5703125" style="5" customWidth="1"/>
    <col min="13317" max="13317" width="11.42578125" style="5"/>
    <col min="13318" max="13318" width="13.140625" style="5" customWidth="1"/>
    <col min="13319" max="13319" width="12.5703125" style="5" customWidth="1"/>
    <col min="13320" max="13320" width="15.5703125" style="5" customWidth="1"/>
    <col min="13321" max="13321" width="16" style="5" customWidth="1"/>
    <col min="13322" max="13568" width="11.42578125" style="5"/>
    <col min="13569" max="13569" width="16.140625" style="5" customWidth="1"/>
    <col min="13570" max="13570" width="13.140625" style="5" customWidth="1"/>
    <col min="13571" max="13571" width="43" style="5" customWidth="1"/>
    <col min="13572" max="13572" width="15.5703125" style="5" customWidth="1"/>
    <col min="13573" max="13573" width="11.42578125" style="5"/>
    <col min="13574" max="13574" width="13.140625" style="5" customWidth="1"/>
    <col min="13575" max="13575" width="12.5703125" style="5" customWidth="1"/>
    <col min="13576" max="13576" width="15.5703125" style="5" customWidth="1"/>
    <col min="13577" max="13577" width="16" style="5" customWidth="1"/>
    <col min="13578" max="13824" width="11.42578125" style="5"/>
    <col min="13825" max="13825" width="16.140625" style="5" customWidth="1"/>
    <col min="13826" max="13826" width="13.140625" style="5" customWidth="1"/>
    <col min="13827" max="13827" width="43" style="5" customWidth="1"/>
    <col min="13828" max="13828" width="15.5703125" style="5" customWidth="1"/>
    <col min="13829" max="13829" width="11.42578125" style="5"/>
    <col min="13830" max="13830" width="13.140625" style="5" customWidth="1"/>
    <col min="13831" max="13831" width="12.5703125" style="5" customWidth="1"/>
    <col min="13832" max="13832" width="15.5703125" style="5" customWidth="1"/>
    <col min="13833" max="13833" width="16" style="5" customWidth="1"/>
    <col min="13834" max="14080" width="11.42578125" style="5"/>
    <col min="14081" max="14081" width="16.140625" style="5" customWidth="1"/>
    <col min="14082" max="14082" width="13.140625" style="5" customWidth="1"/>
    <col min="14083" max="14083" width="43" style="5" customWidth="1"/>
    <col min="14084" max="14084" width="15.5703125" style="5" customWidth="1"/>
    <col min="14085" max="14085" width="11.42578125" style="5"/>
    <col min="14086" max="14086" width="13.140625" style="5" customWidth="1"/>
    <col min="14087" max="14087" width="12.5703125" style="5" customWidth="1"/>
    <col min="14088" max="14088" width="15.5703125" style="5" customWidth="1"/>
    <col min="14089" max="14089" width="16" style="5" customWidth="1"/>
    <col min="14090" max="14336" width="11.42578125" style="5"/>
    <col min="14337" max="14337" width="16.140625" style="5" customWidth="1"/>
    <col min="14338" max="14338" width="13.140625" style="5" customWidth="1"/>
    <col min="14339" max="14339" width="43" style="5" customWidth="1"/>
    <col min="14340" max="14340" width="15.5703125" style="5" customWidth="1"/>
    <col min="14341" max="14341" width="11.42578125" style="5"/>
    <col min="14342" max="14342" width="13.140625" style="5" customWidth="1"/>
    <col min="14343" max="14343" width="12.5703125" style="5" customWidth="1"/>
    <col min="14344" max="14344" width="15.5703125" style="5" customWidth="1"/>
    <col min="14345" max="14345" width="16" style="5" customWidth="1"/>
    <col min="14346" max="14592" width="11.42578125" style="5"/>
    <col min="14593" max="14593" width="16.140625" style="5" customWidth="1"/>
    <col min="14594" max="14594" width="13.140625" style="5" customWidth="1"/>
    <col min="14595" max="14595" width="43" style="5" customWidth="1"/>
    <col min="14596" max="14596" width="15.5703125" style="5" customWidth="1"/>
    <col min="14597" max="14597" width="11.42578125" style="5"/>
    <col min="14598" max="14598" width="13.140625" style="5" customWidth="1"/>
    <col min="14599" max="14599" width="12.5703125" style="5" customWidth="1"/>
    <col min="14600" max="14600" width="15.5703125" style="5" customWidth="1"/>
    <col min="14601" max="14601" width="16" style="5" customWidth="1"/>
    <col min="14602" max="14848" width="11.42578125" style="5"/>
    <col min="14849" max="14849" width="16.140625" style="5" customWidth="1"/>
    <col min="14850" max="14850" width="13.140625" style="5" customWidth="1"/>
    <col min="14851" max="14851" width="43" style="5" customWidth="1"/>
    <col min="14852" max="14852" width="15.5703125" style="5" customWidth="1"/>
    <col min="14853" max="14853" width="11.42578125" style="5"/>
    <col min="14854" max="14854" width="13.140625" style="5" customWidth="1"/>
    <col min="14855" max="14855" width="12.5703125" style="5" customWidth="1"/>
    <col min="14856" max="14856" width="15.5703125" style="5" customWidth="1"/>
    <col min="14857" max="14857" width="16" style="5" customWidth="1"/>
    <col min="14858" max="15104" width="11.42578125" style="5"/>
    <col min="15105" max="15105" width="16.140625" style="5" customWidth="1"/>
    <col min="15106" max="15106" width="13.140625" style="5" customWidth="1"/>
    <col min="15107" max="15107" width="43" style="5" customWidth="1"/>
    <col min="15108" max="15108" width="15.5703125" style="5" customWidth="1"/>
    <col min="15109" max="15109" width="11.42578125" style="5"/>
    <col min="15110" max="15110" width="13.140625" style="5" customWidth="1"/>
    <col min="15111" max="15111" width="12.5703125" style="5" customWidth="1"/>
    <col min="15112" max="15112" width="15.5703125" style="5" customWidth="1"/>
    <col min="15113" max="15113" width="16" style="5" customWidth="1"/>
    <col min="15114" max="15360" width="11.42578125" style="5"/>
    <col min="15361" max="15361" width="16.140625" style="5" customWidth="1"/>
    <col min="15362" max="15362" width="13.140625" style="5" customWidth="1"/>
    <col min="15363" max="15363" width="43" style="5" customWidth="1"/>
    <col min="15364" max="15364" width="15.5703125" style="5" customWidth="1"/>
    <col min="15365" max="15365" width="11.42578125" style="5"/>
    <col min="15366" max="15366" width="13.140625" style="5" customWidth="1"/>
    <col min="15367" max="15367" width="12.5703125" style="5" customWidth="1"/>
    <col min="15368" max="15368" width="15.5703125" style="5" customWidth="1"/>
    <col min="15369" max="15369" width="16" style="5" customWidth="1"/>
    <col min="15370" max="15616" width="11.42578125" style="5"/>
    <col min="15617" max="15617" width="16.140625" style="5" customWidth="1"/>
    <col min="15618" max="15618" width="13.140625" style="5" customWidth="1"/>
    <col min="15619" max="15619" width="43" style="5" customWidth="1"/>
    <col min="15620" max="15620" width="15.5703125" style="5" customWidth="1"/>
    <col min="15621" max="15621" width="11.42578125" style="5"/>
    <col min="15622" max="15622" width="13.140625" style="5" customWidth="1"/>
    <col min="15623" max="15623" width="12.5703125" style="5" customWidth="1"/>
    <col min="15624" max="15624" width="15.5703125" style="5" customWidth="1"/>
    <col min="15625" max="15625" width="16" style="5" customWidth="1"/>
    <col min="15626" max="15872" width="11.42578125" style="5"/>
    <col min="15873" max="15873" width="16.140625" style="5" customWidth="1"/>
    <col min="15874" max="15874" width="13.140625" style="5" customWidth="1"/>
    <col min="15875" max="15875" width="43" style="5" customWidth="1"/>
    <col min="15876" max="15876" width="15.5703125" style="5" customWidth="1"/>
    <col min="15877" max="15877" width="11.42578125" style="5"/>
    <col min="15878" max="15878" width="13.140625" style="5" customWidth="1"/>
    <col min="15879" max="15879" width="12.5703125" style="5" customWidth="1"/>
    <col min="15880" max="15880" width="15.5703125" style="5" customWidth="1"/>
    <col min="15881" max="15881" width="16" style="5" customWidth="1"/>
    <col min="15882" max="16128" width="11.42578125" style="5"/>
    <col min="16129" max="16129" width="16.140625" style="5" customWidth="1"/>
    <col min="16130" max="16130" width="13.140625" style="5" customWidth="1"/>
    <col min="16131" max="16131" width="43" style="5" customWidth="1"/>
    <col min="16132" max="16132" width="15.5703125" style="5" customWidth="1"/>
    <col min="16133" max="16133" width="11.42578125" style="5"/>
    <col min="16134" max="16134" width="13.140625" style="5" customWidth="1"/>
    <col min="16135" max="16135" width="12.5703125" style="5" customWidth="1"/>
    <col min="16136" max="16136" width="15.5703125" style="5" customWidth="1"/>
    <col min="16137" max="16137" width="16" style="5" customWidth="1"/>
    <col min="16138" max="16384" width="11.42578125" style="5"/>
  </cols>
  <sheetData>
    <row r="1" spans="1:9" ht="15.75">
      <c r="A1" s="620"/>
      <c r="B1" s="621"/>
      <c r="C1" s="626" t="s">
        <v>0</v>
      </c>
      <c r="D1" s="626"/>
      <c r="E1" s="626"/>
      <c r="F1" s="626"/>
      <c r="G1" s="626"/>
      <c r="H1" s="202" t="s">
        <v>1</v>
      </c>
      <c r="I1" s="203" t="s">
        <v>255</v>
      </c>
    </row>
    <row r="2" spans="1:9" ht="16.5" thickBot="1">
      <c r="A2" s="622"/>
      <c r="B2" s="623"/>
      <c r="C2" s="708" t="s">
        <v>3</v>
      </c>
      <c r="D2" s="708"/>
      <c r="E2" s="708"/>
      <c r="F2" s="708"/>
      <c r="G2" s="708"/>
      <c r="H2" s="204" t="s">
        <v>4</v>
      </c>
      <c r="I2" s="205" t="s">
        <v>256</v>
      </c>
    </row>
    <row r="3" spans="1:9" ht="18.75" thickBot="1">
      <c r="A3" s="622"/>
      <c r="B3" s="623"/>
      <c r="C3" s="789" t="s">
        <v>257</v>
      </c>
      <c r="D3" s="790"/>
      <c r="E3" s="790"/>
      <c r="F3" s="790"/>
      <c r="G3" s="791"/>
      <c r="H3" s="633" t="s">
        <v>7</v>
      </c>
      <c r="I3" s="611">
        <v>45268</v>
      </c>
    </row>
    <row r="4" spans="1:9">
      <c r="A4" s="622"/>
      <c r="B4" s="623"/>
      <c r="C4" s="206" t="s">
        <v>9</v>
      </c>
      <c r="D4" s="614" t="s">
        <v>258</v>
      </c>
      <c r="E4" s="615"/>
      <c r="F4" s="615"/>
      <c r="G4" s="616"/>
      <c r="H4" s="634"/>
      <c r="I4" s="612"/>
    </row>
    <row r="5" spans="1:9" ht="14.25" thickBot="1">
      <c r="A5" s="705"/>
      <c r="B5" s="706"/>
      <c r="C5" s="207" t="s">
        <v>11</v>
      </c>
      <c r="D5" s="617" t="s">
        <v>259</v>
      </c>
      <c r="E5" s="618"/>
      <c r="F5" s="618"/>
      <c r="G5" s="619"/>
      <c r="H5" s="635"/>
      <c r="I5" s="612"/>
    </row>
    <row r="6" spans="1:9" ht="25.5">
      <c r="A6" s="776" t="s">
        <v>16</v>
      </c>
      <c r="B6" s="776" t="s">
        <v>16</v>
      </c>
      <c r="C6" s="763" t="s">
        <v>18</v>
      </c>
      <c r="D6" s="763" t="s">
        <v>19</v>
      </c>
      <c r="E6" s="763" t="s">
        <v>20</v>
      </c>
      <c r="F6" s="763"/>
      <c r="G6" s="763" t="s">
        <v>21</v>
      </c>
      <c r="H6" s="763"/>
      <c r="I6" s="284" t="s">
        <v>22</v>
      </c>
    </row>
    <row r="7" spans="1:9" ht="27" thickBot="1">
      <c r="A7" s="777"/>
      <c r="B7" s="777"/>
      <c r="C7" s="764"/>
      <c r="D7" s="764"/>
      <c r="E7" s="285" t="s">
        <v>23</v>
      </c>
      <c r="F7" s="286" t="s">
        <v>24</v>
      </c>
      <c r="G7" s="285" t="s">
        <v>23</v>
      </c>
      <c r="H7" s="286" t="s">
        <v>24</v>
      </c>
      <c r="I7" s="313" t="s">
        <v>25</v>
      </c>
    </row>
    <row r="8" spans="1:9">
      <c r="A8" s="357"/>
      <c r="B8" s="315"/>
      <c r="C8" s="316"/>
      <c r="D8" s="317"/>
      <c r="E8" s="11"/>
      <c r="F8" s="28"/>
      <c r="G8" s="29"/>
      <c r="H8" s="11"/>
      <c r="I8" s="318"/>
    </row>
    <row r="9" spans="1:9" ht="18.75">
      <c r="A9" s="358" t="s">
        <v>260</v>
      </c>
      <c r="B9" t="s">
        <v>220</v>
      </c>
      <c r="C9" s="359" t="s">
        <v>261</v>
      </c>
      <c r="D9" s="360" t="s">
        <v>262</v>
      </c>
      <c r="E9" s="361">
        <v>8000</v>
      </c>
      <c r="F9" s="321" t="s">
        <v>29</v>
      </c>
      <c r="G9" s="751" t="s">
        <v>263</v>
      </c>
      <c r="H9" s="752"/>
      <c r="I9" s="293"/>
    </row>
    <row r="10" spans="1:9" ht="15.75">
      <c r="A10" s="358" t="s">
        <v>264</v>
      </c>
      <c r="B10" t="s">
        <v>224</v>
      </c>
      <c r="C10" s="359" t="s">
        <v>265</v>
      </c>
      <c r="D10" s="360" t="s">
        <v>262</v>
      </c>
      <c r="E10" s="320">
        <v>12000</v>
      </c>
      <c r="F10" s="321" t="s">
        <v>29</v>
      </c>
      <c r="G10" s="751" t="s">
        <v>266</v>
      </c>
      <c r="H10" s="752"/>
      <c r="I10" s="293"/>
    </row>
    <row r="11" spans="1:9" ht="15.75">
      <c r="A11" s="358">
        <v>99999</v>
      </c>
      <c r="B11" s="362"/>
      <c r="C11" s="359" t="s">
        <v>267</v>
      </c>
      <c r="D11" s="360" t="s">
        <v>227</v>
      </c>
      <c r="E11" s="320">
        <v>100</v>
      </c>
      <c r="F11" s="321" t="s">
        <v>29</v>
      </c>
      <c r="G11" s="320"/>
      <c r="H11" s="242"/>
      <c r="I11" s="293"/>
    </row>
    <row r="12" spans="1:9" ht="15.75">
      <c r="A12" s="358" t="s">
        <v>41</v>
      </c>
      <c r="B12" t="s">
        <v>42</v>
      </c>
      <c r="C12" s="359" t="s">
        <v>268</v>
      </c>
      <c r="D12" s="360" t="s">
        <v>228</v>
      </c>
      <c r="E12" s="320">
        <v>15</v>
      </c>
      <c r="F12" s="321" t="s">
        <v>29</v>
      </c>
      <c r="G12" s="320"/>
      <c r="H12" s="242"/>
      <c r="I12" s="293"/>
    </row>
    <row r="13" spans="1:9" ht="15.75">
      <c r="A13" s="358" t="s">
        <v>269</v>
      </c>
      <c r="B13" t="s">
        <v>270</v>
      </c>
      <c r="C13" s="359" t="s">
        <v>271</v>
      </c>
      <c r="D13" s="360" t="s">
        <v>272</v>
      </c>
      <c r="E13" s="320">
        <v>35</v>
      </c>
      <c r="F13" s="321" t="s">
        <v>29</v>
      </c>
      <c r="G13" s="320"/>
      <c r="H13" s="242"/>
      <c r="I13" s="293"/>
    </row>
    <row r="14" spans="1:9" ht="15.75">
      <c r="A14" s="358"/>
      <c r="B14" s="362"/>
      <c r="C14" s="359"/>
      <c r="D14" s="360"/>
      <c r="E14" s="320"/>
      <c r="F14" s="321"/>
      <c r="G14" s="320"/>
      <c r="H14" s="242"/>
      <c r="I14" s="293"/>
    </row>
    <row r="15" spans="1:9" ht="15.75">
      <c r="A15" s="358" t="s">
        <v>273</v>
      </c>
      <c r="B15" t="s">
        <v>201</v>
      </c>
      <c r="C15" s="359" t="s">
        <v>274</v>
      </c>
      <c r="D15" s="360" t="s">
        <v>203</v>
      </c>
      <c r="E15" s="320">
        <v>1</v>
      </c>
      <c r="F15" s="242" t="s">
        <v>51</v>
      </c>
      <c r="G15" s="320"/>
      <c r="H15" s="242"/>
      <c r="I15" s="293"/>
    </row>
    <row r="16" spans="1:9" ht="15.75">
      <c r="A16" s="358"/>
      <c r="B16" s="362"/>
      <c r="C16" s="359"/>
      <c r="D16" s="319"/>
      <c r="E16" s="320"/>
      <c r="F16" s="322"/>
      <c r="G16" s="291"/>
      <c r="H16" s="292"/>
      <c r="I16" s="293"/>
    </row>
    <row r="17" spans="1:13" ht="15">
      <c r="A17" s="363"/>
      <c r="B17" s="364"/>
      <c r="C17" s="365"/>
      <c r="D17" s="295"/>
      <c r="E17" s="28"/>
      <c r="F17" s="28"/>
      <c r="G17" s="28"/>
      <c r="H17" s="28"/>
      <c r="I17" s="25"/>
    </row>
    <row r="18" spans="1:13" ht="14.25" thickBot="1">
      <c r="A18" s="296"/>
      <c r="B18" s="297"/>
      <c r="E18" s="298"/>
      <c r="F18" s="299"/>
      <c r="I18" s="300"/>
      <c r="L18" s="8"/>
    </row>
    <row r="19" spans="1:13" ht="14.25" thickBot="1">
      <c r="A19" s="301"/>
      <c r="B19" s="302"/>
      <c r="C19" s="303"/>
      <c r="D19" s="304" t="s">
        <v>23</v>
      </c>
      <c r="E19" s="305" t="s">
        <v>61</v>
      </c>
      <c r="F19" s="306"/>
      <c r="G19" s="303"/>
      <c r="H19" s="303"/>
      <c r="I19" s="307"/>
      <c r="L19" s="8"/>
    </row>
    <row r="20" spans="1:13">
      <c r="A20" s="753" t="s">
        <v>62</v>
      </c>
      <c r="B20" s="754"/>
      <c r="C20" s="755"/>
      <c r="D20" s="291">
        <f>SUM(E9:E13)-D24</f>
        <v>19925</v>
      </c>
      <c r="E20" s="308" t="s">
        <v>29</v>
      </c>
      <c r="F20" s="756" t="s">
        <v>112</v>
      </c>
      <c r="G20" s="756"/>
      <c r="H20" s="757"/>
      <c r="I20" s="758"/>
      <c r="L20" s="8"/>
    </row>
    <row r="21" spans="1:13">
      <c r="A21" s="680" t="s">
        <v>63</v>
      </c>
      <c r="B21" s="681"/>
      <c r="C21" s="682"/>
      <c r="D21" s="355">
        <v>8</v>
      </c>
      <c r="E21" s="11" t="s">
        <v>64</v>
      </c>
      <c r="F21" s="683" t="s">
        <v>113</v>
      </c>
      <c r="G21" s="683"/>
      <c r="H21" s="684"/>
      <c r="I21" s="685"/>
      <c r="L21" s="8"/>
    </row>
    <row r="22" spans="1:13">
      <c r="A22" s="680" t="s">
        <v>65</v>
      </c>
      <c r="B22" s="681"/>
      <c r="C22" s="682"/>
      <c r="D22" s="11">
        <v>1</v>
      </c>
      <c r="E22" s="11" t="s">
        <v>66</v>
      </c>
      <c r="F22" s="683" t="s">
        <v>114</v>
      </c>
      <c r="G22" s="683"/>
      <c r="H22" s="684"/>
      <c r="I22" s="685"/>
      <c r="L22" s="8"/>
    </row>
    <row r="23" spans="1:13">
      <c r="A23" s="680" t="s">
        <v>67</v>
      </c>
      <c r="B23" s="681"/>
      <c r="C23" s="682"/>
      <c r="D23" s="29">
        <f>D20</f>
        <v>19925</v>
      </c>
      <c r="E23" s="11" t="s">
        <v>29</v>
      </c>
      <c r="F23" s="771" t="s">
        <v>115</v>
      </c>
      <c r="G23" s="772"/>
      <c r="H23" s="684"/>
      <c r="I23" s="685"/>
      <c r="L23" s="8"/>
      <c r="M23" s="4"/>
    </row>
    <row r="24" spans="1:13" ht="14.25" thickBot="1">
      <c r="A24" s="690" t="s">
        <v>68</v>
      </c>
      <c r="B24" s="691"/>
      <c r="C24" s="692"/>
      <c r="D24" s="356">
        <v>225</v>
      </c>
      <c r="E24" s="310" t="s">
        <v>29</v>
      </c>
      <c r="F24" s="693"/>
      <c r="G24" s="693"/>
      <c r="H24" s="747"/>
      <c r="I24" s="748"/>
      <c r="L24" s="8"/>
    </row>
    <row r="25" spans="1:13" ht="14.25" thickBot="1">
      <c r="A25" s="768" t="s">
        <v>69</v>
      </c>
      <c r="B25" s="769"/>
      <c r="C25" s="769"/>
      <c r="D25" s="769"/>
      <c r="E25" s="769"/>
      <c r="F25" s="769"/>
      <c r="G25" s="769"/>
      <c r="H25" s="769"/>
      <c r="I25" s="770"/>
    </row>
    <row r="26" spans="1:13" ht="15.75">
      <c r="A26" s="792" t="s">
        <v>275</v>
      </c>
      <c r="B26" s="793"/>
      <c r="C26" s="793"/>
      <c r="D26" s="793"/>
      <c r="E26" s="793"/>
      <c r="F26" s="793"/>
      <c r="G26" s="793"/>
      <c r="H26" s="793"/>
      <c r="I26" s="794"/>
    </row>
    <row r="27" spans="1:13" ht="15.75">
      <c r="A27" s="792" t="s">
        <v>276</v>
      </c>
      <c r="B27" s="793"/>
      <c r="C27" s="793"/>
      <c r="D27" s="793"/>
      <c r="E27" s="793"/>
      <c r="F27" s="793"/>
      <c r="G27" s="793"/>
      <c r="H27" s="793"/>
      <c r="I27" s="794"/>
    </row>
    <row r="28" spans="1:13" ht="15.75">
      <c r="A28" s="792"/>
      <c r="B28" s="793"/>
      <c r="C28" s="793"/>
      <c r="D28" s="793"/>
      <c r="E28" s="793"/>
      <c r="F28" s="793"/>
      <c r="G28" s="793"/>
      <c r="H28" s="793"/>
      <c r="I28" s="794"/>
    </row>
    <row r="29" spans="1:13" ht="14.25" thickBot="1">
      <c r="A29" s="795" t="s">
        <v>92</v>
      </c>
      <c r="B29" s="796"/>
      <c r="C29" s="797"/>
      <c r="D29" s="797"/>
      <c r="E29" s="797"/>
      <c r="F29" s="797"/>
      <c r="G29" s="797"/>
      <c r="H29" s="797"/>
      <c r="I29" s="798"/>
    </row>
    <row r="30" spans="1:13" ht="14.25" thickBot="1">
      <c r="A30" s="726" t="s">
        <v>277</v>
      </c>
      <c r="B30" s="727"/>
      <c r="C30" s="728"/>
      <c r="D30" s="728"/>
      <c r="E30" s="728"/>
      <c r="F30" s="728"/>
      <c r="G30" s="728"/>
      <c r="H30" s="728"/>
      <c r="I30" s="729"/>
    </row>
    <row r="31" spans="1:13" ht="14.25" thickBot="1">
      <c r="A31" s="726" t="s">
        <v>278</v>
      </c>
      <c r="B31" s="727"/>
      <c r="C31" s="728"/>
      <c r="D31" s="728"/>
      <c r="E31" s="728"/>
      <c r="F31" s="728"/>
      <c r="G31" s="728"/>
      <c r="H31" s="728"/>
      <c r="I31" s="729"/>
    </row>
  </sheetData>
  <mergeCells count="38">
    <mergeCell ref="A28:I28"/>
    <mergeCell ref="A29:I29"/>
    <mergeCell ref="A30:I30"/>
    <mergeCell ref="A31:I31"/>
    <mergeCell ref="A24:C24"/>
    <mergeCell ref="F24:G24"/>
    <mergeCell ref="H24:I24"/>
    <mergeCell ref="A25:I25"/>
    <mergeCell ref="A26:I26"/>
    <mergeCell ref="A27:I27"/>
    <mergeCell ref="A22:C22"/>
    <mergeCell ref="F22:G22"/>
    <mergeCell ref="H22:I22"/>
    <mergeCell ref="A23:C23"/>
    <mergeCell ref="F23:G23"/>
    <mergeCell ref="H23:I23"/>
    <mergeCell ref="A21:C21"/>
    <mergeCell ref="F21:G21"/>
    <mergeCell ref="H21:I21"/>
    <mergeCell ref="A6:A7"/>
    <mergeCell ref="B6:B7"/>
    <mergeCell ref="C6:C7"/>
    <mergeCell ref="D6:D7"/>
    <mergeCell ref="E6:F6"/>
    <mergeCell ref="G6:H6"/>
    <mergeCell ref="G9:H9"/>
    <mergeCell ref="G10:H10"/>
    <mergeCell ref="A20:C20"/>
    <mergeCell ref="F20:G20"/>
    <mergeCell ref="H20:I20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675A-E6A7-4D6A-9287-4B8C8D14FC2E}">
  <dimension ref="A1:M45"/>
  <sheetViews>
    <sheetView workbookViewId="0">
      <selection sqref="A1:XFD1048576"/>
    </sheetView>
  </sheetViews>
  <sheetFormatPr defaultColWidth="11.42578125" defaultRowHeight="12.75"/>
  <cols>
    <col min="1" max="1" width="16.140625" style="225" customWidth="1"/>
    <col min="2" max="2" width="12.42578125" style="225" customWidth="1"/>
    <col min="3" max="3" width="40.5703125" style="225" customWidth="1"/>
    <col min="4" max="4" width="30.28515625" style="225" customWidth="1"/>
    <col min="5" max="5" width="11.42578125" style="225"/>
    <col min="6" max="6" width="13.140625" style="225" customWidth="1"/>
    <col min="7" max="7" width="12.5703125" style="225" customWidth="1"/>
    <col min="8" max="8" width="15.5703125" style="225" customWidth="1"/>
    <col min="9" max="9" width="18" style="225" customWidth="1"/>
    <col min="10" max="16384" width="11.42578125" style="225"/>
  </cols>
  <sheetData>
    <row r="1" spans="1:9" ht="18">
      <c r="A1" s="503"/>
      <c r="B1" s="504"/>
      <c r="C1" s="509" t="s">
        <v>0</v>
      </c>
      <c r="D1" s="509"/>
      <c r="E1" s="509"/>
      <c r="F1" s="509"/>
      <c r="G1" s="509"/>
      <c r="H1" s="223" t="s">
        <v>1</v>
      </c>
      <c r="I1" s="224" t="s">
        <v>279</v>
      </c>
    </row>
    <row r="2" spans="1:9" ht="18">
      <c r="A2" s="505"/>
      <c r="B2" s="506"/>
      <c r="C2" s="510" t="s">
        <v>3</v>
      </c>
      <c r="D2" s="510"/>
      <c r="E2" s="510"/>
      <c r="F2" s="510"/>
      <c r="G2" s="510"/>
      <c r="H2" s="226" t="s">
        <v>4</v>
      </c>
      <c r="I2" s="227" t="s">
        <v>5</v>
      </c>
    </row>
    <row r="3" spans="1:9" ht="50.1" customHeight="1">
      <c r="A3" s="505"/>
      <c r="B3" s="506"/>
      <c r="C3" s="511" t="s">
        <v>280</v>
      </c>
      <c r="D3" s="512"/>
      <c r="E3" s="512"/>
      <c r="F3" s="512"/>
      <c r="G3" s="513"/>
      <c r="H3" s="514" t="s">
        <v>7</v>
      </c>
      <c r="I3" s="556">
        <v>45187</v>
      </c>
    </row>
    <row r="4" spans="1:9" ht="15">
      <c r="A4" s="505"/>
      <c r="B4" s="506"/>
      <c r="C4" s="228" t="s">
        <v>9</v>
      </c>
      <c r="D4" s="799" t="s">
        <v>281</v>
      </c>
      <c r="E4" s="501"/>
      <c r="F4" s="501"/>
      <c r="G4" s="501"/>
      <c r="H4" s="514"/>
      <c r="I4" s="499"/>
    </row>
    <row r="5" spans="1:9" ht="15" customHeight="1" thickBot="1">
      <c r="A5" s="507"/>
      <c r="B5" s="508"/>
      <c r="C5" s="229" t="s">
        <v>11</v>
      </c>
      <c r="D5" s="502" t="s">
        <v>96</v>
      </c>
      <c r="E5" s="502"/>
      <c r="F5" s="502"/>
      <c r="G5" s="502"/>
      <c r="H5" s="515"/>
      <c r="I5" s="500"/>
    </row>
    <row r="6" spans="1:9" ht="15" customHeight="1">
      <c r="A6" s="230"/>
      <c r="B6" s="230"/>
      <c r="C6" s="231"/>
      <c r="D6" s="232"/>
      <c r="E6" s="232"/>
      <c r="F6" s="232"/>
      <c r="G6" s="232"/>
      <c r="H6" s="233"/>
      <c r="I6" s="234"/>
    </row>
    <row r="7" spans="1:9" ht="21" customHeight="1" thickBot="1">
      <c r="A7" s="516" t="s">
        <v>13</v>
      </c>
      <c r="B7" s="516"/>
      <c r="C7" s="516"/>
      <c r="D7" s="517" t="s">
        <v>282</v>
      </c>
      <c r="E7" s="517"/>
      <c r="F7" s="517"/>
      <c r="G7" s="847" t="s">
        <v>15</v>
      </c>
      <c r="H7" s="847"/>
      <c r="I7" s="235" t="s">
        <v>282</v>
      </c>
    </row>
    <row r="8" spans="1:9">
      <c r="A8" s="518" t="s">
        <v>16</v>
      </c>
      <c r="B8" s="520" t="s">
        <v>17</v>
      </c>
      <c r="C8" s="522" t="s">
        <v>18</v>
      </c>
      <c r="D8" s="522" t="s">
        <v>19</v>
      </c>
      <c r="E8" s="522" t="s">
        <v>20</v>
      </c>
      <c r="F8" s="522"/>
      <c r="G8" s="522" t="s">
        <v>21</v>
      </c>
      <c r="H8" s="522"/>
      <c r="I8" s="236" t="s">
        <v>22</v>
      </c>
    </row>
    <row r="9" spans="1:9" ht="26.25" thickBot="1">
      <c r="A9" s="519"/>
      <c r="B9" s="521"/>
      <c r="C9" s="523"/>
      <c r="D9" s="800"/>
      <c r="E9" s="239" t="s">
        <v>23</v>
      </c>
      <c r="F9" s="238" t="s">
        <v>24</v>
      </c>
      <c r="G9" s="239" t="s">
        <v>23</v>
      </c>
      <c r="H9" s="238" t="s">
        <v>24</v>
      </c>
      <c r="I9" s="240" t="s">
        <v>25</v>
      </c>
    </row>
    <row r="10" spans="1:9" ht="15">
      <c r="A10" s="210">
        <v>510301</v>
      </c>
      <c r="B10" s="210" t="s">
        <v>31</v>
      </c>
      <c r="C10" s="211" t="s">
        <v>32</v>
      </c>
      <c r="D10" s="415" t="s">
        <v>283</v>
      </c>
      <c r="E10" s="415">
        <v>5820</v>
      </c>
      <c r="F10" s="415" t="s">
        <v>29</v>
      </c>
      <c r="G10" s="442">
        <f>E10/13.547</f>
        <v>429.61541300656972</v>
      </c>
      <c r="H10" s="417"/>
      <c r="I10" s="245"/>
    </row>
    <row r="11" spans="1:9" ht="15">
      <c r="A11" s="241">
        <v>11200072</v>
      </c>
      <c r="B11" s="241" t="s">
        <v>35</v>
      </c>
      <c r="C11" s="419" t="s">
        <v>284</v>
      </c>
      <c r="D11" s="416" t="s">
        <v>285</v>
      </c>
      <c r="E11" s="416">
        <v>3622</v>
      </c>
      <c r="F11" s="416" t="s">
        <v>29</v>
      </c>
      <c r="G11" s="442">
        <f t="shared" ref="G11:G22" si="0">E11/13.547</f>
        <v>267.36546836938066</v>
      </c>
      <c r="H11" s="417"/>
      <c r="I11" s="245"/>
    </row>
    <row r="12" spans="1:9" ht="15">
      <c r="A12" s="246">
        <v>11200087</v>
      </c>
      <c r="B12" s="247" t="s">
        <v>286</v>
      </c>
      <c r="C12" s="211" t="s">
        <v>287</v>
      </c>
      <c r="D12" s="416" t="s">
        <v>288</v>
      </c>
      <c r="E12" s="416">
        <v>3492</v>
      </c>
      <c r="F12" s="416" t="s">
        <v>29</v>
      </c>
      <c r="G12" s="442">
        <f t="shared" si="0"/>
        <v>257.76924780394182</v>
      </c>
      <c r="H12" s="417"/>
      <c r="I12" s="245"/>
    </row>
    <row r="13" spans="1:9" ht="15">
      <c r="A13" s="246">
        <v>1160001</v>
      </c>
      <c r="B13" s="247" t="s">
        <v>289</v>
      </c>
      <c r="C13" s="419" t="s">
        <v>290</v>
      </c>
      <c r="D13" s="416" t="s">
        <v>291</v>
      </c>
      <c r="E13" s="416">
        <v>60</v>
      </c>
      <c r="F13" s="416" t="s">
        <v>29</v>
      </c>
      <c r="G13" s="442">
        <f t="shared" si="0"/>
        <v>4.4290248763563884</v>
      </c>
      <c r="H13" s="417"/>
      <c r="I13" s="245"/>
    </row>
    <row r="14" spans="1:9" ht="15">
      <c r="A14" s="210">
        <v>1212410</v>
      </c>
      <c r="B14" s="210" t="s">
        <v>42</v>
      </c>
      <c r="C14" s="419" t="s">
        <v>43</v>
      </c>
      <c r="D14" s="418" t="s">
        <v>292</v>
      </c>
      <c r="E14" s="416">
        <v>38</v>
      </c>
      <c r="F14" s="416" t="s">
        <v>29</v>
      </c>
      <c r="G14" s="442">
        <f t="shared" si="0"/>
        <v>2.8050490883590462</v>
      </c>
      <c r="H14" s="417"/>
      <c r="I14" s="245"/>
    </row>
    <row r="15" spans="1:9" ht="15">
      <c r="A15" s="210">
        <v>10100337</v>
      </c>
      <c r="B15" s="210" t="s">
        <v>293</v>
      </c>
      <c r="C15" s="211" t="s">
        <v>294</v>
      </c>
      <c r="D15" s="418" t="s">
        <v>295</v>
      </c>
      <c r="E15" s="416">
        <v>30</v>
      </c>
      <c r="F15" s="416" t="s">
        <v>29</v>
      </c>
      <c r="G15" s="442">
        <f t="shared" si="0"/>
        <v>2.2145124381781942</v>
      </c>
      <c r="H15" s="417"/>
      <c r="I15" s="245"/>
    </row>
    <row r="16" spans="1:9" ht="15">
      <c r="A16" s="367">
        <v>310145</v>
      </c>
      <c r="B16" s="368" t="s">
        <v>296</v>
      </c>
      <c r="C16" s="369" t="s">
        <v>297</v>
      </c>
      <c r="D16" s="443" t="s">
        <v>298</v>
      </c>
      <c r="E16" s="443">
        <v>518</v>
      </c>
      <c r="F16" s="443" t="s">
        <v>29</v>
      </c>
      <c r="G16" s="442">
        <f t="shared" si="0"/>
        <v>38.237248099210156</v>
      </c>
      <c r="H16" s="417"/>
      <c r="I16" s="245"/>
    </row>
    <row r="17" spans="1:13" ht="15">
      <c r="A17" s="210">
        <v>503000036</v>
      </c>
      <c r="B17" s="210" t="s">
        <v>299</v>
      </c>
      <c r="C17" s="211" t="s">
        <v>300</v>
      </c>
      <c r="D17" s="279"/>
      <c r="E17" s="418">
        <v>65</v>
      </c>
      <c r="F17" s="444" t="s">
        <v>29</v>
      </c>
      <c r="G17" s="442">
        <f t="shared" si="0"/>
        <v>4.7981102827194206</v>
      </c>
      <c r="H17" s="417"/>
      <c r="I17" s="245"/>
    </row>
    <row r="18" spans="1:13" ht="15.75">
      <c r="A18" s="247"/>
      <c r="B18" s="247"/>
      <c r="C18" s="420"/>
      <c r="D18" s="416"/>
      <c r="E18" s="416"/>
      <c r="F18" s="416"/>
      <c r="G18" s="442">
        <f t="shared" si="0"/>
        <v>0</v>
      </c>
      <c r="H18" s="417"/>
      <c r="I18" s="245"/>
    </row>
    <row r="19" spans="1:13" ht="15">
      <c r="A19" s="210">
        <v>1950708</v>
      </c>
      <c r="B19" s="210" t="s">
        <v>49</v>
      </c>
      <c r="C19" s="211" t="s">
        <v>50</v>
      </c>
      <c r="D19" s="416"/>
      <c r="E19" s="416">
        <v>2</v>
      </c>
      <c r="F19" s="416" t="s">
        <v>51</v>
      </c>
      <c r="G19" s="442">
        <f t="shared" si="0"/>
        <v>0.14763416254521294</v>
      </c>
      <c r="H19" s="417"/>
      <c r="I19" s="245"/>
    </row>
    <row r="20" spans="1:13" ht="15">
      <c r="A20" s="210">
        <v>60100010</v>
      </c>
      <c r="B20" s="210" t="s">
        <v>59</v>
      </c>
      <c r="C20" s="211" t="s">
        <v>60</v>
      </c>
      <c r="D20" s="416"/>
      <c r="E20" s="416">
        <v>2</v>
      </c>
      <c r="F20" s="416" t="s">
        <v>51</v>
      </c>
      <c r="G20" s="442">
        <f t="shared" si="0"/>
        <v>0.14763416254521294</v>
      </c>
      <c r="H20" s="417"/>
      <c r="I20" s="245"/>
    </row>
    <row r="21" spans="1:13" ht="13.5" customHeight="1">
      <c r="A21" s="210">
        <v>702123</v>
      </c>
      <c r="B21" s="210" t="s">
        <v>55</v>
      </c>
      <c r="C21" s="211" t="s">
        <v>56</v>
      </c>
      <c r="D21" s="428"/>
      <c r="E21" s="422">
        <v>2</v>
      </c>
      <c r="F21" s="423" t="s">
        <v>51</v>
      </c>
      <c r="G21" s="442">
        <f t="shared" si="0"/>
        <v>0.14763416254521294</v>
      </c>
      <c r="H21" s="201"/>
      <c r="I21" s="424"/>
    </row>
    <row r="22" spans="1:13" ht="15">
      <c r="A22" s="367">
        <v>1950705</v>
      </c>
      <c r="B22" s="368" t="s">
        <v>57</v>
      </c>
      <c r="C22" s="369" t="s">
        <v>58</v>
      </c>
      <c r="D22" s="428"/>
      <c r="E22" s="422">
        <v>1</v>
      </c>
      <c r="F22" s="423" t="s">
        <v>51</v>
      </c>
      <c r="G22" s="442">
        <f t="shared" si="0"/>
        <v>7.3817081272606472E-2</v>
      </c>
      <c r="H22" s="201"/>
      <c r="I22" s="424"/>
    </row>
    <row r="23" spans="1:13" ht="14.25">
      <c r="A23" s="425"/>
      <c r="B23" s="426"/>
      <c r="C23" s="429"/>
      <c r="D23" s="428"/>
      <c r="E23" s="422"/>
      <c r="F23" s="423"/>
      <c r="G23" s="267"/>
      <c r="H23" s="201"/>
      <c r="I23" s="424"/>
    </row>
    <row r="24" spans="1:13" ht="15">
      <c r="A24" s="430"/>
      <c r="B24" s="431"/>
      <c r="C24" s="432"/>
      <c r="D24" s="433"/>
      <c r="E24" s="418"/>
      <c r="F24" s="418"/>
      <c r="G24" s="267"/>
      <c r="H24" s="201"/>
      <c r="I24" s="434"/>
    </row>
    <row r="25" spans="1:13" ht="14.25">
      <c r="A25" s="435"/>
      <c r="B25" s="436"/>
      <c r="C25" s="437"/>
      <c r="D25" s="438"/>
      <c r="E25" s="439"/>
      <c r="F25" s="439"/>
      <c r="G25" s="264">
        <v>24000</v>
      </c>
      <c r="H25" s="445">
        <f>+E12/G25</f>
        <v>0.14549999999999999</v>
      </c>
      <c r="I25" s="434"/>
    </row>
    <row r="26" spans="1:13" ht="13.5" thickBot="1">
      <c r="A26" s="251"/>
      <c r="B26" s="252"/>
      <c r="E26" s="253"/>
      <c r="F26" s="254"/>
      <c r="I26" s="255"/>
      <c r="L26" s="256"/>
    </row>
    <row r="27" spans="1:13" ht="13.5" thickBot="1">
      <c r="A27" s="257"/>
      <c r="B27" s="258"/>
      <c r="C27" s="259"/>
      <c r="D27" s="260" t="s">
        <v>23</v>
      </c>
      <c r="E27" s="261" t="s">
        <v>61</v>
      </c>
      <c r="F27" s="262"/>
      <c r="G27" s="259"/>
      <c r="H27" s="259"/>
      <c r="I27" s="263"/>
      <c r="L27" s="256"/>
    </row>
    <row r="28" spans="1:13">
      <c r="A28" s="524" t="s">
        <v>62</v>
      </c>
      <c r="B28" s="525"/>
      <c r="C28" s="526"/>
      <c r="D28" s="264">
        <f>SUM(E10:E16)</f>
        <v>13580</v>
      </c>
      <c r="E28" s="265" t="s">
        <v>29</v>
      </c>
      <c r="F28" s="527"/>
      <c r="G28" s="527"/>
      <c r="H28" s="528"/>
      <c r="I28" s="529"/>
      <c r="L28" s="256"/>
    </row>
    <row r="29" spans="1:13">
      <c r="A29" s="530" t="s">
        <v>63</v>
      </c>
      <c r="B29" s="531"/>
      <c r="C29" s="532"/>
      <c r="D29" s="266">
        <v>3</v>
      </c>
      <c r="E29" s="201" t="s">
        <v>64</v>
      </c>
      <c r="F29" s="533"/>
      <c r="G29" s="533"/>
      <c r="H29" s="534"/>
      <c r="I29" s="535"/>
      <c r="L29" s="256"/>
    </row>
    <row r="30" spans="1:13">
      <c r="A30" s="530" t="s">
        <v>65</v>
      </c>
      <c r="B30" s="531"/>
      <c r="C30" s="532"/>
      <c r="D30" s="201">
        <v>1</v>
      </c>
      <c r="E30" s="201" t="s">
        <v>51</v>
      </c>
      <c r="F30" s="533"/>
      <c r="G30" s="533"/>
      <c r="H30" s="534"/>
      <c r="I30" s="535"/>
      <c r="L30" s="256"/>
    </row>
    <row r="31" spans="1:13">
      <c r="A31" s="530" t="s">
        <v>67</v>
      </c>
      <c r="B31" s="531"/>
      <c r="C31" s="532"/>
      <c r="D31" s="267">
        <f>+D28</f>
        <v>13580</v>
      </c>
      <c r="E31" s="201" t="s">
        <v>29</v>
      </c>
      <c r="F31" s="539"/>
      <c r="G31" s="540"/>
      <c r="H31" s="534"/>
      <c r="I31" s="535"/>
      <c r="L31" s="256"/>
      <c r="M31" s="440"/>
    </row>
    <row r="32" spans="1:13" ht="13.5" thickBot="1">
      <c r="A32" s="541" t="s">
        <v>68</v>
      </c>
      <c r="B32" s="542"/>
      <c r="C32" s="543"/>
      <c r="D32" s="269">
        <v>0</v>
      </c>
      <c r="E32" s="270" t="s">
        <v>29</v>
      </c>
      <c r="F32" s="544"/>
      <c r="G32" s="544"/>
      <c r="H32" s="545"/>
      <c r="I32" s="546"/>
      <c r="L32" s="256"/>
    </row>
    <row r="33" spans="1:9" ht="13.5" thickBot="1">
      <c r="A33" s="547" t="s">
        <v>69</v>
      </c>
      <c r="B33" s="548"/>
      <c r="C33" s="548"/>
      <c r="D33" s="548"/>
      <c r="E33" s="548"/>
      <c r="F33" s="548"/>
      <c r="G33" s="548"/>
      <c r="H33" s="548"/>
      <c r="I33" s="549"/>
    </row>
    <row r="34" spans="1:9" ht="15">
      <c r="A34" s="536" t="s">
        <v>301</v>
      </c>
      <c r="B34" s="537"/>
      <c r="C34" s="537"/>
      <c r="D34" s="537"/>
      <c r="E34" s="537"/>
      <c r="F34" s="537"/>
      <c r="G34" s="537"/>
      <c r="H34" s="537"/>
      <c r="I34" s="538"/>
    </row>
    <row r="35" spans="1:9" ht="15">
      <c r="A35" s="536" t="s">
        <v>302</v>
      </c>
      <c r="B35" s="537"/>
      <c r="C35" s="537"/>
      <c r="D35" s="537"/>
      <c r="E35" s="537"/>
      <c r="F35" s="537"/>
      <c r="G35" s="537"/>
      <c r="H35" s="537"/>
      <c r="I35" s="538"/>
    </row>
    <row r="36" spans="1:9" ht="15">
      <c r="A36" s="536" t="s">
        <v>303</v>
      </c>
      <c r="B36" s="537"/>
      <c r="C36" s="537"/>
      <c r="D36" s="537"/>
      <c r="E36" s="537"/>
      <c r="F36" s="537"/>
      <c r="G36" s="537"/>
      <c r="H36" s="537"/>
      <c r="I36" s="538"/>
    </row>
    <row r="37" spans="1:9" ht="15">
      <c r="A37" s="536"/>
      <c r="B37" s="537"/>
      <c r="C37" s="537"/>
      <c r="D37" s="537"/>
      <c r="E37" s="537"/>
      <c r="F37" s="537"/>
      <c r="G37" s="537"/>
      <c r="H37" s="537"/>
      <c r="I37" s="538"/>
    </row>
    <row r="38" spans="1:9" ht="15">
      <c r="A38" s="536"/>
      <c r="B38" s="537"/>
      <c r="C38" s="537"/>
      <c r="D38" s="537"/>
      <c r="E38" s="537"/>
      <c r="F38" s="537"/>
      <c r="G38" s="537"/>
      <c r="H38" s="537"/>
      <c r="I38" s="538"/>
    </row>
    <row r="39" spans="1:9" ht="15">
      <c r="A39" s="536"/>
      <c r="B39" s="537"/>
      <c r="C39" s="537"/>
      <c r="D39" s="537"/>
      <c r="E39" s="537"/>
      <c r="F39" s="537"/>
      <c r="G39" s="537"/>
      <c r="H39" s="537"/>
      <c r="I39" s="538"/>
    </row>
    <row r="40" spans="1:9" ht="16.5" customHeight="1">
      <c r="A40" s="553"/>
      <c r="B40" s="554"/>
      <c r="C40" s="554"/>
      <c r="D40" s="554"/>
      <c r="E40" s="554"/>
      <c r="F40" s="554"/>
      <c r="G40" s="554"/>
      <c r="H40" s="554"/>
      <c r="I40" s="555"/>
    </row>
    <row r="41" spans="1:9" ht="16.5" customHeight="1">
      <c r="A41" s="553"/>
      <c r="B41" s="554"/>
      <c r="C41" s="554"/>
      <c r="D41" s="554"/>
      <c r="E41" s="554"/>
      <c r="F41" s="554"/>
      <c r="G41" s="554"/>
      <c r="H41" s="554"/>
      <c r="I41" s="555"/>
    </row>
    <row r="42" spans="1:9" ht="16.5" customHeight="1" thickBot="1">
      <c r="A42" s="550"/>
      <c r="B42" s="551"/>
      <c r="C42" s="551"/>
      <c r="D42" s="551"/>
      <c r="E42" s="551"/>
      <c r="F42" s="551"/>
      <c r="G42" s="551"/>
      <c r="H42" s="551"/>
      <c r="I42" s="552"/>
    </row>
    <row r="43" spans="1:9" ht="13.5" thickBot="1">
      <c r="A43" s="547" t="s">
        <v>72</v>
      </c>
      <c r="B43" s="548"/>
      <c r="C43" s="548"/>
      <c r="D43" s="548"/>
      <c r="E43" s="548"/>
      <c r="F43" s="548"/>
      <c r="G43" s="548"/>
      <c r="H43" s="548"/>
      <c r="I43" s="549"/>
    </row>
    <row r="44" spans="1:9">
      <c r="A44" s="271" t="s">
        <v>304</v>
      </c>
      <c r="B44" s="271"/>
      <c r="C44" s="271"/>
    </row>
    <row r="45" spans="1:9" ht="15">
      <c r="A45" s="441"/>
      <c r="B45" s="441"/>
    </row>
  </sheetData>
  <mergeCells count="43">
    <mergeCell ref="A42:I42"/>
    <mergeCell ref="A43:I43"/>
    <mergeCell ref="A36:I36"/>
    <mergeCell ref="A37:I37"/>
    <mergeCell ref="A38:I38"/>
    <mergeCell ref="A39:I39"/>
    <mergeCell ref="A40:I40"/>
    <mergeCell ref="A41:I41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28:C28"/>
    <mergeCell ref="F28:G28"/>
    <mergeCell ref="H28:I28"/>
    <mergeCell ref="A29:C29"/>
    <mergeCell ref="F29:G29"/>
    <mergeCell ref="H29:I29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768D-AED6-4C81-B974-81DE59CC9313}">
  <dimension ref="A1:M43"/>
  <sheetViews>
    <sheetView workbookViewId="0">
      <selection activeCell="B10" sqref="B10"/>
    </sheetView>
  </sheetViews>
  <sheetFormatPr defaultColWidth="11.42578125" defaultRowHeight="12.75"/>
  <cols>
    <col min="1" max="1" width="16.140625" style="225" customWidth="1"/>
    <col min="2" max="2" width="12.5703125" style="225" customWidth="1"/>
    <col min="3" max="3" width="46.7109375" style="225" customWidth="1"/>
    <col min="4" max="4" width="18.5703125" style="225" customWidth="1"/>
    <col min="5" max="5" width="11.42578125" style="225"/>
    <col min="6" max="6" width="13.140625" style="225" customWidth="1"/>
    <col min="7" max="7" width="12.5703125" style="225" customWidth="1"/>
    <col min="8" max="8" width="15.5703125" style="225" customWidth="1"/>
    <col min="9" max="9" width="17.42578125" style="225" customWidth="1"/>
    <col min="10" max="16384" width="11.42578125" style="225"/>
  </cols>
  <sheetData>
    <row r="1" spans="1:9" ht="18">
      <c r="A1" s="503"/>
      <c r="B1" s="504"/>
      <c r="C1" s="509" t="s">
        <v>0</v>
      </c>
      <c r="D1" s="509"/>
      <c r="E1" s="509"/>
      <c r="F1" s="509"/>
      <c r="G1" s="509"/>
      <c r="H1" s="223" t="s">
        <v>1</v>
      </c>
      <c r="I1" s="224" t="s">
        <v>305</v>
      </c>
    </row>
    <row r="2" spans="1:9" ht="18">
      <c r="A2" s="505"/>
      <c r="B2" s="506"/>
      <c r="C2" s="510" t="s">
        <v>3</v>
      </c>
      <c r="D2" s="510"/>
      <c r="E2" s="510"/>
      <c r="F2" s="510"/>
      <c r="G2" s="510"/>
      <c r="H2" s="226" t="s">
        <v>4</v>
      </c>
      <c r="I2" s="272" t="s">
        <v>5</v>
      </c>
    </row>
    <row r="3" spans="1:9" ht="50.1" customHeight="1">
      <c r="A3" s="505"/>
      <c r="B3" s="506"/>
      <c r="C3" s="511" t="s">
        <v>306</v>
      </c>
      <c r="D3" s="512"/>
      <c r="E3" s="512"/>
      <c r="F3" s="512"/>
      <c r="G3" s="513"/>
      <c r="H3" s="514" t="s">
        <v>7</v>
      </c>
      <c r="I3" s="499" t="s">
        <v>307</v>
      </c>
    </row>
    <row r="4" spans="1:9" ht="15">
      <c r="A4" s="505"/>
      <c r="B4" s="506"/>
      <c r="C4" s="228" t="s">
        <v>9</v>
      </c>
      <c r="D4" s="799" t="s">
        <v>281</v>
      </c>
      <c r="E4" s="501"/>
      <c r="F4" s="501"/>
      <c r="G4" s="501"/>
      <c r="H4" s="514"/>
      <c r="I4" s="499"/>
    </row>
    <row r="5" spans="1:9" ht="13.5" thickBot="1">
      <c r="A5" s="507"/>
      <c r="B5" s="508"/>
      <c r="C5" s="229" t="s">
        <v>11</v>
      </c>
      <c r="D5" s="502" t="s">
        <v>96</v>
      </c>
      <c r="E5" s="502"/>
      <c r="F5" s="502"/>
      <c r="G5" s="502"/>
      <c r="H5" s="515"/>
      <c r="I5" s="500"/>
    </row>
    <row r="6" spans="1:9">
      <c r="A6" s="230"/>
      <c r="B6" s="230"/>
      <c r="C6" s="231"/>
      <c r="D6" s="232"/>
      <c r="E6" s="232"/>
      <c r="F6" s="232"/>
      <c r="G6" s="232"/>
      <c r="H6" s="233"/>
      <c r="I6" s="234"/>
    </row>
    <row r="7" spans="1:9" ht="18.75" thickBot="1">
      <c r="A7" s="516" t="s">
        <v>13</v>
      </c>
      <c r="B7" s="516"/>
      <c r="C7" s="516"/>
      <c r="D7" s="517" t="s">
        <v>76</v>
      </c>
      <c r="E7" s="517"/>
      <c r="F7" s="517"/>
      <c r="G7" s="847" t="s">
        <v>15</v>
      </c>
      <c r="H7" s="847"/>
      <c r="I7" s="235" t="s">
        <v>76</v>
      </c>
    </row>
    <row r="8" spans="1:9" ht="25.5">
      <c r="A8" s="518" t="s">
        <v>16</v>
      </c>
      <c r="B8" s="520" t="s">
        <v>17</v>
      </c>
      <c r="C8" s="522" t="s">
        <v>18</v>
      </c>
      <c r="D8" s="522" t="s">
        <v>19</v>
      </c>
      <c r="E8" s="522" t="s">
        <v>20</v>
      </c>
      <c r="F8" s="522"/>
      <c r="G8" s="522" t="s">
        <v>21</v>
      </c>
      <c r="H8" s="522"/>
      <c r="I8" s="236" t="s">
        <v>22</v>
      </c>
    </row>
    <row r="9" spans="1:9" ht="26.25" thickBot="1">
      <c r="A9" s="801"/>
      <c r="B9" s="802"/>
      <c r="C9" s="800"/>
      <c r="D9" s="800"/>
      <c r="E9" s="239" t="s">
        <v>23</v>
      </c>
      <c r="F9" s="238" t="s">
        <v>24</v>
      </c>
      <c r="G9" s="239"/>
      <c r="H9" s="238" t="s">
        <v>24</v>
      </c>
      <c r="I9" s="240" t="s">
        <v>25</v>
      </c>
    </row>
    <row r="10" spans="1:9" ht="15">
      <c r="A10" s="367">
        <v>906000138</v>
      </c>
      <c r="B10" s="368" t="s">
        <v>308</v>
      </c>
      <c r="C10" s="414" t="s">
        <v>309</v>
      </c>
      <c r="D10" s="415" t="s">
        <v>79</v>
      </c>
      <c r="E10" s="416">
        <v>13547</v>
      </c>
      <c r="F10" s="415" t="s">
        <v>29</v>
      </c>
      <c r="G10" s="264">
        <f>E10/24</f>
        <v>564.45833333333337</v>
      </c>
      <c r="H10" s="417">
        <f>E10/24</f>
        <v>564.45833333333337</v>
      </c>
      <c r="I10" s="245"/>
    </row>
    <row r="11" spans="1:9" ht="15">
      <c r="A11" s="210">
        <v>1210482</v>
      </c>
      <c r="B11" s="210" t="s">
        <v>81</v>
      </c>
      <c r="C11" s="211" t="s">
        <v>310</v>
      </c>
      <c r="D11" s="418" t="s">
        <v>83</v>
      </c>
      <c r="E11" s="418">
        <v>9055</v>
      </c>
      <c r="F11" s="418" t="s">
        <v>29</v>
      </c>
      <c r="G11" s="264">
        <f t="shared" ref="G11:G14" si="0">E11/24</f>
        <v>377.29166666666669</v>
      </c>
      <c r="H11" s="417">
        <f t="shared" ref="H11:H14" si="1">E11/24</f>
        <v>377.29166666666669</v>
      </c>
      <c r="I11" s="245"/>
    </row>
    <row r="12" spans="1:9" ht="15.75">
      <c r="A12" s="208" t="s">
        <v>84</v>
      </c>
      <c r="B12" s="208"/>
      <c r="C12" s="209" t="s">
        <v>85</v>
      </c>
      <c r="D12" s="418" t="s">
        <v>79</v>
      </c>
      <c r="E12" s="418">
        <v>1940</v>
      </c>
      <c r="F12" s="418" t="s">
        <v>29</v>
      </c>
      <c r="G12" s="264">
        <f t="shared" si="0"/>
        <v>80.833333333333329</v>
      </c>
      <c r="H12" s="417">
        <f t="shared" si="1"/>
        <v>80.833333333333329</v>
      </c>
      <c r="I12" s="245"/>
    </row>
    <row r="13" spans="1:9" ht="15">
      <c r="A13" s="210">
        <v>1212437</v>
      </c>
      <c r="B13" s="210" t="s">
        <v>311</v>
      </c>
      <c r="C13" s="211" t="s">
        <v>312</v>
      </c>
      <c r="D13" s="418" t="s">
        <v>313</v>
      </c>
      <c r="E13" s="418">
        <v>855</v>
      </c>
      <c r="F13" s="418" t="s">
        <v>29</v>
      </c>
      <c r="G13" s="264">
        <f t="shared" si="0"/>
        <v>35.625</v>
      </c>
      <c r="H13" s="417">
        <f t="shared" si="1"/>
        <v>35.625</v>
      </c>
      <c r="I13" s="245"/>
    </row>
    <row r="14" spans="1:9" ht="15">
      <c r="A14" s="210"/>
      <c r="B14" s="210"/>
      <c r="C14" s="419"/>
      <c r="D14" s="418"/>
      <c r="E14" s="418"/>
      <c r="F14" s="418"/>
      <c r="G14" s="264">
        <f t="shared" si="0"/>
        <v>0</v>
      </c>
      <c r="H14" s="417">
        <f t="shared" si="1"/>
        <v>0</v>
      </c>
      <c r="I14" s="245"/>
    </row>
    <row r="15" spans="1:9" ht="15">
      <c r="A15" s="246"/>
      <c r="B15" s="247"/>
      <c r="C15" s="419"/>
      <c r="D15" s="416"/>
      <c r="E15" s="416"/>
      <c r="F15" s="416"/>
      <c r="G15" s="264"/>
      <c r="H15" s="417"/>
      <c r="I15" s="245"/>
    </row>
    <row r="16" spans="1:9" ht="15.75">
      <c r="A16" s="246"/>
      <c r="B16" s="247"/>
      <c r="C16" s="420"/>
      <c r="D16" s="416"/>
      <c r="E16" s="416"/>
      <c r="F16" s="416"/>
      <c r="G16" s="264"/>
      <c r="H16" s="417"/>
      <c r="I16" s="245"/>
    </row>
    <row r="17" spans="1:13" ht="15">
      <c r="A17" s="210"/>
      <c r="B17" s="210"/>
      <c r="C17" s="211"/>
      <c r="D17" s="416"/>
      <c r="E17" s="416"/>
      <c r="F17" s="416"/>
      <c r="G17" s="264"/>
      <c r="H17" s="417"/>
      <c r="I17" s="245"/>
    </row>
    <row r="18" spans="1:13" ht="15">
      <c r="A18" s="210"/>
      <c r="B18" s="210"/>
      <c r="C18" s="421"/>
      <c r="D18" s="416"/>
      <c r="E18" s="416"/>
      <c r="F18" s="416"/>
      <c r="G18" s="264"/>
      <c r="H18" s="417"/>
      <c r="I18" s="245"/>
    </row>
    <row r="19" spans="1:13" ht="15">
      <c r="A19" s="210"/>
      <c r="B19" s="210"/>
      <c r="C19" s="211"/>
      <c r="D19" s="416"/>
      <c r="E19" s="422"/>
      <c r="F19" s="423"/>
      <c r="G19" s="267"/>
      <c r="H19" s="201"/>
      <c r="I19" s="424"/>
    </row>
    <row r="20" spans="1:13" ht="14.25">
      <c r="A20" s="425"/>
      <c r="B20" s="426"/>
      <c r="C20" s="427"/>
      <c r="D20" s="428"/>
      <c r="E20" s="422"/>
      <c r="F20" s="423"/>
      <c r="G20" s="267"/>
      <c r="H20" s="201"/>
      <c r="I20" s="424"/>
    </row>
    <row r="21" spans="1:13" ht="14.25">
      <c r="A21" s="425"/>
      <c r="B21" s="426"/>
      <c r="C21" s="429"/>
      <c r="D21" s="428"/>
      <c r="E21" s="422"/>
      <c r="F21" s="423"/>
      <c r="G21" s="267"/>
      <c r="H21" s="201"/>
      <c r="I21" s="424"/>
    </row>
    <row r="22" spans="1:13" ht="15">
      <c r="A22" s="430"/>
      <c r="B22" s="431"/>
      <c r="C22" s="432"/>
      <c r="D22" s="433"/>
      <c r="E22" s="418"/>
      <c r="F22" s="418"/>
      <c r="G22" s="267"/>
      <c r="H22" s="201"/>
      <c r="I22" s="434"/>
    </row>
    <row r="23" spans="1:13" ht="14.25">
      <c r="A23" s="435"/>
      <c r="B23" s="436"/>
      <c r="C23" s="437"/>
      <c r="D23" s="438"/>
      <c r="E23" s="439"/>
      <c r="F23" s="439"/>
      <c r="G23" s="439"/>
      <c r="H23" s="439"/>
      <c r="I23" s="434"/>
    </row>
    <row r="24" spans="1:13" ht="13.5" thickBot="1">
      <c r="A24" s="251"/>
      <c r="B24" s="252"/>
      <c r="E24" s="253"/>
      <c r="F24" s="254"/>
      <c r="I24" s="255"/>
      <c r="L24" s="256"/>
    </row>
    <row r="25" spans="1:13" ht="13.5" thickBot="1">
      <c r="A25" s="257"/>
      <c r="B25" s="258"/>
      <c r="C25" s="259"/>
      <c r="D25" s="260" t="s">
        <v>23</v>
      </c>
      <c r="E25" s="261" t="s">
        <v>61</v>
      </c>
      <c r="F25" s="262"/>
      <c r="G25" s="259"/>
      <c r="H25" s="259"/>
      <c r="I25" s="263"/>
      <c r="L25" s="256"/>
    </row>
    <row r="26" spans="1:13">
      <c r="A26" s="524" t="s">
        <v>62</v>
      </c>
      <c r="B26" s="525"/>
      <c r="C26" s="526"/>
      <c r="D26" s="264">
        <v>24000</v>
      </c>
      <c r="E26" s="265" t="s">
        <v>29</v>
      </c>
      <c r="F26" s="527"/>
      <c r="G26" s="527"/>
      <c r="H26" s="528"/>
      <c r="I26" s="529"/>
      <c r="L26" s="256"/>
    </row>
    <row r="27" spans="1:13">
      <c r="A27" s="530" t="s">
        <v>63</v>
      </c>
      <c r="B27" s="531"/>
      <c r="C27" s="532"/>
      <c r="D27" s="266">
        <v>10</v>
      </c>
      <c r="E27" s="201" t="s">
        <v>64</v>
      </c>
      <c r="F27" s="533"/>
      <c r="G27" s="533"/>
      <c r="H27" s="534"/>
      <c r="I27" s="535"/>
      <c r="L27" s="256"/>
    </row>
    <row r="28" spans="1:13">
      <c r="A28" s="530" t="s">
        <v>65</v>
      </c>
      <c r="B28" s="531"/>
      <c r="C28" s="532"/>
      <c r="D28" s="201">
        <v>1</v>
      </c>
      <c r="E28" s="201" t="s">
        <v>230</v>
      </c>
      <c r="F28" s="533"/>
      <c r="G28" s="533"/>
      <c r="H28" s="534"/>
      <c r="I28" s="535"/>
      <c r="L28" s="256"/>
    </row>
    <row r="29" spans="1:13">
      <c r="A29" s="530" t="s">
        <v>67</v>
      </c>
      <c r="B29" s="531"/>
      <c r="C29" s="532"/>
      <c r="D29" s="267">
        <f>+D26</f>
        <v>24000</v>
      </c>
      <c r="E29" s="201" t="s">
        <v>29</v>
      </c>
      <c r="F29" s="539"/>
      <c r="G29" s="540"/>
      <c r="H29" s="534"/>
      <c r="I29" s="535"/>
      <c r="L29" s="256"/>
      <c r="M29" s="440"/>
    </row>
    <row r="30" spans="1:13" ht="13.5" thickBot="1">
      <c r="A30" s="541" t="s">
        <v>68</v>
      </c>
      <c r="B30" s="542"/>
      <c r="C30" s="543"/>
      <c r="D30" s="269">
        <f>SUM(E10:E13)-D26</f>
        <v>1397</v>
      </c>
      <c r="E30" s="270" t="s">
        <v>29</v>
      </c>
      <c r="F30" s="544"/>
      <c r="G30" s="544"/>
      <c r="H30" s="545"/>
      <c r="I30" s="546"/>
      <c r="L30" s="256"/>
    </row>
    <row r="31" spans="1:13" ht="13.5" thickBot="1">
      <c r="A31" s="547" t="s">
        <v>69</v>
      </c>
      <c r="B31" s="548"/>
      <c r="C31" s="548"/>
      <c r="D31" s="548"/>
      <c r="E31" s="548"/>
      <c r="F31" s="548"/>
      <c r="G31" s="548"/>
      <c r="H31" s="548"/>
      <c r="I31" s="549"/>
    </row>
    <row r="32" spans="1:13" ht="15">
      <c r="A32" s="536" t="s">
        <v>314</v>
      </c>
      <c r="B32" s="537"/>
      <c r="C32" s="537"/>
      <c r="D32" s="537"/>
      <c r="E32" s="537"/>
      <c r="F32" s="537"/>
      <c r="G32" s="537"/>
      <c r="H32" s="537"/>
      <c r="I32" s="538"/>
    </row>
    <row r="33" spans="1:9" ht="15">
      <c r="A33" s="536" t="s">
        <v>315</v>
      </c>
      <c r="B33" s="537"/>
      <c r="C33" s="537"/>
      <c r="D33" s="537"/>
      <c r="E33" s="537"/>
      <c r="F33" s="537"/>
      <c r="G33" s="537"/>
      <c r="H33" s="537"/>
      <c r="I33" s="538"/>
    </row>
    <row r="34" spans="1:9" ht="15">
      <c r="A34" s="536" t="s">
        <v>316</v>
      </c>
      <c r="B34" s="537"/>
      <c r="C34" s="537"/>
      <c r="D34" s="537"/>
      <c r="E34" s="537"/>
      <c r="F34" s="537"/>
      <c r="G34" s="537"/>
      <c r="H34" s="537"/>
      <c r="I34" s="538"/>
    </row>
    <row r="35" spans="1:9" ht="15">
      <c r="A35" s="536" t="s">
        <v>317</v>
      </c>
      <c r="B35" s="537"/>
      <c r="C35" s="537"/>
      <c r="D35" s="537"/>
      <c r="E35" s="537"/>
      <c r="F35" s="537"/>
      <c r="G35" s="537"/>
      <c r="H35" s="537"/>
      <c r="I35" s="538"/>
    </row>
    <row r="36" spans="1:9" ht="15">
      <c r="A36" s="536"/>
      <c r="B36" s="537"/>
      <c r="C36" s="537"/>
      <c r="D36" s="537"/>
      <c r="E36" s="537"/>
      <c r="F36" s="537"/>
      <c r="G36" s="537"/>
      <c r="H36" s="537"/>
      <c r="I36" s="538"/>
    </row>
    <row r="37" spans="1:9" ht="15">
      <c r="A37" s="536"/>
      <c r="B37" s="537"/>
      <c r="C37" s="537"/>
      <c r="D37" s="537"/>
      <c r="E37" s="537"/>
      <c r="F37" s="537"/>
      <c r="G37" s="537"/>
      <c r="H37" s="537"/>
      <c r="I37" s="538"/>
    </row>
    <row r="38" spans="1:9" ht="15">
      <c r="A38" s="536"/>
      <c r="B38" s="537"/>
      <c r="C38" s="537"/>
      <c r="D38" s="537"/>
      <c r="E38" s="537"/>
      <c r="F38" s="537"/>
      <c r="G38" s="537"/>
      <c r="H38" s="537"/>
      <c r="I38" s="538"/>
    </row>
    <row r="39" spans="1:9" ht="14.25">
      <c r="A39" s="553"/>
      <c r="B39" s="554"/>
      <c r="C39" s="554"/>
      <c r="D39" s="554"/>
      <c r="E39" s="554"/>
      <c r="F39" s="554"/>
      <c r="G39" s="554"/>
      <c r="H39" s="554"/>
      <c r="I39" s="555"/>
    </row>
    <row r="40" spans="1:9" ht="15" thickBot="1">
      <c r="A40" s="553"/>
      <c r="B40" s="554"/>
      <c r="C40" s="554"/>
      <c r="D40" s="554"/>
      <c r="E40" s="554"/>
      <c r="F40" s="554"/>
      <c r="G40" s="554"/>
      <c r="H40" s="554"/>
      <c r="I40" s="555"/>
    </row>
    <row r="41" spans="1:9" ht="13.5" thickBot="1">
      <c r="A41" s="547" t="s">
        <v>72</v>
      </c>
      <c r="B41" s="548"/>
      <c r="C41" s="548"/>
      <c r="D41" s="548"/>
      <c r="E41" s="548"/>
      <c r="F41" s="548"/>
      <c r="G41" s="548"/>
      <c r="H41" s="548"/>
      <c r="I41" s="549"/>
    </row>
    <row r="42" spans="1:9" ht="15">
      <c r="A42" s="441" t="s">
        <v>318</v>
      </c>
      <c r="B42" s="441"/>
    </row>
    <row r="43" spans="1:9">
      <c r="A43" s="271"/>
      <c r="B43" s="271"/>
      <c r="C43" s="271"/>
    </row>
  </sheetData>
  <mergeCells count="43">
    <mergeCell ref="A40:I40"/>
    <mergeCell ref="A41:I41"/>
    <mergeCell ref="A34:I34"/>
    <mergeCell ref="A35:I35"/>
    <mergeCell ref="A36:I36"/>
    <mergeCell ref="A37:I37"/>
    <mergeCell ref="A38:I38"/>
    <mergeCell ref="A39:I39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26:C26"/>
    <mergeCell ref="F26:G26"/>
    <mergeCell ref="H26:I26"/>
    <mergeCell ref="A27:C27"/>
    <mergeCell ref="F27:G27"/>
    <mergeCell ref="H27:I27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A8AA-F750-4A1F-AD6A-B5FAD457E396}">
  <dimension ref="A1:M31"/>
  <sheetViews>
    <sheetView workbookViewId="0">
      <selection activeCell="B8" sqref="B8"/>
    </sheetView>
  </sheetViews>
  <sheetFormatPr defaultColWidth="11.42578125" defaultRowHeight="13.5"/>
  <cols>
    <col min="1" max="1" width="16.140625" style="5" customWidth="1"/>
    <col min="2" max="2" width="11.5703125" style="5" customWidth="1"/>
    <col min="3" max="3" width="45.5703125" style="5" customWidth="1"/>
    <col min="4" max="4" width="14.140625" style="5" customWidth="1"/>
    <col min="5" max="5" width="11.42578125" style="5"/>
    <col min="6" max="6" width="12.140625" style="5" customWidth="1"/>
    <col min="7" max="7" width="11.42578125" style="5"/>
    <col min="8" max="8" width="14.28515625" style="5" customWidth="1"/>
    <col min="9" max="9" width="16" style="5" customWidth="1"/>
    <col min="10" max="16384" width="11.42578125" style="5"/>
  </cols>
  <sheetData>
    <row r="1" spans="1:9" ht="15.75">
      <c r="A1" s="620"/>
      <c r="B1" s="621"/>
      <c r="C1" s="626" t="s">
        <v>0</v>
      </c>
      <c r="D1" s="626"/>
      <c r="E1" s="626"/>
      <c r="F1" s="626"/>
      <c r="G1" s="626"/>
      <c r="H1" s="202" t="s">
        <v>1</v>
      </c>
      <c r="I1" s="203" t="s">
        <v>319</v>
      </c>
    </row>
    <row r="2" spans="1:9" ht="16.5" thickBot="1">
      <c r="A2" s="622"/>
      <c r="B2" s="623"/>
      <c r="C2" s="708" t="s">
        <v>3</v>
      </c>
      <c r="D2" s="708"/>
      <c r="E2" s="708"/>
      <c r="F2" s="708"/>
      <c r="G2" s="708"/>
      <c r="H2" s="204" t="s">
        <v>4</v>
      </c>
      <c r="I2" s="205" t="s">
        <v>5</v>
      </c>
    </row>
    <row r="3" spans="1:9" ht="18.75" thickBot="1">
      <c r="A3" s="622"/>
      <c r="B3" s="623"/>
      <c r="C3" s="630" t="s">
        <v>320</v>
      </c>
      <c r="D3" s="631"/>
      <c r="E3" s="631"/>
      <c r="F3" s="631"/>
      <c r="G3" s="632"/>
      <c r="H3" s="633" t="s">
        <v>7</v>
      </c>
      <c r="I3" s="611" t="s">
        <v>321</v>
      </c>
    </row>
    <row r="4" spans="1:9">
      <c r="A4" s="622"/>
      <c r="B4" s="623"/>
      <c r="C4" s="206" t="s">
        <v>9</v>
      </c>
      <c r="D4" s="614" t="s">
        <v>10</v>
      </c>
      <c r="E4" s="615"/>
      <c r="F4" s="615"/>
      <c r="G4" s="616"/>
      <c r="H4" s="634"/>
      <c r="I4" s="612"/>
    </row>
    <row r="5" spans="1:9" ht="14.25" thickBot="1">
      <c r="A5" s="705"/>
      <c r="B5" s="706"/>
      <c r="C5" s="207" t="s">
        <v>11</v>
      </c>
      <c r="D5" s="617" t="s">
        <v>322</v>
      </c>
      <c r="E5" s="618"/>
      <c r="F5" s="618"/>
      <c r="G5" s="619"/>
      <c r="H5" s="635"/>
      <c r="I5" s="612"/>
    </row>
    <row r="6" spans="1:9" ht="25.5">
      <c r="A6" s="776" t="s">
        <v>16</v>
      </c>
      <c r="B6" s="761" t="s">
        <v>17</v>
      </c>
      <c r="C6" s="763" t="s">
        <v>18</v>
      </c>
      <c r="D6" s="763" t="s">
        <v>19</v>
      </c>
      <c r="E6" s="763" t="s">
        <v>20</v>
      </c>
      <c r="F6" s="763"/>
      <c r="G6" s="763" t="s">
        <v>21</v>
      </c>
      <c r="H6" s="763"/>
      <c r="I6" s="284" t="s">
        <v>22</v>
      </c>
    </row>
    <row r="7" spans="1:9" ht="27" thickBot="1">
      <c r="A7" s="700"/>
      <c r="B7" s="803"/>
      <c r="C7" s="702"/>
      <c r="D7" s="702"/>
      <c r="E7" s="393" t="s">
        <v>23</v>
      </c>
      <c r="F7" s="394" t="s">
        <v>24</v>
      </c>
      <c r="G7" s="285" t="s">
        <v>23</v>
      </c>
      <c r="H7" s="286" t="s">
        <v>24</v>
      </c>
      <c r="I7" s="287" t="s">
        <v>25</v>
      </c>
    </row>
    <row r="8" spans="1:9" ht="15">
      <c r="A8" s="208">
        <v>907000306</v>
      </c>
      <c r="B8" s="208" t="s">
        <v>323</v>
      </c>
      <c r="C8" s="209" t="s">
        <v>324</v>
      </c>
      <c r="D8" s="395" t="s">
        <v>79</v>
      </c>
      <c r="E8" s="396">
        <v>24000</v>
      </c>
      <c r="F8" s="321" t="s">
        <v>29</v>
      </c>
      <c r="G8" s="291">
        <f>E8/23.36</f>
        <v>1027.3972602739727</v>
      </c>
      <c r="H8" s="292"/>
      <c r="I8" s="293"/>
    </row>
    <row r="9" spans="1:9" ht="15">
      <c r="A9" s="370"/>
      <c r="B9" s="370"/>
      <c r="C9" s="359"/>
      <c r="D9" s="395"/>
      <c r="E9" s="397"/>
      <c r="F9" s="321"/>
      <c r="G9" s="291">
        <f t="shared" ref="G9:G14" si="0">E9/23.36</f>
        <v>0</v>
      </c>
      <c r="H9" s="292"/>
      <c r="I9" s="293"/>
    </row>
    <row r="10" spans="1:9" ht="15">
      <c r="A10" s="398"/>
      <c r="B10" s="399"/>
      <c r="C10" s="400" t="s">
        <v>136</v>
      </c>
      <c r="D10" s="401"/>
      <c r="E10" s="402"/>
      <c r="F10" s="403"/>
      <c r="G10" s="291">
        <f t="shared" si="0"/>
        <v>0</v>
      </c>
      <c r="H10" s="292"/>
      <c r="I10" s="293"/>
    </row>
    <row r="11" spans="1:9" ht="15">
      <c r="A11" s="208" t="s">
        <v>135</v>
      </c>
      <c r="B11" s="208"/>
      <c r="C11" s="209" t="s">
        <v>102</v>
      </c>
      <c r="D11" s="85" t="s">
        <v>79</v>
      </c>
      <c r="E11" s="402">
        <f>10*D21</f>
        <v>730</v>
      </c>
      <c r="F11" s="403" t="s">
        <v>29</v>
      </c>
      <c r="G11" s="291">
        <f t="shared" si="0"/>
        <v>31.25</v>
      </c>
      <c r="H11" s="292"/>
      <c r="I11" s="25"/>
    </row>
    <row r="12" spans="1:9" ht="15">
      <c r="A12" s="210">
        <v>1950928</v>
      </c>
      <c r="B12" s="210" t="s">
        <v>108</v>
      </c>
      <c r="C12" s="211" t="s">
        <v>109</v>
      </c>
      <c r="D12" s="85" t="s">
        <v>325</v>
      </c>
      <c r="E12" s="402">
        <v>6</v>
      </c>
      <c r="F12" s="291" t="s">
        <v>51</v>
      </c>
      <c r="G12" s="291">
        <f t="shared" si="0"/>
        <v>0.25684931506849318</v>
      </c>
      <c r="H12" s="292"/>
      <c r="I12" s="25"/>
    </row>
    <row r="13" spans="1:9" ht="15">
      <c r="A13" s="208" t="s">
        <v>137</v>
      </c>
      <c r="B13" s="208" t="s">
        <v>105</v>
      </c>
      <c r="C13" s="209" t="s">
        <v>106</v>
      </c>
      <c r="D13" s="85" t="s">
        <v>203</v>
      </c>
      <c r="E13" s="402">
        <v>6</v>
      </c>
      <c r="F13" s="291" t="s">
        <v>51</v>
      </c>
      <c r="G13" s="291">
        <f t="shared" si="0"/>
        <v>0.25684931506849318</v>
      </c>
      <c r="H13" s="11"/>
      <c r="I13" s="25"/>
    </row>
    <row r="14" spans="1:9" ht="15">
      <c r="A14" s="208" t="s">
        <v>326</v>
      </c>
      <c r="B14" s="208" t="s">
        <v>204</v>
      </c>
      <c r="C14" s="209" t="s">
        <v>327</v>
      </c>
      <c r="D14" s="85" t="s">
        <v>206</v>
      </c>
      <c r="E14" s="402">
        <v>6</v>
      </c>
      <c r="F14" s="291" t="s">
        <v>51</v>
      </c>
      <c r="G14" s="291">
        <f t="shared" si="0"/>
        <v>0.25684931506849318</v>
      </c>
      <c r="H14" s="11"/>
      <c r="I14" s="25"/>
    </row>
    <row r="15" spans="1:9" ht="15">
      <c r="A15" s="404"/>
      <c r="B15" s="404"/>
      <c r="C15" s="405"/>
      <c r="D15" s="406"/>
      <c r="E15" s="291"/>
      <c r="F15" s="292"/>
      <c r="G15" s="407"/>
      <c r="H15" s="407"/>
      <c r="I15" s="408"/>
    </row>
    <row r="16" spans="1:9" ht="15">
      <c r="A16" s="409"/>
      <c r="B16" s="410"/>
      <c r="C16" s="365"/>
      <c r="D16" s="295"/>
      <c r="E16" s="28"/>
      <c r="F16" s="28"/>
      <c r="G16" s="28"/>
      <c r="H16" s="28"/>
      <c r="I16" s="25"/>
    </row>
    <row r="17" spans="1:13" ht="14.25" thickBot="1">
      <c r="A17" s="296"/>
      <c r="B17" s="297"/>
      <c r="E17" s="298"/>
      <c r="F17" s="299"/>
      <c r="I17" s="300"/>
      <c r="L17" s="8"/>
    </row>
    <row r="18" spans="1:13" ht="14.25" thickBot="1">
      <c r="A18" s="301"/>
      <c r="B18" s="302"/>
      <c r="C18" s="303"/>
      <c r="D18" s="304" t="s">
        <v>23</v>
      </c>
      <c r="E18" s="305" t="s">
        <v>61</v>
      </c>
      <c r="F18" s="306"/>
      <c r="G18" s="303"/>
      <c r="H18" s="303"/>
      <c r="I18" s="307"/>
      <c r="L18" s="8"/>
    </row>
    <row r="19" spans="1:13">
      <c r="A19" s="753" t="s">
        <v>62</v>
      </c>
      <c r="B19" s="754"/>
      <c r="C19" s="755"/>
      <c r="D19" s="411">
        <f>73*320</f>
        <v>23360</v>
      </c>
      <c r="E19" s="308" t="s">
        <v>29</v>
      </c>
      <c r="F19" s="756" t="s">
        <v>112</v>
      </c>
      <c r="G19" s="756"/>
      <c r="H19" s="757"/>
      <c r="I19" s="758"/>
      <c r="L19" s="8"/>
    </row>
    <row r="20" spans="1:13">
      <c r="A20" s="680" t="s">
        <v>63</v>
      </c>
      <c r="B20" s="681"/>
      <c r="C20" s="682"/>
      <c r="D20" s="11">
        <v>15</v>
      </c>
      <c r="E20" s="11" t="s">
        <v>328</v>
      </c>
      <c r="F20" s="683" t="s">
        <v>113</v>
      </c>
      <c r="G20" s="683"/>
      <c r="H20" s="684"/>
      <c r="I20" s="685"/>
      <c r="L20" s="8"/>
    </row>
    <row r="21" spans="1:13">
      <c r="A21" s="680" t="s">
        <v>65</v>
      </c>
      <c r="B21" s="681"/>
      <c r="C21" s="682"/>
      <c r="D21" s="412">
        <f>+D19/D22</f>
        <v>73</v>
      </c>
      <c r="E21" s="355" t="s">
        <v>51</v>
      </c>
      <c r="F21" s="683" t="s">
        <v>114</v>
      </c>
      <c r="G21" s="683"/>
      <c r="H21" s="684"/>
      <c r="I21" s="685"/>
      <c r="L21" s="8"/>
    </row>
    <row r="22" spans="1:13">
      <c r="A22" s="680" t="s">
        <v>67</v>
      </c>
      <c r="B22" s="681"/>
      <c r="C22" s="682"/>
      <c r="D22" s="11">
        <v>320</v>
      </c>
      <c r="E22" s="11" t="s">
        <v>29</v>
      </c>
      <c r="F22" s="771" t="s">
        <v>115</v>
      </c>
      <c r="G22" s="772"/>
      <c r="H22" s="684"/>
      <c r="I22" s="685"/>
      <c r="L22" s="8"/>
      <c r="M22" s="4"/>
    </row>
    <row r="23" spans="1:13" ht="14.25" thickBot="1">
      <c r="A23" s="690" t="s">
        <v>68</v>
      </c>
      <c r="B23" s="691"/>
      <c r="C23" s="692"/>
      <c r="D23" s="413">
        <f>+E8-D19</f>
        <v>640</v>
      </c>
      <c r="E23" s="310" t="s">
        <v>29</v>
      </c>
      <c r="F23" s="693"/>
      <c r="G23" s="693"/>
      <c r="H23" s="747"/>
      <c r="I23" s="748"/>
      <c r="L23" s="8"/>
    </row>
    <row r="24" spans="1:13" ht="14.25" thickBot="1">
      <c r="A24" s="768" t="s">
        <v>69</v>
      </c>
      <c r="B24" s="769"/>
      <c r="C24" s="769"/>
      <c r="D24" s="769"/>
      <c r="E24" s="769"/>
      <c r="F24" s="769"/>
      <c r="G24" s="769"/>
      <c r="H24" s="769"/>
      <c r="I24" s="770"/>
    </row>
    <row r="25" spans="1:13">
      <c r="A25" s="807" t="s">
        <v>329</v>
      </c>
      <c r="B25" s="808"/>
      <c r="C25" s="809"/>
      <c r="D25" s="809"/>
      <c r="E25" s="809"/>
      <c r="F25" s="809"/>
      <c r="G25" s="809"/>
      <c r="H25" s="809"/>
      <c r="I25" s="810"/>
    </row>
    <row r="26" spans="1:13">
      <c r="A26" s="722" t="s">
        <v>330</v>
      </c>
      <c r="B26" s="723"/>
      <c r="C26" s="724"/>
      <c r="D26" s="724"/>
      <c r="E26" s="724"/>
      <c r="F26" s="724"/>
      <c r="G26" s="724"/>
      <c r="H26" s="724"/>
      <c r="I26" s="725"/>
    </row>
    <row r="27" spans="1:13">
      <c r="A27" s="804" t="s">
        <v>331</v>
      </c>
      <c r="B27" s="805"/>
      <c r="C27" s="805"/>
      <c r="D27" s="805"/>
      <c r="E27" s="805"/>
      <c r="F27" s="805"/>
      <c r="G27" s="805"/>
      <c r="H27" s="805"/>
      <c r="I27" s="806"/>
    </row>
    <row r="28" spans="1:13" ht="14.25" thickBot="1">
      <c r="A28" s="726"/>
      <c r="B28" s="727"/>
      <c r="C28" s="728"/>
      <c r="D28" s="728"/>
      <c r="E28" s="728"/>
      <c r="F28" s="728"/>
      <c r="G28" s="728"/>
      <c r="H28" s="728"/>
      <c r="I28" s="729"/>
    </row>
    <row r="29" spans="1:13" ht="14.25" thickBot="1">
      <c r="A29" s="768" t="s">
        <v>72</v>
      </c>
      <c r="B29" s="769"/>
      <c r="C29" s="769"/>
      <c r="D29" s="769"/>
      <c r="E29" s="769"/>
      <c r="F29" s="769"/>
      <c r="G29" s="769"/>
      <c r="H29" s="769"/>
      <c r="I29" s="770"/>
    </row>
    <row r="30" spans="1:13">
      <c r="A30" s="311" t="s">
        <v>332</v>
      </c>
      <c r="B30" s="311"/>
      <c r="C30" s="311"/>
    </row>
    <row r="31" spans="1:13">
      <c r="A31" s="311"/>
      <c r="B31" s="311"/>
    </row>
  </sheetData>
  <mergeCells count="35"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  <mergeCell ref="A21:C21"/>
    <mergeCell ref="F21:G21"/>
    <mergeCell ref="H21:I21"/>
    <mergeCell ref="A22:C22"/>
    <mergeCell ref="F22:G22"/>
    <mergeCell ref="H22:I22"/>
    <mergeCell ref="A19:C19"/>
    <mergeCell ref="F19:G19"/>
    <mergeCell ref="H19:I19"/>
    <mergeCell ref="A20:C20"/>
    <mergeCell ref="F20:G20"/>
    <mergeCell ref="H20:I20"/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545B-9E10-48E9-B054-8F58365C0D5B}">
  <dimension ref="A1:I33"/>
  <sheetViews>
    <sheetView workbookViewId="0">
      <selection activeCell="B10" sqref="B10"/>
    </sheetView>
  </sheetViews>
  <sheetFormatPr defaultColWidth="9.85546875" defaultRowHeight="15.75"/>
  <cols>
    <col min="1" max="1" width="16.140625" style="109" customWidth="1"/>
    <col min="2" max="2" width="13.5703125" style="109" customWidth="1"/>
    <col min="3" max="3" width="41.5703125" style="371" customWidth="1"/>
    <col min="4" max="4" width="11.5703125" style="371" customWidth="1"/>
    <col min="5" max="5" width="11.28515625" style="371" customWidth="1"/>
    <col min="6" max="6" width="11.42578125" style="371" customWidth="1"/>
    <col min="7" max="8" width="16.5703125" style="371" customWidth="1"/>
    <col min="9" max="9" width="20" style="371" customWidth="1"/>
    <col min="10" max="256" width="9.85546875" style="371"/>
    <col min="257" max="257" width="16.140625" style="371" customWidth="1"/>
    <col min="258" max="258" width="13.5703125" style="371" customWidth="1"/>
    <col min="259" max="259" width="41.5703125" style="371" customWidth="1"/>
    <col min="260" max="260" width="11.5703125" style="371" customWidth="1"/>
    <col min="261" max="261" width="11.28515625" style="371" customWidth="1"/>
    <col min="262" max="262" width="11.42578125" style="371" customWidth="1"/>
    <col min="263" max="264" width="16.5703125" style="371" customWidth="1"/>
    <col min="265" max="265" width="20" style="371" customWidth="1"/>
    <col min="266" max="512" width="9.85546875" style="371"/>
    <col min="513" max="513" width="16.140625" style="371" customWidth="1"/>
    <col min="514" max="514" width="13.5703125" style="371" customWidth="1"/>
    <col min="515" max="515" width="41.5703125" style="371" customWidth="1"/>
    <col min="516" max="516" width="11.5703125" style="371" customWidth="1"/>
    <col min="517" max="517" width="11.28515625" style="371" customWidth="1"/>
    <col min="518" max="518" width="11.42578125" style="371" customWidth="1"/>
    <col min="519" max="520" width="16.5703125" style="371" customWidth="1"/>
    <col min="521" max="521" width="20" style="371" customWidth="1"/>
    <col min="522" max="768" width="9.85546875" style="371"/>
    <col min="769" max="769" width="16.140625" style="371" customWidth="1"/>
    <col min="770" max="770" width="13.5703125" style="371" customWidth="1"/>
    <col min="771" max="771" width="41.5703125" style="371" customWidth="1"/>
    <col min="772" max="772" width="11.5703125" style="371" customWidth="1"/>
    <col min="773" max="773" width="11.28515625" style="371" customWidth="1"/>
    <col min="774" max="774" width="11.42578125" style="371" customWidth="1"/>
    <col min="775" max="776" width="16.5703125" style="371" customWidth="1"/>
    <col min="777" max="777" width="20" style="371" customWidth="1"/>
    <col min="778" max="1024" width="9.85546875" style="371"/>
    <col min="1025" max="1025" width="16.140625" style="371" customWidth="1"/>
    <col min="1026" max="1026" width="13.5703125" style="371" customWidth="1"/>
    <col min="1027" max="1027" width="41.5703125" style="371" customWidth="1"/>
    <col min="1028" max="1028" width="11.5703125" style="371" customWidth="1"/>
    <col min="1029" max="1029" width="11.28515625" style="371" customWidth="1"/>
    <col min="1030" max="1030" width="11.42578125" style="371" customWidth="1"/>
    <col min="1031" max="1032" width="16.5703125" style="371" customWidth="1"/>
    <col min="1033" max="1033" width="20" style="371" customWidth="1"/>
    <col min="1034" max="1280" width="9.85546875" style="371"/>
    <col min="1281" max="1281" width="16.140625" style="371" customWidth="1"/>
    <col min="1282" max="1282" width="13.5703125" style="371" customWidth="1"/>
    <col min="1283" max="1283" width="41.5703125" style="371" customWidth="1"/>
    <col min="1284" max="1284" width="11.5703125" style="371" customWidth="1"/>
    <col min="1285" max="1285" width="11.28515625" style="371" customWidth="1"/>
    <col min="1286" max="1286" width="11.42578125" style="371" customWidth="1"/>
    <col min="1287" max="1288" width="16.5703125" style="371" customWidth="1"/>
    <col min="1289" max="1289" width="20" style="371" customWidth="1"/>
    <col min="1290" max="1536" width="9.85546875" style="371"/>
    <col min="1537" max="1537" width="16.140625" style="371" customWidth="1"/>
    <col min="1538" max="1538" width="13.5703125" style="371" customWidth="1"/>
    <col min="1539" max="1539" width="41.5703125" style="371" customWidth="1"/>
    <col min="1540" max="1540" width="11.5703125" style="371" customWidth="1"/>
    <col min="1541" max="1541" width="11.28515625" style="371" customWidth="1"/>
    <col min="1542" max="1542" width="11.42578125" style="371" customWidth="1"/>
    <col min="1543" max="1544" width="16.5703125" style="371" customWidth="1"/>
    <col min="1545" max="1545" width="20" style="371" customWidth="1"/>
    <col min="1546" max="1792" width="9.85546875" style="371"/>
    <col min="1793" max="1793" width="16.140625" style="371" customWidth="1"/>
    <col min="1794" max="1794" width="13.5703125" style="371" customWidth="1"/>
    <col min="1795" max="1795" width="41.5703125" style="371" customWidth="1"/>
    <col min="1796" max="1796" width="11.5703125" style="371" customWidth="1"/>
    <col min="1797" max="1797" width="11.28515625" style="371" customWidth="1"/>
    <col min="1798" max="1798" width="11.42578125" style="371" customWidth="1"/>
    <col min="1799" max="1800" width="16.5703125" style="371" customWidth="1"/>
    <col min="1801" max="1801" width="20" style="371" customWidth="1"/>
    <col min="1802" max="2048" width="9.85546875" style="371"/>
    <col min="2049" max="2049" width="16.140625" style="371" customWidth="1"/>
    <col min="2050" max="2050" width="13.5703125" style="371" customWidth="1"/>
    <col min="2051" max="2051" width="41.5703125" style="371" customWidth="1"/>
    <col min="2052" max="2052" width="11.5703125" style="371" customWidth="1"/>
    <col min="2053" max="2053" width="11.28515625" style="371" customWidth="1"/>
    <col min="2054" max="2054" width="11.42578125" style="371" customWidth="1"/>
    <col min="2055" max="2056" width="16.5703125" style="371" customWidth="1"/>
    <col min="2057" max="2057" width="20" style="371" customWidth="1"/>
    <col min="2058" max="2304" width="9.85546875" style="371"/>
    <col min="2305" max="2305" width="16.140625" style="371" customWidth="1"/>
    <col min="2306" max="2306" width="13.5703125" style="371" customWidth="1"/>
    <col min="2307" max="2307" width="41.5703125" style="371" customWidth="1"/>
    <col min="2308" max="2308" width="11.5703125" style="371" customWidth="1"/>
    <col min="2309" max="2309" width="11.28515625" style="371" customWidth="1"/>
    <col min="2310" max="2310" width="11.42578125" style="371" customWidth="1"/>
    <col min="2311" max="2312" width="16.5703125" style="371" customWidth="1"/>
    <col min="2313" max="2313" width="20" style="371" customWidth="1"/>
    <col min="2314" max="2560" width="9.85546875" style="371"/>
    <col min="2561" max="2561" width="16.140625" style="371" customWidth="1"/>
    <col min="2562" max="2562" width="13.5703125" style="371" customWidth="1"/>
    <col min="2563" max="2563" width="41.5703125" style="371" customWidth="1"/>
    <col min="2564" max="2564" width="11.5703125" style="371" customWidth="1"/>
    <col min="2565" max="2565" width="11.28515625" style="371" customWidth="1"/>
    <col min="2566" max="2566" width="11.42578125" style="371" customWidth="1"/>
    <col min="2567" max="2568" width="16.5703125" style="371" customWidth="1"/>
    <col min="2569" max="2569" width="20" style="371" customWidth="1"/>
    <col min="2570" max="2816" width="9.85546875" style="371"/>
    <col min="2817" max="2817" width="16.140625" style="371" customWidth="1"/>
    <col min="2818" max="2818" width="13.5703125" style="371" customWidth="1"/>
    <col min="2819" max="2819" width="41.5703125" style="371" customWidth="1"/>
    <col min="2820" max="2820" width="11.5703125" style="371" customWidth="1"/>
    <col min="2821" max="2821" width="11.28515625" style="371" customWidth="1"/>
    <col min="2822" max="2822" width="11.42578125" style="371" customWidth="1"/>
    <col min="2823" max="2824" width="16.5703125" style="371" customWidth="1"/>
    <col min="2825" max="2825" width="20" style="371" customWidth="1"/>
    <col min="2826" max="3072" width="9.85546875" style="371"/>
    <col min="3073" max="3073" width="16.140625" style="371" customWidth="1"/>
    <col min="3074" max="3074" width="13.5703125" style="371" customWidth="1"/>
    <col min="3075" max="3075" width="41.5703125" style="371" customWidth="1"/>
    <col min="3076" max="3076" width="11.5703125" style="371" customWidth="1"/>
    <col min="3077" max="3077" width="11.28515625" style="371" customWidth="1"/>
    <col min="3078" max="3078" width="11.42578125" style="371" customWidth="1"/>
    <col min="3079" max="3080" width="16.5703125" style="371" customWidth="1"/>
    <col min="3081" max="3081" width="20" style="371" customWidth="1"/>
    <col min="3082" max="3328" width="9.85546875" style="371"/>
    <col min="3329" max="3329" width="16.140625" style="371" customWidth="1"/>
    <col min="3330" max="3330" width="13.5703125" style="371" customWidth="1"/>
    <col min="3331" max="3331" width="41.5703125" style="371" customWidth="1"/>
    <col min="3332" max="3332" width="11.5703125" style="371" customWidth="1"/>
    <col min="3333" max="3333" width="11.28515625" style="371" customWidth="1"/>
    <col min="3334" max="3334" width="11.42578125" style="371" customWidth="1"/>
    <col min="3335" max="3336" width="16.5703125" style="371" customWidth="1"/>
    <col min="3337" max="3337" width="20" style="371" customWidth="1"/>
    <col min="3338" max="3584" width="9.85546875" style="371"/>
    <col min="3585" max="3585" width="16.140625" style="371" customWidth="1"/>
    <col min="3586" max="3586" width="13.5703125" style="371" customWidth="1"/>
    <col min="3587" max="3587" width="41.5703125" style="371" customWidth="1"/>
    <col min="3588" max="3588" width="11.5703125" style="371" customWidth="1"/>
    <col min="3589" max="3589" width="11.28515625" style="371" customWidth="1"/>
    <col min="3590" max="3590" width="11.42578125" style="371" customWidth="1"/>
    <col min="3591" max="3592" width="16.5703125" style="371" customWidth="1"/>
    <col min="3593" max="3593" width="20" style="371" customWidth="1"/>
    <col min="3594" max="3840" width="9.85546875" style="371"/>
    <col min="3841" max="3841" width="16.140625" style="371" customWidth="1"/>
    <col min="3842" max="3842" width="13.5703125" style="371" customWidth="1"/>
    <col min="3843" max="3843" width="41.5703125" style="371" customWidth="1"/>
    <col min="3844" max="3844" width="11.5703125" style="371" customWidth="1"/>
    <col min="3845" max="3845" width="11.28515625" style="371" customWidth="1"/>
    <col min="3846" max="3846" width="11.42578125" style="371" customWidth="1"/>
    <col min="3847" max="3848" width="16.5703125" style="371" customWidth="1"/>
    <col min="3849" max="3849" width="20" style="371" customWidth="1"/>
    <col min="3850" max="4096" width="9.85546875" style="371"/>
    <col min="4097" max="4097" width="16.140625" style="371" customWidth="1"/>
    <col min="4098" max="4098" width="13.5703125" style="371" customWidth="1"/>
    <col min="4099" max="4099" width="41.5703125" style="371" customWidth="1"/>
    <col min="4100" max="4100" width="11.5703125" style="371" customWidth="1"/>
    <col min="4101" max="4101" width="11.28515625" style="371" customWidth="1"/>
    <col min="4102" max="4102" width="11.42578125" style="371" customWidth="1"/>
    <col min="4103" max="4104" width="16.5703125" style="371" customWidth="1"/>
    <col min="4105" max="4105" width="20" style="371" customWidth="1"/>
    <col min="4106" max="4352" width="9.85546875" style="371"/>
    <col min="4353" max="4353" width="16.140625" style="371" customWidth="1"/>
    <col min="4354" max="4354" width="13.5703125" style="371" customWidth="1"/>
    <col min="4355" max="4355" width="41.5703125" style="371" customWidth="1"/>
    <col min="4356" max="4356" width="11.5703125" style="371" customWidth="1"/>
    <col min="4357" max="4357" width="11.28515625" style="371" customWidth="1"/>
    <col min="4358" max="4358" width="11.42578125" style="371" customWidth="1"/>
    <col min="4359" max="4360" width="16.5703125" style="371" customWidth="1"/>
    <col min="4361" max="4361" width="20" style="371" customWidth="1"/>
    <col min="4362" max="4608" width="9.85546875" style="371"/>
    <col min="4609" max="4609" width="16.140625" style="371" customWidth="1"/>
    <col min="4610" max="4610" width="13.5703125" style="371" customWidth="1"/>
    <col min="4611" max="4611" width="41.5703125" style="371" customWidth="1"/>
    <col min="4612" max="4612" width="11.5703125" style="371" customWidth="1"/>
    <col min="4613" max="4613" width="11.28515625" style="371" customWidth="1"/>
    <col min="4614" max="4614" width="11.42578125" style="371" customWidth="1"/>
    <col min="4615" max="4616" width="16.5703125" style="371" customWidth="1"/>
    <col min="4617" max="4617" width="20" style="371" customWidth="1"/>
    <col min="4618" max="4864" width="9.85546875" style="371"/>
    <col min="4865" max="4865" width="16.140625" style="371" customWidth="1"/>
    <col min="4866" max="4866" width="13.5703125" style="371" customWidth="1"/>
    <col min="4867" max="4867" width="41.5703125" style="371" customWidth="1"/>
    <col min="4868" max="4868" width="11.5703125" style="371" customWidth="1"/>
    <col min="4869" max="4869" width="11.28515625" style="371" customWidth="1"/>
    <col min="4870" max="4870" width="11.42578125" style="371" customWidth="1"/>
    <col min="4871" max="4872" width="16.5703125" style="371" customWidth="1"/>
    <col min="4873" max="4873" width="20" style="371" customWidth="1"/>
    <col min="4874" max="5120" width="9.85546875" style="371"/>
    <col min="5121" max="5121" width="16.140625" style="371" customWidth="1"/>
    <col min="5122" max="5122" width="13.5703125" style="371" customWidth="1"/>
    <col min="5123" max="5123" width="41.5703125" style="371" customWidth="1"/>
    <col min="5124" max="5124" width="11.5703125" style="371" customWidth="1"/>
    <col min="5125" max="5125" width="11.28515625" style="371" customWidth="1"/>
    <col min="5126" max="5126" width="11.42578125" style="371" customWidth="1"/>
    <col min="5127" max="5128" width="16.5703125" style="371" customWidth="1"/>
    <col min="5129" max="5129" width="20" style="371" customWidth="1"/>
    <col min="5130" max="5376" width="9.85546875" style="371"/>
    <col min="5377" max="5377" width="16.140625" style="371" customWidth="1"/>
    <col min="5378" max="5378" width="13.5703125" style="371" customWidth="1"/>
    <col min="5379" max="5379" width="41.5703125" style="371" customWidth="1"/>
    <col min="5380" max="5380" width="11.5703125" style="371" customWidth="1"/>
    <col min="5381" max="5381" width="11.28515625" style="371" customWidth="1"/>
    <col min="5382" max="5382" width="11.42578125" style="371" customWidth="1"/>
    <col min="5383" max="5384" width="16.5703125" style="371" customWidth="1"/>
    <col min="5385" max="5385" width="20" style="371" customWidth="1"/>
    <col min="5386" max="5632" width="9.85546875" style="371"/>
    <col min="5633" max="5633" width="16.140625" style="371" customWidth="1"/>
    <col min="5634" max="5634" width="13.5703125" style="371" customWidth="1"/>
    <col min="5635" max="5635" width="41.5703125" style="371" customWidth="1"/>
    <col min="5636" max="5636" width="11.5703125" style="371" customWidth="1"/>
    <col min="5637" max="5637" width="11.28515625" style="371" customWidth="1"/>
    <col min="5638" max="5638" width="11.42578125" style="371" customWidth="1"/>
    <col min="5639" max="5640" width="16.5703125" style="371" customWidth="1"/>
    <col min="5641" max="5641" width="20" style="371" customWidth="1"/>
    <col min="5642" max="5888" width="9.85546875" style="371"/>
    <col min="5889" max="5889" width="16.140625" style="371" customWidth="1"/>
    <col min="5890" max="5890" width="13.5703125" style="371" customWidth="1"/>
    <col min="5891" max="5891" width="41.5703125" style="371" customWidth="1"/>
    <col min="5892" max="5892" width="11.5703125" style="371" customWidth="1"/>
    <col min="5893" max="5893" width="11.28515625" style="371" customWidth="1"/>
    <col min="5894" max="5894" width="11.42578125" style="371" customWidth="1"/>
    <col min="5895" max="5896" width="16.5703125" style="371" customWidth="1"/>
    <col min="5897" max="5897" width="20" style="371" customWidth="1"/>
    <col min="5898" max="6144" width="9.85546875" style="371"/>
    <col min="6145" max="6145" width="16.140625" style="371" customWidth="1"/>
    <col min="6146" max="6146" width="13.5703125" style="371" customWidth="1"/>
    <col min="6147" max="6147" width="41.5703125" style="371" customWidth="1"/>
    <col min="6148" max="6148" width="11.5703125" style="371" customWidth="1"/>
    <col min="6149" max="6149" width="11.28515625" style="371" customWidth="1"/>
    <col min="6150" max="6150" width="11.42578125" style="371" customWidth="1"/>
    <col min="6151" max="6152" width="16.5703125" style="371" customWidth="1"/>
    <col min="6153" max="6153" width="20" style="371" customWidth="1"/>
    <col min="6154" max="6400" width="9.85546875" style="371"/>
    <col min="6401" max="6401" width="16.140625" style="371" customWidth="1"/>
    <col min="6402" max="6402" width="13.5703125" style="371" customWidth="1"/>
    <col min="6403" max="6403" width="41.5703125" style="371" customWidth="1"/>
    <col min="6404" max="6404" width="11.5703125" style="371" customWidth="1"/>
    <col min="6405" max="6405" width="11.28515625" style="371" customWidth="1"/>
    <col min="6406" max="6406" width="11.42578125" style="371" customWidth="1"/>
    <col min="6407" max="6408" width="16.5703125" style="371" customWidth="1"/>
    <col min="6409" max="6409" width="20" style="371" customWidth="1"/>
    <col min="6410" max="6656" width="9.85546875" style="371"/>
    <col min="6657" max="6657" width="16.140625" style="371" customWidth="1"/>
    <col min="6658" max="6658" width="13.5703125" style="371" customWidth="1"/>
    <col min="6659" max="6659" width="41.5703125" style="371" customWidth="1"/>
    <col min="6660" max="6660" width="11.5703125" style="371" customWidth="1"/>
    <col min="6661" max="6661" width="11.28515625" style="371" customWidth="1"/>
    <col min="6662" max="6662" width="11.42578125" style="371" customWidth="1"/>
    <col min="6663" max="6664" width="16.5703125" style="371" customWidth="1"/>
    <col min="6665" max="6665" width="20" style="371" customWidth="1"/>
    <col min="6666" max="6912" width="9.85546875" style="371"/>
    <col min="6913" max="6913" width="16.140625" style="371" customWidth="1"/>
    <col min="6914" max="6914" width="13.5703125" style="371" customWidth="1"/>
    <col min="6915" max="6915" width="41.5703125" style="371" customWidth="1"/>
    <col min="6916" max="6916" width="11.5703125" style="371" customWidth="1"/>
    <col min="6917" max="6917" width="11.28515625" style="371" customWidth="1"/>
    <col min="6918" max="6918" width="11.42578125" style="371" customWidth="1"/>
    <col min="6919" max="6920" width="16.5703125" style="371" customWidth="1"/>
    <col min="6921" max="6921" width="20" style="371" customWidth="1"/>
    <col min="6922" max="7168" width="9.85546875" style="371"/>
    <col min="7169" max="7169" width="16.140625" style="371" customWidth="1"/>
    <col min="7170" max="7170" width="13.5703125" style="371" customWidth="1"/>
    <col min="7171" max="7171" width="41.5703125" style="371" customWidth="1"/>
    <col min="7172" max="7172" width="11.5703125" style="371" customWidth="1"/>
    <col min="7173" max="7173" width="11.28515625" style="371" customWidth="1"/>
    <col min="7174" max="7174" width="11.42578125" style="371" customWidth="1"/>
    <col min="7175" max="7176" width="16.5703125" style="371" customWidth="1"/>
    <col min="7177" max="7177" width="20" style="371" customWidth="1"/>
    <col min="7178" max="7424" width="9.85546875" style="371"/>
    <col min="7425" max="7425" width="16.140625" style="371" customWidth="1"/>
    <col min="7426" max="7426" width="13.5703125" style="371" customWidth="1"/>
    <col min="7427" max="7427" width="41.5703125" style="371" customWidth="1"/>
    <col min="7428" max="7428" width="11.5703125" style="371" customWidth="1"/>
    <col min="7429" max="7429" width="11.28515625" style="371" customWidth="1"/>
    <col min="7430" max="7430" width="11.42578125" style="371" customWidth="1"/>
    <col min="7431" max="7432" width="16.5703125" style="371" customWidth="1"/>
    <col min="7433" max="7433" width="20" style="371" customWidth="1"/>
    <col min="7434" max="7680" width="9.85546875" style="371"/>
    <col min="7681" max="7681" width="16.140625" style="371" customWidth="1"/>
    <col min="7682" max="7682" width="13.5703125" style="371" customWidth="1"/>
    <col min="7683" max="7683" width="41.5703125" style="371" customWidth="1"/>
    <col min="7684" max="7684" width="11.5703125" style="371" customWidth="1"/>
    <col min="7685" max="7685" width="11.28515625" style="371" customWidth="1"/>
    <col min="7686" max="7686" width="11.42578125" style="371" customWidth="1"/>
    <col min="7687" max="7688" width="16.5703125" style="371" customWidth="1"/>
    <col min="7689" max="7689" width="20" style="371" customWidth="1"/>
    <col min="7690" max="7936" width="9.85546875" style="371"/>
    <col min="7937" max="7937" width="16.140625" style="371" customWidth="1"/>
    <col min="7938" max="7938" width="13.5703125" style="371" customWidth="1"/>
    <col min="7939" max="7939" width="41.5703125" style="371" customWidth="1"/>
    <col min="7940" max="7940" width="11.5703125" style="371" customWidth="1"/>
    <col min="7941" max="7941" width="11.28515625" style="371" customWidth="1"/>
    <col min="7942" max="7942" width="11.42578125" style="371" customWidth="1"/>
    <col min="7943" max="7944" width="16.5703125" style="371" customWidth="1"/>
    <col min="7945" max="7945" width="20" style="371" customWidth="1"/>
    <col min="7946" max="8192" width="9.85546875" style="371"/>
    <col min="8193" max="8193" width="16.140625" style="371" customWidth="1"/>
    <col min="8194" max="8194" width="13.5703125" style="371" customWidth="1"/>
    <col min="8195" max="8195" width="41.5703125" style="371" customWidth="1"/>
    <col min="8196" max="8196" width="11.5703125" style="371" customWidth="1"/>
    <col min="8197" max="8197" width="11.28515625" style="371" customWidth="1"/>
    <col min="8198" max="8198" width="11.42578125" style="371" customWidth="1"/>
    <col min="8199" max="8200" width="16.5703125" style="371" customWidth="1"/>
    <col min="8201" max="8201" width="20" style="371" customWidth="1"/>
    <col min="8202" max="8448" width="9.85546875" style="371"/>
    <col min="8449" max="8449" width="16.140625" style="371" customWidth="1"/>
    <col min="8450" max="8450" width="13.5703125" style="371" customWidth="1"/>
    <col min="8451" max="8451" width="41.5703125" style="371" customWidth="1"/>
    <col min="8452" max="8452" width="11.5703125" style="371" customWidth="1"/>
    <col min="8453" max="8453" width="11.28515625" style="371" customWidth="1"/>
    <col min="8454" max="8454" width="11.42578125" style="371" customWidth="1"/>
    <col min="8455" max="8456" width="16.5703125" style="371" customWidth="1"/>
    <col min="8457" max="8457" width="20" style="371" customWidth="1"/>
    <col min="8458" max="8704" width="9.85546875" style="371"/>
    <col min="8705" max="8705" width="16.140625" style="371" customWidth="1"/>
    <col min="8706" max="8706" width="13.5703125" style="371" customWidth="1"/>
    <col min="8707" max="8707" width="41.5703125" style="371" customWidth="1"/>
    <col min="8708" max="8708" width="11.5703125" style="371" customWidth="1"/>
    <col min="8709" max="8709" width="11.28515625" style="371" customWidth="1"/>
    <col min="8710" max="8710" width="11.42578125" style="371" customWidth="1"/>
    <col min="8711" max="8712" width="16.5703125" style="371" customWidth="1"/>
    <col min="8713" max="8713" width="20" style="371" customWidth="1"/>
    <col min="8714" max="8960" width="9.85546875" style="371"/>
    <col min="8961" max="8961" width="16.140625" style="371" customWidth="1"/>
    <col min="8962" max="8962" width="13.5703125" style="371" customWidth="1"/>
    <col min="8963" max="8963" width="41.5703125" style="371" customWidth="1"/>
    <col min="8964" max="8964" width="11.5703125" style="371" customWidth="1"/>
    <col min="8965" max="8965" width="11.28515625" style="371" customWidth="1"/>
    <col min="8966" max="8966" width="11.42578125" style="371" customWidth="1"/>
    <col min="8967" max="8968" width="16.5703125" style="371" customWidth="1"/>
    <col min="8969" max="8969" width="20" style="371" customWidth="1"/>
    <col min="8970" max="9216" width="9.85546875" style="371"/>
    <col min="9217" max="9217" width="16.140625" style="371" customWidth="1"/>
    <col min="9218" max="9218" width="13.5703125" style="371" customWidth="1"/>
    <col min="9219" max="9219" width="41.5703125" style="371" customWidth="1"/>
    <col min="9220" max="9220" width="11.5703125" style="371" customWidth="1"/>
    <col min="9221" max="9221" width="11.28515625" style="371" customWidth="1"/>
    <col min="9222" max="9222" width="11.42578125" style="371" customWidth="1"/>
    <col min="9223" max="9224" width="16.5703125" style="371" customWidth="1"/>
    <col min="9225" max="9225" width="20" style="371" customWidth="1"/>
    <col min="9226" max="9472" width="9.85546875" style="371"/>
    <col min="9473" max="9473" width="16.140625" style="371" customWidth="1"/>
    <col min="9474" max="9474" width="13.5703125" style="371" customWidth="1"/>
    <col min="9475" max="9475" width="41.5703125" style="371" customWidth="1"/>
    <col min="9476" max="9476" width="11.5703125" style="371" customWidth="1"/>
    <col min="9477" max="9477" width="11.28515625" style="371" customWidth="1"/>
    <col min="9478" max="9478" width="11.42578125" style="371" customWidth="1"/>
    <col min="9479" max="9480" width="16.5703125" style="371" customWidth="1"/>
    <col min="9481" max="9481" width="20" style="371" customWidth="1"/>
    <col min="9482" max="9728" width="9.85546875" style="371"/>
    <col min="9729" max="9729" width="16.140625" style="371" customWidth="1"/>
    <col min="9730" max="9730" width="13.5703125" style="371" customWidth="1"/>
    <col min="9731" max="9731" width="41.5703125" style="371" customWidth="1"/>
    <col min="9732" max="9732" width="11.5703125" style="371" customWidth="1"/>
    <col min="9733" max="9733" width="11.28515625" style="371" customWidth="1"/>
    <col min="9734" max="9734" width="11.42578125" style="371" customWidth="1"/>
    <col min="9735" max="9736" width="16.5703125" style="371" customWidth="1"/>
    <col min="9737" max="9737" width="20" style="371" customWidth="1"/>
    <col min="9738" max="9984" width="9.85546875" style="371"/>
    <col min="9985" max="9985" width="16.140625" style="371" customWidth="1"/>
    <col min="9986" max="9986" width="13.5703125" style="371" customWidth="1"/>
    <col min="9987" max="9987" width="41.5703125" style="371" customWidth="1"/>
    <col min="9988" max="9988" width="11.5703125" style="371" customWidth="1"/>
    <col min="9989" max="9989" width="11.28515625" style="371" customWidth="1"/>
    <col min="9990" max="9990" width="11.42578125" style="371" customWidth="1"/>
    <col min="9991" max="9992" width="16.5703125" style="371" customWidth="1"/>
    <col min="9993" max="9993" width="20" style="371" customWidth="1"/>
    <col min="9994" max="10240" width="9.85546875" style="371"/>
    <col min="10241" max="10241" width="16.140625" style="371" customWidth="1"/>
    <col min="10242" max="10242" width="13.5703125" style="371" customWidth="1"/>
    <col min="10243" max="10243" width="41.5703125" style="371" customWidth="1"/>
    <col min="10244" max="10244" width="11.5703125" style="371" customWidth="1"/>
    <col min="10245" max="10245" width="11.28515625" style="371" customWidth="1"/>
    <col min="10246" max="10246" width="11.42578125" style="371" customWidth="1"/>
    <col min="10247" max="10248" width="16.5703125" style="371" customWidth="1"/>
    <col min="10249" max="10249" width="20" style="371" customWidth="1"/>
    <col min="10250" max="10496" width="9.85546875" style="371"/>
    <col min="10497" max="10497" width="16.140625" style="371" customWidth="1"/>
    <col min="10498" max="10498" width="13.5703125" style="371" customWidth="1"/>
    <col min="10499" max="10499" width="41.5703125" style="371" customWidth="1"/>
    <col min="10500" max="10500" width="11.5703125" style="371" customWidth="1"/>
    <col min="10501" max="10501" width="11.28515625" style="371" customWidth="1"/>
    <col min="10502" max="10502" width="11.42578125" style="371" customWidth="1"/>
    <col min="10503" max="10504" width="16.5703125" style="371" customWidth="1"/>
    <col min="10505" max="10505" width="20" style="371" customWidth="1"/>
    <col min="10506" max="10752" width="9.85546875" style="371"/>
    <col min="10753" max="10753" width="16.140625" style="371" customWidth="1"/>
    <col min="10754" max="10754" width="13.5703125" style="371" customWidth="1"/>
    <col min="10755" max="10755" width="41.5703125" style="371" customWidth="1"/>
    <col min="10756" max="10756" width="11.5703125" style="371" customWidth="1"/>
    <col min="10757" max="10757" width="11.28515625" style="371" customWidth="1"/>
    <col min="10758" max="10758" width="11.42578125" style="371" customWidth="1"/>
    <col min="10759" max="10760" width="16.5703125" style="371" customWidth="1"/>
    <col min="10761" max="10761" width="20" style="371" customWidth="1"/>
    <col min="10762" max="11008" width="9.85546875" style="371"/>
    <col min="11009" max="11009" width="16.140625" style="371" customWidth="1"/>
    <col min="11010" max="11010" width="13.5703125" style="371" customWidth="1"/>
    <col min="11011" max="11011" width="41.5703125" style="371" customWidth="1"/>
    <col min="11012" max="11012" width="11.5703125" style="371" customWidth="1"/>
    <col min="11013" max="11013" width="11.28515625" style="371" customWidth="1"/>
    <col min="11014" max="11014" width="11.42578125" style="371" customWidth="1"/>
    <col min="11015" max="11016" width="16.5703125" style="371" customWidth="1"/>
    <col min="11017" max="11017" width="20" style="371" customWidth="1"/>
    <col min="11018" max="11264" width="9.85546875" style="371"/>
    <col min="11265" max="11265" width="16.140625" style="371" customWidth="1"/>
    <col min="11266" max="11266" width="13.5703125" style="371" customWidth="1"/>
    <col min="11267" max="11267" width="41.5703125" style="371" customWidth="1"/>
    <col min="11268" max="11268" width="11.5703125" style="371" customWidth="1"/>
    <col min="11269" max="11269" width="11.28515625" style="371" customWidth="1"/>
    <col min="11270" max="11270" width="11.42578125" style="371" customWidth="1"/>
    <col min="11271" max="11272" width="16.5703125" style="371" customWidth="1"/>
    <col min="11273" max="11273" width="20" style="371" customWidth="1"/>
    <col min="11274" max="11520" width="9.85546875" style="371"/>
    <col min="11521" max="11521" width="16.140625" style="371" customWidth="1"/>
    <col min="11522" max="11522" width="13.5703125" style="371" customWidth="1"/>
    <col min="11523" max="11523" width="41.5703125" style="371" customWidth="1"/>
    <col min="11524" max="11524" width="11.5703125" style="371" customWidth="1"/>
    <col min="11525" max="11525" width="11.28515625" style="371" customWidth="1"/>
    <col min="11526" max="11526" width="11.42578125" style="371" customWidth="1"/>
    <col min="11527" max="11528" width="16.5703125" style="371" customWidth="1"/>
    <col min="11529" max="11529" width="20" style="371" customWidth="1"/>
    <col min="11530" max="11776" width="9.85546875" style="371"/>
    <col min="11777" max="11777" width="16.140625" style="371" customWidth="1"/>
    <col min="11778" max="11778" width="13.5703125" style="371" customWidth="1"/>
    <col min="11779" max="11779" width="41.5703125" style="371" customWidth="1"/>
    <col min="11780" max="11780" width="11.5703125" style="371" customWidth="1"/>
    <col min="11781" max="11781" width="11.28515625" style="371" customWidth="1"/>
    <col min="11782" max="11782" width="11.42578125" style="371" customWidth="1"/>
    <col min="11783" max="11784" width="16.5703125" style="371" customWidth="1"/>
    <col min="11785" max="11785" width="20" style="371" customWidth="1"/>
    <col min="11786" max="12032" width="9.85546875" style="371"/>
    <col min="12033" max="12033" width="16.140625" style="371" customWidth="1"/>
    <col min="12034" max="12034" width="13.5703125" style="371" customWidth="1"/>
    <col min="12035" max="12035" width="41.5703125" style="371" customWidth="1"/>
    <col min="12036" max="12036" width="11.5703125" style="371" customWidth="1"/>
    <col min="12037" max="12037" width="11.28515625" style="371" customWidth="1"/>
    <col min="12038" max="12038" width="11.42578125" style="371" customWidth="1"/>
    <col min="12039" max="12040" width="16.5703125" style="371" customWidth="1"/>
    <col min="12041" max="12041" width="20" style="371" customWidth="1"/>
    <col min="12042" max="12288" width="9.85546875" style="371"/>
    <col min="12289" max="12289" width="16.140625" style="371" customWidth="1"/>
    <col min="12290" max="12290" width="13.5703125" style="371" customWidth="1"/>
    <col min="12291" max="12291" width="41.5703125" style="371" customWidth="1"/>
    <col min="12292" max="12292" width="11.5703125" style="371" customWidth="1"/>
    <col min="12293" max="12293" width="11.28515625" style="371" customWidth="1"/>
    <col min="12294" max="12294" width="11.42578125" style="371" customWidth="1"/>
    <col min="12295" max="12296" width="16.5703125" style="371" customWidth="1"/>
    <col min="12297" max="12297" width="20" style="371" customWidth="1"/>
    <col min="12298" max="12544" width="9.85546875" style="371"/>
    <col min="12545" max="12545" width="16.140625" style="371" customWidth="1"/>
    <col min="12546" max="12546" width="13.5703125" style="371" customWidth="1"/>
    <col min="12547" max="12547" width="41.5703125" style="371" customWidth="1"/>
    <col min="12548" max="12548" width="11.5703125" style="371" customWidth="1"/>
    <col min="12549" max="12549" width="11.28515625" style="371" customWidth="1"/>
    <col min="12550" max="12550" width="11.42578125" style="371" customWidth="1"/>
    <col min="12551" max="12552" width="16.5703125" style="371" customWidth="1"/>
    <col min="12553" max="12553" width="20" style="371" customWidth="1"/>
    <col min="12554" max="12800" width="9.85546875" style="371"/>
    <col min="12801" max="12801" width="16.140625" style="371" customWidth="1"/>
    <col min="12802" max="12802" width="13.5703125" style="371" customWidth="1"/>
    <col min="12803" max="12803" width="41.5703125" style="371" customWidth="1"/>
    <col min="12804" max="12804" width="11.5703125" style="371" customWidth="1"/>
    <col min="12805" max="12805" width="11.28515625" style="371" customWidth="1"/>
    <col min="12806" max="12806" width="11.42578125" style="371" customWidth="1"/>
    <col min="12807" max="12808" width="16.5703125" style="371" customWidth="1"/>
    <col min="12809" max="12809" width="20" style="371" customWidth="1"/>
    <col min="12810" max="13056" width="9.85546875" style="371"/>
    <col min="13057" max="13057" width="16.140625" style="371" customWidth="1"/>
    <col min="13058" max="13058" width="13.5703125" style="371" customWidth="1"/>
    <col min="13059" max="13059" width="41.5703125" style="371" customWidth="1"/>
    <col min="13060" max="13060" width="11.5703125" style="371" customWidth="1"/>
    <col min="13061" max="13061" width="11.28515625" style="371" customWidth="1"/>
    <col min="13062" max="13062" width="11.42578125" style="371" customWidth="1"/>
    <col min="13063" max="13064" width="16.5703125" style="371" customWidth="1"/>
    <col min="13065" max="13065" width="20" style="371" customWidth="1"/>
    <col min="13066" max="13312" width="9.85546875" style="371"/>
    <col min="13313" max="13313" width="16.140625" style="371" customWidth="1"/>
    <col min="13314" max="13314" width="13.5703125" style="371" customWidth="1"/>
    <col min="13315" max="13315" width="41.5703125" style="371" customWidth="1"/>
    <col min="13316" max="13316" width="11.5703125" style="371" customWidth="1"/>
    <col min="13317" max="13317" width="11.28515625" style="371" customWidth="1"/>
    <col min="13318" max="13318" width="11.42578125" style="371" customWidth="1"/>
    <col min="13319" max="13320" width="16.5703125" style="371" customWidth="1"/>
    <col min="13321" max="13321" width="20" style="371" customWidth="1"/>
    <col min="13322" max="13568" width="9.85546875" style="371"/>
    <col min="13569" max="13569" width="16.140625" style="371" customWidth="1"/>
    <col min="13570" max="13570" width="13.5703125" style="371" customWidth="1"/>
    <col min="13571" max="13571" width="41.5703125" style="371" customWidth="1"/>
    <col min="13572" max="13572" width="11.5703125" style="371" customWidth="1"/>
    <col min="13573" max="13573" width="11.28515625" style="371" customWidth="1"/>
    <col min="13574" max="13574" width="11.42578125" style="371" customWidth="1"/>
    <col min="13575" max="13576" width="16.5703125" style="371" customWidth="1"/>
    <col min="13577" max="13577" width="20" style="371" customWidth="1"/>
    <col min="13578" max="13824" width="9.85546875" style="371"/>
    <col min="13825" max="13825" width="16.140625" style="371" customWidth="1"/>
    <col min="13826" max="13826" width="13.5703125" style="371" customWidth="1"/>
    <col min="13827" max="13827" width="41.5703125" style="371" customWidth="1"/>
    <col min="13828" max="13828" width="11.5703125" style="371" customWidth="1"/>
    <col min="13829" max="13829" width="11.28515625" style="371" customWidth="1"/>
    <col min="13830" max="13830" width="11.42578125" style="371" customWidth="1"/>
    <col min="13831" max="13832" width="16.5703125" style="371" customWidth="1"/>
    <col min="13833" max="13833" width="20" style="371" customWidth="1"/>
    <col min="13834" max="14080" width="9.85546875" style="371"/>
    <col min="14081" max="14081" width="16.140625" style="371" customWidth="1"/>
    <col min="14082" max="14082" width="13.5703125" style="371" customWidth="1"/>
    <col min="14083" max="14083" width="41.5703125" style="371" customWidth="1"/>
    <col min="14084" max="14084" width="11.5703125" style="371" customWidth="1"/>
    <col min="14085" max="14085" width="11.28515625" style="371" customWidth="1"/>
    <col min="14086" max="14086" width="11.42578125" style="371" customWidth="1"/>
    <col min="14087" max="14088" width="16.5703125" style="371" customWidth="1"/>
    <col min="14089" max="14089" width="20" style="371" customWidth="1"/>
    <col min="14090" max="14336" width="9.85546875" style="371"/>
    <col min="14337" max="14337" width="16.140625" style="371" customWidth="1"/>
    <col min="14338" max="14338" width="13.5703125" style="371" customWidth="1"/>
    <col min="14339" max="14339" width="41.5703125" style="371" customWidth="1"/>
    <col min="14340" max="14340" width="11.5703125" style="371" customWidth="1"/>
    <col min="14341" max="14341" width="11.28515625" style="371" customWidth="1"/>
    <col min="14342" max="14342" width="11.42578125" style="371" customWidth="1"/>
    <col min="14343" max="14344" width="16.5703125" style="371" customWidth="1"/>
    <col min="14345" max="14345" width="20" style="371" customWidth="1"/>
    <col min="14346" max="14592" width="9.85546875" style="371"/>
    <col min="14593" max="14593" width="16.140625" style="371" customWidth="1"/>
    <col min="14594" max="14594" width="13.5703125" style="371" customWidth="1"/>
    <col min="14595" max="14595" width="41.5703125" style="371" customWidth="1"/>
    <col min="14596" max="14596" width="11.5703125" style="371" customWidth="1"/>
    <col min="14597" max="14597" width="11.28515625" style="371" customWidth="1"/>
    <col min="14598" max="14598" width="11.42578125" style="371" customWidth="1"/>
    <col min="14599" max="14600" width="16.5703125" style="371" customWidth="1"/>
    <col min="14601" max="14601" width="20" style="371" customWidth="1"/>
    <col min="14602" max="14848" width="9.85546875" style="371"/>
    <col min="14849" max="14849" width="16.140625" style="371" customWidth="1"/>
    <col min="14850" max="14850" width="13.5703125" style="371" customWidth="1"/>
    <col min="14851" max="14851" width="41.5703125" style="371" customWidth="1"/>
    <col min="14852" max="14852" width="11.5703125" style="371" customWidth="1"/>
    <col min="14853" max="14853" width="11.28515625" style="371" customWidth="1"/>
    <col min="14854" max="14854" width="11.42578125" style="371" customWidth="1"/>
    <col min="14855" max="14856" width="16.5703125" style="371" customWidth="1"/>
    <col min="14857" max="14857" width="20" style="371" customWidth="1"/>
    <col min="14858" max="15104" width="9.85546875" style="371"/>
    <col min="15105" max="15105" width="16.140625" style="371" customWidth="1"/>
    <col min="15106" max="15106" width="13.5703125" style="371" customWidth="1"/>
    <col min="15107" max="15107" width="41.5703125" style="371" customWidth="1"/>
    <col min="15108" max="15108" width="11.5703125" style="371" customWidth="1"/>
    <col min="15109" max="15109" width="11.28515625" style="371" customWidth="1"/>
    <col min="15110" max="15110" width="11.42578125" style="371" customWidth="1"/>
    <col min="15111" max="15112" width="16.5703125" style="371" customWidth="1"/>
    <col min="15113" max="15113" width="20" style="371" customWidth="1"/>
    <col min="15114" max="15360" width="9.85546875" style="371"/>
    <col min="15361" max="15361" width="16.140625" style="371" customWidth="1"/>
    <col min="15362" max="15362" width="13.5703125" style="371" customWidth="1"/>
    <col min="15363" max="15363" width="41.5703125" style="371" customWidth="1"/>
    <col min="15364" max="15364" width="11.5703125" style="371" customWidth="1"/>
    <col min="15365" max="15365" width="11.28515625" style="371" customWidth="1"/>
    <col min="15366" max="15366" width="11.42578125" style="371" customWidth="1"/>
    <col min="15367" max="15368" width="16.5703125" style="371" customWidth="1"/>
    <col min="15369" max="15369" width="20" style="371" customWidth="1"/>
    <col min="15370" max="15616" width="9.85546875" style="371"/>
    <col min="15617" max="15617" width="16.140625" style="371" customWidth="1"/>
    <col min="15618" max="15618" width="13.5703125" style="371" customWidth="1"/>
    <col min="15619" max="15619" width="41.5703125" style="371" customWidth="1"/>
    <col min="15620" max="15620" width="11.5703125" style="371" customWidth="1"/>
    <col min="15621" max="15621" width="11.28515625" style="371" customWidth="1"/>
    <col min="15622" max="15622" width="11.42578125" style="371" customWidth="1"/>
    <col min="15623" max="15624" width="16.5703125" style="371" customWidth="1"/>
    <col min="15625" max="15625" width="20" style="371" customWidth="1"/>
    <col min="15626" max="15872" width="9.85546875" style="371"/>
    <col min="15873" max="15873" width="16.140625" style="371" customWidth="1"/>
    <col min="15874" max="15874" width="13.5703125" style="371" customWidth="1"/>
    <col min="15875" max="15875" width="41.5703125" style="371" customWidth="1"/>
    <col min="15876" max="15876" width="11.5703125" style="371" customWidth="1"/>
    <col min="15877" max="15877" width="11.28515625" style="371" customWidth="1"/>
    <col min="15878" max="15878" width="11.42578125" style="371" customWidth="1"/>
    <col min="15879" max="15880" width="16.5703125" style="371" customWidth="1"/>
    <col min="15881" max="15881" width="20" style="371" customWidth="1"/>
    <col min="15882" max="16128" width="9.85546875" style="371"/>
    <col min="16129" max="16129" width="16.140625" style="371" customWidth="1"/>
    <col min="16130" max="16130" width="13.5703125" style="371" customWidth="1"/>
    <col min="16131" max="16131" width="41.5703125" style="371" customWidth="1"/>
    <col min="16132" max="16132" width="11.5703125" style="371" customWidth="1"/>
    <col min="16133" max="16133" width="11.28515625" style="371" customWidth="1"/>
    <col min="16134" max="16134" width="11.42578125" style="371" customWidth="1"/>
    <col min="16135" max="16136" width="16.5703125" style="371" customWidth="1"/>
    <col min="16137" max="16137" width="20" style="371" customWidth="1"/>
    <col min="16138" max="16384" width="9.85546875" style="371"/>
  </cols>
  <sheetData>
    <row r="1" spans="1:9">
      <c r="A1" s="620"/>
      <c r="B1" s="814"/>
      <c r="C1" s="817" t="s">
        <v>0</v>
      </c>
      <c r="D1" s="626"/>
      <c r="E1" s="626"/>
      <c r="F1" s="626"/>
      <c r="G1" s="626"/>
      <c r="H1" s="202" t="s">
        <v>1</v>
      </c>
      <c r="I1" s="203" t="s">
        <v>333</v>
      </c>
    </row>
    <row r="2" spans="1:9" ht="16.5" thickBot="1">
      <c r="A2" s="622"/>
      <c r="B2" s="815"/>
      <c r="C2" s="818" t="s">
        <v>3</v>
      </c>
      <c r="D2" s="708"/>
      <c r="E2" s="708"/>
      <c r="F2" s="708"/>
      <c r="G2" s="708"/>
      <c r="H2" s="204" t="s">
        <v>4</v>
      </c>
      <c r="I2" s="205" t="s">
        <v>5</v>
      </c>
    </row>
    <row r="3" spans="1:9" ht="18.75" thickBot="1">
      <c r="A3" s="622"/>
      <c r="B3" s="815"/>
      <c r="C3" s="631" t="s">
        <v>334</v>
      </c>
      <c r="D3" s="631"/>
      <c r="E3" s="631"/>
      <c r="F3" s="631"/>
      <c r="G3" s="632"/>
      <c r="H3" s="633" t="s">
        <v>7</v>
      </c>
      <c r="I3" s="611">
        <v>44109</v>
      </c>
    </row>
    <row r="4" spans="1:9">
      <c r="A4" s="622"/>
      <c r="B4" s="815"/>
      <c r="C4" s="372" t="s">
        <v>9</v>
      </c>
      <c r="D4" s="614" t="s">
        <v>10</v>
      </c>
      <c r="E4" s="615"/>
      <c r="F4" s="615"/>
      <c r="G4" s="616"/>
      <c r="H4" s="634"/>
      <c r="I4" s="612"/>
    </row>
    <row r="5" spans="1:9" ht="16.5" thickBot="1">
      <c r="A5" s="705"/>
      <c r="B5" s="816"/>
      <c r="C5" s="373" t="s">
        <v>11</v>
      </c>
      <c r="D5" s="811" t="s">
        <v>96</v>
      </c>
      <c r="E5" s="812"/>
      <c r="F5" s="812"/>
      <c r="G5" s="813"/>
      <c r="H5" s="634"/>
      <c r="I5" s="612"/>
    </row>
    <row r="6" spans="1:9" ht="16.5" thickBot="1">
      <c r="A6" s="819" t="s">
        <v>13</v>
      </c>
      <c r="B6" s="820"/>
      <c r="C6" s="820"/>
      <c r="D6" s="821" t="s">
        <v>178</v>
      </c>
      <c r="E6" s="821"/>
      <c r="F6" s="821"/>
      <c r="G6" s="822" t="s">
        <v>15</v>
      </c>
      <c r="H6" s="822"/>
      <c r="I6" s="374" t="s">
        <v>179</v>
      </c>
    </row>
    <row r="7" spans="1:9">
      <c r="A7" s="776" t="s">
        <v>16</v>
      </c>
      <c r="B7" s="761" t="s">
        <v>17</v>
      </c>
      <c r="C7" s="763" t="s">
        <v>18</v>
      </c>
      <c r="D7" s="763" t="s">
        <v>19</v>
      </c>
      <c r="E7" s="763" t="s">
        <v>20</v>
      </c>
      <c r="F7" s="763"/>
      <c r="G7" s="763" t="s">
        <v>21</v>
      </c>
      <c r="H7" s="763"/>
      <c r="I7" s="284" t="s">
        <v>22</v>
      </c>
    </row>
    <row r="8" spans="1:9" ht="27" thickBot="1">
      <c r="A8" s="777"/>
      <c r="B8" s="762"/>
      <c r="C8" s="764"/>
      <c r="D8" s="764"/>
      <c r="E8" s="285" t="s">
        <v>23</v>
      </c>
      <c r="F8" s="286" t="s">
        <v>24</v>
      </c>
      <c r="G8" s="285" t="s">
        <v>23</v>
      </c>
      <c r="H8" s="286" t="s">
        <v>24</v>
      </c>
      <c r="I8" s="313" t="s">
        <v>25</v>
      </c>
    </row>
    <row r="9" spans="1:9">
      <c r="A9" s="375"/>
      <c r="B9" s="376"/>
      <c r="C9" s="377"/>
      <c r="D9" s="242"/>
      <c r="E9" s="242"/>
      <c r="F9" s="242"/>
      <c r="G9" s="29"/>
      <c r="H9" s="11"/>
      <c r="I9" s="318"/>
    </row>
    <row r="10" spans="1:9">
      <c r="A10" s="200" t="s">
        <v>335</v>
      </c>
      <c r="B10" s="200" t="s">
        <v>336</v>
      </c>
      <c r="C10" t="s">
        <v>337</v>
      </c>
      <c r="D10" s="378" t="s">
        <v>79</v>
      </c>
      <c r="E10" s="379">
        <v>1500</v>
      </c>
      <c r="F10" s="380" t="s">
        <v>29</v>
      </c>
      <c r="G10" s="29"/>
      <c r="H10" s="11"/>
      <c r="I10" s="318"/>
    </row>
    <row r="11" spans="1:9">
      <c r="A11" s="381"/>
      <c r="B11" s="381"/>
      <c r="C11" s="382"/>
      <c r="D11" s="378"/>
      <c r="E11" s="383"/>
      <c r="F11" s="384"/>
      <c r="G11" s="29"/>
      <c r="H11" s="11"/>
      <c r="I11" s="318"/>
    </row>
    <row r="12" spans="1:9">
      <c r="A12" s="200">
        <v>512000003</v>
      </c>
      <c r="B12" s="200" t="s">
        <v>338</v>
      </c>
      <c r="C12" t="s">
        <v>339</v>
      </c>
      <c r="D12" s="378" t="s">
        <v>340</v>
      </c>
      <c r="E12" s="28">
        <v>40</v>
      </c>
      <c r="F12" s="28" t="s">
        <v>210</v>
      </c>
      <c r="G12" s="28"/>
      <c r="H12" s="28"/>
      <c r="I12" s="25"/>
    </row>
    <row r="13" spans="1:9">
      <c r="A13" s="381">
        <v>702123</v>
      </c>
      <c r="B13" s="381" t="s">
        <v>55</v>
      </c>
      <c r="C13" s="382" t="s">
        <v>56</v>
      </c>
      <c r="D13" s="378" t="s">
        <v>341</v>
      </c>
      <c r="E13" s="28">
        <v>1</v>
      </c>
      <c r="F13" s="28" t="s">
        <v>51</v>
      </c>
      <c r="G13" s="28"/>
      <c r="H13" s="28"/>
      <c r="I13" s="25"/>
    </row>
    <row r="14" spans="1:9">
      <c r="A14" s="381">
        <v>702007</v>
      </c>
      <c r="B14" s="381" t="s">
        <v>105</v>
      </c>
      <c r="C14" s="382" t="s">
        <v>106</v>
      </c>
      <c r="D14" s="378" t="s">
        <v>341</v>
      </c>
      <c r="E14" s="28">
        <v>1</v>
      </c>
      <c r="F14" s="28" t="s">
        <v>51</v>
      </c>
      <c r="G14" s="28"/>
      <c r="H14" s="28"/>
      <c r="I14" s="25"/>
    </row>
    <row r="15" spans="1:9">
      <c r="A15" s="381"/>
      <c r="B15" s="381"/>
      <c r="C15" s="382"/>
      <c r="D15" s="378"/>
      <c r="E15" s="28"/>
      <c r="F15" s="28"/>
      <c r="G15" s="28"/>
      <c r="H15" s="28"/>
      <c r="I15" s="25"/>
    </row>
    <row r="16" spans="1:9" ht="16.5" thickBot="1">
      <c r="A16" s="296"/>
      <c r="B16" s="297"/>
      <c r="C16" s="5"/>
      <c r="D16" s="5"/>
      <c r="E16" s="298"/>
      <c r="F16" s="299"/>
      <c r="G16" s="5"/>
      <c r="H16" s="5"/>
      <c r="I16" s="300"/>
    </row>
    <row r="17" spans="1:9" ht="16.5" thickBot="1">
      <c r="A17" s="301"/>
      <c r="B17" s="302"/>
      <c r="C17" s="303"/>
      <c r="D17" s="304" t="s">
        <v>23</v>
      </c>
      <c r="E17" s="305" t="s">
        <v>61</v>
      </c>
      <c r="F17" s="306"/>
      <c r="G17" s="303"/>
      <c r="H17" s="303"/>
      <c r="I17" s="307"/>
    </row>
    <row r="18" spans="1:9">
      <c r="A18" s="753" t="s">
        <v>62</v>
      </c>
      <c r="B18" s="754"/>
      <c r="C18" s="755"/>
      <c r="D18" s="291">
        <v>1206</v>
      </c>
      <c r="E18" s="308" t="s">
        <v>29</v>
      </c>
      <c r="F18" s="756" t="s">
        <v>112</v>
      </c>
      <c r="G18" s="756"/>
      <c r="H18" s="385" t="s">
        <v>342</v>
      </c>
      <c r="I18" s="386" t="s">
        <v>343</v>
      </c>
    </row>
    <row r="19" spans="1:9">
      <c r="A19" s="680" t="s">
        <v>63</v>
      </c>
      <c r="B19" s="681"/>
      <c r="C19" s="682"/>
      <c r="D19" s="355">
        <v>7</v>
      </c>
      <c r="E19" s="11" t="s">
        <v>64</v>
      </c>
      <c r="F19" s="683" t="s">
        <v>113</v>
      </c>
      <c r="G19" s="683"/>
      <c r="H19" s="387" t="s">
        <v>344</v>
      </c>
      <c r="I19" s="388" t="s">
        <v>345</v>
      </c>
    </row>
    <row r="20" spans="1:9">
      <c r="A20" s="680" t="s">
        <v>65</v>
      </c>
      <c r="B20" s="681"/>
      <c r="C20" s="682"/>
      <c r="D20" s="11">
        <v>1</v>
      </c>
      <c r="E20" s="11" t="s">
        <v>66</v>
      </c>
      <c r="F20" s="683" t="s">
        <v>114</v>
      </c>
      <c r="G20" s="683"/>
      <c r="H20" s="387" t="s">
        <v>346</v>
      </c>
      <c r="I20" s="388" t="s">
        <v>347</v>
      </c>
    </row>
    <row r="21" spans="1:9">
      <c r="A21" s="680" t="s">
        <v>67</v>
      </c>
      <c r="B21" s="681"/>
      <c r="C21" s="682"/>
      <c r="D21" s="29">
        <f>D18/D20</f>
        <v>1206</v>
      </c>
      <c r="E21" s="11" t="s">
        <v>29</v>
      </c>
      <c r="F21" s="771" t="s">
        <v>115</v>
      </c>
      <c r="G21" s="772"/>
      <c r="H21" s="389"/>
      <c r="I21" s="390"/>
    </row>
    <row r="22" spans="1:9" ht="16.5" thickBot="1">
      <c r="A22" s="690" t="s">
        <v>68</v>
      </c>
      <c r="B22" s="691"/>
      <c r="C22" s="692"/>
      <c r="D22" s="356">
        <f>E10-D21</f>
        <v>294</v>
      </c>
      <c r="E22" s="310" t="s">
        <v>29</v>
      </c>
      <c r="F22" s="693"/>
      <c r="G22" s="693"/>
      <c r="H22" s="747"/>
      <c r="I22" s="748"/>
    </row>
    <row r="23" spans="1:9" ht="16.5" thickBot="1">
      <c r="A23" s="768" t="s">
        <v>69</v>
      </c>
      <c r="B23" s="769"/>
      <c r="C23" s="769"/>
      <c r="D23" s="769"/>
      <c r="E23" s="769"/>
      <c r="F23" s="769"/>
      <c r="G23" s="769"/>
      <c r="H23" s="769"/>
      <c r="I23" s="770"/>
    </row>
    <row r="24" spans="1:9">
      <c r="A24" s="829" t="s">
        <v>348</v>
      </c>
      <c r="B24" s="830"/>
      <c r="C24" s="830"/>
      <c r="D24" s="830"/>
      <c r="E24" s="830"/>
      <c r="F24" s="830"/>
      <c r="G24" s="830"/>
      <c r="H24" s="830"/>
      <c r="I24" s="831"/>
    </row>
    <row r="25" spans="1:9">
      <c r="A25" s="832" t="s">
        <v>349</v>
      </c>
      <c r="B25" s="833"/>
      <c r="C25" s="833"/>
      <c r="D25" s="833"/>
      <c r="E25" s="833"/>
      <c r="F25" s="833"/>
      <c r="G25" s="833"/>
      <c r="H25" s="833"/>
      <c r="I25" s="834"/>
    </row>
    <row r="26" spans="1:9">
      <c r="A26" s="832" t="s">
        <v>350</v>
      </c>
      <c r="B26" s="833"/>
      <c r="C26" s="833"/>
      <c r="D26" s="833"/>
      <c r="E26" s="833"/>
      <c r="F26" s="833"/>
      <c r="G26" s="833"/>
      <c r="H26" s="833"/>
      <c r="I26" s="834"/>
    </row>
    <row r="27" spans="1:9">
      <c r="A27" s="835" t="s">
        <v>351</v>
      </c>
      <c r="B27" s="836"/>
      <c r="C27" s="836"/>
      <c r="D27" s="836"/>
      <c r="E27" s="836"/>
      <c r="F27" s="836"/>
      <c r="G27" s="836"/>
      <c r="H27" s="836"/>
      <c r="I27" s="837"/>
    </row>
    <row r="28" spans="1:9">
      <c r="A28" s="838"/>
      <c r="B28" s="839"/>
      <c r="C28" s="839"/>
      <c r="D28" s="839"/>
      <c r="E28" s="839"/>
      <c r="F28" s="839"/>
      <c r="G28" s="839"/>
      <c r="H28" s="839"/>
      <c r="I28" s="840"/>
    </row>
    <row r="29" spans="1:9">
      <c r="A29" s="838"/>
      <c r="B29" s="839"/>
      <c r="C29" s="839"/>
      <c r="D29" s="839"/>
      <c r="E29" s="839"/>
      <c r="F29" s="839"/>
      <c r="G29" s="839"/>
      <c r="H29" s="839"/>
      <c r="I29" s="840"/>
    </row>
    <row r="30" spans="1:9" ht="16.5" thickBot="1">
      <c r="A30" s="823"/>
      <c r="B30" s="824"/>
      <c r="C30" s="824"/>
      <c r="D30" s="824"/>
      <c r="E30" s="824"/>
      <c r="F30" s="824"/>
      <c r="G30" s="824"/>
      <c r="H30" s="824"/>
      <c r="I30" s="825"/>
    </row>
    <row r="31" spans="1:9" ht="16.5" thickBot="1">
      <c r="A31" s="826" t="s">
        <v>92</v>
      </c>
      <c r="B31" s="827"/>
      <c r="C31" s="827"/>
      <c r="D31" s="827"/>
      <c r="E31" s="827"/>
      <c r="F31" s="827"/>
      <c r="G31" s="827"/>
      <c r="H31" s="827"/>
      <c r="I31" s="828"/>
    </row>
    <row r="32" spans="1:9">
      <c r="A32" s="391" t="s">
        <v>352</v>
      </c>
      <c r="B32" s="392"/>
      <c r="C32" s="392"/>
      <c r="D32" s="392"/>
      <c r="E32" s="392"/>
      <c r="F32" s="392"/>
      <c r="G32" s="392"/>
      <c r="H32" s="392"/>
      <c r="I32" s="392"/>
    </row>
    <row r="33" spans="1:1">
      <c r="A33" s="109" t="s">
        <v>353</v>
      </c>
    </row>
  </sheetData>
  <mergeCells count="37">
    <mergeCell ref="A30:I30"/>
    <mergeCell ref="A31:I31"/>
    <mergeCell ref="A24:I24"/>
    <mergeCell ref="A25:I25"/>
    <mergeCell ref="A26:I26"/>
    <mergeCell ref="A27:I27"/>
    <mergeCell ref="A28:I28"/>
    <mergeCell ref="A29:I29"/>
    <mergeCell ref="A23:I23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9B5E-6D07-4B29-B843-F94CF0B830D1}">
  <dimension ref="A1:M28"/>
  <sheetViews>
    <sheetView workbookViewId="0">
      <selection activeCell="F10" sqref="F10"/>
    </sheetView>
  </sheetViews>
  <sheetFormatPr defaultColWidth="9.140625" defaultRowHeight="13.5"/>
  <cols>
    <col min="1" max="1" width="16.140625" style="5" customWidth="1"/>
    <col min="2" max="2" width="12.42578125" style="5" customWidth="1"/>
    <col min="3" max="3" width="45.28515625" style="5" customWidth="1"/>
    <col min="4" max="4" width="15.5703125" style="5" customWidth="1"/>
    <col min="5" max="5" width="9.140625" style="5"/>
    <col min="6" max="6" width="13.140625" style="5" customWidth="1"/>
    <col min="7" max="7" width="12.5703125" style="5" customWidth="1"/>
    <col min="8" max="8" width="15.5703125" style="5" customWidth="1"/>
    <col min="9" max="9" width="16" style="5" customWidth="1"/>
    <col min="10" max="256" width="9.140625" style="5"/>
    <col min="257" max="257" width="16.140625" style="5" customWidth="1"/>
    <col min="258" max="258" width="12.42578125" style="5" customWidth="1"/>
    <col min="259" max="259" width="45.28515625" style="5" customWidth="1"/>
    <col min="260" max="260" width="15.5703125" style="5" customWidth="1"/>
    <col min="261" max="261" width="9.140625" style="5"/>
    <col min="262" max="262" width="13.140625" style="5" customWidth="1"/>
    <col min="263" max="263" width="12.5703125" style="5" customWidth="1"/>
    <col min="264" max="264" width="15.5703125" style="5" customWidth="1"/>
    <col min="265" max="265" width="16" style="5" customWidth="1"/>
    <col min="266" max="512" width="9.140625" style="5"/>
    <col min="513" max="513" width="16.140625" style="5" customWidth="1"/>
    <col min="514" max="514" width="12.42578125" style="5" customWidth="1"/>
    <col min="515" max="515" width="45.28515625" style="5" customWidth="1"/>
    <col min="516" max="516" width="15.5703125" style="5" customWidth="1"/>
    <col min="517" max="517" width="9.140625" style="5"/>
    <col min="518" max="518" width="13.140625" style="5" customWidth="1"/>
    <col min="519" max="519" width="12.5703125" style="5" customWidth="1"/>
    <col min="520" max="520" width="15.5703125" style="5" customWidth="1"/>
    <col min="521" max="521" width="16" style="5" customWidth="1"/>
    <col min="522" max="768" width="9.140625" style="5"/>
    <col min="769" max="769" width="16.140625" style="5" customWidth="1"/>
    <col min="770" max="770" width="12.42578125" style="5" customWidth="1"/>
    <col min="771" max="771" width="45.28515625" style="5" customWidth="1"/>
    <col min="772" max="772" width="15.5703125" style="5" customWidth="1"/>
    <col min="773" max="773" width="9.140625" style="5"/>
    <col min="774" max="774" width="13.140625" style="5" customWidth="1"/>
    <col min="775" max="775" width="12.5703125" style="5" customWidth="1"/>
    <col min="776" max="776" width="15.5703125" style="5" customWidth="1"/>
    <col min="777" max="777" width="16" style="5" customWidth="1"/>
    <col min="778" max="1024" width="9.140625" style="5"/>
    <col min="1025" max="1025" width="16.140625" style="5" customWidth="1"/>
    <col min="1026" max="1026" width="12.42578125" style="5" customWidth="1"/>
    <col min="1027" max="1027" width="45.28515625" style="5" customWidth="1"/>
    <col min="1028" max="1028" width="15.5703125" style="5" customWidth="1"/>
    <col min="1029" max="1029" width="9.140625" style="5"/>
    <col min="1030" max="1030" width="13.140625" style="5" customWidth="1"/>
    <col min="1031" max="1031" width="12.5703125" style="5" customWidth="1"/>
    <col min="1032" max="1032" width="15.5703125" style="5" customWidth="1"/>
    <col min="1033" max="1033" width="16" style="5" customWidth="1"/>
    <col min="1034" max="1280" width="9.140625" style="5"/>
    <col min="1281" max="1281" width="16.140625" style="5" customWidth="1"/>
    <col min="1282" max="1282" width="12.42578125" style="5" customWidth="1"/>
    <col min="1283" max="1283" width="45.28515625" style="5" customWidth="1"/>
    <col min="1284" max="1284" width="15.5703125" style="5" customWidth="1"/>
    <col min="1285" max="1285" width="9.140625" style="5"/>
    <col min="1286" max="1286" width="13.140625" style="5" customWidth="1"/>
    <col min="1287" max="1287" width="12.5703125" style="5" customWidth="1"/>
    <col min="1288" max="1288" width="15.5703125" style="5" customWidth="1"/>
    <col min="1289" max="1289" width="16" style="5" customWidth="1"/>
    <col min="1290" max="1536" width="9.140625" style="5"/>
    <col min="1537" max="1537" width="16.140625" style="5" customWidth="1"/>
    <col min="1538" max="1538" width="12.42578125" style="5" customWidth="1"/>
    <col min="1539" max="1539" width="45.28515625" style="5" customWidth="1"/>
    <col min="1540" max="1540" width="15.5703125" style="5" customWidth="1"/>
    <col min="1541" max="1541" width="9.140625" style="5"/>
    <col min="1542" max="1542" width="13.140625" style="5" customWidth="1"/>
    <col min="1543" max="1543" width="12.5703125" style="5" customWidth="1"/>
    <col min="1544" max="1544" width="15.5703125" style="5" customWidth="1"/>
    <col min="1545" max="1545" width="16" style="5" customWidth="1"/>
    <col min="1546" max="1792" width="9.140625" style="5"/>
    <col min="1793" max="1793" width="16.140625" style="5" customWidth="1"/>
    <col min="1794" max="1794" width="12.42578125" style="5" customWidth="1"/>
    <col min="1795" max="1795" width="45.28515625" style="5" customWidth="1"/>
    <col min="1796" max="1796" width="15.5703125" style="5" customWidth="1"/>
    <col min="1797" max="1797" width="9.140625" style="5"/>
    <col min="1798" max="1798" width="13.140625" style="5" customWidth="1"/>
    <col min="1799" max="1799" width="12.5703125" style="5" customWidth="1"/>
    <col min="1800" max="1800" width="15.5703125" style="5" customWidth="1"/>
    <col min="1801" max="1801" width="16" style="5" customWidth="1"/>
    <col min="1802" max="2048" width="9.140625" style="5"/>
    <col min="2049" max="2049" width="16.140625" style="5" customWidth="1"/>
    <col min="2050" max="2050" width="12.42578125" style="5" customWidth="1"/>
    <col min="2051" max="2051" width="45.28515625" style="5" customWidth="1"/>
    <col min="2052" max="2052" width="15.5703125" style="5" customWidth="1"/>
    <col min="2053" max="2053" width="9.140625" style="5"/>
    <col min="2054" max="2054" width="13.140625" style="5" customWidth="1"/>
    <col min="2055" max="2055" width="12.5703125" style="5" customWidth="1"/>
    <col min="2056" max="2056" width="15.5703125" style="5" customWidth="1"/>
    <col min="2057" max="2057" width="16" style="5" customWidth="1"/>
    <col min="2058" max="2304" width="9.140625" style="5"/>
    <col min="2305" max="2305" width="16.140625" style="5" customWidth="1"/>
    <col min="2306" max="2306" width="12.42578125" style="5" customWidth="1"/>
    <col min="2307" max="2307" width="45.28515625" style="5" customWidth="1"/>
    <col min="2308" max="2308" width="15.5703125" style="5" customWidth="1"/>
    <col min="2309" max="2309" width="9.140625" style="5"/>
    <col min="2310" max="2310" width="13.140625" style="5" customWidth="1"/>
    <col min="2311" max="2311" width="12.5703125" style="5" customWidth="1"/>
    <col min="2312" max="2312" width="15.5703125" style="5" customWidth="1"/>
    <col min="2313" max="2313" width="16" style="5" customWidth="1"/>
    <col min="2314" max="2560" width="9.140625" style="5"/>
    <col min="2561" max="2561" width="16.140625" style="5" customWidth="1"/>
    <col min="2562" max="2562" width="12.42578125" style="5" customWidth="1"/>
    <col min="2563" max="2563" width="45.28515625" style="5" customWidth="1"/>
    <col min="2564" max="2564" width="15.5703125" style="5" customWidth="1"/>
    <col min="2565" max="2565" width="9.140625" style="5"/>
    <col min="2566" max="2566" width="13.140625" style="5" customWidth="1"/>
    <col min="2567" max="2567" width="12.5703125" style="5" customWidth="1"/>
    <col min="2568" max="2568" width="15.5703125" style="5" customWidth="1"/>
    <col min="2569" max="2569" width="16" style="5" customWidth="1"/>
    <col min="2570" max="2816" width="9.140625" style="5"/>
    <col min="2817" max="2817" width="16.140625" style="5" customWidth="1"/>
    <col min="2818" max="2818" width="12.42578125" style="5" customWidth="1"/>
    <col min="2819" max="2819" width="45.28515625" style="5" customWidth="1"/>
    <col min="2820" max="2820" width="15.5703125" style="5" customWidth="1"/>
    <col min="2821" max="2821" width="9.140625" style="5"/>
    <col min="2822" max="2822" width="13.140625" style="5" customWidth="1"/>
    <col min="2823" max="2823" width="12.5703125" style="5" customWidth="1"/>
    <col min="2824" max="2824" width="15.5703125" style="5" customWidth="1"/>
    <col min="2825" max="2825" width="16" style="5" customWidth="1"/>
    <col min="2826" max="3072" width="9.140625" style="5"/>
    <col min="3073" max="3073" width="16.140625" style="5" customWidth="1"/>
    <col min="3074" max="3074" width="12.42578125" style="5" customWidth="1"/>
    <col min="3075" max="3075" width="45.28515625" style="5" customWidth="1"/>
    <col min="3076" max="3076" width="15.5703125" style="5" customWidth="1"/>
    <col min="3077" max="3077" width="9.140625" style="5"/>
    <col min="3078" max="3078" width="13.140625" style="5" customWidth="1"/>
    <col min="3079" max="3079" width="12.5703125" style="5" customWidth="1"/>
    <col min="3080" max="3080" width="15.5703125" style="5" customWidth="1"/>
    <col min="3081" max="3081" width="16" style="5" customWidth="1"/>
    <col min="3082" max="3328" width="9.140625" style="5"/>
    <col min="3329" max="3329" width="16.140625" style="5" customWidth="1"/>
    <col min="3330" max="3330" width="12.42578125" style="5" customWidth="1"/>
    <col min="3331" max="3331" width="45.28515625" style="5" customWidth="1"/>
    <col min="3332" max="3332" width="15.5703125" style="5" customWidth="1"/>
    <col min="3333" max="3333" width="9.140625" style="5"/>
    <col min="3334" max="3334" width="13.140625" style="5" customWidth="1"/>
    <col min="3335" max="3335" width="12.5703125" style="5" customWidth="1"/>
    <col min="3336" max="3336" width="15.5703125" style="5" customWidth="1"/>
    <col min="3337" max="3337" width="16" style="5" customWidth="1"/>
    <col min="3338" max="3584" width="9.140625" style="5"/>
    <col min="3585" max="3585" width="16.140625" style="5" customWidth="1"/>
    <col min="3586" max="3586" width="12.42578125" style="5" customWidth="1"/>
    <col min="3587" max="3587" width="45.28515625" style="5" customWidth="1"/>
    <col min="3588" max="3588" width="15.5703125" style="5" customWidth="1"/>
    <col min="3589" max="3589" width="9.140625" style="5"/>
    <col min="3590" max="3590" width="13.140625" style="5" customWidth="1"/>
    <col min="3591" max="3591" width="12.5703125" style="5" customWidth="1"/>
    <col min="3592" max="3592" width="15.5703125" style="5" customWidth="1"/>
    <col min="3593" max="3593" width="16" style="5" customWidth="1"/>
    <col min="3594" max="3840" width="9.140625" style="5"/>
    <col min="3841" max="3841" width="16.140625" style="5" customWidth="1"/>
    <col min="3842" max="3842" width="12.42578125" style="5" customWidth="1"/>
    <col min="3843" max="3843" width="45.28515625" style="5" customWidth="1"/>
    <col min="3844" max="3844" width="15.5703125" style="5" customWidth="1"/>
    <col min="3845" max="3845" width="9.140625" style="5"/>
    <col min="3846" max="3846" width="13.140625" style="5" customWidth="1"/>
    <col min="3847" max="3847" width="12.5703125" style="5" customWidth="1"/>
    <col min="3848" max="3848" width="15.5703125" style="5" customWidth="1"/>
    <col min="3849" max="3849" width="16" style="5" customWidth="1"/>
    <col min="3850" max="4096" width="9.140625" style="5"/>
    <col min="4097" max="4097" width="16.140625" style="5" customWidth="1"/>
    <col min="4098" max="4098" width="12.42578125" style="5" customWidth="1"/>
    <col min="4099" max="4099" width="45.28515625" style="5" customWidth="1"/>
    <col min="4100" max="4100" width="15.5703125" style="5" customWidth="1"/>
    <col min="4101" max="4101" width="9.140625" style="5"/>
    <col min="4102" max="4102" width="13.140625" style="5" customWidth="1"/>
    <col min="4103" max="4103" width="12.5703125" style="5" customWidth="1"/>
    <col min="4104" max="4104" width="15.5703125" style="5" customWidth="1"/>
    <col min="4105" max="4105" width="16" style="5" customWidth="1"/>
    <col min="4106" max="4352" width="9.140625" style="5"/>
    <col min="4353" max="4353" width="16.140625" style="5" customWidth="1"/>
    <col min="4354" max="4354" width="12.42578125" style="5" customWidth="1"/>
    <col min="4355" max="4355" width="45.28515625" style="5" customWidth="1"/>
    <col min="4356" max="4356" width="15.5703125" style="5" customWidth="1"/>
    <col min="4357" max="4357" width="9.140625" style="5"/>
    <col min="4358" max="4358" width="13.140625" style="5" customWidth="1"/>
    <col min="4359" max="4359" width="12.5703125" style="5" customWidth="1"/>
    <col min="4360" max="4360" width="15.5703125" style="5" customWidth="1"/>
    <col min="4361" max="4361" width="16" style="5" customWidth="1"/>
    <col min="4362" max="4608" width="9.140625" style="5"/>
    <col min="4609" max="4609" width="16.140625" style="5" customWidth="1"/>
    <col min="4610" max="4610" width="12.42578125" style="5" customWidth="1"/>
    <col min="4611" max="4611" width="45.28515625" style="5" customWidth="1"/>
    <col min="4612" max="4612" width="15.5703125" style="5" customWidth="1"/>
    <col min="4613" max="4613" width="9.140625" style="5"/>
    <col min="4614" max="4614" width="13.140625" style="5" customWidth="1"/>
    <col min="4615" max="4615" width="12.5703125" style="5" customWidth="1"/>
    <col min="4616" max="4616" width="15.5703125" style="5" customWidth="1"/>
    <col min="4617" max="4617" width="16" style="5" customWidth="1"/>
    <col min="4618" max="4864" width="9.140625" style="5"/>
    <col min="4865" max="4865" width="16.140625" style="5" customWidth="1"/>
    <col min="4866" max="4866" width="12.42578125" style="5" customWidth="1"/>
    <col min="4867" max="4867" width="45.28515625" style="5" customWidth="1"/>
    <col min="4868" max="4868" width="15.5703125" style="5" customWidth="1"/>
    <col min="4869" max="4869" width="9.140625" style="5"/>
    <col min="4870" max="4870" width="13.140625" style="5" customWidth="1"/>
    <col min="4871" max="4871" width="12.5703125" style="5" customWidth="1"/>
    <col min="4872" max="4872" width="15.5703125" style="5" customWidth="1"/>
    <col min="4873" max="4873" width="16" style="5" customWidth="1"/>
    <col min="4874" max="5120" width="9.140625" style="5"/>
    <col min="5121" max="5121" width="16.140625" style="5" customWidth="1"/>
    <col min="5122" max="5122" width="12.42578125" style="5" customWidth="1"/>
    <col min="5123" max="5123" width="45.28515625" style="5" customWidth="1"/>
    <col min="5124" max="5124" width="15.5703125" style="5" customWidth="1"/>
    <col min="5125" max="5125" width="9.140625" style="5"/>
    <col min="5126" max="5126" width="13.140625" style="5" customWidth="1"/>
    <col min="5127" max="5127" width="12.5703125" style="5" customWidth="1"/>
    <col min="5128" max="5128" width="15.5703125" style="5" customWidth="1"/>
    <col min="5129" max="5129" width="16" style="5" customWidth="1"/>
    <col min="5130" max="5376" width="9.140625" style="5"/>
    <col min="5377" max="5377" width="16.140625" style="5" customWidth="1"/>
    <col min="5378" max="5378" width="12.42578125" style="5" customWidth="1"/>
    <col min="5379" max="5379" width="45.28515625" style="5" customWidth="1"/>
    <col min="5380" max="5380" width="15.5703125" style="5" customWidth="1"/>
    <col min="5381" max="5381" width="9.140625" style="5"/>
    <col min="5382" max="5382" width="13.140625" style="5" customWidth="1"/>
    <col min="5383" max="5383" width="12.5703125" style="5" customWidth="1"/>
    <col min="5384" max="5384" width="15.5703125" style="5" customWidth="1"/>
    <col min="5385" max="5385" width="16" style="5" customWidth="1"/>
    <col min="5386" max="5632" width="9.140625" style="5"/>
    <col min="5633" max="5633" width="16.140625" style="5" customWidth="1"/>
    <col min="5634" max="5634" width="12.42578125" style="5" customWidth="1"/>
    <col min="5635" max="5635" width="45.28515625" style="5" customWidth="1"/>
    <col min="5636" max="5636" width="15.5703125" style="5" customWidth="1"/>
    <col min="5637" max="5637" width="9.140625" style="5"/>
    <col min="5638" max="5638" width="13.140625" style="5" customWidth="1"/>
    <col min="5639" max="5639" width="12.5703125" style="5" customWidth="1"/>
    <col min="5640" max="5640" width="15.5703125" style="5" customWidth="1"/>
    <col min="5641" max="5641" width="16" style="5" customWidth="1"/>
    <col min="5642" max="5888" width="9.140625" style="5"/>
    <col min="5889" max="5889" width="16.140625" style="5" customWidth="1"/>
    <col min="5890" max="5890" width="12.42578125" style="5" customWidth="1"/>
    <col min="5891" max="5891" width="45.28515625" style="5" customWidth="1"/>
    <col min="5892" max="5892" width="15.5703125" style="5" customWidth="1"/>
    <col min="5893" max="5893" width="9.140625" style="5"/>
    <col min="5894" max="5894" width="13.140625" style="5" customWidth="1"/>
    <col min="5895" max="5895" width="12.5703125" style="5" customWidth="1"/>
    <col min="5896" max="5896" width="15.5703125" style="5" customWidth="1"/>
    <col min="5897" max="5897" width="16" style="5" customWidth="1"/>
    <col min="5898" max="6144" width="9.140625" style="5"/>
    <col min="6145" max="6145" width="16.140625" style="5" customWidth="1"/>
    <col min="6146" max="6146" width="12.42578125" style="5" customWidth="1"/>
    <col min="6147" max="6147" width="45.28515625" style="5" customWidth="1"/>
    <col min="6148" max="6148" width="15.5703125" style="5" customWidth="1"/>
    <col min="6149" max="6149" width="9.140625" style="5"/>
    <col min="6150" max="6150" width="13.140625" style="5" customWidth="1"/>
    <col min="6151" max="6151" width="12.5703125" style="5" customWidth="1"/>
    <col min="6152" max="6152" width="15.5703125" style="5" customWidth="1"/>
    <col min="6153" max="6153" width="16" style="5" customWidth="1"/>
    <col min="6154" max="6400" width="9.140625" style="5"/>
    <col min="6401" max="6401" width="16.140625" style="5" customWidth="1"/>
    <col min="6402" max="6402" width="12.42578125" style="5" customWidth="1"/>
    <col min="6403" max="6403" width="45.28515625" style="5" customWidth="1"/>
    <col min="6404" max="6404" width="15.5703125" style="5" customWidth="1"/>
    <col min="6405" max="6405" width="9.140625" style="5"/>
    <col min="6406" max="6406" width="13.140625" style="5" customWidth="1"/>
    <col min="6407" max="6407" width="12.5703125" style="5" customWidth="1"/>
    <col min="6408" max="6408" width="15.5703125" style="5" customWidth="1"/>
    <col min="6409" max="6409" width="16" style="5" customWidth="1"/>
    <col min="6410" max="6656" width="9.140625" style="5"/>
    <col min="6657" max="6657" width="16.140625" style="5" customWidth="1"/>
    <col min="6658" max="6658" width="12.42578125" style="5" customWidth="1"/>
    <col min="6659" max="6659" width="45.28515625" style="5" customWidth="1"/>
    <col min="6660" max="6660" width="15.5703125" style="5" customWidth="1"/>
    <col min="6661" max="6661" width="9.140625" style="5"/>
    <col min="6662" max="6662" width="13.140625" style="5" customWidth="1"/>
    <col min="6663" max="6663" width="12.5703125" style="5" customWidth="1"/>
    <col min="6664" max="6664" width="15.5703125" style="5" customWidth="1"/>
    <col min="6665" max="6665" width="16" style="5" customWidth="1"/>
    <col min="6666" max="6912" width="9.140625" style="5"/>
    <col min="6913" max="6913" width="16.140625" style="5" customWidth="1"/>
    <col min="6914" max="6914" width="12.42578125" style="5" customWidth="1"/>
    <col min="6915" max="6915" width="45.28515625" style="5" customWidth="1"/>
    <col min="6916" max="6916" width="15.5703125" style="5" customWidth="1"/>
    <col min="6917" max="6917" width="9.140625" style="5"/>
    <col min="6918" max="6918" width="13.140625" style="5" customWidth="1"/>
    <col min="6919" max="6919" width="12.5703125" style="5" customWidth="1"/>
    <col min="6920" max="6920" width="15.5703125" style="5" customWidth="1"/>
    <col min="6921" max="6921" width="16" style="5" customWidth="1"/>
    <col min="6922" max="7168" width="9.140625" style="5"/>
    <col min="7169" max="7169" width="16.140625" style="5" customWidth="1"/>
    <col min="7170" max="7170" width="12.42578125" style="5" customWidth="1"/>
    <col min="7171" max="7171" width="45.28515625" style="5" customWidth="1"/>
    <col min="7172" max="7172" width="15.5703125" style="5" customWidth="1"/>
    <col min="7173" max="7173" width="9.140625" style="5"/>
    <col min="7174" max="7174" width="13.140625" style="5" customWidth="1"/>
    <col min="7175" max="7175" width="12.5703125" style="5" customWidth="1"/>
    <col min="7176" max="7176" width="15.5703125" style="5" customWidth="1"/>
    <col min="7177" max="7177" width="16" style="5" customWidth="1"/>
    <col min="7178" max="7424" width="9.140625" style="5"/>
    <col min="7425" max="7425" width="16.140625" style="5" customWidth="1"/>
    <col min="7426" max="7426" width="12.42578125" style="5" customWidth="1"/>
    <col min="7427" max="7427" width="45.28515625" style="5" customWidth="1"/>
    <col min="7428" max="7428" width="15.5703125" style="5" customWidth="1"/>
    <col min="7429" max="7429" width="9.140625" style="5"/>
    <col min="7430" max="7430" width="13.140625" style="5" customWidth="1"/>
    <col min="7431" max="7431" width="12.5703125" style="5" customWidth="1"/>
    <col min="7432" max="7432" width="15.5703125" style="5" customWidth="1"/>
    <col min="7433" max="7433" width="16" style="5" customWidth="1"/>
    <col min="7434" max="7680" width="9.140625" style="5"/>
    <col min="7681" max="7681" width="16.140625" style="5" customWidth="1"/>
    <col min="7682" max="7682" width="12.42578125" style="5" customWidth="1"/>
    <col min="7683" max="7683" width="45.28515625" style="5" customWidth="1"/>
    <col min="7684" max="7684" width="15.5703125" style="5" customWidth="1"/>
    <col min="7685" max="7685" width="9.140625" style="5"/>
    <col min="7686" max="7686" width="13.140625" style="5" customWidth="1"/>
    <col min="7687" max="7687" width="12.5703125" style="5" customWidth="1"/>
    <col min="7688" max="7688" width="15.5703125" style="5" customWidth="1"/>
    <col min="7689" max="7689" width="16" style="5" customWidth="1"/>
    <col min="7690" max="7936" width="9.140625" style="5"/>
    <col min="7937" max="7937" width="16.140625" style="5" customWidth="1"/>
    <col min="7938" max="7938" width="12.42578125" style="5" customWidth="1"/>
    <col min="7939" max="7939" width="45.28515625" style="5" customWidth="1"/>
    <col min="7940" max="7940" width="15.5703125" style="5" customWidth="1"/>
    <col min="7941" max="7941" width="9.140625" style="5"/>
    <col min="7942" max="7942" width="13.140625" style="5" customWidth="1"/>
    <col min="7943" max="7943" width="12.5703125" style="5" customWidth="1"/>
    <col min="7944" max="7944" width="15.5703125" style="5" customWidth="1"/>
    <col min="7945" max="7945" width="16" style="5" customWidth="1"/>
    <col min="7946" max="8192" width="9.140625" style="5"/>
    <col min="8193" max="8193" width="16.140625" style="5" customWidth="1"/>
    <col min="8194" max="8194" width="12.42578125" style="5" customWidth="1"/>
    <col min="8195" max="8195" width="45.28515625" style="5" customWidth="1"/>
    <col min="8196" max="8196" width="15.5703125" style="5" customWidth="1"/>
    <col min="8197" max="8197" width="9.140625" style="5"/>
    <col min="8198" max="8198" width="13.140625" style="5" customWidth="1"/>
    <col min="8199" max="8199" width="12.5703125" style="5" customWidth="1"/>
    <col min="8200" max="8200" width="15.5703125" style="5" customWidth="1"/>
    <col min="8201" max="8201" width="16" style="5" customWidth="1"/>
    <col min="8202" max="8448" width="9.140625" style="5"/>
    <col min="8449" max="8449" width="16.140625" style="5" customWidth="1"/>
    <col min="8450" max="8450" width="12.42578125" style="5" customWidth="1"/>
    <col min="8451" max="8451" width="45.28515625" style="5" customWidth="1"/>
    <col min="8452" max="8452" width="15.5703125" style="5" customWidth="1"/>
    <col min="8453" max="8453" width="9.140625" style="5"/>
    <col min="8454" max="8454" width="13.140625" style="5" customWidth="1"/>
    <col min="8455" max="8455" width="12.5703125" style="5" customWidth="1"/>
    <col min="8456" max="8456" width="15.5703125" style="5" customWidth="1"/>
    <col min="8457" max="8457" width="16" style="5" customWidth="1"/>
    <col min="8458" max="8704" width="9.140625" style="5"/>
    <col min="8705" max="8705" width="16.140625" style="5" customWidth="1"/>
    <col min="8706" max="8706" width="12.42578125" style="5" customWidth="1"/>
    <col min="8707" max="8707" width="45.28515625" style="5" customWidth="1"/>
    <col min="8708" max="8708" width="15.5703125" style="5" customWidth="1"/>
    <col min="8709" max="8709" width="9.140625" style="5"/>
    <col min="8710" max="8710" width="13.140625" style="5" customWidth="1"/>
    <col min="8711" max="8711" width="12.5703125" style="5" customWidth="1"/>
    <col min="8712" max="8712" width="15.5703125" style="5" customWidth="1"/>
    <col min="8713" max="8713" width="16" style="5" customWidth="1"/>
    <col min="8714" max="8960" width="9.140625" style="5"/>
    <col min="8961" max="8961" width="16.140625" style="5" customWidth="1"/>
    <col min="8962" max="8962" width="12.42578125" style="5" customWidth="1"/>
    <col min="8963" max="8963" width="45.28515625" style="5" customWidth="1"/>
    <col min="8964" max="8964" width="15.5703125" style="5" customWidth="1"/>
    <col min="8965" max="8965" width="9.140625" style="5"/>
    <col min="8966" max="8966" width="13.140625" style="5" customWidth="1"/>
    <col min="8967" max="8967" width="12.5703125" style="5" customWidth="1"/>
    <col min="8968" max="8968" width="15.5703125" style="5" customWidth="1"/>
    <col min="8969" max="8969" width="16" style="5" customWidth="1"/>
    <col min="8970" max="9216" width="9.140625" style="5"/>
    <col min="9217" max="9217" width="16.140625" style="5" customWidth="1"/>
    <col min="9218" max="9218" width="12.42578125" style="5" customWidth="1"/>
    <col min="9219" max="9219" width="45.28515625" style="5" customWidth="1"/>
    <col min="9220" max="9220" width="15.5703125" style="5" customWidth="1"/>
    <col min="9221" max="9221" width="9.140625" style="5"/>
    <col min="9222" max="9222" width="13.140625" style="5" customWidth="1"/>
    <col min="9223" max="9223" width="12.5703125" style="5" customWidth="1"/>
    <col min="9224" max="9224" width="15.5703125" style="5" customWidth="1"/>
    <col min="9225" max="9225" width="16" style="5" customWidth="1"/>
    <col min="9226" max="9472" width="9.140625" style="5"/>
    <col min="9473" max="9473" width="16.140625" style="5" customWidth="1"/>
    <col min="9474" max="9474" width="12.42578125" style="5" customWidth="1"/>
    <col min="9475" max="9475" width="45.28515625" style="5" customWidth="1"/>
    <col min="9476" max="9476" width="15.5703125" style="5" customWidth="1"/>
    <col min="9477" max="9477" width="9.140625" style="5"/>
    <col min="9478" max="9478" width="13.140625" style="5" customWidth="1"/>
    <col min="9479" max="9479" width="12.5703125" style="5" customWidth="1"/>
    <col min="9480" max="9480" width="15.5703125" style="5" customWidth="1"/>
    <col min="9481" max="9481" width="16" style="5" customWidth="1"/>
    <col min="9482" max="9728" width="9.140625" style="5"/>
    <col min="9729" max="9729" width="16.140625" style="5" customWidth="1"/>
    <col min="9730" max="9730" width="12.42578125" style="5" customWidth="1"/>
    <col min="9731" max="9731" width="45.28515625" style="5" customWidth="1"/>
    <col min="9732" max="9732" width="15.5703125" style="5" customWidth="1"/>
    <col min="9733" max="9733" width="9.140625" style="5"/>
    <col min="9734" max="9734" width="13.140625" style="5" customWidth="1"/>
    <col min="9735" max="9735" width="12.5703125" style="5" customWidth="1"/>
    <col min="9736" max="9736" width="15.5703125" style="5" customWidth="1"/>
    <col min="9737" max="9737" width="16" style="5" customWidth="1"/>
    <col min="9738" max="9984" width="9.140625" style="5"/>
    <col min="9985" max="9985" width="16.140625" style="5" customWidth="1"/>
    <col min="9986" max="9986" width="12.42578125" style="5" customWidth="1"/>
    <col min="9987" max="9987" width="45.28515625" style="5" customWidth="1"/>
    <col min="9988" max="9988" width="15.5703125" style="5" customWidth="1"/>
    <col min="9989" max="9989" width="9.140625" style="5"/>
    <col min="9990" max="9990" width="13.140625" style="5" customWidth="1"/>
    <col min="9991" max="9991" width="12.5703125" style="5" customWidth="1"/>
    <col min="9992" max="9992" width="15.5703125" style="5" customWidth="1"/>
    <col min="9993" max="9993" width="16" style="5" customWidth="1"/>
    <col min="9994" max="10240" width="9.140625" style="5"/>
    <col min="10241" max="10241" width="16.140625" style="5" customWidth="1"/>
    <col min="10242" max="10242" width="12.42578125" style="5" customWidth="1"/>
    <col min="10243" max="10243" width="45.28515625" style="5" customWidth="1"/>
    <col min="10244" max="10244" width="15.5703125" style="5" customWidth="1"/>
    <col min="10245" max="10245" width="9.140625" style="5"/>
    <col min="10246" max="10246" width="13.140625" style="5" customWidth="1"/>
    <col min="10247" max="10247" width="12.5703125" style="5" customWidth="1"/>
    <col min="10248" max="10248" width="15.5703125" style="5" customWidth="1"/>
    <col min="10249" max="10249" width="16" style="5" customWidth="1"/>
    <col min="10250" max="10496" width="9.140625" style="5"/>
    <col min="10497" max="10497" width="16.140625" style="5" customWidth="1"/>
    <col min="10498" max="10498" width="12.42578125" style="5" customWidth="1"/>
    <col min="10499" max="10499" width="45.28515625" style="5" customWidth="1"/>
    <col min="10500" max="10500" width="15.5703125" style="5" customWidth="1"/>
    <col min="10501" max="10501" width="9.140625" style="5"/>
    <col min="10502" max="10502" width="13.140625" style="5" customWidth="1"/>
    <col min="10503" max="10503" width="12.5703125" style="5" customWidth="1"/>
    <col min="10504" max="10504" width="15.5703125" style="5" customWidth="1"/>
    <col min="10505" max="10505" width="16" style="5" customWidth="1"/>
    <col min="10506" max="10752" width="9.140625" style="5"/>
    <col min="10753" max="10753" width="16.140625" style="5" customWidth="1"/>
    <col min="10754" max="10754" width="12.42578125" style="5" customWidth="1"/>
    <col min="10755" max="10755" width="45.28515625" style="5" customWidth="1"/>
    <col min="10756" max="10756" width="15.5703125" style="5" customWidth="1"/>
    <col min="10757" max="10757" width="9.140625" style="5"/>
    <col min="10758" max="10758" width="13.140625" style="5" customWidth="1"/>
    <col min="10759" max="10759" width="12.5703125" style="5" customWidth="1"/>
    <col min="10760" max="10760" width="15.5703125" style="5" customWidth="1"/>
    <col min="10761" max="10761" width="16" style="5" customWidth="1"/>
    <col min="10762" max="11008" width="9.140625" style="5"/>
    <col min="11009" max="11009" width="16.140625" style="5" customWidth="1"/>
    <col min="11010" max="11010" width="12.42578125" style="5" customWidth="1"/>
    <col min="11011" max="11011" width="45.28515625" style="5" customWidth="1"/>
    <col min="11012" max="11012" width="15.5703125" style="5" customWidth="1"/>
    <col min="11013" max="11013" width="9.140625" style="5"/>
    <col min="11014" max="11014" width="13.140625" style="5" customWidth="1"/>
    <col min="11015" max="11015" width="12.5703125" style="5" customWidth="1"/>
    <col min="11016" max="11016" width="15.5703125" style="5" customWidth="1"/>
    <col min="11017" max="11017" width="16" style="5" customWidth="1"/>
    <col min="11018" max="11264" width="9.140625" style="5"/>
    <col min="11265" max="11265" width="16.140625" style="5" customWidth="1"/>
    <col min="11266" max="11266" width="12.42578125" style="5" customWidth="1"/>
    <col min="11267" max="11267" width="45.28515625" style="5" customWidth="1"/>
    <col min="11268" max="11268" width="15.5703125" style="5" customWidth="1"/>
    <col min="11269" max="11269" width="9.140625" style="5"/>
    <col min="11270" max="11270" width="13.140625" style="5" customWidth="1"/>
    <col min="11271" max="11271" width="12.5703125" style="5" customWidth="1"/>
    <col min="11272" max="11272" width="15.5703125" style="5" customWidth="1"/>
    <col min="11273" max="11273" width="16" style="5" customWidth="1"/>
    <col min="11274" max="11520" width="9.140625" style="5"/>
    <col min="11521" max="11521" width="16.140625" style="5" customWidth="1"/>
    <col min="11522" max="11522" width="12.42578125" style="5" customWidth="1"/>
    <col min="11523" max="11523" width="45.28515625" style="5" customWidth="1"/>
    <col min="11524" max="11524" width="15.5703125" style="5" customWidth="1"/>
    <col min="11525" max="11525" width="9.140625" style="5"/>
    <col min="11526" max="11526" width="13.140625" style="5" customWidth="1"/>
    <col min="11527" max="11527" width="12.5703125" style="5" customWidth="1"/>
    <col min="11528" max="11528" width="15.5703125" style="5" customWidth="1"/>
    <col min="11529" max="11529" width="16" style="5" customWidth="1"/>
    <col min="11530" max="11776" width="9.140625" style="5"/>
    <col min="11777" max="11777" width="16.140625" style="5" customWidth="1"/>
    <col min="11778" max="11778" width="12.42578125" style="5" customWidth="1"/>
    <col min="11779" max="11779" width="45.28515625" style="5" customWidth="1"/>
    <col min="11780" max="11780" width="15.5703125" style="5" customWidth="1"/>
    <col min="11781" max="11781" width="9.140625" style="5"/>
    <col min="11782" max="11782" width="13.140625" style="5" customWidth="1"/>
    <col min="11783" max="11783" width="12.5703125" style="5" customWidth="1"/>
    <col min="11784" max="11784" width="15.5703125" style="5" customWidth="1"/>
    <col min="11785" max="11785" width="16" style="5" customWidth="1"/>
    <col min="11786" max="12032" width="9.140625" style="5"/>
    <col min="12033" max="12033" width="16.140625" style="5" customWidth="1"/>
    <col min="12034" max="12034" width="12.42578125" style="5" customWidth="1"/>
    <col min="12035" max="12035" width="45.28515625" style="5" customWidth="1"/>
    <col min="12036" max="12036" width="15.5703125" style="5" customWidth="1"/>
    <col min="12037" max="12037" width="9.140625" style="5"/>
    <col min="12038" max="12038" width="13.140625" style="5" customWidth="1"/>
    <col min="12039" max="12039" width="12.5703125" style="5" customWidth="1"/>
    <col min="12040" max="12040" width="15.5703125" style="5" customWidth="1"/>
    <col min="12041" max="12041" width="16" style="5" customWidth="1"/>
    <col min="12042" max="12288" width="9.140625" style="5"/>
    <col min="12289" max="12289" width="16.140625" style="5" customWidth="1"/>
    <col min="12290" max="12290" width="12.42578125" style="5" customWidth="1"/>
    <col min="12291" max="12291" width="45.28515625" style="5" customWidth="1"/>
    <col min="12292" max="12292" width="15.5703125" style="5" customWidth="1"/>
    <col min="12293" max="12293" width="9.140625" style="5"/>
    <col min="12294" max="12294" width="13.140625" style="5" customWidth="1"/>
    <col min="12295" max="12295" width="12.5703125" style="5" customWidth="1"/>
    <col min="12296" max="12296" width="15.5703125" style="5" customWidth="1"/>
    <col min="12297" max="12297" width="16" style="5" customWidth="1"/>
    <col min="12298" max="12544" width="9.140625" style="5"/>
    <col min="12545" max="12545" width="16.140625" style="5" customWidth="1"/>
    <col min="12546" max="12546" width="12.42578125" style="5" customWidth="1"/>
    <col min="12547" max="12547" width="45.28515625" style="5" customWidth="1"/>
    <col min="12548" max="12548" width="15.5703125" style="5" customWidth="1"/>
    <col min="12549" max="12549" width="9.140625" style="5"/>
    <col min="12550" max="12550" width="13.140625" style="5" customWidth="1"/>
    <col min="12551" max="12551" width="12.5703125" style="5" customWidth="1"/>
    <col min="12552" max="12552" width="15.5703125" style="5" customWidth="1"/>
    <col min="12553" max="12553" width="16" style="5" customWidth="1"/>
    <col min="12554" max="12800" width="9.140625" style="5"/>
    <col min="12801" max="12801" width="16.140625" style="5" customWidth="1"/>
    <col min="12802" max="12802" width="12.42578125" style="5" customWidth="1"/>
    <col min="12803" max="12803" width="45.28515625" style="5" customWidth="1"/>
    <col min="12804" max="12804" width="15.5703125" style="5" customWidth="1"/>
    <col min="12805" max="12805" width="9.140625" style="5"/>
    <col min="12806" max="12806" width="13.140625" style="5" customWidth="1"/>
    <col min="12807" max="12807" width="12.5703125" style="5" customWidth="1"/>
    <col min="12808" max="12808" width="15.5703125" style="5" customWidth="1"/>
    <col min="12809" max="12809" width="16" style="5" customWidth="1"/>
    <col min="12810" max="13056" width="9.140625" style="5"/>
    <col min="13057" max="13057" width="16.140625" style="5" customWidth="1"/>
    <col min="13058" max="13058" width="12.42578125" style="5" customWidth="1"/>
    <col min="13059" max="13059" width="45.28515625" style="5" customWidth="1"/>
    <col min="13060" max="13060" width="15.5703125" style="5" customWidth="1"/>
    <col min="13061" max="13061" width="9.140625" style="5"/>
    <col min="13062" max="13062" width="13.140625" style="5" customWidth="1"/>
    <col min="13063" max="13063" width="12.5703125" style="5" customWidth="1"/>
    <col min="13064" max="13064" width="15.5703125" style="5" customWidth="1"/>
    <col min="13065" max="13065" width="16" style="5" customWidth="1"/>
    <col min="13066" max="13312" width="9.140625" style="5"/>
    <col min="13313" max="13313" width="16.140625" style="5" customWidth="1"/>
    <col min="13314" max="13314" width="12.42578125" style="5" customWidth="1"/>
    <col min="13315" max="13315" width="45.28515625" style="5" customWidth="1"/>
    <col min="13316" max="13316" width="15.5703125" style="5" customWidth="1"/>
    <col min="13317" max="13317" width="9.140625" style="5"/>
    <col min="13318" max="13318" width="13.140625" style="5" customWidth="1"/>
    <col min="13319" max="13319" width="12.5703125" style="5" customWidth="1"/>
    <col min="13320" max="13320" width="15.5703125" style="5" customWidth="1"/>
    <col min="13321" max="13321" width="16" style="5" customWidth="1"/>
    <col min="13322" max="13568" width="9.140625" style="5"/>
    <col min="13569" max="13569" width="16.140625" style="5" customWidth="1"/>
    <col min="13570" max="13570" width="12.42578125" style="5" customWidth="1"/>
    <col min="13571" max="13571" width="45.28515625" style="5" customWidth="1"/>
    <col min="13572" max="13572" width="15.5703125" style="5" customWidth="1"/>
    <col min="13573" max="13573" width="9.140625" style="5"/>
    <col min="13574" max="13574" width="13.140625" style="5" customWidth="1"/>
    <col min="13575" max="13575" width="12.5703125" style="5" customWidth="1"/>
    <col min="13576" max="13576" width="15.5703125" style="5" customWidth="1"/>
    <col min="13577" max="13577" width="16" style="5" customWidth="1"/>
    <col min="13578" max="13824" width="9.140625" style="5"/>
    <col min="13825" max="13825" width="16.140625" style="5" customWidth="1"/>
    <col min="13826" max="13826" width="12.42578125" style="5" customWidth="1"/>
    <col min="13827" max="13827" width="45.28515625" style="5" customWidth="1"/>
    <col min="13828" max="13828" width="15.5703125" style="5" customWidth="1"/>
    <col min="13829" max="13829" width="9.140625" style="5"/>
    <col min="13830" max="13830" width="13.140625" style="5" customWidth="1"/>
    <col min="13831" max="13831" width="12.5703125" style="5" customWidth="1"/>
    <col min="13832" max="13832" width="15.5703125" style="5" customWidth="1"/>
    <col min="13833" max="13833" width="16" style="5" customWidth="1"/>
    <col min="13834" max="14080" width="9.140625" style="5"/>
    <col min="14081" max="14081" width="16.140625" style="5" customWidth="1"/>
    <col min="14082" max="14082" width="12.42578125" style="5" customWidth="1"/>
    <col min="14083" max="14083" width="45.28515625" style="5" customWidth="1"/>
    <col min="14084" max="14084" width="15.5703125" style="5" customWidth="1"/>
    <col min="14085" max="14085" width="9.140625" style="5"/>
    <col min="14086" max="14086" width="13.140625" style="5" customWidth="1"/>
    <col min="14087" max="14087" width="12.5703125" style="5" customWidth="1"/>
    <col min="14088" max="14088" width="15.5703125" style="5" customWidth="1"/>
    <col min="14089" max="14089" width="16" style="5" customWidth="1"/>
    <col min="14090" max="14336" width="9.140625" style="5"/>
    <col min="14337" max="14337" width="16.140625" style="5" customWidth="1"/>
    <col min="14338" max="14338" width="12.42578125" style="5" customWidth="1"/>
    <col min="14339" max="14339" width="45.28515625" style="5" customWidth="1"/>
    <col min="14340" max="14340" width="15.5703125" style="5" customWidth="1"/>
    <col min="14341" max="14341" width="9.140625" style="5"/>
    <col min="14342" max="14342" width="13.140625" style="5" customWidth="1"/>
    <col min="14343" max="14343" width="12.5703125" style="5" customWidth="1"/>
    <col min="14344" max="14344" width="15.5703125" style="5" customWidth="1"/>
    <col min="14345" max="14345" width="16" style="5" customWidth="1"/>
    <col min="14346" max="14592" width="9.140625" style="5"/>
    <col min="14593" max="14593" width="16.140625" style="5" customWidth="1"/>
    <col min="14594" max="14594" width="12.42578125" style="5" customWidth="1"/>
    <col min="14595" max="14595" width="45.28515625" style="5" customWidth="1"/>
    <col min="14596" max="14596" width="15.5703125" style="5" customWidth="1"/>
    <col min="14597" max="14597" width="9.140625" style="5"/>
    <col min="14598" max="14598" width="13.140625" style="5" customWidth="1"/>
    <col min="14599" max="14599" width="12.5703125" style="5" customWidth="1"/>
    <col min="14600" max="14600" width="15.5703125" style="5" customWidth="1"/>
    <col min="14601" max="14601" width="16" style="5" customWidth="1"/>
    <col min="14602" max="14848" width="9.140625" style="5"/>
    <col min="14849" max="14849" width="16.140625" style="5" customWidth="1"/>
    <col min="14850" max="14850" width="12.42578125" style="5" customWidth="1"/>
    <col min="14851" max="14851" width="45.28515625" style="5" customWidth="1"/>
    <col min="14852" max="14852" width="15.5703125" style="5" customWidth="1"/>
    <col min="14853" max="14853" width="9.140625" style="5"/>
    <col min="14854" max="14854" width="13.140625" style="5" customWidth="1"/>
    <col min="14855" max="14855" width="12.5703125" style="5" customWidth="1"/>
    <col min="14856" max="14856" width="15.5703125" style="5" customWidth="1"/>
    <col min="14857" max="14857" width="16" style="5" customWidth="1"/>
    <col min="14858" max="15104" width="9.140625" style="5"/>
    <col min="15105" max="15105" width="16.140625" style="5" customWidth="1"/>
    <col min="15106" max="15106" width="12.42578125" style="5" customWidth="1"/>
    <col min="15107" max="15107" width="45.28515625" style="5" customWidth="1"/>
    <col min="15108" max="15108" width="15.5703125" style="5" customWidth="1"/>
    <col min="15109" max="15109" width="9.140625" style="5"/>
    <col min="15110" max="15110" width="13.140625" style="5" customWidth="1"/>
    <col min="15111" max="15111" width="12.5703125" style="5" customWidth="1"/>
    <col min="15112" max="15112" width="15.5703125" style="5" customWidth="1"/>
    <col min="15113" max="15113" width="16" style="5" customWidth="1"/>
    <col min="15114" max="15360" width="9.140625" style="5"/>
    <col min="15361" max="15361" width="16.140625" style="5" customWidth="1"/>
    <col min="15362" max="15362" width="12.42578125" style="5" customWidth="1"/>
    <col min="15363" max="15363" width="45.28515625" style="5" customWidth="1"/>
    <col min="15364" max="15364" width="15.5703125" style="5" customWidth="1"/>
    <col min="15365" max="15365" width="9.140625" style="5"/>
    <col min="15366" max="15366" width="13.140625" style="5" customWidth="1"/>
    <col min="15367" max="15367" width="12.5703125" style="5" customWidth="1"/>
    <col min="15368" max="15368" width="15.5703125" style="5" customWidth="1"/>
    <col min="15369" max="15369" width="16" style="5" customWidth="1"/>
    <col min="15370" max="15616" width="9.140625" style="5"/>
    <col min="15617" max="15617" width="16.140625" style="5" customWidth="1"/>
    <col min="15618" max="15618" width="12.42578125" style="5" customWidth="1"/>
    <col min="15619" max="15619" width="45.28515625" style="5" customWidth="1"/>
    <col min="15620" max="15620" width="15.5703125" style="5" customWidth="1"/>
    <col min="15621" max="15621" width="9.140625" style="5"/>
    <col min="15622" max="15622" width="13.140625" style="5" customWidth="1"/>
    <col min="15623" max="15623" width="12.5703125" style="5" customWidth="1"/>
    <col min="15624" max="15624" width="15.5703125" style="5" customWidth="1"/>
    <col min="15625" max="15625" width="16" style="5" customWidth="1"/>
    <col min="15626" max="15872" width="9.140625" style="5"/>
    <col min="15873" max="15873" width="16.140625" style="5" customWidth="1"/>
    <col min="15874" max="15874" width="12.42578125" style="5" customWidth="1"/>
    <col min="15875" max="15875" width="45.28515625" style="5" customWidth="1"/>
    <col min="15876" max="15876" width="15.5703125" style="5" customWidth="1"/>
    <col min="15877" max="15877" width="9.140625" style="5"/>
    <col min="15878" max="15878" width="13.140625" style="5" customWidth="1"/>
    <col min="15879" max="15879" width="12.5703125" style="5" customWidth="1"/>
    <col min="15880" max="15880" width="15.5703125" style="5" customWidth="1"/>
    <col min="15881" max="15881" width="16" style="5" customWidth="1"/>
    <col min="15882" max="16128" width="9.140625" style="5"/>
    <col min="16129" max="16129" width="16.140625" style="5" customWidth="1"/>
    <col min="16130" max="16130" width="12.42578125" style="5" customWidth="1"/>
    <col min="16131" max="16131" width="45.28515625" style="5" customWidth="1"/>
    <col min="16132" max="16132" width="15.5703125" style="5" customWidth="1"/>
    <col min="16133" max="16133" width="9.140625" style="5"/>
    <col min="16134" max="16134" width="13.140625" style="5" customWidth="1"/>
    <col min="16135" max="16135" width="12.5703125" style="5" customWidth="1"/>
    <col min="16136" max="16136" width="15.5703125" style="5" customWidth="1"/>
    <col min="16137" max="16137" width="16" style="5" customWidth="1"/>
    <col min="16138" max="16384" width="9.140625" style="5"/>
  </cols>
  <sheetData>
    <row r="1" spans="1:12" ht="15.75">
      <c r="A1" s="620"/>
      <c r="B1" s="621"/>
      <c r="C1" s="626" t="s">
        <v>0</v>
      </c>
      <c r="D1" s="626"/>
      <c r="E1" s="626"/>
      <c r="F1" s="626"/>
      <c r="G1" s="626"/>
      <c r="H1" s="202" t="s">
        <v>1</v>
      </c>
      <c r="I1" s="203" t="s">
        <v>354</v>
      </c>
    </row>
    <row r="2" spans="1:12" ht="16.5" thickBot="1">
      <c r="A2" s="622"/>
      <c r="B2" s="623"/>
      <c r="C2" s="708" t="s">
        <v>3</v>
      </c>
      <c r="D2" s="708"/>
      <c r="E2" s="708"/>
      <c r="F2" s="708"/>
      <c r="G2" s="708"/>
      <c r="H2" s="204" t="s">
        <v>4</v>
      </c>
      <c r="I2" s="205" t="s">
        <v>240</v>
      </c>
    </row>
    <row r="3" spans="1:12" ht="18.75" thickBot="1">
      <c r="A3" s="622"/>
      <c r="B3" s="623"/>
      <c r="C3" s="630" t="s">
        <v>355</v>
      </c>
      <c r="D3" s="631"/>
      <c r="E3" s="631"/>
      <c r="F3" s="631"/>
      <c r="G3" s="632"/>
      <c r="H3" s="633" t="s">
        <v>7</v>
      </c>
      <c r="I3" s="611" t="s">
        <v>242</v>
      </c>
    </row>
    <row r="4" spans="1:12">
      <c r="A4" s="622"/>
      <c r="B4" s="623"/>
      <c r="C4" s="206" t="s">
        <v>9</v>
      </c>
      <c r="D4" s="614" t="s">
        <v>10</v>
      </c>
      <c r="E4" s="615"/>
      <c r="F4" s="615"/>
      <c r="G4" s="616"/>
      <c r="H4" s="634"/>
      <c r="I4" s="612"/>
    </row>
    <row r="5" spans="1:12" ht="14.25" thickBot="1">
      <c r="A5" s="705"/>
      <c r="B5" s="706"/>
      <c r="C5" s="366" t="s">
        <v>11</v>
      </c>
      <c r="D5" s="841" t="s">
        <v>96</v>
      </c>
      <c r="E5" s="842"/>
      <c r="F5" s="842"/>
      <c r="G5" s="843"/>
      <c r="H5" s="635"/>
      <c r="I5" s="696"/>
    </row>
    <row r="6" spans="1:12" s="225" customFormat="1" ht="18.75" thickBot="1">
      <c r="A6" s="516" t="s">
        <v>13</v>
      </c>
      <c r="B6" s="516"/>
      <c r="C6" s="516"/>
      <c r="D6" s="517" t="s">
        <v>356</v>
      </c>
      <c r="E6" s="517"/>
      <c r="F6" s="517"/>
      <c r="G6" s="847" t="s">
        <v>15</v>
      </c>
      <c r="H6" s="847"/>
      <c r="I6" s="235" t="s">
        <v>356</v>
      </c>
    </row>
    <row r="7" spans="1:12" ht="25.5">
      <c r="A7" s="759" t="s">
        <v>16</v>
      </c>
      <c r="B7" s="761" t="s">
        <v>17</v>
      </c>
      <c r="C7" s="763" t="s">
        <v>18</v>
      </c>
      <c r="D7" s="763" t="s">
        <v>19</v>
      </c>
      <c r="E7" s="763" t="s">
        <v>20</v>
      </c>
      <c r="F7" s="763"/>
      <c r="G7" s="763" t="s">
        <v>21</v>
      </c>
      <c r="H7" s="763"/>
      <c r="I7" s="284" t="s">
        <v>22</v>
      </c>
    </row>
    <row r="8" spans="1:12" ht="27" thickBot="1">
      <c r="A8" s="760"/>
      <c r="B8" s="762"/>
      <c r="C8" s="764"/>
      <c r="D8" s="764"/>
      <c r="E8" s="285" t="s">
        <v>23</v>
      </c>
      <c r="F8" s="286" t="s">
        <v>24</v>
      </c>
      <c r="G8" s="285" t="s">
        <v>23</v>
      </c>
      <c r="H8" s="286" t="s">
        <v>24</v>
      </c>
      <c r="I8" s="313" t="s">
        <v>25</v>
      </c>
    </row>
    <row r="9" spans="1:12" ht="15">
      <c r="A9" s="200">
        <v>95717</v>
      </c>
      <c r="B9" s="200" t="s">
        <v>187</v>
      </c>
      <c r="C9" t="s">
        <v>243</v>
      </c>
      <c r="D9" s="317" t="s">
        <v>79</v>
      </c>
      <c r="E9" s="11">
        <v>20800</v>
      </c>
      <c r="F9" s="28" t="s">
        <v>29</v>
      </c>
      <c r="G9" s="29">
        <f>E9/20.8</f>
        <v>1000</v>
      </c>
      <c r="H9" s="11"/>
      <c r="I9" s="318"/>
    </row>
    <row r="10" spans="1:12" ht="15.75">
      <c r="A10" s="367">
        <v>10400002</v>
      </c>
      <c r="B10" s="368" t="s">
        <v>357</v>
      </c>
      <c r="C10" s="369" t="s">
        <v>358</v>
      </c>
      <c r="D10" s="319" t="s">
        <v>246</v>
      </c>
      <c r="E10" s="320">
        <v>80</v>
      </c>
      <c r="F10" s="321" t="s">
        <v>29</v>
      </c>
      <c r="G10" s="29">
        <f>E10/20.8</f>
        <v>3.8461538461538458</v>
      </c>
      <c r="H10" s="243"/>
      <c r="I10" s="293"/>
    </row>
    <row r="11" spans="1:12" ht="15.75">
      <c r="A11" s="200" t="s">
        <v>359</v>
      </c>
      <c r="B11" s="200" t="s">
        <v>360</v>
      </c>
      <c r="C11" t="s">
        <v>361</v>
      </c>
      <c r="D11" s="319" t="s">
        <v>362</v>
      </c>
      <c r="E11" s="320">
        <v>200</v>
      </c>
      <c r="F11" s="321" t="s">
        <v>29</v>
      </c>
      <c r="G11" s="29">
        <f>E11/20.8</f>
        <v>9.615384615384615</v>
      </c>
      <c r="H11" s="243"/>
      <c r="I11" s="293"/>
    </row>
    <row r="12" spans="1:12" ht="15.75">
      <c r="A12" s="208" t="s">
        <v>54</v>
      </c>
      <c r="B12" s="201" t="s">
        <v>55</v>
      </c>
      <c r="C12" s="209" t="s">
        <v>56</v>
      </c>
      <c r="D12" s="319" t="s">
        <v>229</v>
      </c>
      <c r="E12" s="320">
        <v>1</v>
      </c>
      <c r="F12" s="322" t="s">
        <v>51</v>
      </c>
      <c r="G12" s="29">
        <f>E12/20.8</f>
        <v>4.8076923076923073E-2</v>
      </c>
      <c r="H12" s="292"/>
      <c r="I12" s="293"/>
    </row>
    <row r="13" spans="1:12" ht="15.75">
      <c r="A13" s="370"/>
      <c r="B13" s="370"/>
      <c r="C13" s="359"/>
      <c r="D13" s="319"/>
      <c r="E13" s="320"/>
      <c r="F13" s="322"/>
      <c r="G13" s="29">
        <f>E13/20.8</f>
        <v>0</v>
      </c>
      <c r="H13" s="11"/>
      <c r="I13" s="11"/>
    </row>
    <row r="14" spans="1:12" ht="14.25" thickBot="1">
      <c r="A14" s="296"/>
      <c r="B14" s="297"/>
      <c r="E14" s="298"/>
      <c r="F14" s="299"/>
      <c r="I14" s="300"/>
      <c r="L14" s="8"/>
    </row>
    <row r="15" spans="1:12" ht="14.25" thickBot="1">
      <c r="A15" s="301"/>
      <c r="B15" s="302"/>
      <c r="C15" s="303"/>
      <c r="D15" s="304" t="s">
        <v>23</v>
      </c>
      <c r="E15" s="305" t="s">
        <v>61</v>
      </c>
      <c r="F15" s="306"/>
      <c r="G15" s="303"/>
      <c r="H15" s="303"/>
      <c r="I15" s="307"/>
      <c r="L15" s="8"/>
    </row>
    <row r="16" spans="1:12">
      <c r="A16" s="753" t="s">
        <v>62</v>
      </c>
      <c r="B16" s="754"/>
      <c r="C16" s="755"/>
      <c r="D16" s="291">
        <v>20800</v>
      </c>
      <c r="E16" s="308" t="s">
        <v>29</v>
      </c>
      <c r="F16" s="756" t="s">
        <v>112</v>
      </c>
      <c r="G16" s="756"/>
      <c r="H16" s="757"/>
      <c r="I16" s="758"/>
      <c r="L16" s="8"/>
    </row>
    <row r="17" spans="1:13">
      <c r="A17" s="680" t="s">
        <v>63</v>
      </c>
      <c r="B17" s="681"/>
      <c r="C17" s="682"/>
      <c r="D17" s="355">
        <v>2</v>
      </c>
      <c r="E17" s="11" t="s">
        <v>64</v>
      </c>
      <c r="F17" s="683" t="s">
        <v>113</v>
      </c>
      <c r="G17" s="683"/>
      <c r="H17" s="684"/>
      <c r="I17" s="685"/>
      <c r="L17" s="8"/>
    </row>
    <row r="18" spans="1:13">
      <c r="A18" s="680" t="s">
        <v>65</v>
      </c>
      <c r="B18" s="681"/>
      <c r="C18" s="682"/>
      <c r="D18" s="11">
        <v>1</v>
      </c>
      <c r="E18" s="11" t="s">
        <v>230</v>
      </c>
      <c r="F18" s="683" t="s">
        <v>114</v>
      </c>
      <c r="G18" s="683"/>
      <c r="H18" s="684"/>
      <c r="I18" s="685"/>
      <c r="L18" s="8"/>
    </row>
    <row r="19" spans="1:13">
      <c r="A19" s="680" t="s">
        <v>67</v>
      </c>
      <c r="B19" s="681"/>
      <c r="C19" s="682"/>
      <c r="D19" s="29">
        <f>D16</f>
        <v>20800</v>
      </c>
      <c r="E19" s="11" t="s">
        <v>29</v>
      </c>
      <c r="F19" s="771" t="s">
        <v>115</v>
      </c>
      <c r="G19" s="772"/>
      <c r="H19" s="684"/>
      <c r="I19" s="685"/>
      <c r="L19" s="8"/>
      <c r="M19" s="4"/>
    </row>
    <row r="20" spans="1:13" ht="14.25" thickBot="1">
      <c r="A20" s="690" t="s">
        <v>68</v>
      </c>
      <c r="B20" s="691"/>
      <c r="C20" s="692"/>
      <c r="D20" s="356">
        <f>SUM(E9:E12)-D16</f>
        <v>281</v>
      </c>
      <c r="E20" s="310" t="s">
        <v>29</v>
      </c>
      <c r="F20" s="693"/>
      <c r="G20" s="693"/>
      <c r="H20" s="747"/>
      <c r="I20" s="748"/>
      <c r="L20" s="8"/>
    </row>
    <row r="21" spans="1:13" ht="14.25" thickBot="1">
      <c r="A21" s="768" t="s">
        <v>69</v>
      </c>
      <c r="B21" s="769"/>
      <c r="C21" s="769"/>
      <c r="D21" s="769"/>
      <c r="E21" s="769"/>
      <c r="F21" s="769"/>
      <c r="G21" s="769"/>
      <c r="H21" s="769"/>
      <c r="I21" s="770"/>
    </row>
    <row r="22" spans="1:13" ht="16.5" customHeight="1">
      <c r="A22" s="773" t="s">
        <v>250</v>
      </c>
      <c r="B22" s="774"/>
      <c r="C22" s="774"/>
      <c r="D22" s="774"/>
      <c r="E22" s="774"/>
      <c r="F22" s="774"/>
      <c r="G22" s="774"/>
      <c r="H22" s="774"/>
      <c r="I22" s="775"/>
    </row>
    <row r="23" spans="1:13" ht="16.5" customHeight="1">
      <c r="A23" s="773" t="s">
        <v>251</v>
      </c>
      <c r="B23" s="774"/>
      <c r="C23" s="774"/>
      <c r="D23" s="774"/>
      <c r="E23" s="774"/>
      <c r="F23" s="774"/>
      <c r="G23" s="774"/>
      <c r="H23" s="774"/>
      <c r="I23" s="775"/>
    </row>
    <row r="24" spans="1:13" ht="14.25" thickBot="1">
      <c r="A24" s="726"/>
      <c r="B24" s="727"/>
      <c r="C24" s="728"/>
      <c r="D24" s="728"/>
      <c r="E24" s="728"/>
      <c r="F24" s="728"/>
      <c r="G24" s="728"/>
      <c r="H24" s="728"/>
      <c r="I24" s="729"/>
    </row>
    <row r="25" spans="1:13" ht="14.25" thickBot="1">
      <c r="A25" s="768" t="s">
        <v>72</v>
      </c>
      <c r="B25" s="769"/>
      <c r="C25" s="769"/>
      <c r="D25" s="769"/>
      <c r="E25" s="769"/>
      <c r="F25" s="769"/>
      <c r="G25" s="769"/>
      <c r="H25" s="769"/>
      <c r="I25" s="770"/>
    </row>
    <row r="26" spans="1:13">
      <c r="A26" s="311" t="s">
        <v>363</v>
      </c>
      <c r="B26" s="311"/>
      <c r="C26" s="311"/>
    </row>
    <row r="27" spans="1:13">
      <c r="A27" s="5" t="s">
        <v>364</v>
      </c>
    </row>
    <row r="28" spans="1:13">
      <c r="A28" s="5" t="s">
        <v>254</v>
      </c>
    </row>
  </sheetData>
  <mergeCells count="37">
    <mergeCell ref="A24:I24"/>
    <mergeCell ref="A25:I25"/>
    <mergeCell ref="A20:C20"/>
    <mergeCell ref="F20:G20"/>
    <mergeCell ref="H20:I20"/>
    <mergeCell ref="A21:I21"/>
    <mergeCell ref="A22:I22"/>
    <mergeCell ref="A23:I23"/>
    <mergeCell ref="A18:C18"/>
    <mergeCell ref="F18:G18"/>
    <mergeCell ref="H18:I18"/>
    <mergeCell ref="A19:C19"/>
    <mergeCell ref="F19:G19"/>
    <mergeCell ref="H19:I19"/>
    <mergeCell ref="A16:C16"/>
    <mergeCell ref="F16:G16"/>
    <mergeCell ref="H16:I16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D972-6DEF-48BA-A929-D0CDC085B8AD}">
  <dimension ref="A1:M27"/>
  <sheetViews>
    <sheetView workbookViewId="0">
      <selection sqref="A1:XFD1048576"/>
    </sheetView>
  </sheetViews>
  <sheetFormatPr defaultColWidth="11.28515625" defaultRowHeight="13.5"/>
  <cols>
    <col min="1" max="1" width="16.28515625" style="5" customWidth="1"/>
    <col min="2" max="2" width="11.85546875" style="5" customWidth="1"/>
    <col min="3" max="3" width="46.5703125" style="5" customWidth="1"/>
    <col min="4" max="7" width="11.28515625" style="5"/>
    <col min="8" max="9" width="16.7109375" style="5" customWidth="1"/>
    <col min="10" max="256" width="11.28515625" style="5"/>
    <col min="257" max="257" width="16.28515625" style="5" customWidth="1"/>
    <col min="258" max="258" width="11.85546875" style="5" customWidth="1"/>
    <col min="259" max="259" width="46.5703125" style="5" customWidth="1"/>
    <col min="260" max="263" width="11.28515625" style="5"/>
    <col min="264" max="265" width="16.7109375" style="5" customWidth="1"/>
    <col min="266" max="512" width="11.28515625" style="5"/>
    <col min="513" max="513" width="16.28515625" style="5" customWidth="1"/>
    <col min="514" max="514" width="11.85546875" style="5" customWidth="1"/>
    <col min="515" max="515" width="46.5703125" style="5" customWidth="1"/>
    <col min="516" max="519" width="11.28515625" style="5"/>
    <col min="520" max="521" width="16.7109375" style="5" customWidth="1"/>
    <col min="522" max="768" width="11.28515625" style="5"/>
    <col min="769" max="769" width="16.28515625" style="5" customWidth="1"/>
    <col min="770" max="770" width="11.85546875" style="5" customWidth="1"/>
    <col min="771" max="771" width="46.5703125" style="5" customWidth="1"/>
    <col min="772" max="775" width="11.28515625" style="5"/>
    <col min="776" max="777" width="16.7109375" style="5" customWidth="1"/>
    <col min="778" max="1024" width="11.28515625" style="5"/>
    <col min="1025" max="1025" width="16.28515625" style="5" customWidth="1"/>
    <col min="1026" max="1026" width="11.85546875" style="5" customWidth="1"/>
    <col min="1027" max="1027" width="46.5703125" style="5" customWidth="1"/>
    <col min="1028" max="1031" width="11.28515625" style="5"/>
    <col min="1032" max="1033" width="16.7109375" style="5" customWidth="1"/>
    <col min="1034" max="1280" width="11.28515625" style="5"/>
    <col min="1281" max="1281" width="16.28515625" style="5" customWidth="1"/>
    <col min="1282" max="1282" width="11.85546875" style="5" customWidth="1"/>
    <col min="1283" max="1283" width="46.5703125" style="5" customWidth="1"/>
    <col min="1284" max="1287" width="11.28515625" style="5"/>
    <col min="1288" max="1289" width="16.7109375" style="5" customWidth="1"/>
    <col min="1290" max="1536" width="11.28515625" style="5"/>
    <col min="1537" max="1537" width="16.28515625" style="5" customWidth="1"/>
    <col min="1538" max="1538" width="11.85546875" style="5" customWidth="1"/>
    <col min="1539" max="1539" width="46.5703125" style="5" customWidth="1"/>
    <col min="1540" max="1543" width="11.28515625" style="5"/>
    <col min="1544" max="1545" width="16.7109375" style="5" customWidth="1"/>
    <col min="1546" max="1792" width="11.28515625" style="5"/>
    <col min="1793" max="1793" width="16.28515625" style="5" customWidth="1"/>
    <col min="1794" max="1794" width="11.85546875" style="5" customWidth="1"/>
    <col min="1795" max="1795" width="46.5703125" style="5" customWidth="1"/>
    <col min="1796" max="1799" width="11.28515625" style="5"/>
    <col min="1800" max="1801" width="16.7109375" style="5" customWidth="1"/>
    <col min="1802" max="2048" width="11.28515625" style="5"/>
    <col min="2049" max="2049" width="16.28515625" style="5" customWidth="1"/>
    <col min="2050" max="2050" width="11.85546875" style="5" customWidth="1"/>
    <col min="2051" max="2051" width="46.5703125" style="5" customWidth="1"/>
    <col min="2052" max="2055" width="11.28515625" style="5"/>
    <col min="2056" max="2057" width="16.7109375" style="5" customWidth="1"/>
    <col min="2058" max="2304" width="11.28515625" style="5"/>
    <col min="2305" max="2305" width="16.28515625" style="5" customWidth="1"/>
    <col min="2306" max="2306" width="11.85546875" style="5" customWidth="1"/>
    <col min="2307" max="2307" width="46.5703125" style="5" customWidth="1"/>
    <col min="2308" max="2311" width="11.28515625" style="5"/>
    <col min="2312" max="2313" width="16.7109375" style="5" customWidth="1"/>
    <col min="2314" max="2560" width="11.28515625" style="5"/>
    <col min="2561" max="2561" width="16.28515625" style="5" customWidth="1"/>
    <col min="2562" max="2562" width="11.85546875" style="5" customWidth="1"/>
    <col min="2563" max="2563" width="46.5703125" style="5" customWidth="1"/>
    <col min="2564" max="2567" width="11.28515625" style="5"/>
    <col min="2568" max="2569" width="16.7109375" style="5" customWidth="1"/>
    <col min="2570" max="2816" width="11.28515625" style="5"/>
    <col min="2817" max="2817" width="16.28515625" style="5" customWidth="1"/>
    <col min="2818" max="2818" width="11.85546875" style="5" customWidth="1"/>
    <col min="2819" max="2819" width="46.5703125" style="5" customWidth="1"/>
    <col min="2820" max="2823" width="11.28515625" style="5"/>
    <col min="2824" max="2825" width="16.7109375" style="5" customWidth="1"/>
    <col min="2826" max="3072" width="11.28515625" style="5"/>
    <col min="3073" max="3073" width="16.28515625" style="5" customWidth="1"/>
    <col min="3074" max="3074" width="11.85546875" style="5" customWidth="1"/>
    <col min="3075" max="3075" width="46.5703125" style="5" customWidth="1"/>
    <col min="3076" max="3079" width="11.28515625" style="5"/>
    <col min="3080" max="3081" width="16.7109375" style="5" customWidth="1"/>
    <col min="3082" max="3328" width="11.28515625" style="5"/>
    <col min="3329" max="3329" width="16.28515625" style="5" customWidth="1"/>
    <col min="3330" max="3330" width="11.85546875" style="5" customWidth="1"/>
    <col min="3331" max="3331" width="46.5703125" style="5" customWidth="1"/>
    <col min="3332" max="3335" width="11.28515625" style="5"/>
    <col min="3336" max="3337" width="16.7109375" style="5" customWidth="1"/>
    <col min="3338" max="3584" width="11.28515625" style="5"/>
    <col min="3585" max="3585" width="16.28515625" style="5" customWidth="1"/>
    <col min="3586" max="3586" width="11.85546875" style="5" customWidth="1"/>
    <col min="3587" max="3587" width="46.5703125" style="5" customWidth="1"/>
    <col min="3588" max="3591" width="11.28515625" style="5"/>
    <col min="3592" max="3593" width="16.7109375" style="5" customWidth="1"/>
    <col min="3594" max="3840" width="11.28515625" style="5"/>
    <col min="3841" max="3841" width="16.28515625" style="5" customWidth="1"/>
    <col min="3842" max="3842" width="11.85546875" style="5" customWidth="1"/>
    <col min="3843" max="3843" width="46.5703125" style="5" customWidth="1"/>
    <col min="3844" max="3847" width="11.28515625" style="5"/>
    <col min="3848" max="3849" width="16.7109375" style="5" customWidth="1"/>
    <col min="3850" max="4096" width="11.28515625" style="5"/>
    <col min="4097" max="4097" width="16.28515625" style="5" customWidth="1"/>
    <col min="4098" max="4098" width="11.85546875" style="5" customWidth="1"/>
    <col min="4099" max="4099" width="46.5703125" style="5" customWidth="1"/>
    <col min="4100" max="4103" width="11.28515625" style="5"/>
    <col min="4104" max="4105" width="16.7109375" style="5" customWidth="1"/>
    <col min="4106" max="4352" width="11.28515625" style="5"/>
    <col min="4353" max="4353" width="16.28515625" style="5" customWidth="1"/>
    <col min="4354" max="4354" width="11.85546875" style="5" customWidth="1"/>
    <col min="4355" max="4355" width="46.5703125" style="5" customWidth="1"/>
    <col min="4356" max="4359" width="11.28515625" style="5"/>
    <col min="4360" max="4361" width="16.7109375" style="5" customWidth="1"/>
    <col min="4362" max="4608" width="11.28515625" style="5"/>
    <col min="4609" max="4609" width="16.28515625" style="5" customWidth="1"/>
    <col min="4610" max="4610" width="11.85546875" style="5" customWidth="1"/>
    <col min="4611" max="4611" width="46.5703125" style="5" customWidth="1"/>
    <col min="4612" max="4615" width="11.28515625" style="5"/>
    <col min="4616" max="4617" width="16.7109375" style="5" customWidth="1"/>
    <col min="4618" max="4864" width="11.28515625" style="5"/>
    <col min="4865" max="4865" width="16.28515625" style="5" customWidth="1"/>
    <col min="4866" max="4866" width="11.85546875" style="5" customWidth="1"/>
    <col min="4867" max="4867" width="46.5703125" style="5" customWidth="1"/>
    <col min="4868" max="4871" width="11.28515625" style="5"/>
    <col min="4872" max="4873" width="16.7109375" style="5" customWidth="1"/>
    <col min="4874" max="5120" width="11.28515625" style="5"/>
    <col min="5121" max="5121" width="16.28515625" style="5" customWidth="1"/>
    <col min="5122" max="5122" width="11.85546875" style="5" customWidth="1"/>
    <col min="5123" max="5123" width="46.5703125" style="5" customWidth="1"/>
    <col min="5124" max="5127" width="11.28515625" style="5"/>
    <col min="5128" max="5129" width="16.7109375" style="5" customWidth="1"/>
    <col min="5130" max="5376" width="11.28515625" style="5"/>
    <col min="5377" max="5377" width="16.28515625" style="5" customWidth="1"/>
    <col min="5378" max="5378" width="11.85546875" style="5" customWidth="1"/>
    <col min="5379" max="5379" width="46.5703125" style="5" customWidth="1"/>
    <col min="5380" max="5383" width="11.28515625" style="5"/>
    <col min="5384" max="5385" width="16.7109375" style="5" customWidth="1"/>
    <col min="5386" max="5632" width="11.28515625" style="5"/>
    <col min="5633" max="5633" width="16.28515625" style="5" customWidth="1"/>
    <col min="5634" max="5634" width="11.85546875" style="5" customWidth="1"/>
    <col min="5635" max="5635" width="46.5703125" style="5" customWidth="1"/>
    <col min="5636" max="5639" width="11.28515625" style="5"/>
    <col min="5640" max="5641" width="16.7109375" style="5" customWidth="1"/>
    <col min="5642" max="5888" width="11.28515625" style="5"/>
    <col min="5889" max="5889" width="16.28515625" style="5" customWidth="1"/>
    <col min="5890" max="5890" width="11.85546875" style="5" customWidth="1"/>
    <col min="5891" max="5891" width="46.5703125" style="5" customWidth="1"/>
    <col min="5892" max="5895" width="11.28515625" style="5"/>
    <col min="5896" max="5897" width="16.7109375" style="5" customWidth="1"/>
    <col min="5898" max="6144" width="11.28515625" style="5"/>
    <col min="6145" max="6145" width="16.28515625" style="5" customWidth="1"/>
    <col min="6146" max="6146" width="11.85546875" style="5" customWidth="1"/>
    <col min="6147" max="6147" width="46.5703125" style="5" customWidth="1"/>
    <col min="6148" max="6151" width="11.28515625" style="5"/>
    <col min="6152" max="6153" width="16.7109375" style="5" customWidth="1"/>
    <col min="6154" max="6400" width="11.28515625" style="5"/>
    <col min="6401" max="6401" width="16.28515625" style="5" customWidth="1"/>
    <col min="6402" max="6402" width="11.85546875" style="5" customWidth="1"/>
    <col min="6403" max="6403" width="46.5703125" style="5" customWidth="1"/>
    <col min="6404" max="6407" width="11.28515625" style="5"/>
    <col min="6408" max="6409" width="16.7109375" style="5" customWidth="1"/>
    <col min="6410" max="6656" width="11.28515625" style="5"/>
    <col min="6657" max="6657" width="16.28515625" style="5" customWidth="1"/>
    <col min="6658" max="6658" width="11.85546875" style="5" customWidth="1"/>
    <col min="6659" max="6659" width="46.5703125" style="5" customWidth="1"/>
    <col min="6660" max="6663" width="11.28515625" style="5"/>
    <col min="6664" max="6665" width="16.7109375" style="5" customWidth="1"/>
    <col min="6666" max="6912" width="11.28515625" style="5"/>
    <col min="6913" max="6913" width="16.28515625" style="5" customWidth="1"/>
    <col min="6914" max="6914" width="11.85546875" style="5" customWidth="1"/>
    <col min="6915" max="6915" width="46.5703125" style="5" customWidth="1"/>
    <col min="6916" max="6919" width="11.28515625" style="5"/>
    <col min="6920" max="6921" width="16.7109375" style="5" customWidth="1"/>
    <col min="6922" max="7168" width="11.28515625" style="5"/>
    <col min="7169" max="7169" width="16.28515625" style="5" customWidth="1"/>
    <col min="7170" max="7170" width="11.85546875" style="5" customWidth="1"/>
    <col min="7171" max="7171" width="46.5703125" style="5" customWidth="1"/>
    <col min="7172" max="7175" width="11.28515625" style="5"/>
    <col min="7176" max="7177" width="16.7109375" style="5" customWidth="1"/>
    <col min="7178" max="7424" width="11.28515625" style="5"/>
    <col min="7425" max="7425" width="16.28515625" style="5" customWidth="1"/>
    <col min="7426" max="7426" width="11.85546875" style="5" customWidth="1"/>
    <col min="7427" max="7427" width="46.5703125" style="5" customWidth="1"/>
    <col min="7428" max="7431" width="11.28515625" style="5"/>
    <col min="7432" max="7433" width="16.7109375" style="5" customWidth="1"/>
    <col min="7434" max="7680" width="11.28515625" style="5"/>
    <col min="7681" max="7681" width="16.28515625" style="5" customWidth="1"/>
    <col min="7682" max="7682" width="11.85546875" style="5" customWidth="1"/>
    <col min="7683" max="7683" width="46.5703125" style="5" customWidth="1"/>
    <col min="7684" max="7687" width="11.28515625" style="5"/>
    <col min="7688" max="7689" width="16.7109375" style="5" customWidth="1"/>
    <col min="7690" max="7936" width="11.28515625" style="5"/>
    <col min="7937" max="7937" width="16.28515625" style="5" customWidth="1"/>
    <col min="7938" max="7938" width="11.85546875" style="5" customWidth="1"/>
    <col min="7939" max="7939" width="46.5703125" style="5" customWidth="1"/>
    <col min="7940" max="7943" width="11.28515625" style="5"/>
    <col min="7944" max="7945" width="16.7109375" style="5" customWidth="1"/>
    <col min="7946" max="8192" width="11.28515625" style="5"/>
    <col min="8193" max="8193" width="16.28515625" style="5" customWidth="1"/>
    <col min="8194" max="8194" width="11.85546875" style="5" customWidth="1"/>
    <col min="8195" max="8195" width="46.5703125" style="5" customWidth="1"/>
    <col min="8196" max="8199" width="11.28515625" style="5"/>
    <col min="8200" max="8201" width="16.7109375" style="5" customWidth="1"/>
    <col min="8202" max="8448" width="11.28515625" style="5"/>
    <col min="8449" max="8449" width="16.28515625" style="5" customWidth="1"/>
    <col min="8450" max="8450" width="11.85546875" style="5" customWidth="1"/>
    <col min="8451" max="8451" width="46.5703125" style="5" customWidth="1"/>
    <col min="8452" max="8455" width="11.28515625" style="5"/>
    <col min="8456" max="8457" width="16.7109375" style="5" customWidth="1"/>
    <col min="8458" max="8704" width="11.28515625" style="5"/>
    <col min="8705" max="8705" width="16.28515625" style="5" customWidth="1"/>
    <col min="8706" max="8706" width="11.85546875" style="5" customWidth="1"/>
    <col min="8707" max="8707" width="46.5703125" style="5" customWidth="1"/>
    <col min="8708" max="8711" width="11.28515625" style="5"/>
    <col min="8712" max="8713" width="16.7109375" style="5" customWidth="1"/>
    <col min="8714" max="8960" width="11.28515625" style="5"/>
    <col min="8961" max="8961" width="16.28515625" style="5" customWidth="1"/>
    <col min="8962" max="8962" width="11.85546875" style="5" customWidth="1"/>
    <col min="8963" max="8963" width="46.5703125" style="5" customWidth="1"/>
    <col min="8964" max="8967" width="11.28515625" style="5"/>
    <col min="8968" max="8969" width="16.7109375" style="5" customWidth="1"/>
    <col min="8970" max="9216" width="11.28515625" style="5"/>
    <col min="9217" max="9217" width="16.28515625" style="5" customWidth="1"/>
    <col min="9218" max="9218" width="11.85546875" style="5" customWidth="1"/>
    <col min="9219" max="9219" width="46.5703125" style="5" customWidth="1"/>
    <col min="9220" max="9223" width="11.28515625" style="5"/>
    <col min="9224" max="9225" width="16.7109375" style="5" customWidth="1"/>
    <col min="9226" max="9472" width="11.28515625" style="5"/>
    <col min="9473" max="9473" width="16.28515625" style="5" customWidth="1"/>
    <col min="9474" max="9474" width="11.85546875" style="5" customWidth="1"/>
    <col min="9475" max="9475" width="46.5703125" style="5" customWidth="1"/>
    <col min="9476" max="9479" width="11.28515625" style="5"/>
    <col min="9480" max="9481" width="16.7109375" style="5" customWidth="1"/>
    <col min="9482" max="9728" width="11.28515625" style="5"/>
    <col min="9729" max="9729" width="16.28515625" style="5" customWidth="1"/>
    <col min="9730" max="9730" width="11.85546875" style="5" customWidth="1"/>
    <col min="9731" max="9731" width="46.5703125" style="5" customWidth="1"/>
    <col min="9732" max="9735" width="11.28515625" style="5"/>
    <col min="9736" max="9737" width="16.7109375" style="5" customWidth="1"/>
    <col min="9738" max="9984" width="11.28515625" style="5"/>
    <col min="9985" max="9985" width="16.28515625" style="5" customWidth="1"/>
    <col min="9986" max="9986" width="11.85546875" style="5" customWidth="1"/>
    <col min="9987" max="9987" width="46.5703125" style="5" customWidth="1"/>
    <col min="9988" max="9991" width="11.28515625" style="5"/>
    <col min="9992" max="9993" width="16.7109375" style="5" customWidth="1"/>
    <col min="9994" max="10240" width="11.28515625" style="5"/>
    <col min="10241" max="10241" width="16.28515625" style="5" customWidth="1"/>
    <col min="10242" max="10242" width="11.85546875" style="5" customWidth="1"/>
    <col min="10243" max="10243" width="46.5703125" style="5" customWidth="1"/>
    <col min="10244" max="10247" width="11.28515625" style="5"/>
    <col min="10248" max="10249" width="16.7109375" style="5" customWidth="1"/>
    <col min="10250" max="10496" width="11.28515625" style="5"/>
    <col min="10497" max="10497" width="16.28515625" style="5" customWidth="1"/>
    <col min="10498" max="10498" width="11.85546875" style="5" customWidth="1"/>
    <col min="10499" max="10499" width="46.5703125" style="5" customWidth="1"/>
    <col min="10500" max="10503" width="11.28515625" style="5"/>
    <col min="10504" max="10505" width="16.7109375" style="5" customWidth="1"/>
    <col min="10506" max="10752" width="11.28515625" style="5"/>
    <col min="10753" max="10753" width="16.28515625" style="5" customWidth="1"/>
    <col min="10754" max="10754" width="11.85546875" style="5" customWidth="1"/>
    <col min="10755" max="10755" width="46.5703125" style="5" customWidth="1"/>
    <col min="10756" max="10759" width="11.28515625" style="5"/>
    <col min="10760" max="10761" width="16.7109375" style="5" customWidth="1"/>
    <col min="10762" max="11008" width="11.28515625" style="5"/>
    <col min="11009" max="11009" width="16.28515625" style="5" customWidth="1"/>
    <col min="11010" max="11010" width="11.85546875" style="5" customWidth="1"/>
    <col min="11011" max="11011" width="46.5703125" style="5" customWidth="1"/>
    <col min="11012" max="11015" width="11.28515625" style="5"/>
    <col min="11016" max="11017" width="16.7109375" style="5" customWidth="1"/>
    <col min="11018" max="11264" width="11.28515625" style="5"/>
    <col min="11265" max="11265" width="16.28515625" style="5" customWidth="1"/>
    <col min="11266" max="11266" width="11.85546875" style="5" customWidth="1"/>
    <col min="11267" max="11267" width="46.5703125" style="5" customWidth="1"/>
    <col min="11268" max="11271" width="11.28515625" style="5"/>
    <col min="11272" max="11273" width="16.7109375" style="5" customWidth="1"/>
    <col min="11274" max="11520" width="11.28515625" style="5"/>
    <col min="11521" max="11521" width="16.28515625" style="5" customWidth="1"/>
    <col min="11522" max="11522" width="11.85546875" style="5" customWidth="1"/>
    <col min="11523" max="11523" width="46.5703125" style="5" customWidth="1"/>
    <col min="11524" max="11527" width="11.28515625" style="5"/>
    <col min="11528" max="11529" width="16.7109375" style="5" customWidth="1"/>
    <col min="11530" max="11776" width="11.28515625" style="5"/>
    <col min="11777" max="11777" width="16.28515625" style="5" customWidth="1"/>
    <col min="11778" max="11778" width="11.85546875" style="5" customWidth="1"/>
    <col min="11779" max="11779" width="46.5703125" style="5" customWidth="1"/>
    <col min="11780" max="11783" width="11.28515625" style="5"/>
    <col min="11784" max="11785" width="16.7109375" style="5" customWidth="1"/>
    <col min="11786" max="12032" width="11.28515625" style="5"/>
    <col min="12033" max="12033" width="16.28515625" style="5" customWidth="1"/>
    <col min="12034" max="12034" width="11.85546875" style="5" customWidth="1"/>
    <col min="12035" max="12035" width="46.5703125" style="5" customWidth="1"/>
    <col min="12036" max="12039" width="11.28515625" style="5"/>
    <col min="12040" max="12041" width="16.7109375" style="5" customWidth="1"/>
    <col min="12042" max="12288" width="11.28515625" style="5"/>
    <col min="12289" max="12289" width="16.28515625" style="5" customWidth="1"/>
    <col min="12290" max="12290" width="11.85546875" style="5" customWidth="1"/>
    <col min="12291" max="12291" width="46.5703125" style="5" customWidth="1"/>
    <col min="12292" max="12295" width="11.28515625" style="5"/>
    <col min="12296" max="12297" width="16.7109375" style="5" customWidth="1"/>
    <col min="12298" max="12544" width="11.28515625" style="5"/>
    <col min="12545" max="12545" width="16.28515625" style="5" customWidth="1"/>
    <col min="12546" max="12546" width="11.85546875" style="5" customWidth="1"/>
    <col min="12547" max="12547" width="46.5703125" style="5" customWidth="1"/>
    <col min="12548" max="12551" width="11.28515625" style="5"/>
    <col min="12552" max="12553" width="16.7109375" style="5" customWidth="1"/>
    <col min="12554" max="12800" width="11.28515625" style="5"/>
    <col min="12801" max="12801" width="16.28515625" style="5" customWidth="1"/>
    <col min="12802" max="12802" width="11.85546875" style="5" customWidth="1"/>
    <col min="12803" max="12803" width="46.5703125" style="5" customWidth="1"/>
    <col min="12804" max="12807" width="11.28515625" style="5"/>
    <col min="12808" max="12809" width="16.7109375" style="5" customWidth="1"/>
    <col min="12810" max="13056" width="11.28515625" style="5"/>
    <col min="13057" max="13057" width="16.28515625" style="5" customWidth="1"/>
    <col min="13058" max="13058" width="11.85546875" style="5" customWidth="1"/>
    <col min="13059" max="13059" width="46.5703125" style="5" customWidth="1"/>
    <col min="13060" max="13063" width="11.28515625" style="5"/>
    <col min="13064" max="13065" width="16.7109375" style="5" customWidth="1"/>
    <col min="13066" max="13312" width="11.28515625" style="5"/>
    <col min="13313" max="13313" width="16.28515625" style="5" customWidth="1"/>
    <col min="13314" max="13314" width="11.85546875" style="5" customWidth="1"/>
    <col min="13315" max="13315" width="46.5703125" style="5" customWidth="1"/>
    <col min="13316" max="13319" width="11.28515625" style="5"/>
    <col min="13320" max="13321" width="16.7109375" style="5" customWidth="1"/>
    <col min="13322" max="13568" width="11.28515625" style="5"/>
    <col min="13569" max="13569" width="16.28515625" style="5" customWidth="1"/>
    <col min="13570" max="13570" width="11.85546875" style="5" customWidth="1"/>
    <col min="13571" max="13571" width="46.5703125" style="5" customWidth="1"/>
    <col min="13572" max="13575" width="11.28515625" style="5"/>
    <col min="13576" max="13577" width="16.7109375" style="5" customWidth="1"/>
    <col min="13578" max="13824" width="11.28515625" style="5"/>
    <col min="13825" max="13825" width="16.28515625" style="5" customWidth="1"/>
    <col min="13826" max="13826" width="11.85546875" style="5" customWidth="1"/>
    <col min="13827" max="13827" width="46.5703125" style="5" customWidth="1"/>
    <col min="13828" max="13831" width="11.28515625" style="5"/>
    <col min="13832" max="13833" width="16.7109375" style="5" customWidth="1"/>
    <col min="13834" max="14080" width="11.28515625" style="5"/>
    <col min="14081" max="14081" width="16.28515625" style="5" customWidth="1"/>
    <col min="14082" max="14082" width="11.85546875" style="5" customWidth="1"/>
    <col min="14083" max="14083" width="46.5703125" style="5" customWidth="1"/>
    <col min="14084" max="14087" width="11.28515625" style="5"/>
    <col min="14088" max="14089" width="16.7109375" style="5" customWidth="1"/>
    <col min="14090" max="14336" width="11.28515625" style="5"/>
    <col min="14337" max="14337" width="16.28515625" style="5" customWidth="1"/>
    <col min="14338" max="14338" width="11.85546875" style="5" customWidth="1"/>
    <col min="14339" max="14339" width="46.5703125" style="5" customWidth="1"/>
    <col min="14340" max="14343" width="11.28515625" style="5"/>
    <col min="14344" max="14345" width="16.7109375" style="5" customWidth="1"/>
    <col min="14346" max="14592" width="11.28515625" style="5"/>
    <col min="14593" max="14593" width="16.28515625" style="5" customWidth="1"/>
    <col min="14594" max="14594" width="11.85546875" style="5" customWidth="1"/>
    <col min="14595" max="14595" width="46.5703125" style="5" customWidth="1"/>
    <col min="14596" max="14599" width="11.28515625" style="5"/>
    <col min="14600" max="14601" width="16.7109375" style="5" customWidth="1"/>
    <col min="14602" max="14848" width="11.28515625" style="5"/>
    <col min="14849" max="14849" width="16.28515625" style="5" customWidth="1"/>
    <col min="14850" max="14850" width="11.85546875" style="5" customWidth="1"/>
    <col min="14851" max="14851" width="46.5703125" style="5" customWidth="1"/>
    <col min="14852" max="14855" width="11.28515625" style="5"/>
    <col min="14856" max="14857" width="16.7109375" style="5" customWidth="1"/>
    <col min="14858" max="15104" width="11.28515625" style="5"/>
    <col min="15105" max="15105" width="16.28515625" style="5" customWidth="1"/>
    <col min="15106" max="15106" width="11.85546875" style="5" customWidth="1"/>
    <col min="15107" max="15107" width="46.5703125" style="5" customWidth="1"/>
    <col min="15108" max="15111" width="11.28515625" style="5"/>
    <col min="15112" max="15113" width="16.7109375" style="5" customWidth="1"/>
    <col min="15114" max="15360" width="11.28515625" style="5"/>
    <col min="15361" max="15361" width="16.28515625" style="5" customWidth="1"/>
    <col min="15362" max="15362" width="11.85546875" style="5" customWidth="1"/>
    <col min="15363" max="15363" width="46.5703125" style="5" customWidth="1"/>
    <col min="15364" max="15367" width="11.28515625" style="5"/>
    <col min="15368" max="15369" width="16.7109375" style="5" customWidth="1"/>
    <col min="15370" max="15616" width="11.28515625" style="5"/>
    <col min="15617" max="15617" width="16.28515625" style="5" customWidth="1"/>
    <col min="15618" max="15618" width="11.85546875" style="5" customWidth="1"/>
    <col min="15619" max="15619" width="46.5703125" style="5" customWidth="1"/>
    <col min="15620" max="15623" width="11.28515625" style="5"/>
    <col min="15624" max="15625" width="16.7109375" style="5" customWidth="1"/>
    <col min="15626" max="15872" width="11.28515625" style="5"/>
    <col min="15873" max="15873" width="16.28515625" style="5" customWidth="1"/>
    <col min="15874" max="15874" width="11.85546875" style="5" customWidth="1"/>
    <col min="15875" max="15875" width="46.5703125" style="5" customWidth="1"/>
    <col min="15876" max="15879" width="11.28515625" style="5"/>
    <col min="15880" max="15881" width="16.7109375" style="5" customWidth="1"/>
    <col min="15882" max="16128" width="11.28515625" style="5"/>
    <col min="16129" max="16129" width="16.28515625" style="5" customWidth="1"/>
    <col min="16130" max="16130" width="11.85546875" style="5" customWidth="1"/>
    <col min="16131" max="16131" width="46.5703125" style="5" customWidth="1"/>
    <col min="16132" max="16135" width="11.28515625" style="5"/>
    <col min="16136" max="16137" width="16.7109375" style="5" customWidth="1"/>
    <col min="16138" max="16384" width="11.28515625" style="5"/>
  </cols>
  <sheetData>
    <row r="1" spans="1:12" ht="15.75">
      <c r="A1" s="620"/>
      <c r="B1" s="621"/>
      <c r="C1" s="626" t="s">
        <v>0</v>
      </c>
      <c r="D1" s="626"/>
      <c r="E1" s="626"/>
      <c r="F1" s="626"/>
      <c r="G1" s="626"/>
      <c r="H1" s="202" t="s">
        <v>1</v>
      </c>
      <c r="I1" s="203" t="s">
        <v>365</v>
      </c>
    </row>
    <row r="2" spans="1:12" ht="16.5" thickBot="1">
      <c r="A2" s="622"/>
      <c r="B2" s="623"/>
      <c r="C2" s="708" t="s">
        <v>3</v>
      </c>
      <c r="D2" s="708"/>
      <c r="E2" s="708"/>
      <c r="F2" s="708"/>
      <c r="G2" s="708"/>
      <c r="H2" s="204" t="s">
        <v>4</v>
      </c>
      <c r="I2" s="205" t="s">
        <v>240</v>
      </c>
    </row>
    <row r="3" spans="1:12" ht="18.75" thickBot="1">
      <c r="A3" s="622"/>
      <c r="B3" s="623"/>
      <c r="C3" s="630" t="s">
        <v>366</v>
      </c>
      <c r="D3" s="631"/>
      <c r="E3" s="631"/>
      <c r="F3" s="631"/>
      <c r="G3" s="632"/>
      <c r="H3" s="633" t="s">
        <v>7</v>
      </c>
      <c r="I3" s="611">
        <v>44096</v>
      </c>
    </row>
    <row r="4" spans="1:12">
      <c r="A4" s="622"/>
      <c r="B4" s="623"/>
      <c r="C4" s="206" t="s">
        <v>9</v>
      </c>
      <c r="D4" s="614" t="s">
        <v>10</v>
      </c>
      <c r="E4" s="615"/>
      <c r="F4" s="615"/>
      <c r="G4" s="616"/>
      <c r="H4" s="634"/>
      <c r="I4" s="612"/>
    </row>
    <row r="5" spans="1:12" ht="14.25" thickBot="1">
      <c r="A5" s="705"/>
      <c r="B5" s="706"/>
      <c r="C5" s="282" t="s">
        <v>11</v>
      </c>
      <c r="D5" s="811" t="s">
        <v>367</v>
      </c>
      <c r="E5" s="812"/>
      <c r="F5" s="812"/>
      <c r="G5" s="813"/>
      <c r="H5" s="634"/>
      <c r="I5" s="612"/>
    </row>
    <row r="6" spans="1:12" s="225" customFormat="1" ht="18.75" thickBot="1">
      <c r="A6" s="844" t="s">
        <v>13</v>
      </c>
      <c r="B6" s="845"/>
      <c r="C6" s="845"/>
      <c r="D6" s="846" t="s">
        <v>356</v>
      </c>
      <c r="E6" s="846"/>
      <c r="F6" s="846"/>
      <c r="G6" s="848" t="s">
        <v>15</v>
      </c>
      <c r="H6" s="848"/>
      <c r="I6" s="283" t="s">
        <v>356</v>
      </c>
    </row>
    <row r="7" spans="1:12" ht="25.5">
      <c r="A7" s="776" t="s">
        <v>16</v>
      </c>
      <c r="B7" s="761" t="s">
        <v>17</v>
      </c>
      <c r="C7" s="763" t="s">
        <v>18</v>
      </c>
      <c r="D7" s="763" t="s">
        <v>19</v>
      </c>
      <c r="E7" s="763" t="s">
        <v>20</v>
      </c>
      <c r="F7" s="763"/>
      <c r="G7" s="763" t="s">
        <v>21</v>
      </c>
      <c r="H7" s="763"/>
      <c r="I7" s="284" t="s">
        <v>22</v>
      </c>
    </row>
    <row r="8" spans="1:12" ht="27" thickBot="1">
      <c r="A8" s="700"/>
      <c r="B8" s="803"/>
      <c r="C8" s="702"/>
      <c r="D8" s="764"/>
      <c r="E8" s="285" t="s">
        <v>23</v>
      </c>
      <c r="F8" s="286" t="s">
        <v>24</v>
      </c>
      <c r="G8" s="285" t="s">
        <v>23</v>
      </c>
      <c r="H8" s="286" t="s">
        <v>24</v>
      </c>
      <c r="I8" s="287" t="s">
        <v>25</v>
      </c>
    </row>
    <row r="9" spans="1:12" ht="15.75">
      <c r="A9" s="210">
        <v>11400029</v>
      </c>
      <c r="B9" s="210" t="s">
        <v>368</v>
      </c>
      <c r="C9" s="211" t="s">
        <v>369</v>
      </c>
      <c r="D9" s="288" t="s">
        <v>370</v>
      </c>
      <c r="E9" s="289">
        <v>16000</v>
      </c>
      <c r="F9" s="290" t="s">
        <v>29</v>
      </c>
      <c r="G9" s="291" t="s">
        <v>371</v>
      </c>
      <c r="H9" s="292"/>
      <c r="I9" s="293"/>
    </row>
    <row r="10" spans="1:12" ht="15.75">
      <c r="A10" s="210">
        <v>11400031</v>
      </c>
      <c r="B10" s="210" t="s">
        <v>224</v>
      </c>
      <c r="C10" s="211" t="s">
        <v>225</v>
      </c>
      <c r="D10" s="288" t="s">
        <v>370</v>
      </c>
      <c r="E10" s="289">
        <v>8000</v>
      </c>
      <c r="F10" s="290" t="s">
        <v>29</v>
      </c>
      <c r="G10" s="291" t="s">
        <v>263</v>
      </c>
      <c r="H10" s="292"/>
      <c r="I10" s="293"/>
    </row>
    <row r="11" spans="1:12" ht="15.75">
      <c r="A11" s="208" t="s">
        <v>84</v>
      </c>
      <c r="B11" s="208"/>
      <c r="C11" s="209" t="s">
        <v>85</v>
      </c>
      <c r="D11" s="288" t="s">
        <v>372</v>
      </c>
      <c r="E11" s="289">
        <v>1000</v>
      </c>
      <c r="F11" s="290" t="s">
        <v>29</v>
      </c>
      <c r="G11" s="291"/>
      <c r="H11" s="292"/>
      <c r="I11" s="25"/>
    </row>
    <row r="12" spans="1:12" ht="15.75">
      <c r="A12" s="210">
        <v>1212410</v>
      </c>
      <c r="B12" s="210" t="s">
        <v>42</v>
      </c>
      <c r="C12" s="211" t="s">
        <v>43</v>
      </c>
      <c r="D12" s="288" t="s">
        <v>228</v>
      </c>
      <c r="E12" s="294">
        <v>22</v>
      </c>
      <c r="F12" s="290" t="s">
        <v>29</v>
      </c>
      <c r="G12" s="29"/>
      <c r="H12" s="11"/>
      <c r="I12" s="25"/>
    </row>
    <row r="13" spans="1:12" ht="15">
      <c r="A13" s="210">
        <v>702123</v>
      </c>
      <c r="B13" s="210" t="s">
        <v>55</v>
      </c>
      <c r="C13" s="211" t="s">
        <v>56</v>
      </c>
      <c r="D13" s="295"/>
      <c r="E13" s="28">
        <v>1</v>
      </c>
      <c r="F13" s="28" t="s">
        <v>51</v>
      </c>
      <c r="G13" s="28"/>
      <c r="H13" s="28"/>
      <c r="I13" s="25"/>
    </row>
    <row r="14" spans="1:12" ht="14.25" thickBot="1">
      <c r="A14" s="296"/>
      <c r="B14" s="297"/>
      <c r="E14" s="298"/>
      <c r="F14" s="299"/>
      <c r="I14" s="300"/>
      <c r="L14" s="8"/>
    </row>
    <row r="15" spans="1:12" ht="14.25" thickBot="1">
      <c r="A15" s="301"/>
      <c r="B15" s="302"/>
      <c r="C15" s="303"/>
      <c r="D15" s="304" t="s">
        <v>23</v>
      </c>
      <c r="E15" s="305" t="s">
        <v>61</v>
      </c>
      <c r="F15" s="306"/>
      <c r="G15" s="303"/>
      <c r="H15" s="303"/>
      <c r="I15" s="307"/>
      <c r="L15" s="8"/>
    </row>
    <row r="16" spans="1:12">
      <c r="A16" s="753" t="s">
        <v>62</v>
      </c>
      <c r="B16" s="754"/>
      <c r="C16" s="755"/>
      <c r="D16" s="291">
        <v>24500</v>
      </c>
      <c r="E16" s="308" t="s">
        <v>29</v>
      </c>
      <c r="F16" s="756" t="s">
        <v>112</v>
      </c>
      <c r="G16" s="756"/>
      <c r="H16" s="757"/>
      <c r="I16" s="758"/>
      <c r="L16" s="8"/>
    </row>
    <row r="17" spans="1:13">
      <c r="A17" s="680" t="s">
        <v>63</v>
      </c>
      <c r="B17" s="681"/>
      <c r="C17" s="682"/>
      <c r="D17" s="11">
        <v>5</v>
      </c>
      <c r="E17" s="11" t="s">
        <v>64</v>
      </c>
      <c r="F17" s="683" t="s">
        <v>113</v>
      </c>
      <c r="G17" s="683"/>
      <c r="H17" s="684"/>
      <c r="I17" s="685"/>
      <c r="L17" s="8"/>
    </row>
    <row r="18" spans="1:13">
      <c r="A18" s="680" t="s">
        <v>65</v>
      </c>
      <c r="B18" s="681"/>
      <c r="C18" s="682"/>
      <c r="D18" s="11">
        <v>1</v>
      </c>
      <c r="E18" s="11" t="s">
        <v>51</v>
      </c>
      <c r="F18" s="683" t="s">
        <v>114</v>
      </c>
      <c r="G18" s="683"/>
      <c r="H18" s="684"/>
      <c r="I18" s="685"/>
      <c r="L18" s="8"/>
    </row>
    <row r="19" spans="1:13">
      <c r="A19" s="680" t="s">
        <v>67</v>
      </c>
      <c r="B19" s="681"/>
      <c r="C19" s="682"/>
      <c r="D19" s="29">
        <f>D16</f>
        <v>24500</v>
      </c>
      <c r="E19" s="11" t="s">
        <v>29</v>
      </c>
      <c r="F19" s="771" t="s">
        <v>115</v>
      </c>
      <c r="G19" s="772"/>
      <c r="H19" s="684"/>
      <c r="I19" s="685"/>
      <c r="L19" s="8"/>
      <c r="M19" s="309"/>
    </row>
    <row r="20" spans="1:13" ht="14.25" thickBot="1">
      <c r="A20" s="690" t="s">
        <v>68</v>
      </c>
      <c r="B20" s="691"/>
      <c r="C20" s="692"/>
      <c r="D20" s="310">
        <v>500</v>
      </c>
      <c r="E20" s="310" t="s">
        <v>29</v>
      </c>
      <c r="F20" s="693"/>
      <c r="G20" s="693"/>
      <c r="H20" s="747"/>
      <c r="I20" s="748"/>
      <c r="L20" s="8"/>
    </row>
    <row r="21" spans="1:13" ht="14.25" thickBot="1">
      <c r="A21" s="768" t="s">
        <v>69</v>
      </c>
      <c r="B21" s="769"/>
      <c r="C21" s="769"/>
      <c r="D21" s="769"/>
      <c r="E21" s="769"/>
      <c r="F21" s="769"/>
      <c r="G21" s="769"/>
      <c r="H21" s="769"/>
      <c r="I21" s="770"/>
    </row>
    <row r="22" spans="1:13">
      <c r="A22" s="807" t="s">
        <v>373</v>
      </c>
      <c r="B22" s="808"/>
      <c r="C22" s="809"/>
      <c r="D22" s="809"/>
      <c r="E22" s="809"/>
      <c r="F22" s="809"/>
      <c r="G22" s="809"/>
      <c r="H22" s="809"/>
      <c r="I22" s="810"/>
    </row>
    <row r="23" spans="1:13">
      <c r="A23" s="807" t="s">
        <v>374</v>
      </c>
      <c r="B23" s="808"/>
      <c r="C23" s="809"/>
      <c r="D23" s="809"/>
      <c r="E23" s="809"/>
      <c r="F23" s="809"/>
      <c r="G23" s="809"/>
      <c r="H23" s="809"/>
      <c r="I23" s="810"/>
    </row>
    <row r="24" spans="1:13">
      <c r="A24" s="804"/>
      <c r="B24" s="805"/>
      <c r="C24" s="805"/>
      <c r="D24" s="805"/>
      <c r="E24" s="805"/>
      <c r="F24" s="805"/>
      <c r="G24" s="805"/>
      <c r="H24" s="805"/>
      <c r="I24" s="806"/>
    </row>
    <row r="25" spans="1:13" ht="14.25" thickBot="1">
      <c r="A25" s="726"/>
      <c r="B25" s="727"/>
      <c r="C25" s="728"/>
      <c r="D25" s="728"/>
      <c r="E25" s="728"/>
      <c r="F25" s="728"/>
      <c r="G25" s="728"/>
      <c r="H25" s="728"/>
      <c r="I25" s="729"/>
    </row>
    <row r="26" spans="1:13" ht="14.25" thickBot="1">
      <c r="A26" s="768" t="s">
        <v>72</v>
      </c>
      <c r="B26" s="769"/>
      <c r="C26" s="769"/>
      <c r="D26" s="769"/>
      <c r="E26" s="769"/>
      <c r="F26" s="769"/>
      <c r="G26" s="769"/>
      <c r="H26" s="769"/>
      <c r="I26" s="770"/>
    </row>
    <row r="27" spans="1:13">
      <c r="A27" s="311" t="s">
        <v>375</v>
      </c>
      <c r="B27" s="311"/>
      <c r="C27" s="311"/>
    </row>
  </sheetData>
  <mergeCells count="38">
    <mergeCell ref="A24:I24"/>
    <mergeCell ref="A25:I25"/>
    <mergeCell ref="A26:I26"/>
    <mergeCell ref="A20:C20"/>
    <mergeCell ref="F20:G20"/>
    <mergeCell ref="H20:I20"/>
    <mergeCell ref="A21:I21"/>
    <mergeCell ref="A22:I22"/>
    <mergeCell ref="A23:I23"/>
    <mergeCell ref="A18:C18"/>
    <mergeCell ref="F18:G18"/>
    <mergeCell ref="H18:I18"/>
    <mergeCell ref="A19:C19"/>
    <mergeCell ref="F19:G19"/>
    <mergeCell ref="H19:I19"/>
    <mergeCell ref="A16:C16"/>
    <mergeCell ref="F16:G16"/>
    <mergeCell ref="H16:I16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0C52-2E3E-498E-8DB0-05AA9C030090}">
  <dimension ref="A1"/>
  <sheetViews>
    <sheetView workbookViewId="0">
      <selection activeCell="H12" sqref="H12"/>
    </sheetView>
  </sheetViews>
  <sheetFormatPr defaultColWidth="11.42578125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740-433D-4EA0-AA57-816A8D808DC9}">
  <dimension ref="A1:Q91"/>
  <sheetViews>
    <sheetView topLeftCell="A16" workbookViewId="0">
      <selection activeCell="F22" sqref="F22"/>
    </sheetView>
  </sheetViews>
  <sheetFormatPr defaultColWidth="8.42578125" defaultRowHeight="12.7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>
      <c r="A1" s="86"/>
      <c r="B1" s="86"/>
      <c r="C1" s="86"/>
      <c r="D1" s="86"/>
      <c r="E1" s="87" t="s">
        <v>120</v>
      </c>
      <c r="F1" s="88" t="s">
        <v>121</v>
      </c>
      <c r="G1" s="88" t="s">
        <v>122</v>
      </c>
      <c r="H1" s="88" t="s">
        <v>123</v>
      </c>
      <c r="I1" s="89"/>
    </row>
    <row r="2" spans="1:10" ht="30.75" customHeight="1">
      <c r="A2" s="86"/>
      <c r="B2" s="86"/>
      <c r="C2" s="86"/>
      <c r="D2" s="86"/>
      <c r="E2" s="92">
        <f>IFERROR(O62,"")</f>
        <v>2626.0379624093785</v>
      </c>
      <c r="F2" s="92">
        <f>IFERROR(H53,"")</f>
        <v>1344.7317362637361</v>
      </c>
      <c r="G2" s="92">
        <f>IFERROR(H54,"")</f>
        <v>293.04659950769229</v>
      </c>
      <c r="H2" s="92">
        <f>IFERROR(H56,"")</f>
        <v>506.58686743626004</v>
      </c>
      <c r="I2" s="93"/>
    </row>
    <row r="3" spans="1:10" ht="15" customHeight="1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>
      <c r="A4" s="662"/>
      <c r="B4" s="662"/>
      <c r="C4" s="662"/>
      <c r="D4" s="662"/>
      <c r="E4" s="662"/>
      <c r="F4" s="662"/>
      <c r="G4" s="662"/>
      <c r="H4" s="662"/>
      <c r="I4" s="95"/>
    </row>
    <row r="5" spans="1:10" ht="19.5" customHeight="1" thickBot="1">
      <c r="A5" s="663" t="s">
        <v>124</v>
      </c>
      <c r="B5" s="664"/>
      <c r="C5" s="664"/>
      <c r="D5" s="664"/>
      <c r="E5" s="664"/>
      <c r="F5" s="664"/>
      <c r="G5" s="664"/>
      <c r="H5" s="665"/>
      <c r="I5" s="96"/>
    </row>
    <row r="6" spans="1:10" ht="19.5" thickBot="1">
      <c r="A6" s="96"/>
      <c r="B6" s="96"/>
      <c r="C6" s="96"/>
      <c r="D6" s="96"/>
      <c r="E6" s="96"/>
      <c r="F6" s="666" t="s">
        <v>125</v>
      </c>
      <c r="G6" s="666"/>
      <c r="H6" s="97">
        <f ca="1">TODAY()</f>
        <v>45814</v>
      </c>
      <c r="I6" s="97"/>
    </row>
    <row r="7" spans="1:10" ht="26.25" hidden="1" thickBot="1">
      <c r="A7" s="98" t="s">
        <v>126</v>
      </c>
      <c r="B7" s="99" t="s">
        <v>127</v>
      </c>
      <c r="C7" s="99" t="s">
        <v>126</v>
      </c>
      <c r="D7" s="100" t="s">
        <v>128</v>
      </c>
      <c r="E7" s="100" t="s">
        <v>129</v>
      </c>
      <c r="F7" s="100" t="s">
        <v>130</v>
      </c>
      <c r="G7" s="100" t="s">
        <v>131</v>
      </c>
      <c r="H7" s="101" t="s">
        <v>132</v>
      </c>
      <c r="I7" s="102"/>
    </row>
    <row r="8" spans="1:10" ht="13.5" hidden="1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3.5" hidden="1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3.5" hidden="1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3.5" hidden="1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3.5" hidden="1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3.5" hidden="1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3.5" hidden="1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>
      <c r="A16" s="98" t="s">
        <v>126</v>
      </c>
      <c r="B16" s="99" t="s">
        <v>133</v>
      </c>
      <c r="C16" s="99" t="s">
        <v>126</v>
      </c>
      <c r="D16" s="100" t="s">
        <v>128</v>
      </c>
      <c r="E16" s="100" t="s">
        <v>129</v>
      </c>
      <c r="F16" s="100" t="s">
        <v>130</v>
      </c>
      <c r="G16" s="100" t="s">
        <v>131</v>
      </c>
      <c r="H16" s="101" t="s">
        <v>132</v>
      </c>
      <c r="I16" s="102"/>
      <c r="J16" s="108"/>
    </row>
    <row r="17" spans="1:12" ht="13.5">
      <c r="A17" s="103">
        <v>1.5</v>
      </c>
      <c r="B17" s="222" t="s">
        <v>376</v>
      </c>
      <c r="C17" s="104">
        <f>+A17</f>
        <v>1.5</v>
      </c>
      <c r="D17" s="104" t="s">
        <v>377</v>
      </c>
      <c r="E17" s="105">
        <f>+'Costo Rosquete 300 g'!H53</f>
        <v>380.48782417582424</v>
      </c>
      <c r="F17" s="105">
        <f>IFERROR(E17*C17,"")</f>
        <v>570.73173626373637</v>
      </c>
      <c r="G17" s="106">
        <f t="shared" ref="G17:G24" si="3">IFERROR(F17/$F$66,"")</f>
        <v>0.28105546513682861</v>
      </c>
      <c r="H17" s="69" t="s">
        <v>378</v>
      </c>
      <c r="I17" s="107"/>
      <c r="J17" s="108"/>
    </row>
    <row r="18" spans="1:12" ht="13.5">
      <c r="A18" s="103">
        <v>60</v>
      </c>
      <c r="B18" s="222" t="str">
        <f>IFERROR(VLOOKUP(H18,[1]SEMIELABORADOS!$A$2:$M$6000,2,0),"")</f>
        <v>CREMA DULCE LECHE KILO</v>
      </c>
      <c r="C18" s="104">
        <f t="shared" ref="C18:C24" si="4">+A18</f>
        <v>60</v>
      </c>
      <c r="D18" s="104" t="str">
        <f>IFERROR(VLOOKUP(H18,[1]SEMIELABORADOS!$A$2:$M$6000,6,0),"")</f>
        <v>Gramo</v>
      </c>
      <c r="E18" s="105">
        <v>2.68</v>
      </c>
      <c r="F18" s="105">
        <f t="shared" ref="F18:F24" si="5">IFERROR(E18*C18,"")</f>
        <v>160.80000000000001</v>
      </c>
      <c r="G18" s="106">
        <f t="shared" si="3"/>
        <v>7.9185571648530045E-2</v>
      </c>
      <c r="H18" s="107" t="s">
        <v>379</v>
      </c>
      <c r="I18" s="107"/>
      <c r="J18" s="108"/>
    </row>
    <row r="19" spans="1:12" ht="13.5">
      <c r="A19" s="103">
        <v>120</v>
      </c>
      <c r="B19" s="222" t="str">
        <f>IFERROR(VLOOKUP(H19,[1]SEMIELABORADOS!$A$2:$M$6000,2,0),"")</f>
        <v>CREMA CHANTILLY BLANCA SPOON-IND KILO</v>
      </c>
      <c r="C19" s="104">
        <f>+A19</f>
        <v>120</v>
      </c>
      <c r="D19" s="104" t="str">
        <f>IFERROR(VLOOKUP(H19,[1]SEMIELABORADOS!$A$2:$M$6000,6,0),"")</f>
        <v>Gramo</v>
      </c>
      <c r="E19" s="105">
        <v>2.31</v>
      </c>
      <c r="F19" s="105">
        <f>IFERROR(E19*C19,"")</f>
        <v>277.2</v>
      </c>
      <c r="G19" s="106">
        <f t="shared" si="3"/>
        <v>0.13650647052843609</v>
      </c>
      <c r="H19" s="107" t="s">
        <v>380</v>
      </c>
      <c r="I19" s="107"/>
      <c r="J19" s="108"/>
    </row>
    <row r="20" spans="1:12" ht="13.5">
      <c r="A20" s="103">
        <v>60</v>
      </c>
      <c r="B20" s="222" t="s">
        <v>189</v>
      </c>
      <c r="C20" s="104">
        <f>+A20</f>
        <v>60</v>
      </c>
      <c r="D20" s="104" t="s">
        <v>381</v>
      </c>
      <c r="E20" s="105">
        <v>2.37</v>
      </c>
      <c r="F20" s="105">
        <f>IFERROR(E20*C20,"")</f>
        <v>142.20000000000002</v>
      </c>
      <c r="G20" s="106">
        <f t="shared" si="3"/>
        <v>7.002604656978216E-2</v>
      </c>
      <c r="H20" s="107" t="s">
        <v>382</v>
      </c>
      <c r="I20" s="107"/>
      <c r="J20" s="108"/>
    </row>
    <row r="21" spans="1:12" ht="13.5">
      <c r="A21" s="103">
        <v>40</v>
      </c>
      <c r="B21" s="222" t="s">
        <v>191</v>
      </c>
      <c r="C21" s="104">
        <f>+A21</f>
        <v>40</v>
      </c>
      <c r="D21" s="104" t="s">
        <v>381</v>
      </c>
      <c r="E21" s="105">
        <v>2.69</v>
      </c>
      <c r="F21" s="105">
        <f>IFERROR(E21*C21,"")</f>
        <v>107.6</v>
      </c>
      <c r="G21" s="106">
        <f t="shared" si="3"/>
        <v>5.2987360132971589E-2</v>
      </c>
      <c r="H21" s="107" t="s">
        <v>383</v>
      </c>
      <c r="I21" s="107"/>
      <c r="J21" s="108"/>
    </row>
    <row r="22" spans="1:12" ht="13.5">
      <c r="A22" s="103">
        <v>30</v>
      </c>
      <c r="B22" s="222" t="str">
        <f>IFERROR(VLOOKUP(H22,[1]SEMIELABORADOS!$A$2:$M$6000,2,0),"")</f>
        <v>CREMA CHANTILLY MORADO BARNIE KILO</v>
      </c>
      <c r="C22" s="104">
        <f t="shared" si="4"/>
        <v>30</v>
      </c>
      <c r="D22" s="104" t="str">
        <f>IFERROR(VLOOKUP(H22,[1]SEMIELABORADOS!$A$2:$M$6000,6,0),"")</f>
        <v>Gramo</v>
      </c>
      <c r="E22" s="105">
        <v>2.42</v>
      </c>
      <c r="F22" s="105">
        <f t="shared" si="5"/>
        <v>72.599999999999994</v>
      </c>
      <c r="G22" s="106">
        <f t="shared" si="3"/>
        <v>3.5751694662209454E-2</v>
      </c>
      <c r="H22" s="107" t="s">
        <v>384</v>
      </c>
      <c r="I22" s="107"/>
      <c r="J22" s="108"/>
    </row>
    <row r="23" spans="1:12" ht="13.5">
      <c r="A23" s="103">
        <v>5</v>
      </c>
      <c r="B23" s="91" t="s">
        <v>385</v>
      </c>
      <c r="C23" s="104">
        <f t="shared" si="4"/>
        <v>5</v>
      </c>
      <c r="D23" s="104" t="s">
        <v>381</v>
      </c>
      <c r="E23" s="105">
        <v>2.72</v>
      </c>
      <c r="F23" s="105">
        <f t="shared" si="5"/>
        <v>13.600000000000001</v>
      </c>
      <c r="G23" s="106">
        <f t="shared" si="3"/>
        <v>6.6972871543532868E-3</v>
      </c>
      <c r="H23" s="107" t="s">
        <v>386</v>
      </c>
      <c r="I23" s="107"/>
      <c r="J23" s="108"/>
    </row>
    <row r="24" spans="1:12" ht="13.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>
      <c r="A26" s="98" t="s">
        <v>126</v>
      </c>
      <c r="B26" s="99" t="s">
        <v>136</v>
      </c>
      <c r="C26" s="99" t="s">
        <v>126</v>
      </c>
      <c r="D26" s="100" t="s">
        <v>128</v>
      </c>
      <c r="E26" s="100" t="s">
        <v>129</v>
      </c>
      <c r="F26" s="100" t="s">
        <v>130</v>
      </c>
      <c r="G26" s="100" t="s">
        <v>131</v>
      </c>
      <c r="H26" s="101" t="s">
        <v>132</v>
      </c>
      <c r="I26" s="102"/>
    </row>
    <row r="27" spans="1:12" ht="13.5">
      <c r="A27" s="103">
        <v>1</v>
      </c>
      <c r="B27" s="109" t="str">
        <f>IFERROR(VLOOKUP(H27,'[1]Consolidado MP Planta'!$A$2:$M$823,3,0),"")</f>
        <v>QUEQUERA RED  BASE/DOMO 10 (CAJA:50)</v>
      </c>
      <c r="C27" s="104">
        <f t="shared" ref="C27:C32" si="6">+A27</f>
        <v>1</v>
      </c>
      <c r="D27" s="105" t="str">
        <f>IFERROR(VLOOKUP(H27,'[1]Consolidado MP Planta'!$A$2:$M$823,13,0),"")</f>
        <v>UND</v>
      </c>
      <c r="E27" s="105">
        <v>274</v>
      </c>
      <c r="F27" s="105">
        <f t="shared" ref="F27:F32" si="7">IFERROR(C27*E27,"")</f>
        <v>274</v>
      </c>
      <c r="G27" s="106">
        <f t="shared" ref="G27:G32" si="8">IFERROR(F27/$F$66,"")</f>
        <v>0.13493063825682355</v>
      </c>
      <c r="H27" s="110" t="s">
        <v>387</v>
      </c>
      <c r="I27" s="110"/>
      <c r="J27" s="108"/>
      <c r="K27" s="656"/>
      <c r="L27" s="656"/>
    </row>
    <row r="28" spans="1:12" ht="13.5">
      <c r="A28" s="103">
        <v>0</v>
      </c>
      <c r="B28" s="109" t="str">
        <f>IFERROR(VLOOKUP(H28,'[1]Consolidado MP Planta'!$A$2:$M$823,3,0),"")</f>
        <v>ORLA # 10 BUCCA (UND)</v>
      </c>
      <c r="C28" s="104">
        <f t="shared" si="6"/>
        <v>0</v>
      </c>
      <c r="D28" s="105" t="s">
        <v>388</v>
      </c>
      <c r="E28" s="105">
        <v>137</v>
      </c>
      <c r="F28" s="105">
        <f t="shared" si="7"/>
        <v>0</v>
      </c>
      <c r="G28" s="106">
        <f t="shared" si="8"/>
        <v>0</v>
      </c>
      <c r="H28" s="110" t="s">
        <v>389</v>
      </c>
      <c r="I28" s="110"/>
      <c r="J28" s="108"/>
      <c r="K28" s="656"/>
      <c r="L28" s="656"/>
    </row>
    <row r="29" spans="1:12" ht="13.5">
      <c r="A29" s="103">
        <v>1</v>
      </c>
      <c r="B29" s="109" t="str">
        <f>IFERROR(VLOOKUP(H29,'[1]Consolidado MP Planta'!$A$2:$M$823,3,0),"")</f>
        <v>ETIQ.FECHA VENCIMIENTO VERDE (ROLLO)</v>
      </c>
      <c r="C29" s="104">
        <f t="shared" si="6"/>
        <v>1</v>
      </c>
      <c r="D29" s="105" t="str">
        <f>IFERROR(VLOOKUP(H29,'[1]Consolidado MP Planta'!$A$2:$M$823,13,0),"")</f>
        <v>Und</v>
      </c>
      <c r="E29" s="105">
        <v>0.33</v>
      </c>
      <c r="F29" s="105">
        <f t="shared" si="7"/>
        <v>0.33</v>
      </c>
      <c r="G29" s="106">
        <f t="shared" si="8"/>
        <v>1.62507703010043E-4</v>
      </c>
      <c r="H29" s="110" t="s">
        <v>273</v>
      </c>
      <c r="I29" s="110"/>
      <c r="J29" s="108"/>
      <c r="K29" s="656"/>
      <c r="L29" s="656"/>
    </row>
    <row r="30" spans="1:12" ht="13.5">
      <c r="A30" s="103">
        <v>1</v>
      </c>
      <c r="B30" s="109" t="str">
        <f>IFERROR(VLOOKUP(H30,'[1]Consolidado MP Planta'!$A$2:$M$823,3,0),"")</f>
        <v>ETIQ.BLANCA 1 1/4 * 3/4 (UND)</v>
      </c>
      <c r="C30" s="104">
        <f t="shared" si="6"/>
        <v>1</v>
      </c>
      <c r="D30" s="105" t="str">
        <f>IFERROR(VLOOKUP(H30,'[1]Consolidado MP Planta'!$A$2:$M$823,13,0),"")</f>
        <v>Und</v>
      </c>
      <c r="E30" s="105">
        <v>0.57999999999999996</v>
      </c>
      <c r="F30" s="105">
        <f t="shared" si="7"/>
        <v>0.57999999999999996</v>
      </c>
      <c r="G30" s="106">
        <f t="shared" si="8"/>
        <v>2.856195992297725E-4</v>
      </c>
      <c r="H30" s="110" t="s">
        <v>326</v>
      </c>
      <c r="I30" s="110"/>
      <c r="J30" s="108"/>
      <c r="K30" s="656"/>
      <c r="L30" s="656"/>
    </row>
    <row r="31" spans="1:12" ht="13.5">
      <c r="A31" s="103">
        <v>1</v>
      </c>
      <c r="B31" s="109" t="str">
        <f>IFERROR(VLOOKUP(H31,'[1]Consolidado MP Planta'!$A$2:$M$823,3,0),"")</f>
        <v>ETIQUETA BLANCA 2 5/8X1 15/16 (UND)</v>
      </c>
      <c r="C31" s="104">
        <f t="shared" si="6"/>
        <v>1</v>
      </c>
      <c r="D31" s="105" t="str">
        <f>IFERROR(VLOOKUP(H31,'[1]Consolidado MP Planta'!$A$2:$M$823,13,0),"")</f>
        <v>Und</v>
      </c>
      <c r="E31" s="105">
        <v>2.13</v>
      </c>
      <c r="F31" s="105">
        <f t="shared" si="7"/>
        <v>2.13</v>
      </c>
      <c r="G31" s="106">
        <f t="shared" si="8"/>
        <v>1.0489133557920955E-3</v>
      </c>
      <c r="H31" s="110" t="s">
        <v>54</v>
      </c>
      <c r="I31" s="110"/>
      <c r="J31" s="108"/>
      <c r="K31" s="111"/>
      <c r="L31" s="112"/>
    </row>
    <row r="32" spans="1:12" ht="13.5">
      <c r="A32" s="103">
        <v>60</v>
      </c>
      <c r="B32" s="109" t="str">
        <f>IFERROR(VLOOKUP(H32,'[1]Consolidado MP Planta'!$A$2:$M$823,3,0),"")</f>
        <v>CINTA ADHESIVA TRANSPARENT 2*100 M (UND)</v>
      </c>
      <c r="C32" s="104">
        <f t="shared" si="6"/>
        <v>60</v>
      </c>
      <c r="D32" s="105" t="str">
        <f>IFERROR(VLOOKUP(H32,'[1]Consolidado MP Planta'!$A$2:$M$823,13,0),"")</f>
        <v>Cm</v>
      </c>
      <c r="E32" s="105">
        <v>0.18</v>
      </c>
      <c r="F32" s="105">
        <f t="shared" si="7"/>
        <v>10.799999999999999</v>
      </c>
      <c r="G32" s="106">
        <f t="shared" si="8"/>
        <v>5.318433916692315E-3</v>
      </c>
      <c r="H32" s="110" t="s">
        <v>390</v>
      </c>
      <c r="I32" s="110"/>
      <c r="J32" s="108"/>
    </row>
    <row r="33" spans="1:13" ht="14.25" thickBot="1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>
      <c r="A34" s="98" t="s">
        <v>126</v>
      </c>
      <c r="B34" s="99" t="s">
        <v>139</v>
      </c>
      <c r="C34" s="99" t="s">
        <v>126</v>
      </c>
      <c r="D34" s="100" t="s">
        <v>128</v>
      </c>
      <c r="E34" s="100" t="s">
        <v>129</v>
      </c>
      <c r="F34" s="100" t="s">
        <v>130</v>
      </c>
      <c r="G34" s="100" t="s">
        <v>131</v>
      </c>
      <c r="H34" s="101" t="s">
        <v>132</v>
      </c>
      <c r="I34" s="110"/>
      <c r="J34" s="108"/>
    </row>
    <row r="35" spans="1:13" ht="13.5">
      <c r="A35" s="103">
        <f>+A17</f>
        <v>1.5</v>
      </c>
      <c r="B35" s="91" t="s">
        <v>376</v>
      </c>
      <c r="C35" s="104">
        <f>+A35</f>
        <v>1.5</v>
      </c>
      <c r="D35" s="105" t="s">
        <v>377</v>
      </c>
      <c r="E35" s="105">
        <f>+'Costo Rosquete 300 g'!H54</f>
        <v>3.4633846153846153</v>
      </c>
      <c r="F35" s="105">
        <f>IFERROR(E35*C35,"")</f>
        <v>5.1950769230769227</v>
      </c>
      <c r="G35" s="106">
        <f t="shared" ref="G35:G41" si="9">IFERROR(F35/$F$66,"")</f>
        <v>2.5583030840294319E-3</v>
      </c>
      <c r="H35" s="69" t="s">
        <v>378</v>
      </c>
      <c r="I35" s="110"/>
      <c r="J35" s="108"/>
    </row>
    <row r="36" spans="1:13" ht="13.5">
      <c r="A36" s="103">
        <f t="shared" ref="A36:A41" si="10">+A18</f>
        <v>60</v>
      </c>
      <c r="B36" s="109" t="str">
        <f>IFERROR(VLOOKUP(H36,[1]SEMIELABORADOS!$A$2:$M$6000,2,0),"")</f>
        <v>CREMA DULCE LECHE KILO</v>
      </c>
      <c r="C36" s="104">
        <f t="shared" ref="C36:C41" si="11">+A36</f>
        <v>60</v>
      </c>
      <c r="D36" s="105" t="str">
        <f>IFERROR(VLOOKUP(H36,[1]SEMIELABORADOS!$A$2:$M$6000,6,0),"")</f>
        <v>Gramo</v>
      </c>
      <c r="E36" s="105">
        <f>IFERROR(VLOOKUP(H36,[1]SEMIELABORADOS!$A$2:$M$65536,10,0),"")</f>
        <v>8.5119999999999998E-5</v>
      </c>
      <c r="F36" s="105">
        <f t="shared" ref="F36:F41" si="12">IFERROR(E36*C36,"")</f>
        <v>5.1072000000000001E-3</v>
      </c>
      <c r="G36" s="106">
        <f t="shared" si="9"/>
        <v>2.5150283054936107E-6</v>
      </c>
      <c r="H36" s="107" t="s">
        <v>379</v>
      </c>
      <c r="I36" s="110"/>
      <c r="J36" s="108"/>
    </row>
    <row r="37" spans="1:13" ht="13.5">
      <c r="A37" s="103">
        <f t="shared" si="10"/>
        <v>120</v>
      </c>
      <c r="B37" s="109" t="str">
        <f>IFERROR(VLOOKUP(H37,[1]SEMIELABORADOS!$A$2:$M$6000,2,0),"")</f>
        <v>CREMA CHANTILLY BLANCA SPOON-IND KILO</v>
      </c>
      <c r="C37" s="104">
        <f t="shared" si="11"/>
        <v>120</v>
      </c>
      <c r="D37" s="105" t="str">
        <f>IFERROR(VLOOKUP(H37,[1]SEMIELABORADOS!$A$2:$M$6000,6,0),"")</f>
        <v>Gramo</v>
      </c>
      <c r="E37" s="105">
        <f>IFERROR(VLOOKUP(H37,[1]SEMIELABORADOS!$A$2:$M$65536,10,0),"")</f>
        <v>2.7884615384615379E-5</v>
      </c>
      <c r="F37" s="105">
        <f t="shared" si="12"/>
        <v>3.3461538461538455E-3</v>
      </c>
      <c r="G37" s="106">
        <f t="shared" si="9"/>
        <v>1.6478053801717643E-6</v>
      </c>
      <c r="H37" s="110" t="s">
        <v>380</v>
      </c>
      <c r="I37" s="110"/>
      <c r="J37" s="108"/>
    </row>
    <row r="38" spans="1:13" ht="13.5">
      <c r="A38" s="103">
        <f t="shared" si="10"/>
        <v>60</v>
      </c>
      <c r="B38" s="109" t="s">
        <v>189</v>
      </c>
      <c r="C38" s="104">
        <f>+A38</f>
        <v>60</v>
      </c>
      <c r="D38" s="105" t="s">
        <v>381</v>
      </c>
      <c r="E38" s="105">
        <v>0</v>
      </c>
      <c r="F38" s="105">
        <f>IFERROR(E38*C38,"")</f>
        <v>0</v>
      </c>
      <c r="G38" s="106">
        <f t="shared" si="9"/>
        <v>0</v>
      </c>
      <c r="H38" s="110" t="s">
        <v>382</v>
      </c>
      <c r="I38" s="110"/>
      <c r="J38" s="108"/>
    </row>
    <row r="39" spans="1:13" ht="13.5">
      <c r="A39" s="103">
        <f t="shared" si="10"/>
        <v>40</v>
      </c>
      <c r="B39" s="109" t="s">
        <v>191</v>
      </c>
      <c r="C39" s="104">
        <f>+A39</f>
        <v>40</v>
      </c>
      <c r="D39" s="105" t="s">
        <v>381</v>
      </c>
      <c r="E39" s="105">
        <v>0</v>
      </c>
      <c r="F39" s="105">
        <f>IFERROR(E39*C39,"")</f>
        <v>0</v>
      </c>
      <c r="G39" s="106">
        <f t="shared" si="9"/>
        <v>0</v>
      </c>
      <c r="H39" s="110" t="s">
        <v>383</v>
      </c>
      <c r="I39" s="110"/>
      <c r="J39" s="108"/>
    </row>
    <row r="40" spans="1:13" ht="13.5">
      <c r="A40" s="103">
        <f t="shared" si="10"/>
        <v>30</v>
      </c>
      <c r="B40" s="109" t="str">
        <f>IFERROR(VLOOKUP(H40,[1]SEMIELABORADOS!$A$2:$M$6000,2,0),"")</f>
        <v>CREMA CHANTILLY MORADO BARNIE KILO</v>
      </c>
      <c r="C40" s="104">
        <f t="shared" si="11"/>
        <v>30</v>
      </c>
      <c r="D40" s="105" t="str">
        <f>IFERROR(VLOOKUP(H40,[1]SEMIELABORADOS!$A$2:$M$6000,6,0),"")</f>
        <v>Gramo</v>
      </c>
      <c r="E40" s="105">
        <f>IFERROR(VLOOKUP(H40,[1]SEMIELABORADOS!$A$2:$M$65536,10,0),"")</f>
        <v>1.023076923076923E-4</v>
      </c>
      <c r="F40" s="105">
        <f t="shared" si="12"/>
        <v>3.069230769230769E-3</v>
      </c>
      <c r="G40" s="106">
        <f t="shared" si="9"/>
        <v>1.5114352797437564E-6</v>
      </c>
      <c r="H40" s="110" t="s">
        <v>384</v>
      </c>
      <c r="I40" s="110"/>
      <c r="J40" s="108"/>
    </row>
    <row r="41" spans="1:13" ht="13.5">
      <c r="A41" s="103">
        <f t="shared" si="10"/>
        <v>5</v>
      </c>
      <c r="B41" s="109" t="s">
        <v>385</v>
      </c>
      <c r="C41" s="104">
        <f t="shared" si="11"/>
        <v>5</v>
      </c>
      <c r="D41" s="105" t="s">
        <v>381</v>
      </c>
      <c r="E41" s="105">
        <v>0</v>
      </c>
      <c r="F41" s="105">
        <f t="shared" si="12"/>
        <v>0</v>
      </c>
      <c r="G41" s="106">
        <f t="shared" si="9"/>
        <v>0</v>
      </c>
      <c r="H41" s="110" t="s">
        <v>386</v>
      </c>
      <c r="I41" s="110"/>
      <c r="J41" s="108"/>
    </row>
    <row r="42" spans="1:13" ht="14.25" thickBot="1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>
      <c r="A43" s="98" t="s">
        <v>126</v>
      </c>
      <c r="B43" s="99" t="s">
        <v>140</v>
      </c>
      <c r="C43" s="99" t="s">
        <v>126</v>
      </c>
      <c r="D43" s="100" t="s">
        <v>128</v>
      </c>
      <c r="E43" s="100" t="s">
        <v>129</v>
      </c>
      <c r="F43" s="100" t="s">
        <v>130</v>
      </c>
      <c r="G43" s="100" t="s">
        <v>131</v>
      </c>
      <c r="H43" s="101" t="s">
        <v>132</v>
      </c>
      <c r="I43" s="102"/>
      <c r="J43" s="108"/>
    </row>
    <row r="44" spans="1:13" ht="13.5">
      <c r="A44" s="103">
        <f>+A35</f>
        <v>1.5</v>
      </c>
      <c r="B44" s="91" t="s">
        <v>376</v>
      </c>
      <c r="C44" s="104">
        <f>+A44</f>
        <v>1.5</v>
      </c>
      <c r="D44" s="105" t="s">
        <v>377</v>
      </c>
      <c r="E44" s="105">
        <v>30.28</v>
      </c>
      <c r="F44" s="105">
        <f>IFERROR(E44*C44,"")</f>
        <v>45.42</v>
      </c>
      <c r="G44" s="106">
        <f>IFERROR(F44/$F$66,"")</f>
        <v>2.2366969305200463E-2</v>
      </c>
      <c r="H44" s="69" t="s">
        <v>378</v>
      </c>
      <c r="I44" s="102"/>
      <c r="J44" s="108"/>
    </row>
    <row r="45" spans="1:13" ht="13.5">
      <c r="A45" s="103">
        <f t="shared" ref="A45:A50" si="13">+A36</f>
        <v>60</v>
      </c>
      <c r="B45" s="109" t="str">
        <f>IFERROR(VLOOKUP(H45,[1]SEMIELABORADOS!$A$2:$M$6000,2,0),"")</f>
        <v>CREMA DULCE LECHE KILO</v>
      </c>
      <c r="C45" s="104">
        <f t="shared" ref="C45:C50" si="14">+A45</f>
        <v>60</v>
      </c>
      <c r="D45" s="105" t="str">
        <f>IFERROR(VLOOKUP(H45,[1]SEMIELABORADOS!$A$2:$M$6000,6,0),"")</f>
        <v>Gramo</v>
      </c>
      <c r="E45" s="105">
        <f>IFERROR(VLOOKUP(H45,[1]SEMIELABORADOS!$A$2:$M$65536,12,0),"")</f>
        <v>0.48247311132734694</v>
      </c>
      <c r="F45" s="105">
        <f t="shared" ref="F45:F50" si="15">IFERROR(E45*C45,"")</f>
        <v>28.948386679640816</v>
      </c>
      <c r="G45" s="106">
        <f t="shared" ref="G45:G50" si="16">IFERROR(F45/$F$66,"")</f>
        <v>1.4255563106530164E-2</v>
      </c>
      <c r="H45" s="107" t="s">
        <v>379</v>
      </c>
      <c r="I45" s="102"/>
      <c r="J45" s="108"/>
      <c r="M45" s="113"/>
    </row>
    <row r="46" spans="1:13" ht="13.5">
      <c r="A46" s="103">
        <f t="shared" si="13"/>
        <v>120</v>
      </c>
      <c r="B46" s="109" t="str">
        <f>IFERROR(VLOOKUP(H46,[1]SEMIELABORADOS!$A$2:$M$6000,2,0),"")</f>
        <v>CREMA CHANTILLY BLANCA SPOON-IND KILO</v>
      </c>
      <c r="C46" s="104">
        <f t="shared" si="14"/>
        <v>120</v>
      </c>
      <c r="D46" s="105" t="str">
        <f>IFERROR(VLOOKUP(H46,[1]SEMIELABORADOS!$A$2:$M$6000,6,0),"")</f>
        <v>Gramo</v>
      </c>
      <c r="E46" s="105">
        <f>IFERROR(VLOOKUP(H46,[1]SEMIELABORADOS!$A$2:$M$65536,12,0),"")</f>
        <v>0.41607800376923076</v>
      </c>
      <c r="F46" s="105">
        <f t="shared" si="15"/>
        <v>49.929360452307691</v>
      </c>
      <c r="G46" s="106">
        <f t="shared" si="16"/>
        <v>2.4587592969287888E-2</v>
      </c>
      <c r="H46" s="110" t="s">
        <v>380</v>
      </c>
      <c r="I46" s="102"/>
      <c r="J46" s="108"/>
    </row>
    <row r="47" spans="1:13" ht="13.5">
      <c r="A47" s="103">
        <f t="shared" si="13"/>
        <v>60</v>
      </c>
      <c r="B47" s="109" t="s">
        <v>189</v>
      </c>
      <c r="C47" s="104">
        <f t="shared" si="14"/>
        <v>60</v>
      </c>
      <c r="D47" s="105" t="s">
        <v>381</v>
      </c>
      <c r="E47" s="105">
        <v>0.02</v>
      </c>
      <c r="F47" s="105">
        <f t="shared" si="15"/>
        <v>1.2</v>
      </c>
      <c r="G47" s="106">
        <f t="shared" si="16"/>
        <v>5.9093710185470169E-4</v>
      </c>
      <c r="H47" s="110" t="s">
        <v>382</v>
      </c>
      <c r="I47" s="102"/>
      <c r="J47" s="108"/>
    </row>
    <row r="48" spans="1:13" ht="13.5">
      <c r="A48" s="103">
        <f t="shared" si="13"/>
        <v>40</v>
      </c>
      <c r="B48" s="109" t="s">
        <v>191</v>
      </c>
      <c r="C48" s="104">
        <f t="shared" si="14"/>
        <v>40</v>
      </c>
      <c r="D48" s="105" t="s">
        <v>381</v>
      </c>
      <c r="E48" s="105">
        <v>0.02</v>
      </c>
      <c r="F48" s="105">
        <f t="shared" si="15"/>
        <v>0.8</v>
      </c>
      <c r="G48" s="106">
        <f t="shared" si="16"/>
        <v>3.9395806790313453E-4</v>
      </c>
      <c r="H48" s="110" t="s">
        <v>383</v>
      </c>
      <c r="I48" s="102"/>
      <c r="J48" s="108"/>
    </row>
    <row r="49" spans="1:17" ht="13.5">
      <c r="A49" s="103">
        <f t="shared" si="13"/>
        <v>30</v>
      </c>
      <c r="B49" s="109" t="str">
        <f>IFERROR(VLOOKUP(H49,[1]SEMIELABORADOS!$A$2:$M$6000,2,0),"")</f>
        <v>CREMA CHANTILLY MORADO BARNIE KILO</v>
      </c>
      <c r="C49" s="104">
        <f t="shared" si="14"/>
        <v>30</v>
      </c>
      <c r="D49" s="105" t="str">
        <f>IFERROR(VLOOKUP(H49,[1]SEMIELABORADOS!$A$2:$M$6000,6,0),"")</f>
        <v>Gramo</v>
      </c>
      <c r="E49" s="105">
        <f>IFERROR(VLOOKUP(H49,[1]SEMIELABORADOS!$A$2:$M$65536,12,0),"")</f>
        <v>0.43571673522383425</v>
      </c>
      <c r="F49" s="105">
        <f t="shared" si="15"/>
        <v>13.071502056715028</v>
      </c>
      <c r="G49" s="106">
        <f t="shared" si="16"/>
        <v>6.4370296185691268E-3</v>
      </c>
      <c r="H49" s="110" t="s">
        <v>384</v>
      </c>
      <c r="I49" s="102"/>
      <c r="J49" s="108"/>
    </row>
    <row r="50" spans="1:17" ht="13.5">
      <c r="A50" s="103">
        <f t="shared" si="13"/>
        <v>5</v>
      </c>
      <c r="B50" s="109" t="str">
        <f>IFERROR(VLOOKUP(H50,[1]SEMIELABORADOS!$A$2:$M$6000,2,0),"")</f>
        <v>BORONA P/DECORAR KILO</v>
      </c>
      <c r="C50" s="104">
        <f t="shared" si="14"/>
        <v>5</v>
      </c>
      <c r="D50" s="105" t="str">
        <f>IFERROR(VLOOKUP(H50,[1]SEMIELABORADOS!$A$2:$M$6000,6,0),"")</f>
        <v>Gramo</v>
      </c>
      <c r="E50" s="105">
        <f>IFERROR(VLOOKUP(H50,[1]SEMIELABORADOS!$A$2:$M$65536,12,0),"")</f>
        <v>0.24352364951929403</v>
      </c>
      <c r="F50" s="105">
        <f t="shared" si="15"/>
        <v>1.2176182475964701</v>
      </c>
      <c r="G50" s="106">
        <f t="shared" si="16"/>
        <v>5.9961316533338222E-4</v>
      </c>
      <c r="H50" s="109" t="s">
        <v>386</v>
      </c>
      <c r="I50" s="102"/>
      <c r="J50" s="108"/>
    </row>
    <row r="51" spans="1:17" ht="13.5">
      <c r="A51" s="103">
        <v>1</v>
      </c>
      <c r="B51" s="109" t="s">
        <v>141</v>
      </c>
      <c r="C51" s="104">
        <f>+A51</f>
        <v>1</v>
      </c>
      <c r="D51" s="104" t="s">
        <v>142</v>
      </c>
      <c r="E51" s="105">
        <f>+F65</f>
        <v>366</v>
      </c>
      <c r="F51" s="105">
        <f>IFERROR(C51*E51,"")</f>
        <v>366</v>
      </c>
      <c r="G51" s="106">
        <f>IFERROR(F51/$F$66,"")</f>
        <v>0.18023581606568403</v>
      </c>
      <c r="H51" s="114"/>
      <c r="I51" s="114"/>
      <c r="J51" s="108"/>
    </row>
    <row r="52" spans="1:17" ht="14.25" thickBot="1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>
      <c r="A53" s="115"/>
      <c r="B53" s="657" t="s">
        <v>143</v>
      </c>
      <c r="C53" s="657"/>
      <c r="D53" s="657"/>
      <c r="E53" s="657"/>
      <c r="F53" s="117">
        <f>SUM(F8:F14,F17:F24)</f>
        <v>1344.7317362637361</v>
      </c>
      <c r="G53" s="106">
        <f>+F53/$F$66</f>
        <v>0.66220989583311118</v>
      </c>
      <c r="H53" s="118">
        <f>+F53/$D$60</f>
        <v>1344.7317362637361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>
      <c r="A54" s="115"/>
      <c r="B54" s="657" t="s">
        <v>144</v>
      </c>
      <c r="C54" s="657"/>
      <c r="D54" s="657"/>
      <c r="E54" s="657"/>
      <c r="F54" s="117">
        <f>SUM(F27:F32,F35:F41)</f>
        <v>293.04659950769229</v>
      </c>
      <c r="G54" s="106">
        <f>+F54/$F$66</f>
        <v>0.14431009018454263</v>
      </c>
      <c r="H54" s="118">
        <f>+F54/$D$60</f>
        <v>293.04659950769229</v>
      </c>
      <c r="I54" s="118"/>
      <c r="J54" s="122"/>
      <c r="K54" s="658" t="s">
        <v>145</v>
      </c>
      <c r="L54" s="659"/>
      <c r="M54" s="659"/>
      <c r="N54" s="659"/>
      <c r="O54" s="123">
        <f>+F55</f>
        <v>1637.7783357714284</v>
      </c>
      <c r="P54" s="123"/>
      <c r="Q54" s="124"/>
    </row>
    <row r="55" spans="1:17">
      <c r="A55" s="115"/>
      <c r="B55" s="657" t="s">
        <v>146</v>
      </c>
      <c r="C55" s="657"/>
      <c r="D55" s="657"/>
      <c r="E55" s="657"/>
      <c r="F55" s="117">
        <f>+F53+F54</f>
        <v>1637.7783357714284</v>
      </c>
      <c r="G55" s="106">
        <f>+F55/$F$66</f>
        <v>0.80651998601765373</v>
      </c>
      <c r="H55" s="118">
        <f>+F55/$D$60</f>
        <v>1637.7783357714284</v>
      </c>
      <c r="I55" s="118"/>
      <c r="J55" s="125"/>
      <c r="K55" s="126"/>
      <c r="M55" s="127" t="s">
        <v>147</v>
      </c>
      <c r="N55" s="128"/>
      <c r="O55" s="123">
        <f>+H56</f>
        <v>506.58686743626004</v>
      </c>
      <c r="P55" s="123"/>
      <c r="Q55" s="124"/>
    </row>
    <row r="56" spans="1:17" ht="13.5" thickBot="1">
      <c r="A56" s="115"/>
      <c r="B56" s="116"/>
      <c r="C56" s="657" t="s">
        <v>148</v>
      </c>
      <c r="D56" s="657"/>
      <c r="E56" s="657"/>
      <c r="F56" s="117">
        <f>SUM(F44:F51)</f>
        <v>506.58686743626004</v>
      </c>
      <c r="G56" s="106">
        <f>+F56/$F$66</f>
        <v>0.2494674794003629</v>
      </c>
      <c r="H56" s="118">
        <f>+F56/$D$60</f>
        <v>506.58686743626004</v>
      </c>
      <c r="I56" s="118"/>
      <c r="J56" s="125"/>
      <c r="K56" s="126"/>
      <c r="L56" s="126"/>
      <c r="M56" s="126" t="s">
        <v>149</v>
      </c>
      <c r="N56" s="129"/>
      <c r="O56" s="123">
        <f>O54*N56</f>
        <v>0</v>
      </c>
      <c r="P56" s="123"/>
      <c r="Q56" s="124"/>
    </row>
    <row r="57" spans="1:17" ht="13.5" thickBot="1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150</v>
      </c>
      <c r="N57" s="135"/>
      <c r="O57" s="136">
        <f>SUM(O54:O56)</f>
        <v>2144.3652032076884</v>
      </c>
      <c r="P57" s="137"/>
      <c r="Q57" s="124"/>
    </row>
    <row r="58" spans="1:17">
      <c r="B58" s="660" t="s">
        <v>151</v>
      </c>
      <c r="C58" s="660"/>
      <c r="D58" s="138">
        <v>720</v>
      </c>
      <c r="E58" s="139"/>
      <c r="G58" s="106"/>
      <c r="H58" s="132">
        <f>+H56/61</f>
        <v>8.3047027448567228</v>
      </c>
      <c r="I58" s="140"/>
      <c r="J58" s="125"/>
      <c r="K58" s="133"/>
      <c r="L58" s="126"/>
      <c r="M58" s="126" t="s">
        <v>152</v>
      </c>
      <c r="N58" s="141"/>
      <c r="O58" s="123">
        <f>+H59</f>
        <v>481.67275920168993</v>
      </c>
      <c r="P58" s="123"/>
      <c r="Q58" s="124"/>
    </row>
    <row r="59" spans="1:17">
      <c r="B59" s="660" t="s">
        <v>153</v>
      </c>
      <c r="C59" s="660"/>
      <c r="D59" s="142">
        <v>720</v>
      </c>
      <c r="E59" s="139"/>
      <c r="G59" s="106"/>
      <c r="H59" s="132">
        <f>+H58*58</f>
        <v>481.67275920168993</v>
      </c>
      <c r="I59" s="140"/>
      <c r="J59" s="125"/>
      <c r="K59" s="133"/>
      <c r="L59" s="126"/>
      <c r="M59" s="661" t="s">
        <v>150</v>
      </c>
      <c r="N59" s="661"/>
      <c r="O59" s="123">
        <f>SUM(O57:O58)</f>
        <v>2626.0379624093785</v>
      </c>
      <c r="P59" s="123"/>
      <c r="Q59" s="124"/>
    </row>
    <row r="60" spans="1:17" ht="13.5" thickBot="1">
      <c r="B60" s="652" t="s">
        <v>154</v>
      </c>
      <c r="C60" s="652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661"/>
      <c r="M60" s="661"/>
      <c r="N60" s="141"/>
      <c r="O60" s="123">
        <f>+O59*N60</f>
        <v>0</v>
      </c>
      <c r="P60" s="123"/>
      <c r="Q60" s="124"/>
    </row>
    <row r="61" spans="1:17" ht="13.5" thickBot="1">
      <c r="B61" s="652" t="s">
        <v>155</v>
      </c>
      <c r="C61" s="652"/>
      <c r="D61" s="144"/>
      <c r="E61" s="139"/>
      <c r="F61" s="143"/>
      <c r="G61" s="106"/>
      <c r="H61" s="132"/>
      <c r="I61" s="140"/>
      <c r="J61" s="125"/>
      <c r="K61" s="653" t="s">
        <v>156</v>
      </c>
      <c r="L61" s="654"/>
      <c r="M61" s="654"/>
      <c r="N61" s="655"/>
      <c r="O61" s="136">
        <f>SUM(O59:O60)</f>
        <v>2626.0379624093785</v>
      </c>
      <c r="P61" s="145" t="s">
        <v>157</v>
      </c>
      <c r="Q61" s="124"/>
    </row>
    <row r="62" spans="1:17" ht="13.5" thickBot="1">
      <c r="C62" s="115" t="s">
        <v>158</v>
      </c>
      <c r="D62" s="146"/>
      <c r="E62" s="89" t="s">
        <v>159</v>
      </c>
      <c r="F62" s="147" t="s">
        <v>160</v>
      </c>
      <c r="G62" s="106"/>
      <c r="H62" s="132"/>
      <c r="I62" s="140"/>
      <c r="J62" s="148"/>
      <c r="K62" s="149"/>
      <c r="L62" s="641" t="s">
        <v>161</v>
      </c>
      <c r="M62" s="641"/>
      <c r="N62" s="641"/>
      <c r="O62" s="150">
        <f>+O61/D60</f>
        <v>2626.0379624093785</v>
      </c>
      <c r="P62" s="151">
        <f>+O62/D59</f>
        <v>3.6472749477908035</v>
      </c>
      <c r="Q62" s="152"/>
    </row>
    <row r="63" spans="1:17" ht="13.5" thickBot="1">
      <c r="B63" s="642" t="s">
        <v>146</v>
      </c>
      <c r="C63" s="642"/>
      <c r="D63" s="642"/>
      <c r="E63" s="153">
        <f>+F63/F63</f>
        <v>1</v>
      </c>
      <c r="F63" s="154">
        <f>SUM(F55)</f>
        <v>1637.7783357714284</v>
      </c>
      <c r="G63" s="106">
        <f>+F63/$F$66</f>
        <v>0.80651998601765373</v>
      </c>
      <c r="H63" s="132"/>
      <c r="I63" s="140"/>
      <c r="K63" s="643"/>
      <c r="L63" s="644"/>
      <c r="M63" s="644"/>
      <c r="N63" s="644"/>
      <c r="O63" s="155"/>
      <c r="P63" s="156"/>
    </row>
    <row r="64" spans="1:17" ht="13.5" thickBot="1">
      <c r="B64" s="645" t="s">
        <v>162</v>
      </c>
      <c r="C64" s="645"/>
      <c r="D64" s="645"/>
      <c r="E64" s="157">
        <v>0.02</v>
      </c>
      <c r="F64" s="154">
        <f>+F53*E64</f>
        <v>26.894634725274724</v>
      </c>
      <c r="G64" s="106">
        <f>+F64/$F$66</f>
        <v>1.3244197916662223E-2</v>
      </c>
      <c r="H64" s="118"/>
      <c r="I64" s="140"/>
      <c r="J64" s="158"/>
      <c r="O64" s="159"/>
      <c r="P64" s="116"/>
    </row>
    <row r="65" spans="2:15" ht="13.5" thickBot="1">
      <c r="B65" s="646" t="s">
        <v>163</v>
      </c>
      <c r="C65" s="647"/>
      <c r="D65" s="160">
        <v>6</v>
      </c>
      <c r="E65" s="161">
        <v>61</v>
      </c>
      <c r="F65" s="154">
        <f>+E65*D65</f>
        <v>366</v>
      </c>
      <c r="G65" s="106">
        <f>+F65/$F$66</f>
        <v>0.18023581606568403</v>
      </c>
      <c r="H65" s="118"/>
      <c r="I65" s="118"/>
      <c r="J65" s="108"/>
      <c r="O65" s="91">
        <v>3522.59</v>
      </c>
    </row>
    <row r="66" spans="2:15" ht="13.5" thickBot="1">
      <c r="B66" s="648" t="s">
        <v>164</v>
      </c>
      <c r="C66" s="649"/>
      <c r="D66" s="649"/>
      <c r="E66" s="650"/>
      <c r="F66" s="131">
        <f>SUM(F63:F65)</f>
        <v>2030.6729704967031</v>
      </c>
      <c r="G66" s="106">
        <f>+F66/$F$66</f>
        <v>1</v>
      </c>
      <c r="H66" s="651"/>
      <c r="I66" s="118"/>
      <c r="J66" s="108"/>
      <c r="M66" s="91" t="s">
        <v>165</v>
      </c>
    </row>
    <row r="67" spans="2:15">
      <c r="C67" s="113"/>
      <c r="D67" s="113"/>
      <c r="E67" s="163"/>
      <c r="F67" s="154"/>
      <c r="G67" s="106"/>
      <c r="H67" s="651"/>
      <c r="I67" s="162"/>
      <c r="J67" s="91"/>
      <c r="M67" s="91" t="s">
        <v>166</v>
      </c>
    </row>
    <row r="68" spans="2:15" ht="13.5" thickBot="1">
      <c r="B68" s="636" t="s">
        <v>167</v>
      </c>
      <c r="C68" s="636"/>
      <c r="D68" s="636"/>
      <c r="E68" s="636"/>
      <c r="F68" s="636"/>
      <c r="G68" s="106"/>
      <c r="H68" s="165"/>
      <c r="I68" s="162"/>
      <c r="J68" s="91"/>
      <c r="M68" s="91" t="s">
        <v>168</v>
      </c>
    </row>
    <row r="69" spans="2:15" ht="13.5" thickBot="1">
      <c r="B69" s="166" t="s">
        <v>169</v>
      </c>
      <c r="C69" s="167">
        <f>+F53</f>
        <v>1344.7317362637361</v>
      </c>
      <c r="D69" s="167">
        <f>+D58</f>
        <v>720</v>
      </c>
      <c r="E69" s="168">
        <f>+C69/D69</f>
        <v>1.8676829670329669</v>
      </c>
      <c r="F69" s="106"/>
      <c r="G69" s="165"/>
      <c r="H69" s="108"/>
      <c r="I69" s="165"/>
      <c r="J69" s="91"/>
    </row>
    <row r="70" spans="2:1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5">
      <c r="B71" s="166" t="s">
        <v>170</v>
      </c>
      <c r="C71" s="167">
        <f>SUM(F63:F64)</f>
        <v>1664.6729704967031</v>
      </c>
      <c r="D71" s="167">
        <f>+D58</f>
        <v>720</v>
      </c>
      <c r="E71" s="172">
        <f>+C71/D71</f>
        <v>2.3120457923565323</v>
      </c>
      <c r="F71" s="106"/>
      <c r="G71" s="165"/>
      <c r="H71" s="108"/>
      <c r="I71" s="108"/>
      <c r="J71" s="91"/>
    </row>
    <row r="72" spans="2:1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5" ht="13.5" thickBot="1">
      <c r="B73" s="166" t="s">
        <v>171</v>
      </c>
      <c r="C73" s="167">
        <f>+F65</f>
        <v>366</v>
      </c>
      <c r="D73" s="167">
        <f>+D58</f>
        <v>720</v>
      </c>
      <c r="E73" s="172">
        <f>+C73/D73</f>
        <v>0.5083333333333333</v>
      </c>
      <c r="F73" s="106"/>
      <c r="G73" s="165"/>
      <c r="H73" s="108"/>
      <c r="I73" s="108"/>
      <c r="J73" s="91"/>
    </row>
    <row r="74" spans="2:15" ht="13.5" thickBot="1">
      <c r="B74" s="166" t="s">
        <v>172</v>
      </c>
      <c r="C74" s="167">
        <f>+F56</f>
        <v>506.58686743626004</v>
      </c>
      <c r="D74" s="167">
        <f>+D73</f>
        <v>720</v>
      </c>
      <c r="E74" s="168">
        <f>+C74/D74</f>
        <v>0.70359287143925009</v>
      </c>
      <c r="F74" s="106"/>
      <c r="G74" s="165"/>
      <c r="H74" s="108"/>
      <c r="I74" s="108"/>
      <c r="J74" s="91"/>
    </row>
    <row r="75" spans="2:15" ht="13.5" thickBot="1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>
      <c r="B76" s="166" t="s">
        <v>173</v>
      </c>
      <c r="C76" s="167">
        <f>+F54</f>
        <v>293.04659950769229</v>
      </c>
      <c r="D76" s="167">
        <f>+D74</f>
        <v>720</v>
      </c>
      <c r="E76" s="168">
        <f>+C76/D76</f>
        <v>0.40700916598290598</v>
      </c>
      <c r="F76" s="106"/>
      <c r="G76" s="165"/>
      <c r="H76" s="108"/>
      <c r="I76" s="108"/>
      <c r="J76" s="108"/>
    </row>
    <row r="77" spans="2:15" ht="13.5" thickBot="1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>
      <c r="B78" s="637" t="s">
        <v>174</v>
      </c>
      <c r="C78" s="638"/>
      <c r="D78" s="639"/>
      <c r="E78" s="168">
        <f>+E69+E74</f>
        <v>2.571275838472217</v>
      </c>
      <c r="G78" s="106"/>
      <c r="H78" s="165"/>
      <c r="I78" s="108"/>
      <c r="J78" s="172"/>
    </row>
    <row r="79" spans="2:15">
      <c r="I79" s="165"/>
      <c r="J79" s="91"/>
    </row>
    <row r="80" spans="2:15" ht="13.5" thickBot="1">
      <c r="B80" s="636" t="s">
        <v>175</v>
      </c>
      <c r="C80" s="636"/>
      <c r="D80" s="636"/>
      <c r="E80" s="636"/>
      <c r="F80" s="636"/>
      <c r="G80" s="106"/>
      <c r="H80" s="165"/>
      <c r="J80" s="91"/>
    </row>
    <row r="81" spans="1:10" ht="13.5" thickBot="1">
      <c r="B81" s="166" t="s">
        <v>169</v>
      </c>
      <c r="C81" s="167">
        <f>+C69</f>
        <v>1344.7317362637361</v>
      </c>
      <c r="D81" s="167">
        <f>+D60</f>
        <v>1</v>
      </c>
      <c r="E81" s="168">
        <f>+C81/D81</f>
        <v>1344.7317362637361</v>
      </c>
      <c r="F81" s="106"/>
      <c r="G81" s="165"/>
      <c r="H81" s="108"/>
      <c r="I81" s="165"/>
      <c r="J81" s="91"/>
    </row>
    <row r="82" spans="1:10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>
      <c r="B83" s="166" t="s">
        <v>170</v>
      </c>
      <c r="C83" s="167">
        <f>+C71</f>
        <v>1664.6729704967031</v>
      </c>
      <c r="D83" s="167">
        <f>+D60</f>
        <v>1</v>
      </c>
      <c r="E83" s="172">
        <f>+C83/D83</f>
        <v>1664.6729704967031</v>
      </c>
      <c r="F83" s="106"/>
      <c r="G83" s="165"/>
      <c r="H83" s="108"/>
      <c r="I83" s="108"/>
      <c r="J83" s="91"/>
    </row>
    <row r="84" spans="1:10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>
      <c r="B85" s="166" t="s">
        <v>172</v>
      </c>
      <c r="C85" s="167">
        <f>+C73</f>
        <v>366</v>
      </c>
      <c r="D85" s="167">
        <f>+D60</f>
        <v>1</v>
      </c>
      <c r="E85" s="172">
        <f>+C85/D85</f>
        <v>366</v>
      </c>
      <c r="F85" s="174"/>
      <c r="G85" s="164"/>
      <c r="H85" s="90"/>
      <c r="I85" s="108"/>
    </row>
    <row r="86" spans="1:10" ht="13.5" thickBot="1">
      <c r="B86" s="166" t="s">
        <v>172</v>
      </c>
      <c r="C86" s="167">
        <f>+C74</f>
        <v>506.58686743626004</v>
      </c>
      <c r="D86" s="167">
        <f>+D85</f>
        <v>1</v>
      </c>
      <c r="E86" s="168">
        <f>+C86/D86</f>
        <v>506.58686743626004</v>
      </c>
      <c r="F86" s="173"/>
      <c r="G86" s="164"/>
      <c r="H86" s="90"/>
      <c r="I86" s="90"/>
    </row>
    <row r="87" spans="1:10">
      <c r="I87" s="90"/>
    </row>
    <row r="88" spans="1:10">
      <c r="A88" s="640"/>
      <c r="B88" s="640"/>
      <c r="C88" s="175"/>
      <c r="D88" s="175"/>
      <c r="E88" s="176"/>
      <c r="G88" s="177"/>
    </row>
    <row r="89" spans="1:10">
      <c r="A89" s="109"/>
      <c r="B89" s="178"/>
      <c r="C89" s="179"/>
      <c r="D89" s="179"/>
      <c r="E89" s="180"/>
      <c r="G89" s="177"/>
    </row>
    <row r="90" spans="1:10">
      <c r="A90" s="109"/>
      <c r="B90" s="178"/>
      <c r="C90" s="181"/>
      <c r="D90" s="181"/>
      <c r="E90" s="109"/>
      <c r="G90" s="177"/>
    </row>
    <row r="91" spans="1:10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A9C3636-71EE-4408-ABB5-EDAB0F7E4B0F}"/>
</file>

<file path=customXml/itemProps2.xml><?xml version="1.0" encoding="utf-8"?>
<ds:datastoreItem xmlns:ds="http://schemas.openxmlformats.org/officeDocument/2006/customXml" ds:itemID="{F1B3CA9A-4ED3-4A2A-BDB7-2064916CC8D2}"/>
</file>

<file path=customXml/itemProps3.xml><?xml version="1.0" encoding="utf-8"?>
<ds:datastoreItem xmlns:ds="http://schemas.openxmlformats.org/officeDocument/2006/customXml" ds:itemID="{CCD76F45-F224-4CA2-A435-8DDF921BBC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Brenes Madriz</dc:creator>
  <cp:keywords/>
  <dc:description/>
  <cp:lastModifiedBy>Allan Brenes</cp:lastModifiedBy>
  <cp:revision/>
  <dcterms:created xsi:type="dcterms:W3CDTF">2023-07-28T19:10:29Z</dcterms:created>
  <dcterms:modified xsi:type="dcterms:W3CDTF">2025-06-06T20:26:49Z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
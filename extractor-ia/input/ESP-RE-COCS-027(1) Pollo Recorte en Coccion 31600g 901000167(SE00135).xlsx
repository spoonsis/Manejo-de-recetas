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12" documentId="8_{C6F76709-2470-47C8-9C8C-9F9ADD1958AA}" xr6:coauthVersionLast="47" xr6:coauthVersionMax="47" xr10:uidLastSave="{406F2829-C035-4964-82C5-3D5A6D298814}"/>
  <bookViews>
    <workbookView xWindow="-120" yWindow="-120" windowWidth="29040" windowHeight="15840" xr2:uid="{46FD4961-2355-441E-9751-C8879FDE9E36}"/>
  </bookViews>
  <sheets>
    <sheet name="Hoja1" sheetId="1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8" l="1"/>
  <c r="G36" i="18"/>
</calcChain>
</file>

<file path=xl/sharedStrings.xml><?xml version="1.0" encoding="utf-8"?>
<sst xmlns="http://schemas.openxmlformats.org/spreadsheetml/2006/main" count="102" uniqueCount="84">
  <si>
    <t>SERVICIOS DE PASTELERIA S.A.</t>
  </si>
  <si>
    <t>CÓDIGO:</t>
  </si>
  <si>
    <t>ESP-RE-COCS-027</t>
  </si>
  <si>
    <t>ESPECIFICACION DE RECETA</t>
  </si>
  <si>
    <t>REVISIÓN:</t>
  </si>
  <si>
    <t>01</t>
  </si>
  <si>
    <t>901000167(SE00135) - Pollo Recorte en Coccion 31600g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</si>
  <si>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</si>
  <si>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</si>
  <si>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</si>
  <si>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</si>
  <si>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</si>
  <si>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</si>
  <si>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>Cocina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</si>
  <si>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</si>
  <si>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</si>
  <si>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</si>
  <si>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</si>
  <si>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</si>
  <si>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</si>
  <si>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</si>
  <si>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</si>
  <si>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</si>
  <si>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</si>
  <si>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</si>
  <si>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</si>
  <si>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10415</t>
  </si>
  <si>
    <t>AGUA</t>
  </si>
  <si>
    <t>AYA</t>
  </si>
  <si>
    <t>g</t>
  </si>
  <si>
    <t>MILILITRO</t>
  </si>
  <si>
    <t>MP10016</t>
  </si>
  <si>
    <t>RECORTE FILET Nº1358</t>
  </si>
  <si>
    <t>PIPASA</t>
  </si>
  <si>
    <t>KILO</t>
  </si>
  <si>
    <t>MP10018</t>
  </si>
  <si>
    <t>ZANAHORIA ENTERA</t>
  </si>
  <si>
    <t>PRESTO</t>
  </si>
  <si>
    <t>610220</t>
  </si>
  <si>
    <t>MP10017</t>
  </si>
  <si>
    <t>CONSOME CONCEN. DE POLLO</t>
  </si>
  <si>
    <t>ALSERRO</t>
  </si>
  <si>
    <t>PAQ</t>
  </si>
  <si>
    <t>90100142</t>
  </si>
  <si>
    <t>SE00104</t>
  </si>
  <si>
    <t>EMPAQUE SAL KILO</t>
  </si>
  <si>
    <t>DIAMANTE</t>
  </si>
  <si>
    <t>101005</t>
  </si>
  <si>
    <t>MP10021</t>
  </si>
  <si>
    <t>AJO PELADO</t>
  </si>
  <si>
    <t>MP10025</t>
  </si>
  <si>
    <t>PRESERVANTE 1017S (PAQ=5 KILO)</t>
  </si>
  <si>
    <t>ASEAL</t>
  </si>
  <si>
    <t>Decoración</t>
  </si>
  <si>
    <t>Empaque</t>
  </si>
  <si>
    <t>403000007</t>
  </si>
  <si>
    <t>AS00020</t>
  </si>
  <si>
    <t>GUANTE LATEX CORRIENTE (CAJA=100 GUANTES)</t>
  </si>
  <si>
    <t>unidades</t>
  </si>
  <si>
    <t>CAJA</t>
  </si>
  <si>
    <t>512000002</t>
  </si>
  <si>
    <t>EM10259</t>
  </si>
  <si>
    <t>PLAST. AUTOAD 18 * 2000</t>
  </si>
  <si>
    <t>MAYCA</t>
  </si>
  <si>
    <t>cm</t>
  </si>
  <si>
    <t>UND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</si>
  <si>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</si>
  <si>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</si>
  <si>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</si>
  <si>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</si>
  <si>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</si>
  <si>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</si>
  <si>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</si>
  <si>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tanda</t>
  </si>
  <si>
    <t>Temperatura de Horneo:</t>
  </si>
  <si>
    <t>PESO DE CADA PORCIÓN</t>
  </si>
  <si>
    <t>Otros</t>
  </si>
  <si>
    <t>MERMA</t>
  </si>
  <si>
    <t>PROCEDIMIENTO DE PREPARACION DE LA  RECETA</t>
  </si>
  <si>
    <t>1 Colocar en la sarten basculante el agua, pollo, zanahorias, consome, sal, ajo y culantro.</t>
  </si>
  <si>
    <t>2 Cocinar por 60 min aprox a fuego alto hasta que todas las pechugas esten bien cocidas. (80ºC)</t>
  </si>
  <si>
    <t>3 Mechar pollo en maquina y pasar a empaque</t>
  </si>
  <si>
    <t>4 Enfriar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</si>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</sst>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0.000"/>
  </numFmts>
  <fonts count="19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0" fillId="0" borderId="0"/>
    <xf numFmtId="0" fontId="3" fillId="0" borderId="0"/>
    <xf numFmtId="0" fontId="3" fillId="0" borderId="0"/>
    <xf numFmtId="0" fontId="10" fillId="0" borderId="0"/>
  </cellStyleXfs>
  <cellXfs count="151">
    <xf numFmtId="0" fontId="0" fillId="0" borderId="0" xfId="0"/>
    <xf numFmtId="0" fontId="7" fillId="0" borderId="5" xfId="2" applyFont="1" applyBorder="1" applyAlignment="1">
      <alignment horizontal="left"/>
    </xf>
    <xf numFmtId="0" fontId="7" fillId="0" borderId="2" xfId="2" applyFont="1" applyBorder="1" applyAlignment="1">
      <alignment horizontal="center"/>
    </xf>
    <xf numFmtId="1" fontId="7" fillId="0" borderId="2" xfId="2" applyNumberFormat="1" applyFont="1" applyBorder="1" applyAlignment="1">
      <alignment horizontal="center"/>
    </xf>
    <xf numFmtId="1" fontId="7" fillId="0" borderId="2" xfId="2" applyNumberFormat="1" applyFont="1" applyBorder="1" applyAlignment="1">
      <alignment horizontal="center" wrapText="1"/>
    </xf>
    <xf numFmtId="16" fontId="7" fillId="0" borderId="2" xfId="2" applyNumberFormat="1" applyFont="1" applyBorder="1" applyAlignment="1">
      <alignment horizontal="center"/>
    </xf>
    <xf numFmtId="165" fontId="7" fillId="0" borderId="2" xfId="2" applyNumberFormat="1" applyFont="1" applyBorder="1" applyAlignment="1">
      <alignment horizontal="center"/>
    </xf>
    <xf numFmtId="49" fontId="2" fillId="0" borderId="2" xfId="2" applyNumberFormat="1" applyFont="1" applyBorder="1"/>
    <xf numFmtId="49" fontId="2" fillId="0" borderId="2" xfId="2" applyNumberFormat="1" applyFont="1" applyBorder="1" applyAlignment="1">
      <alignment horizontal="center"/>
    </xf>
    <xf numFmtId="12" fontId="7" fillId="0" borderId="2" xfId="2" applyNumberFormat="1" applyFont="1" applyBorder="1" applyAlignment="1">
      <alignment horizontal="center"/>
    </xf>
    <xf numFmtId="1" fontId="6" fillId="0" borderId="2" xfId="2" applyNumberFormat="1" applyFont="1" applyBorder="1" applyAlignment="1">
      <alignment horizontal="center" wrapText="1"/>
    </xf>
    <xf numFmtId="1" fontId="6" fillId="0" borderId="2" xfId="2" applyNumberFormat="1" applyFont="1" applyBorder="1" applyAlignment="1">
      <alignment horizontal="center"/>
    </xf>
    <xf numFmtId="0" fontId="9" fillId="2" borderId="11" xfId="3" applyFont="1" applyFill="1" applyBorder="1" applyAlignment="1">
      <alignment horizontal="center"/>
    </xf>
    <xf numFmtId="2" fontId="7" fillId="0" borderId="2" xfId="2" applyNumberFormat="1" applyFont="1" applyBorder="1" applyAlignment="1">
      <alignment horizontal="center"/>
    </xf>
    <xf numFmtId="0" fontId="6" fillId="0" borderId="2" xfId="2" applyFont="1" applyBorder="1" applyAlignment="1">
      <alignment horizontal="center" vertical="center"/>
    </xf>
    <xf numFmtId="0" fontId="13" fillId="2" borderId="1" xfId="3" applyFont="1" applyFill="1" applyBorder="1" applyAlignment="1">
      <alignment horizontal="right"/>
    </xf>
    <xf numFmtId="0" fontId="13" fillId="2" borderId="2" xfId="3" applyFont="1" applyFill="1" applyBorder="1" applyAlignment="1">
      <alignment horizontal="right"/>
    </xf>
    <xf numFmtId="49" fontId="11" fillId="2" borderId="3" xfId="3" applyNumberFormat="1" applyFont="1" applyFill="1" applyBorder="1" applyAlignment="1">
      <alignment horizontal="center"/>
    </xf>
    <xf numFmtId="0" fontId="11" fillId="2" borderId="13" xfId="3" applyFont="1" applyFill="1" applyBorder="1" applyAlignment="1">
      <alignment horizontal="right"/>
    </xf>
    <xf numFmtId="0" fontId="11" fillId="2" borderId="2" xfId="3" applyFont="1" applyFill="1" applyBorder="1" applyAlignment="1">
      <alignment horizontal="right"/>
    </xf>
    <xf numFmtId="14" fontId="16" fillId="2" borderId="0" xfId="4" applyNumberFormat="1" applyFont="1" applyFill="1" applyAlignment="1">
      <alignment horizontal="center" vertical="center" wrapText="1"/>
    </xf>
    <xf numFmtId="0" fontId="13" fillId="4" borderId="11" xfId="2" applyFont="1" applyFill="1" applyBorder="1" applyAlignment="1">
      <alignment horizontal="center" vertical="center" wrapText="1"/>
    </xf>
    <xf numFmtId="1" fontId="13" fillId="4" borderId="7" xfId="2" applyNumberFormat="1" applyFont="1" applyFill="1" applyBorder="1" applyAlignment="1">
      <alignment horizontal="center"/>
    </xf>
    <xf numFmtId="1" fontId="13" fillId="4" borderId="7" xfId="2" applyNumberFormat="1" applyFont="1" applyFill="1" applyBorder="1" applyAlignment="1">
      <alignment horizontal="center" wrapText="1"/>
    </xf>
    <xf numFmtId="0" fontId="13" fillId="4" borderId="6" xfId="2" applyFont="1" applyFill="1" applyBorder="1" applyAlignment="1">
      <alignment horizontal="center"/>
    </xf>
    <xf numFmtId="0" fontId="6" fillId="0" borderId="9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17" fillId="0" borderId="2" xfId="2" applyFont="1" applyBorder="1" applyAlignment="1">
      <alignment vertical="center"/>
    </xf>
    <xf numFmtId="0" fontId="7" fillId="0" borderId="3" xfId="2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7" fillId="0" borderId="2" xfId="0" applyFont="1" applyBorder="1" applyAlignment="1">
      <alignment horizontal="center" vertical="center"/>
    </xf>
    <xf numFmtId="1" fontId="11" fillId="0" borderId="13" xfId="0" applyNumberFormat="1" applyFont="1" applyBorder="1" applyAlignment="1">
      <alignment horizontal="center"/>
    </xf>
    <xf numFmtId="1" fontId="11" fillId="0" borderId="13" xfId="0" applyNumberFormat="1" applyFont="1" applyBorder="1" applyAlignment="1">
      <alignment horizontal="center" wrapText="1"/>
    </xf>
    <xf numFmtId="49" fontId="7" fillId="0" borderId="2" xfId="0" applyNumberFormat="1" applyFont="1" applyBorder="1" applyAlignment="1">
      <alignment horizontal="center"/>
    </xf>
    <xf numFmtId="49" fontId="2" fillId="0" borderId="2" xfId="0" applyNumberFormat="1" applyFont="1" applyBorder="1"/>
    <xf numFmtId="0" fontId="7" fillId="0" borderId="13" xfId="0" applyFont="1" applyBorder="1" applyAlignment="1">
      <alignment horizontal="center" vertical="center"/>
    </xf>
    <xf numFmtId="16" fontId="7" fillId="0" borderId="13" xfId="0" applyNumberFormat="1" applyFont="1" applyBorder="1" applyAlignment="1">
      <alignment horizontal="center"/>
    </xf>
    <xf numFmtId="164" fontId="11" fillId="0" borderId="13" xfId="1" applyFont="1" applyBorder="1" applyAlignment="1">
      <alignment horizontal="center"/>
    </xf>
    <xf numFmtId="0" fontId="11" fillId="0" borderId="2" xfId="0" quotePrefix="1" applyFont="1" applyBorder="1" applyAlignment="1">
      <alignment horizontal="center"/>
    </xf>
    <xf numFmtId="0" fontId="11" fillId="0" borderId="2" xfId="0" quotePrefix="1" applyFont="1" applyBorder="1"/>
    <xf numFmtId="16" fontId="11" fillId="0" borderId="2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 wrapText="1"/>
    </xf>
    <xf numFmtId="2" fontId="6" fillId="0" borderId="2" xfId="2" applyNumberFormat="1" applyFont="1" applyBorder="1" applyAlignment="1">
      <alignment horizontal="center"/>
    </xf>
    <xf numFmtId="16" fontId="7" fillId="5" borderId="2" xfId="0" applyNumberFormat="1" applyFont="1" applyFill="1" applyBorder="1" applyAlignment="1">
      <alignment horizontal="center"/>
    </xf>
    <xf numFmtId="1" fontId="7" fillId="5" borderId="2" xfId="0" applyNumberFormat="1" applyFont="1" applyFill="1" applyBorder="1" applyAlignment="1">
      <alignment horizontal="center"/>
    </xf>
    <xf numFmtId="1" fontId="7" fillId="0" borderId="2" xfId="0" applyNumberFormat="1" applyFont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7" fillId="5" borderId="2" xfId="0" applyFont="1" applyFill="1" applyBorder="1" applyAlignment="1">
      <alignment horizontal="center"/>
    </xf>
    <xf numFmtId="166" fontId="7" fillId="0" borderId="2" xfId="0" applyNumberFormat="1" applyFont="1" applyBorder="1" applyAlignment="1">
      <alignment horizontal="center" wrapText="1"/>
    </xf>
    <xf numFmtId="16" fontId="7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0" fontId="0" fillId="5" borderId="2" xfId="0" applyFill="1" applyBorder="1"/>
    <xf numFmtId="49" fontId="7" fillId="0" borderId="9" xfId="2" applyNumberFormat="1" applyFont="1" applyBorder="1" applyAlignment="1">
      <alignment horizontal="center"/>
    </xf>
    <xf numFmtId="49" fontId="7" fillId="0" borderId="4" xfId="2" applyNumberFormat="1" applyFont="1" applyBorder="1" applyAlignment="1">
      <alignment horizontal="center"/>
    </xf>
    <xf numFmtId="0" fontId="5" fillId="5" borderId="2" xfId="2" applyFont="1" applyFill="1" applyBorder="1" applyAlignment="1">
      <alignment horizontal="left"/>
    </xf>
    <xf numFmtId="0" fontId="10" fillId="0" borderId="9" xfId="5" applyBorder="1" applyAlignment="1">
      <alignment horizontal="center"/>
    </xf>
    <xf numFmtId="0" fontId="10" fillId="0" borderId="2" xfId="2" applyBorder="1" applyAlignment="1">
      <alignment horizontal="center"/>
    </xf>
    <xf numFmtId="0" fontId="10" fillId="5" borderId="2" xfId="5" applyFill="1" applyBorder="1"/>
    <xf numFmtId="16" fontId="7" fillId="0" borderId="2" xfId="5" applyNumberFormat="1" applyFont="1" applyBorder="1" applyAlignment="1">
      <alignment horizontal="center"/>
    </xf>
    <xf numFmtId="0" fontId="10" fillId="0" borderId="2" xfId="5" applyBorder="1" applyAlignment="1">
      <alignment horizontal="center"/>
    </xf>
    <xf numFmtId="1" fontId="7" fillId="0" borderId="2" xfId="5" applyNumberFormat="1" applyFont="1" applyBorder="1" applyAlignment="1">
      <alignment horizontal="center"/>
    </xf>
    <xf numFmtId="1" fontId="7" fillId="0" borderId="2" xfId="5" applyNumberFormat="1" applyFont="1" applyBorder="1" applyAlignment="1">
      <alignment horizontal="center" wrapText="1"/>
    </xf>
    <xf numFmtId="49" fontId="6" fillId="0" borderId="21" xfId="2" applyNumberFormat="1" applyFont="1" applyBorder="1" applyAlignment="1">
      <alignment horizontal="center"/>
    </xf>
    <xf numFmtId="49" fontId="6" fillId="0" borderId="10" xfId="2" applyNumberFormat="1" applyFont="1" applyBorder="1" applyAlignment="1">
      <alignment horizontal="center"/>
    </xf>
    <xf numFmtId="0" fontId="8" fillId="5" borderId="2" xfId="2" applyFont="1" applyFill="1" applyBorder="1" applyAlignment="1">
      <alignment vertical="center"/>
    </xf>
    <xf numFmtId="0" fontId="6" fillId="0" borderId="4" xfId="2" applyFont="1" applyBorder="1" applyAlignment="1">
      <alignment horizontal="center"/>
    </xf>
    <xf numFmtId="49" fontId="7" fillId="5" borderId="9" xfId="2" applyNumberFormat="1" applyFont="1" applyFill="1" applyBorder="1" applyAlignment="1">
      <alignment horizontal="center"/>
    </xf>
    <xf numFmtId="49" fontId="7" fillId="5" borderId="4" xfId="2" applyNumberFormat="1" applyFont="1" applyFill="1" applyBorder="1" applyAlignment="1">
      <alignment horizontal="center"/>
    </xf>
    <xf numFmtId="49" fontId="2" fillId="5" borderId="2" xfId="2" applyNumberFormat="1" applyFont="1" applyFill="1" applyBorder="1"/>
    <xf numFmtId="0" fontId="0" fillId="5" borderId="2" xfId="0" applyFill="1" applyBorder="1" applyAlignment="1">
      <alignment horizontal="center"/>
    </xf>
    <xf numFmtId="0" fontId="4" fillId="0" borderId="2" xfId="2" applyFont="1" applyBorder="1" applyAlignment="1">
      <alignment horizontal="center"/>
    </xf>
    <xf numFmtId="1" fontId="4" fillId="0" borderId="2" xfId="2" applyNumberFormat="1" applyFont="1" applyBorder="1" applyAlignment="1">
      <alignment horizontal="center"/>
    </xf>
    <xf numFmtId="0" fontId="11" fillId="4" borderId="26" xfId="2" applyFont="1" applyFill="1" applyBorder="1" applyAlignment="1">
      <alignment horizontal="center"/>
    </xf>
    <xf numFmtId="0" fontId="11" fillId="4" borderId="27" xfId="2" applyFont="1" applyFill="1" applyBorder="1" applyAlignment="1">
      <alignment horizontal="center"/>
    </xf>
    <xf numFmtId="0" fontId="11" fillId="4" borderId="27" xfId="2" applyFont="1" applyFill="1" applyBorder="1"/>
    <xf numFmtId="0" fontId="13" fillId="4" borderId="27" xfId="2" applyFont="1" applyFill="1" applyBorder="1" applyAlignment="1">
      <alignment horizontal="center"/>
    </xf>
    <xf numFmtId="1" fontId="13" fillId="4" borderId="27" xfId="2" applyNumberFormat="1" applyFont="1" applyFill="1" applyBorder="1" applyAlignment="1">
      <alignment horizontal="center"/>
    </xf>
    <xf numFmtId="166" fontId="11" fillId="4" borderId="27" xfId="2" applyNumberFormat="1" applyFont="1" applyFill="1" applyBorder="1" applyAlignment="1">
      <alignment horizontal="center" wrapText="1"/>
    </xf>
    <xf numFmtId="0" fontId="11" fillId="4" borderId="28" xfId="2" applyFont="1" applyFill="1" applyBorder="1" applyAlignment="1">
      <alignment horizontal="center"/>
    </xf>
    <xf numFmtId="0" fontId="18" fillId="0" borderId="2" xfId="0" applyFont="1" applyBorder="1" applyAlignment="1">
      <alignment horizontal="center"/>
    </xf>
    <xf numFmtId="14" fontId="11" fillId="2" borderId="16" xfId="3" applyNumberFormat="1" applyFont="1" applyFill="1" applyBorder="1" applyAlignment="1">
      <alignment horizontal="center" vertical="center" wrapText="1"/>
    </xf>
    <xf numFmtId="14" fontId="11" fillId="2" borderId="17" xfId="3" applyNumberFormat="1" applyFont="1" applyFill="1" applyBorder="1" applyAlignment="1">
      <alignment horizontal="center" vertical="center" wrapText="1"/>
    </xf>
    <xf numFmtId="14" fontId="11" fillId="2" borderId="14" xfId="3" applyNumberFormat="1" applyFont="1" applyFill="1" applyBorder="1" applyAlignment="1">
      <alignment horizontal="center" vertical="center" wrapText="1"/>
    </xf>
    <xf numFmtId="0" fontId="11" fillId="2" borderId="30" xfId="3" applyFont="1" applyFill="1" applyBorder="1" applyAlignment="1">
      <alignment horizontal="left"/>
    </xf>
    <xf numFmtId="0" fontId="11" fillId="2" borderId="31" xfId="3" applyFont="1" applyFill="1" applyBorder="1" applyAlignment="1">
      <alignment horizontal="left"/>
    </xf>
    <xf numFmtId="0" fontId="11" fillId="2" borderId="20" xfId="3" applyFont="1" applyFill="1" applyBorder="1" applyAlignment="1">
      <alignment horizontal="left"/>
    </xf>
    <xf numFmtId="0" fontId="11" fillId="2" borderId="34" xfId="3" applyFont="1" applyFill="1" applyBorder="1" applyAlignment="1">
      <alignment horizontal="left"/>
    </xf>
    <xf numFmtId="0" fontId="11" fillId="2" borderId="10" xfId="3" applyFont="1" applyFill="1" applyBorder="1" applyAlignment="1">
      <alignment horizontal="left"/>
    </xf>
    <xf numFmtId="0" fontId="11" fillId="2" borderId="4" xfId="3" applyFont="1" applyFill="1" applyBorder="1" applyAlignment="1">
      <alignment horizontal="left"/>
    </xf>
    <xf numFmtId="0" fontId="11" fillId="2" borderId="22" xfId="3" applyFont="1" applyFill="1" applyBorder="1" applyAlignment="1">
      <alignment horizontal="center"/>
    </xf>
    <xf numFmtId="0" fontId="11" fillId="2" borderId="23" xfId="3" applyFont="1" applyFill="1" applyBorder="1" applyAlignment="1">
      <alignment horizontal="center"/>
    </xf>
    <xf numFmtId="0" fontId="11" fillId="2" borderId="24" xfId="3" applyFont="1" applyFill="1" applyBorder="1" applyAlignment="1">
      <alignment horizontal="center"/>
    </xf>
    <xf numFmtId="0" fontId="11" fillId="2" borderId="0" xfId="3" applyFont="1" applyFill="1" applyAlignment="1">
      <alignment horizontal="center"/>
    </xf>
    <xf numFmtId="0" fontId="11" fillId="2" borderId="33" xfId="3" applyFont="1" applyFill="1" applyBorder="1" applyAlignment="1">
      <alignment horizontal="center"/>
    </xf>
    <xf numFmtId="0" fontId="11" fillId="2" borderId="5" xfId="3" applyFont="1" applyFill="1" applyBorder="1" applyAlignment="1">
      <alignment horizontal="center"/>
    </xf>
    <xf numFmtId="0" fontId="12" fillId="2" borderId="1" xfId="3" applyFont="1" applyFill="1" applyBorder="1" applyAlignment="1">
      <alignment horizontal="center"/>
    </xf>
    <xf numFmtId="0" fontId="12" fillId="2" borderId="15" xfId="3" applyFont="1" applyFill="1" applyBorder="1" applyAlignment="1">
      <alignment horizontal="center"/>
    </xf>
    <xf numFmtId="0" fontId="14" fillId="3" borderId="26" xfId="3" applyFont="1" applyFill="1" applyBorder="1" applyAlignment="1">
      <alignment horizontal="center" vertical="center" wrapText="1"/>
    </xf>
    <xf numFmtId="0" fontId="14" fillId="3" borderId="27" xfId="3" applyFont="1" applyFill="1" applyBorder="1" applyAlignment="1">
      <alignment horizontal="center" vertical="center" wrapText="1"/>
    </xf>
    <xf numFmtId="0" fontId="14" fillId="3" borderId="28" xfId="3" applyFont="1" applyFill="1" applyBorder="1" applyAlignment="1">
      <alignment horizontal="center" vertical="center" wrapText="1"/>
    </xf>
    <xf numFmtId="0" fontId="13" fillId="2" borderId="29" xfId="3" applyFont="1" applyFill="1" applyBorder="1" applyAlignment="1">
      <alignment horizontal="right" vertical="top" wrapText="1"/>
    </xf>
    <xf numFmtId="0" fontId="13" fillId="2" borderId="32" xfId="3" applyFont="1" applyFill="1" applyBorder="1" applyAlignment="1">
      <alignment horizontal="right" vertical="top" wrapText="1"/>
    </xf>
    <xf numFmtId="0" fontId="13" fillId="2" borderId="35" xfId="3" applyFont="1" applyFill="1" applyBorder="1" applyAlignment="1">
      <alignment horizontal="right" vertical="top" wrapText="1"/>
    </xf>
    <xf numFmtId="0" fontId="15" fillId="2" borderId="0" xfId="4" applyFont="1" applyFill="1" applyAlignment="1">
      <alignment horizontal="right"/>
    </xf>
    <xf numFmtId="0" fontId="16" fillId="2" borderId="25" xfId="4" applyFont="1" applyFill="1" applyBorder="1" applyAlignment="1">
      <alignment horizontal="center"/>
    </xf>
    <xf numFmtId="0" fontId="13" fillId="4" borderId="12" xfId="2" applyFont="1" applyFill="1" applyBorder="1" applyAlignment="1">
      <alignment horizontal="center" vertical="center"/>
    </xf>
    <xf numFmtId="0" fontId="13" fillId="4" borderId="8" xfId="2" applyFont="1" applyFill="1" applyBorder="1" applyAlignment="1">
      <alignment horizontal="center" vertical="center"/>
    </xf>
    <xf numFmtId="0" fontId="13" fillId="4" borderId="12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1" xfId="2" applyFont="1" applyFill="1" applyBorder="1" applyAlignment="1">
      <alignment horizontal="center" vertical="center"/>
    </xf>
    <xf numFmtId="0" fontId="13" fillId="4" borderId="7" xfId="2" applyFont="1" applyFill="1" applyBorder="1" applyAlignment="1">
      <alignment horizontal="center" vertical="center"/>
    </xf>
    <xf numFmtId="0" fontId="13" fillId="0" borderId="33" xfId="2" applyFont="1" applyBorder="1" applyAlignment="1">
      <alignment horizontal="right"/>
    </xf>
    <xf numFmtId="0" fontId="13" fillId="0" borderId="5" xfId="2" applyFont="1" applyBorder="1" applyAlignment="1">
      <alignment horizontal="right"/>
    </xf>
    <xf numFmtId="0" fontId="13" fillId="0" borderId="36" xfId="2" applyFont="1" applyBorder="1" applyAlignment="1">
      <alignment horizontal="right"/>
    </xf>
    <xf numFmtId="166" fontId="11" fillId="0" borderId="13" xfId="2" applyNumberFormat="1" applyFont="1" applyBorder="1" applyAlignment="1">
      <alignment horizontal="right"/>
    </xf>
    <xf numFmtId="0" fontId="11" fillId="2" borderId="37" xfId="2" applyFont="1" applyFill="1" applyBorder="1" applyAlignment="1">
      <alignment horizontal="center"/>
    </xf>
    <xf numFmtId="0" fontId="11" fillId="2" borderId="38" xfId="2" applyFont="1" applyFill="1" applyBorder="1" applyAlignment="1">
      <alignment horizontal="center"/>
    </xf>
    <xf numFmtId="0" fontId="13" fillId="0" borderId="21" xfId="2" applyFont="1" applyBorder="1" applyAlignment="1">
      <alignment horizontal="right"/>
    </xf>
    <xf numFmtId="0" fontId="13" fillId="0" borderId="10" xfId="2" applyFont="1" applyBorder="1" applyAlignment="1">
      <alignment horizontal="right"/>
    </xf>
    <xf numFmtId="0" fontId="13" fillId="0" borderId="4" xfId="2" applyFont="1" applyBorder="1" applyAlignment="1">
      <alignment horizontal="right"/>
    </xf>
    <xf numFmtId="0" fontId="11" fillId="0" borderId="2" xfId="2" applyFont="1" applyBorder="1" applyAlignment="1">
      <alignment horizontal="right"/>
    </xf>
    <xf numFmtId="166" fontId="11" fillId="0" borderId="34" xfId="2" applyNumberFormat="1" applyFont="1" applyBorder="1" applyAlignment="1">
      <alignment horizontal="center"/>
    </xf>
    <xf numFmtId="166" fontId="11" fillId="0" borderId="39" xfId="2" applyNumberFormat="1" applyFont="1" applyBorder="1" applyAlignment="1">
      <alignment horizontal="center"/>
    </xf>
    <xf numFmtId="166" fontId="11" fillId="0" borderId="34" xfId="2" applyNumberFormat="1" applyFont="1" applyBorder="1" applyAlignment="1">
      <alignment horizontal="right" wrapText="1"/>
    </xf>
    <xf numFmtId="166" fontId="11" fillId="0" borderId="4" xfId="2" applyNumberFormat="1" applyFont="1" applyBorder="1" applyAlignment="1">
      <alignment horizontal="right" wrapText="1"/>
    </xf>
    <xf numFmtId="0" fontId="7" fillId="0" borderId="10" xfId="2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39" xfId="0" applyFont="1" applyBorder="1" applyAlignment="1">
      <alignment horizontal="left"/>
    </xf>
    <xf numFmtId="0" fontId="13" fillId="6" borderId="41" xfId="3" applyFont="1" applyFill="1" applyBorder="1" applyAlignment="1">
      <alignment horizontal="center"/>
    </xf>
    <xf numFmtId="0" fontId="13" fillId="6" borderId="23" xfId="3" applyFont="1" applyFill="1" applyBorder="1" applyAlignment="1">
      <alignment horizontal="center"/>
    </xf>
    <xf numFmtId="0" fontId="13" fillId="0" borderId="8" xfId="2" applyFont="1" applyBorder="1" applyAlignment="1">
      <alignment horizontal="right"/>
    </xf>
    <xf numFmtId="0" fontId="13" fillId="0" borderId="40" xfId="2" applyFont="1" applyBorder="1" applyAlignment="1">
      <alignment horizontal="right"/>
    </xf>
    <xf numFmtId="0" fontId="13" fillId="0" borderId="7" xfId="2" applyFont="1" applyBorder="1" applyAlignment="1">
      <alignment horizontal="right"/>
    </xf>
    <xf numFmtId="0" fontId="11" fillId="0" borderId="7" xfId="2" applyFont="1" applyBorder="1" applyAlignment="1">
      <alignment horizontal="right"/>
    </xf>
    <xf numFmtId="166" fontId="11" fillId="0" borderId="18" xfId="2" applyNumberFormat="1" applyFont="1" applyBorder="1" applyAlignment="1">
      <alignment horizontal="center"/>
    </xf>
    <xf numFmtId="166" fontId="11" fillId="0" borderId="19" xfId="2" applyNumberFormat="1" applyFont="1" applyBorder="1" applyAlignment="1">
      <alignment horizontal="center"/>
    </xf>
    <xf numFmtId="0" fontId="13" fillId="4" borderId="26" xfId="2" applyFont="1" applyFill="1" applyBorder="1" applyAlignment="1">
      <alignment horizontal="left"/>
    </xf>
    <xf numFmtId="0" fontId="13" fillId="4" borderId="27" xfId="2" applyFont="1" applyFill="1" applyBorder="1" applyAlignment="1">
      <alignment horizontal="left"/>
    </xf>
    <xf numFmtId="0" fontId="13" fillId="4" borderId="28" xfId="2" applyFont="1" applyFill="1" applyBorder="1" applyAlignment="1">
      <alignment horizontal="left"/>
    </xf>
    <xf numFmtId="0" fontId="7" fillId="0" borderId="5" xfId="2" applyFont="1" applyBorder="1" applyAlignment="1">
      <alignment horizontal="left"/>
    </xf>
    <xf numFmtId="0" fontId="15" fillId="2" borderId="0" xfId="4" applyFont="1" applyFill="1" applyAlignment="1"/>
    <xf numFmtId="1" fontId="1" fillId="0" borderId="13" xfId="0" applyNumberFormat="1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6">
    <cellStyle name="Millares" xfId="1" builtinId="3"/>
    <cellStyle name="Normal" xfId="0" builtinId="0"/>
    <cellStyle name="Normal 2" xfId="2" xr:uid="{303AA85F-64CC-4BC0-B151-A236C1C49AEC}"/>
    <cellStyle name="Normal 3 2" xfId="5" xr:uid="{28F02504-8D26-4E05-A0EB-A3AAB72B9458}"/>
    <cellStyle name="Normal_CRITERIOS DE EVALUACION PT DE GB" xfId="3" xr:uid="{75E55016-D541-4292-B7A0-9106D1967BD5}"/>
    <cellStyle name="Normal_CRITERIOS DE EVALUACION PT DE GB 2" xfId="4" xr:uid="{E65D3747-4557-4F59-B056-B54200698C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B88A8-3168-4243-A22B-CB7701AA8600}">
  <dimension ref="A1:I57"/>
  <sheetViews>
    <sheetView tabSelected="1" view="pageBreakPreview" zoomScale="60" zoomScaleNormal="85" workbookViewId="0">
      <selection activeCell="Y11" sqref="Y11"/>
    </sheetView>
  </sheetViews>
  <sheetFormatPr defaultColWidth="11.42578125" defaultRowHeight="12.75"/>
  <cols>
    <col min="1" max="1" width="9.5703125" bestFit="1" customWidth="1"/>
    <col min="2" max="2" width="9.140625" bestFit="1" customWidth="1"/>
    <col min="3" max="3" width="30.42578125" bestFit="1" customWidth="1"/>
    <col min="4" max="4" width="11.42578125" bestFit="1" customWidth="1"/>
    <col min="5" max="5" width="9.140625" bestFit="1" customWidth="1"/>
    <col min="6" max="6" width="7.7109375" bestFit="1" customWidth="1"/>
    <col min="7" max="7" width="9.140625" bestFit="1" customWidth="1"/>
    <col min="8" max="8" width="23.140625" bestFit="1" customWidth="1"/>
    <col min="9" max="9" width="17" bestFit="1" customWidth="1"/>
  </cols>
  <sheetData>
    <row r="1" spans="1:9" ht="15">
      <c r="A1" s="92"/>
      <c r="B1" s="93"/>
      <c r="C1" s="98" t="s">
        <v>0</v>
      </c>
      <c r="D1" s="98"/>
      <c r="E1" s="98"/>
      <c r="F1" s="98"/>
      <c r="G1" s="98"/>
      <c r="H1" s="15" t="s">
        <v>1</v>
      </c>
      <c r="I1" s="12" t="s">
        <v>2</v>
      </c>
    </row>
    <row r="2" spans="1:9" ht="16.5" thickBot="1">
      <c r="A2" s="94"/>
      <c r="B2" s="95"/>
      <c r="C2" s="99" t="s">
        <v>3</v>
      </c>
      <c r="D2" s="99"/>
      <c r="E2" s="99"/>
      <c r="F2" s="99"/>
      <c r="G2" s="99"/>
      <c r="H2" s="16" t="s">
        <v>4</v>
      </c>
      <c r="I2" s="17" t="s">
        <v>5</v>
      </c>
    </row>
    <row r="3" spans="1:9" ht="18.75" thickBot="1">
      <c r="A3" s="94"/>
      <c r="B3" s="95"/>
      <c r="C3" s="100" t="s">
        <v>6</v>
      </c>
      <c r="D3" s="101"/>
      <c r="E3" s="101"/>
      <c r="F3" s="101"/>
      <c r="G3" s="102"/>
      <c r="H3" s="103" t="s">
        <v>7</v>
      </c>
      <c r="I3" s="83">
        <v>45609</v>
      </c>
    </row>
    <row r="4" spans="1:9" ht="13.5">
      <c r="A4" s="94"/>
      <c r="B4" s="95"/>
      <c r="C4" s="18" t="s">
        <v>8</v>
      </c>
      <c r="D4" s="86" t="s">
        <v>9</v>
      </c>
      <c r="E4" s="87"/>
      <c r="F4" s="87"/>
      <c r="G4" s="88"/>
      <c r="H4" s="104"/>
      <c r="I4" s="84"/>
    </row>
    <row r="5" spans="1:9" ht="14.25" thickBot="1">
      <c r="A5" s="96"/>
      <c r="B5" s="97"/>
      <c r="C5" s="19" t="s">
        <v>10</v>
      </c>
      <c r="D5" s="89" t="s">
        <v>11</v>
      </c>
      <c r="E5" s="90"/>
      <c r="F5" s="90"/>
      <c r="G5" s="91"/>
      <c r="H5" s="105"/>
      <c r="I5" s="85"/>
    </row>
    <row r="6" spans="1:9" ht="18.75" thickBot="1">
      <c r="A6" s="106" t="s">
        <v>12</v>
      </c>
      <c r="B6" s="106"/>
      <c r="C6" s="106"/>
      <c r="D6" s="107" t="s">
        <v>13</v>
      </c>
      <c r="E6" s="107"/>
      <c r="F6" s="107"/>
      <c r="G6" s="144" t="s">
        <v>14</v>
      </c>
      <c r="H6" s="144"/>
      <c r="I6" s="20" t="s">
        <v>13</v>
      </c>
    </row>
    <row r="7" spans="1:9" ht="25.5">
      <c r="A7" s="108" t="s">
        <v>15</v>
      </c>
      <c r="B7" s="110" t="s">
        <v>16</v>
      </c>
      <c r="C7" s="112" t="s">
        <v>17</v>
      </c>
      <c r="D7" s="112" t="s">
        <v>18</v>
      </c>
      <c r="E7" s="112" t="s">
        <v>19</v>
      </c>
      <c r="F7" s="112"/>
      <c r="G7" s="112" t="s">
        <v>20</v>
      </c>
      <c r="H7" s="112"/>
      <c r="I7" s="21" t="s">
        <v>21</v>
      </c>
    </row>
    <row r="8" spans="1:9" ht="39" thickBot="1">
      <c r="A8" s="109"/>
      <c r="B8" s="111"/>
      <c r="C8" s="113"/>
      <c r="D8" s="113"/>
      <c r="E8" s="22" t="s">
        <v>22</v>
      </c>
      <c r="F8" s="23" t="s">
        <v>23</v>
      </c>
      <c r="G8" s="22" t="s">
        <v>22</v>
      </c>
      <c r="H8" s="23" t="s">
        <v>23</v>
      </c>
      <c r="I8" s="24" t="s">
        <v>24</v>
      </c>
    </row>
    <row r="9" spans="1:9" ht="15">
      <c r="A9" s="25"/>
      <c r="B9" s="26"/>
      <c r="C9" s="27" t="s">
        <v>25</v>
      </c>
      <c r="D9" s="14"/>
      <c r="E9" s="11"/>
      <c r="F9" s="10"/>
      <c r="G9" s="11"/>
      <c r="H9" s="10"/>
      <c r="I9" s="28"/>
    </row>
    <row r="10" spans="1:9" ht="15">
      <c r="A10" s="29" t="s">
        <v>26</v>
      </c>
      <c r="B10" s="29"/>
      <c r="C10" s="30" t="s">
        <v>27</v>
      </c>
      <c r="D10" s="31" t="s">
        <v>28</v>
      </c>
      <c r="E10" s="32">
        <v>56000</v>
      </c>
      <c r="F10" s="33" t="s">
        <v>29</v>
      </c>
      <c r="G10" s="32">
        <v>56000</v>
      </c>
      <c r="H10" s="10" t="s">
        <v>30</v>
      </c>
      <c r="I10" s="28"/>
    </row>
    <row r="11" spans="1:9" ht="15">
      <c r="A11" s="29">
        <v>10300058</v>
      </c>
      <c r="B11" s="29" t="s">
        <v>31</v>
      </c>
      <c r="C11" s="30" t="s">
        <v>32</v>
      </c>
      <c r="D11" s="31" t="s">
        <v>33</v>
      </c>
      <c r="E11" s="32">
        <v>50000</v>
      </c>
      <c r="F11" s="33" t="s">
        <v>29</v>
      </c>
      <c r="G11" s="32">
        <v>50</v>
      </c>
      <c r="H11" s="10" t="s">
        <v>34</v>
      </c>
      <c r="I11" s="28"/>
    </row>
    <row r="12" spans="1:9" ht="15">
      <c r="A12" s="34">
        <v>101240</v>
      </c>
      <c r="B12" s="34" t="s">
        <v>35</v>
      </c>
      <c r="C12" s="35" t="s">
        <v>36</v>
      </c>
      <c r="D12" s="31" t="s">
        <v>37</v>
      </c>
      <c r="E12" s="32">
        <v>400</v>
      </c>
      <c r="F12" s="33" t="s">
        <v>29</v>
      </c>
      <c r="G12" s="32">
        <v>0.4</v>
      </c>
      <c r="H12" s="10" t="s">
        <v>34</v>
      </c>
      <c r="I12" s="28"/>
    </row>
    <row r="13" spans="1:9" ht="15">
      <c r="A13" s="29" t="s">
        <v>38</v>
      </c>
      <c r="B13" s="29" t="s">
        <v>39</v>
      </c>
      <c r="C13" s="30" t="s">
        <v>40</v>
      </c>
      <c r="D13" s="31" t="s">
        <v>41</v>
      </c>
      <c r="E13" s="32">
        <v>1000</v>
      </c>
      <c r="F13" s="33" t="s">
        <v>29</v>
      </c>
      <c r="G13" s="32">
        <v>1</v>
      </c>
      <c r="H13" s="10" t="s">
        <v>42</v>
      </c>
      <c r="I13" s="28"/>
    </row>
    <row r="14" spans="1:9" ht="15">
      <c r="A14" s="29" t="s">
        <v>43</v>
      </c>
      <c r="B14" s="29" t="s">
        <v>44</v>
      </c>
      <c r="C14" s="30" t="s">
        <v>45</v>
      </c>
      <c r="D14" s="31" t="s">
        <v>46</v>
      </c>
      <c r="E14" s="32">
        <v>500</v>
      </c>
      <c r="F14" s="33" t="s">
        <v>29</v>
      </c>
      <c r="G14" s="32">
        <v>1</v>
      </c>
      <c r="H14" s="10" t="s">
        <v>42</v>
      </c>
      <c r="I14" s="28"/>
    </row>
    <row r="15" spans="1:9" ht="15">
      <c r="A15" s="29" t="s">
        <v>47</v>
      </c>
      <c r="B15" s="29" t="s">
        <v>48</v>
      </c>
      <c r="C15" s="30" t="s">
        <v>49</v>
      </c>
      <c r="D15" s="36" t="s">
        <v>37</v>
      </c>
      <c r="E15" s="32">
        <v>250</v>
      </c>
      <c r="F15" s="33" t="s">
        <v>29</v>
      </c>
      <c r="G15" s="32">
        <v>0.25</v>
      </c>
      <c r="H15" s="10" t="s">
        <v>42</v>
      </c>
      <c r="I15" s="28"/>
    </row>
    <row r="16" spans="1:9" ht="15">
      <c r="A16" s="34">
        <v>1212412</v>
      </c>
      <c r="B16" s="34" t="s">
        <v>50</v>
      </c>
      <c r="C16" s="35" t="s">
        <v>51</v>
      </c>
      <c r="D16" s="37" t="s">
        <v>52</v>
      </c>
      <c r="E16" s="32">
        <v>100</v>
      </c>
      <c r="F16" s="33" t="s">
        <v>29</v>
      </c>
      <c r="G16" s="38">
        <v>0.02</v>
      </c>
      <c r="H16" s="10" t="s">
        <v>42</v>
      </c>
      <c r="I16" s="28"/>
    </row>
    <row r="17" spans="1:9" ht="15">
      <c r="A17" s="39"/>
      <c r="B17" s="39"/>
      <c r="C17" s="40"/>
      <c r="D17" s="41"/>
      <c r="E17" s="42"/>
      <c r="F17" s="43"/>
      <c r="G17" s="44"/>
      <c r="H17" s="10"/>
      <c r="I17" s="28"/>
    </row>
    <row r="18" spans="1:9" ht="15">
      <c r="A18" s="39"/>
      <c r="B18" s="39"/>
      <c r="C18" s="40"/>
      <c r="D18" s="41"/>
      <c r="E18" s="42"/>
      <c r="F18" s="43"/>
      <c r="G18" s="44"/>
      <c r="H18" s="10"/>
      <c r="I18" s="28"/>
    </row>
    <row r="19" spans="1:9" ht="15">
      <c r="A19" s="29"/>
      <c r="B19" s="29"/>
      <c r="C19" s="30"/>
      <c r="D19" s="45"/>
      <c r="E19" s="46"/>
      <c r="F19" s="47"/>
      <c r="G19" s="44"/>
      <c r="H19" s="10"/>
      <c r="I19" s="28"/>
    </row>
    <row r="20" spans="1:9" ht="15">
      <c r="A20" s="29"/>
      <c r="B20" s="29"/>
      <c r="C20" s="30"/>
      <c r="D20" s="45"/>
      <c r="E20" s="46"/>
      <c r="F20" s="47"/>
      <c r="G20" s="44"/>
      <c r="H20" s="10"/>
      <c r="I20" s="28"/>
    </row>
    <row r="21" spans="1:9" ht="15">
      <c r="A21" s="29"/>
      <c r="B21" s="29"/>
      <c r="C21" s="30"/>
      <c r="D21" s="45"/>
      <c r="E21" s="46"/>
      <c r="F21" s="47"/>
      <c r="G21" s="44"/>
      <c r="H21" s="10"/>
      <c r="I21" s="28"/>
    </row>
    <row r="22" spans="1:9" ht="15">
      <c r="A22" s="29"/>
      <c r="B22" s="29"/>
      <c r="C22" s="30"/>
      <c r="D22" s="45"/>
      <c r="E22" s="46"/>
      <c r="F22" s="47"/>
      <c r="G22" s="44"/>
      <c r="H22" s="10"/>
      <c r="I22" s="28"/>
    </row>
    <row r="23" spans="1:9" ht="15">
      <c r="A23" s="48"/>
      <c r="B23" s="48"/>
      <c r="C23" s="49"/>
      <c r="D23" s="50"/>
      <c r="E23" s="46"/>
      <c r="F23" s="51"/>
      <c r="G23" s="44"/>
      <c r="H23" s="10"/>
      <c r="I23" s="28"/>
    </row>
    <row r="24" spans="1:9" ht="15">
      <c r="A24" s="48"/>
      <c r="B24" s="48"/>
      <c r="C24" s="49"/>
      <c r="D24" s="45"/>
      <c r="E24" s="46"/>
      <c r="F24" s="47"/>
      <c r="G24" s="11"/>
      <c r="H24" s="10"/>
      <c r="I24" s="28"/>
    </row>
    <row r="25" spans="1:9" ht="15">
      <c r="A25" s="39"/>
      <c r="B25" s="29"/>
      <c r="C25" s="40"/>
      <c r="D25" s="52"/>
      <c r="E25" s="53"/>
      <c r="F25" s="47"/>
      <c r="G25" s="11"/>
      <c r="H25" s="10"/>
      <c r="I25" s="28"/>
    </row>
    <row r="26" spans="1:9" ht="15">
      <c r="A26" s="39"/>
      <c r="B26" s="29"/>
      <c r="C26" s="40"/>
      <c r="D26" s="52"/>
      <c r="E26" s="53"/>
      <c r="F26" s="47"/>
      <c r="G26" s="11"/>
      <c r="H26" s="10"/>
      <c r="I26" s="28"/>
    </row>
    <row r="27" spans="1:9" ht="15">
      <c r="A27" s="39"/>
      <c r="B27" s="29"/>
      <c r="C27" s="40"/>
      <c r="D27" s="52"/>
      <c r="E27" s="53"/>
      <c r="F27" s="47"/>
      <c r="G27" s="11"/>
      <c r="H27" s="10"/>
      <c r="I27" s="28"/>
    </row>
    <row r="28" spans="1:9" ht="15">
      <c r="A28" s="29"/>
      <c r="B28" s="29"/>
      <c r="C28" s="54"/>
      <c r="D28" s="3"/>
      <c r="E28" s="3"/>
      <c r="F28" s="4"/>
      <c r="G28" s="11"/>
      <c r="H28" s="10"/>
      <c r="I28" s="28"/>
    </row>
    <row r="29" spans="1:9" ht="15.75">
      <c r="A29" s="55"/>
      <c r="B29" s="56"/>
      <c r="C29" s="57" t="s">
        <v>53</v>
      </c>
      <c r="D29" s="2"/>
      <c r="E29" s="6"/>
      <c r="F29" s="4"/>
      <c r="G29" s="11"/>
      <c r="H29" s="10"/>
      <c r="I29" s="28"/>
    </row>
    <row r="30" spans="1:9" ht="15">
      <c r="A30" s="58"/>
      <c r="B30" s="59"/>
      <c r="C30" s="60"/>
      <c r="D30" s="61"/>
      <c r="E30" s="3"/>
      <c r="F30" s="4"/>
      <c r="G30" s="11"/>
      <c r="H30" s="10"/>
      <c r="I30" s="28"/>
    </row>
    <row r="31" spans="1:9" ht="15">
      <c r="A31" s="29"/>
      <c r="B31" s="29"/>
      <c r="C31" s="54"/>
      <c r="D31" s="61"/>
      <c r="E31" s="3"/>
      <c r="F31" s="4"/>
      <c r="G31" s="11"/>
      <c r="H31" s="10"/>
      <c r="I31" s="28"/>
    </row>
    <row r="32" spans="1:9" ht="15">
      <c r="A32" s="62"/>
      <c r="B32" s="62"/>
      <c r="C32" s="60"/>
      <c r="D32" s="61"/>
      <c r="E32" s="3"/>
      <c r="F32" s="4"/>
      <c r="G32" s="11"/>
      <c r="H32" s="10"/>
      <c r="I32" s="28"/>
    </row>
    <row r="33" spans="1:9" ht="15">
      <c r="A33" s="29"/>
      <c r="B33" s="29"/>
      <c r="C33" s="54"/>
      <c r="D33" s="3"/>
      <c r="E33" s="2"/>
      <c r="F33" s="4"/>
      <c r="G33" s="11"/>
      <c r="H33" s="10"/>
      <c r="I33" s="28"/>
    </row>
    <row r="34" spans="1:9" ht="15">
      <c r="A34" s="29"/>
      <c r="B34" s="29"/>
      <c r="C34" s="54"/>
      <c r="D34" s="52"/>
      <c r="E34" s="63"/>
      <c r="F34" s="64"/>
      <c r="G34" s="11"/>
      <c r="H34" s="10"/>
      <c r="I34" s="28"/>
    </row>
    <row r="35" spans="1:9" ht="15.75">
      <c r="A35" s="65"/>
      <c r="B35" s="66"/>
      <c r="C35" s="67" t="s">
        <v>54</v>
      </c>
      <c r="D35" s="68"/>
      <c r="E35" s="11"/>
      <c r="F35" s="10"/>
      <c r="G35" s="11"/>
      <c r="H35" s="10"/>
      <c r="I35" s="28"/>
    </row>
    <row r="36" spans="1:9" ht="30">
      <c r="A36" s="8" t="s">
        <v>55</v>
      </c>
      <c r="B36" s="8" t="s">
        <v>56</v>
      </c>
      <c r="C36" s="7" t="s">
        <v>57</v>
      </c>
      <c r="D36" s="5"/>
      <c r="E36" s="6">
        <v>2</v>
      </c>
      <c r="F36" s="4" t="s">
        <v>58</v>
      </c>
      <c r="G36" s="13">
        <f>+E36/100</f>
        <v>0.02</v>
      </c>
      <c r="H36" s="2" t="s">
        <v>59</v>
      </c>
      <c r="I36" s="28"/>
    </row>
    <row r="37" spans="1:9" ht="15">
      <c r="A37" s="8" t="s">
        <v>60</v>
      </c>
      <c r="B37" s="8" t="s">
        <v>61</v>
      </c>
      <c r="C37" s="7" t="s">
        <v>62</v>
      </c>
      <c r="D37" s="5" t="s">
        <v>63</v>
      </c>
      <c r="E37" s="2">
        <v>800</v>
      </c>
      <c r="F37" s="4" t="s">
        <v>64</v>
      </c>
      <c r="G37" s="13">
        <f>+E37/2000</f>
        <v>0.4</v>
      </c>
      <c r="H37" s="2" t="s">
        <v>65</v>
      </c>
      <c r="I37" s="28"/>
    </row>
    <row r="38" spans="1:9" ht="15">
      <c r="A38" s="69"/>
      <c r="B38" s="70"/>
      <c r="C38" s="71"/>
      <c r="D38" s="2"/>
      <c r="E38" s="3"/>
      <c r="F38" s="4"/>
      <c r="G38" s="11"/>
      <c r="H38" s="10"/>
      <c r="I38" s="28"/>
    </row>
    <row r="39" spans="1:9" ht="15">
      <c r="A39" s="72"/>
      <c r="B39" s="72"/>
      <c r="C39" s="54"/>
      <c r="D39" s="2"/>
      <c r="E39" s="3"/>
      <c r="F39" s="4"/>
      <c r="G39" s="11"/>
      <c r="H39" s="10"/>
      <c r="I39" s="28"/>
    </row>
    <row r="40" spans="1:9" ht="15">
      <c r="A40" s="69"/>
      <c r="B40" s="70"/>
      <c r="C40" s="71"/>
      <c r="D40" s="2"/>
      <c r="E40" s="3"/>
      <c r="F40" s="4"/>
      <c r="G40" s="11"/>
      <c r="H40" s="10"/>
      <c r="I40" s="28"/>
    </row>
    <row r="41" spans="1:9" ht="15.75">
      <c r="A41" s="69"/>
      <c r="B41" s="70"/>
      <c r="C41" s="71"/>
      <c r="D41" s="73"/>
      <c r="E41" s="3"/>
      <c r="F41" s="4"/>
      <c r="G41" s="9"/>
      <c r="H41" s="2"/>
      <c r="I41" s="28"/>
    </row>
    <row r="42" spans="1:9" ht="15.75">
      <c r="A42" s="55"/>
      <c r="B42" s="56"/>
      <c r="C42" s="7"/>
      <c r="D42" s="73"/>
      <c r="E42" s="3"/>
      <c r="F42" s="4"/>
      <c r="G42" s="3"/>
      <c r="H42" s="2"/>
      <c r="I42" s="28"/>
    </row>
    <row r="43" spans="1:9" ht="15.75">
      <c r="A43" s="55"/>
      <c r="B43" s="56"/>
      <c r="C43" s="7"/>
      <c r="D43" s="73"/>
      <c r="E43" s="3"/>
      <c r="F43" s="4"/>
      <c r="G43" s="74"/>
      <c r="H43" s="4"/>
      <c r="I43" s="28"/>
    </row>
    <row r="44" spans="1:9" ht="16.5" thickBot="1">
      <c r="A44" s="55"/>
      <c r="B44" s="56"/>
      <c r="C44" s="7"/>
      <c r="D44" s="2"/>
      <c r="E44" s="2"/>
      <c r="F44" s="4"/>
      <c r="G44" s="73"/>
      <c r="H44" s="73"/>
      <c r="I44" s="28"/>
    </row>
    <row r="45" spans="1:9" ht="14.25" thickBot="1">
      <c r="A45" s="75"/>
      <c r="B45" s="76"/>
      <c r="C45" s="77"/>
      <c r="D45" s="78" t="s">
        <v>22</v>
      </c>
      <c r="E45" s="79" t="s">
        <v>66</v>
      </c>
      <c r="F45" s="80"/>
      <c r="G45" s="77"/>
      <c r="H45" s="77"/>
      <c r="I45" s="81"/>
    </row>
    <row r="46" spans="1:9" ht="13.5">
      <c r="A46" s="114" t="s">
        <v>67</v>
      </c>
      <c r="B46" s="115"/>
      <c r="C46" s="116"/>
      <c r="D46" s="145">
        <v>31600</v>
      </c>
      <c r="E46" s="146" t="s">
        <v>29</v>
      </c>
      <c r="F46" s="117" t="s">
        <v>68</v>
      </c>
      <c r="G46" s="117"/>
      <c r="H46" s="118"/>
      <c r="I46" s="119"/>
    </row>
    <row r="47" spans="1:9" ht="13.5">
      <c r="A47" s="120" t="s">
        <v>69</v>
      </c>
      <c r="B47" s="121"/>
      <c r="C47" s="122"/>
      <c r="D47" s="82">
        <v>41</v>
      </c>
      <c r="E47" s="147" t="s">
        <v>70</v>
      </c>
      <c r="F47" s="123" t="s">
        <v>71</v>
      </c>
      <c r="G47" s="123"/>
      <c r="H47" s="124"/>
      <c r="I47" s="125"/>
    </row>
    <row r="48" spans="1:9" ht="13.5">
      <c r="A48" s="120" t="s">
        <v>72</v>
      </c>
      <c r="B48" s="121"/>
      <c r="C48" s="122"/>
      <c r="D48" s="147">
        <v>1</v>
      </c>
      <c r="E48" s="147" t="s">
        <v>73</v>
      </c>
      <c r="F48" s="123" t="s">
        <v>74</v>
      </c>
      <c r="G48" s="123"/>
      <c r="H48" s="124"/>
      <c r="I48" s="125"/>
    </row>
    <row r="49" spans="1:9" ht="13.5">
      <c r="A49" s="120" t="s">
        <v>75</v>
      </c>
      <c r="B49" s="121"/>
      <c r="C49" s="122"/>
      <c r="D49" s="148">
        <v>5000</v>
      </c>
      <c r="E49" s="147" t="s">
        <v>29</v>
      </c>
      <c r="F49" s="126" t="s">
        <v>76</v>
      </c>
      <c r="G49" s="127"/>
      <c r="H49" s="124"/>
      <c r="I49" s="125"/>
    </row>
    <row r="50" spans="1:9" ht="14.25" thickBot="1">
      <c r="A50" s="134" t="s">
        <v>77</v>
      </c>
      <c r="B50" s="135"/>
      <c r="C50" s="136"/>
      <c r="D50" s="149">
        <v>22650</v>
      </c>
      <c r="E50" s="150" t="s">
        <v>29</v>
      </c>
      <c r="F50" s="137"/>
      <c r="G50" s="137"/>
      <c r="H50" s="138"/>
      <c r="I50" s="139"/>
    </row>
    <row r="51" spans="1:9" ht="13.5" thickBot="1">
      <c r="A51" s="140" t="s">
        <v>78</v>
      </c>
      <c r="B51" s="141"/>
      <c r="C51" s="141"/>
      <c r="D51" s="141"/>
      <c r="E51" s="141"/>
      <c r="F51" s="141"/>
      <c r="G51" s="141"/>
      <c r="H51" s="141"/>
      <c r="I51" s="142"/>
    </row>
    <row r="52" spans="1:9" ht="15">
      <c r="A52" s="143" t="s">
        <v>79</v>
      </c>
      <c r="B52" s="143"/>
      <c r="C52" s="143"/>
      <c r="D52" s="143"/>
      <c r="E52" s="143"/>
      <c r="F52" s="143"/>
      <c r="G52" s="143"/>
      <c r="H52" s="143"/>
      <c r="I52" s="1"/>
    </row>
    <row r="53" spans="1:9" ht="15">
      <c r="A53" s="128" t="s">
        <v>80</v>
      </c>
      <c r="B53" s="128"/>
      <c r="C53" s="128"/>
      <c r="D53" s="128"/>
      <c r="E53" s="128"/>
      <c r="F53" s="128"/>
      <c r="G53" s="128"/>
      <c r="H53" s="128"/>
      <c r="I53" s="128"/>
    </row>
    <row r="54" spans="1:9" ht="15">
      <c r="A54" s="128" t="s">
        <v>81</v>
      </c>
      <c r="B54" s="128"/>
      <c r="C54" s="128"/>
      <c r="D54" s="128"/>
      <c r="E54" s="128"/>
      <c r="F54" s="128"/>
      <c r="G54" s="128"/>
      <c r="H54" s="128"/>
      <c r="I54" s="128"/>
    </row>
    <row r="55" spans="1:9" ht="15">
      <c r="A55" s="128" t="s">
        <v>82</v>
      </c>
      <c r="B55" s="128"/>
      <c r="C55" s="128"/>
      <c r="D55" s="128"/>
      <c r="E55" s="128"/>
      <c r="F55" s="128"/>
      <c r="G55" s="128"/>
      <c r="H55" s="128"/>
      <c r="I55" s="128"/>
    </row>
    <row r="56" spans="1:9" ht="15.75" thickBot="1">
      <c r="A56" s="129"/>
      <c r="B56" s="130"/>
      <c r="C56" s="130"/>
      <c r="D56" s="130"/>
      <c r="E56" s="130"/>
      <c r="F56" s="130"/>
      <c r="G56" s="130"/>
      <c r="H56" s="130"/>
      <c r="I56" s="131"/>
    </row>
    <row r="57" spans="1:9">
      <c r="A57" s="132" t="s">
        <v>83</v>
      </c>
      <c r="B57" s="133"/>
      <c r="C57" s="133"/>
      <c r="D57" s="133"/>
      <c r="E57" s="133"/>
      <c r="F57" s="133"/>
      <c r="G57" s="133"/>
      <c r="H57" s="133"/>
      <c r="I57" s="133"/>
    </row>
  </sheetData>
  <mergeCells count="39">
    <mergeCell ref="A54:I54"/>
    <mergeCell ref="A55:I55"/>
    <mergeCell ref="A56:I56"/>
    <mergeCell ref="A57:I57"/>
    <mergeCell ref="A50:C50"/>
    <mergeCell ref="F50:G50"/>
    <mergeCell ref="H50:I50"/>
    <mergeCell ref="A51:I51"/>
    <mergeCell ref="A52:H52"/>
    <mergeCell ref="A53:I53"/>
    <mergeCell ref="A48:C48"/>
    <mergeCell ref="F48:G48"/>
    <mergeCell ref="H48:I48"/>
    <mergeCell ref="A49:C49"/>
    <mergeCell ref="F49:G49"/>
    <mergeCell ref="H49:I49"/>
    <mergeCell ref="A46:C46"/>
    <mergeCell ref="F46:G46"/>
    <mergeCell ref="H46:I46"/>
    <mergeCell ref="A47:C47"/>
    <mergeCell ref="F47:G47"/>
    <mergeCell ref="H47:I4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7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4D35B1D9-0815-47B6-A21F-1DD06FA565A2}"/>
</file>

<file path=customXml/itemProps2.xml><?xml version="1.0" encoding="utf-8"?>
<ds:datastoreItem xmlns:ds="http://schemas.openxmlformats.org/officeDocument/2006/customXml" ds:itemID="{0865319A-ECA5-462B-978E-97E1F31BFBA6}"/>
</file>

<file path=customXml/itemProps3.xml><?xml version="1.0" encoding="utf-8"?>
<ds:datastoreItem xmlns:ds="http://schemas.openxmlformats.org/officeDocument/2006/customXml" ds:itemID="{83B07F23-8C72-45DC-94C0-C3EB065D1DC5}"/>
</file>

<file path=customXml/itemProps4.xml><?xml version="1.0" encoding="utf-8"?>
<ds:datastoreItem xmlns:ds="http://schemas.openxmlformats.org/officeDocument/2006/customXml" ds:itemID="{E7E055A4-1CBA-480E-9F07-2F1CE4FC20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Servicios de Pasteleria S.A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yarias</dc:creator>
  <cp:keywords/>
  <dc:description/>
  <cp:lastModifiedBy>Brenda Alfaro</cp:lastModifiedBy>
  <cp:revision/>
  <dcterms:created xsi:type="dcterms:W3CDTF">2004-06-04T22:04:44Z</dcterms:created>
  <dcterms:modified xsi:type="dcterms:W3CDTF">2025-08-11T15:48:25Z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r8>108000</vt:r8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
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B1E21C65-4B4B-4D03-84B3-A5CAC35D75DB}" xr6:coauthVersionLast="47" xr6:coauthVersionMax="47" xr10:uidLastSave="{7860230F-3FE7-4DEF-9C4B-AC048F466011}"/>
  <bookViews>
    <workbookView xWindow="-120" yWindow="-120" windowWidth="29040" windowHeight="15840" tabRatio="863" firstSheet="10" activeTab="10" xr2:uid="{93DF36B7-6ED9-40F2-93AD-A97D508EA7D8}"/>
  </bookViews>
  <sheets>
    <sheet name="Relleno fresa" sheetId="1" state="hidden" r:id="rId1"/>
    <sheet name="Relleno de Fresa 2" sheetId="11" state="hidden" r:id="rId2"/>
    <sheet name="Relleno de fresa 3" sheetId="14" state="hidden" r:id="rId3"/>
    <sheet name="Costo relleno de Fresa" sheetId="6" state="hidden" r:id="rId4"/>
    <sheet name="Relleno chocolate" sheetId="2" state="hidden" r:id="rId5"/>
    <sheet name="Relleno de chocolate 2" sheetId="12" state="hidden" r:id="rId6"/>
    <sheet name="Relleno de Chocolate 3" sheetId="15" state="hidden" r:id="rId7"/>
    <sheet name="Costo Relleno Chocolate " sheetId="7" state="hidden" r:id="rId8"/>
    <sheet name="Crema Blanca Bucca 1" sheetId="26" state="hidden" r:id="rId9"/>
    <sheet name="Costo Crema Fresa" sheetId="8" state="hidden" r:id="rId10"/>
    <sheet name="Hoja1" sheetId="27" r:id="rId11"/>
    <sheet name="Costo sirope rojo" sheetId="9" state="hidden" r:id="rId12"/>
    <sheet name="Ensamble torta nucita" sheetId="5" state="hidden" r:id="rId13"/>
    <sheet name="Ensamble 2" sheetId="13" state="hidden" r:id="rId14"/>
    <sheet name="Almibar " sheetId="20" state="hidden" r:id="rId15"/>
    <sheet name="Crema Chantilly Choco" sheetId="22" state="hidden" r:id="rId16"/>
    <sheet name="Premezcla Vainilla Dawn" sheetId="19" state="hidden" r:id="rId17"/>
    <sheet name="Batido Nucleo Vainilla Dawn" sheetId="18" state="hidden" r:id="rId18"/>
    <sheet name="Rosquete Vainilla Dawn 300 g" sheetId="17" state="hidden" r:id="rId19"/>
    <sheet name="Ensamble 3" sheetId="16" state="hidden" r:id="rId20"/>
    <sheet name="costo Ensamble " sheetId="10" state="hidden" r:id="rId21"/>
  </sheets>
  <externalReferences>
    <externalReference r:id="rId22"/>
    <externalReference r:id="rId23"/>
    <externalReference r:id="rId24"/>
  </externalReferences>
  <definedNames>
    <definedName name="_xlnm.Print_Area" localSheetId="0">'Relleno fresa'!$A$1:$I$40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7" l="1"/>
  <c r="H34" i="27"/>
  <c r="D21" i="26"/>
  <c r="D20" i="26"/>
  <c r="B27" i="10"/>
  <c r="B28" i="10"/>
  <c r="B29" i="10"/>
  <c r="B30" i="10"/>
  <c r="D32" i="22"/>
  <c r="D31" i="22"/>
  <c r="E32" i="20"/>
  <c r="E30" i="20"/>
  <c r="D28" i="19"/>
  <c r="D31" i="19"/>
  <c r="H25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D30" i="18"/>
  <c r="D29" i="18"/>
  <c r="H14" i="18"/>
  <c r="G14" i="18"/>
  <c r="H13" i="18"/>
  <c r="G13" i="18"/>
  <c r="H12" i="18"/>
  <c r="G12" i="18"/>
  <c r="H11" i="18"/>
  <c r="G11" i="18"/>
  <c r="H10" i="18"/>
  <c r="G10" i="18"/>
  <c r="D19" i="17"/>
  <c r="D23" i="17"/>
  <c r="D21" i="17"/>
  <c r="E11" i="17"/>
  <c r="M7" i="6"/>
  <c r="E34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A46" i="10"/>
  <c r="A56" i="10"/>
  <c r="C56" i="10"/>
  <c r="A45" i="10"/>
  <c r="C45" i="10"/>
  <c r="E45" i="10"/>
  <c r="D45" i="10"/>
  <c r="B45" i="10"/>
  <c r="E55" i="10"/>
  <c r="D55" i="10"/>
  <c r="B55" i="10"/>
  <c r="B46" i="7"/>
  <c r="D79" i="10"/>
  <c r="D80" i="10"/>
  <c r="D82" i="10"/>
  <c r="D77" i="10"/>
  <c r="D75" i="10"/>
  <c r="F71" i="10"/>
  <c r="E57" i="10"/>
  <c r="F57" i="10"/>
  <c r="D66" i="10"/>
  <c r="D91" i="10"/>
  <c r="D92" i="10"/>
  <c r="C57" i="10"/>
  <c r="E56" i="10"/>
  <c r="D56" i="10"/>
  <c r="B56" i="10"/>
  <c r="E46" i="10"/>
  <c r="D46" i="10"/>
  <c r="B46" i="10"/>
  <c r="A44" i="10"/>
  <c r="A54" i="10"/>
  <c r="C54" i="10"/>
  <c r="A43" i="10"/>
  <c r="C43" i="10"/>
  <c r="A42" i="10"/>
  <c r="C42" i="10"/>
  <c r="A41" i="10"/>
  <c r="A51" i="10"/>
  <c r="C51" i="10"/>
  <c r="A40" i="10"/>
  <c r="C40" i="10"/>
  <c r="A39" i="10"/>
  <c r="C39" i="10"/>
  <c r="E36" i="10"/>
  <c r="D36" i="10"/>
  <c r="C36" i="10"/>
  <c r="B36" i="10"/>
  <c r="E35" i="10"/>
  <c r="D35" i="10"/>
  <c r="C35" i="10"/>
  <c r="B35" i="10"/>
  <c r="D30" i="10"/>
  <c r="C30" i="10"/>
  <c r="D29" i="10"/>
  <c r="C29" i="10"/>
  <c r="C28" i="10"/>
  <c r="D27" i="10"/>
  <c r="C27" i="10"/>
  <c r="D24" i="10"/>
  <c r="C24" i="10"/>
  <c r="B24" i="10"/>
  <c r="D23" i="10"/>
  <c r="C23" i="10"/>
  <c r="B23" i="10"/>
  <c r="C22" i="10"/>
  <c r="C21" i="10"/>
  <c r="C20" i="10"/>
  <c r="C19" i="10"/>
  <c r="C18" i="10"/>
  <c r="C17" i="10"/>
  <c r="F17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/>
  <c r="C50" i="9"/>
  <c r="E40" i="9"/>
  <c r="F40" i="9"/>
  <c r="D40" i="9"/>
  <c r="C40" i="9"/>
  <c r="B40" i="9"/>
  <c r="A40" i="9"/>
  <c r="A49" i="9"/>
  <c r="C49" i="9"/>
  <c r="E39" i="9"/>
  <c r="D39" i="9"/>
  <c r="B39" i="9"/>
  <c r="A39" i="9"/>
  <c r="C39" i="9"/>
  <c r="E38" i="9"/>
  <c r="D38" i="9"/>
  <c r="B38" i="9"/>
  <c r="A38" i="9"/>
  <c r="C38" i="9"/>
  <c r="E37" i="9"/>
  <c r="D37" i="9"/>
  <c r="C37" i="9"/>
  <c r="B37" i="9"/>
  <c r="A37" i="9"/>
  <c r="A46" i="9"/>
  <c r="C46" i="9"/>
  <c r="E36" i="9"/>
  <c r="D36" i="9"/>
  <c r="B36" i="9"/>
  <c r="A36" i="9"/>
  <c r="C36" i="9"/>
  <c r="E35" i="9"/>
  <c r="D35" i="9"/>
  <c r="B35" i="9"/>
  <c r="A35" i="9"/>
  <c r="C35" i="9"/>
  <c r="E32" i="9"/>
  <c r="D32" i="9"/>
  <c r="C32" i="9"/>
  <c r="B32" i="9"/>
  <c r="E31" i="9"/>
  <c r="F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F19" i="9"/>
  <c r="D19" i="9"/>
  <c r="C19" i="9"/>
  <c r="B19" i="9"/>
  <c r="E18" i="9"/>
  <c r="F18" i="9"/>
  <c r="D18" i="9"/>
  <c r="C18" i="9"/>
  <c r="B18" i="9"/>
  <c r="E17" i="9"/>
  <c r="F17" i="9"/>
  <c r="D17" i="9"/>
  <c r="C17" i="9"/>
  <c r="B17" i="9"/>
  <c r="B15" i="9"/>
  <c r="E14" i="9"/>
  <c r="F14" i="9"/>
  <c r="D14" i="9"/>
  <c r="C14" i="9"/>
  <c r="B14" i="9"/>
  <c r="E13" i="9"/>
  <c r="D13" i="9"/>
  <c r="C13" i="9"/>
  <c r="B13" i="9"/>
  <c r="E12" i="9"/>
  <c r="F12" i="9"/>
  <c r="D12" i="9"/>
  <c r="C12" i="9"/>
  <c r="B12" i="9"/>
  <c r="E11" i="9"/>
  <c r="D11" i="9"/>
  <c r="C11" i="9"/>
  <c r="B11" i="9"/>
  <c r="E10" i="9"/>
  <c r="F10" i="9"/>
  <c r="D10" i="9"/>
  <c r="C10" i="9"/>
  <c r="B10" i="9"/>
  <c r="D9" i="9"/>
  <c r="C9" i="9"/>
  <c r="B9" i="9"/>
  <c r="D8" i="9"/>
  <c r="C8" i="9"/>
  <c r="B8" i="9"/>
  <c r="H6" i="9"/>
  <c r="D74" i="8"/>
  <c r="D76" i="8"/>
  <c r="D73" i="8"/>
  <c r="D71" i="8"/>
  <c r="D69" i="8"/>
  <c r="F65" i="8"/>
  <c r="E51" i="8"/>
  <c r="F51" i="8"/>
  <c r="D60" i="8"/>
  <c r="D85" i="8"/>
  <c r="D86" i="8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/>
  <c r="C50" i="8"/>
  <c r="F50" i="8"/>
  <c r="E40" i="8"/>
  <c r="F40" i="8"/>
  <c r="D40" i="8"/>
  <c r="C40" i="8"/>
  <c r="B40" i="8"/>
  <c r="A40" i="8"/>
  <c r="A49" i="8"/>
  <c r="C49" i="8"/>
  <c r="E39" i="8"/>
  <c r="D39" i="8"/>
  <c r="B39" i="8"/>
  <c r="A39" i="8"/>
  <c r="C39" i="8"/>
  <c r="E38" i="8"/>
  <c r="D38" i="8"/>
  <c r="B38" i="8"/>
  <c r="A38" i="8"/>
  <c r="C38" i="8"/>
  <c r="E37" i="8"/>
  <c r="D37" i="8"/>
  <c r="C37" i="8"/>
  <c r="B37" i="8"/>
  <c r="A37" i="8"/>
  <c r="A46" i="8"/>
  <c r="C46" i="8"/>
  <c r="E36" i="8"/>
  <c r="D36" i="8"/>
  <c r="B36" i="8"/>
  <c r="A36" i="8"/>
  <c r="C36" i="8"/>
  <c r="E35" i="8"/>
  <c r="D35" i="8"/>
  <c r="B35" i="8"/>
  <c r="A35" i="8"/>
  <c r="C35" i="8"/>
  <c r="E32" i="8"/>
  <c r="D32" i="8"/>
  <c r="C32" i="8"/>
  <c r="B32" i="8"/>
  <c r="E31" i="8"/>
  <c r="F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D19" i="8"/>
  <c r="C19" i="8"/>
  <c r="B19" i="8"/>
  <c r="E18" i="8"/>
  <c r="D18" i="8"/>
  <c r="C18" i="8"/>
  <c r="B18" i="8"/>
  <c r="E17" i="8"/>
  <c r="F17" i="8"/>
  <c r="D17" i="8"/>
  <c r="C17" i="8"/>
  <c r="B17" i="8"/>
  <c r="B15" i="8"/>
  <c r="E14" i="8"/>
  <c r="F14" i="8"/>
  <c r="D14" i="8"/>
  <c r="C14" i="8"/>
  <c r="B14" i="8"/>
  <c r="E13" i="8"/>
  <c r="D13" i="8"/>
  <c r="C13" i="8"/>
  <c r="B13" i="8"/>
  <c r="D12" i="8"/>
  <c r="C12" i="8"/>
  <c r="F12" i="8"/>
  <c r="B12" i="8"/>
  <c r="D11" i="8"/>
  <c r="C11" i="8"/>
  <c r="F11" i="8"/>
  <c r="B11" i="8"/>
  <c r="E10" i="8"/>
  <c r="D10" i="8"/>
  <c r="C10" i="8"/>
  <c r="B10" i="8"/>
  <c r="D9" i="8"/>
  <c r="C9" i="8"/>
  <c r="F9" i="8"/>
  <c r="B9" i="8"/>
  <c r="E8" i="8"/>
  <c r="D8" i="8"/>
  <c r="C8" i="8"/>
  <c r="B8" i="8"/>
  <c r="H6" i="8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E45" i="7"/>
  <c r="D45" i="7"/>
  <c r="B45" i="7"/>
  <c r="E44" i="7"/>
  <c r="D44" i="7"/>
  <c r="B44" i="7"/>
  <c r="E41" i="7"/>
  <c r="D41" i="7"/>
  <c r="B41" i="7"/>
  <c r="A41" i="7"/>
  <c r="A50" i="7"/>
  <c r="C50" i="7"/>
  <c r="E40" i="7"/>
  <c r="D40" i="7"/>
  <c r="B40" i="7"/>
  <c r="A40" i="7"/>
  <c r="C40" i="7"/>
  <c r="E39" i="7"/>
  <c r="F39" i="7"/>
  <c r="D39" i="7"/>
  <c r="B39" i="7"/>
  <c r="A39" i="7"/>
  <c r="C39" i="7"/>
  <c r="E38" i="7"/>
  <c r="F38" i="7"/>
  <c r="D38" i="7"/>
  <c r="B38" i="7"/>
  <c r="A38" i="7"/>
  <c r="C38" i="7"/>
  <c r="E37" i="7"/>
  <c r="D37" i="7"/>
  <c r="B37" i="7"/>
  <c r="A37" i="7"/>
  <c r="A46" i="7"/>
  <c r="C46" i="7"/>
  <c r="E36" i="7"/>
  <c r="D36" i="7"/>
  <c r="B36" i="7"/>
  <c r="A36" i="7"/>
  <c r="C36" i="7"/>
  <c r="E35" i="7"/>
  <c r="D35" i="7"/>
  <c r="B35" i="7"/>
  <c r="A35" i="7"/>
  <c r="C35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D21" i="7"/>
  <c r="C21" i="7"/>
  <c r="B21" i="7"/>
  <c r="E20" i="7"/>
  <c r="D20" i="7"/>
  <c r="C20" i="7"/>
  <c r="B20" i="7"/>
  <c r="E19" i="7"/>
  <c r="F19" i="7"/>
  <c r="D19" i="7"/>
  <c r="C19" i="7"/>
  <c r="B19" i="7"/>
  <c r="E18" i="7"/>
  <c r="D18" i="7"/>
  <c r="C18" i="7"/>
  <c r="B18" i="7"/>
  <c r="E17" i="7"/>
  <c r="F17" i="7"/>
  <c r="D17" i="7"/>
  <c r="C17" i="7"/>
  <c r="B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D10" i="7"/>
  <c r="C10" i="7"/>
  <c r="B10" i="7"/>
  <c r="C9" i="7"/>
  <c r="D8" i="7"/>
  <c r="C8" i="7"/>
  <c r="B8" i="7"/>
  <c r="H6" i="7"/>
  <c r="D73" i="6"/>
  <c r="D74" i="6"/>
  <c r="D76" i="6"/>
  <c r="D71" i="6"/>
  <c r="D69" i="6"/>
  <c r="F65" i="6"/>
  <c r="C73" i="6"/>
  <c r="C85" i="6"/>
  <c r="D60" i="6"/>
  <c r="D85" i="6"/>
  <c r="D86" i="6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4" i="6"/>
  <c r="D44" i="6"/>
  <c r="B44" i="6"/>
  <c r="E41" i="6"/>
  <c r="D41" i="6"/>
  <c r="B41" i="6"/>
  <c r="A41" i="6"/>
  <c r="A50" i="6"/>
  <c r="C50" i="6"/>
  <c r="E40" i="6"/>
  <c r="D40" i="6"/>
  <c r="C40" i="6"/>
  <c r="B40" i="6"/>
  <c r="A40" i="6"/>
  <c r="A49" i="6"/>
  <c r="C49" i="6"/>
  <c r="E39" i="6"/>
  <c r="D39" i="6"/>
  <c r="B39" i="6"/>
  <c r="A39" i="6"/>
  <c r="C39" i="6"/>
  <c r="E38" i="6"/>
  <c r="D38" i="6"/>
  <c r="B38" i="6"/>
  <c r="A38" i="6"/>
  <c r="C38" i="6"/>
  <c r="E37" i="6"/>
  <c r="D37" i="6"/>
  <c r="C37" i="6"/>
  <c r="B37" i="6"/>
  <c r="A37" i="6"/>
  <c r="A46" i="6"/>
  <c r="C46" i="6"/>
  <c r="E36" i="6"/>
  <c r="D36" i="6"/>
  <c r="B36" i="6"/>
  <c r="A36" i="6"/>
  <c r="C36" i="6"/>
  <c r="E35" i="6"/>
  <c r="D35" i="6"/>
  <c r="B35" i="6"/>
  <c r="A35" i="6"/>
  <c r="C35" i="6"/>
  <c r="E32" i="6"/>
  <c r="F32" i="6"/>
  <c r="D32" i="6"/>
  <c r="C32" i="6"/>
  <c r="B32" i="6"/>
  <c r="E31" i="6"/>
  <c r="D31" i="6"/>
  <c r="C31" i="6"/>
  <c r="B31" i="6"/>
  <c r="E30" i="6"/>
  <c r="F30" i="6"/>
  <c r="D30" i="6"/>
  <c r="C30" i="6"/>
  <c r="B30" i="6"/>
  <c r="E29" i="6"/>
  <c r="D29" i="6"/>
  <c r="C29" i="6"/>
  <c r="B29" i="6"/>
  <c r="E28" i="6"/>
  <c r="F28" i="6"/>
  <c r="D28" i="6"/>
  <c r="C28" i="6"/>
  <c r="B28" i="6"/>
  <c r="E27" i="6"/>
  <c r="D27" i="6"/>
  <c r="C27" i="6"/>
  <c r="B27" i="6"/>
  <c r="E24" i="6"/>
  <c r="F24" i="6"/>
  <c r="D24" i="6"/>
  <c r="C24" i="6"/>
  <c r="B24" i="6"/>
  <c r="E23" i="6"/>
  <c r="D23" i="6"/>
  <c r="C23" i="6"/>
  <c r="B23" i="6"/>
  <c r="E22" i="6"/>
  <c r="F22" i="6"/>
  <c r="D22" i="6"/>
  <c r="C22" i="6"/>
  <c r="B22" i="6"/>
  <c r="E21" i="6"/>
  <c r="D21" i="6"/>
  <c r="C21" i="6"/>
  <c r="B21" i="6"/>
  <c r="E20" i="6"/>
  <c r="F20" i="6"/>
  <c r="D20" i="6"/>
  <c r="C20" i="6"/>
  <c r="B20" i="6"/>
  <c r="E19" i="6"/>
  <c r="F19" i="6"/>
  <c r="D19" i="6"/>
  <c r="C19" i="6"/>
  <c r="B19" i="6"/>
  <c r="E18" i="6"/>
  <c r="D18" i="6"/>
  <c r="C18" i="6"/>
  <c r="B18" i="6"/>
  <c r="E17" i="6"/>
  <c r="F17" i="6"/>
  <c r="D17" i="6"/>
  <c r="C17" i="6"/>
  <c r="B17" i="6"/>
  <c r="B15" i="6"/>
  <c r="E14" i="6"/>
  <c r="F14" i="6"/>
  <c r="D14" i="6"/>
  <c r="C14" i="6"/>
  <c r="B14" i="6"/>
  <c r="E13" i="6"/>
  <c r="D13" i="6"/>
  <c r="C13" i="6"/>
  <c r="B13" i="6"/>
  <c r="E12" i="6"/>
  <c r="F12" i="6"/>
  <c r="D12" i="6"/>
  <c r="C12" i="6"/>
  <c r="B12" i="6"/>
  <c r="E11" i="6"/>
  <c r="D11" i="6"/>
  <c r="C11" i="6"/>
  <c r="B11" i="6"/>
  <c r="D10" i="6"/>
  <c r="C10" i="6"/>
  <c r="B10" i="6"/>
  <c r="C9" i="6"/>
  <c r="D8" i="6"/>
  <c r="C8" i="6"/>
  <c r="B8" i="6"/>
  <c r="H6" i="6"/>
  <c r="D37" i="5"/>
  <c r="D19" i="2"/>
  <c r="D22" i="1"/>
  <c r="F11" i="7"/>
  <c r="F13" i="7"/>
  <c r="F14" i="7"/>
  <c r="F34" i="10"/>
  <c r="F33" i="10"/>
  <c r="F32" i="10"/>
  <c r="F31" i="10"/>
  <c r="F35" i="10"/>
  <c r="A55" i="10"/>
  <c r="C55" i="10"/>
  <c r="F55" i="10"/>
  <c r="F45" i="10"/>
  <c r="F24" i="10"/>
  <c r="C44" i="10"/>
  <c r="A50" i="10"/>
  <c r="C50" i="10"/>
  <c r="F23" i="10"/>
  <c r="C46" i="10"/>
  <c r="F46" i="10"/>
  <c r="F10" i="10"/>
  <c r="F12" i="10"/>
  <c r="F14" i="10"/>
  <c r="D87" i="10"/>
  <c r="D89" i="10"/>
  <c r="F27" i="10"/>
  <c r="F29" i="10"/>
  <c r="F19" i="8"/>
  <c r="F21" i="9"/>
  <c r="F28" i="10"/>
  <c r="F40" i="6"/>
  <c r="F28" i="8"/>
  <c r="F29" i="8"/>
  <c r="F30" i="8"/>
  <c r="F27" i="9"/>
  <c r="F28" i="9"/>
  <c r="F29" i="9"/>
  <c r="F30" i="9"/>
  <c r="F30" i="10"/>
  <c r="F9" i="10"/>
  <c r="F11" i="10"/>
  <c r="F13" i="10"/>
  <c r="F56" i="10"/>
  <c r="F8" i="10"/>
  <c r="F36" i="6"/>
  <c r="F9" i="7"/>
  <c r="F18" i="7"/>
  <c r="F21" i="7"/>
  <c r="F36" i="7"/>
  <c r="F46" i="7"/>
  <c r="F50" i="7"/>
  <c r="F36" i="10"/>
  <c r="F29" i="7"/>
  <c r="F30" i="7"/>
  <c r="F31" i="7"/>
  <c r="F32" i="7"/>
  <c r="C41" i="10"/>
  <c r="F39" i="10"/>
  <c r="D83" i="9"/>
  <c r="D81" i="9"/>
  <c r="F50" i="9"/>
  <c r="F46" i="9"/>
  <c r="F32" i="9"/>
  <c r="F36" i="9"/>
  <c r="F37" i="9"/>
  <c r="A45" i="9"/>
  <c r="C45" i="9"/>
  <c r="F45" i="9"/>
  <c r="F49" i="9"/>
  <c r="F20" i="9"/>
  <c r="F22" i="9"/>
  <c r="C41" i="9"/>
  <c r="F41" i="9"/>
  <c r="F11" i="9"/>
  <c r="F13" i="9"/>
  <c r="F8" i="9"/>
  <c r="F9" i="9"/>
  <c r="D81" i="8"/>
  <c r="D83" i="8"/>
  <c r="F46" i="8"/>
  <c r="F36" i="8"/>
  <c r="F37" i="8"/>
  <c r="F32" i="8"/>
  <c r="A45" i="8"/>
  <c r="C45" i="8"/>
  <c r="F45" i="8"/>
  <c r="F18" i="8"/>
  <c r="F35" i="8"/>
  <c r="C41" i="8"/>
  <c r="F41" i="8"/>
  <c r="F13" i="8"/>
  <c r="F27" i="8"/>
  <c r="F10" i="8"/>
  <c r="F8" i="8"/>
  <c r="D83" i="7"/>
  <c r="F40" i="7"/>
  <c r="A45" i="7"/>
  <c r="C45" i="7"/>
  <c r="F45" i="7"/>
  <c r="F20" i="7"/>
  <c r="C37" i="7"/>
  <c r="F37" i="7"/>
  <c r="A49" i="7"/>
  <c r="C49" i="7"/>
  <c r="F49" i="7"/>
  <c r="F28" i="7"/>
  <c r="C41" i="7"/>
  <c r="F41" i="7"/>
  <c r="F10" i="7"/>
  <c r="F12" i="7"/>
  <c r="F8" i="7"/>
  <c r="E51" i="6"/>
  <c r="F51" i="6"/>
  <c r="F46" i="6"/>
  <c r="F35" i="6"/>
  <c r="A44" i="6"/>
  <c r="C44" i="6"/>
  <c r="F44" i="6"/>
  <c r="A45" i="6"/>
  <c r="C45" i="6"/>
  <c r="F45" i="6"/>
  <c r="F21" i="6"/>
  <c r="F23" i="6"/>
  <c r="F27" i="6"/>
  <c r="F29" i="6"/>
  <c r="F31" i="6"/>
  <c r="F37" i="6"/>
  <c r="C41" i="6"/>
  <c r="F41" i="6"/>
  <c r="F18" i="6"/>
  <c r="F39" i="6"/>
  <c r="A48" i="6"/>
  <c r="C48" i="6"/>
  <c r="F11" i="6"/>
  <c r="F13" i="6"/>
  <c r="F10" i="6"/>
  <c r="F9" i="6"/>
  <c r="F8" i="6"/>
  <c r="A49" i="10"/>
  <c r="C49" i="10"/>
  <c r="F49" i="10"/>
  <c r="A53" i="10"/>
  <c r="C53" i="10"/>
  <c r="A52" i="10"/>
  <c r="C52" i="10"/>
  <c r="C79" i="10"/>
  <c r="F38" i="9"/>
  <c r="F39" i="9"/>
  <c r="F35" i="9"/>
  <c r="A44" i="9"/>
  <c r="C44" i="9"/>
  <c r="F44" i="9"/>
  <c r="A48" i="9"/>
  <c r="C48" i="9"/>
  <c r="F48" i="9"/>
  <c r="A47" i="9"/>
  <c r="C47" i="9"/>
  <c r="F47" i="9"/>
  <c r="C73" i="9"/>
  <c r="F49" i="8"/>
  <c r="F38" i="8"/>
  <c r="F39" i="8"/>
  <c r="A48" i="8"/>
  <c r="C48" i="8"/>
  <c r="F48" i="8"/>
  <c r="A44" i="8"/>
  <c r="C44" i="8"/>
  <c r="F44" i="8"/>
  <c r="A47" i="8"/>
  <c r="C47" i="8"/>
  <c r="F47" i="8"/>
  <c r="C73" i="8"/>
  <c r="F35" i="7"/>
  <c r="A44" i="7"/>
  <c r="C44" i="7"/>
  <c r="F44" i="7"/>
  <c r="A48" i="7"/>
  <c r="C48" i="7"/>
  <c r="F48" i="7"/>
  <c r="D81" i="7"/>
  <c r="A47" i="7"/>
  <c r="C47" i="7"/>
  <c r="F47" i="7"/>
  <c r="C73" i="7"/>
  <c r="E85" i="6"/>
  <c r="F50" i="6"/>
  <c r="F38" i="6"/>
  <c r="F48" i="6"/>
  <c r="F49" i="6"/>
  <c r="E73" i="6"/>
  <c r="D83" i="6"/>
  <c r="D81" i="6"/>
  <c r="A47" i="6"/>
  <c r="C47" i="6"/>
  <c r="F47" i="6"/>
  <c r="F53" i="7"/>
  <c r="C69" i="7"/>
  <c r="F53" i="6"/>
  <c r="F64" i="6"/>
  <c r="F53" i="8"/>
  <c r="F64" i="8"/>
  <c r="E42" i="10"/>
  <c r="F42" i="10"/>
  <c r="F54" i="7"/>
  <c r="H54" i="7"/>
  <c r="G2" i="7"/>
  <c r="F54" i="9"/>
  <c r="C76" i="9"/>
  <c r="E76" i="9"/>
  <c r="E43" i="10"/>
  <c r="F43" i="10"/>
  <c r="F53" i="9"/>
  <c r="C69" i="9"/>
  <c r="F54" i="6"/>
  <c r="C76" i="6"/>
  <c r="E76" i="6"/>
  <c r="E40" i="10"/>
  <c r="F40" i="10"/>
  <c r="C91" i="10"/>
  <c r="E91" i="10"/>
  <c r="E79" i="10"/>
  <c r="F56" i="9"/>
  <c r="C85" i="9"/>
  <c r="E85" i="9"/>
  <c r="E73" i="9"/>
  <c r="F56" i="8"/>
  <c r="C85" i="8"/>
  <c r="E85" i="8"/>
  <c r="E73" i="8"/>
  <c r="F54" i="8"/>
  <c r="F56" i="7"/>
  <c r="C85" i="7"/>
  <c r="E85" i="7"/>
  <c r="E73" i="7"/>
  <c r="F56" i="6"/>
  <c r="F55" i="7"/>
  <c r="F63" i="7"/>
  <c r="H53" i="8"/>
  <c r="F2" i="8"/>
  <c r="F55" i="8"/>
  <c r="F63" i="8"/>
  <c r="C69" i="8"/>
  <c r="E69" i="8"/>
  <c r="E22" i="10"/>
  <c r="F22" i="10"/>
  <c r="H54" i="6"/>
  <c r="G2" i="6"/>
  <c r="F64" i="9"/>
  <c r="F55" i="6"/>
  <c r="F63" i="6"/>
  <c r="H53" i="6"/>
  <c r="F2" i="6"/>
  <c r="C69" i="6"/>
  <c r="E69" i="6"/>
  <c r="E18" i="10"/>
  <c r="F18" i="10"/>
  <c r="H54" i="9"/>
  <c r="G2" i="9"/>
  <c r="F64" i="7"/>
  <c r="H53" i="7"/>
  <c r="F2" i="7"/>
  <c r="C76" i="7"/>
  <c r="E76" i="7"/>
  <c r="E41" i="10"/>
  <c r="F41" i="10"/>
  <c r="H53" i="9"/>
  <c r="F2" i="9"/>
  <c r="E52" i="10"/>
  <c r="F52" i="10"/>
  <c r="F55" i="9"/>
  <c r="H55" i="9"/>
  <c r="H56" i="9"/>
  <c r="C74" i="9"/>
  <c r="E69" i="9"/>
  <c r="E21" i="10"/>
  <c r="F21" i="10"/>
  <c r="C81" i="9"/>
  <c r="E81" i="9"/>
  <c r="H54" i="8"/>
  <c r="G2" i="8"/>
  <c r="C76" i="8"/>
  <c r="E76" i="8"/>
  <c r="E44" i="10"/>
  <c r="F44" i="10"/>
  <c r="H56" i="8"/>
  <c r="C74" i="8"/>
  <c r="H56" i="7"/>
  <c r="C74" i="7"/>
  <c r="E69" i="7"/>
  <c r="E19" i="10"/>
  <c r="F19" i="10"/>
  <c r="C81" i="7"/>
  <c r="E81" i="7"/>
  <c r="H56" i="6"/>
  <c r="C74" i="6"/>
  <c r="H55" i="8"/>
  <c r="C81" i="6"/>
  <c r="E81" i="6"/>
  <c r="H55" i="7"/>
  <c r="O54" i="7"/>
  <c r="O56" i="7"/>
  <c r="H55" i="6"/>
  <c r="O54" i="9"/>
  <c r="O54" i="6"/>
  <c r="C81" i="8"/>
  <c r="E81" i="8"/>
  <c r="O54" i="8"/>
  <c r="F60" i="10"/>
  <c r="H60" i="10"/>
  <c r="G2" i="10"/>
  <c r="E20" i="10"/>
  <c r="F20" i="10"/>
  <c r="F59" i="10"/>
  <c r="F63" i="9"/>
  <c r="C71" i="9"/>
  <c r="E74" i="9"/>
  <c r="C86" i="9"/>
  <c r="E86" i="9"/>
  <c r="H2" i="9"/>
  <c r="H58" i="9"/>
  <c r="H59" i="9"/>
  <c r="O58" i="9"/>
  <c r="O55" i="9"/>
  <c r="O56" i="9"/>
  <c r="E74" i="8"/>
  <c r="C86" i="8"/>
  <c r="E86" i="8"/>
  <c r="O56" i="8"/>
  <c r="C71" i="8"/>
  <c r="E63" i="8"/>
  <c r="F66" i="8"/>
  <c r="H2" i="8"/>
  <c r="H58" i="8"/>
  <c r="H59" i="8"/>
  <c r="O58" i="8"/>
  <c r="O55" i="8"/>
  <c r="E74" i="7"/>
  <c r="C86" i="7"/>
  <c r="E86" i="7"/>
  <c r="H2" i="7"/>
  <c r="H58" i="7"/>
  <c r="H59" i="7"/>
  <c r="O58" i="7"/>
  <c r="O55" i="7"/>
  <c r="C71" i="7"/>
  <c r="E63" i="7"/>
  <c r="F66" i="7"/>
  <c r="G63" i="7"/>
  <c r="H2" i="6"/>
  <c r="H58" i="6"/>
  <c r="H59" i="6"/>
  <c r="O58" i="6"/>
  <c r="O55" i="6"/>
  <c r="O56" i="6"/>
  <c r="E74" i="6"/>
  <c r="C86" i="6"/>
  <c r="E86" i="6"/>
  <c r="C71" i="6"/>
  <c r="E63" i="6"/>
  <c r="F66" i="6"/>
  <c r="G63" i="6"/>
  <c r="F66" i="9"/>
  <c r="G63" i="9"/>
  <c r="C82" i="10"/>
  <c r="E82" i="10"/>
  <c r="E78" i="9"/>
  <c r="E53" i="10"/>
  <c r="F53" i="10"/>
  <c r="O57" i="8"/>
  <c r="O59" i="8"/>
  <c r="O60" i="8"/>
  <c r="E78" i="8"/>
  <c r="E54" i="10"/>
  <c r="F54" i="10"/>
  <c r="O57" i="6"/>
  <c r="O59" i="6"/>
  <c r="O60" i="6"/>
  <c r="O61" i="6"/>
  <c r="O62" i="6"/>
  <c r="E63" i="9"/>
  <c r="E78" i="6"/>
  <c r="E50" i="10"/>
  <c r="F50" i="10"/>
  <c r="O57" i="7"/>
  <c r="O59" i="7"/>
  <c r="O60" i="7"/>
  <c r="E78" i="7"/>
  <c r="E51" i="10"/>
  <c r="F51" i="10"/>
  <c r="O57" i="9"/>
  <c r="O59" i="9"/>
  <c r="O60" i="9"/>
  <c r="O61" i="9"/>
  <c r="O62" i="9"/>
  <c r="F70" i="10"/>
  <c r="C75" i="10"/>
  <c r="H59" i="10"/>
  <c r="F2" i="10"/>
  <c r="F61" i="10"/>
  <c r="C83" i="9"/>
  <c r="E83" i="9"/>
  <c r="E71" i="9"/>
  <c r="G14" i="9"/>
  <c r="G49" i="9"/>
  <c r="G20" i="9"/>
  <c r="G32" i="9"/>
  <c r="G31" i="9"/>
  <c r="G27" i="9"/>
  <c r="G29" i="9"/>
  <c r="G36" i="9"/>
  <c r="G21" i="9"/>
  <c r="G23" i="9"/>
  <c r="G40" i="9"/>
  <c r="G50" i="9"/>
  <c r="G46" i="9"/>
  <c r="G11" i="9"/>
  <c r="G10" i="9"/>
  <c r="G22" i="9"/>
  <c r="G51" i="9"/>
  <c r="G48" i="9"/>
  <c r="G54" i="9"/>
  <c r="G45" i="9"/>
  <c r="G39" i="9"/>
  <c r="G44" i="9"/>
  <c r="G38" i="9"/>
  <c r="G53" i="9"/>
  <c r="G64" i="9"/>
  <c r="G55" i="9"/>
  <c r="G66" i="8"/>
  <c r="G10" i="8"/>
  <c r="G41" i="8"/>
  <c r="G40" i="8"/>
  <c r="G13" i="8"/>
  <c r="G32" i="8"/>
  <c r="G22" i="8"/>
  <c r="G24" i="8"/>
  <c r="G29" i="8"/>
  <c r="G21" i="8"/>
  <c r="G9" i="8"/>
  <c r="G50" i="8"/>
  <c r="G19" i="8"/>
  <c r="G35" i="8"/>
  <c r="G27" i="8"/>
  <c r="G12" i="8"/>
  <c r="G51" i="8"/>
  <c r="G20" i="8"/>
  <c r="G14" i="8"/>
  <c r="G23" i="8"/>
  <c r="G17" i="8"/>
  <c r="G36" i="8"/>
  <c r="G28" i="8"/>
  <c r="G45" i="8"/>
  <c r="G46" i="8"/>
  <c r="G30" i="8"/>
  <c r="G18" i="8"/>
  <c r="G8" i="8"/>
  <c r="G31" i="8"/>
  <c r="G37" i="8"/>
  <c r="G11" i="8"/>
  <c r="G65" i="8"/>
  <c r="G47" i="8"/>
  <c r="G38" i="8"/>
  <c r="G39" i="8"/>
  <c r="G44" i="8"/>
  <c r="G53" i="8"/>
  <c r="G49" i="8"/>
  <c r="G48" i="8"/>
  <c r="G64" i="8"/>
  <c r="G55" i="8"/>
  <c r="G56" i="8"/>
  <c r="G54" i="8"/>
  <c r="C83" i="8"/>
  <c r="E83" i="8"/>
  <c r="E71" i="8"/>
  <c r="G63" i="8"/>
  <c r="C83" i="7"/>
  <c r="E83" i="7"/>
  <c r="E71" i="7"/>
  <c r="G66" i="7"/>
  <c r="G23" i="7"/>
  <c r="G46" i="7"/>
  <c r="G45" i="7"/>
  <c r="G14" i="7"/>
  <c r="G40" i="7"/>
  <c r="G19" i="7"/>
  <c r="G18" i="7"/>
  <c r="G31" i="7"/>
  <c r="G27" i="7"/>
  <c r="G24" i="7"/>
  <c r="G38" i="7"/>
  <c r="G9" i="7"/>
  <c r="G17" i="7"/>
  <c r="G50" i="7"/>
  <c r="G20" i="7"/>
  <c r="G8" i="7"/>
  <c r="G21" i="7"/>
  <c r="G30" i="7"/>
  <c r="G39" i="7"/>
  <c r="G11" i="7"/>
  <c r="G29" i="7"/>
  <c r="G10" i="7"/>
  <c r="G22" i="7"/>
  <c r="G41" i="7"/>
  <c r="G36" i="7"/>
  <c r="G13" i="7"/>
  <c r="G32" i="7"/>
  <c r="G49" i="7"/>
  <c r="G37" i="7"/>
  <c r="G12" i="7"/>
  <c r="G28" i="7"/>
  <c r="G51" i="7"/>
  <c r="G65" i="7"/>
  <c r="G48" i="7"/>
  <c r="G47" i="7"/>
  <c r="G44" i="7"/>
  <c r="G35" i="7"/>
  <c r="G54" i="7"/>
  <c r="G53" i="7"/>
  <c r="G64" i="7"/>
  <c r="G56" i="7"/>
  <c r="G55" i="7"/>
  <c r="C83" i="6"/>
  <c r="E83" i="6"/>
  <c r="E71" i="6"/>
  <c r="G66" i="6"/>
  <c r="G9" i="6"/>
  <c r="G19" i="6"/>
  <c r="G28" i="6"/>
  <c r="G44" i="6"/>
  <c r="G17" i="6"/>
  <c r="G10" i="6"/>
  <c r="G40" i="6"/>
  <c r="G21" i="6"/>
  <c r="G29" i="6"/>
  <c r="G51" i="6"/>
  <c r="G27" i="6"/>
  <c r="G46" i="6"/>
  <c r="G24" i="6"/>
  <c r="G65" i="6"/>
  <c r="G37" i="6"/>
  <c r="G11" i="6"/>
  <c r="G20" i="6"/>
  <c r="G30" i="6"/>
  <c r="G36" i="6"/>
  <c r="G12" i="6"/>
  <c r="G45" i="6"/>
  <c r="G23" i="6"/>
  <c r="G31" i="6"/>
  <c r="G14" i="6"/>
  <c r="G39" i="6"/>
  <c r="G41" i="6"/>
  <c r="G13" i="6"/>
  <c r="G8" i="6"/>
  <c r="G35" i="6"/>
  <c r="G18" i="6"/>
  <c r="G22" i="6"/>
  <c r="G32" i="6"/>
  <c r="G47" i="6"/>
  <c r="G49" i="6"/>
  <c r="G50" i="6"/>
  <c r="G54" i="6"/>
  <c r="G38" i="6"/>
  <c r="G53" i="6"/>
  <c r="G48" i="6"/>
  <c r="G64" i="6"/>
  <c r="G55" i="6"/>
  <c r="G56" i="6"/>
  <c r="G13" i="9"/>
  <c r="G12" i="9"/>
  <c r="G19" i="9"/>
  <c r="G9" i="9"/>
  <c r="G56" i="9"/>
  <c r="G35" i="9"/>
  <c r="G47" i="9"/>
  <c r="G24" i="9"/>
  <c r="G41" i="9"/>
  <c r="G65" i="9"/>
  <c r="G8" i="9"/>
  <c r="G37" i="9"/>
  <c r="G18" i="9"/>
  <c r="G28" i="9"/>
  <c r="G66" i="9"/>
  <c r="G30" i="9"/>
  <c r="G17" i="9"/>
  <c r="O61" i="7"/>
  <c r="O62" i="7"/>
  <c r="E2" i="7"/>
  <c r="F62" i="10"/>
  <c r="H62" i="10"/>
  <c r="H61" i="10"/>
  <c r="O60" i="10"/>
  <c r="O62" i="10"/>
  <c r="F69" i="10"/>
  <c r="E75" i="10"/>
  <c r="C87" i="10"/>
  <c r="E87" i="10"/>
  <c r="O61" i="8"/>
  <c r="O62" i="8"/>
  <c r="P62" i="8"/>
  <c r="P62" i="9"/>
  <c r="E2" i="9"/>
  <c r="P62" i="6"/>
  <c r="E2" i="6"/>
  <c r="P62" i="7"/>
  <c r="C80" i="10"/>
  <c r="E80" i="10"/>
  <c r="E84" i="10"/>
  <c r="E69" i="10"/>
  <c r="C77" i="10"/>
  <c r="F72" i="10"/>
  <c r="E2" i="8"/>
  <c r="O61" i="10"/>
  <c r="O63" i="10"/>
  <c r="H2" i="10"/>
  <c r="H64" i="10"/>
  <c r="H65" i="10"/>
  <c r="O64" i="10"/>
  <c r="O65" i="10"/>
  <c r="G34" i="10"/>
  <c r="G31" i="10"/>
  <c r="G32" i="10"/>
  <c r="G33" i="10"/>
  <c r="C92" i="10"/>
  <c r="E92" i="10"/>
  <c r="G45" i="10"/>
  <c r="G55" i="10"/>
  <c r="O66" i="10"/>
  <c r="E77" i="10"/>
  <c r="C89" i="10"/>
  <c r="E89" i="10"/>
  <c r="G14" i="10"/>
  <c r="G44" i="10"/>
  <c r="G8" i="10"/>
  <c r="G23" i="10"/>
  <c r="G10" i="10"/>
  <c r="G41" i="10"/>
  <c r="G46" i="10"/>
  <c r="G54" i="10"/>
  <c r="G52" i="10"/>
  <c r="G53" i="10"/>
  <c r="G29" i="10"/>
  <c r="G28" i="10"/>
  <c r="G72" i="10"/>
  <c r="G35" i="10"/>
  <c r="G11" i="10"/>
  <c r="G21" i="10"/>
  <c r="G13" i="10"/>
  <c r="G22" i="10"/>
  <c r="G24" i="10"/>
  <c r="G43" i="10"/>
  <c r="G42" i="10"/>
  <c r="G19" i="10"/>
  <c r="G56" i="10"/>
  <c r="G59" i="10"/>
  <c r="G9" i="10"/>
  <c r="G60" i="10"/>
  <c r="G36" i="10"/>
  <c r="G39" i="10"/>
  <c r="G40" i="10"/>
  <c r="G57" i="10"/>
  <c r="G71" i="10"/>
  <c r="G12" i="10"/>
  <c r="G30" i="10"/>
  <c r="G49" i="10"/>
  <c r="G61" i="10"/>
  <c r="G18" i="10"/>
  <c r="G20" i="10"/>
  <c r="G51" i="10"/>
  <c r="G17" i="10"/>
  <c r="G27" i="10"/>
  <c r="G70" i="10"/>
  <c r="G62" i="10"/>
  <c r="G50" i="10"/>
  <c r="G69" i="10"/>
  <c r="O67" i="10"/>
  <c r="O68" i="10"/>
  <c r="E2" i="10"/>
  <c r="P68" i="10"/>
</calcChain>
</file>

<file path=xl/sharedStrings.xml><?xml version="1.0" encoding="utf-8"?>
<sst xmlns="http://schemas.openxmlformats.org/spreadsheetml/2006/main" count="1754" uniqueCount="329">
  <si>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</si>
  <si>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</si>
  <si>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</si>
  <si>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</si>
  <si>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</si>
  <si>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</si>
  <si>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</si>
  <si>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</si>
  <si>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</si>
  <si>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</si>
  <si>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</si>
  <si>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</si>
  <si>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</si>
  <si>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</si>
  <si>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</si>
  <si>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</si>
  <si>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</si>
  <si>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</si>
  <si>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</si>
  <si>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</si>
  <si>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</si>
  <si>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</si>
  <si>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</si>
  <si>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</si>
  <si>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</si>
  <si>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</si>
  <si>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</si>
  <si>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</si>
  <si>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</si>
  <si>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</si>
  <si>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</si>
  <si>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</si>
  <si>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</si>
  <si>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</si>
  <si>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</si>
  <si>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</si>
  <si>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</si>
  <si>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</si>
  <si>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Relleno fresa nucita</t>
  </si>
  <si>
    <t>11400031</t>
  </si>
  <si>
    <t>MP10048</t>
  </si>
  <si>
    <t>Crema Prestige Grand</t>
  </si>
  <si>
    <t>NUEVO</t>
  </si>
  <si>
    <t>CUBETA NUCITA FRESA</t>
  </si>
  <si>
    <t>10400009</t>
  </si>
  <si>
    <t>MP10157</t>
  </si>
  <si>
    <t>Colorante Gel Super Red</t>
  </si>
  <si>
    <t>PRESTIGE</t>
  </si>
  <si>
    <t>NUCITA</t>
  </si>
  <si>
    <t>ASEAL</t>
  </si>
  <si>
    <t>1.-montar la crema prestige a punto chantilly, luego agregar el relleno de nucita fresa y el colorante super red e incoporar bien.</t>
  </si>
  <si>
    <t xml:space="preserve">1.- Montar la crema prestige hasta punto chantilly y luego agregar el relleno nucita chocolate e incoporar bien. </t>
  </si>
  <si>
    <t>CUBETA NUCITA CHOCOLATE</t>
  </si>
  <si>
    <t>Relleno nucita chocolate</t>
  </si>
  <si>
    <t>Richs</t>
  </si>
  <si>
    <t>2 galones</t>
  </si>
  <si>
    <t>3 galones</t>
  </si>
  <si>
    <t>10415</t>
  </si>
  <si>
    <t>AGUA POTABLE (PLANTA)</t>
  </si>
  <si>
    <t>AyA</t>
  </si>
  <si>
    <t>Aseal</t>
  </si>
  <si>
    <t>Etiplas</t>
  </si>
  <si>
    <t>310148</t>
  </si>
  <si>
    <t>MP10047</t>
  </si>
  <si>
    <t>1212410</t>
  </si>
  <si>
    <t>MP10008</t>
  </si>
  <si>
    <t>0702123</t>
  </si>
  <si>
    <t>EM10011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</si>
  <si>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</si>
  <si>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</si>
  <si>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</si>
  <si>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</si>
  <si>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 xml:space="preserve">PRESTIGE </t>
  </si>
  <si>
    <t>1.-Mezclar la crema prestige con el colorante rojo y colocar en bolsas para marmolear.</t>
  </si>
  <si>
    <t>Torta Nucita FAS</t>
  </si>
  <si>
    <t>907000309</t>
  </si>
  <si>
    <t>SE00450</t>
  </si>
  <si>
    <t>Rosquete Vainilla Dawn 300g</t>
  </si>
  <si>
    <t>FAS</t>
  </si>
  <si>
    <t>1 1/2 ud</t>
  </si>
  <si>
    <t>RELLENO FRESA NUCITA</t>
  </si>
  <si>
    <t>RELLENO NUCITA CHOCOLATE</t>
  </si>
  <si>
    <t>3/4 TAZA</t>
  </si>
  <si>
    <t>DECORACION</t>
  </si>
  <si>
    <t>CREMA BLANCA BUCCA</t>
  </si>
  <si>
    <t>11400027</t>
  </si>
  <si>
    <t>MP10006</t>
  </si>
  <si>
    <t>Crema Bettercream Doble Chocolate</t>
  </si>
  <si>
    <t>SIROPE ROJO BUCCA</t>
  </si>
  <si>
    <t>CREMA CHANTILLY FRESA BUCCA</t>
  </si>
  <si>
    <t>2cs</t>
  </si>
  <si>
    <t>SE00024</t>
  </si>
  <si>
    <t>CREMA CHANTILLY CHOCO (SPOON-IND)(24875g</t>
  </si>
  <si>
    <t>2CS</t>
  </si>
  <si>
    <t>EMPAQUE</t>
  </si>
  <si>
    <t>EM10009</t>
  </si>
  <si>
    <t xml:space="preserve">Quequera Red  Base/Domo 10 </t>
  </si>
  <si>
    <t>Export pmt</t>
  </si>
  <si>
    <t>EM10084</t>
  </si>
  <si>
    <t xml:space="preserve">Orla # 10 Bucca </t>
  </si>
  <si>
    <t>EM10112</t>
  </si>
  <si>
    <t>ET. TORTA BUCCA GENERICA</t>
  </si>
  <si>
    <t>Litografia CR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</si>
  <si>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</si>
  <si>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</si>
  <si>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</si>
  <si>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</si>
  <si>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</si>
  <si>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</si>
  <si>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ETIQUETA BLANCA 2 5/8X1 15/16 PRE BLANCA</t>
  </si>
  <si>
    <t>EM10248</t>
  </si>
  <si>
    <t>CINTA ADHESIVA TRANSPARENTE 2*100</t>
  </si>
  <si>
    <t>Mayca</t>
  </si>
  <si>
    <t>cm</t>
  </si>
  <si>
    <t>1.- Cortar los rosquete por la mitad y rellenar la primer capa con el relleno de fresa nucita y la segunda con el de chocolate. Colocar en la orla</t>
  </si>
  <si>
    <t>2.- Encremar con la crema blanca bucca y marmolear abajo con doble chocolate y arriba con sirope rojo, debe quedar lisa.</t>
  </si>
  <si>
    <t>908000045</t>
  </si>
  <si>
    <t>SE00051</t>
  </si>
  <si>
    <t>Ganache Chocolate Blanco</t>
  </si>
  <si>
    <t>3.- Con la boquilla 2CS hacer colochos rosados en el borde y de chocolate adentro, en el centro colocar el ganache blanco.</t>
  </si>
  <si>
    <t>4.- Tapar y etiquetar.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</si>
  <si>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</si>
  <si>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</si>
  <si>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</si>
  <si>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</si>
  <si>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</si>
  <si>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</si>
  <si>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</si>
  <si>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</si>
  <si>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</si>
  <si>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</si>
  <si>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</si>
  <si>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</si>
  <si>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</si>
  <si>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</si>
  <si>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</si>
  <si>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</si>
  <si>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</si>
  <si>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</si>
  <si>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</si>
  <si>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</si>
  <si>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</si>
  <si>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</si>
  <si>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</si>
  <si>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</si>
  <si>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</si>
  <si>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</si>
  <si>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</si>
  <si>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</si>
  <si>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</si>
  <si>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</si>
  <si>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</si>
  <si>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</si>
  <si>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</si>
  <si>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</si>
  <si>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</si>
  <si>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</si>
  <si>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</si>
  <si>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</si>
  <si>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</si>
  <si>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</si>
  <si>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</si>
  <si>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</si>
  <si>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</si>
  <si>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</si>
  <si>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</si>
  <si>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</si>
  <si>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</si>
  <si>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</si>
  <si>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</si>
  <si>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</si>
  <si>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</si>
  <si>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</si>
  <si>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</si>
  <si>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 xml:space="preserve">UND </t>
  </si>
  <si>
    <t>UND</t>
  </si>
  <si>
    <t xml:space="preserve">Gramos </t>
  </si>
  <si>
    <t>95718</t>
  </si>
  <si>
    <t>121603</t>
  </si>
  <si>
    <t>1952875</t>
  </si>
  <si>
    <t>2172411</t>
  </si>
  <si>
    <t>0702012</t>
  </si>
  <si>
    <t>0702069</t>
  </si>
  <si>
    <t>703020</t>
  </si>
  <si>
    <t>NUCITA EMPAQUE</t>
  </si>
  <si>
    <t>0512255</t>
  </si>
  <si>
    <t>MP10146</t>
  </si>
  <si>
    <t>Cocoa Dutch Process</t>
  </si>
  <si>
    <t xml:space="preserve">1.- Montar la crema prestige hasta punto chantilly y luego agregar el relleno nucita chocolat, cocoa e e incoporar bien. </t>
  </si>
  <si>
    <t>2/3 taza</t>
  </si>
  <si>
    <t>3.- Con la boquilla 2CS hacer colochos rosados en el borde y de chocolate adentro, y al centro con crema chantilly blanco.</t>
  </si>
  <si>
    <t>908000021</t>
  </si>
  <si>
    <t>SE00005</t>
  </si>
  <si>
    <t>Almibar</t>
  </si>
  <si>
    <t>50G C/U</t>
  </si>
  <si>
    <t xml:space="preserve">ESP-RE-BAS-179 </t>
  </si>
  <si>
    <t>02</t>
  </si>
  <si>
    <t>907000309(SE00450) Rosquete nucleo vainilla Dawn Redondo 300g</t>
  </si>
  <si>
    <t>23/03/2023</t>
  </si>
  <si>
    <t>Javier Tong, Chef</t>
  </si>
  <si>
    <t>Esteban Cartín. Gte de Manufactura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</si>
  <si>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</si>
  <si>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</si>
  <si>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</si>
  <si>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</si>
  <si>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</si>
  <si>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</si>
  <si>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</si>
  <si>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</si>
  <si>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</si>
  <si>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</si>
  <si>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ETIQ.BLANCA 1 1/4 * 3/4 (UND)</t>
  </si>
  <si>
    <t>Min</t>
  </si>
  <si>
    <t>1.- Pesar 300g de mezcla en los moldes previamente engrasados.</t>
  </si>
  <si>
    <t>2.- Hornear por Dicte 1 o 2 a 175°C por 50 min.</t>
  </si>
  <si>
    <t>3.- Enfriar, desmoldar, colocar 12 rosquetes por lata, etiquetar con nombre y fecha de producción.</t>
  </si>
  <si>
    <t>Control de cambios</t>
  </si>
  <si>
    <t>2, Cambio de horneo</t>
  </si>
  <si>
    <t xml:space="preserve">ESP-RE-BAS-169 </t>
  </si>
  <si>
    <t>907000306(SE00444) Batido Nucleo vainilla Dawn</t>
  </si>
  <si>
    <t>27/01/2023</t>
  </si>
  <si>
    <t>Javier Tong, chef</t>
  </si>
  <si>
    <t>Batidos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</si>
  <si>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</si>
  <si>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</si>
  <si>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</si>
  <si>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</si>
  <si>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</si>
  <si>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MP10315</t>
  </si>
  <si>
    <t>PRESERVANTE MIXTO (UND:17 K)</t>
  </si>
  <si>
    <t>PURATOS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</si>
  <si>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</si>
  <si>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</si>
  <si>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</si>
  <si>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</si>
  <si>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</si>
  <si>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</si>
  <si>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>ESP-RE-PRES-132</t>
  </si>
  <si>
    <t>906000138(SE00443) Premezcla Batido Nucleo Vainilla  Dawn</t>
  </si>
  <si>
    <t>Premezcla</t>
  </si>
  <si>
    <t>MP10074</t>
  </si>
  <si>
    <t>AZUCAR BLANCO INDUSTRIAL (SACO:50 K)</t>
  </si>
  <si>
    <t>LAICA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</si>
  <si>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</si>
  <si>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</si>
  <si>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</si>
  <si>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</si>
  <si>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</si>
  <si>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</si>
  <si>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</si>
  <si>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</si>
  <si>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</si>
  <si>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PRESERVANTE 1047S (PAQ=5 KILO)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</si>
  <si>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</si>
  <si>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</si>
  <si>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</si>
  <si>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</si>
  <si>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</si>
  <si>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</si>
  <si>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</si>
  <si>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</si>
  <si>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</si>
  <si>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</si>
  <si>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</si>
  <si>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</si>
  <si>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</si>
  <si>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</si>
  <si>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</si>
  <si>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</si>
  <si>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</si>
  <si>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</si>
  <si>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Revision #2: Ajuste en la cantidad de goma xantana y cmc</t>
  </si>
  <si>
    <t>ESP-RE-COCS-034</t>
  </si>
  <si>
    <t>10</t>
  </si>
  <si>
    <t>908000021(SE00005) - ALMIBAR</t>
  </si>
  <si>
    <t>Jeffry Rodriguez, gerente de manufactura</t>
  </si>
  <si>
    <t>SE00016</t>
  </si>
  <si>
    <t>AZUCAR BLANCO INDUSTRIAL KILO</t>
  </si>
  <si>
    <t>10100311</t>
  </si>
  <si>
    <t>MP10095</t>
  </si>
  <si>
    <t xml:space="preserve">Canela En Astilla </t>
  </si>
  <si>
    <t>PRIMA</t>
  </si>
  <si>
    <t>0810288</t>
  </si>
  <si>
    <t>MP10598</t>
  </si>
  <si>
    <t>Jugo de Naranja TB</t>
  </si>
  <si>
    <t>512000002</t>
  </si>
  <si>
    <t>EM10259</t>
  </si>
  <si>
    <t>PLASTICO  AUTOAD (UND: 18 * 2000 M)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</si>
  <si>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</si>
  <si>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</si>
  <si>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</si>
  <si>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</si>
  <si>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>09: Cambio código</t>
  </si>
  <si>
    <t>10: Actualizacion de codigos</t>
  </si>
  <si>
    <t>Juan Pablo Brenes, Chef</t>
  </si>
  <si>
    <t>ICG</t>
  </si>
  <si>
    <t>BETTERCREME SUPREMO (UND:4 K)</t>
  </si>
  <si>
    <t>CREMA PRESTIGE GRAND (UND:4 K)</t>
  </si>
  <si>
    <t>1.- Abrir los galones de crema y verter dentro de la top cream.</t>
  </si>
  <si>
    <t>Control de Cambios</t>
  </si>
  <si>
    <t xml:space="preserve">ESP-RE-DES-037 </t>
  </si>
  <si>
    <t>11</t>
  </si>
  <si>
    <t>Crema Chocolate Spoon(23875g) 95718(SE00024)</t>
  </si>
  <si>
    <t>Jeffry Rodriguez, Gerente de Manufactura</t>
  </si>
  <si>
    <t>Rich's</t>
  </si>
  <si>
    <t xml:space="preserve">Galones </t>
  </si>
  <si>
    <t>CREMA BETTERCREAM DOBLE CHOCO (UND:4 K)</t>
  </si>
  <si>
    <t>Minutos</t>
  </si>
  <si>
    <t>Top Cream</t>
  </si>
  <si>
    <t>1.- Abrir los galones de crema y verter dentro de la maquina.</t>
  </si>
  <si>
    <t>2.- Dosilver el preservante en el agua</t>
  </si>
  <si>
    <t>3.- Agregar el agua debidamente pesada.</t>
  </si>
  <si>
    <t>4.- Batir por 16 minutos. Mantener en refigeración 5°C y  7°C.</t>
  </si>
  <si>
    <t>5.- Guardar en tuppers sanitizados con tapa y etiquetados .</t>
  </si>
  <si>
    <t>6.-  En caso de sobrantes guardar, etiquetar, no más de 24 horas.</t>
  </si>
  <si>
    <t>11, Actualizacion de codigos</t>
  </si>
  <si>
    <t>SE00634 Crema blanca Bucca</t>
  </si>
  <si>
    <t>Decoración</t>
  </si>
  <si>
    <t>Decoracion</t>
  </si>
  <si>
    <t># Código Netsuite</t>
  </si>
  <si>
    <t>Ensamble</t>
  </si>
  <si>
    <t>CREMA PRESTIGE GRAND</t>
  </si>
  <si>
    <t>COLORANTE GEL SUPER RED</t>
  </si>
  <si>
    <t>Empaque</t>
  </si>
  <si>
    <t>CONTROL DE CAMBIOS</t>
  </si>
  <si>
    <t>ESP-RE-DEF-020</t>
  </si>
  <si>
    <t xml:space="preserve">0.2 </t>
  </si>
  <si>
    <t xml:space="preserve">2, Se actualiza cantidad colorante. </t>
  </si>
  <si>
    <t xml:space="preserve"> SE00633 Sirope rojo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</si>
</sst>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6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rgb="FF000000"/>
      <name val="Century Gothic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2"/>
      <name val="Times New Roman"/>
      <family val="1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rgb="FF000000"/>
      <name val="Century Gothic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</cellStyleXfs>
  <cellXfs count="867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8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" fontId="4" fillId="5" borderId="8" xfId="0" applyNumberFormat="1" applyFont="1" applyFill="1" applyBorder="1" applyAlignment="1">
      <alignment horizontal="center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7" fillId="3" borderId="31" xfId="4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16" fontId="11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12" fillId="0" borderId="11" xfId="0" applyFont="1" applyBorder="1" applyAlignment="1">
      <alignment horizontal="center"/>
    </xf>
    <xf numFmtId="1" fontId="12" fillId="0" borderId="11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8" borderId="11" xfId="0" applyFont="1" applyFill="1" applyBorder="1"/>
    <xf numFmtId="0" fontId="11" fillId="0" borderId="20" xfId="0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0" fontId="15" fillId="0" borderId="2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5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5" fillId="0" borderId="11" xfId="0" applyFont="1" applyBorder="1"/>
    <xf numFmtId="0" fontId="11" fillId="0" borderId="1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" fillId="5" borderId="20" xfId="0" applyFont="1" applyFill="1" applyBorder="1" applyAlignment="1">
      <alignment horizontal="center"/>
    </xf>
    <xf numFmtId="0" fontId="1" fillId="7" borderId="8" xfId="0" applyFont="1" applyFill="1" applyBorder="1"/>
    <xf numFmtId="0" fontId="1" fillId="7" borderId="21" xfId="0" applyFont="1" applyFill="1" applyBorder="1" applyAlignment="1">
      <alignment horizontal="center"/>
    </xf>
    <xf numFmtId="0" fontId="1" fillId="7" borderId="11" xfId="0" applyFont="1" applyFill="1" applyBorder="1"/>
    <xf numFmtId="0" fontId="1" fillId="7" borderId="3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left"/>
    </xf>
    <xf numFmtId="0" fontId="15" fillId="5" borderId="0" xfId="0" applyFont="1" applyFill="1" applyAlignment="1">
      <alignment vertical="center"/>
    </xf>
    <xf numFmtId="0" fontId="14" fillId="9" borderId="11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14" fillId="0" borderId="11" xfId="5" applyFont="1" applyFill="1" applyBorder="1" applyAlignment="1">
      <alignment horizontal="center" vertical="center"/>
    </xf>
    <xf numFmtId="43" fontId="14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4" fillId="10" borderId="47" xfId="0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 wrapText="1"/>
    </xf>
    <xf numFmtId="0" fontId="14" fillId="10" borderId="4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4" fillId="0" borderId="0" xfId="6" applyNumberFormat="1" applyFont="1" applyFill="1" applyAlignment="1">
      <alignment horizontal="center" vertical="center"/>
    </xf>
    <xf numFmtId="10" fontId="14" fillId="0" borderId="0" xfId="2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5" fillId="0" borderId="0" xfId="0" applyFont="1"/>
    <xf numFmtId="49" fontId="14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3" fontId="15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10" borderId="50" xfId="2" applyNumberFormat="1" applyFont="1" applyFill="1" applyBorder="1" applyAlignment="1">
      <alignment vertical="center"/>
    </xf>
    <xf numFmtId="0" fontId="15" fillId="10" borderId="45" xfId="0" applyFont="1" applyFill="1" applyBorder="1" applyAlignment="1">
      <alignment vertical="center"/>
    </xf>
    <xf numFmtId="0" fontId="15" fillId="10" borderId="50" xfId="0" applyFont="1" applyFill="1" applyBorder="1" applyAlignment="1">
      <alignment vertical="center"/>
    </xf>
    <xf numFmtId="43" fontId="25" fillId="10" borderId="51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5" fillId="10" borderId="51" xfId="0" applyFont="1" applyFill="1" applyBorder="1" applyAlignment="1">
      <alignment vertical="center"/>
    </xf>
    <xf numFmtId="10" fontId="18" fillId="10" borderId="51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6" xfId="0" applyFont="1" applyBorder="1" applyAlignment="1">
      <alignment horizontal="right"/>
    </xf>
    <xf numFmtId="43" fontId="31" fillId="6" borderId="52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4" fillId="0" borderId="11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9" fontId="14" fillId="10" borderId="11" xfId="5" applyNumberFormat="1" applyFont="1" applyFill="1" applyBorder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3" fontId="14" fillId="11" borderId="11" xfId="5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8" fillId="10" borderId="53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5" fillId="10" borderId="53" xfId="0" applyFont="1" applyFill="1" applyBorder="1" applyAlignment="1">
      <alignment vertical="center"/>
    </xf>
    <xf numFmtId="10" fontId="15" fillId="0" borderId="0" xfId="2" applyNumberFormat="1" applyFont="1" applyFill="1" applyAlignment="1">
      <alignment vertical="center"/>
    </xf>
    <xf numFmtId="4" fontId="15" fillId="0" borderId="0" xfId="5" applyNumberFormat="1" applyFont="1" applyFill="1" applyAlignment="1">
      <alignment vertical="center"/>
    </xf>
    <xf numFmtId="43" fontId="31" fillId="10" borderId="45" xfId="5" applyFont="1" applyFill="1" applyBorder="1" applyAlignment="1">
      <alignment horizontal="right"/>
    </xf>
    <xf numFmtId="0" fontId="14" fillId="10" borderId="46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5" fillId="5" borderId="52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5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4" fillId="13" borderId="52" xfId="5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5" applyFont="1" applyFill="1" applyAlignment="1">
      <alignment vertical="center"/>
    </xf>
    <xf numFmtId="9" fontId="41" fillId="0" borderId="0" xfId="5" applyNumberFormat="1" applyFont="1" applyFill="1" applyAlignment="1">
      <alignment vertical="center"/>
    </xf>
    <xf numFmtId="4" fontId="14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5" fillId="0" borderId="0" xfId="0" applyNumberFormat="1" applyFont="1" applyAlignment="1">
      <alignment horizontal="center"/>
    </xf>
    <xf numFmtId="43" fontId="15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5" fillId="0" borderId="0" xfId="5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15" fillId="7" borderId="0" xfId="0" applyFont="1" applyFill="1" applyAlignment="1">
      <alignment vertical="center"/>
    </xf>
    <xf numFmtId="2" fontId="23" fillId="7" borderId="0" xfId="0" applyNumberFormat="1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7" borderId="0" xfId="0" applyFont="1" applyFill="1"/>
    <xf numFmtId="0" fontId="11" fillId="7" borderId="11" xfId="0" applyFont="1" applyFill="1" applyBorder="1" applyAlignment="1">
      <alignment horizontal="center"/>
    </xf>
    <xf numFmtId="0" fontId="15" fillId="7" borderId="11" xfId="0" applyFont="1" applyFill="1" applyBorder="1"/>
    <xf numFmtId="0" fontId="2" fillId="3" borderId="13" xfId="4" applyFont="1" applyFill="1" applyBorder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0" borderId="39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1" fontId="2" fillId="0" borderId="54" xfId="0" applyNumberFormat="1" applyFont="1" applyBorder="1" applyAlignment="1">
      <alignment horizontal="center" wrapText="1"/>
    </xf>
    <xf numFmtId="0" fontId="1" fillId="0" borderId="7" xfId="0" applyFont="1" applyBorder="1"/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4" fillId="4" borderId="13" xfId="0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/>
    </xf>
    <xf numFmtId="1" fontId="4" fillId="4" borderId="28" xfId="0" applyNumberFormat="1" applyFont="1" applyFill="1" applyBorder="1" applyAlignment="1">
      <alignment horizont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1" fontId="45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49" fontId="15" fillId="0" borderId="11" xfId="0" applyNumberFormat="1" applyFont="1" applyBorder="1"/>
    <xf numFmtId="1" fontId="11" fillId="0" borderId="11" xfId="0" applyNumberFormat="1" applyFont="1" applyBorder="1" applyAlignment="1">
      <alignment horizontal="center"/>
    </xf>
    <xf numFmtId="49" fontId="11" fillId="0" borderId="55" xfId="0" applyNumberFormat="1" applyFont="1" applyBorder="1" applyAlignment="1">
      <alignment horizontal="center"/>
    </xf>
    <xf numFmtId="49" fontId="11" fillId="0" borderId="56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16" fontId="11" fillId="0" borderId="21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49" fontId="2" fillId="0" borderId="11" xfId="0" applyNumberFormat="1" applyFont="1" applyBorder="1" applyAlignment="1">
      <alignment horizontal="center"/>
    </xf>
    <xf numFmtId="49" fontId="2" fillId="0" borderId="11" xfId="0" applyNumberFormat="1" applyFont="1" applyBorder="1"/>
    <xf numFmtId="0" fontId="11" fillId="0" borderId="28" xfId="0" applyFont="1" applyBorder="1"/>
    <xf numFmtId="1" fontId="2" fillId="0" borderId="28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11" xfId="0" quotePrefix="1" applyFont="1" applyBorder="1"/>
    <xf numFmtId="0" fontId="11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5" xfId="0" applyFont="1" applyFill="1" applyBorder="1"/>
    <xf numFmtId="0" fontId="4" fillId="4" borderId="45" xfId="0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/>
    </xf>
    <xf numFmtId="164" fontId="2" fillId="4" borderId="45" xfId="0" applyNumberFormat="1" applyFont="1" applyFill="1" applyBorder="1" applyAlignment="1">
      <alignment horizontal="center" wrapText="1"/>
    </xf>
    <xf numFmtId="0" fontId="2" fillId="4" borderId="46" xfId="0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47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center"/>
    </xf>
    <xf numFmtId="0" fontId="3" fillId="3" borderId="0" xfId="0" applyFont="1" applyFill="1"/>
    <xf numFmtId="0" fontId="47" fillId="3" borderId="11" xfId="4" applyFont="1" applyFill="1" applyBorder="1" applyAlignment="1">
      <alignment horizontal="right"/>
    </xf>
    <xf numFmtId="49" fontId="3" fillId="3" borderId="10" xfId="4" applyNumberFormat="1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7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49" fillId="3" borderId="0" xfId="4" applyNumberFormat="1" applyFont="1" applyFill="1" applyAlignment="1">
      <alignment horizontal="center" vertical="center" wrapText="1"/>
    </xf>
    <xf numFmtId="0" fontId="47" fillId="4" borderId="13" xfId="0" applyFont="1" applyFill="1" applyBorder="1" applyAlignment="1">
      <alignment horizontal="center" vertical="center" wrapText="1"/>
    </xf>
    <xf numFmtId="1" fontId="47" fillId="4" borderId="2" xfId="0" applyNumberFormat="1" applyFont="1" applyFill="1" applyBorder="1" applyAlignment="1">
      <alignment horizontal="center"/>
    </xf>
    <xf numFmtId="1" fontId="47" fillId="4" borderId="2" xfId="0" applyNumberFormat="1" applyFont="1" applyFill="1" applyBorder="1" applyAlignment="1">
      <alignment horizontal="center" wrapText="1"/>
    </xf>
    <xf numFmtId="0" fontId="47" fillId="4" borderId="1" xfId="0" applyFont="1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62" xfId="0" applyFont="1" applyBorder="1" applyAlignment="1">
      <alignment horizontal="left" vertical="center"/>
    </xf>
    <xf numFmtId="0" fontId="6" fillId="0" borderId="11" xfId="3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7" fillId="5" borderId="7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50" fillId="0" borderId="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51" fillId="0" borderId="8" xfId="0" applyFont="1" applyBorder="1"/>
    <xf numFmtId="165" fontId="0" fillId="0" borderId="11" xfId="0" applyNumberFormat="1" applyBorder="1" applyAlignment="1">
      <alignment horizontal="left" vertical="center"/>
    </xf>
    <xf numFmtId="1" fontId="52" fillId="0" borderId="11" xfId="3" applyNumberFormat="1" applyFont="1" applyBorder="1" applyAlignment="1">
      <alignment horizontal="center"/>
    </xf>
    <xf numFmtId="1" fontId="52" fillId="0" borderId="11" xfId="3" applyNumberFormat="1" applyFont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7" fillId="5" borderId="10" xfId="0" applyFont="1" applyFill="1" applyBorder="1" applyAlignment="1">
      <alignment horizontal="center"/>
    </xf>
    <xf numFmtId="49" fontId="52" fillId="0" borderId="12" xfId="3" applyNumberFormat="1" applyFont="1" applyBorder="1" applyAlignment="1">
      <alignment horizontal="center"/>
    </xf>
    <xf numFmtId="49" fontId="52" fillId="0" borderId="21" xfId="3" applyNumberFormat="1" applyFont="1" applyBorder="1" applyAlignment="1">
      <alignment horizontal="center"/>
    </xf>
    <xf numFmtId="49" fontId="3" fillId="0" borderId="11" xfId="3" applyNumberFormat="1" applyBorder="1"/>
    <xf numFmtId="16" fontId="52" fillId="0" borderId="11" xfId="3" applyNumberFormat="1" applyFont="1" applyBorder="1" applyAlignment="1">
      <alignment horizontal="center"/>
    </xf>
    <xf numFmtId="49" fontId="47" fillId="0" borderId="11" xfId="3" applyNumberFormat="1" applyFont="1" applyBorder="1"/>
    <xf numFmtId="49" fontId="52" fillId="5" borderId="12" xfId="0" applyNumberFormat="1" applyFont="1" applyFill="1" applyBorder="1" applyAlignment="1">
      <alignment horizontal="right"/>
    </xf>
    <xf numFmtId="49" fontId="52" fillId="5" borderId="21" xfId="0" applyNumberFormat="1" applyFont="1" applyFill="1" applyBorder="1" applyAlignment="1">
      <alignment horizontal="right"/>
    </xf>
    <xf numFmtId="49" fontId="3" fillId="5" borderId="11" xfId="0" applyNumberFormat="1" applyFont="1" applyFill="1" applyBorder="1"/>
    <xf numFmtId="0" fontId="6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11" xfId="0" quotePrefix="1" applyFont="1" applyBorder="1"/>
    <xf numFmtId="0" fontId="52" fillId="0" borderId="11" xfId="0" applyFont="1" applyBorder="1"/>
    <xf numFmtId="1" fontId="3" fillId="0" borderId="11" xfId="0" applyNumberFormat="1" applyFont="1" applyBorder="1" applyAlignment="1">
      <alignment horizontal="center" wrapText="1"/>
    </xf>
    <xf numFmtId="49" fontId="53" fillId="3" borderId="17" xfId="0" applyNumberFormat="1" applyFont="1" applyFill="1" applyBorder="1" applyAlignment="1">
      <alignment horizontal="center" vertical="center"/>
    </xf>
    <xf numFmtId="49" fontId="5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44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5" xfId="0" applyFont="1" applyFill="1" applyBorder="1"/>
    <xf numFmtId="0" fontId="47" fillId="4" borderId="45" xfId="0" applyFont="1" applyFill="1" applyBorder="1" applyAlignment="1">
      <alignment horizontal="center"/>
    </xf>
    <xf numFmtId="1" fontId="47" fillId="4" borderId="45" xfId="0" applyNumberFormat="1" applyFont="1" applyFill="1" applyBorder="1" applyAlignment="1">
      <alignment horizontal="center"/>
    </xf>
    <xf numFmtId="164" fontId="3" fillId="4" borderId="45" xfId="0" applyNumberFormat="1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9" fontId="3" fillId="3" borderId="0" xfId="2" applyFont="1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3" borderId="0" xfId="0" applyFill="1"/>
    <xf numFmtId="0" fontId="53" fillId="3" borderId="0" xfId="0" applyFont="1" applyFill="1" applyAlignment="1">
      <alignment vertical="center"/>
    </xf>
    <xf numFmtId="49" fontId="0" fillId="3" borderId="10" xfId="4" applyNumberFormat="1" applyFont="1" applyFill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0" fillId="0" borderId="62" xfId="0" applyBorder="1" applyAlignment="1">
      <alignment horizontal="left" vertical="center"/>
    </xf>
    <xf numFmtId="0" fontId="6" fillId="0" borderId="63" xfId="0" applyFont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 wrapText="1"/>
    </xf>
    <xf numFmtId="0" fontId="4" fillId="3" borderId="13" xfId="4" applyFont="1" applyFill="1" applyBorder="1" applyAlignment="1">
      <alignment horizontal="left"/>
    </xf>
    <xf numFmtId="49" fontId="4" fillId="3" borderId="10" xfId="4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4" fillId="0" borderId="11" xfId="0" applyFont="1" applyBorder="1"/>
    <xf numFmtId="16" fontId="2" fillId="0" borderId="11" xfId="0" applyNumberFormat="1" applyFont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2" fillId="0" borderId="11" xfId="0" quotePrefix="1" applyFont="1" applyBorder="1" applyAlignment="1">
      <alignment horizontal="center"/>
    </xf>
    <xf numFmtId="0" fontId="2" fillId="0" borderId="11" xfId="0" applyFont="1" applyBorder="1" applyAlignment="1">
      <alignment wrapText="1"/>
    </xf>
    <xf numFmtId="0" fontId="2" fillId="0" borderId="0" xfId="0" quotePrefix="1" applyFont="1" applyAlignment="1">
      <alignment horizontal="center"/>
    </xf>
    <xf numFmtId="0" fontId="2" fillId="0" borderId="0" xfId="0" quotePrefix="1" applyFont="1"/>
    <xf numFmtId="49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wrapText="1"/>
    </xf>
    <xf numFmtId="16" fontId="2" fillId="0" borderId="28" xfId="0" applyNumberFormat="1" applyFont="1" applyBorder="1" applyAlignment="1">
      <alignment horizontal="center"/>
    </xf>
    <xf numFmtId="1" fontId="2" fillId="0" borderId="63" xfId="0" applyNumberFormat="1" applyFont="1" applyBorder="1" applyAlignment="1">
      <alignment horizontal="center"/>
    </xf>
    <xf numFmtId="1" fontId="2" fillId="0" borderId="63" xfId="0" applyNumberFormat="1" applyFont="1" applyBorder="1" applyAlignment="1">
      <alignment horizontal="center" wrapText="1"/>
    </xf>
    <xf numFmtId="0" fontId="2" fillId="0" borderId="6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9" fontId="2" fillId="3" borderId="0" xfId="7" applyFont="1" applyFill="1"/>
    <xf numFmtId="0" fontId="2" fillId="3" borderId="11" xfId="0" applyFont="1" applyFill="1" applyBorder="1"/>
    <xf numFmtId="0" fontId="4" fillId="4" borderId="2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4" fillId="0" borderId="11" xfId="0" applyNumberFormat="1" applyFont="1" applyBorder="1"/>
    <xf numFmtId="0" fontId="4" fillId="5" borderId="10" xfId="0" applyFont="1" applyFill="1" applyBorder="1" applyAlignment="1">
      <alignment horizontal="center"/>
    </xf>
    <xf numFmtId="49" fontId="11" fillId="0" borderId="36" xfId="0" applyNumberFormat="1" applyFont="1" applyBorder="1" applyAlignment="1">
      <alignment horizontal="center"/>
    </xf>
    <xf numFmtId="49" fontId="15" fillId="0" borderId="28" xfId="0" applyNumberFormat="1" applyFont="1" applyBorder="1"/>
    <xf numFmtId="16" fontId="11" fillId="0" borderId="28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 wrapText="1"/>
    </xf>
    <xf numFmtId="16" fontId="12" fillId="0" borderId="11" xfId="0" applyNumberFormat="1" applyFont="1" applyBorder="1" applyAlignment="1">
      <alignment horizontal="center"/>
    </xf>
    <xf numFmtId="1" fontId="55" fillId="0" borderId="11" xfId="0" applyNumberFormat="1" applyFont="1" applyBorder="1" applyAlignment="1">
      <alignment horizontal="center"/>
    </xf>
    <xf numFmtId="16" fontId="45" fillId="0" borderId="11" xfId="0" applyNumberFormat="1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" fontId="12" fillId="0" borderId="28" xfId="0" applyNumberFormat="1" applyFont="1" applyBorder="1" applyAlignment="1">
      <alignment horizontal="center"/>
    </xf>
    <xf numFmtId="1" fontId="11" fillId="0" borderId="28" xfId="0" applyNumberFormat="1" applyFont="1" applyBorder="1" applyAlignment="1">
      <alignment horizontal="center" wrapText="1"/>
    </xf>
    <xf numFmtId="0" fontId="12" fillId="0" borderId="28" xfId="0" applyFont="1" applyBorder="1" applyAlignment="1">
      <alignment horizontal="center"/>
    </xf>
    <xf numFmtId="49" fontId="11" fillId="5" borderId="40" xfId="0" applyNumberFormat="1" applyFont="1" applyFill="1" applyBorder="1" applyAlignment="1">
      <alignment horizontal="center"/>
    </xf>
    <xf numFmtId="49" fontId="11" fillId="5" borderId="43" xfId="0" applyNumberFormat="1" applyFont="1" applyFill="1" applyBorder="1" applyAlignment="1">
      <alignment horizontal="center"/>
    </xf>
    <xf numFmtId="49" fontId="15" fillId="5" borderId="43" xfId="0" applyNumberFormat="1" applyFont="1" applyFill="1" applyBorder="1"/>
    <xf numFmtId="16" fontId="12" fillId="5" borderId="43" xfId="0" applyNumberFormat="1" applyFont="1" applyFill="1" applyBorder="1" applyAlignment="1">
      <alignment horizontal="center"/>
    </xf>
    <xf numFmtId="1" fontId="12" fillId="5" borderId="43" xfId="0" applyNumberFormat="1" applyFont="1" applyFill="1" applyBorder="1" applyAlignment="1">
      <alignment horizontal="center"/>
    </xf>
    <xf numFmtId="1" fontId="11" fillId="5" borderId="43" xfId="0" applyNumberFormat="1" applyFont="1" applyFill="1" applyBorder="1" applyAlignment="1">
      <alignment horizontal="center" wrapText="1"/>
    </xf>
    <xf numFmtId="0" fontId="12" fillId="5" borderId="43" xfId="0" applyFont="1" applyFill="1" applyBorder="1" applyAlignment="1">
      <alignment horizontal="center"/>
    </xf>
    <xf numFmtId="0" fontId="2" fillId="5" borderId="68" xfId="0" applyFont="1" applyFill="1" applyBorder="1" applyAlignment="1">
      <alignment horizontal="center"/>
    </xf>
    <xf numFmtId="49" fontId="11" fillId="5" borderId="17" xfId="0" applyNumberFormat="1" applyFont="1" applyFill="1" applyBorder="1" applyAlignment="1">
      <alignment horizontal="center"/>
    </xf>
    <xf numFmtId="49" fontId="11" fillId="5" borderId="0" xfId="0" applyNumberFormat="1" applyFont="1" applyFill="1" applyAlignment="1">
      <alignment horizontal="center"/>
    </xf>
    <xf numFmtId="49" fontId="15" fillId="5" borderId="0" xfId="0" applyNumberFormat="1" applyFont="1" applyFill="1"/>
    <xf numFmtId="16" fontId="12" fillId="5" borderId="0" xfId="0" applyNumberFormat="1" applyFont="1" applyFill="1" applyAlignment="1">
      <alignment horizontal="center"/>
    </xf>
    <xf numFmtId="1" fontId="12" fillId="5" borderId="0" xfId="0" applyNumberFormat="1" applyFont="1" applyFill="1" applyAlignment="1">
      <alignment horizontal="center"/>
    </xf>
    <xf numFmtId="1" fontId="11" fillId="5" borderId="0" xfId="0" applyNumberFormat="1" applyFont="1" applyFill="1" applyAlignment="1">
      <alignment horizontal="center" wrapText="1"/>
    </xf>
    <xf numFmtId="0" fontId="1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7" xfId="0" quotePrefix="1" applyFont="1" applyFill="1" applyBorder="1" applyAlignment="1">
      <alignment horizontal="right"/>
    </xf>
    <xf numFmtId="0" fontId="2" fillId="5" borderId="26" xfId="0" quotePrefix="1" applyFont="1" applyFill="1" applyBorder="1" applyAlignment="1">
      <alignment horizontal="right"/>
    </xf>
    <xf numFmtId="0" fontId="2" fillId="5" borderId="26" xfId="0" quotePrefix="1" applyFont="1" applyFill="1" applyBorder="1"/>
    <xf numFmtId="0" fontId="11" fillId="5" borderId="26" xfId="0" applyFont="1" applyFill="1" applyBorder="1"/>
    <xf numFmtId="1" fontId="2" fillId="5" borderId="26" xfId="0" applyNumberFormat="1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8" fillId="3" borderId="14" xfId="4" applyFont="1" applyFill="1" applyBorder="1" applyAlignment="1">
      <alignment horizontal="right"/>
    </xf>
    <xf numFmtId="0" fontId="56" fillId="3" borderId="13" xfId="4" applyFont="1" applyFill="1" applyBorder="1" applyAlignment="1">
      <alignment horizontal="center"/>
    </xf>
    <xf numFmtId="0" fontId="8" fillId="3" borderId="11" xfId="4" applyFont="1" applyFill="1" applyBorder="1" applyAlignment="1">
      <alignment horizontal="right"/>
    </xf>
    <xf numFmtId="49" fontId="56" fillId="3" borderId="10" xfId="4" applyNumberFormat="1" applyFont="1" applyFill="1" applyBorder="1" applyAlignment="1">
      <alignment horizontal="center"/>
    </xf>
    <xf numFmtId="0" fontId="56" fillId="3" borderId="8" xfId="4" applyFont="1" applyFill="1" applyBorder="1" applyAlignment="1">
      <alignment horizontal="right"/>
    </xf>
    <xf numFmtId="0" fontId="56" fillId="3" borderId="11" xfId="4" applyFont="1" applyFill="1" applyBorder="1" applyAlignment="1">
      <alignment horizontal="right"/>
    </xf>
    <xf numFmtId="14" fontId="57" fillId="3" borderId="0" xfId="4" applyNumberFormat="1" applyFont="1" applyFill="1" applyAlignment="1">
      <alignment horizontal="center" vertical="center" wrapText="1"/>
    </xf>
    <xf numFmtId="0" fontId="8" fillId="4" borderId="13" xfId="3" applyFont="1" applyFill="1" applyBorder="1" applyAlignment="1">
      <alignment horizontal="center" vertical="center" wrapText="1"/>
    </xf>
    <xf numFmtId="1" fontId="8" fillId="4" borderId="2" xfId="3" applyNumberFormat="1" applyFont="1" applyFill="1" applyBorder="1" applyAlignment="1">
      <alignment horizontal="center"/>
    </xf>
    <xf numFmtId="1" fontId="8" fillId="4" borderId="2" xfId="3" applyNumberFormat="1" applyFont="1" applyFill="1" applyBorder="1" applyAlignment="1">
      <alignment horizontal="center" wrapText="1"/>
    </xf>
    <xf numFmtId="0" fontId="8" fillId="4" borderId="1" xfId="3" applyFont="1" applyFill="1" applyBorder="1" applyAlignment="1">
      <alignment horizontal="center"/>
    </xf>
    <xf numFmtId="0" fontId="58" fillId="0" borderId="12" xfId="3" applyFont="1" applyBorder="1" applyAlignment="1">
      <alignment horizontal="center" vertical="center"/>
    </xf>
    <xf numFmtId="0" fontId="58" fillId="0" borderId="21" xfId="3" applyFont="1" applyBorder="1" applyAlignment="1">
      <alignment horizontal="center" vertical="center"/>
    </xf>
    <xf numFmtId="0" fontId="59" fillId="0" borderId="11" xfId="3" applyFont="1" applyBorder="1" applyAlignment="1">
      <alignment vertical="center"/>
    </xf>
    <xf numFmtId="0" fontId="58" fillId="0" borderId="11" xfId="3" applyFont="1" applyBorder="1" applyAlignment="1">
      <alignment horizontal="center" vertical="center"/>
    </xf>
    <xf numFmtId="1" fontId="58" fillId="0" borderId="11" xfId="3" applyNumberFormat="1" applyFont="1" applyBorder="1" applyAlignment="1">
      <alignment horizontal="center"/>
    </xf>
    <xf numFmtId="1" fontId="58" fillId="0" borderId="11" xfId="3" applyNumberFormat="1" applyFont="1" applyBorder="1" applyAlignment="1">
      <alignment horizontal="center" wrapText="1"/>
    </xf>
    <xf numFmtId="0" fontId="60" fillId="0" borderId="10" xfId="3" applyFont="1" applyBorder="1" applyAlignment="1">
      <alignment horizontal="center"/>
    </xf>
    <xf numFmtId="0" fontId="61" fillId="5" borderId="0" xfId="0" applyFont="1" applyFill="1" applyAlignment="1">
      <alignment horizontal="center"/>
    </xf>
    <xf numFmtId="0" fontId="61" fillId="5" borderId="11" xfId="0" applyFont="1" applyFill="1" applyBorder="1" applyAlignment="1">
      <alignment horizontal="center"/>
    </xf>
    <xf numFmtId="0" fontId="61" fillId="5" borderId="11" xfId="0" applyFont="1" applyFill="1" applyBorder="1"/>
    <xf numFmtId="0" fontId="56" fillId="5" borderId="11" xfId="0" applyFont="1" applyFill="1" applyBorder="1" applyAlignment="1">
      <alignment horizontal="center"/>
    </xf>
    <xf numFmtId="1" fontId="56" fillId="5" borderId="14" xfId="0" applyNumberFormat="1" applyFont="1" applyFill="1" applyBorder="1" applyAlignment="1">
      <alignment horizontal="center"/>
    </xf>
    <xf numFmtId="1" fontId="56" fillId="5" borderId="14" xfId="0" applyNumberFormat="1" applyFont="1" applyFill="1" applyBorder="1" applyAlignment="1">
      <alignment horizontal="center" wrapText="1"/>
    </xf>
    <xf numFmtId="1" fontId="60" fillId="0" borderId="8" xfId="3" applyNumberFormat="1" applyFont="1" applyBorder="1" applyAlignment="1">
      <alignment horizontal="center"/>
    </xf>
    <xf numFmtId="12" fontId="56" fillId="0" borderId="8" xfId="0" applyNumberFormat="1" applyFont="1" applyBorder="1" applyAlignment="1">
      <alignment horizontal="center"/>
    </xf>
    <xf numFmtId="49" fontId="60" fillId="5" borderId="6" xfId="3" applyNumberFormat="1" applyFont="1" applyFill="1" applyBorder="1" applyAlignment="1">
      <alignment horizontal="center"/>
    </xf>
    <xf numFmtId="49" fontId="60" fillId="5" borderId="11" xfId="3" applyNumberFormat="1" applyFont="1" applyFill="1" applyBorder="1" applyAlignment="1">
      <alignment horizontal="center"/>
    </xf>
    <xf numFmtId="49" fontId="60" fillId="5" borderId="11" xfId="3" applyNumberFormat="1" applyFont="1" applyFill="1" applyBorder="1"/>
    <xf numFmtId="1" fontId="56" fillId="5" borderId="8" xfId="0" applyNumberFormat="1" applyFont="1" applyFill="1" applyBorder="1" applyAlignment="1">
      <alignment horizontal="center"/>
    </xf>
    <xf numFmtId="1" fontId="56" fillId="5" borderId="8" xfId="0" applyNumberFormat="1" applyFont="1" applyFill="1" applyBorder="1" applyAlignment="1">
      <alignment horizontal="center" wrapText="1"/>
    </xf>
    <xf numFmtId="165" fontId="60" fillId="0" borderId="11" xfId="3" applyNumberFormat="1" applyFont="1" applyBorder="1" applyAlignment="1">
      <alignment horizontal="center"/>
    </xf>
    <xf numFmtId="0" fontId="62" fillId="5" borderId="6" xfId="0" applyFont="1" applyFill="1" applyBorder="1" applyAlignment="1">
      <alignment horizontal="center"/>
    </xf>
    <xf numFmtId="0" fontId="62" fillId="5" borderId="11" xfId="0" applyFont="1" applyFill="1" applyBorder="1" applyAlignment="1">
      <alignment horizontal="center"/>
    </xf>
    <xf numFmtId="0" fontId="62" fillId="5" borderId="11" xfId="0" applyFont="1" applyFill="1" applyBorder="1"/>
    <xf numFmtId="1" fontId="56" fillId="5" borderId="11" xfId="0" applyNumberFormat="1" applyFont="1" applyFill="1" applyBorder="1" applyAlignment="1">
      <alignment horizontal="center"/>
    </xf>
    <xf numFmtId="1" fontId="56" fillId="5" borderId="11" xfId="0" applyNumberFormat="1" applyFont="1" applyFill="1" applyBorder="1" applyAlignment="1">
      <alignment horizontal="center" wrapText="1"/>
    </xf>
    <xf numFmtId="1" fontId="63" fillId="0" borderId="11" xfId="0" applyNumberFormat="1" applyFont="1" applyBorder="1" applyAlignment="1">
      <alignment horizontal="center"/>
    </xf>
    <xf numFmtId="2" fontId="58" fillId="0" borderId="11" xfId="3" applyNumberFormat="1" applyFont="1" applyBorder="1" applyAlignment="1">
      <alignment horizontal="center"/>
    </xf>
    <xf numFmtId="0" fontId="61" fillId="0" borderId="6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3" fillId="0" borderId="21" xfId="0" applyFont="1" applyBorder="1" applyAlignment="1">
      <alignment horizontal="left" vertical="center"/>
    </xf>
    <xf numFmtId="16" fontId="60" fillId="0" borderId="21" xfId="3" applyNumberFormat="1" applyFont="1" applyBorder="1" applyAlignment="1">
      <alignment horizontal="center"/>
    </xf>
    <xf numFmtId="1" fontId="60" fillId="0" borderId="11" xfId="3" applyNumberFormat="1" applyFont="1" applyBorder="1" applyAlignment="1">
      <alignment horizontal="center"/>
    </xf>
    <xf numFmtId="1" fontId="60" fillId="0" borderId="11" xfId="3" applyNumberFormat="1" applyFont="1" applyBorder="1" applyAlignment="1">
      <alignment horizontal="center" wrapText="1"/>
    </xf>
    <xf numFmtId="0" fontId="61" fillId="0" borderId="11" xfId="0" applyFont="1" applyBorder="1" applyAlignment="1">
      <alignment horizontal="center"/>
    </xf>
    <xf numFmtId="0" fontId="61" fillId="0" borderId="11" xfId="0" applyFont="1" applyBorder="1"/>
    <xf numFmtId="16" fontId="60" fillId="0" borderId="21" xfId="0" applyNumberFormat="1" applyFont="1" applyBorder="1" applyAlignment="1">
      <alignment horizontal="center"/>
    </xf>
    <xf numFmtId="1" fontId="60" fillId="0" borderId="11" xfId="0" applyNumberFormat="1" applyFont="1" applyBorder="1" applyAlignment="1">
      <alignment horizontal="center"/>
    </xf>
    <xf numFmtId="1" fontId="60" fillId="0" borderId="11" xfId="0" applyNumberFormat="1" applyFont="1" applyBorder="1" applyAlignment="1">
      <alignment horizontal="center" wrapText="1"/>
    </xf>
    <xf numFmtId="49" fontId="60" fillId="0" borderId="12" xfId="3" applyNumberFormat="1" applyFont="1" applyBorder="1" applyAlignment="1">
      <alignment horizontal="center"/>
    </xf>
    <xf numFmtId="49" fontId="60" fillId="0" borderId="21" xfId="3" applyNumberFormat="1" applyFont="1" applyBorder="1" applyAlignment="1">
      <alignment horizontal="center"/>
    </xf>
    <xf numFmtId="0" fontId="58" fillId="5" borderId="11" xfId="3" applyFont="1" applyFill="1" applyBorder="1" applyAlignment="1">
      <alignment horizontal="left"/>
    </xf>
    <xf numFmtId="0" fontId="60" fillId="0" borderId="11" xfId="3" applyFont="1" applyBorder="1" applyAlignment="1">
      <alignment horizontal="center"/>
    </xf>
    <xf numFmtId="0" fontId="63" fillId="5" borderId="0" xfId="0" applyFont="1" applyFill="1" applyAlignment="1">
      <alignment horizontal="center"/>
    </xf>
    <xf numFmtId="0" fontId="56" fillId="5" borderId="21" xfId="0" applyFont="1" applyFill="1" applyBorder="1" applyAlignment="1">
      <alignment horizontal="center"/>
    </xf>
    <xf numFmtId="1" fontId="8" fillId="5" borderId="8" xfId="0" applyNumberFormat="1" applyFont="1" applyFill="1" applyBorder="1" applyAlignment="1">
      <alignment horizontal="center"/>
    </xf>
    <xf numFmtId="0" fontId="63" fillId="5" borderId="11" xfId="0" applyFont="1" applyFill="1" applyBorder="1" applyAlignment="1">
      <alignment horizontal="center"/>
    </xf>
    <xf numFmtId="0" fontId="61" fillId="0" borderId="11" xfId="8" applyFont="1" applyBorder="1" applyAlignment="1">
      <alignment horizontal="center"/>
    </xf>
    <xf numFmtId="0" fontId="64" fillId="0" borderId="11" xfId="0" applyFont="1" applyBorder="1" applyAlignment="1">
      <alignment horizontal="center" vertical="top"/>
    </xf>
    <xf numFmtId="0" fontId="62" fillId="5" borderId="39" xfId="0" applyFont="1" applyFill="1" applyBorder="1" applyAlignment="1">
      <alignment horizontal="center"/>
    </xf>
    <xf numFmtId="0" fontId="62" fillId="5" borderId="8" xfId="0" applyFont="1" applyFill="1" applyBorder="1"/>
    <xf numFmtId="1" fontId="61" fillId="0" borderId="11" xfId="0" applyNumberFormat="1" applyFont="1" applyBorder="1" applyAlignment="1">
      <alignment horizontal="center"/>
    </xf>
    <xf numFmtId="0" fontId="65" fillId="5" borderId="11" xfId="0" applyFont="1" applyFill="1" applyBorder="1" applyAlignment="1">
      <alignment horizontal="center" vertical="center"/>
    </xf>
    <xf numFmtId="0" fontId="65" fillId="14" borderId="11" xfId="0" applyFont="1" applyFill="1" applyBorder="1"/>
    <xf numFmtId="0" fontId="61" fillId="0" borderId="0" xfId="0" applyFont="1" applyAlignment="1">
      <alignment horizontal="center"/>
    </xf>
    <xf numFmtId="0" fontId="61" fillId="0" borderId="0" xfId="0" applyFont="1"/>
    <xf numFmtId="16" fontId="56" fillId="0" borderId="11" xfId="0" applyNumberFormat="1" applyFont="1" applyBorder="1" applyAlignment="1">
      <alignment horizontal="center"/>
    </xf>
    <xf numFmtId="1" fontId="56" fillId="0" borderId="8" xfId="0" applyNumberFormat="1" applyFont="1" applyBorder="1" applyAlignment="1">
      <alignment horizontal="center"/>
    </xf>
    <xf numFmtId="1" fontId="56" fillId="0" borderId="8" xfId="0" applyNumberFormat="1" applyFont="1" applyBorder="1" applyAlignment="1">
      <alignment horizontal="center" wrapText="1"/>
    </xf>
    <xf numFmtId="1" fontId="56" fillId="0" borderId="11" xfId="0" applyNumberFormat="1" applyFont="1" applyBorder="1" applyAlignment="1">
      <alignment horizontal="center"/>
    </xf>
    <xf numFmtId="1" fontId="56" fillId="0" borderId="11" xfId="0" applyNumberFormat="1" applyFont="1" applyBorder="1" applyAlignment="1">
      <alignment horizontal="center" wrapText="1"/>
    </xf>
    <xf numFmtId="49" fontId="58" fillId="0" borderId="6" xfId="3" applyNumberFormat="1" applyFont="1" applyBorder="1" applyAlignment="1">
      <alignment horizontal="center"/>
    </xf>
    <xf numFmtId="49" fontId="58" fillId="0" borderId="5" xfId="3" applyNumberFormat="1" applyFont="1" applyBorder="1" applyAlignment="1">
      <alignment horizontal="center"/>
    </xf>
    <xf numFmtId="0" fontId="59" fillId="5" borderId="11" xfId="3" applyFont="1" applyFill="1" applyBorder="1" applyAlignment="1">
      <alignment vertical="center"/>
    </xf>
    <xf numFmtId="0" fontId="58" fillId="0" borderId="21" xfId="3" applyFont="1" applyBorder="1" applyAlignment="1">
      <alignment horizontal="center"/>
    </xf>
    <xf numFmtId="165" fontId="58" fillId="0" borderId="11" xfId="3" applyNumberFormat="1" applyFont="1" applyBorder="1" applyAlignment="1">
      <alignment horizontal="center"/>
    </xf>
    <xf numFmtId="0" fontId="60" fillId="5" borderId="11" xfId="0" applyFont="1" applyFill="1" applyBorder="1" applyAlignment="1">
      <alignment horizontal="center"/>
    </xf>
    <xf numFmtId="0" fontId="60" fillId="5" borderId="11" xfId="0" applyFont="1" applyFill="1" applyBorder="1"/>
    <xf numFmtId="0" fontId="60" fillId="5" borderId="8" xfId="0" applyFont="1" applyFill="1" applyBorder="1" applyAlignment="1">
      <alignment horizontal="center"/>
    </xf>
    <xf numFmtId="0" fontId="56" fillId="5" borderId="8" xfId="0" applyFont="1" applyFill="1" applyBorder="1" applyAlignment="1">
      <alignment horizontal="center"/>
    </xf>
    <xf numFmtId="170" fontId="8" fillId="5" borderId="11" xfId="5" applyNumberFormat="1" applyFont="1" applyFill="1" applyBorder="1" applyAlignment="1">
      <alignment horizontal="center"/>
    </xf>
    <xf numFmtId="0" fontId="60" fillId="5" borderId="11" xfId="0" applyFont="1" applyFill="1" applyBorder="1" applyAlignment="1">
      <alignment horizontal="center" wrapText="1"/>
    </xf>
    <xf numFmtId="12" fontId="60" fillId="0" borderId="11" xfId="3" applyNumberFormat="1" applyFont="1" applyBorder="1" applyAlignment="1">
      <alignment horizontal="center"/>
    </xf>
    <xf numFmtId="0" fontId="60" fillId="5" borderId="12" xfId="0" applyFont="1" applyFill="1" applyBorder="1" applyAlignment="1">
      <alignment horizontal="center"/>
    </xf>
    <xf numFmtId="0" fontId="66" fillId="5" borderId="0" xfId="0" applyFont="1" applyFill="1" applyAlignment="1">
      <alignment horizontal="center"/>
    </xf>
    <xf numFmtId="49" fontId="60" fillId="0" borderId="11" xfId="3" applyNumberFormat="1" applyFont="1" applyBorder="1"/>
    <xf numFmtId="0" fontId="60" fillId="0" borderId="11" xfId="0" applyFont="1" applyBorder="1" applyAlignment="1">
      <alignment horizontal="center"/>
    </xf>
    <xf numFmtId="49" fontId="67" fillId="3" borderId="17" xfId="3" applyNumberFormat="1" applyFont="1" applyFill="1" applyBorder="1" applyAlignment="1">
      <alignment horizontal="center" vertical="center"/>
    </xf>
    <xf numFmtId="49" fontId="67" fillId="3" borderId="0" xfId="3" applyNumberFormat="1" applyFont="1" applyFill="1" applyAlignment="1">
      <alignment horizontal="center" vertical="center"/>
    </xf>
    <xf numFmtId="0" fontId="56" fillId="3" borderId="0" xfId="3" applyFont="1" applyFill="1"/>
    <xf numFmtId="1" fontId="56" fillId="3" borderId="0" xfId="3" applyNumberFormat="1" applyFont="1" applyFill="1" applyAlignment="1">
      <alignment horizontal="center"/>
    </xf>
    <xf numFmtId="164" fontId="56" fillId="3" borderId="0" xfId="3" applyNumberFormat="1" applyFont="1" applyFill="1" applyAlignment="1">
      <alignment horizontal="center" wrapText="1"/>
    </xf>
    <xf numFmtId="0" fontId="56" fillId="3" borderId="16" xfId="3" applyFont="1" applyFill="1" applyBorder="1" applyAlignment="1">
      <alignment horizontal="center"/>
    </xf>
    <xf numFmtId="0" fontId="56" fillId="4" borderId="44" xfId="3" applyFont="1" applyFill="1" applyBorder="1" applyAlignment="1">
      <alignment horizontal="center"/>
    </xf>
    <xf numFmtId="0" fontId="56" fillId="4" borderId="45" xfId="3" applyFont="1" applyFill="1" applyBorder="1" applyAlignment="1">
      <alignment horizontal="center"/>
    </xf>
    <xf numFmtId="0" fontId="56" fillId="4" borderId="45" xfId="3" applyFont="1" applyFill="1" applyBorder="1"/>
    <xf numFmtId="0" fontId="8" fillId="4" borderId="45" xfId="3" applyFont="1" applyFill="1" applyBorder="1" applyAlignment="1">
      <alignment horizontal="center"/>
    </xf>
    <xf numFmtId="1" fontId="8" fillId="4" borderId="45" xfId="3" applyNumberFormat="1" applyFont="1" applyFill="1" applyBorder="1" applyAlignment="1">
      <alignment horizontal="center"/>
    </xf>
    <xf numFmtId="164" fontId="56" fillId="4" borderId="45" xfId="3" applyNumberFormat="1" applyFont="1" applyFill="1" applyBorder="1" applyAlignment="1">
      <alignment horizontal="center" wrapText="1"/>
    </xf>
    <xf numFmtId="0" fontId="56" fillId="4" borderId="46" xfId="3" applyFont="1" applyFill="1" applyBorder="1" applyAlignment="1">
      <alignment horizontal="center"/>
    </xf>
    <xf numFmtId="0" fontId="56" fillId="0" borderId="54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1" fontId="56" fillId="0" borderId="2" xfId="0" applyNumberFormat="1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7" fillId="3" borderId="26" xfId="4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8" fillId="3" borderId="26" xfId="4" applyFont="1" applyFill="1" applyBorder="1" applyAlignment="1">
      <alignment vertical="center"/>
    </xf>
    <xf numFmtId="0" fontId="10" fillId="3" borderId="14" xfId="4" applyFont="1" applyFill="1" applyBorder="1" applyAlignment="1">
      <alignment horizontal="center"/>
    </xf>
    <xf numFmtId="0" fontId="10" fillId="3" borderId="28" xfId="4" applyFont="1" applyFill="1" applyBorder="1" applyAlignment="1">
      <alignment horizontal="center"/>
    </xf>
    <xf numFmtId="0" fontId="8" fillId="6" borderId="25" xfId="4" applyFont="1" applyFill="1" applyBorder="1" applyAlignment="1">
      <alignment horizontal="center" vertical="center" wrapText="1"/>
    </xf>
    <xf numFmtId="0" fontId="8" fillId="6" borderId="38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8" fillId="3" borderId="27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right" vertical="center" wrapText="1"/>
    </xf>
    <xf numFmtId="0" fontId="34" fillId="0" borderId="11" xfId="0" applyFont="1" applyBorder="1" applyAlignment="1">
      <alignment horizontal="right" vertical="center"/>
    </xf>
    <xf numFmtId="0" fontId="35" fillId="0" borderId="17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6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26" fillId="0" borderId="40" xfId="0" applyFont="1" applyBorder="1" applyAlignment="1">
      <alignment horizontal="right"/>
    </xf>
    <xf numFmtId="0" fontId="26" fillId="0" borderId="43" xfId="0" applyFont="1" applyBorder="1" applyAlignment="1">
      <alignment horizontal="right"/>
    </xf>
    <xf numFmtId="0" fontId="15" fillId="0" borderId="11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 vertical="center"/>
    </xf>
    <xf numFmtId="0" fontId="42" fillId="0" borderId="44" xfId="0" applyFont="1" applyBorder="1" applyAlignment="1">
      <alignment horizontal="right" vertical="center"/>
    </xf>
    <xf numFmtId="0" fontId="42" fillId="0" borderId="45" xfId="0" applyFont="1" applyBorder="1" applyAlignment="1">
      <alignment horizontal="right" vertical="center"/>
    </xf>
    <xf numFmtId="0" fontId="42" fillId="0" borderId="46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26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10" borderId="44" xfId="0" applyFont="1" applyFill="1" applyBorder="1" applyAlignment="1">
      <alignment horizontal="right"/>
    </xf>
    <xf numFmtId="0" fontId="31" fillId="10" borderId="45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14" fillId="0" borderId="26" xfId="0" applyFont="1" applyBorder="1" applyAlignment="1">
      <alignment horizontal="right" vertical="center"/>
    </xf>
    <xf numFmtId="0" fontId="14" fillId="0" borderId="31" xfId="0" applyFont="1" applyBorder="1" applyAlignment="1">
      <alignment horizontal="right" vertical="center"/>
    </xf>
    <xf numFmtId="0" fontId="14" fillId="12" borderId="44" xfId="0" applyFont="1" applyFill="1" applyBorder="1" applyAlignment="1">
      <alignment horizontal="right" vertical="center"/>
    </xf>
    <xf numFmtId="0" fontId="14" fillId="12" borderId="45" xfId="0" applyFont="1" applyFill="1" applyBorder="1" applyAlignment="1">
      <alignment horizontal="right" vertical="center"/>
    </xf>
    <xf numFmtId="0" fontId="14" fillId="12" borderId="46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60" xfId="4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0" fontId="8" fillId="6" borderId="47" xfId="4" applyFont="1" applyFill="1" applyBorder="1" applyAlignment="1">
      <alignment horizontal="center"/>
    </xf>
    <xf numFmtId="0" fontId="8" fillId="6" borderId="48" xfId="4" applyFont="1" applyFill="1" applyBorder="1" applyAlignment="1">
      <alignment horizontal="center"/>
    </xf>
    <xf numFmtId="0" fontId="8" fillId="6" borderId="49" xfId="4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/>
    </xf>
    <xf numFmtId="0" fontId="4" fillId="0" borderId="57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4" xfId="0" applyFont="1" applyFill="1" applyBorder="1" applyAlignment="1">
      <alignment horizontal="center"/>
    </xf>
    <xf numFmtId="0" fontId="2" fillId="3" borderId="59" xfId="0" applyFont="1" applyFill="1" applyBorder="1" applyAlignment="1">
      <alignment horizontal="center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11" fillId="0" borderId="57" xfId="0" applyFont="1" applyBorder="1" applyAlignment="1">
      <alignment horizontal="left"/>
    </xf>
    <xf numFmtId="0" fontId="11" fillId="0" borderId="58" xfId="0" applyFont="1" applyBorder="1" applyAlignment="1">
      <alignment horizontal="left"/>
    </xf>
    <xf numFmtId="0" fontId="11" fillId="0" borderId="59" xfId="0" applyFont="1" applyBorder="1" applyAlignment="1">
      <alignment horizontal="left"/>
    </xf>
    <xf numFmtId="0" fontId="4" fillId="4" borderId="44" xfId="0" applyFont="1" applyFill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14" fontId="56" fillId="3" borderId="29" xfId="4" applyNumberFormat="1" applyFont="1" applyFill="1" applyBorder="1" applyAlignment="1">
      <alignment horizontal="center" vertical="center" wrapText="1"/>
    </xf>
    <xf numFmtId="14" fontId="56" fillId="3" borderId="34" xfId="4" applyNumberFormat="1" applyFont="1" applyFill="1" applyBorder="1" applyAlignment="1">
      <alignment horizontal="center" vertical="center" wrapText="1"/>
    </xf>
    <xf numFmtId="14" fontId="56" fillId="3" borderId="7" xfId="4" applyNumberFormat="1" applyFont="1" applyFill="1" applyBorder="1" applyAlignment="1">
      <alignment horizontal="center" vertical="center" wrapText="1"/>
    </xf>
    <xf numFmtId="0" fontId="56" fillId="3" borderId="23" xfId="4" applyFont="1" applyFill="1" applyBorder="1" applyAlignment="1">
      <alignment horizontal="left"/>
    </xf>
    <xf numFmtId="0" fontId="56" fillId="3" borderId="38" xfId="4" applyFont="1" applyFill="1" applyBorder="1" applyAlignment="1">
      <alignment horizontal="left"/>
    </xf>
    <xf numFmtId="0" fontId="56" fillId="3" borderId="24" xfId="4" applyFont="1" applyFill="1" applyBorder="1" applyAlignment="1">
      <alignment horizontal="left"/>
    </xf>
    <xf numFmtId="0" fontId="56" fillId="3" borderId="20" xfId="4" applyFont="1" applyFill="1" applyBorder="1" applyAlignment="1">
      <alignment horizontal="left"/>
    </xf>
    <xf numFmtId="0" fontId="56" fillId="3" borderId="5" xfId="4" applyFont="1" applyFill="1" applyBorder="1" applyAlignment="1">
      <alignment horizontal="left"/>
    </xf>
    <xf numFmtId="0" fontId="56" fillId="3" borderId="21" xfId="4" applyFont="1" applyFill="1" applyBorder="1" applyAlignment="1">
      <alignment horizontal="left"/>
    </xf>
    <xf numFmtId="0" fontId="56" fillId="3" borderId="40" xfId="4" applyFont="1" applyFill="1" applyBorder="1" applyAlignment="1">
      <alignment horizontal="center"/>
    </xf>
    <xf numFmtId="0" fontId="56" fillId="3" borderId="43" xfId="4" applyFont="1" applyFill="1" applyBorder="1" applyAlignment="1">
      <alignment horizontal="center"/>
    </xf>
    <xf numFmtId="0" fontId="56" fillId="3" borderId="17" xfId="4" applyFont="1" applyFill="1" applyBorder="1" applyAlignment="1">
      <alignment horizontal="center"/>
    </xf>
    <xf numFmtId="0" fontId="56" fillId="3" borderId="0" xfId="4" applyFont="1" applyFill="1" applyAlignment="1">
      <alignment horizontal="center"/>
    </xf>
    <xf numFmtId="0" fontId="56" fillId="3" borderId="57" xfId="4" applyFont="1" applyFill="1" applyBorder="1" applyAlignment="1">
      <alignment horizontal="center"/>
    </xf>
    <xf numFmtId="0" fontId="56" fillId="3" borderId="58" xfId="4" applyFont="1" applyFill="1" applyBorder="1" applyAlignment="1">
      <alignment horizontal="center"/>
    </xf>
    <xf numFmtId="0" fontId="8" fillId="3" borderId="14" xfId="4" applyFont="1" applyFill="1" applyBorder="1" applyAlignment="1">
      <alignment horizontal="center"/>
    </xf>
    <xf numFmtId="0" fontId="8" fillId="3" borderId="19" xfId="4" applyFont="1" applyFill="1" applyBorder="1" applyAlignment="1">
      <alignment horizontal="center"/>
    </xf>
    <xf numFmtId="0" fontId="8" fillId="3" borderId="64" xfId="4" applyFont="1" applyFill="1" applyBorder="1" applyAlignment="1">
      <alignment horizontal="center"/>
    </xf>
    <xf numFmtId="0" fontId="8" fillId="3" borderId="41" xfId="4" applyFont="1" applyFill="1" applyBorder="1" applyAlignment="1">
      <alignment horizontal="center"/>
    </xf>
    <xf numFmtId="0" fontId="8" fillId="3" borderId="36" xfId="4" applyFont="1" applyFill="1" applyBorder="1" applyAlignment="1">
      <alignment horizontal="right" vertical="top" wrapText="1"/>
    </xf>
    <xf numFmtId="0" fontId="8" fillId="3" borderId="35" xfId="4" applyFont="1" applyFill="1" applyBorder="1" applyAlignment="1">
      <alignment horizontal="right" vertical="top" wrapText="1"/>
    </xf>
    <xf numFmtId="0" fontId="8" fillId="3" borderId="33" xfId="4" applyFont="1" applyFill="1" applyBorder="1" applyAlignment="1">
      <alignment horizontal="right" vertical="top" wrapText="1"/>
    </xf>
    <xf numFmtId="0" fontId="46" fillId="3" borderId="0" xfId="4" applyFont="1" applyFill="1" applyAlignment="1">
      <alignment horizontal="right"/>
    </xf>
    <xf numFmtId="0" fontId="57" fillId="3" borderId="26" xfId="4" applyFont="1" applyFill="1" applyBorder="1" applyAlignment="1">
      <alignment horizontal="center"/>
    </xf>
    <xf numFmtId="0" fontId="46" fillId="3" borderId="0" xfId="4" applyFont="1" applyFill="1"/>
    <xf numFmtId="0" fontId="8" fillId="4" borderId="15" xfId="3" applyFont="1" applyFill="1" applyBorder="1" applyAlignment="1">
      <alignment horizontal="center" vertical="center"/>
    </xf>
    <xf numFmtId="0" fontId="8" fillId="4" borderId="3" xfId="3" applyFont="1" applyFill="1" applyBorder="1" applyAlignment="1">
      <alignment horizontal="center" vertical="center"/>
    </xf>
    <xf numFmtId="0" fontId="8" fillId="4" borderId="15" xfId="3" applyFont="1" applyFill="1" applyBorder="1" applyAlignment="1">
      <alignment horizontal="center" vertical="center" wrapText="1"/>
    </xf>
    <xf numFmtId="0" fontId="8" fillId="4" borderId="3" xfId="3" applyFont="1" applyFill="1" applyBorder="1" applyAlignment="1">
      <alignment horizontal="center" vertical="center" wrapText="1"/>
    </xf>
    <xf numFmtId="0" fontId="8" fillId="4" borderId="14" xfId="3" applyFont="1" applyFill="1" applyBorder="1" applyAlignment="1">
      <alignment horizontal="center" vertical="center"/>
    </xf>
    <xf numFmtId="0" fontId="8" fillId="4" borderId="2" xfId="3" applyFont="1" applyFill="1" applyBorder="1" applyAlignment="1">
      <alignment horizontal="center" vertical="center"/>
    </xf>
    <xf numFmtId="0" fontId="8" fillId="0" borderId="57" xfId="3" applyFont="1" applyBorder="1" applyAlignment="1">
      <alignment horizontal="right"/>
    </xf>
    <xf numFmtId="0" fontId="8" fillId="0" borderId="58" xfId="3" applyFont="1" applyBorder="1" applyAlignment="1">
      <alignment horizontal="right"/>
    </xf>
    <xf numFmtId="0" fontId="8" fillId="0" borderId="39" xfId="3" applyFont="1" applyBorder="1" applyAlignment="1">
      <alignment horizontal="right"/>
    </xf>
    <xf numFmtId="164" fontId="56" fillId="0" borderId="8" xfId="3" applyNumberFormat="1" applyFont="1" applyBorder="1" applyAlignment="1">
      <alignment horizontal="right"/>
    </xf>
    <xf numFmtId="0" fontId="56" fillId="3" borderId="54" xfId="3" applyFont="1" applyFill="1" applyBorder="1" applyAlignment="1">
      <alignment horizontal="center"/>
    </xf>
    <xf numFmtId="0" fontId="56" fillId="3" borderId="59" xfId="3" applyFont="1" applyFill="1" applyBorder="1" applyAlignment="1">
      <alignment horizontal="center"/>
    </xf>
    <xf numFmtId="0" fontId="8" fillId="0" borderId="6" xfId="3" applyFont="1" applyBorder="1" applyAlignment="1">
      <alignment horizontal="right"/>
    </xf>
    <xf numFmtId="0" fontId="8" fillId="0" borderId="5" xfId="3" applyFont="1" applyBorder="1" applyAlignment="1">
      <alignment horizontal="right"/>
    </xf>
    <xf numFmtId="0" fontId="8" fillId="0" borderId="21" xfId="3" applyFont="1" applyBorder="1" applyAlignment="1">
      <alignment horizontal="right"/>
    </xf>
    <xf numFmtId="0" fontId="56" fillId="0" borderId="11" xfId="3" applyFont="1" applyBorder="1" applyAlignment="1">
      <alignment horizontal="right"/>
    </xf>
    <xf numFmtId="164" fontId="56" fillId="0" borderId="20" xfId="3" applyNumberFormat="1" applyFont="1" applyBorder="1" applyAlignment="1">
      <alignment horizontal="center"/>
    </xf>
    <xf numFmtId="164" fontId="56" fillId="0" borderId="4" xfId="3" applyNumberFormat="1" applyFont="1" applyBorder="1" applyAlignment="1">
      <alignment horizontal="center"/>
    </xf>
    <xf numFmtId="0" fontId="56" fillId="0" borderId="12" xfId="0" applyFont="1" applyBorder="1" applyAlignment="1">
      <alignment horizontal="left" wrapText="1"/>
    </xf>
    <xf numFmtId="0" fontId="56" fillId="0" borderId="21" xfId="0" applyFont="1" applyBorder="1" applyAlignment="1">
      <alignment horizontal="left" wrapText="1"/>
    </xf>
    <xf numFmtId="0" fontId="56" fillId="0" borderId="11" xfId="0" applyFont="1" applyBorder="1" applyAlignment="1">
      <alignment horizontal="left" wrapText="1"/>
    </xf>
    <xf numFmtId="0" fontId="56" fillId="0" borderId="10" xfId="0" applyFont="1" applyBorder="1" applyAlignment="1">
      <alignment horizontal="left" wrapText="1"/>
    </xf>
    <xf numFmtId="164" fontId="56" fillId="0" borderId="20" xfId="3" applyNumberFormat="1" applyFont="1" applyBorder="1" applyAlignment="1">
      <alignment horizontal="right" wrapText="1"/>
    </xf>
    <xf numFmtId="164" fontId="56" fillId="0" borderId="21" xfId="3" applyNumberFormat="1" applyFont="1" applyBorder="1" applyAlignment="1">
      <alignment horizontal="right" wrapText="1"/>
    </xf>
    <xf numFmtId="164" fontId="56" fillId="0" borderId="20" xfId="0" applyNumberFormat="1" applyFont="1" applyBorder="1" applyAlignment="1">
      <alignment horizontal="center" wrapText="1"/>
    </xf>
    <xf numFmtId="164" fontId="56" fillId="0" borderId="4" xfId="0" applyNumberFormat="1" applyFont="1" applyBorder="1" applyAlignment="1">
      <alignment horizontal="center" wrapText="1"/>
    </xf>
    <xf numFmtId="0" fontId="8" fillId="0" borderId="3" xfId="3" applyFont="1" applyBorder="1" applyAlignment="1">
      <alignment horizontal="right"/>
    </xf>
    <xf numFmtId="0" fontId="8" fillId="0" borderId="41" xfId="3" applyFont="1" applyBorder="1" applyAlignment="1">
      <alignment horizontal="right"/>
    </xf>
    <xf numFmtId="0" fontId="8" fillId="0" borderId="2" xfId="3" applyFont="1" applyBorder="1" applyAlignment="1">
      <alignment horizontal="right"/>
    </xf>
    <xf numFmtId="0" fontId="56" fillId="0" borderId="2" xfId="3" applyFont="1" applyBorder="1" applyAlignment="1">
      <alignment horizontal="right"/>
    </xf>
    <xf numFmtId="0" fontId="8" fillId="4" borderId="44" xfId="3" applyFont="1" applyFill="1" applyBorder="1" applyAlignment="1">
      <alignment horizontal="left"/>
    </xf>
    <xf numFmtId="0" fontId="8" fillId="4" borderId="45" xfId="3" applyFont="1" applyFill="1" applyBorder="1" applyAlignment="1">
      <alignment horizontal="left"/>
    </xf>
    <xf numFmtId="0" fontId="8" fillId="4" borderId="46" xfId="3" applyFont="1" applyFill="1" applyBorder="1" applyAlignment="1">
      <alignment horizontal="left"/>
    </xf>
    <xf numFmtId="0" fontId="56" fillId="0" borderId="15" xfId="0" applyFont="1" applyBorder="1" applyAlignment="1">
      <alignment horizontal="left"/>
    </xf>
    <xf numFmtId="0" fontId="56" fillId="0" borderId="24" xfId="0" applyFont="1" applyBorder="1" applyAlignment="1">
      <alignment horizontal="left"/>
    </xf>
    <xf numFmtId="0" fontId="56" fillId="0" borderId="14" xfId="0" applyFont="1" applyBorder="1" applyAlignment="1">
      <alignment horizontal="left"/>
    </xf>
    <xf numFmtId="0" fontId="56" fillId="0" borderId="13" xfId="0" applyFont="1" applyBorder="1" applyAlignment="1">
      <alignment horizontal="left"/>
    </xf>
    <xf numFmtId="0" fontId="58" fillId="0" borderId="6" xfId="0" applyFont="1" applyBorder="1" applyAlignment="1">
      <alignment horizontal="left"/>
    </xf>
    <xf numFmtId="0" fontId="58" fillId="0" borderId="5" xfId="0" applyFont="1" applyBorder="1" applyAlignment="1">
      <alignment horizontal="left"/>
    </xf>
    <xf numFmtId="0" fontId="58" fillId="0" borderId="4" xfId="0" applyFont="1" applyBorder="1" applyAlignment="1">
      <alignment horizontal="left"/>
    </xf>
    <xf numFmtId="0" fontId="8" fillId="15" borderId="70" xfId="4" applyFont="1" applyFill="1" applyBorder="1" applyAlignment="1">
      <alignment horizontal="center"/>
    </xf>
    <xf numFmtId="0" fontId="8" fillId="15" borderId="43" xfId="4" applyFont="1" applyFill="1" applyBorder="1" applyAlignment="1">
      <alignment horizontal="center"/>
    </xf>
    <xf numFmtId="0" fontId="56" fillId="3" borderId="71" xfId="4" applyFont="1" applyFill="1" applyBorder="1" applyAlignment="1">
      <alignment horizontal="left"/>
    </xf>
    <xf numFmtId="0" fontId="56" fillId="3" borderId="0" xfId="4" applyFont="1" applyFill="1" applyAlignment="1">
      <alignment horizontal="left"/>
    </xf>
    <xf numFmtId="0" fontId="56" fillId="0" borderId="12" xfId="0" applyFont="1" applyBorder="1" applyAlignment="1">
      <alignment horizontal="left"/>
    </xf>
    <xf numFmtId="0" fontId="56" fillId="0" borderId="21" xfId="0" applyFont="1" applyBorder="1" applyAlignment="1">
      <alignment horizontal="left"/>
    </xf>
    <xf numFmtId="0" fontId="56" fillId="0" borderId="11" xfId="0" applyFont="1" applyBorder="1" applyAlignment="1">
      <alignment horizontal="left"/>
    </xf>
    <xf numFmtId="0" fontId="56" fillId="0" borderId="10" xfId="0" applyFont="1" applyBorder="1" applyAlignment="1">
      <alignment horizontal="left"/>
    </xf>
    <xf numFmtId="0" fontId="56" fillId="0" borderId="6" xfId="0" applyFont="1" applyBorder="1" applyAlignment="1">
      <alignment horizontal="left" vertical="center" wrapText="1"/>
    </xf>
    <xf numFmtId="0" fontId="56" fillId="0" borderId="5" xfId="0" applyFont="1" applyBorder="1" applyAlignment="1">
      <alignment horizontal="left" vertical="center" wrapText="1"/>
    </xf>
    <xf numFmtId="0" fontId="56" fillId="0" borderId="4" xfId="0" applyFont="1" applyBorder="1" applyAlignment="1">
      <alignment horizontal="left" vertical="center" wrapText="1"/>
    </xf>
    <xf numFmtId="0" fontId="56" fillId="0" borderId="9" xfId="0" applyFont="1" applyBorder="1" applyAlignment="1">
      <alignment horizontal="left" wrapText="1"/>
    </xf>
    <xf numFmtId="0" fontId="56" fillId="0" borderId="39" xfId="0" applyFont="1" applyBorder="1" applyAlignment="1">
      <alignment horizontal="left" wrapText="1"/>
    </xf>
    <xf numFmtId="0" fontId="56" fillId="0" borderId="8" xfId="0" applyFont="1" applyBorder="1" applyAlignment="1">
      <alignment horizontal="left" wrapText="1"/>
    </xf>
    <xf numFmtId="0" fontId="56" fillId="0" borderId="7" xfId="0" applyFont="1" applyBorder="1" applyAlignment="1">
      <alignment horizontal="left" wrapText="1"/>
    </xf>
    <xf numFmtId="0" fontId="60" fillId="0" borderId="12" xfId="3" applyFont="1" applyBorder="1" applyAlignment="1">
      <alignment horizontal="left"/>
    </xf>
    <xf numFmtId="0" fontId="60" fillId="0" borderId="21" xfId="3" applyFont="1" applyBorder="1" applyAlignment="1">
      <alignment horizontal="left"/>
    </xf>
    <xf numFmtId="0" fontId="60" fillId="0" borderId="11" xfId="3" applyFont="1" applyBorder="1" applyAlignment="1">
      <alignment horizontal="left"/>
    </xf>
    <xf numFmtId="0" fontId="60" fillId="0" borderId="10" xfId="3" applyFont="1" applyBorder="1" applyAlignment="1">
      <alignment horizontal="left"/>
    </xf>
    <xf numFmtId="0" fontId="56" fillId="0" borderId="6" xfId="0" applyFont="1" applyBorder="1" applyAlignment="1">
      <alignment horizontal="left"/>
    </xf>
    <xf numFmtId="0" fontId="56" fillId="0" borderId="5" xfId="0" applyFont="1" applyBorder="1" applyAlignment="1">
      <alignment horizontal="left"/>
    </xf>
    <xf numFmtId="0" fontId="56" fillId="0" borderId="4" xfId="0" applyFont="1" applyBorder="1" applyAlignment="1">
      <alignment horizontal="lef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14" fontId="4" fillId="3" borderId="29" xfId="4" applyNumberFormat="1" applyFont="1" applyFill="1" applyBorder="1" applyAlignment="1">
      <alignment horizontal="center" vertical="center" wrapText="1"/>
    </xf>
    <xf numFmtId="14" fontId="4" fillId="3" borderId="34" xfId="4" applyNumberFormat="1" applyFont="1" applyFill="1" applyBorder="1" applyAlignment="1">
      <alignment horizontal="center" vertical="center" wrapText="1"/>
    </xf>
    <xf numFmtId="14" fontId="4" fillId="3" borderId="32" xfId="4" applyNumberFormat="1" applyFont="1" applyFill="1" applyBorder="1" applyAlignment="1">
      <alignment horizontal="center" vertical="center" wrapText="1"/>
    </xf>
    <xf numFmtId="0" fontId="2" fillId="3" borderId="19" xfId="4" applyFont="1" applyFill="1" applyBorder="1" applyAlignment="1">
      <alignment horizontal="left"/>
    </xf>
    <xf numFmtId="0" fontId="2" fillId="3" borderId="64" xfId="4" applyFont="1" applyFill="1" applyBorder="1" applyAlignment="1">
      <alignment horizontal="left"/>
    </xf>
    <xf numFmtId="0" fontId="2" fillId="3" borderId="41" xfId="4" applyFont="1" applyFill="1" applyBorder="1" applyAlignment="1">
      <alignment horizontal="left"/>
    </xf>
    <xf numFmtId="0" fontId="4" fillId="4" borderId="23" xfId="0" applyFont="1" applyFill="1" applyBorder="1" applyAlignment="1">
      <alignment horizontal="center" vertical="center"/>
    </xf>
    <xf numFmtId="0" fontId="10" fillId="3" borderId="23" xfId="4" applyFont="1" applyFill="1" applyBorder="1" applyAlignment="1">
      <alignment horizontal="center"/>
    </xf>
    <xf numFmtId="0" fontId="10" fillId="3" borderId="38" xfId="4" applyFont="1" applyFill="1" applyBorder="1" applyAlignment="1">
      <alignment horizontal="center"/>
    </xf>
    <xf numFmtId="0" fontId="10" fillId="3" borderId="24" xfId="4" applyFont="1" applyFill="1" applyBorder="1" applyAlignment="1">
      <alignment horizontal="center"/>
    </xf>
    <xf numFmtId="0" fontId="10" fillId="3" borderId="19" xfId="4" applyFont="1" applyFill="1" applyBorder="1" applyAlignment="1">
      <alignment horizontal="center"/>
    </xf>
    <xf numFmtId="0" fontId="10" fillId="3" borderId="64" xfId="4" applyFont="1" applyFill="1" applyBorder="1" applyAlignment="1">
      <alignment horizontal="center"/>
    </xf>
    <xf numFmtId="0" fontId="10" fillId="3" borderId="41" xfId="4" applyFont="1" applyFill="1" applyBorder="1" applyAlignment="1">
      <alignment horizontal="center"/>
    </xf>
    <xf numFmtId="0" fontId="8" fillId="6" borderId="44" xfId="4" applyFont="1" applyFill="1" applyBorder="1" applyAlignment="1">
      <alignment horizontal="center" vertical="center" wrapText="1"/>
    </xf>
    <xf numFmtId="0" fontId="8" fillId="6" borderId="45" xfId="4" applyFont="1" applyFill="1" applyBorder="1" applyAlignment="1">
      <alignment horizontal="center" vertical="center" wrapText="1"/>
    </xf>
    <xf numFmtId="0" fontId="8" fillId="6" borderId="46" xfId="4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/>
    </xf>
    <xf numFmtId="164" fontId="2" fillId="0" borderId="23" xfId="0" applyNumberFormat="1" applyFont="1" applyBorder="1" applyAlignment="1">
      <alignment horizontal="right"/>
    </xf>
    <xf numFmtId="164" fontId="2" fillId="0" borderId="24" xfId="0" applyNumberFormat="1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11" fillId="0" borderId="11" xfId="0" applyFont="1" applyBorder="1" applyAlignment="1">
      <alignment horizontal="left"/>
    </xf>
    <xf numFmtId="0" fontId="4" fillId="0" borderId="67" xfId="0" applyFont="1" applyBorder="1" applyAlignment="1">
      <alignment horizontal="right"/>
    </xf>
    <xf numFmtId="0" fontId="4" fillId="0" borderId="64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0" fontId="4" fillId="4" borderId="40" xfId="0" applyFont="1" applyFill="1" applyBorder="1" applyAlignment="1">
      <alignment horizontal="left"/>
    </xf>
    <xf numFmtId="0" fontId="4" fillId="4" borderId="43" xfId="0" applyFont="1" applyFill="1" applyBorder="1" applyAlignment="1">
      <alignment horizontal="left"/>
    </xf>
    <xf numFmtId="0" fontId="4" fillId="4" borderId="68" xfId="0" applyFont="1" applyFill="1" applyBorder="1" applyAlignment="1">
      <alignment horizontal="left"/>
    </xf>
    <xf numFmtId="0" fontId="11" fillId="0" borderId="11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2" fillId="0" borderId="6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0" borderId="58" xfId="0" applyFont="1" applyBorder="1" applyAlignment="1">
      <alignment horizontal="right"/>
    </xf>
    <xf numFmtId="0" fontId="12" fillId="0" borderId="57" xfId="0" applyFont="1" applyBorder="1" applyAlignment="1">
      <alignment horizontal="left"/>
    </xf>
    <xf numFmtId="0" fontId="12" fillId="0" borderId="58" xfId="0" applyFont="1" applyBorder="1" applyAlignment="1">
      <alignment horizontal="left"/>
    </xf>
    <xf numFmtId="0" fontId="12" fillId="0" borderId="59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14" fontId="0" fillId="3" borderId="10" xfId="4" applyNumberFormat="1" applyFont="1" applyFill="1" applyBorder="1" applyAlignment="1">
      <alignment horizontal="center" vertical="center" wrapText="1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0" fillId="3" borderId="11" xfId="4" applyFont="1" applyFill="1" applyBorder="1" applyAlignment="1">
      <alignment horizontal="left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0" xfId="4" applyFont="1" applyFill="1" applyBorder="1" applyAlignment="1">
      <alignment horizontal="center"/>
    </xf>
    <xf numFmtId="0" fontId="3" fillId="3" borderId="60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5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46" fillId="3" borderId="14" xfId="4" applyFont="1" applyFill="1" applyBorder="1" applyAlignment="1">
      <alignment horizontal="center"/>
    </xf>
    <xf numFmtId="0" fontId="46" fillId="3" borderId="11" xfId="4" applyFont="1" applyFill="1" applyBorder="1" applyAlignment="1">
      <alignment horizontal="center"/>
    </xf>
    <xf numFmtId="0" fontId="48" fillId="6" borderId="20" xfId="4" applyFont="1" applyFill="1" applyBorder="1" applyAlignment="1">
      <alignment horizontal="center" vertical="center" wrapText="1"/>
    </xf>
    <xf numFmtId="0" fontId="48" fillId="6" borderId="5" xfId="4" applyFont="1" applyFill="1" applyBorder="1" applyAlignment="1">
      <alignment horizontal="center" vertical="center" wrapText="1"/>
    </xf>
    <xf numFmtId="0" fontId="48" fillId="6" borderId="21" xfId="4" applyFont="1" applyFill="1" applyBorder="1" applyAlignment="1">
      <alignment horizontal="center" vertical="center" wrapText="1"/>
    </xf>
    <xf numFmtId="0" fontId="47" fillId="3" borderId="11" xfId="4" applyFont="1" applyFill="1" applyBorder="1" applyAlignment="1">
      <alignment horizontal="right" vertical="top" wrapText="1"/>
    </xf>
    <xf numFmtId="0" fontId="47" fillId="3" borderId="2" xfId="4" applyFont="1" applyFill="1" applyBorder="1" applyAlignment="1">
      <alignment horizontal="right" vertical="top" wrapText="1"/>
    </xf>
    <xf numFmtId="0" fontId="49" fillId="3" borderId="26" xfId="4" applyFont="1" applyFill="1" applyBorder="1" applyAlignment="1">
      <alignment horizontal="center"/>
    </xf>
    <xf numFmtId="0" fontId="47" fillId="4" borderId="15" xfId="0" applyFont="1" applyFill="1" applyBorder="1" applyAlignment="1">
      <alignment horizontal="center" vertical="center"/>
    </xf>
    <xf numFmtId="0" fontId="47" fillId="4" borderId="30" xfId="0" applyFont="1" applyFill="1" applyBorder="1" applyAlignment="1">
      <alignment horizontal="center" vertical="center"/>
    </xf>
    <xf numFmtId="0" fontId="47" fillId="4" borderId="37" xfId="0" applyFont="1" applyFill="1" applyBorder="1" applyAlignment="1">
      <alignment horizontal="center" vertical="center" wrapText="1"/>
    </xf>
    <xf numFmtId="0" fontId="47" fillId="4" borderId="8" xfId="0" applyFont="1" applyFill="1" applyBorder="1" applyAlignment="1">
      <alignment horizontal="center" vertical="center" wrapText="1"/>
    </xf>
    <xf numFmtId="0" fontId="47" fillId="4" borderId="14" xfId="0" applyFont="1" applyFill="1" applyBorder="1" applyAlignment="1">
      <alignment horizontal="center" vertical="center"/>
    </xf>
    <xf numFmtId="0" fontId="47" fillId="4" borderId="28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center" vertical="center"/>
    </xf>
    <xf numFmtId="0" fontId="47" fillId="0" borderId="57" xfId="0" applyFont="1" applyBorder="1" applyAlignment="1">
      <alignment horizontal="right"/>
    </xf>
    <xf numFmtId="0" fontId="47" fillId="0" borderId="58" xfId="0" applyFont="1" applyBorder="1" applyAlignment="1">
      <alignment horizontal="right"/>
    </xf>
    <xf numFmtId="0" fontId="47" fillId="0" borderId="39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3" borderId="54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47" fillId="0" borderId="6" xfId="0" applyFont="1" applyBorder="1" applyAlignment="1">
      <alignment horizontal="right"/>
    </xf>
    <xf numFmtId="0" fontId="47" fillId="0" borderId="5" xfId="0" applyFont="1" applyBorder="1" applyAlignment="1">
      <alignment horizontal="right"/>
    </xf>
    <xf numFmtId="0" fontId="47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2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54" fillId="0" borderId="57" xfId="3" applyFont="1" applyBorder="1" applyAlignment="1">
      <alignment horizontal="left" wrapText="1"/>
    </xf>
    <xf numFmtId="0" fontId="54" fillId="0" borderId="58" xfId="3" applyFont="1" applyBorder="1" applyAlignment="1">
      <alignment horizontal="left" wrapText="1"/>
    </xf>
    <xf numFmtId="0" fontId="54" fillId="0" borderId="59" xfId="3" applyFont="1" applyBorder="1" applyAlignment="1">
      <alignment horizontal="left" wrapText="1"/>
    </xf>
    <xf numFmtId="164" fontId="3" fillId="0" borderId="20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47" fillId="0" borderId="3" xfId="0" applyFont="1" applyBorder="1" applyAlignment="1">
      <alignment horizontal="right"/>
    </xf>
    <xf numFmtId="0" fontId="47" fillId="0" borderId="41" xfId="0" applyFont="1" applyBorder="1" applyAlignment="1">
      <alignment horizontal="right"/>
    </xf>
    <xf numFmtId="0" fontId="47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47" fillId="4" borderId="44" xfId="0" applyFont="1" applyFill="1" applyBorder="1" applyAlignment="1">
      <alignment horizontal="left"/>
    </xf>
    <xf numFmtId="0" fontId="47" fillId="4" borderId="45" xfId="0" applyFont="1" applyFill="1" applyBorder="1" applyAlignment="1">
      <alignment horizontal="left"/>
    </xf>
    <xf numFmtId="0" fontId="47" fillId="4" borderId="46" xfId="0" applyFont="1" applyFill="1" applyBorder="1" applyAlignment="1">
      <alignment horizontal="left"/>
    </xf>
    <xf numFmtId="0" fontId="52" fillId="0" borderId="27" xfId="3" applyFont="1" applyBorder="1" applyAlignment="1">
      <alignment horizontal="left"/>
    </xf>
    <xf numFmtId="0" fontId="52" fillId="0" borderId="26" xfId="3" applyFont="1" applyBorder="1" applyAlignment="1">
      <alignment horizontal="left"/>
    </xf>
    <xf numFmtId="0" fontId="52" fillId="0" borderId="31" xfId="3" applyFont="1" applyBorder="1" applyAlignment="1">
      <alignment horizontal="left"/>
    </xf>
    <xf numFmtId="0" fontId="52" fillId="0" borderId="57" xfId="3" applyFont="1" applyBorder="1" applyAlignment="1">
      <alignment horizontal="left"/>
    </xf>
    <xf numFmtId="0" fontId="52" fillId="0" borderId="58" xfId="3" applyFont="1" applyBorder="1" applyAlignment="1">
      <alignment horizontal="left"/>
    </xf>
    <xf numFmtId="0" fontId="52" fillId="0" borderId="59" xfId="3" applyFont="1" applyBorder="1" applyAlignment="1">
      <alignment horizontal="left"/>
    </xf>
    <xf numFmtId="0" fontId="47" fillId="4" borderId="3" xfId="0" applyFont="1" applyFill="1" applyBorder="1" applyAlignment="1">
      <alignment horizontal="center" vertical="center"/>
    </xf>
    <xf numFmtId="0" fontId="47" fillId="4" borderId="4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9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5" xfId="8" xr:uid="{509674EB-D517-43EC-A13C-95C71AA8B148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104775</xdr:rowOff>
    </xdr:from>
    <xdr:to>
      <xdr:col>2</xdr:col>
      <xdr:colOff>762000</xdr:colOff>
      <xdr:row>3</xdr:row>
      <xdr:rowOff>101266</xdr:rowOff>
    </xdr:to>
    <xdr:pic>
      <xdr:nvPicPr>
        <xdr:cNvPr id="2" name="Picture 3" descr="LOGO FINAL">
          <a:extLst>
            <a:ext uri="{FF2B5EF4-FFF2-40B4-BE49-F238E27FC236}">
              <a16:creationId xmlns:a16="http://schemas.microsoft.com/office/drawing/2014/main" id="{5E3D40A9-C044-4BDF-915E-5AFD16BF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866775" y="104775"/>
          <a:ext cx="1638300" cy="1034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319768</xdr:colOff>
      <xdr:row>14</xdr:row>
      <xdr:rowOff>19438</xdr:rowOff>
    </xdr:from>
    <xdr:to>
      <xdr:col>2</xdr:col>
      <xdr:colOff>2753114</xdr:colOff>
      <xdr:row>24</xdr:row>
      <xdr:rowOff>86113</xdr:rowOff>
    </xdr:to>
    <xdr:pic>
      <xdr:nvPicPr>
        <xdr:cNvPr id="2" name="Picture 4" descr="100_0098">
          <a:extLst>
            <a:ext uri="{FF2B5EF4-FFF2-40B4-BE49-F238E27FC236}">
              <a16:creationId xmlns:a16="http://schemas.microsoft.com/office/drawing/2014/main" id="{31555A8E-3D1F-4C7A-8C75-156B45FE3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993" y="3496063"/>
          <a:ext cx="2433346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314325</xdr:colOff>
      <xdr:row>14</xdr:row>
      <xdr:rowOff>66675</xdr:rowOff>
    </xdr:from>
    <xdr:to>
      <xdr:col>5</xdr:col>
      <xdr:colOff>238125</xdr:colOff>
      <xdr:row>24</xdr:row>
      <xdr:rowOff>133350</xdr:rowOff>
    </xdr:to>
    <xdr:pic>
      <xdr:nvPicPr>
        <xdr:cNvPr id="3" name="Picture 3" descr="100_0099">
          <a:extLst>
            <a:ext uri="{FF2B5EF4-FFF2-40B4-BE49-F238E27FC236}">
              <a16:creationId xmlns:a16="http://schemas.microsoft.com/office/drawing/2014/main" id="{EB980AD7-B297-4966-B175-E653A202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3543300"/>
          <a:ext cx="172402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47625</xdr:rowOff>
    </xdr:from>
    <xdr:to>
      <xdr:col>1</xdr:col>
      <xdr:colOff>466928</xdr:colOff>
      <xdr:row>2</xdr:row>
      <xdr:rowOff>619125</xdr:rowOff>
    </xdr:to>
    <xdr:pic>
      <xdr:nvPicPr>
        <xdr:cNvPr id="5" name="6 Imagen" descr="C:\Users\mbeeche\Desktop\logo de spoon nuevo.gif">
          <a:extLst>
            <a:ext uri="{FF2B5EF4-FFF2-40B4-BE49-F238E27FC236}">
              <a16:creationId xmlns:a16="http://schemas.microsoft.com/office/drawing/2014/main" id="{A0191E06-8954-4CC7-AE3F-27A7C461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7625"/>
          <a:ext cx="1419428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695325</xdr:colOff>
      <xdr:row>14</xdr:row>
      <xdr:rowOff>28575</xdr:rowOff>
    </xdr:from>
    <xdr:to>
      <xdr:col>8</xdr:col>
      <xdr:colOff>323850</xdr:colOff>
      <xdr:row>24</xdr:row>
      <xdr:rowOff>180975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6A83520A-DF9C-4E94-8132-FB052D5F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7753350" y="3505200"/>
          <a:ext cx="19145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3B54911-AE09-4902-8EF1-DD105677F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3C6CC0A6-D24E-4605-8A64-5472E210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280893</xdr:colOff>
      <xdr:row>0</xdr:row>
      <xdr:rowOff>54910</xdr:rowOff>
    </xdr:from>
    <xdr:to>
      <xdr:col>0</xdr:col>
      <xdr:colOff>1076324</xdr:colOff>
      <xdr:row>3</xdr:row>
      <xdr:rowOff>120930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5566C574-0570-4308-8391-28A23FFF3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80893" y="54910"/>
          <a:ext cx="795431" cy="713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PLANCHAS%20WALMART/Crema%20Blanca%20Bucca%20(003)%20-2.xls" TargetMode="External"/><Relationship Id="rId1" Type="http://schemas.openxmlformats.org/officeDocument/2006/relationships/externalLinkPath" Target="/personal/eramirez_fascr_com/Documents/Escritorio/INDUSTRIA%202022/INDUSTRIA%202023/PLANCHAS%20WALMART/Crema%20Blanca%20Bucca%20(003)%20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/>
      <sheetData sheetId="1">
        <row r="69">
          <cell r="E69">
            <v>2.2968500000000001</v>
          </cell>
        </row>
        <row r="74">
          <cell r="E74">
            <v>3.0499999999999999E-2</v>
          </cell>
        </row>
        <row r="76">
          <cell r="E76">
            <v>1.0640000000000001E-4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39"/>
  <sheetViews>
    <sheetView view="pageBreakPreview" topLeftCell="A3" zoomScaleNormal="100" zoomScaleSheetLayoutView="100" workbookViewId="0">
      <selection activeCell="C10" sqref="C10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37.5703125" customWidth="1"/>
    <col min="4" max="4" width="13.7109375" customWidth="1"/>
    <col min="7" max="7" width="25.5703125" customWidth="1"/>
    <col min="8" max="8" width="15.5703125" customWidth="1"/>
    <col min="9" max="9" width="19" customWidth="1"/>
  </cols>
  <sheetData>
    <row r="1" spans="1:12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12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12" ht="50.1" customHeight="1" x14ac:dyDescent="0.25">
      <c r="A3" s="559"/>
      <c r="B3" s="560"/>
      <c r="C3" s="566" t="s">
        <v>38</v>
      </c>
      <c r="D3" s="567"/>
      <c r="E3" s="567"/>
      <c r="F3" s="567"/>
      <c r="G3" s="568"/>
      <c r="H3" s="569" t="s">
        <v>31</v>
      </c>
      <c r="I3" s="546"/>
    </row>
    <row r="4" spans="1:12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12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12" ht="30.75" customHeight="1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12" ht="29.25" customHeight="1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12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12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450</v>
      </c>
      <c r="F9" s="55" t="s">
        <v>2</v>
      </c>
      <c r="G9" s="13"/>
      <c r="H9" s="54"/>
      <c r="I9" s="53"/>
    </row>
    <row r="10" spans="1:12" x14ac:dyDescent="0.25">
      <c r="A10" s="72" t="s">
        <v>42</v>
      </c>
      <c r="B10" s="73" t="s">
        <v>42</v>
      </c>
      <c r="C10" s="47" t="s">
        <v>43</v>
      </c>
      <c r="D10" s="40" t="s">
        <v>48</v>
      </c>
      <c r="E10" s="35">
        <v>500</v>
      </c>
      <c r="F10" s="52" t="s">
        <v>2</v>
      </c>
      <c r="G10" s="35"/>
      <c r="H10" s="49"/>
      <c r="I10" s="48"/>
    </row>
    <row r="11" spans="1:12" x14ac:dyDescent="0.25">
      <c r="A11" t="s">
        <v>44</v>
      </c>
      <c r="B11" t="s">
        <v>45</v>
      </c>
      <c r="C11" t="s">
        <v>46</v>
      </c>
      <c r="D11" s="40" t="s">
        <v>49</v>
      </c>
      <c r="E11" s="46">
        <v>1</v>
      </c>
      <c r="F11" s="45" t="s">
        <v>2</v>
      </c>
      <c r="G11" s="51"/>
      <c r="H11" s="49"/>
      <c r="I11" s="48"/>
    </row>
    <row r="12" spans="1:12" x14ac:dyDescent="0.25">
      <c r="A12" s="42"/>
      <c r="B12" s="67"/>
      <c r="C12" s="41"/>
      <c r="D12" s="40"/>
      <c r="E12" s="46"/>
      <c r="F12" s="45"/>
      <c r="G12" s="51"/>
      <c r="H12" s="49"/>
      <c r="I12" s="48"/>
    </row>
    <row r="13" spans="1:12" x14ac:dyDescent="0.25">
      <c r="A13" s="32"/>
      <c r="B13" s="68"/>
      <c r="C13" s="31"/>
      <c r="D13" s="30"/>
      <c r="E13" s="29"/>
      <c r="F13" s="28"/>
      <c r="G13" s="11"/>
      <c r="H13" s="26"/>
      <c r="I13" s="33"/>
    </row>
    <row r="14" spans="1:12" x14ac:dyDescent="0.25">
      <c r="A14" s="32"/>
      <c r="B14" s="68"/>
      <c r="C14" s="31"/>
      <c r="D14" s="30"/>
      <c r="E14" s="29"/>
      <c r="F14" s="28"/>
      <c r="G14" s="11"/>
      <c r="H14" s="26"/>
      <c r="I14" s="33"/>
    </row>
    <row r="15" spans="1:12" x14ac:dyDescent="0.25">
      <c r="A15" s="32"/>
      <c r="B15" s="68"/>
      <c r="C15" s="31"/>
      <c r="D15" s="30"/>
      <c r="E15" s="29"/>
      <c r="F15" s="28"/>
      <c r="G15" s="27"/>
      <c r="H15" s="26"/>
      <c r="I15" s="25"/>
    </row>
    <row r="16" spans="1:12" ht="15.75" thickBot="1" x14ac:dyDescent="0.3">
      <c r="A16" s="24"/>
      <c r="B16" s="69"/>
      <c r="C16" s="21"/>
      <c r="D16" s="21"/>
      <c r="E16" s="23"/>
      <c r="F16" s="22"/>
      <c r="G16" s="21"/>
      <c r="H16" s="21"/>
      <c r="I16" s="20"/>
      <c r="L16" s="8"/>
    </row>
    <row r="17" spans="1:13" x14ac:dyDescent="0.25">
      <c r="A17" s="19"/>
      <c r="B17" s="70"/>
      <c r="C17" s="15"/>
      <c r="D17" s="18" t="s">
        <v>15</v>
      </c>
      <c r="E17" s="17" t="s">
        <v>14</v>
      </c>
      <c r="F17" s="16"/>
      <c r="G17" s="15"/>
      <c r="H17" s="15"/>
      <c r="I17" s="14"/>
      <c r="L17" s="8"/>
    </row>
    <row r="18" spans="1:13" x14ac:dyDescent="0.25">
      <c r="A18" s="517" t="s">
        <v>13</v>
      </c>
      <c r="B18" s="518"/>
      <c r="C18" s="519"/>
      <c r="D18" s="13">
        <v>950</v>
      </c>
      <c r="E18" s="12" t="s">
        <v>2</v>
      </c>
      <c r="F18" s="520" t="s">
        <v>12</v>
      </c>
      <c r="G18" s="520"/>
      <c r="H18" s="521"/>
      <c r="I18" s="522"/>
      <c r="L18" s="8"/>
    </row>
    <row r="19" spans="1:13" x14ac:dyDescent="0.25">
      <c r="A19" s="523" t="s">
        <v>11</v>
      </c>
      <c r="B19" s="524"/>
      <c r="C19" s="525"/>
      <c r="D19" s="11">
        <v>3</v>
      </c>
      <c r="E19" s="11" t="s">
        <v>10</v>
      </c>
      <c r="F19" s="526" t="s">
        <v>9</v>
      </c>
      <c r="G19" s="526"/>
      <c r="H19" s="527"/>
      <c r="I19" s="528"/>
      <c r="L19" s="8"/>
    </row>
    <row r="20" spans="1:13" x14ac:dyDescent="0.25">
      <c r="A20" s="523" t="s">
        <v>8</v>
      </c>
      <c r="B20" s="524"/>
      <c r="C20" s="525"/>
      <c r="D20" s="11">
        <v>1</v>
      </c>
      <c r="E20" s="11" t="s">
        <v>7</v>
      </c>
      <c r="F20" s="526" t="s">
        <v>6</v>
      </c>
      <c r="G20" s="526"/>
      <c r="H20" s="527"/>
      <c r="I20" s="528"/>
      <c r="L20" s="8"/>
    </row>
    <row r="21" spans="1:13" x14ac:dyDescent="0.25">
      <c r="A21" s="523" t="s">
        <v>5</v>
      </c>
      <c r="B21" s="524"/>
      <c r="C21" s="525"/>
      <c r="D21" s="10">
        <v>950</v>
      </c>
      <c r="E21" s="9" t="s">
        <v>2</v>
      </c>
      <c r="F21" s="533" t="s">
        <v>4</v>
      </c>
      <c r="G21" s="533"/>
      <c r="H21" s="527"/>
      <c r="I21" s="528"/>
      <c r="L21" s="8"/>
    </row>
    <row r="22" spans="1:13" ht="15.75" thickBot="1" x14ac:dyDescent="0.3">
      <c r="A22" s="534" t="s">
        <v>3</v>
      </c>
      <c r="B22" s="535"/>
      <c r="C22" s="536"/>
      <c r="D22" s="7">
        <f>SUM(E9:E11)-D18</f>
        <v>1</v>
      </c>
      <c r="E22" s="6" t="s">
        <v>2</v>
      </c>
      <c r="F22" s="537"/>
      <c r="G22" s="537"/>
      <c r="H22" s="599"/>
      <c r="I22" s="600"/>
      <c r="J22" s="5"/>
      <c r="K22" s="5"/>
      <c r="M22" s="5"/>
    </row>
    <row r="23" spans="1:13" ht="15.75" thickBot="1" x14ac:dyDescent="0.3">
      <c r="A23" s="592" t="s">
        <v>1</v>
      </c>
      <c r="B23" s="593"/>
      <c r="C23" s="593"/>
      <c r="D23" s="593"/>
      <c r="E23" s="593"/>
      <c r="F23" s="593"/>
      <c r="G23" s="593"/>
      <c r="H23" s="593"/>
      <c r="I23" s="594"/>
    </row>
    <row r="24" spans="1:13" x14ac:dyDescent="0.25">
      <c r="A24" s="595" t="s">
        <v>50</v>
      </c>
      <c r="B24" s="596"/>
      <c r="C24" s="597"/>
      <c r="D24" s="597"/>
      <c r="E24" s="597"/>
      <c r="F24" s="597"/>
      <c r="G24" s="597"/>
      <c r="H24" s="597"/>
      <c r="I24" s="598"/>
      <c r="J24" s="1"/>
      <c r="K24" s="1"/>
      <c r="L24" s="3"/>
      <c r="M24" s="1"/>
    </row>
    <row r="25" spans="1:13" ht="27.6" customHeight="1" x14ac:dyDescent="0.25">
      <c r="A25" s="529"/>
      <c r="B25" s="530"/>
      <c r="C25" s="531"/>
      <c r="D25" s="531"/>
      <c r="E25" s="531"/>
      <c r="F25" s="531"/>
      <c r="G25" s="531"/>
      <c r="H25" s="531"/>
      <c r="I25" s="532"/>
      <c r="J25" s="1"/>
      <c r="K25" s="1"/>
      <c r="L25" s="3"/>
      <c r="M25" s="4"/>
    </row>
    <row r="26" spans="1:13" x14ac:dyDescent="0.25">
      <c r="A26" s="542"/>
      <c r="B26" s="543"/>
      <c r="C26" s="544"/>
      <c r="D26" s="544"/>
      <c r="E26" s="544"/>
      <c r="F26" s="544"/>
      <c r="G26" s="544"/>
      <c r="H26" s="544"/>
      <c r="I26" s="545"/>
      <c r="J26" s="2"/>
      <c r="K26" s="2"/>
      <c r="L26" s="3"/>
      <c r="M26" s="2"/>
    </row>
    <row r="27" spans="1:13" x14ac:dyDescent="0.25">
      <c r="A27" s="574"/>
      <c r="B27" s="575"/>
      <c r="C27" s="575"/>
      <c r="D27" s="575"/>
      <c r="E27" s="575"/>
      <c r="F27" s="575"/>
      <c r="G27" s="575"/>
      <c r="H27" s="575"/>
      <c r="I27" s="576"/>
      <c r="J27" s="2"/>
      <c r="K27" s="2"/>
      <c r="L27" s="3"/>
      <c r="M27" s="2"/>
    </row>
    <row r="28" spans="1:13" x14ac:dyDescent="0.25">
      <c r="A28" s="577"/>
      <c r="B28" s="578"/>
      <c r="C28" s="579"/>
      <c r="D28" s="579"/>
      <c r="E28" s="579"/>
      <c r="F28" s="579"/>
      <c r="G28" s="579"/>
      <c r="H28" s="579"/>
      <c r="I28" s="580"/>
      <c r="J28" s="1"/>
      <c r="K28" s="1"/>
      <c r="L28" s="1"/>
      <c r="M28" s="1"/>
    </row>
    <row r="29" spans="1:13" ht="15.75" thickBot="1" x14ac:dyDescent="0.3">
      <c r="A29" s="581"/>
      <c r="B29" s="582"/>
      <c r="C29" s="583"/>
      <c r="D29" s="583"/>
      <c r="E29" s="583"/>
      <c r="F29" s="583"/>
      <c r="G29" s="583"/>
      <c r="H29" s="583"/>
      <c r="I29" s="584"/>
      <c r="J29" s="1"/>
      <c r="K29" s="1"/>
      <c r="L29" s="1"/>
      <c r="M29" s="1"/>
    </row>
    <row r="30" spans="1:13" x14ac:dyDescent="0.25">
      <c r="A30" s="585" t="s">
        <v>0</v>
      </c>
      <c r="B30" s="586"/>
      <c r="C30" s="586"/>
      <c r="D30" s="586"/>
      <c r="E30" s="586"/>
      <c r="F30" s="586"/>
      <c r="G30" s="586"/>
      <c r="H30" s="586"/>
      <c r="I30" s="587"/>
      <c r="J30" s="1"/>
      <c r="K30" s="1"/>
      <c r="L30" s="1"/>
      <c r="M30" s="1"/>
    </row>
    <row r="31" spans="1:13" ht="15.75" thickBot="1" x14ac:dyDescent="0.3">
      <c r="A31" s="588"/>
      <c r="B31" s="589"/>
      <c r="C31" s="590"/>
      <c r="D31" s="590"/>
      <c r="E31" s="590"/>
      <c r="F31" s="590"/>
      <c r="G31" s="590"/>
      <c r="H31" s="590"/>
      <c r="I31" s="591"/>
      <c r="J31" s="1"/>
      <c r="K31" s="1"/>
      <c r="L31" s="1"/>
      <c r="M31" s="1"/>
    </row>
    <row r="32" spans="1:13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  <c r="J32" s="1"/>
      <c r="K32" s="1"/>
      <c r="L32" s="1"/>
      <c r="M32" s="1"/>
    </row>
    <row r="33" spans="1:13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  <c r="J33" s="1"/>
      <c r="K33" s="1"/>
      <c r="L33" s="1"/>
      <c r="M33" s="1"/>
    </row>
    <row r="34" spans="1:13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13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13" ht="15.75" thickBot="1" x14ac:dyDescent="0.3">
      <c r="A36" s="538"/>
      <c r="B36" s="539"/>
      <c r="C36" s="540"/>
      <c r="D36" s="540"/>
      <c r="E36" s="540"/>
      <c r="F36" s="540"/>
      <c r="G36" s="540"/>
      <c r="H36" s="540"/>
      <c r="I36" s="541"/>
    </row>
    <row r="37" spans="1:13" ht="15.75" thickBot="1" x14ac:dyDescent="0.3">
      <c r="A37" s="538"/>
      <c r="B37" s="539"/>
      <c r="C37" s="540"/>
      <c r="D37" s="540"/>
      <c r="E37" s="540"/>
      <c r="F37" s="540"/>
      <c r="G37" s="540"/>
      <c r="H37" s="540"/>
      <c r="I37" s="541"/>
    </row>
    <row r="38" spans="1:13" ht="15.75" thickBot="1" x14ac:dyDescent="0.3">
      <c r="A38" s="538"/>
      <c r="B38" s="539"/>
      <c r="C38" s="540"/>
      <c r="D38" s="540"/>
      <c r="E38" s="540"/>
      <c r="F38" s="540"/>
      <c r="G38" s="540"/>
      <c r="H38" s="540"/>
      <c r="I38" s="541"/>
    </row>
    <row r="39" spans="1:13" ht="15" customHeight="1" thickBot="1" x14ac:dyDescent="0.3">
      <c r="A39" s="513"/>
      <c r="B39" s="514"/>
      <c r="C39" s="515"/>
      <c r="D39" s="515"/>
      <c r="E39" s="515"/>
      <c r="F39" s="515"/>
      <c r="G39" s="515"/>
      <c r="H39" s="515"/>
      <c r="I39" s="516"/>
    </row>
  </sheetData>
  <mergeCells count="49">
    <mergeCell ref="A23:I23"/>
    <mergeCell ref="A24:I24"/>
    <mergeCell ref="H22:I22"/>
    <mergeCell ref="A20:C20"/>
    <mergeCell ref="F20:G20"/>
    <mergeCell ref="H20:I20"/>
    <mergeCell ref="A21:C21"/>
    <mergeCell ref="A37:I37"/>
    <mergeCell ref="A36:I36"/>
    <mergeCell ref="A35:I35"/>
    <mergeCell ref="A27:I27"/>
    <mergeCell ref="A34:I34"/>
    <mergeCell ref="A28:I28"/>
    <mergeCell ref="A29:I29"/>
    <mergeCell ref="A30:I30"/>
    <mergeCell ref="A31:I31"/>
    <mergeCell ref="A32:I32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A39:I39"/>
    <mergeCell ref="A18:C18"/>
    <mergeCell ref="F18:G18"/>
    <mergeCell ref="H18:I18"/>
    <mergeCell ref="A19:C19"/>
    <mergeCell ref="F19:G19"/>
    <mergeCell ref="H19:I19"/>
    <mergeCell ref="A25:I25"/>
    <mergeCell ref="F21:G21"/>
    <mergeCell ref="H21:I21"/>
    <mergeCell ref="A22:C22"/>
    <mergeCell ref="F22:G22"/>
    <mergeCell ref="A38:I38"/>
    <mergeCell ref="A33:I33"/>
    <mergeCell ref="A26:I26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ABF1-EE54-4724-97CC-689175FDEAD5}">
  <dimension ref="A1:M39"/>
  <sheetViews>
    <sheetView topLeftCell="A6" workbookViewId="0">
      <selection activeCell="E10" sqref="E10"/>
    </sheetView>
  </sheetViews>
  <sheetFormatPr baseColWidth="10" defaultRowHeight="15" x14ac:dyDescent="0.25"/>
  <cols>
    <col min="3" max="3" width="34.28515625" customWidth="1"/>
  </cols>
  <sheetData>
    <row r="1" spans="1:12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12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12" ht="18" x14ac:dyDescent="0.25">
      <c r="A3" s="559"/>
      <c r="B3" s="560"/>
      <c r="C3" s="566" t="s">
        <v>38</v>
      </c>
      <c r="D3" s="567"/>
      <c r="E3" s="567"/>
      <c r="F3" s="567"/>
      <c r="G3" s="568"/>
      <c r="H3" s="569" t="s">
        <v>31</v>
      </c>
      <c r="I3" s="546"/>
    </row>
    <row r="4" spans="1:12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12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12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12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12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12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450</v>
      </c>
      <c r="F9" s="55" t="s">
        <v>2</v>
      </c>
      <c r="G9" s="13"/>
      <c r="H9" s="54"/>
      <c r="I9" s="53"/>
    </row>
    <row r="10" spans="1:12" x14ac:dyDescent="0.25">
      <c r="A10" s="72" t="s">
        <v>42</v>
      </c>
      <c r="B10" s="73" t="s">
        <v>42</v>
      </c>
      <c r="C10" s="47" t="s">
        <v>184</v>
      </c>
      <c r="D10" s="40" t="s">
        <v>48</v>
      </c>
      <c r="E10" s="35">
        <v>240</v>
      </c>
      <c r="F10" s="52" t="s">
        <v>2</v>
      </c>
      <c r="G10" s="35"/>
      <c r="H10" s="49"/>
      <c r="I10" s="48"/>
    </row>
    <row r="11" spans="1:12" x14ac:dyDescent="0.25">
      <c r="A11" t="s">
        <v>44</v>
      </c>
      <c r="B11" t="s">
        <v>45</v>
      </c>
      <c r="C11" t="s">
        <v>46</v>
      </c>
      <c r="D11" s="40" t="s">
        <v>49</v>
      </c>
      <c r="E11" s="46">
        <v>2</v>
      </c>
      <c r="F11" s="45" t="s">
        <v>2</v>
      </c>
      <c r="G11" s="51"/>
      <c r="H11" s="49"/>
      <c r="I11" s="48"/>
    </row>
    <row r="12" spans="1:12" x14ac:dyDescent="0.25">
      <c r="A12" s="42"/>
      <c r="B12" s="67"/>
      <c r="C12" s="41"/>
      <c r="D12" s="40"/>
      <c r="E12" s="46"/>
      <c r="F12" s="45"/>
      <c r="G12" s="51"/>
      <c r="H12" s="49"/>
      <c r="I12" s="48"/>
    </row>
    <row r="13" spans="1:12" x14ac:dyDescent="0.25">
      <c r="A13" s="32"/>
      <c r="B13" s="68"/>
      <c r="C13" s="31"/>
      <c r="D13" s="30"/>
      <c r="E13" s="29"/>
      <c r="F13" s="28"/>
      <c r="G13" s="11"/>
      <c r="H13" s="26"/>
      <c r="I13" s="33"/>
    </row>
    <row r="14" spans="1:12" x14ac:dyDescent="0.25">
      <c r="A14" s="32"/>
      <c r="B14" s="68"/>
      <c r="C14" s="31"/>
      <c r="D14" s="30"/>
      <c r="E14" s="29"/>
      <c r="F14" s="28"/>
      <c r="G14" s="11"/>
      <c r="H14" s="26"/>
      <c r="I14" s="33"/>
    </row>
    <row r="15" spans="1:12" x14ac:dyDescent="0.25">
      <c r="A15" s="32"/>
      <c r="B15" s="68"/>
      <c r="C15" s="31"/>
      <c r="D15" s="30"/>
      <c r="E15" s="29"/>
      <c r="F15" s="28"/>
      <c r="G15" s="27"/>
      <c r="H15" s="26"/>
      <c r="I15" s="25"/>
    </row>
    <row r="16" spans="1:12" ht="15.75" thickBot="1" x14ac:dyDescent="0.3">
      <c r="A16" s="24"/>
      <c r="B16" s="69"/>
      <c r="C16" s="21"/>
      <c r="D16" s="21"/>
      <c r="E16" s="23"/>
      <c r="F16" s="22"/>
      <c r="G16" s="21"/>
      <c r="H16" s="21"/>
      <c r="I16" s="20"/>
      <c r="L16" s="8"/>
    </row>
    <row r="17" spans="1:13" ht="15.75" thickBot="1" x14ac:dyDescent="0.3">
      <c r="A17" s="19"/>
      <c r="B17" s="70"/>
      <c r="C17" s="15"/>
      <c r="D17" s="18" t="s">
        <v>15</v>
      </c>
      <c r="E17" s="17" t="s">
        <v>14</v>
      </c>
      <c r="F17" s="16"/>
      <c r="G17" s="15"/>
      <c r="H17" s="15"/>
      <c r="I17" s="14"/>
      <c r="L17" s="8"/>
    </row>
    <row r="18" spans="1:13" x14ac:dyDescent="0.25">
      <c r="A18" s="517" t="s">
        <v>13</v>
      </c>
      <c r="B18" s="518"/>
      <c r="C18" s="519"/>
      <c r="D18" s="13">
        <v>690</v>
      </c>
      <c r="E18" s="12" t="s">
        <v>2</v>
      </c>
      <c r="F18" s="520" t="s">
        <v>12</v>
      </c>
      <c r="G18" s="520"/>
      <c r="H18" s="521"/>
      <c r="I18" s="522"/>
      <c r="L18" s="8"/>
    </row>
    <row r="19" spans="1:13" x14ac:dyDescent="0.25">
      <c r="A19" s="523" t="s">
        <v>11</v>
      </c>
      <c r="B19" s="524"/>
      <c r="C19" s="525"/>
      <c r="D19" s="11">
        <v>3</v>
      </c>
      <c r="E19" s="11" t="s">
        <v>10</v>
      </c>
      <c r="F19" s="526" t="s">
        <v>9</v>
      </c>
      <c r="G19" s="526"/>
      <c r="H19" s="527"/>
      <c r="I19" s="528"/>
      <c r="L19" s="8"/>
    </row>
    <row r="20" spans="1:13" x14ac:dyDescent="0.25">
      <c r="A20" s="523" t="s">
        <v>8</v>
      </c>
      <c r="B20" s="524"/>
      <c r="C20" s="525"/>
      <c r="D20" s="11">
        <v>1</v>
      </c>
      <c r="E20" s="11" t="s">
        <v>7</v>
      </c>
      <c r="F20" s="526" t="s">
        <v>6</v>
      </c>
      <c r="G20" s="526"/>
      <c r="H20" s="527"/>
      <c r="I20" s="528"/>
      <c r="L20" s="8"/>
    </row>
    <row r="21" spans="1:13" x14ac:dyDescent="0.25">
      <c r="A21" s="523" t="s">
        <v>5</v>
      </c>
      <c r="B21" s="524"/>
      <c r="C21" s="525"/>
      <c r="D21" s="10">
        <v>690</v>
      </c>
      <c r="E21" s="9" t="s">
        <v>2</v>
      </c>
      <c r="F21" s="533" t="s">
        <v>4</v>
      </c>
      <c r="G21" s="533"/>
      <c r="H21" s="527"/>
      <c r="I21" s="528"/>
      <c r="L21" s="8"/>
    </row>
    <row r="22" spans="1:13" ht="15.75" thickBot="1" x14ac:dyDescent="0.3">
      <c r="A22" s="534" t="s">
        <v>3</v>
      </c>
      <c r="B22" s="535"/>
      <c r="C22" s="536"/>
      <c r="D22" s="7">
        <v>2</v>
      </c>
      <c r="E22" s="6" t="s">
        <v>2</v>
      </c>
      <c r="F22" s="537"/>
      <c r="G22" s="537"/>
      <c r="H22" s="599"/>
      <c r="I22" s="600"/>
      <c r="J22" s="5"/>
      <c r="K22" s="5"/>
      <c r="M22" s="5"/>
    </row>
    <row r="23" spans="1:13" ht="15.75" thickBot="1" x14ac:dyDescent="0.3">
      <c r="A23" s="592" t="s">
        <v>1</v>
      </c>
      <c r="B23" s="593"/>
      <c r="C23" s="593"/>
      <c r="D23" s="593"/>
      <c r="E23" s="593"/>
      <c r="F23" s="593"/>
      <c r="G23" s="593"/>
      <c r="H23" s="593"/>
      <c r="I23" s="594"/>
    </row>
    <row r="24" spans="1:13" x14ac:dyDescent="0.25">
      <c r="A24" s="595" t="s">
        <v>50</v>
      </c>
      <c r="B24" s="596"/>
      <c r="C24" s="597"/>
      <c r="D24" s="597"/>
      <c r="E24" s="597"/>
      <c r="F24" s="597"/>
      <c r="G24" s="597"/>
      <c r="H24" s="597"/>
      <c r="I24" s="598"/>
      <c r="J24" s="1"/>
      <c r="K24" s="1"/>
      <c r="L24" s="3"/>
      <c r="M24" s="1"/>
    </row>
    <row r="25" spans="1:13" x14ac:dyDescent="0.25">
      <c r="A25" s="529"/>
      <c r="B25" s="530"/>
      <c r="C25" s="531"/>
      <c r="D25" s="531"/>
      <c r="E25" s="531"/>
      <c r="F25" s="531"/>
      <c r="G25" s="531"/>
      <c r="H25" s="531"/>
      <c r="I25" s="532"/>
      <c r="J25" s="1"/>
      <c r="K25" s="1"/>
      <c r="L25" s="3"/>
      <c r="M25" s="4"/>
    </row>
    <row r="26" spans="1:13" x14ac:dyDescent="0.25">
      <c r="A26" s="542"/>
      <c r="B26" s="543"/>
      <c r="C26" s="544"/>
      <c r="D26" s="544"/>
      <c r="E26" s="544"/>
      <c r="F26" s="544"/>
      <c r="G26" s="544"/>
      <c r="H26" s="544"/>
      <c r="I26" s="545"/>
      <c r="J26" s="2"/>
      <c r="K26" s="2"/>
      <c r="L26" s="3"/>
      <c r="M26" s="2"/>
    </row>
    <row r="27" spans="1:13" x14ac:dyDescent="0.25">
      <c r="A27" s="574"/>
      <c r="B27" s="575"/>
      <c r="C27" s="575"/>
      <c r="D27" s="575"/>
      <c r="E27" s="575"/>
      <c r="F27" s="575"/>
      <c r="G27" s="575"/>
      <c r="H27" s="575"/>
      <c r="I27" s="576"/>
      <c r="J27" s="2"/>
      <c r="K27" s="2"/>
      <c r="L27" s="3"/>
      <c r="M27" s="2"/>
    </row>
    <row r="28" spans="1:13" x14ac:dyDescent="0.25">
      <c r="A28" s="577"/>
      <c r="B28" s="578"/>
      <c r="C28" s="579"/>
      <c r="D28" s="579"/>
      <c r="E28" s="579"/>
      <c r="F28" s="579"/>
      <c r="G28" s="579"/>
      <c r="H28" s="579"/>
      <c r="I28" s="580"/>
      <c r="J28" s="1"/>
      <c r="K28" s="1"/>
      <c r="L28" s="1"/>
      <c r="M28" s="1"/>
    </row>
    <row r="29" spans="1:13" ht="15.75" thickBot="1" x14ac:dyDescent="0.3">
      <c r="A29" s="581"/>
      <c r="B29" s="582"/>
      <c r="C29" s="583"/>
      <c r="D29" s="583"/>
      <c r="E29" s="583"/>
      <c r="F29" s="583"/>
      <c r="G29" s="583"/>
      <c r="H29" s="583"/>
      <c r="I29" s="584"/>
      <c r="J29" s="1"/>
      <c r="K29" s="1"/>
      <c r="L29" s="1"/>
      <c r="M29" s="1"/>
    </row>
    <row r="30" spans="1:13" x14ac:dyDescent="0.25">
      <c r="A30" s="585" t="s">
        <v>0</v>
      </c>
      <c r="B30" s="586"/>
      <c r="C30" s="586"/>
      <c r="D30" s="586"/>
      <c r="E30" s="586"/>
      <c r="F30" s="586"/>
      <c r="G30" s="586"/>
      <c r="H30" s="586"/>
      <c r="I30" s="587"/>
      <c r="J30" s="1"/>
      <c r="K30" s="1"/>
      <c r="L30" s="1"/>
      <c r="M30" s="1"/>
    </row>
    <row r="31" spans="1:13" ht="15.75" thickBot="1" x14ac:dyDescent="0.3">
      <c r="A31" s="588"/>
      <c r="B31" s="589"/>
      <c r="C31" s="590"/>
      <c r="D31" s="590"/>
      <c r="E31" s="590"/>
      <c r="F31" s="590"/>
      <c r="G31" s="590"/>
      <c r="H31" s="590"/>
      <c r="I31" s="591"/>
      <c r="J31" s="1"/>
      <c r="K31" s="1"/>
      <c r="L31" s="1"/>
      <c r="M31" s="1"/>
    </row>
    <row r="32" spans="1:13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  <c r="J32" s="1"/>
      <c r="K32" s="1"/>
      <c r="L32" s="1"/>
      <c r="M32" s="1"/>
    </row>
    <row r="33" spans="1:13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  <c r="J33" s="1"/>
      <c r="K33" s="1"/>
      <c r="L33" s="1"/>
      <c r="M33" s="1"/>
    </row>
    <row r="34" spans="1:13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13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13" ht="15.75" thickBot="1" x14ac:dyDescent="0.3">
      <c r="A36" s="538"/>
      <c r="B36" s="539"/>
      <c r="C36" s="540"/>
      <c r="D36" s="540"/>
      <c r="E36" s="540"/>
      <c r="F36" s="540"/>
      <c r="G36" s="540"/>
      <c r="H36" s="540"/>
      <c r="I36" s="541"/>
    </row>
    <row r="37" spans="1:13" ht="15.75" thickBot="1" x14ac:dyDescent="0.3">
      <c r="A37" s="538"/>
      <c r="B37" s="539"/>
      <c r="C37" s="540"/>
      <c r="D37" s="540"/>
      <c r="E37" s="540"/>
      <c r="F37" s="540"/>
      <c r="G37" s="540"/>
      <c r="H37" s="540"/>
      <c r="I37" s="541"/>
    </row>
    <row r="38" spans="1:13" ht="15.75" thickBot="1" x14ac:dyDescent="0.3">
      <c r="A38" s="538"/>
      <c r="B38" s="539"/>
      <c r="C38" s="540"/>
      <c r="D38" s="540"/>
      <c r="E38" s="540"/>
      <c r="F38" s="540"/>
      <c r="G38" s="540"/>
      <c r="H38" s="540"/>
      <c r="I38" s="541"/>
    </row>
    <row r="39" spans="1:13" ht="15.75" thickBot="1" x14ac:dyDescent="0.3">
      <c r="A39" s="513"/>
      <c r="B39" s="514"/>
      <c r="C39" s="515"/>
      <c r="D39" s="515"/>
      <c r="E39" s="515"/>
      <c r="F39" s="515"/>
      <c r="G39" s="515"/>
      <c r="H39" s="515"/>
      <c r="I39" s="516"/>
    </row>
  </sheetData>
  <mergeCells count="49">
    <mergeCell ref="A24:I24"/>
    <mergeCell ref="A37:I37"/>
    <mergeCell ref="A36:I36"/>
    <mergeCell ref="A35:I35"/>
    <mergeCell ref="A27:I27"/>
    <mergeCell ref="A34:I34"/>
    <mergeCell ref="A28:I28"/>
    <mergeCell ref="A29:I29"/>
    <mergeCell ref="A30:I30"/>
    <mergeCell ref="A31:I31"/>
    <mergeCell ref="A32:I32"/>
    <mergeCell ref="A33:I33"/>
    <mergeCell ref="A20:C20"/>
    <mergeCell ref="F20:G20"/>
    <mergeCell ref="H20:I20"/>
    <mergeCell ref="A21:C21"/>
    <mergeCell ref="A23:I23"/>
    <mergeCell ref="D6:F6"/>
    <mergeCell ref="A39:I39"/>
    <mergeCell ref="A18:C18"/>
    <mergeCell ref="F18:G18"/>
    <mergeCell ref="H18:I18"/>
    <mergeCell ref="A19:C19"/>
    <mergeCell ref="F19:G19"/>
    <mergeCell ref="H19:I19"/>
    <mergeCell ref="A25:I25"/>
    <mergeCell ref="F21:G21"/>
    <mergeCell ref="H21:I21"/>
    <mergeCell ref="A22:C22"/>
    <mergeCell ref="F22:G22"/>
    <mergeCell ref="A38:I38"/>
    <mergeCell ref="A26:I26"/>
    <mergeCell ref="H22:I22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FB81-6151-4819-8889-7D317739ABD8}">
  <dimension ref="A1:M39"/>
  <sheetViews>
    <sheetView topLeftCell="A7" workbookViewId="0">
      <selection activeCell="C10" sqref="C10"/>
    </sheetView>
  </sheetViews>
  <sheetFormatPr baseColWidth="10" defaultRowHeight="15" x14ac:dyDescent="0.25"/>
  <cols>
    <col min="3" max="3" width="35.7109375" customWidth="1"/>
  </cols>
  <sheetData>
    <row r="1" spans="1:12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12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12" ht="18" x14ac:dyDescent="0.25">
      <c r="A3" s="559"/>
      <c r="B3" s="560"/>
      <c r="C3" s="566" t="s">
        <v>38</v>
      </c>
      <c r="D3" s="567"/>
      <c r="E3" s="567"/>
      <c r="F3" s="567"/>
      <c r="G3" s="568"/>
      <c r="H3" s="569" t="s">
        <v>31</v>
      </c>
      <c r="I3" s="546"/>
    </row>
    <row r="4" spans="1:12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12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12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12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12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12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450</v>
      </c>
      <c r="F9" s="55" t="s">
        <v>2</v>
      </c>
      <c r="G9" s="13"/>
      <c r="H9" s="54"/>
      <c r="I9" s="53"/>
    </row>
    <row r="10" spans="1:12" x14ac:dyDescent="0.25">
      <c r="A10" s="72" t="s">
        <v>42</v>
      </c>
      <c r="B10" s="73" t="s">
        <v>42</v>
      </c>
      <c r="C10" s="47" t="s">
        <v>184</v>
      </c>
      <c r="D10" s="40" t="s">
        <v>48</v>
      </c>
      <c r="E10" s="35">
        <v>360</v>
      </c>
      <c r="F10" s="52" t="s">
        <v>2</v>
      </c>
      <c r="G10" s="35"/>
      <c r="H10" s="49"/>
      <c r="I10" s="48"/>
    </row>
    <row r="11" spans="1:12" x14ac:dyDescent="0.25">
      <c r="A11" t="s">
        <v>44</v>
      </c>
      <c r="B11" t="s">
        <v>45</v>
      </c>
      <c r="C11" t="s">
        <v>46</v>
      </c>
      <c r="D11" s="40" t="s">
        <v>49</v>
      </c>
      <c r="E11" s="46">
        <v>2</v>
      </c>
      <c r="F11" s="45" t="s">
        <v>2</v>
      </c>
      <c r="G11" s="51"/>
      <c r="H11" s="49"/>
      <c r="I11" s="48"/>
    </row>
    <row r="12" spans="1:12" x14ac:dyDescent="0.25">
      <c r="A12" s="42"/>
      <c r="B12" s="67"/>
      <c r="C12" s="41"/>
      <c r="D12" s="40"/>
      <c r="E12" s="46"/>
      <c r="F12" s="45"/>
      <c r="G12" s="51"/>
      <c r="H12" s="49"/>
      <c r="I12" s="48"/>
    </row>
    <row r="13" spans="1:12" x14ac:dyDescent="0.25">
      <c r="A13" s="32"/>
      <c r="B13" s="68"/>
      <c r="C13" s="31"/>
      <c r="D13" s="30"/>
      <c r="E13" s="29"/>
      <c r="F13" s="28"/>
      <c r="G13" s="11"/>
      <c r="H13" s="26"/>
      <c r="I13" s="33"/>
    </row>
    <row r="14" spans="1:12" x14ac:dyDescent="0.25">
      <c r="A14" s="32"/>
      <c r="B14" s="68"/>
      <c r="C14" s="31"/>
      <c r="D14" s="30"/>
      <c r="E14" s="29"/>
      <c r="F14" s="28"/>
      <c r="G14" s="11"/>
      <c r="H14" s="26"/>
      <c r="I14" s="33"/>
    </row>
    <row r="15" spans="1:12" x14ac:dyDescent="0.25">
      <c r="A15" s="32"/>
      <c r="B15" s="68"/>
      <c r="C15" s="31"/>
      <c r="D15" s="30"/>
      <c r="E15" s="29"/>
      <c r="F15" s="28"/>
      <c r="G15" s="27"/>
      <c r="H15" s="26"/>
      <c r="I15" s="25"/>
    </row>
    <row r="16" spans="1:12" ht="15.75" thickBot="1" x14ac:dyDescent="0.3">
      <c r="A16" s="24"/>
      <c r="B16" s="69"/>
      <c r="C16" s="21"/>
      <c r="D16" s="21"/>
      <c r="E16" s="23"/>
      <c r="F16" s="22"/>
      <c r="G16" s="21"/>
      <c r="H16" s="21"/>
      <c r="I16" s="20"/>
      <c r="L16" s="8"/>
    </row>
    <row r="17" spans="1:13" ht="15.75" thickBot="1" x14ac:dyDescent="0.3">
      <c r="A17" s="19"/>
      <c r="B17" s="70"/>
      <c r="C17" s="15"/>
      <c r="D17" s="18" t="s">
        <v>15</v>
      </c>
      <c r="E17" s="17" t="s">
        <v>14</v>
      </c>
      <c r="F17" s="16"/>
      <c r="G17" s="15"/>
      <c r="H17" s="15"/>
      <c r="I17" s="14"/>
      <c r="L17" s="8"/>
    </row>
    <row r="18" spans="1:13" x14ac:dyDescent="0.25">
      <c r="A18" s="517" t="s">
        <v>13</v>
      </c>
      <c r="B18" s="518"/>
      <c r="C18" s="519"/>
      <c r="D18" s="13">
        <v>790</v>
      </c>
      <c r="E18" s="12" t="s">
        <v>2</v>
      </c>
      <c r="F18" s="520" t="s">
        <v>12</v>
      </c>
      <c r="G18" s="520"/>
      <c r="H18" s="521"/>
      <c r="I18" s="522"/>
      <c r="L18" s="8"/>
    </row>
    <row r="19" spans="1:13" x14ac:dyDescent="0.25">
      <c r="A19" s="523" t="s">
        <v>11</v>
      </c>
      <c r="B19" s="524"/>
      <c r="C19" s="525"/>
      <c r="D19" s="11">
        <v>2</v>
      </c>
      <c r="E19" s="11" t="s">
        <v>10</v>
      </c>
      <c r="F19" s="526" t="s">
        <v>9</v>
      </c>
      <c r="G19" s="526"/>
      <c r="H19" s="527"/>
      <c r="I19" s="528"/>
      <c r="L19" s="8"/>
    </row>
    <row r="20" spans="1:13" x14ac:dyDescent="0.25">
      <c r="A20" s="523" t="s">
        <v>8</v>
      </c>
      <c r="B20" s="524"/>
      <c r="C20" s="525"/>
      <c r="D20" s="11">
        <v>1</v>
      </c>
      <c r="E20" s="11" t="s">
        <v>7</v>
      </c>
      <c r="F20" s="526" t="s">
        <v>6</v>
      </c>
      <c r="G20" s="526"/>
      <c r="H20" s="527"/>
      <c r="I20" s="528"/>
      <c r="L20" s="8"/>
    </row>
    <row r="21" spans="1:13" x14ac:dyDescent="0.25">
      <c r="A21" s="523" t="s">
        <v>5</v>
      </c>
      <c r="B21" s="524"/>
      <c r="C21" s="525"/>
      <c r="D21" s="10">
        <v>790</v>
      </c>
      <c r="E21" s="9" t="s">
        <v>2</v>
      </c>
      <c r="F21" s="533" t="s">
        <v>4</v>
      </c>
      <c r="G21" s="533"/>
      <c r="H21" s="527"/>
      <c r="I21" s="528"/>
      <c r="L21" s="8"/>
    </row>
    <row r="22" spans="1:13" ht="15.75" thickBot="1" x14ac:dyDescent="0.3">
      <c r="A22" s="534" t="s">
        <v>3</v>
      </c>
      <c r="B22" s="535"/>
      <c r="C22" s="536"/>
      <c r="D22" s="7">
        <v>22</v>
      </c>
      <c r="E22" s="6" t="s">
        <v>2</v>
      </c>
      <c r="F22" s="537"/>
      <c r="G22" s="537"/>
      <c r="H22" s="599"/>
      <c r="I22" s="600"/>
      <c r="J22" s="5"/>
      <c r="K22" s="5"/>
      <c r="M22" s="5"/>
    </row>
    <row r="23" spans="1:13" ht="15.75" thickBot="1" x14ac:dyDescent="0.3">
      <c r="A23" s="592" t="s">
        <v>1</v>
      </c>
      <c r="B23" s="593"/>
      <c r="C23" s="593"/>
      <c r="D23" s="593"/>
      <c r="E23" s="593"/>
      <c r="F23" s="593"/>
      <c r="G23" s="593"/>
      <c r="H23" s="593"/>
      <c r="I23" s="594"/>
    </row>
    <row r="24" spans="1:13" x14ac:dyDescent="0.25">
      <c r="A24" s="595" t="s">
        <v>50</v>
      </c>
      <c r="B24" s="596"/>
      <c r="C24" s="597"/>
      <c r="D24" s="597"/>
      <c r="E24" s="597"/>
      <c r="F24" s="597"/>
      <c r="G24" s="597"/>
      <c r="H24" s="597"/>
      <c r="I24" s="598"/>
      <c r="J24" s="1"/>
      <c r="K24" s="1"/>
      <c r="L24" s="3"/>
      <c r="M24" s="1"/>
    </row>
    <row r="25" spans="1:13" x14ac:dyDescent="0.25">
      <c r="A25" s="529"/>
      <c r="B25" s="530"/>
      <c r="C25" s="531"/>
      <c r="D25" s="531"/>
      <c r="E25" s="531"/>
      <c r="F25" s="531"/>
      <c r="G25" s="531"/>
      <c r="H25" s="531"/>
      <c r="I25" s="532"/>
      <c r="J25" s="1"/>
      <c r="K25" s="1"/>
      <c r="L25" s="3"/>
      <c r="M25" s="4"/>
    </row>
    <row r="26" spans="1:13" x14ac:dyDescent="0.25">
      <c r="A26" s="542"/>
      <c r="B26" s="543"/>
      <c r="C26" s="544"/>
      <c r="D26" s="544"/>
      <c r="E26" s="544"/>
      <c r="F26" s="544"/>
      <c r="G26" s="544"/>
      <c r="H26" s="544"/>
      <c r="I26" s="545"/>
      <c r="J26" s="2"/>
      <c r="K26" s="2"/>
      <c r="L26" s="3"/>
      <c r="M26" s="2"/>
    </row>
    <row r="27" spans="1:13" x14ac:dyDescent="0.25">
      <c r="A27" s="574"/>
      <c r="B27" s="575"/>
      <c r="C27" s="575"/>
      <c r="D27" s="575"/>
      <c r="E27" s="575"/>
      <c r="F27" s="575"/>
      <c r="G27" s="575"/>
      <c r="H27" s="575"/>
      <c r="I27" s="576"/>
      <c r="J27" s="2"/>
      <c r="K27" s="2"/>
      <c r="L27" s="3"/>
      <c r="M27" s="2"/>
    </row>
    <row r="28" spans="1:13" x14ac:dyDescent="0.25">
      <c r="A28" s="577"/>
      <c r="B28" s="578"/>
      <c r="C28" s="579"/>
      <c r="D28" s="579"/>
      <c r="E28" s="579"/>
      <c r="F28" s="579"/>
      <c r="G28" s="579"/>
      <c r="H28" s="579"/>
      <c r="I28" s="580"/>
      <c r="J28" s="1"/>
      <c r="K28" s="1"/>
      <c r="L28" s="1"/>
      <c r="M28" s="1"/>
    </row>
    <row r="29" spans="1:13" ht="15.75" thickBot="1" x14ac:dyDescent="0.3">
      <c r="A29" s="581"/>
      <c r="B29" s="582"/>
      <c r="C29" s="583"/>
      <c r="D29" s="583"/>
      <c r="E29" s="583"/>
      <c r="F29" s="583"/>
      <c r="G29" s="583"/>
      <c r="H29" s="583"/>
      <c r="I29" s="584"/>
      <c r="J29" s="1"/>
      <c r="K29" s="1"/>
      <c r="L29" s="1"/>
      <c r="M29" s="1"/>
    </row>
    <row r="30" spans="1:13" x14ac:dyDescent="0.25">
      <c r="A30" s="585" t="s">
        <v>0</v>
      </c>
      <c r="B30" s="586"/>
      <c r="C30" s="586"/>
      <c r="D30" s="586"/>
      <c r="E30" s="586"/>
      <c r="F30" s="586"/>
      <c r="G30" s="586"/>
      <c r="H30" s="586"/>
      <c r="I30" s="587"/>
      <c r="J30" s="1"/>
      <c r="K30" s="1"/>
      <c r="L30" s="1"/>
      <c r="M30" s="1"/>
    </row>
    <row r="31" spans="1:13" ht="15.75" thickBot="1" x14ac:dyDescent="0.3">
      <c r="A31" s="588"/>
      <c r="B31" s="589"/>
      <c r="C31" s="590"/>
      <c r="D31" s="590"/>
      <c r="E31" s="590"/>
      <c r="F31" s="590"/>
      <c r="G31" s="590"/>
      <c r="H31" s="590"/>
      <c r="I31" s="591"/>
      <c r="J31" s="1"/>
      <c r="K31" s="1"/>
      <c r="L31" s="1"/>
      <c r="M31" s="1"/>
    </row>
    <row r="32" spans="1:13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  <c r="J32" s="1"/>
      <c r="K32" s="1"/>
      <c r="L32" s="1"/>
      <c r="M32" s="1"/>
    </row>
    <row r="33" spans="1:13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  <c r="J33" s="1"/>
      <c r="K33" s="1"/>
      <c r="L33" s="1"/>
      <c r="M33" s="1"/>
    </row>
    <row r="34" spans="1:13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13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13" ht="15.75" thickBot="1" x14ac:dyDescent="0.3">
      <c r="A36" s="538"/>
      <c r="B36" s="539"/>
      <c r="C36" s="540"/>
      <c r="D36" s="540"/>
      <c r="E36" s="540"/>
      <c r="F36" s="540"/>
      <c r="G36" s="540"/>
      <c r="H36" s="540"/>
      <c r="I36" s="541"/>
    </row>
    <row r="37" spans="1:13" ht="15.75" thickBot="1" x14ac:dyDescent="0.3">
      <c r="A37" s="538"/>
      <c r="B37" s="539"/>
      <c r="C37" s="540"/>
      <c r="D37" s="540"/>
      <c r="E37" s="540"/>
      <c r="F37" s="540"/>
      <c r="G37" s="540"/>
      <c r="H37" s="540"/>
      <c r="I37" s="541"/>
    </row>
    <row r="38" spans="1:13" ht="15.75" thickBot="1" x14ac:dyDescent="0.3">
      <c r="A38" s="538"/>
      <c r="B38" s="539"/>
      <c r="C38" s="540"/>
      <c r="D38" s="540"/>
      <c r="E38" s="540"/>
      <c r="F38" s="540"/>
      <c r="G38" s="540"/>
      <c r="H38" s="540"/>
      <c r="I38" s="541"/>
    </row>
    <row r="39" spans="1:13" ht="15.75" thickBot="1" x14ac:dyDescent="0.3">
      <c r="A39" s="513"/>
      <c r="B39" s="514"/>
      <c r="C39" s="515"/>
      <c r="D39" s="515"/>
      <c r="E39" s="515"/>
      <c r="F39" s="515"/>
      <c r="G39" s="515"/>
      <c r="H39" s="515"/>
      <c r="I39" s="516"/>
    </row>
  </sheetData>
  <mergeCells count="49">
    <mergeCell ref="D6:F6"/>
    <mergeCell ref="A39:I39"/>
    <mergeCell ref="A18:C18"/>
    <mergeCell ref="F18:G18"/>
    <mergeCell ref="H18:I18"/>
    <mergeCell ref="A19:C19"/>
    <mergeCell ref="F19:G19"/>
    <mergeCell ref="H19:I19"/>
    <mergeCell ref="A25:I25"/>
    <mergeCell ref="F21:G21"/>
    <mergeCell ref="H21:I21"/>
    <mergeCell ref="A22:C22"/>
    <mergeCell ref="F22:G22"/>
    <mergeCell ref="A38:I38"/>
    <mergeCell ref="A33:I33"/>
    <mergeCell ref="A26:I26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A37:I37"/>
    <mergeCell ref="A36:I36"/>
    <mergeCell ref="A35:I35"/>
    <mergeCell ref="A27:I27"/>
    <mergeCell ref="A34:I34"/>
    <mergeCell ref="A28:I28"/>
    <mergeCell ref="A30:I30"/>
    <mergeCell ref="A31:I31"/>
    <mergeCell ref="A32:I32"/>
    <mergeCell ref="A29:I29"/>
    <mergeCell ref="A24:I24"/>
    <mergeCell ref="H22:I22"/>
    <mergeCell ref="A20:C20"/>
    <mergeCell ref="F20:G20"/>
    <mergeCell ref="H20:I20"/>
    <mergeCell ref="A21:C21"/>
    <mergeCell ref="A23:I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AC2D-695B-43AA-917C-5D1C9CC394F5}">
  <dimension ref="A1:Q91"/>
  <sheetViews>
    <sheetView workbookViewId="0">
      <selection activeCell="M7" sqref="M7"/>
    </sheetView>
  </sheetViews>
  <sheetFormatPr baseColWidth="10" defaultColWidth="8.42578125" defaultRowHeight="12.75" x14ac:dyDescent="0.25"/>
  <cols>
    <col min="1" max="1" width="10" style="110" bestFit="1" customWidth="1"/>
    <col min="2" max="2" width="44.28515625" style="110" bestFit="1" customWidth="1"/>
    <col min="3" max="3" width="10.42578125" style="110" bestFit="1" customWidth="1"/>
    <col min="4" max="4" width="10.42578125" style="110" customWidth="1"/>
    <col min="5" max="5" width="9.7109375" style="110" bestFit="1" customWidth="1"/>
    <col min="6" max="6" width="9.5703125" style="110" bestFit="1" customWidth="1"/>
    <col min="7" max="7" width="9.5703125" style="192" bestFit="1" customWidth="1"/>
    <col min="8" max="8" width="10.42578125" style="183" bestFit="1" customWidth="1"/>
    <col min="9" max="9" width="4.5703125" style="183" customWidth="1"/>
    <col min="10" max="10" width="1.7109375" style="109" customWidth="1"/>
    <col min="11" max="11" width="7" style="110" bestFit="1" customWidth="1"/>
    <col min="12" max="12" width="6.28515625" style="110" customWidth="1"/>
    <col min="13" max="13" width="20.42578125" style="110" customWidth="1"/>
    <col min="14" max="14" width="6.42578125" style="110" bestFit="1" customWidth="1"/>
    <col min="15" max="16" width="8.42578125" style="110"/>
    <col min="17" max="17" width="3.28515625" style="110" customWidth="1"/>
    <col min="18" max="256" width="8.42578125" style="110"/>
    <col min="257" max="257" width="10" style="110" bestFit="1" customWidth="1"/>
    <col min="258" max="258" width="44.28515625" style="110" bestFit="1" customWidth="1"/>
    <col min="259" max="259" width="10.42578125" style="110" bestFit="1" customWidth="1"/>
    <col min="260" max="260" width="10.42578125" style="110" customWidth="1"/>
    <col min="261" max="261" width="9.7109375" style="110" bestFit="1" customWidth="1"/>
    <col min="262" max="263" width="9.5703125" style="110" bestFit="1" customWidth="1"/>
    <col min="264" max="264" width="10.42578125" style="110" bestFit="1" customWidth="1"/>
    <col min="265" max="265" width="4.5703125" style="110" customWidth="1"/>
    <col min="266" max="266" width="1.7109375" style="110" customWidth="1"/>
    <col min="267" max="267" width="7" style="110" bestFit="1" customWidth="1"/>
    <col min="268" max="268" width="6.28515625" style="110" customWidth="1"/>
    <col min="269" max="269" width="20.42578125" style="110" customWidth="1"/>
    <col min="270" max="270" width="6.42578125" style="110" bestFit="1" customWidth="1"/>
    <col min="271" max="272" width="8.42578125" style="110"/>
    <col min="273" max="273" width="3.28515625" style="110" customWidth="1"/>
    <col min="274" max="512" width="8.42578125" style="110"/>
    <col min="513" max="513" width="10" style="110" bestFit="1" customWidth="1"/>
    <col min="514" max="514" width="44.28515625" style="110" bestFit="1" customWidth="1"/>
    <col min="515" max="515" width="10.42578125" style="110" bestFit="1" customWidth="1"/>
    <col min="516" max="516" width="10.42578125" style="110" customWidth="1"/>
    <col min="517" max="517" width="9.7109375" style="110" bestFit="1" customWidth="1"/>
    <col min="518" max="519" width="9.5703125" style="110" bestFit="1" customWidth="1"/>
    <col min="520" max="520" width="10.42578125" style="110" bestFit="1" customWidth="1"/>
    <col min="521" max="521" width="4.5703125" style="110" customWidth="1"/>
    <col min="522" max="522" width="1.7109375" style="110" customWidth="1"/>
    <col min="523" max="523" width="7" style="110" bestFit="1" customWidth="1"/>
    <col min="524" max="524" width="6.28515625" style="110" customWidth="1"/>
    <col min="525" max="525" width="20.42578125" style="110" customWidth="1"/>
    <col min="526" max="526" width="6.42578125" style="110" bestFit="1" customWidth="1"/>
    <col min="527" max="528" width="8.42578125" style="110"/>
    <col min="529" max="529" width="3.28515625" style="110" customWidth="1"/>
    <col min="530" max="768" width="8.42578125" style="110"/>
    <col min="769" max="769" width="10" style="110" bestFit="1" customWidth="1"/>
    <col min="770" max="770" width="44.28515625" style="110" bestFit="1" customWidth="1"/>
    <col min="771" max="771" width="10.42578125" style="110" bestFit="1" customWidth="1"/>
    <col min="772" max="772" width="10.42578125" style="110" customWidth="1"/>
    <col min="773" max="773" width="9.7109375" style="110" bestFit="1" customWidth="1"/>
    <col min="774" max="775" width="9.5703125" style="110" bestFit="1" customWidth="1"/>
    <col min="776" max="776" width="10.42578125" style="110" bestFit="1" customWidth="1"/>
    <col min="777" max="777" width="4.5703125" style="110" customWidth="1"/>
    <col min="778" max="778" width="1.7109375" style="110" customWidth="1"/>
    <col min="779" max="779" width="7" style="110" bestFit="1" customWidth="1"/>
    <col min="780" max="780" width="6.28515625" style="110" customWidth="1"/>
    <col min="781" max="781" width="20.42578125" style="110" customWidth="1"/>
    <col min="782" max="782" width="6.42578125" style="110" bestFit="1" customWidth="1"/>
    <col min="783" max="784" width="8.42578125" style="110"/>
    <col min="785" max="785" width="3.28515625" style="110" customWidth="1"/>
    <col min="786" max="1024" width="8.42578125" style="110"/>
    <col min="1025" max="1025" width="10" style="110" bestFit="1" customWidth="1"/>
    <col min="1026" max="1026" width="44.28515625" style="110" bestFit="1" customWidth="1"/>
    <col min="1027" max="1027" width="10.42578125" style="110" bestFit="1" customWidth="1"/>
    <col min="1028" max="1028" width="10.42578125" style="110" customWidth="1"/>
    <col min="1029" max="1029" width="9.7109375" style="110" bestFit="1" customWidth="1"/>
    <col min="1030" max="1031" width="9.5703125" style="110" bestFit="1" customWidth="1"/>
    <col min="1032" max="1032" width="10.42578125" style="110" bestFit="1" customWidth="1"/>
    <col min="1033" max="1033" width="4.5703125" style="110" customWidth="1"/>
    <col min="1034" max="1034" width="1.7109375" style="110" customWidth="1"/>
    <col min="1035" max="1035" width="7" style="110" bestFit="1" customWidth="1"/>
    <col min="1036" max="1036" width="6.28515625" style="110" customWidth="1"/>
    <col min="1037" max="1037" width="20.42578125" style="110" customWidth="1"/>
    <col min="1038" max="1038" width="6.42578125" style="110" bestFit="1" customWidth="1"/>
    <col min="1039" max="1040" width="8.42578125" style="110"/>
    <col min="1041" max="1041" width="3.28515625" style="110" customWidth="1"/>
    <col min="1042" max="1280" width="8.42578125" style="110"/>
    <col min="1281" max="1281" width="10" style="110" bestFit="1" customWidth="1"/>
    <col min="1282" max="1282" width="44.28515625" style="110" bestFit="1" customWidth="1"/>
    <col min="1283" max="1283" width="10.42578125" style="110" bestFit="1" customWidth="1"/>
    <col min="1284" max="1284" width="10.42578125" style="110" customWidth="1"/>
    <col min="1285" max="1285" width="9.7109375" style="110" bestFit="1" customWidth="1"/>
    <col min="1286" max="1287" width="9.5703125" style="110" bestFit="1" customWidth="1"/>
    <col min="1288" max="1288" width="10.42578125" style="110" bestFit="1" customWidth="1"/>
    <col min="1289" max="1289" width="4.5703125" style="110" customWidth="1"/>
    <col min="1290" max="1290" width="1.7109375" style="110" customWidth="1"/>
    <col min="1291" max="1291" width="7" style="110" bestFit="1" customWidth="1"/>
    <col min="1292" max="1292" width="6.28515625" style="110" customWidth="1"/>
    <col min="1293" max="1293" width="20.42578125" style="110" customWidth="1"/>
    <col min="1294" max="1294" width="6.42578125" style="110" bestFit="1" customWidth="1"/>
    <col min="1295" max="1296" width="8.42578125" style="110"/>
    <col min="1297" max="1297" width="3.28515625" style="110" customWidth="1"/>
    <col min="1298" max="1536" width="8.42578125" style="110"/>
    <col min="1537" max="1537" width="10" style="110" bestFit="1" customWidth="1"/>
    <col min="1538" max="1538" width="44.28515625" style="110" bestFit="1" customWidth="1"/>
    <col min="1539" max="1539" width="10.42578125" style="110" bestFit="1" customWidth="1"/>
    <col min="1540" max="1540" width="10.42578125" style="110" customWidth="1"/>
    <col min="1541" max="1541" width="9.7109375" style="110" bestFit="1" customWidth="1"/>
    <col min="1542" max="1543" width="9.5703125" style="110" bestFit="1" customWidth="1"/>
    <col min="1544" max="1544" width="10.42578125" style="110" bestFit="1" customWidth="1"/>
    <col min="1545" max="1545" width="4.5703125" style="110" customWidth="1"/>
    <col min="1546" max="1546" width="1.7109375" style="110" customWidth="1"/>
    <col min="1547" max="1547" width="7" style="110" bestFit="1" customWidth="1"/>
    <col min="1548" max="1548" width="6.28515625" style="110" customWidth="1"/>
    <col min="1549" max="1549" width="20.42578125" style="110" customWidth="1"/>
    <col min="1550" max="1550" width="6.42578125" style="110" bestFit="1" customWidth="1"/>
    <col min="1551" max="1552" width="8.42578125" style="110"/>
    <col min="1553" max="1553" width="3.28515625" style="110" customWidth="1"/>
    <col min="1554" max="1792" width="8.42578125" style="110"/>
    <col min="1793" max="1793" width="10" style="110" bestFit="1" customWidth="1"/>
    <col min="1794" max="1794" width="44.28515625" style="110" bestFit="1" customWidth="1"/>
    <col min="1795" max="1795" width="10.42578125" style="110" bestFit="1" customWidth="1"/>
    <col min="1796" max="1796" width="10.42578125" style="110" customWidth="1"/>
    <col min="1797" max="1797" width="9.7109375" style="110" bestFit="1" customWidth="1"/>
    <col min="1798" max="1799" width="9.5703125" style="110" bestFit="1" customWidth="1"/>
    <col min="1800" max="1800" width="10.42578125" style="110" bestFit="1" customWidth="1"/>
    <col min="1801" max="1801" width="4.5703125" style="110" customWidth="1"/>
    <col min="1802" max="1802" width="1.7109375" style="110" customWidth="1"/>
    <col min="1803" max="1803" width="7" style="110" bestFit="1" customWidth="1"/>
    <col min="1804" max="1804" width="6.28515625" style="110" customWidth="1"/>
    <col min="1805" max="1805" width="20.42578125" style="110" customWidth="1"/>
    <col min="1806" max="1806" width="6.42578125" style="110" bestFit="1" customWidth="1"/>
    <col min="1807" max="1808" width="8.42578125" style="110"/>
    <col min="1809" max="1809" width="3.28515625" style="110" customWidth="1"/>
    <col min="1810" max="2048" width="8.42578125" style="110"/>
    <col min="2049" max="2049" width="10" style="110" bestFit="1" customWidth="1"/>
    <col min="2050" max="2050" width="44.28515625" style="110" bestFit="1" customWidth="1"/>
    <col min="2051" max="2051" width="10.42578125" style="110" bestFit="1" customWidth="1"/>
    <col min="2052" max="2052" width="10.42578125" style="110" customWidth="1"/>
    <col min="2053" max="2053" width="9.7109375" style="110" bestFit="1" customWidth="1"/>
    <col min="2054" max="2055" width="9.5703125" style="110" bestFit="1" customWidth="1"/>
    <col min="2056" max="2056" width="10.42578125" style="110" bestFit="1" customWidth="1"/>
    <col min="2057" max="2057" width="4.5703125" style="110" customWidth="1"/>
    <col min="2058" max="2058" width="1.7109375" style="110" customWidth="1"/>
    <col min="2059" max="2059" width="7" style="110" bestFit="1" customWidth="1"/>
    <col min="2060" max="2060" width="6.28515625" style="110" customWidth="1"/>
    <col min="2061" max="2061" width="20.42578125" style="110" customWidth="1"/>
    <col min="2062" max="2062" width="6.42578125" style="110" bestFit="1" customWidth="1"/>
    <col min="2063" max="2064" width="8.42578125" style="110"/>
    <col min="2065" max="2065" width="3.28515625" style="110" customWidth="1"/>
    <col min="2066" max="2304" width="8.42578125" style="110"/>
    <col min="2305" max="2305" width="10" style="110" bestFit="1" customWidth="1"/>
    <col min="2306" max="2306" width="44.28515625" style="110" bestFit="1" customWidth="1"/>
    <col min="2307" max="2307" width="10.42578125" style="110" bestFit="1" customWidth="1"/>
    <col min="2308" max="2308" width="10.42578125" style="110" customWidth="1"/>
    <col min="2309" max="2309" width="9.7109375" style="110" bestFit="1" customWidth="1"/>
    <col min="2310" max="2311" width="9.5703125" style="110" bestFit="1" customWidth="1"/>
    <col min="2312" max="2312" width="10.42578125" style="110" bestFit="1" customWidth="1"/>
    <col min="2313" max="2313" width="4.5703125" style="110" customWidth="1"/>
    <col min="2314" max="2314" width="1.7109375" style="110" customWidth="1"/>
    <col min="2315" max="2315" width="7" style="110" bestFit="1" customWidth="1"/>
    <col min="2316" max="2316" width="6.28515625" style="110" customWidth="1"/>
    <col min="2317" max="2317" width="20.42578125" style="110" customWidth="1"/>
    <col min="2318" max="2318" width="6.42578125" style="110" bestFit="1" customWidth="1"/>
    <col min="2319" max="2320" width="8.42578125" style="110"/>
    <col min="2321" max="2321" width="3.28515625" style="110" customWidth="1"/>
    <col min="2322" max="2560" width="8.42578125" style="110"/>
    <col min="2561" max="2561" width="10" style="110" bestFit="1" customWidth="1"/>
    <col min="2562" max="2562" width="44.28515625" style="110" bestFit="1" customWidth="1"/>
    <col min="2563" max="2563" width="10.42578125" style="110" bestFit="1" customWidth="1"/>
    <col min="2564" max="2564" width="10.42578125" style="110" customWidth="1"/>
    <col min="2565" max="2565" width="9.7109375" style="110" bestFit="1" customWidth="1"/>
    <col min="2566" max="2567" width="9.5703125" style="110" bestFit="1" customWidth="1"/>
    <col min="2568" max="2568" width="10.42578125" style="110" bestFit="1" customWidth="1"/>
    <col min="2569" max="2569" width="4.5703125" style="110" customWidth="1"/>
    <col min="2570" max="2570" width="1.7109375" style="110" customWidth="1"/>
    <col min="2571" max="2571" width="7" style="110" bestFit="1" customWidth="1"/>
    <col min="2572" max="2572" width="6.28515625" style="110" customWidth="1"/>
    <col min="2573" max="2573" width="20.42578125" style="110" customWidth="1"/>
    <col min="2574" max="2574" width="6.42578125" style="110" bestFit="1" customWidth="1"/>
    <col min="2575" max="2576" width="8.42578125" style="110"/>
    <col min="2577" max="2577" width="3.28515625" style="110" customWidth="1"/>
    <col min="2578" max="2816" width="8.42578125" style="110"/>
    <col min="2817" max="2817" width="10" style="110" bestFit="1" customWidth="1"/>
    <col min="2818" max="2818" width="44.28515625" style="110" bestFit="1" customWidth="1"/>
    <col min="2819" max="2819" width="10.42578125" style="110" bestFit="1" customWidth="1"/>
    <col min="2820" max="2820" width="10.42578125" style="110" customWidth="1"/>
    <col min="2821" max="2821" width="9.7109375" style="110" bestFit="1" customWidth="1"/>
    <col min="2822" max="2823" width="9.5703125" style="110" bestFit="1" customWidth="1"/>
    <col min="2824" max="2824" width="10.42578125" style="110" bestFit="1" customWidth="1"/>
    <col min="2825" max="2825" width="4.5703125" style="110" customWidth="1"/>
    <col min="2826" max="2826" width="1.7109375" style="110" customWidth="1"/>
    <col min="2827" max="2827" width="7" style="110" bestFit="1" customWidth="1"/>
    <col min="2828" max="2828" width="6.28515625" style="110" customWidth="1"/>
    <col min="2829" max="2829" width="20.42578125" style="110" customWidth="1"/>
    <col min="2830" max="2830" width="6.42578125" style="110" bestFit="1" customWidth="1"/>
    <col min="2831" max="2832" width="8.42578125" style="110"/>
    <col min="2833" max="2833" width="3.28515625" style="110" customWidth="1"/>
    <col min="2834" max="3072" width="8.42578125" style="110"/>
    <col min="3073" max="3073" width="10" style="110" bestFit="1" customWidth="1"/>
    <col min="3074" max="3074" width="44.28515625" style="110" bestFit="1" customWidth="1"/>
    <col min="3075" max="3075" width="10.42578125" style="110" bestFit="1" customWidth="1"/>
    <col min="3076" max="3076" width="10.42578125" style="110" customWidth="1"/>
    <col min="3077" max="3077" width="9.7109375" style="110" bestFit="1" customWidth="1"/>
    <col min="3078" max="3079" width="9.5703125" style="110" bestFit="1" customWidth="1"/>
    <col min="3080" max="3080" width="10.42578125" style="110" bestFit="1" customWidth="1"/>
    <col min="3081" max="3081" width="4.5703125" style="110" customWidth="1"/>
    <col min="3082" max="3082" width="1.7109375" style="110" customWidth="1"/>
    <col min="3083" max="3083" width="7" style="110" bestFit="1" customWidth="1"/>
    <col min="3084" max="3084" width="6.28515625" style="110" customWidth="1"/>
    <col min="3085" max="3085" width="20.42578125" style="110" customWidth="1"/>
    <col min="3086" max="3086" width="6.42578125" style="110" bestFit="1" customWidth="1"/>
    <col min="3087" max="3088" width="8.42578125" style="110"/>
    <col min="3089" max="3089" width="3.28515625" style="110" customWidth="1"/>
    <col min="3090" max="3328" width="8.42578125" style="110"/>
    <col min="3329" max="3329" width="10" style="110" bestFit="1" customWidth="1"/>
    <col min="3330" max="3330" width="44.28515625" style="110" bestFit="1" customWidth="1"/>
    <col min="3331" max="3331" width="10.42578125" style="110" bestFit="1" customWidth="1"/>
    <col min="3332" max="3332" width="10.42578125" style="110" customWidth="1"/>
    <col min="3333" max="3333" width="9.7109375" style="110" bestFit="1" customWidth="1"/>
    <col min="3334" max="3335" width="9.5703125" style="110" bestFit="1" customWidth="1"/>
    <col min="3336" max="3336" width="10.42578125" style="110" bestFit="1" customWidth="1"/>
    <col min="3337" max="3337" width="4.5703125" style="110" customWidth="1"/>
    <col min="3338" max="3338" width="1.7109375" style="110" customWidth="1"/>
    <col min="3339" max="3339" width="7" style="110" bestFit="1" customWidth="1"/>
    <col min="3340" max="3340" width="6.28515625" style="110" customWidth="1"/>
    <col min="3341" max="3341" width="20.42578125" style="110" customWidth="1"/>
    <col min="3342" max="3342" width="6.42578125" style="110" bestFit="1" customWidth="1"/>
    <col min="3343" max="3344" width="8.42578125" style="110"/>
    <col min="3345" max="3345" width="3.28515625" style="110" customWidth="1"/>
    <col min="3346" max="3584" width="8.42578125" style="110"/>
    <col min="3585" max="3585" width="10" style="110" bestFit="1" customWidth="1"/>
    <col min="3586" max="3586" width="44.28515625" style="110" bestFit="1" customWidth="1"/>
    <col min="3587" max="3587" width="10.42578125" style="110" bestFit="1" customWidth="1"/>
    <col min="3588" max="3588" width="10.42578125" style="110" customWidth="1"/>
    <col min="3589" max="3589" width="9.7109375" style="110" bestFit="1" customWidth="1"/>
    <col min="3590" max="3591" width="9.5703125" style="110" bestFit="1" customWidth="1"/>
    <col min="3592" max="3592" width="10.42578125" style="110" bestFit="1" customWidth="1"/>
    <col min="3593" max="3593" width="4.5703125" style="110" customWidth="1"/>
    <col min="3594" max="3594" width="1.7109375" style="110" customWidth="1"/>
    <col min="3595" max="3595" width="7" style="110" bestFit="1" customWidth="1"/>
    <col min="3596" max="3596" width="6.28515625" style="110" customWidth="1"/>
    <col min="3597" max="3597" width="20.42578125" style="110" customWidth="1"/>
    <col min="3598" max="3598" width="6.42578125" style="110" bestFit="1" customWidth="1"/>
    <col min="3599" max="3600" width="8.42578125" style="110"/>
    <col min="3601" max="3601" width="3.28515625" style="110" customWidth="1"/>
    <col min="3602" max="3840" width="8.42578125" style="110"/>
    <col min="3841" max="3841" width="10" style="110" bestFit="1" customWidth="1"/>
    <col min="3842" max="3842" width="44.28515625" style="110" bestFit="1" customWidth="1"/>
    <col min="3843" max="3843" width="10.42578125" style="110" bestFit="1" customWidth="1"/>
    <col min="3844" max="3844" width="10.42578125" style="110" customWidth="1"/>
    <col min="3845" max="3845" width="9.7109375" style="110" bestFit="1" customWidth="1"/>
    <col min="3846" max="3847" width="9.5703125" style="110" bestFit="1" customWidth="1"/>
    <col min="3848" max="3848" width="10.42578125" style="110" bestFit="1" customWidth="1"/>
    <col min="3849" max="3849" width="4.5703125" style="110" customWidth="1"/>
    <col min="3850" max="3850" width="1.7109375" style="110" customWidth="1"/>
    <col min="3851" max="3851" width="7" style="110" bestFit="1" customWidth="1"/>
    <col min="3852" max="3852" width="6.28515625" style="110" customWidth="1"/>
    <col min="3853" max="3853" width="20.42578125" style="110" customWidth="1"/>
    <col min="3854" max="3854" width="6.42578125" style="110" bestFit="1" customWidth="1"/>
    <col min="3855" max="3856" width="8.42578125" style="110"/>
    <col min="3857" max="3857" width="3.28515625" style="110" customWidth="1"/>
    <col min="3858" max="4096" width="8.42578125" style="110"/>
    <col min="4097" max="4097" width="10" style="110" bestFit="1" customWidth="1"/>
    <col min="4098" max="4098" width="44.28515625" style="110" bestFit="1" customWidth="1"/>
    <col min="4099" max="4099" width="10.42578125" style="110" bestFit="1" customWidth="1"/>
    <col min="4100" max="4100" width="10.42578125" style="110" customWidth="1"/>
    <col min="4101" max="4101" width="9.7109375" style="110" bestFit="1" customWidth="1"/>
    <col min="4102" max="4103" width="9.5703125" style="110" bestFit="1" customWidth="1"/>
    <col min="4104" max="4104" width="10.42578125" style="110" bestFit="1" customWidth="1"/>
    <col min="4105" max="4105" width="4.5703125" style="110" customWidth="1"/>
    <col min="4106" max="4106" width="1.7109375" style="110" customWidth="1"/>
    <col min="4107" max="4107" width="7" style="110" bestFit="1" customWidth="1"/>
    <col min="4108" max="4108" width="6.28515625" style="110" customWidth="1"/>
    <col min="4109" max="4109" width="20.42578125" style="110" customWidth="1"/>
    <col min="4110" max="4110" width="6.42578125" style="110" bestFit="1" customWidth="1"/>
    <col min="4111" max="4112" width="8.42578125" style="110"/>
    <col min="4113" max="4113" width="3.28515625" style="110" customWidth="1"/>
    <col min="4114" max="4352" width="8.42578125" style="110"/>
    <col min="4353" max="4353" width="10" style="110" bestFit="1" customWidth="1"/>
    <col min="4354" max="4354" width="44.28515625" style="110" bestFit="1" customWidth="1"/>
    <col min="4355" max="4355" width="10.42578125" style="110" bestFit="1" customWidth="1"/>
    <col min="4356" max="4356" width="10.42578125" style="110" customWidth="1"/>
    <col min="4357" max="4357" width="9.7109375" style="110" bestFit="1" customWidth="1"/>
    <col min="4358" max="4359" width="9.5703125" style="110" bestFit="1" customWidth="1"/>
    <col min="4360" max="4360" width="10.42578125" style="110" bestFit="1" customWidth="1"/>
    <col min="4361" max="4361" width="4.5703125" style="110" customWidth="1"/>
    <col min="4362" max="4362" width="1.7109375" style="110" customWidth="1"/>
    <col min="4363" max="4363" width="7" style="110" bestFit="1" customWidth="1"/>
    <col min="4364" max="4364" width="6.28515625" style="110" customWidth="1"/>
    <col min="4365" max="4365" width="20.42578125" style="110" customWidth="1"/>
    <col min="4366" max="4366" width="6.42578125" style="110" bestFit="1" customWidth="1"/>
    <col min="4367" max="4368" width="8.42578125" style="110"/>
    <col min="4369" max="4369" width="3.28515625" style="110" customWidth="1"/>
    <col min="4370" max="4608" width="8.42578125" style="110"/>
    <col min="4609" max="4609" width="10" style="110" bestFit="1" customWidth="1"/>
    <col min="4610" max="4610" width="44.28515625" style="110" bestFit="1" customWidth="1"/>
    <col min="4611" max="4611" width="10.42578125" style="110" bestFit="1" customWidth="1"/>
    <col min="4612" max="4612" width="10.42578125" style="110" customWidth="1"/>
    <col min="4613" max="4613" width="9.7109375" style="110" bestFit="1" customWidth="1"/>
    <col min="4614" max="4615" width="9.5703125" style="110" bestFit="1" customWidth="1"/>
    <col min="4616" max="4616" width="10.42578125" style="110" bestFit="1" customWidth="1"/>
    <col min="4617" max="4617" width="4.5703125" style="110" customWidth="1"/>
    <col min="4618" max="4618" width="1.7109375" style="110" customWidth="1"/>
    <col min="4619" max="4619" width="7" style="110" bestFit="1" customWidth="1"/>
    <col min="4620" max="4620" width="6.28515625" style="110" customWidth="1"/>
    <col min="4621" max="4621" width="20.42578125" style="110" customWidth="1"/>
    <col min="4622" max="4622" width="6.42578125" style="110" bestFit="1" customWidth="1"/>
    <col min="4623" max="4624" width="8.42578125" style="110"/>
    <col min="4625" max="4625" width="3.28515625" style="110" customWidth="1"/>
    <col min="4626" max="4864" width="8.42578125" style="110"/>
    <col min="4865" max="4865" width="10" style="110" bestFit="1" customWidth="1"/>
    <col min="4866" max="4866" width="44.28515625" style="110" bestFit="1" customWidth="1"/>
    <col min="4867" max="4867" width="10.42578125" style="110" bestFit="1" customWidth="1"/>
    <col min="4868" max="4868" width="10.42578125" style="110" customWidth="1"/>
    <col min="4869" max="4869" width="9.7109375" style="110" bestFit="1" customWidth="1"/>
    <col min="4870" max="4871" width="9.5703125" style="110" bestFit="1" customWidth="1"/>
    <col min="4872" max="4872" width="10.42578125" style="110" bestFit="1" customWidth="1"/>
    <col min="4873" max="4873" width="4.5703125" style="110" customWidth="1"/>
    <col min="4874" max="4874" width="1.7109375" style="110" customWidth="1"/>
    <col min="4875" max="4875" width="7" style="110" bestFit="1" customWidth="1"/>
    <col min="4876" max="4876" width="6.28515625" style="110" customWidth="1"/>
    <col min="4877" max="4877" width="20.42578125" style="110" customWidth="1"/>
    <col min="4878" max="4878" width="6.42578125" style="110" bestFit="1" customWidth="1"/>
    <col min="4879" max="4880" width="8.42578125" style="110"/>
    <col min="4881" max="4881" width="3.28515625" style="110" customWidth="1"/>
    <col min="4882" max="5120" width="8.42578125" style="110"/>
    <col min="5121" max="5121" width="10" style="110" bestFit="1" customWidth="1"/>
    <col min="5122" max="5122" width="44.28515625" style="110" bestFit="1" customWidth="1"/>
    <col min="5123" max="5123" width="10.42578125" style="110" bestFit="1" customWidth="1"/>
    <col min="5124" max="5124" width="10.42578125" style="110" customWidth="1"/>
    <col min="5125" max="5125" width="9.7109375" style="110" bestFit="1" customWidth="1"/>
    <col min="5126" max="5127" width="9.5703125" style="110" bestFit="1" customWidth="1"/>
    <col min="5128" max="5128" width="10.42578125" style="110" bestFit="1" customWidth="1"/>
    <col min="5129" max="5129" width="4.5703125" style="110" customWidth="1"/>
    <col min="5130" max="5130" width="1.7109375" style="110" customWidth="1"/>
    <col min="5131" max="5131" width="7" style="110" bestFit="1" customWidth="1"/>
    <col min="5132" max="5132" width="6.28515625" style="110" customWidth="1"/>
    <col min="5133" max="5133" width="20.42578125" style="110" customWidth="1"/>
    <col min="5134" max="5134" width="6.42578125" style="110" bestFit="1" customWidth="1"/>
    <col min="5135" max="5136" width="8.42578125" style="110"/>
    <col min="5137" max="5137" width="3.28515625" style="110" customWidth="1"/>
    <col min="5138" max="5376" width="8.42578125" style="110"/>
    <col min="5377" max="5377" width="10" style="110" bestFit="1" customWidth="1"/>
    <col min="5378" max="5378" width="44.28515625" style="110" bestFit="1" customWidth="1"/>
    <col min="5379" max="5379" width="10.42578125" style="110" bestFit="1" customWidth="1"/>
    <col min="5380" max="5380" width="10.42578125" style="110" customWidth="1"/>
    <col min="5381" max="5381" width="9.7109375" style="110" bestFit="1" customWidth="1"/>
    <col min="5382" max="5383" width="9.5703125" style="110" bestFit="1" customWidth="1"/>
    <col min="5384" max="5384" width="10.42578125" style="110" bestFit="1" customWidth="1"/>
    <col min="5385" max="5385" width="4.5703125" style="110" customWidth="1"/>
    <col min="5386" max="5386" width="1.7109375" style="110" customWidth="1"/>
    <col min="5387" max="5387" width="7" style="110" bestFit="1" customWidth="1"/>
    <col min="5388" max="5388" width="6.28515625" style="110" customWidth="1"/>
    <col min="5389" max="5389" width="20.42578125" style="110" customWidth="1"/>
    <col min="5390" max="5390" width="6.42578125" style="110" bestFit="1" customWidth="1"/>
    <col min="5391" max="5392" width="8.42578125" style="110"/>
    <col min="5393" max="5393" width="3.28515625" style="110" customWidth="1"/>
    <col min="5394" max="5632" width="8.42578125" style="110"/>
    <col min="5633" max="5633" width="10" style="110" bestFit="1" customWidth="1"/>
    <col min="5634" max="5634" width="44.28515625" style="110" bestFit="1" customWidth="1"/>
    <col min="5635" max="5635" width="10.42578125" style="110" bestFit="1" customWidth="1"/>
    <col min="5636" max="5636" width="10.42578125" style="110" customWidth="1"/>
    <col min="5637" max="5637" width="9.7109375" style="110" bestFit="1" customWidth="1"/>
    <col min="5638" max="5639" width="9.5703125" style="110" bestFit="1" customWidth="1"/>
    <col min="5640" max="5640" width="10.42578125" style="110" bestFit="1" customWidth="1"/>
    <col min="5641" max="5641" width="4.5703125" style="110" customWidth="1"/>
    <col min="5642" max="5642" width="1.7109375" style="110" customWidth="1"/>
    <col min="5643" max="5643" width="7" style="110" bestFit="1" customWidth="1"/>
    <col min="5644" max="5644" width="6.28515625" style="110" customWidth="1"/>
    <col min="5645" max="5645" width="20.42578125" style="110" customWidth="1"/>
    <col min="5646" max="5646" width="6.42578125" style="110" bestFit="1" customWidth="1"/>
    <col min="5647" max="5648" width="8.42578125" style="110"/>
    <col min="5649" max="5649" width="3.28515625" style="110" customWidth="1"/>
    <col min="5650" max="5888" width="8.42578125" style="110"/>
    <col min="5889" max="5889" width="10" style="110" bestFit="1" customWidth="1"/>
    <col min="5890" max="5890" width="44.28515625" style="110" bestFit="1" customWidth="1"/>
    <col min="5891" max="5891" width="10.42578125" style="110" bestFit="1" customWidth="1"/>
    <col min="5892" max="5892" width="10.42578125" style="110" customWidth="1"/>
    <col min="5893" max="5893" width="9.7109375" style="110" bestFit="1" customWidth="1"/>
    <col min="5894" max="5895" width="9.5703125" style="110" bestFit="1" customWidth="1"/>
    <col min="5896" max="5896" width="10.42578125" style="110" bestFit="1" customWidth="1"/>
    <col min="5897" max="5897" width="4.5703125" style="110" customWidth="1"/>
    <col min="5898" max="5898" width="1.7109375" style="110" customWidth="1"/>
    <col min="5899" max="5899" width="7" style="110" bestFit="1" customWidth="1"/>
    <col min="5900" max="5900" width="6.28515625" style="110" customWidth="1"/>
    <col min="5901" max="5901" width="20.42578125" style="110" customWidth="1"/>
    <col min="5902" max="5902" width="6.42578125" style="110" bestFit="1" customWidth="1"/>
    <col min="5903" max="5904" width="8.42578125" style="110"/>
    <col min="5905" max="5905" width="3.28515625" style="110" customWidth="1"/>
    <col min="5906" max="6144" width="8.42578125" style="110"/>
    <col min="6145" max="6145" width="10" style="110" bestFit="1" customWidth="1"/>
    <col min="6146" max="6146" width="44.28515625" style="110" bestFit="1" customWidth="1"/>
    <col min="6147" max="6147" width="10.42578125" style="110" bestFit="1" customWidth="1"/>
    <col min="6148" max="6148" width="10.42578125" style="110" customWidth="1"/>
    <col min="6149" max="6149" width="9.7109375" style="110" bestFit="1" customWidth="1"/>
    <col min="6150" max="6151" width="9.5703125" style="110" bestFit="1" customWidth="1"/>
    <col min="6152" max="6152" width="10.42578125" style="110" bestFit="1" customWidth="1"/>
    <col min="6153" max="6153" width="4.5703125" style="110" customWidth="1"/>
    <col min="6154" max="6154" width="1.7109375" style="110" customWidth="1"/>
    <col min="6155" max="6155" width="7" style="110" bestFit="1" customWidth="1"/>
    <col min="6156" max="6156" width="6.28515625" style="110" customWidth="1"/>
    <col min="6157" max="6157" width="20.42578125" style="110" customWidth="1"/>
    <col min="6158" max="6158" width="6.42578125" style="110" bestFit="1" customWidth="1"/>
    <col min="6159" max="6160" width="8.42578125" style="110"/>
    <col min="6161" max="6161" width="3.28515625" style="110" customWidth="1"/>
    <col min="6162" max="6400" width="8.42578125" style="110"/>
    <col min="6401" max="6401" width="10" style="110" bestFit="1" customWidth="1"/>
    <col min="6402" max="6402" width="44.28515625" style="110" bestFit="1" customWidth="1"/>
    <col min="6403" max="6403" width="10.42578125" style="110" bestFit="1" customWidth="1"/>
    <col min="6404" max="6404" width="10.42578125" style="110" customWidth="1"/>
    <col min="6405" max="6405" width="9.7109375" style="110" bestFit="1" customWidth="1"/>
    <col min="6406" max="6407" width="9.5703125" style="110" bestFit="1" customWidth="1"/>
    <col min="6408" max="6408" width="10.42578125" style="110" bestFit="1" customWidth="1"/>
    <col min="6409" max="6409" width="4.5703125" style="110" customWidth="1"/>
    <col min="6410" max="6410" width="1.7109375" style="110" customWidth="1"/>
    <col min="6411" max="6411" width="7" style="110" bestFit="1" customWidth="1"/>
    <col min="6412" max="6412" width="6.28515625" style="110" customWidth="1"/>
    <col min="6413" max="6413" width="20.42578125" style="110" customWidth="1"/>
    <col min="6414" max="6414" width="6.42578125" style="110" bestFit="1" customWidth="1"/>
    <col min="6415" max="6416" width="8.42578125" style="110"/>
    <col min="6417" max="6417" width="3.28515625" style="110" customWidth="1"/>
    <col min="6418" max="6656" width="8.42578125" style="110"/>
    <col min="6657" max="6657" width="10" style="110" bestFit="1" customWidth="1"/>
    <col min="6658" max="6658" width="44.28515625" style="110" bestFit="1" customWidth="1"/>
    <col min="6659" max="6659" width="10.42578125" style="110" bestFit="1" customWidth="1"/>
    <col min="6660" max="6660" width="10.42578125" style="110" customWidth="1"/>
    <col min="6661" max="6661" width="9.7109375" style="110" bestFit="1" customWidth="1"/>
    <col min="6662" max="6663" width="9.5703125" style="110" bestFit="1" customWidth="1"/>
    <col min="6664" max="6664" width="10.42578125" style="110" bestFit="1" customWidth="1"/>
    <col min="6665" max="6665" width="4.5703125" style="110" customWidth="1"/>
    <col min="6666" max="6666" width="1.7109375" style="110" customWidth="1"/>
    <col min="6667" max="6667" width="7" style="110" bestFit="1" customWidth="1"/>
    <col min="6668" max="6668" width="6.28515625" style="110" customWidth="1"/>
    <col min="6669" max="6669" width="20.42578125" style="110" customWidth="1"/>
    <col min="6670" max="6670" width="6.42578125" style="110" bestFit="1" customWidth="1"/>
    <col min="6671" max="6672" width="8.42578125" style="110"/>
    <col min="6673" max="6673" width="3.28515625" style="110" customWidth="1"/>
    <col min="6674" max="6912" width="8.42578125" style="110"/>
    <col min="6913" max="6913" width="10" style="110" bestFit="1" customWidth="1"/>
    <col min="6914" max="6914" width="44.28515625" style="110" bestFit="1" customWidth="1"/>
    <col min="6915" max="6915" width="10.42578125" style="110" bestFit="1" customWidth="1"/>
    <col min="6916" max="6916" width="10.42578125" style="110" customWidth="1"/>
    <col min="6917" max="6917" width="9.7109375" style="110" bestFit="1" customWidth="1"/>
    <col min="6918" max="6919" width="9.5703125" style="110" bestFit="1" customWidth="1"/>
    <col min="6920" max="6920" width="10.42578125" style="110" bestFit="1" customWidth="1"/>
    <col min="6921" max="6921" width="4.5703125" style="110" customWidth="1"/>
    <col min="6922" max="6922" width="1.7109375" style="110" customWidth="1"/>
    <col min="6923" max="6923" width="7" style="110" bestFit="1" customWidth="1"/>
    <col min="6924" max="6924" width="6.28515625" style="110" customWidth="1"/>
    <col min="6925" max="6925" width="20.42578125" style="110" customWidth="1"/>
    <col min="6926" max="6926" width="6.42578125" style="110" bestFit="1" customWidth="1"/>
    <col min="6927" max="6928" width="8.42578125" style="110"/>
    <col min="6929" max="6929" width="3.28515625" style="110" customWidth="1"/>
    <col min="6930" max="7168" width="8.42578125" style="110"/>
    <col min="7169" max="7169" width="10" style="110" bestFit="1" customWidth="1"/>
    <col min="7170" max="7170" width="44.28515625" style="110" bestFit="1" customWidth="1"/>
    <col min="7171" max="7171" width="10.42578125" style="110" bestFit="1" customWidth="1"/>
    <col min="7172" max="7172" width="10.42578125" style="110" customWidth="1"/>
    <col min="7173" max="7173" width="9.7109375" style="110" bestFit="1" customWidth="1"/>
    <col min="7174" max="7175" width="9.5703125" style="110" bestFit="1" customWidth="1"/>
    <col min="7176" max="7176" width="10.42578125" style="110" bestFit="1" customWidth="1"/>
    <col min="7177" max="7177" width="4.5703125" style="110" customWidth="1"/>
    <col min="7178" max="7178" width="1.7109375" style="110" customWidth="1"/>
    <col min="7179" max="7179" width="7" style="110" bestFit="1" customWidth="1"/>
    <col min="7180" max="7180" width="6.28515625" style="110" customWidth="1"/>
    <col min="7181" max="7181" width="20.42578125" style="110" customWidth="1"/>
    <col min="7182" max="7182" width="6.42578125" style="110" bestFit="1" customWidth="1"/>
    <col min="7183" max="7184" width="8.42578125" style="110"/>
    <col min="7185" max="7185" width="3.28515625" style="110" customWidth="1"/>
    <col min="7186" max="7424" width="8.42578125" style="110"/>
    <col min="7425" max="7425" width="10" style="110" bestFit="1" customWidth="1"/>
    <col min="7426" max="7426" width="44.28515625" style="110" bestFit="1" customWidth="1"/>
    <col min="7427" max="7427" width="10.42578125" style="110" bestFit="1" customWidth="1"/>
    <col min="7428" max="7428" width="10.42578125" style="110" customWidth="1"/>
    <col min="7429" max="7429" width="9.7109375" style="110" bestFit="1" customWidth="1"/>
    <col min="7430" max="7431" width="9.5703125" style="110" bestFit="1" customWidth="1"/>
    <col min="7432" max="7432" width="10.42578125" style="110" bestFit="1" customWidth="1"/>
    <col min="7433" max="7433" width="4.5703125" style="110" customWidth="1"/>
    <col min="7434" max="7434" width="1.7109375" style="110" customWidth="1"/>
    <col min="7435" max="7435" width="7" style="110" bestFit="1" customWidth="1"/>
    <col min="7436" max="7436" width="6.28515625" style="110" customWidth="1"/>
    <col min="7437" max="7437" width="20.42578125" style="110" customWidth="1"/>
    <col min="7438" max="7438" width="6.42578125" style="110" bestFit="1" customWidth="1"/>
    <col min="7439" max="7440" width="8.42578125" style="110"/>
    <col min="7441" max="7441" width="3.28515625" style="110" customWidth="1"/>
    <col min="7442" max="7680" width="8.42578125" style="110"/>
    <col min="7681" max="7681" width="10" style="110" bestFit="1" customWidth="1"/>
    <col min="7682" max="7682" width="44.28515625" style="110" bestFit="1" customWidth="1"/>
    <col min="7683" max="7683" width="10.42578125" style="110" bestFit="1" customWidth="1"/>
    <col min="7684" max="7684" width="10.42578125" style="110" customWidth="1"/>
    <col min="7685" max="7685" width="9.7109375" style="110" bestFit="1" customWidth="1"/>
    <col min="7686" max="7687" width="9.5703125" style="110" bestFit="1" customWidth="1"/>
    <col min="7688" max="7688" width="10.42578125" style="110" bestFit="1" customWidth="1"/>
    <col min="7689" max="7689" width="4.5703125" style="110" customWidth="1"/>
    <col min="7690" max="7690" width="1.7109375" style="110" customWidth="1"/>
    <col min="7691" max="7691" width="7" style="110" bestFit="1" customWidth="1"/>
    <col min="7692" max="7692" width="6.28515625" style="110" customWidth="1"/>
    <col min="7693" max="7693" width="20.42578125" style="110" customWidth="1"/>
    <col min="7694" max="7694" width="6.42578125" style="110" bestFit="1" customWidth="1"/>
    <col min="7695" max="7696" width="8.42578125" style="110"/>
    <col min="7697" max="7697" width="3.28515625" style="110" customWidth="1"/>
    <col min="7698" max="7936" width="8.42578125" style="110"/>
    <col min="7937" max="7937" width="10" style="110" bestFit="1" customWidth="1"/>
    <col min="7938" max="7938" width="44.28515625" style="110" bestFit="1" customWidth="1"/>
    <col min="7939" max="7939" width="10.42578125" style="110" bestFit="1" customWidth="1"/>
    <col min="7940" max="7940" width="10.42578125" style="110" customWidth="1"/>
    <col min="7941" max="7941" width="9.7109375" style="110" bestFit="1" customWidth="1"/>
    <col min="7942" max="7943" width="9.5703125" style="110" bestFit="1" customWidth="1"/>
    <col min="7944" max="7944" width="10.42578125" style="110" bestFit="1" customWidth="1"/>
    <col min="7945" max="7945" width="4.5703125" style="110" customWidth="1"/>
    <col min="7946" max="7946" width="1.7109375" style="110" customWidth="1"/>
    <col min="7947" max="7947" width="7" style="110" bestFit="1" customWidth="1"/>
    <col min="7948" max="7948" width="6.28515625" style="110" customWidth="1"/>
    <col min="7949" max="7949" width="20.42578125" style="110" customWidth="1"/>
    <col min="7950" max="7950" width="6.42578125" style="110" bestFit="1" customWidth="1"/>
    <col min="7951" max="7952" width="8.42578125" style="110"/>
    <col min="7953" max="7953" width="3.28515625" style="110" customWidth="1"/>
    <col min="7954" max="8192" width="8.42578125" style="110"/>
    <col min="8193" max="8193" width="10" style="110" bestFit="1" customWidth="1"/>
    <col min="8194" max="8194" width="44.28515625" style="110" bestFit="1" customWidth="1"/>
    <col min="8195" max="8195" width="10.42578125" style="110" bestFit="1" customWidth="1"/>
    <col min="8196" max="8196" width="10.42578125" style="110" customWidth="1"/>
    <col min="8197" max="8197" width="9.7109375" style="110" bestFit="1" customWidth="1"/>
    <col min="8198" max="8199" width="9.5703125" style="110" bestFit="1" customWidth="1"/>
    <col min="8200" max="8200" width="10.42578125" style="110" bestFit="1" customWidth="1"/>
    <col min="8201" max="8201" width="4.5703125" style="110" customWidth="1"/>
    <col min="8202" max="8202" width="1.7109375" style="110" customWidth="1"/>
    <col min="8203" max="8203" width="7" style="110" bestFit="1" customWidth="1"/>
    <col min="8204" max="8204" width="6.28515625" style="110" customWidth="1"/>
    <col min="8205" max="8205" width="20.42578125" style="110" customWidth="1"/>
    <col min="8206" max="8206" width="6.42578125" style="110" bestFit="1" customWidth="1"/>
    <col min="8207" max="8208" width="8.42578125" style="110"/>
    <col min="8209" max="8209" width="3.28515625" style="110" customWidth="1"/>
    <col min="8210" max="8448" width="8.42578125" style="110"/>
    <col min="8449" max="8449" width="10" style="110" bestFit="1" customWidth="1"/>
    <col min="8450" max="8450" width="44.28515625" style="110" bestFit="1" customWidth="1"/>
    <col min="8451" max="8451" width="10.42578125" style="110" bestFit="1" customWidth="1"/>
    <col min="8452" max="8452" width="10.42578125" style="110" customWidth="1"/>
    <col min="8453" max="8453" width="9.7109375" style="110" bestFit="1" customWidth="1"/>
    <col min="8454" max="8455" width="9.5703125" style="110" bestFit="1" customWidth="1"/>
    <col min="8456" max="8456" width="10.42578125" style="110" bestFit="1" customWidth="1"/>
    <col min="8457" max="8457" width="4.5703125" style="110" customWidth="1"/>
    <col min="8458" max="8458" width="1.7109375" style="110" customWidth="1"/>
    <col min="8459" max="8459" width="7" style="110" bestFit="1" customWidth="1"/>
    <col min="8460" max="8460" width="6.28515625" style="110" customWidth="1"/>
    <col min="8461" max="8461" width="20.42578125" style="110" customWidth="1"/>
    <col min="8462" max="8462" width="6.42578125" style="110" bestFit="1" customWidth="1"/>
    <col min="8463" max="8464" width="8.42578125" style="110"/>
    <col min="8465" max="8465" width="3.28515625" style="110" customWidth="1"/>
    <col min="8466" max="8704" width="8.42578125" style="110"/>
    <col min="8705" max="8705" width="10" style="110" bestFit="1" customWidth="1"/>
    <col min="8706" max="8706" width="44.28515625" style="110" bestFit="1" customWidth="1"/>
    <col min="8707" max="8707" width="10.42578125" style="110" bestFit="1" customWidth="1"/>
    <col min="8708" max="8708" width="10.42578125" style="110" customWidth="1"/>
    <col min="8709" max="8709" width="9.7109375" style="110" bestFit="1" customWidth="1"/>
    <col min="8710" max="8711" width="9.5703125" style="110" bestFit="1" customWidth="1"/>
    <col min="8712" max="8712" width="10.42578125" style="110" bestFit="1" customWidth="1"/>
    <col min="8713" max="8713" width="4.5703125" style="110" customWidth="1"/>
    <col min="8714" max="8714" width="1.7109375" style="110" customWidth="1"/>
    <col min="8715" max="8715" width="7" style="110" bestFit="1" customWidth="1"/>
    <col min="8716" max="8716" width="6.28515625" style="110" customWidth="1"/>
    <col min="8717" max="8717" width="20.42578125" style="110" customWidth="1"/>
    <col min="8718" max="8718" width="6.42578125" style="110" bestFit="1" customWidth="1"/>
    <col min="8719" max="8720" width="8.42578125" style="110"/>
    <col min="8721" max="8721" width="3.28515625" style="110" customWidth="1"/>
    <col min="8722" max="8960" width="8.42578125" style="110"/>
    <col min="8961" max="8961" width="10" style="110" bestFit="1" customWidth="1"/>
    <col min="8962" max="8962" width="44.28515625" style="110" bestFit="1" customWidth="1"/>
    <col min="8963" max="8963" width="10.42578125" style="110" bestFit="1" customWidth="1"/>
    <col min="8964" max="8964" width="10.42578125" style="110" customWidth="1"/>
    <col min="8965" max="8965" width="9.7109375" style="110" bestFit="1" customWidth="1"/>
    <col min="8966" max="8967" width="9.5703125" style="110" bestFit="1" customWidth="1"/>
    <col min="8968" max="8968" width="10.42578125" style="110" bestFit="1" customWidth="1"/>
    <col min="8969" max="8969" width="4.5703125" style="110" customWidth="1"/>
    <col min="8970" max="8970" width="1.7109375" style="110" customWidth="1"/>
    <col min="8971" max="8971" width="7" style="110" bestFit="1" customWidth="1"/>
    <col min="8972" max="8972" width="6.28515625" style="110" customWidth="1"/>
    <col min="8973" max="8973" width="20.42578125" style="110" customWidth="1"/>
    <col min="8974" max="8974" width="6.42578125" style="110" bestFit="1" customWidth="1"/>
    <col min="8975" max="8976" width="8.42578125" style="110"/>
    <col min="8977" max="8977" width="3.28515625" style="110" customWidth="1"/>
    <col min="8978" max="9216" width="8.42578125" style="110"/>
    <col min="9217" max="9217" width="10" style="110" bestFit="1" customWidth="1"/>
    <col min="9218" max="9218" width="44.28515625" style="110" bestFit="1" customWidth="1"/>
    <col min="9219" max="9219" width="10.42578125" style="110" bestFit="1" customWidth="1"/>
    <col min="9220" max="9220" width="10.42578125" style="110" customWidth="1"/>
    <col min="9221" max="9221" width="9.7109375" style="110" bestFit="1" customWidth="1"/>
    <col min="9222" max="9223" width="9.5703125" style="110" bestFit="1" customWidth="1"/>
    <col min="9224" max="9224" width="10.42578125" style="110" bestFit="1" customWidth="1"/>
    <col min="9225" max="9225" width="4.5703125" style="110" customWidth="1"/>
    <col min="9226" max="9226" width="1.7109375" style="110" customWidth="1"/>
    <col min="9227" max="9227" width="7" style="110" bestFit="1" customWidth="1"/>
    <col min="9228" max="9228" width="6.28515625" style="110" customWidth="1"/>
    <col min="9229" max="9229" width="20.42578125" style="110" customWidth="1"/>
    <col min="9230" max="9230" width="6.42578125" style="110" bestFit="1" customWidth="1"/>
    <col min="9231" max="9232" width="8.42578125" style="110"/>
    <col min="9233" max="9233" width="3.28515625" style="110" customWidth="1"/>
    <col min="9234" max="9472" width="8.42578125" style="110"/>
    <col min="9473" max="9473" width="10" style="110" bestFit="1" customWidth="1"/>
    <col min="9474" max="9474" width="44.28515625" style="110" bestFit="1" customWidth="1"/>
    <col min="9475" max="9475" width="10.42578125" style="110" bestFit="1" customWidth="1"/>
    <col min="9476" max="9476" width="10.42578125" style="110" customWidth="1"/>
    <col min="9477" max="9477" width="9.7109375" style="110" bestFit="1" customWidth="1"/>
    <col min="9478" max="9479" width="9.5703125" style="110" bestFit="1" customWidth="1"/>
    <col min="9480" max="9480" width="10.42578125" style="110" bestFit="1" customWidth="1"/>
    <col min="9481" max="9481" width="4.5703125" style="110" customWidth="1"/>
    <col min="9482" max="9482" width="1.7109375" style="110" customWidth="1"/>
    <col min="9483" max="9483" width="7" style="110" bestFit="1" customWidth="1"/>
    <col min="9484" max="9484" width="6.28515625" style="110" customWidth="1"/>
    <col min="9485" max="9485" width="20.42578125" style="110" customWidth="1"/>
    <col min="9486" max="9486" width="6.42578125" style="110" bestFit="1" customWidth="1"/>
    <col min="9487" max="9488" width="8.42578125" style="110"/>
    <col min="9489" max="9489" width="3.28515625" style="110" customWidth="1"/>
    <col min="9490" max="9728" width="8.42578125" style="110"/>
    <col min="9729" max="9729" width="10" style="110" bestFit="1" customWidth="1"/>
    <col min="9730" max="9730" width="44.28515625" style="110" bestFit="1" customWidth="1"/>
    <col min="9731" max="9731" width="10.42578125" style="110" bestFit="1" customWidth="1"/>
    <col min="9732" max="9732" width="10.42578125" style="110" customWidth="1"/>
    <col min="9733" max="9733" width="9.7109375" style="110" bestFit="1" customWidth="1"/>
    <col min="9734" max="9735" width="9.5703125" style="110" bestFit="1" customWidth="1"/>
    <col min="9736" max="9736" width="10.42578125" style="110" bestFit="1" customWidth="1"/>
    <col min="9737" max="9737" width="4.5703125" style="110" customWidth="1"/>
    <col min="9738" max="9738" width="1.7109375" style="110" customWidth="1"/>
    <col min="9739" max="9739" width="7" style="110" bestFit="1" customWidth="1"/>
    <col min="9740" max="9740" width="6.28515625" style="110" customWidth="1"/>
    <col min="9741" max="9741" width="20.42578125" style="110" customWidth="1"/>
    <col min="9742" max="9742" width="6.42578125" style="110" bestFit="1" customWidth="1"/>
    <col min="9743" max="9744" width="8.42578125" style="110"/>
    <col min="9745" max="9745" width="3.28515625" style="110" customWidth="1"/>
    <col min="9746" max="9984" width="8.42578125" style="110"/>
    <col min="9985" max="9985" width="10" style="110" bestFit="1" customWidth="1"/>
    <col min="9986" max="9986" width="44.28515625" style="110" bestFit="1" customWidth="1"/>
    <col min="9987" max="9987" width="10.42578125" style="110" bestFit="1" customWidth="1"/>
    <col min="9988" max="9988" width="10.42578125" style="110" customWidth="1"/>
    <col min="9989" max="9989" width="9.7109375" style="110" bestFit="1" customWidth="1"/>
    <col min="9990" max="9991" width="9.5703125" style="110" bestFit="1" customWidth="1"/>
    <col min="9992" max="9992" width="10.42578125" style="110" bestFit="1" customWidth="1"/>
    <col min="9993" max="9993" width="4.5703125" style="110" customWidth="1"/>
    <col min="9994" max="9994" width="1.7109375" style="110" customWidth="1"/>
    <col min="9995" max="9995" width="7" style="110" bestFit="1" customWidth="1"/>
    <col min="9996" max="9996" width="6.28515625" style="110" customWidth="1"/>
    <col min="9997" max="9997" width="20.42578125" style="110" customWidth="1"/>
    <col min="9998" max="9998" width="6.42578125" style="110" bestFit="1" customWidth="1"/>
    <col min="9999" max="10000" width="8.42578125" style="110"/>
    <col min="10001" max="10001" width="3.28515625" style="110" customWidth="1"/>
    <col min="10002" max="10240" width="8.42578125" style="110"/>
    <col min="10241" max="10241" width="10" style="110" bestFit="1" customWidth="1"/>
    <col min="10242" max="10242" width="44.28515625" style="110" bestFit="1" customWidth="1"/>
    <col min="10243" max="10243" width="10.42578125" style="110" bestFit="1" customWidth="1"/>
    <col min="10244" max="10244" width="10.42578125" style="110" customWidth="1"/>
    <col min="10245" max="10245" width="9.7109375" style="110" bestFit="1" customWidth="1"/>
    <col min="10246" max="10247" width="9.5703125" style="110" bestFit="1" customWidth="1"/>
    <col min="10248" max="10248" width="10.42578125" style="110" bestFit="1" customWidth="1"/>
    <col min="10249" max="10249" width="4.5703125" style="110" customWidth="1"/>
    <col min="10250" max="10250" width="1.7109375" style="110" customWidth="1"/>
    <col min="10251" max="10251" width="7" style="110" bestFit="1" customWidth="1"/>
    <col min="10252" max="10252" width="6.28515625" style="110" customWidth="1"/>
    <col min="10253" max="10253" width="20.42578125" style="110" customWidth="1"/>
    <col min="10254" max="10254" width="6.42578125" style="110" bestFit="1" customWidth="1"/>
    <col min="10255" max="10256" width="8.42578125" style="110"/>
    <col min="10257" max="10257" width="3.28515625" style="110" customWidth="1"/>
    <col min="10258" max="10496" width="8.42578125" style="110"/>
    <col min="10497" max="10497" width="10" style="110" bestFit="1" customWidth="1"/>
    <col min="10498" max="10498" width="44.28515625" style="110" bestFit="1" customWidth="1"/>
    <col min="10499" max="10499" width="10.42578125" style="110" bestFit="1" customWidth="1"/>
    <col min="10500" max="10500" width="10.42578125" style="110" customWidth="1"/>
    <col min="10501" max="10501" width="9.7109375" style="110" bestFit="1" customWidth="1"/>
    <col min="10502" max="10503" width="9.5703125" style="110" bestFit="1" customWidth="1"/>
    <col min="10504" max="10504" width="10.42578125" style="110" bestFit="1" customWidth="1"/>
    <col min="10505" max="10505" width="4.5703125" style="110" customWidth="1"/>
    <col min="10506" max="10506" width="1.7109375" style="110" customWidth="1"/>
    <col min="10507" max="10507" width="7" style="110" bestFit="1" customWidth="1"/>
    <col min="10508" max="10508" width="6.28515625" style="110" customWidth="1"/>
    <col min="10509" max="10509" width="20.42578125" style="110" customWidth="1"/>
    <col min="10510" max="10510" width="6.42578125" style="110" bestFit="1" customWidth="1"/>
    <col min="10511" max="10512" width="8.42578125" style="110"/>
    <col min="10513" max="10513" width="3.28515625" style="110" customWidth="1"/>
    <col min="10514" max="10752" width="8.42578125" style="110"/>
    <col min="10753" max="10753" width="10" style="110" bestFit="1" customWidth="1"/>
    <col min="10754" max="10754" width="44.28515625" style="110" bestFit="1" customWidth="1"/>
    <col min="10755" max="10755" width="10.42578125" style="110" bestFit="1" customWidth="1"/>
    <col min="10756" max="10756" width="10.42578125" style="110" customWidth="1"/>
    <col min="10757" max="10757" width="9.7109375" style="110" bestFit="1" customWidth="1"/>
    <col min="10758" max="10759" width="9.5703125" style="110" bestFit="1" customWidth="1"/>
    <col min="10760" max="10760" width="10.42578125" style="110" bestFit="1" customWidth="1"/>
    <col min="10761" max="10761" width="4.5703125" style="110" customWidth="1"/>
    <col min="10762" max="10762" width="1.7109375" style="110" customWidth="1"/>
    <col min="10763" max="10763" width="7" style="110" bestFit="1" customWidth="1"/>
    <col min="10764" max="10764" width="6.28515625" style="110" customWidth="1"/>
    <col min="10765" max="10765" width="20.42578125" style="110" customWidth="1"/>
    <col min="10766" max="10766" width="6.42578125" style="110" bestFit="1" customWidth="1"/>
    <col min="10767" max="10768" width="8.42578125" style="110"/>
    <col min="10769" max="10769" width="3.28515625" style="110" customWidth="1"/>
    <col min="10770" max="11008" width="8.42578125" style="110"/>
    <col min="11009" max="11009" width="10" style="110" bestFit="1" customWidth="1"/>
    <col min="11010" max="11010" width="44.28515625" style="110" bestFit="1" customWidth="1"/>
    <col min="11011" max="11011" width="10.42578125" style="110" bestFit="1" customWidth="1"/>
    <col min="11012" max="11012" width="10.42578125" style="110" customWidth="1"/>
    <col min="11013" max="11013" width="9.7109375" style="110" bestFit="1" customWidth="1"/>
    <col min="11014" max="11015" width="9.5703125" style="110" bestFit="1" customWidth="1"/>
    <col min="11016" max="11016" width="10.42578125" style="110" bestFit="1" customWidth="1"/>
    <col min="11017" max="11017" width="4.5703125" style="110" customWidth="1"/>
    <col min="11018" max="11018" width="1.7109375" style="110" customWidth="1"/>
    <col min="11019" max="11019" width="7" style="110" bestFit="1" customWidth="1"/>
    <col min="11020" max="11020" width="6.28515625" style="110" customWidth="1"/>
    <col min="11021" max="11021" width="20.42578125" style="110" customWidth="1"/>
    <col min="11022" max="11022" width="6.42578125" style="110" bestFit="1" customWidth="1"/>
    <col min="11023" max="11024" width="8.42578125" style="110"/>
    <col min="11025" max="11025" width="3.28515625" style="110" customWidth="1"/>
    <col min="11026" max="11264" width="8.42578125" style="110"/>
    <col min="11265" max="11265" width="10" style="110" bestFit="1" customWidth="1"/>
    <col min="11266" max="11266" width="44.28515625" style="110" bestFit="1" customWidth="1"/>
    <col min="11267" max="11267" width="10.42578125" style="110" bestFit="1" customWidth="1"/>
    <col min="11268" max="11268" width="10.42578125" style="110" customWidth="1"/>
    <col min="11269" max="11269" width="9.7109375" style="110" bestFit="1" customWidth="1"/>
    <col min="11270" max="11271" width="9.5703125" style="110" bestFit="1" customWidth="1"/>
    <col min="11272" max="11272" width="10.42578125" style="110" bestFit="1" customWidth="1"/>
    <col min="11273" max="11273" width="4.5703125" style="110" customWidth="1"/>
    <col min="11274" max="11274" width="1.7109375" style="110" customWidth="1"/>
    <col min="11275" max="11275" width="7" style="110" bestFit="1" customWidth="1"/>
    <col min="11276" max="11276" width="6.28515625" style="110" customWidth="1"/>
    <col min="11277" max="11277" width="20.42578125" style="110" customWidth="1"/>
    <col min="11278" max="11278" width="6.42578125" style="110" bestFit="1" customWidth="1"/>
    <col min="11279" max="11280" width="8.42578125" style="110"/>
    <col min="11281" max="11281" width="3.28515625" style="110" customWidth="1"/>
    <col min="11282" max="11520" width="8.42578125" style="110"/>
    <col min="11521" max="11521" width="10" style="110" bestFit="1" customWidth="1"/>
    <col min="11522" max="11522" width="44.28515625" style="110" bestFit="1" customWidth="1"/>
    <col min="11523" max="11523" width="10.42578125" style="110" bestFit="1" customWidth="1"/>
    <col min="11524" max="11524" width="10.42578125" style="110" customWidth="1"/>
    <col min="11525" max="11525" width="9.7109375" style="110" bestFit="1" customWidth="1"/>
    <col min="11526" max="11527" width="9.5703125" style="110" bestFit="1" customWidth="1"/>
    <col min="11528" max="11528" width="10.42578125" style="110" bestFit="1" customWidth="1"/>
    <col min="11529" max="11529" width="4.5703125" style="110" customWidth="1"/>
    <col min="11530" max="11530" width="1.7109375" style="110" customWidth="1"/>
    <col min="11531" max="11531" width="7" style="110" bestFit="1" customWidth="1"/>
    <col min="11532" max="11532" width="6.28515625" style="110" customWidth="1"/>
    <col min="11533" max="11533" width="20.42578125" style="110" customWidth="1"/>
    <col min="11534" max="11534" width="6.42578125" style="110" bestFit="1" customWidth="1"/>
    <col min="11535" max="11536" width="8.42578125" style="110"/>
    <col min="11537" max="11537" width="3.28515625" style="110" customWidth="1"/>
    <col min="11538" max="11776" width="8.42578125" style="110"/>
    <col min="11777" max="11777" width="10" style="110" bestFit="1" customWidth="1"/>
    <col min="11778" max="11778" width="44.28515625" style="110" bestFit="1" customWidth="1"/>
    <col min="11779" max="11779" width="10.42578125" style="110" bestFit="1" customWidth="1"/>
    <col min="11780" max="11780" width="10.42578125" style="110" customWidth="1"/>
    <col min="11781" max="11781" width="9.7109375" style="110" bestFit="1" customWidth="1"/>
    <col min="11782" max="11783" width="9.5703125" style="110" bestFit="1" customWidth="1"/>
    <col min="11784" max="11784" width="10.42578125" style="110" bestFit="1" customWidth="1"/>
    <col min="11785" max="11785" width="4.5703125" style="110" customWidth="1"/>
    <col min="11786" max="11786" width="1.7109375" style="110" customWidth="1"/>
    <col min="11787" max="11787" width="7" style="110" bestFit="1" customWidth="1"/>
    <col min="11788" max="11788" width="6.28515625" style="110" customWidth="1"/>
    <col min="11789" max="11789" width="20.42578125" style="110" customWidth="1"/>
    <col min="11790" max="11790" width="6.42578125" style="110" bestFit="1" customWidth="1"/>
    <col min="11791" max="11792" width="8.42578125" style="110"/>
    <col min="11793" max="11793" width="3.28515625" style="110" customWidth="1"/>
    <col min="11794" max="12032" width="8.42578125" style="110"/>
    <col min="12033" max="12033" width="10" style="110" bestFit="1" customWidth="1"/>
    <col min="12034" max="12034" width="44.28515625" style="110" bestFit="1" customWidth="1"/>
    <col min="12035" max="12035" width="10.42578125" style="110" bestFit="1" customWidth="1"/>
    <col min="12036" max="12036" width="10.42578125" style="110" customWidth="1"/>
    <col min="12037" max="12037" width="9.7109375" style="110" bestFit="1" customWidth="1"/>
    <col min="12038" max="12039" width="9.5703125" style="110" bestFit="1" customWidth="1"/>
    <col min="12040" max="12040" width="10.42578125" style="110" bestFit="1" customWidth="1"/>
    <col min="12041" max="12041" width="4.5703125" style="110" customWidth="1"/>
    <col min="12042" max="12042" width="1.7109375" style="110" customWidth="1"/>
    <col min="12043" max="12043" width="7" style="110" bestFit="1" customWidth="1"/>
    <col min="12044" max="12044" width="6.28515625" style="110" customWidth="1"/>
    <col min="12045" max="12045" width="20.42578125" style="110" customWidth="1"/>
    <col min="12046" max="12046" width="6.42578125" style="110" bestFit="1" customWidth="1"/>
    <col min="12047" max="12048" width="8.42578125" style="110"/>
    <col min="12049" max="12049" width="3.28515625" style="110" customWidth="1"/>
    <col min="12050" max="12288" width="8.42578125" style="110"/>
    <col min="12289" max="12289" width="10" style="110" bestFit="1" customWidth="1"/>
    <col min="12290" max="12290" width="44.28515625" style="110" bestFit="1" customWidth="1"/>
    <col min="12291" max="12291" width="10.42578125" style="110" bestFit="1" customWidth="1"/>
    <col min="12292" max="12292" width="10.42578125" style="110" customWidth="1"/>
    <col min="12293" max="12293" width="9.7109375" style="110" bestFit="1" customWidth="1"/>
    <col min="12294" max="12295" width="9.5703125" style="110" bestFit="1" customWidth="1"/>
    <col min="12296" max="12296" width="10.42578125" style="110" bestFit="1" customWidth="1"/>
    <col min="12297" max="12297" width="4.5703125" style="110" customWidth="1"/>
    <col min="12298" max="12298" width="1.7109375" style="110" customWidth="1"/>
    <col min="12299" max="12299" width="7" style="110" bestFit="1" customWidth="1"/>
    <col min="12300" max="12300" width="6.28515625" style="110" customWidth="1"/>
    <col min="12301" max="12301" width="20.42578125" style="110" customWidth="1"/>
    <col min="12302" max="12302" width="6.42578125" style="110" bestFit="1" customWidth="1"/>
    <col min="12303" max="12304" width="8.42578125" style="110"/>
    <col min="12305" max="12305" width="3.28515625" style="110" customWidth="1"/>
    <col min="12306" max="12544" width="8.42578125" style="110"/>
    <col min="12545" max="12545" width="10" style="110" bestFit="1" customWidth="1"/>
    <col min="12546" max="12546" width="44.28515625" style="110" bestFit="1" customWidth="1"/>
    <col min="12547" max="12547" width="10.42578125" style="110" bestFit="1" customWidth="1"/>
    <col min="12548" max="12548" width="10.42578125" style="110" customWidth="1"/>
    <col min="12549" max="12549" width="9.7109375" style="110" bestFit="1" customWidth="1"/>
    <col min="12550" max="12551" width="9.5703125" style="110" bestFit="1" customWidth="1"/>
    <col min="12552" max="12552" width="10.42578125" style="110" bestFit="1" customWidth="1"/>
    <col min="12553" max="12553" width="4.5703125" style="110" customWidth="1"/>
    <col min="12554" max="12554" width="1.7109375" style="110" customWidth="1"/>
    <col min="12555" max="12555" width="7" style="110" bestFit="1" customWidth="1"/>
    <col min="12556" max="12556" width="6.28515625" style="110" customWidth="1"/>
    <col min="12557" max="12557" width="20.42578125" style="110" customWidth="1"/>
    <col min="12558" max="12558" width="6.42578125" style="110" bestFit="1" customWidth="1"/>
    <col min="12559" max="12560" width="8.42578125" style="110"/>
    <col min="12561" max="12561" width="3.28515625" style="110" customWidth="1"/>
    <col min="12562" max="12800" width="8.42578125" style="110"/>
    <col min="12801" max="12801" width="10" style="110" bestFit="1" customWidth="1"/>
    <col min="12802" max="12802" width="44.28515625" style="110" bestFit="1" customWidth="1"/>
    <col min="12803" max="12803" width="10.42578125" style="110" bestFit="1" customWidth="1"/>
    <col min="12804" max="12804" width="10.42578125" style="110" customWidth="1"/>
    <col min="12805" max="12805" width="9.7109375" style="110" bestFit="1" customWidth="1"/>
    <col min="12806" max="12807" width="9.5703125" style="110" bestFit="1" customWidth="1"/>
    <col min="12808" max="12808" width="10.42578125" style="110" bestFit="1" customWidth="1"/>
    <col min="12809" max="12809" width="4.5703125" style="110" customWidth="1"/>
    <col min="12810" max="12810" width="1.7109375" style="110" customWidth="1"/>
    <col min="12811" max="12811" width="7" style="110" bestFit="1" customWidth="1"/>
    <col min="12812" max="12812" width="6.28515625" style="110" customWidth="1"/>
    <col min="12813" max="12813" width="20.42578125" style="110" customWidth="1"/>
    <col min="12814" max="12814" width="6.42578125" style="110" bestFit="1" customWidth="1"/>
    <col min="12815" max="12816" width="8.42578125" style="110"/>
    <col min="12817" max="12817" width="3.28515625" style="110" customWidth="1"/>
    <col min="12818" max="13056" width="8.42578125" style="110"/>
    <col min="13057" max="13057" width="10" style="110" bestFit="1" customWidth="1"/>
    <col min="13058" max="13058" width="44.28515625" style="110" bestFit="1" customWidth="1"/>
    <col min="13059" max="13059" width="10.42578125" style="110" bestFit="1" customWidth="1"/>
    <col min="13060" max="13060" width="10.42578125" style="110" customWidth="1"/>
    <col min="13061" max="13061" width="9.7109375" style="110" bestFit="1" customWidth="1"/>
    <col min="13062" max="13063" width="9.5703125" style="110" bestFit="1" customWidth="1"/>
    <col min="13064" max="13064" width="10.42578125" style="110" bestFit="1" customWidth="1"/>
    <col min="13065" max="13065" width="4.5703125" style="110" customWidth="1"/>
    <col min="13066" max="13066" width="1.7109375" style="110" customWidth="1"/>
    <col min="13067" max="13067" width="7" style="110" bestFit="1" customWidth="1"/>
    <col min="13068" max="13068" width="6.28515625" style="110" customWidth="1"/>
    <col min="13069" max="13069" width="20.42578125" style="110" customWidth="1"/>
    <col min="13070" max="13070" width="6.42578125" style="110" bestFit="1" customWidth="1"/>
    <col min="13071" max="13072" width="8.42578125" style="110"/>
    <col min="13073" max="13073" width="3.28515625" style="110" customWidth="1"/>
    <col min="13074" max="13312" width="8.42578125" style="110"/>
    <col min="13313" max="13313" width="10" style="110" bestFit="1" customWidth="1"/>
    <col min="13314" max="13314" width="44.28515625" style="110" bestFit="1" customWidth="1"/>
    <col min="13315" max="13315" width="10.42578125" style="110" bestFit="1" customWidth="1"/>
    <col min="13316" max="13316" width="10.42578125" style="110" customWidth="1"/>
    <col min="13317" max="13317" width="9.7109375" style="110" bestFit="1" customWidth="1"/>
    <col min="13318" max="13319" width="9.5703125" style="110" bestFit="1" customWidth="1"/>
    <col min="13320" max="13320" width="10.42578125" style="110" bestFit="1" customWidth="1"/>
    <col min="13321" max="13321" width="4.5703125" style="110" customWidth="1"/>
    <col min="13322" max="13322" width="1.7109375" style="110" customWidth="1"/>
    <col min="13323" max="13323" width="7" style="110" bestFit="1" customWidth="1"/>
    <col min="13324" max="13324" width="6.28515625" style="110" customWidth="1"/>
    <col min="13325" max="13325" width="20.42578125" style="110" customWidth="1"/>
    <col min="13326" max="13326" width="6.42578125" style="110" bestFit="1" customWidth="1"/>
    <col min="13327" max="13328" width="8.42578125" style="110"/>
    <col min="13329" max="13329" width="3.28515625" style="110" customWidth="1"/>
    <col min="13330" max="13568" width="8.42578125" style="110"/>
    <col min="13569" max="13569" width="10" style="110" bestFit="1" customWidth="1"/>
    <col min="13570" max="13570" width="44.28515625" style="110" bestFit="1" customWidth="1"/>
    <col min="13571" max="13571" width="10.42578125" style="110" bestFit="1" customWidth="1"/>
    <col min="13572" max="13572" width="10.42578125" style="110" customWidth="1"/>
    <col min="13573" max="13573" width="9.7109375" style="110" bestFit="1" customWidth="1"/>
    <col min="13574" max="13575" width="9.5703125" style="110" bestFit="1" customWidth="1"/>
    <col min="13576" max="13576" width="10.42578125" style="110" bestFit="1" customWidth="1"/>
    <col min="13577" max="13577" width="4.5703125" style="110" customWidth="1"/>
    <col min="13578" max="13578" width="1.7109375" style="110" customWidth="1"/>
    <col min="13579" max="13579" width="7" style="110" bestFit="1" customWidth="1"/>
    <col min="13580" max="13580" width="6.28515625" style="110" customWidth="1"/>
    <col min="13581" max="13581" width="20.42578125" style="110" customWidth="1"/>
    <col min="13582" max="13582" width="6.42578125" style="110" bestFit="1" customWidth="1"/>
    <col min="13583" max="13584" width="8.42578125" style="110"/>
    <col min="13585" max="13585" width="3.28515625" style="110" customWidth="1"/>
    <col min="13586" max="13824" width="8.42578125" style="110"/>
    <col min="13825" max="13825" width="10" style="110" bestFit="1" customWidth="1"/>
    <col min="13826" max="13826" width="44.28515625" style="110" bestFit="1" customWidth="1"/>
    <col min="13827" max="13827" width="10.42578125" style="110" bestFit="1" customWidth="1"/>
    <col min="13828" max="13828" width="10.42578125" style="110" customWidth="1"/>
    <col min="13829" max="13829" width="9.7109375" style="110" bestFit="1" customWidth="1"/>
    <col min="13830" max="13831" width="9.5703125" style="110" bestFit="1" customWidth="1"/>
    <col min="13832" max="13832" width="10.42578125" style="110" bestFit="1" customWidth="1"/>
    <col min="13833" max="13833" width="4.5703125" style="110" customWidth="1"/>
    <col min="13834" max="13834" width="1.7109375" style="110" customWidth="1"/>
    <col min="13835" max="13835" width="7" style="110" bestFit="1" customWidth="1"/>
    <col min="13836" max="13836" width="6.28515625" style="110" customWidth="1"/>
    <col min="13837" max="13837" width="20.42578125" style="110" customWidth="1"/>
    <col min="13838" max="13838" width="6.42578125" style="110" bestFit="1" customWidth="1"/>
    <col min="13839" max="13840" width="8.42578125" style="110"/>
    <col min="13841" max="13841" width="3.28515625" style="110" customWidth="1"/>
    <col min="13842" max="14080" width="8.42578125" style="110"/>
    <col min="14081" max="14081" width="10" style="110" bestFit="1" customWidth="1"/>
    <col min="14082" max="14082" width="44.28515625" style="110" bestFit="1" customWidth="1"/>
    <col min="14083" max="14083" width="10.42578125" style="110" bestFit="1" customWidth="1"/>
    <col min="14084" max="14084" width="10.42578125" style="110" customWidth="1"/>
    <col min="14085" max="14085" width="9.7109375" style="110" bestFit="1" customWidth="1"/>
    <col min="14086" max="14087" width="9.5703125" style="110" bestFit="1" customWidth="1"/>
    <col min="14088" max="14088" width="10.42578125" style="110" bestFit="1" customWidth="1"/>
    <col min="14089" max="14089" width="4.5703125" style="110" customWidth="1"/>
    <col min="14090" max="14090" width="1.7109375" style="110" customWidth="1"/>
    <col min="14091" max="14091" width="7" style="110" bestFit="1" customWidth="1"/>
    <col min="14092" max="14092" width="6.28515625" style="110" customWidth="1"/>
    <col min="14093" max="14093" width="20.42578125" style="110" customWidth="1"/>
    <col min="14094" max="14094" width="6.42578125" style="110" bestFit="1" customWidth="1"/>
    <col min="14095" max="14096" width="8.42578125" style="110"/>
    <col min="14097" max="14097" width="3.28515625" style="110" customWidth="1"/>
    <col min="14098" max="14336" width="8.42578125" style="110"/>
    <col min="14337" max="14337" width="10" style="110" bestFit="1" customWidth="1"/>
    <col min="14338" max="14338" width="44.28515625" style="110" bestFit="1" customWidth="1"/>
    <col min="14339" max="14339" width="10.42578125" style="110" bestFit="1" customWidth="1"/>
    <col min="14340" max="14340" width="10.42578125" style="110" customWidth="1"/>
    <col min="14341" max="14341" width="9.7109375" style="110" bestFit="1" customWidth="1"/>
    <col min="14342" max="14343" width="9.5703125" style="110" bestFit="1" customWidth="1"/>
    <col min="14344" max="14344" width="10.42578125" style="110" bestFit="1" customWidth="1"/>
    <col min="14345" max="14345" width="4.5703125" style="110" customWidth="1"/>
    <col min="14346" max="14346" width="1.7109375" style="110" customWidth="1"/>
    <col min="14347" max="14347" width="7" style="110" bestFit="1" customWidth="1"/>
    <col min="14348" max="14348" width="6.28515625" style="110" customWidth="1"/>
    <col min="14349" max="14349" width="20.42578125" style="110" customWidth="1"/>
    <col min="14350" max="14350" width="6.42578125" style="110" bestFit="1" customWidth="1"/>
    <col min="14351" max="14352" width="8.42578125" style="110"/>
    <col min="14353" max="14353" width="3.28515625" style="110" customWidth="1"/>
    <col min="14354" max="14592" width="8.42578125" style="110"/>
    <col min="14593" max="14593" width="10" style="110" bestFit="1" customWidth="1"/>
    <col min="14594" max="14594" width="44.28515625" style="110" bestFit="1" customWidth="1"/>
    <col min="14595" max="14595" width="10.42578125" style="110" bestFit="1" customWidth="1"/>
    <col min="14596" max="14596" width="10.42578125" style="110" customWidth="1"/>
    <col min="14597" max="14597" width="9.7109375" style="110" bestFit="1" customWidth="1"/>
    <col min="14598" max="14599" width="9.5703125" style="110" bestFit="1" customWidth="1"/>
    <col min="14600" max="14600" width="10.42578125" style="110" bestFit="1" customWidth="1"/>
    <col min="14601" max="14601" width="4.5703125" style="110" customWidth="1"/>
    <col min="14602" max="14602" width="1.7109375" style="110" customWidth="1"/>
    <col min="14603" max="14603" width="7" style="110" bestFit="1" customWidth="1"/>
    <col min="14604" max="14604" width="6.28515625" style="110" customWidth="1"/>
    <col min="14605" max="14605" width="20.42578125" style="110" customWidth="1"/>
    <col min="14606" max="14606" width="6.42578125" style="110" bestFit="1" customWidth="1"/>
    <col min="14607" max="14608" width="8.42578125" style="110"/>
    <col min="14609" max="14609" width="3.28515625" style="110" customWidth="1"/>
    <col min="14610" max="14848" width="8.42578125" style="110"/>
    <col min="14849" max="14849" width="10" style="110" bestFit="1" customWidth="1"/>
    <col min="14850" max="14850" width="44.28515625" style="110" bestFit="1" customWidth="1"/>
    <col min="14851" max="14851" width="10.42578125" style="110" bestFit="1" customWidth="1"/>
    <col min="14852" max="14852" width="10.42578125" style="110" customWidth="1"/>
    <col min="14853" max="14853" width="9.7109375" style="110" bestFit="1" customWidth="1"/>
    <col min="14854" max="14855" width="9.5703125" style="110" bestFit="1" customWidth="1"/>
    <col min="14856" max="14856" width="10.42578125" style="110" bestFit="1" customWidth="1"/>
    <col min="14857" max="14857" width="4.5703125" style="110" customWidth="1"/>
    <col min="14858" max="14858" width="1.7109375" style="110" customWidth="1"/>
    <col min="14859" max="14859" width="7" style="110" bestFit="1" customWidth="1"/>
    <col min="14860" max="14860" width="6.28515625" style="110" customWidth="1"/>
    <col min="14861" max="14861" width="20.42578125" style="110" customWidth="1"/>
    <col min="14862" max="14862" width="6.42578125" style="110" bestFit="1" customWidth="1"/>
    <col min="14863" max="14864" width="8.42578125" style="110"/>
    <col min="14865" max="14865" width="3.28515625" style="110" customWidth="1"/>
    <col min="14866" max="15104" width="8.42578125" style="110"/>
    <col min="15105" max="15105" width="10" style="110" bestFit="1" customWidth="1"/>
    <col min="15106" max="15106" width="44.28515625" style="110" bestFit="1" customWidth="1"/>
    <col min="15107" max="15107" width="10.42578125" style="110" bestFit="1" customWidth="1"/>
    <col min="15108" max="15108" width="10.42578125" style="110" customWidth="1"/>
    <col min="15109" max="15109" width="9.7109375" style="110" bestFit="1" customWidth="1"/>
    <col min="15110" max="15111" width="9.5703125" style="110" bestFit="1" customWidth="1"/>
    <col min="15112" max="15112" width="10.42578125" style="110" bestFit="1" customWidth="1"/>
    <col min="15113" max="15113" width="4.5703125" style="110" customWidth="1"/>
    <col min="15114" max="15114" width="1.7109375" style="110" customWidth="1"/>
    <col min="15115" max="15115" width="7" style="110" bestFit="1" customWidth="1"/>
    <col min="15116" max="15116" width="6.28515625" style="110" customWidth="1"/>
    <col min="15117" max="15117" width="20.42578125" style="110" customWidth="1"/>
    <col min="15118" max="15118" width="6.42578125" style="110" bestFit="1" customWidth="1"/>
    <col min="15119" max="15120" width="8.42578125" style="110"/>
    <col min="15121" max="15121" width="3.28515625" style="110" customWidth="1"/>
    <col min="15122" max="15360" width="8.42578125" style="110"/>
    <col min="15361" max="15361" width="10" style="110" bestFit="1" customWidth="1"/>
    <col min="15362" max="15362" width="44.28515625" style="110" bestFit="1" customWidth="1"/>
    <col min="15363" max="15363" width="10.42578125" style="110" bestFit="1" customWidth="1"/>
    <col min="15364" max="15364" width="10.42578125" style="110" customWidth="1"/>
    <col min="15365" max="15365" width="9.7109375" style="110" bestFit="1" customWidth="1"/>
    <col min="15366" max="15367" width="9.5703125" style="110" bestFit="1" customWidth="1"/>
    <col min="15368" max="15368" width="10.42578125" style="110" bestFit="1" customWidth="1"/>
    <col min="15369" max="15369" width="4.5703125" style="110" customWidth="1"/>
    <col min="15370" max="15370" width="1.7109375" style="110" customWidth="1"/>
    <col min="15371" max="15371" width="7" style="110" bestFit="1" customWidth="1"/>
    <col min="15372" max="15372" width="6.28515625" style="110" customWidth="1"/>
    <col min="15373" max="15373" width="20.42578125" style="110" customWidth="1"/>
    <col min="15374" max="15374" width="6.42578125" style="110" bestFit="1" customWidth="1"/>
    <col min="15375" max="15376" width="8.42578125" style="110"/>
    <col min="15377" max="15377" width="3.28515625" style="110" customWidth="1"/>
    <col min="15378" max="15616" width="8.42578125" style="110"/>
    <col min="15617" max="15617" width="10" style="110" bestFit="1" customWidth="1"/>
    <col min="15618" max="15618" width="44.28515625" style="110" bestFit="1" customWidth="1"/>
    <col min="15619" max="15619" width="10.42578125" style="110" bestFit="1" customWidth="1"/>
    <col min="15620" max="15620" width="10.42578125" style="110" customWidth="1"/>
    <col min="15621" max="15621" width="9.7109375" style="110" bestFit="1" customWidth="1"/>
    <col min="15622" max="15623" width="9.5703125" style="110" bestFit="1" customWidth="1"/>
    <col min="15624" max="15624" width="10.42578125" style="110" bestFit="1" customWidth="1"/>
    <col min="15625" max="15625" width="4.5703125" style="110" customWidth="1"/>
    <col min="15626" max="15626" width="1.7109375" style="110" customWidth="1"/>
    <col min="15627" max="15627" width="7" style="110" bestFit="1" customWidth="1"/>
    <col min="15628" max="15628" width="6.28515625" style="110" customWidth="1"/>
    <col min="15629" max="15629" width="20.42578125" style="110" customWidth="1"/>
    <col min="15630" max="15630" width="6.42578125" style="110" bestFit="1" customWidth="1"/>
    <col min="15631" max="15632" width="8.42578125" style="110"/>
    <col min="15633" max="15633" width="3.28515625" style="110" customWidth="1"/>
    <col min="15634" max="15872" width="8.42578125" style="110"/>
    <col min="15873" max="15873" width="10" style="110" bestFit="1" customWidth="1"/>
    <col min="15874" max="15874" width="44.28515625" style="110" bestFit="1" customWidth="1"/>
    <col min="15875" max="15875" width="10.42578125" style="110" bestFit="1" customWidth="1"/>
    <col min="15876" max="15876" width="10.42578125" style="110" customWidth="1"/>
    <col min="15877" max="15877" width="9.7109375" style="110" bestFit="1" customWidth="1"/>
    <col min="15878" max="15879" width="9.5703125" style="110" bestFit="1" customWidth="1"/>
    <col min="15880" max="15880" width="10.42578125" style="110" bestFit="1" customWidth="1"/>
    <col min="15881" max="15881" width="4.5703125" style="110" customWidth="1"/>
    <col min="15882" max="15882" width="1.7109375" style="110" customWidth="1"/>
    <col min="15883" max="15883" width="7" style="110" bestFit="1" customWidth="1"/>
    <col min="15884" max="15884" width="6.28515625" style="110" customWidth="1"/>
    <col min="15885" max="15885" width="20.42578125" style="110" customWidth="1"/>
    <col min="15886" max="15886" width="6.42578125" style="110" bestFit="1" customWidth="1"/>
    <col min="15887" max="15888" width="8.42578125" style="110"/>
    <col min="15889" max="15889" width="3.28515625" style="110" customWidth="1"/>
    <col min="15890" max="16128" width="8.42578125" style="110"/>
    <col min="16129" max="16129" width="10" style="110" bestFit="1" customWidth="1"/>
    <col min="16130" max="16130" width="44.28515625" style="110" bestFit="1" customWidth="1"/>
    <col min="16131" max="16131" width="10.42578125" style="110" bestFit="1" customWidth="1"/>
    <col min="16132" max="16132" width="10.42578125" style="110" customWidth="1"/>
    <col min="16133" max="16133" width="9.7109375" style="110" bestFit="1" customWidth="1"/>
    <col min="16134" max="16135" width="9.5703125" style="110" bestFit="1" customWidth="1"/>
    <col min="16136" max="16136" width="10.42578125" style="110" bestFit="1" customWidth="1"/>
    <col min="16137" max="16137" width="4.5703125" style="110" customWidth="1"/>
    <col min="16138" max="16138" width="1.7109375" style="110" customWidth="1"/>
    <col min="16139" max="16139" width="7" style="110" bestFit="1" customWidth="1"/>
    <col min="16140" max="16140" width="6.28515625" style="110" customWidth="1"/>
    <col min="16141" max="16141" width="20.42578125" style="110" customWidth="1"/>
    <col min="16142" max="16142" width="6.42578125" style="110" bestFit="1" customWidth="1"/>
    <col min="16143" max="16144" width="8.42578125" style="110"/>
    <col min="16145" max="16145" width="3.28515625" style="110" customWidth="1"/>
    <col min="16146" max="16384" width="8.42578125" style="110"/>
  </cols>
  <sheetData>
    <row r="1" spans="1:13" ht="27.75" customHeight="1" x14ac:dyDescent="0.25">
      <c r="A1" s="105"/>
      <c r="B1" s="105"/>
      <c r="C1" s="105"/>
      <c r="D1" s="105"/>
      <c r="E1" s="106" t="s">
        <v>121</v>
      </c>
      <c r="F1" s="107" t="s">
        <v>122</v>
      </c>
      <c r="G1" s="107" t="s">
        <v>123</v>
      </c>
      <c r="H1" s="107" t="s">
        <v>124</v>
      </c>
      <c r="I1" s="108"/>
    </row>
    <row r="2" spans="1:13" ht="30.75" customHeight="1" x14ac:dyDescent="0.25">
      <c r="A2" s="105"/>
      <c r="B2" s="105"/>
      <c r="C2" s="105"/>
      <c r="D2" s="105"/>
      <c r="E2" s="111">
        <f>IFERROR(O62,"")</f>
        <v>4249.96</v>
      </c>
      <c r="F2" s="111">
        <f>IFERROR(H53,"")</f>
        <v>3892.96</v>
      </c>
      <c r="G2" s="111">
        <f>IFERROR(H54,"")</f>
        <v>0</v>
      </c>
      <c r="H2" s="111">
        <f>IFERROR(H56,"")</f>
        <v>183</v>
      </c>
      <c r="I2" s="112"/>
    </row>
    <row r="3" spans="1:13" ht="15" customHeight="1" x14ac:dyDescent="0.25">
      <c r="A3" s="105"/>
      <c r="B3" s="105"/>
      <c r="C3" s="105"/>
      <c r="D3" s="105"/>
      <c r="E3" s="105"/>
      <c r="F3" s="113"/>
      <c r="G3" s="113"/>
      <c r="H3" s="113"/>
      <c r="I3" s="113"/>
    </row>
    <row r="4" spans="1:13" ht="24.75" customHeight="1" thickBot="1" x14ac:dyDescent="0.3">
      <c r="A4" s="602"/>
      <c r="B4" s="602"/>
      <c r="C4" s="602"/>
      <c r="D4" s="602"/>
      <c r="E4" s="602"/>
      <c r="F4" s="602"/>
      <c r="G4" s="602"/>
      <c r="H4" s="602"/>
      <c r="I4" s="114"/>
    </row>
    <row r="5" spans="1:13" ht="19.5" customHeight="1" thickBot="1" x14ac:dyDescent="0.3">
      <c r="A5" s="603" t="s">
        <v>125</v>
      </c>
      <c r="B5" s="604"/>
      <c r="C5" s="604"/>
      <c r="D5" s="604"/>
      <c r="E5" s="604"/>
      <c r="F5" s="604"/>
      <c r="G5" s="604"/>
      <c r="H5" s="605"/>
      <c r="I5" s="115"/>
    </row>
    <row r="6" spans="1:13" ht="19.5" thickBot="1" x14ac:dyDescent="0.3">
      <c r="A6" s="115"/>
      <c r="B6" s="115"/>
      <c r="C6" s="115"/>
      <c r="D6" s="115"/>
      <c r="E6" s="115"/>
      <c r="F6" s="606" t="s">
        <v>126</v>
      </c>
      <c r="G6" s="606"/>
      <c r="H6" s="116">
        <f ca="1">TODAY()</f>
        <v>45761</v>
      </c>
      <c r="I6" s="116"/>
    </row>
    <row r="7" spans="1:13" ht="26.25" thickBot="1" x14ac:dyDescent="0.3">
      <c r="A7" s="117" t="s">
        <v>127</v>
      </c>
      <c r="B7" s="118" t="s">
        <v>128</v>
      </c>
      <c r="C7" s="118" t="s">
        <v>127</v>
      </c>
      <c r="D7" s="119" t="s">
        <v>129</v>
      </c>
      <c r="E7" s="119" t="s">
        <v>130</v>
      </c>
      <c r="F7" s="119" t="s">
        <v>131</v>
      </c>
      <c r="G7" s="119" t="s">
        <v>132</v>
      </c>
      <c r="H7" s="120" t="s">
        <v>133</v>
      </c>
      <c r="I7" s="121"/>
      <c r="M7" s="110">
        <f>2046/350</f>
        <v>5.8457142857142861</v>
      </c>
    </row>
    <row r="8" spans="1:13" ht="13.5" x14ac:dyDescent="0.25">
      <c r="A8" s="122">
        <v>450</v>
      </c>
      <c r="B8" s="110" t="str">
        <f>IFERROR(VLOOKUP(H8,'[1]Consolidado MP Planta'!$A$2:$M$823,3,0),"")</f>
        <v>CREMA PRESTIGE GRAND (UND:4 K) *</v>
      </c>
      <c r="C8" s="123">
        <f>+A8</f>
        <v>450</v>
      </c>
      <c r="D8" s="124" t="str">
        <f>IFERROR(VLOOKUP(H8,'[1]Consolidado MP Planta'!$A$2:$M$823,13,0),"")</f>
        <v>Gramos</v>
      </c>
      <c r="E8" s="124">
        <v>2.11</v>
      </c>
      <c r="F8" s="124">
        <f>IFERROR(C8*E8,"")</f>
        <v>949.5</v>
      </c>
      <c r="G8" s="125">
        <f t="shared" ref="G8:G14" si="0">IFERROR(F8/$F$66,"")</f>
        <v>0.22858481659480992</v>
      </c>
      <c r="H8" s="126" t="s">
        <v>39</v>
      </c>
      <c r="I8" s="126"/>
      <c r="J8" s="127"/>
    </row>
    <row r="9" spans="1:13" ht="13.5" x14ac:dyDescent="0.25">
      <c r="A9" s="122">
        <v>500</v>
      </c>
      <c r="B9" s="110" t="s">
        <v>184</v>
      </c>
      <c r="C9" s="123">
        <f t="shared" ref="C9:C14" si="1">+A9</f>
        <v>500</v>
      </c>
      <c r="D9" s="124" t="s">
        <v>172</v>
      </c>
      <c r="E9" s="124">
        <v>5.85</v>
      </c>
      <c r="F9" s="124">
        <f t="shared" ref="F9:F14" si="2">IFERROR(C9*E9,"")</f>
        <v>2925</v>
      </c>
      <c r="G9" s="125">
        <f t="shared" si="0"/>
        <v>0.70417123595557551</v>
      </c>
      <c r="H9" s="126" t="s">
        <v>173</v>
      </c>
      <c r="I9" s="126"/>
      <c r="J9" s="127"/>
    </row>
    <row r="10" spans="1:13" ht="13.5" x14ac:dyDescent="0.25">
      <c r="A10" s="122">
        <v>1</v>
      </c>
      <c r="B10" s="110" t="str">
        <f>IFERROR(VLOOKUP(H10,'[1]Consolidado MP Planta'!$A$2:$M$823,3,0),"")</f>
        <v>COLORANTE GEL SUPER RED</v>
      </c>
      <c r="C10" s="123">
        <f t="shared" si="1"/>
        <v>1</v>
      </c>
      <c r="D10" s="124" t="str">
        <f>IFERROR(VLOOKUP(H10,'[1]Consolidado MP Planta'!$A$2:$M$823,13,0),"")</f>
        <v>Mililitros</v>
      </c>
      <c r="E10" s="124">
        <v>18.46</v>
      </c>
      <c r="F10" s="124">
        <f t="shared" si="2"/>
        <v>18.46</v>
      </c>
      <c r="G10" s="125">
        <f t="shared" si="0"/>
        <v>4.4441029113640772E-3</v>
      </c>
      <c r="H10" s="126" t="s">
        <v>44</v>
      </c>
      <c r="I10" s="126"/>
      <c r="J10" s="127"/>
    </row>
    <row r="11" spans="1:13" ht="13.5" hidden="1" x14ac:dyDescent="0.25">
      <c r="A11" s="122"/>
      <c r="B11" s="110" t="str">
        <f>IFERROR(VLOOKUP(H11,'[1]Consolidado MP Planta'!$A$2:$M$823,3,0),"")</f>
        <v/>
      </c>
      <c r="C11" s="123">
        <f t="shared" si="1"/>
        <v>0</v>
      </c>
      <c r="D11" s="124" t="str">
        <f>IFERROR(VLOOKUP(H11,'[1]Consolidado MP Planta'!$A$2:$M$823,13,0),"")</f>
        <v/>
      </c>
      <c r="E11" s="124" t="str">
        <f>IFERROR(VLOOKUP(H11,'[1]Consolidado MP Planta'!$A$2:$M$823,12,0),"")</f>
        <v/>
      </c>
      <c r="F11" s="124" t="str">
        <f t="shared" si="2"/>
        <v/>
      </c>
      <c r="G11" s="125" t="str">
        <f t="shared" si="0"/>
        <v/>
      </c>
      <c r="H11" s="126"/>
      <c r="I11" s="126"/>
      <c r="J11" s="127"/>
    </row>
    <row r="12" spans="1:13" ht="13.5" hidden="1" x14ac:dyDescent="0.25">
      <c r="A12" s="122"/>
      <c r="B12" s="110" t="str">
        <f>IFERROR(VLOOKUP(H12,'[1]Consolidado MP Planta'!$A$2:$M$823,3,0),"")</f>
        <v/>
      </c>
      <c r="C12" s="123">
        <f t="shared" si="1"/>
        <v>0</v>
      </c>
      <c r="D12" s="124" t="str">
        <f>IFERROR(VLOOKUP(H12,'[1]Consolidado MP Planta'!$A$2:$M$823,13,0),"")</f>
        <v/>
      </c>
      <c r="E12" s="124" t="str">
        <f>IFERROR(VLOOKUP(H12,'[1]Consolidado MP Planta'!$A$2:$M$823,12,0),"")</f>
        <v/>
      </c>
      <c r="F12" s="124" t="str">
        <f t="shared" si="2"/>
        <v/>
      </c>
      <c r="G12" s="125" t="str">
        <f t="shared" si="0"/>
        <v/>
      </c>
      <c r="H12" s="126"/>
      <c r="I12" s="126"/>
      <c r="J12" s="127"/>
    </row>
    <row r="13" spans="1:13" ht="13.5" hidden="1" x14ac:dyDescent="0.25">
      <c r="A13" s="122"/>
      <c r="B13" s="110" t="str">
        <f>IFERROR(VLOOKUP(H13,'[1]Consolidado MP Planta'!$A$2:$M$823,3,0),"")</f>
        <v/>
      </c>
      <c r="C13" s="123">
        <f t="shared" si="1"/>
        <v>0</v>
      </c>
      <c r="D13" s="124" t="str">
        <f>IFERROR(VLOOKUP(H13,'[1]Consolidado MP Planta'!$A$2:$M$823,13,0),"")</f>
        <v/>
      </c>
      <c r="E13" s="124" t="str">
        <f>IFERROR(VLOOKUP(H13,'[1]Consolidado MP Planta'!$A$2:$M$823,12,0),"")</f>
        <v/>
      </c>
      <c r="F13" s="124" t="str">
        <f t="shared" si="2"/>
        <v/>
      </c>
      <c r="G13" s="125" t="str">
        <f t="shared" si="0"/>
        <v/>
      </c>
      <c r="H13" s="126"/>
      <c r="I13" s="126"/>
      <c r="J13" s="127"/>
    </row>
    <row r="14" spans="1:13" ht="13.5" hidden="1" x14ac:dyDescent="0.25">
      <c r="A14" s="122"/>
      <c r="B14" s="110" t="str">
        <f>IFERROR(VLOOKUP(H14,'[1]Consolidado MP Planta'!$A$2:$M$823,3,0),"")</f>
        <v/>
      </c>
      <c r="C14" s="123">
        <f t="shared" si="1"/>
        <v>0</v>
      </c>
      <c r="D14" s="124" t="str">
        <f>IFERROR(VLOOKUP(H14,'[1]Consolidado MP Planta'!$A$2:$M$823,13,0),"")</f>
        <v/>
      </c>
      <c r="E14" s="124" t="str">
        <f>IFERROR(VLOOKUP(H14,'[1]Consolidado MP Planta'!$A$2:$M$823,12,0),"")</f>
        <v/>
      </c>
      <c r="F14" s="124" t="str">
        <f t="shared" si="2"/>
        <v/>
      </c>
      <c r="G14" s="125" t="str">
        <f t="shared" si="0"/>
        <v/>
      </c>
      <c r="H14" s="126"/>
      <c r="I14" s="126"/>
      <c r="J14" s="127"/>
    </row>
    <row r="15" spans="1:13" ht="14.25" thickBot="1" x14ac:dyDescent="0.3">
      <c r="A15" s="122"/>
      <c r="B15" s="110" t="str">
        <f>IFERROR(VLOOKUP(H15,'[2]ARTICULOS MP PLANTA'!$A$2:$G$589,2,0),"")</f>
        <v/>
      </c>
      <c r="C15" s="123"/>
      <c r="D15" s="124"/>
      <c r="E15" s="124"/>
      <c r="F15" s="124"/>
      <c r="G15" s="125"/>
      <c r="H15" s="126"/>
      <c r="I15" s="126"/>
      <c r="J15" s="127"/>
    </row>
    <row r="16" spans="1:13" ht="26.25" hidden="1" thickBot="1" x14ac:dyDescent="0.3">
      <c r="A16" s="117" t="s">
        <v>127</v>
      </c>
      <c r="B16" s="118" t="s">
        <v>134</v>
      </c>
      <c r="C16" s="118" t="s">
        <v>127</v>
      </c>
      <c r="D16" s="119" t="s">
        <v>129</v>
      </c>
      <c r="E16" s="119" t="s">
        <v>130</v>
      </c>
      <c r="F16" s="119" t="s">
        <v>131</v>
      </c>
      <c r="G16" s="119" t="s">
        <v>132</v>
      </c>
      <c r="H16" s="120" t="s">
        <v>133</v>
      </c>
      <c r="I16" s="121"/>
      <c r="J16" s="127"/>
    </row>
    <row r="17" spans="1:12" ht="13.5" hidden="1" x14ac:dyDescent="0.25">
      <c r="A17" s="122"/>
      <c r="B17" s="110" t="str">
        <f>IFERROR(VLOOKUP(H17,[1]SEMIELABORADOS!$A$2:$M$6000,2,0),"")</f>
        <v/>
      </c>
      <c r="C17" s="123">
        <f>+A17</f>
        <v>0</v>
      </c>
      <c r="D17" s="123" t="str">
        <f>IFERROR(VLOOKUP(H17,[1]SEMIELABORADOS!$A$2:$M$6000,6,0),"")</f>
        <v/>
      </c>
      <c r="E17" s="124" t="str">
        <f>IFERROR(VLOOKUP(H17,[1]SEMIELABORADOS!$A$2:$H$65536,8,0),"")</f>
        <v/>
      </c>
      <c r="F17" s="124" t="str">
        <f>IFERROR(E17*C17,"")</f>
        <v/>
      </c>
      <c r="G17" s="125" t="str">
        <f t="shared" ref="G17:G24" si="3">IFERROR(F17/$F$66,"")</f>
        <v/>
      </c>
      <c r="H17" s="126"/>
      <c r="I17" s="126"/>
      <c r="J17" s="127"/>
    </row>
    <row r="18" spans="1:12" ht="13.5" hidden="1" x14ac:dyDescent="0.25">
      <c r="A18" s="122"/>
      <c r="B18" s="110" t="str">
        <f>IFERROR(VLOOKUP(H18,[1]SEMIELABORADOS!$A$2:$M$6000,2,0),"")</f>
        <v/>
      </c>
      <c r="C18" s="123">
        <f t="shared" ref="C18:C24" si="4">+A18</f>
        <v>0</v>
      </c>
      <c r="D18" s="123" t="str">
        <f>IFERROR(VLOOKUP(H18,[1]SEMIELABORADOS!$A$2:$M$6000,6,0),"")</f>
        <v/>
      </c>
      <c r="E18" s="124" t="str">
        <f>IFERROR(VLOOKUP(H18,[1]SEMIELABORADOS!$A$2:$H$65536,8,0),"")</f>
        <v/>
      </c>
      <c r="F18" s="124" t="str">
        <f t="shared" ref="F18:F24" si="5">IFERROR(E18*C18,"")</f>
        <v/>
      </c>
      <c r="G18" s="125" t="str">
        <f t="shared" si="3"/>
        <v/>
      </c>
      <c r="H18" s="126"/>
      <c r="I18" s="126"/>
      <c r="J18" s="127"/>
    </row>
    <row r="19" spans="1:12" ht="13.5" hidden="1" x14ac:dyDescent="0.25">
      <c r="A19" s="122"/>
      <c r="B19" s="110" t="str">
        <f>IFERROR(VLOOKUP(H19,[1]SEMIELABORADOS!$A$2:$M$6000,2,0),"")</f>
        <v/>
      </c>
      <c r="C19" s="123">
        <f>+A19</f>
        <v>0</v>
      </c>
      <c r="D19" s="123" t="str">
        <f>IFERROR(VLOOKUP(H19,[1]SEMIELABORADOS!$A$2:$M$6000,6,0),"")</f>
        <v/>
      </c>
      <c r="E19" s="124" t="str">
        <f>IFERROR(VLOOKUP(H19,[1]SEMIELABORADOS!$A$2:$H$65536,8,0),"")</f>
        <v/>
      </c>
      <c r="F19" s="124" t="str">
        <f>IFERROR(E19*C19,"")</f>
        <v/>
      </c>
      <c r="G19" s="125" t="str">
        <f t="shared" si="3"/>
        <v/>
      </c>
      <c r="H19" s="126"/>
      <c r="I19" s="126"/>
      <c r="J19" s="127"/>
    </row>
    <row r="20" spans="1:12" ht="13.5" hidden="1" x14ac:dyDescent="0.25">
      <c r="A20" s="122"/>
      <c r="B20" s="110" t="str">
        <f>IFERROR(VLOOKUP(H20,[1]SEMIELABORADOS!$A$2:$M$6000,2,0),"")</f>
        <v/>
      </c>
      <c r="C20" s="123">
        <f>+A20</f>
        <v>0</v>
      </c>
      <c r="D20" s="123" t="str">
        <f>IFERROR(VLOOKUP(H20,[1]SEMIELABORADOS!$A$2:$M$6000,6,0),"")</f>
        <v/>
      </c>
      <c r="E20" s="124" t="str">
        <f>IFERROR(VLOOKUP(H20,[1]SEMIELABORADOS!$A$2:$H$65536,8,0),"")</f>
        <v/>
      </c>
      <c r="F20" s="124" t="str">
        <f>IFERROR(E20*C20,"")</f>
        <v/>
      </c>
      <c r="G20" s="125" t="str">
        <f t="shared" si="3"/>
        <v/>
      </c>
      <c r="H20" s="126"/>
      <c r="I20" s="126"/>
      <c r="J20" s="127"/>
    </row>
    <row r="21" spans="1:12" ht="13.5" hidden="1" x14ac:dyDescent="0.25">
      <c r="A21" s="122"/>
      <c r="B21" s="110" t="str">
        <f>IFERROR(VLOOKUP(H21,[1]SEMIELABORADOS!$A$2:$M$6000,2,0),"")</f>
        <v/>
      </c>
      <c r="C21" s="123">
        <f>+A21</f>
        <v>0</v>
      </c>
      <c r="D21" s="123" t="str">
        <f>IFERROR(VLOOKUP(H21,[1]SEMIELABORADOS!$A$2:$M$6000,6,0),"")</f>
        <v/>
      </c>
      <c r="E21" s="124" t="str">
        <f>IFERROR(VLOOKUP(H21,[1]SEMIELABORADOS!$A$2:$H$65536,8,0),"")</f>
        <v/>
      </c>
      <c r="F21" s="124" t="str">
        <f>IFERROR(E21*C21,"")</f>
        <v/>
      </c>
      <c r="G21" s="125" t="str">
        <f t="shared" si="3"/>
        <v/>
      </c>
      <c r="H21" s="126"/>
      <c r="I21" s="126"/>
      <c r="J21" s="127"/>
    </row>
    <row r="22" spans="1:12" ht="13.5" hidden="1" x14ac:dyDescent="0.25">
      <c r="A22" s="122"/>
      <c r="B22" s="110" t="str">
        <f>IFERROR(VLOOKUP(H22,[1]SEMIELABORADOS!$A$2:$M$6000,2,0),"")</f>
        <v/>
      </c>
      <c r="C22" s="123">
        <f t="shared" si="4"/>
        <v>0</v>
      </c>
      <c r="D22" s="123" t="str">
        <f>IFERROR(VLOOKUP(H22,[1]SEMIELABORADOS!$A$2:$M$6000,6,0),"")</f>
        <v/>
      </c>
      <c r="E22" s="124" t="str">
        <f>IFERROR(VLOOKUP(H22,[1]SEMIELABORADOS!$A$2:$H$65536,8,0),"")</f>
        <v/>
      </c>
      <c r="F22" s="124" t="str">
        <f t="shared" si="5"/>
        <v/>
      </c>
      <c r="G22" s="125" t="str">
        <f t="shared" si="3"/>
        <v/>
      </c>
      <c r="H22" s="126"/>
      <c r="I22" s="126"/>
      <c r="J22" s="127"/>
    </row>
    <row r="23" spans="1:12" ht="13.5" hidden="1" x14ac:dyDescent="0.25">
      <c r="A23" s="122"/>
      <c r="B23" s="110" t="str">
        <f>IFERROR(VLOOKUP(H23,[1]SEMIELABORADOS!$A$2:$M$6000,2,0),"")</f>
        <v/>
      </c>
      <c r="C23" s="123">
        <f t="shared" si="4"/>
        <v>0</v>
      </c>
      <c r="D23" s="123" t="str">
        <f>IFERROR(VLOOKUP(H23,[1]SEMIELABORADOS!$A$2:$M$6000,6,0),"")</f>
        <v/>
      </c>
      <c r="E23" s="124" t="str">
        <f>IFERROR(VLOOKUP(H23,[1]SEMIELABORADOS!$A$2:$H$65536,8,0),"")</f>
        <v/>
      </c>
      <c r="F23" s="124" t="str">
        <f t="shared" si="5"/>
        <v/>
      </c>
      <c r="G23" s="125" t="str">
        <f t="shared" si="3"/>
        <v/>
      </c>
      <c r="H23" s="126"/>
      <c r="I23" s="126"/>
      <c r="J23" s="127"/>
    </row>
    <row r="24" spans="1:12" ht="13.5" hidden="1" x14ac:dyDescent="0.25">
      <c r="A24" s="122"/>
      <c r="B24" s="110" t="str">
        <f>IFERROR(VLOOKUP(H24,[1]SEMIELABORADOS!$A$2:$M$6000,2,0),"")</f>
        <v/>
      </c>
      <c r="C24" s="123">
        <f t="shared" si="4"/>
        <v>0</v>
      </c>
      <c r="D24" s="123" t="str">
        <f>IFERROR(VLOOKUP(H24,[1]SEMIELABORADOS!$A$2:$M$6000,6,0),"")</f>
        <v/>
      </c>
      <c r="E24" s="124" t="str">
        <f>IFERROR(VLOOKUP(H24,[1]SEMIELABORADOS!$A$2:$H$65536,8,0),"")</f>
        <v/>
      </c>
      <c r="F24" s="124" t="str">
        <f t="shared" si="5"/>
        <v/>
      </c>
      <c r="G24" s="125" t="str">
        <f t="shared" si="3"/>
        <v/>
      </c>
      <c r="H24" s="126"/>
      <c r="I24" s="126"/>
      <c r="J24" s="127"/>
    </row>
    <row r="25" spans="1:12" ht="14.25" hidden="1" thickBot="1" x14ac:dyDescent="0.3">
      <c r="A25" s="122"/>
      <c r="C25" s="123"/>
      <c r="D25" s="123"/>
      <c r="E25" s="124"/>
      <c r="F25" s="124"/>
      <c r="G25" s="125"/>
      <c r="H25" s="126"/>
      <c r="I25" s="126"/>
      <c r="J25" s="127"/>
    </row>
    <row r="26" spans="1:12" ht="26.25" hidden="1" thickBot="1" x14ac:dyDescent="0.3">
      <c r="A26" s="117" t="s">
        <v>127</v>
      </c>
      <c r="B26" s="118" t="s">
        <v>94</v>
      </c>
      <c r="C26" s="118" t="s">
        <v>127</v>
      </c>
      <c r="D26" s="119" t="s">
        <v>129</v>
      </c>
      <c r="E26" s="119" t="s">
        <v>130</v>
      </c>
      <c r="F26" s="119" t="s">
        <v>131</v>
      </c>
      <c r="G26" s="119" t="s">
        <v>132</v>
      </c>
      <c r="H26" s="120" t="s">
        <v>133</v>
      </c>
      <c r="I26" s="121"/>
    </row>
    <row r="27" spans="1:12" ht="13.5" hidden="1" x14ac:dyDescent="0.25">
      <c r="A27" s="122">
        <v>0</v>
      </c>
      <c r="B27" s="128" t="str">
        <f>IFERROR(VLOOKUP(H27,'[1]Consolidado MP Planta'!$A$2:$M$823,3,0),"")</f>
        <v/>
      </c>
      <c r="C27" s="123">
        <f t="shared" ref="C27:C32" si="6">+A27</f>
        <v>0</v>
      </c>
      <c r="D27" s="124" t="str">
        <f>IFERROR(VLOOKUP(H27,'[1]Consolidado MP Planta'!$A$2:$M$823,13,0),"")</f>
        <v/>
      </c>
      <c r="E27" s="124" t="str">
        <f>IFERROR(VLOOKUP(H27,'[1]Consolidado MP Planta'!$A$2:$M$823,12,0),"")</f>
        <v/>
      </c>
      <c r="F27" s="124" t="str">
        <f t="shared" ref="F27:F32" si="7">IFERROR(C27*E27,"")</f>
        <v/>
      </c>
      <c r="G27" s="125" t="str">
        <f t="shared" ref="G27:G32" si="8">IFERROR(F27/$F$66,"")</f>
        <v/>
      </c>
      <c r="H27" s="129"/>
      <c r="I27" s="129"/>
      <c r="J27" s="127"/>
      <c r="K27" s="601"/>
      <c r="L27" s="601"/>
    </row>
    <row r="28" spans="1:12" ht="13.5" hidden="1" x14ac:dyDescent="0.25">
      <c r="A28" s="122"/>
      <c r="B28" s="128" t="str">
        <f>IFERROR(VLOOKUP(H28,'[1]Consolidado MP Planta'!$A$2:$M$823,3,0),"")</f>
        <v/>
      </c>
      <c r="C28" s="123">
        <f t="shared" si="6"/>
        <v>0</v>
      </c>
      <c r="D28" s="124" t="str">
        <f>IFERROR(VLOOKUP(H28,'[1]Consolidado MP Planta'!$A$2:$M$823,13,0),"")</f>
        <v/>
      </c>
      <c r="E28" s="124" t="str">
        <f>IFERROR(VLOOKUP(H28,'[1]Consolidado MP Planta'!$A$2:$M$823,12,0),"")</f>
        <v/>
      </c>
      <c r="F28" s="124" t="str">
        <f t="shared" si="7"/>
        <v/>
      </c>
      <c r="G28" s="125" t="str">
        <f t="shared" si="8"/>
        <v/>
      </c>
      <c r="H28" s="129"/>
      <c r="I28" s="129"/>
      <c r="J28" s="127"/>
      <c r="K28" s="601"/>
      <c r="L28" s="601"/>
    </row>
    <row r="29" spans="1:12" ht="13.5" hidden="1" x14ac:dyDescent="0.25">
      <c r="A29" s="122"/>
      <c r="B29" s="128" t="str">
        <f>IFERROR(VLOOKUP(H29,'[1]Consolidado MP Planta'!$A$2:$M$823,3,0),"")</f>
        <v/>
      </c>
      <c r="C29" s="123">
        <f t="shared" si="6"/>
        <v>0</v>
      </c>
      <c r="D29" s="124" t="str">
        <f>IFERROR(VLOOKUP(H29,'[1]Consolidado MP Planta'!$A$2:$M$823,13,0),"")</f>
        <v/>
      </c>
      <c r="E29" s="124" t="str">
        <f>IFERROR(VLOOKUP(H29,'[1]Consolidado MP Planta'!$A$2:$M$823,12,0),"")</f>
        <v/>
      </c>
      <c r="F29" s="124" t="str">
        <f t="shared" si="7"/>
        <v/>
      </c>
      <c r="G29" s="125" t="str">
        <f t="shared" si="8"/>
        <v/>
      </c>
      <c r="H29" s="129"/>
      <c r="I29" s="129"/>
      <c r="J29" s="127"/>
      <c r="K29" s="601"/>
      <c r="L29" s="601"/>
    </row>
    <row r="30" spans="1:12" ht="13.5" hidden="1" x14ac:dyDescent="0.25">
      <c r="A30" s="122"/>
      <c r="B30" s="128" t="str">
        <f>IFERROR(VLOOKUP(H30,'[1]Consolidado MP Planta'!$A$2:$M$823,3,0),"")</f>
        <v/>
      </c>
      <c r="C30" s="123">
        <f t="shared" si="6"/>
        <v>0</v>
      </c>
      <c r="D30" s="124" t="str">
        <f>IFERROR(VLOOKUP(H30,'[1]Consolidado MP Planta'!$A$2:$M$823,13,0),"")</f>
        <v/>
      </c>
      <c r="E30" s="124" t="str">
        <f>IFERROR(VLOOKUP(H30,'[1]Consolidado MP Planta'!$A$2:$M$823,12,0),"")</f>
        <v/>
      </c>
      <c r="F30" s="124" t="str">
        <f t="shared" si="7"/>
        <v/>
      </c>
      <c r="G30" s="125" t="str">
        <f t="shared" si="8"/>
        <v/>
      </c>
      <c r="H30" s="129"/>
      <c r="I30" s="129"/>
      <c r="J30" s="127"/>
      <c r="K30" s="601"/>
      <c r="L30" s="601"/>
    </row>
    <row r="31" spans="1:12" ht="13.5" hidden="1" x14ac:dyDescent="0.25">
      <c r="A31" s="122"/>
      <c r="B31" s="128" t="str">
        <f>IFERROR(VLOOKUP(H31,'[1]Consolidado MP Planta'!$A$2:$M$823,3,0),"")</f>
        <v/>
      </c>
      <c r="C31" s="123">
        <f t="shared" si="6"/>
        <v>0</v>
      </c>
      <c r="D31" s="124" t="str">
        <f>IFERROR(VLOOKUP(H31,'[1]Consolidado MP Planta'!$A$2:$M$823,13,0),"")</f>
        <v/>
      </c>
      <c r="E31" s="124" t="str">
        <f>IFERROR(VLOOKUP(H31,'[1]Consolidado MP Planta'!$A$2:$M$823,12,0),"")</f>
        <v/>
      </c>
      <c r="F31" s="124" t="str">
        <f t="shared" si="7"/>
        <v/>
      </c>
      <c r="G31" s="125" t="str">
        <f t="shared" si="8"/>
        <v/>
      </c>
      <c r="H31" s="129"/>
      <c r="I31" s="129"/>
      <c r="J31" s="127"/>
      <c r="K31" s="130"/>
      <c r="L31" s="131"/>
    </row>
    <row r="32" spans="1:12" ht="13.5" hidden="1" x14ac:dyDescent="0.25">
      <c r="A32" s="122"/>
      <c r="B32" s="128" t="str">
        <f>IFERROR(VLOOKUP(H32,'[1]Consolidado MP Planta'!$A$2:$M$823,3,0),"")</f>
        <v/>
      </c>
      <c r="C32" s="123">
        <f t="shared" si="6"/>
        <v>0</v>
      </c>
      <c r="D32" s="124" t="str">
        <f>IFERROR(VLOOKUP(H32,'[1]Consolidado MP Planta'!$A$2:$M$823,13,0),"")</f>
        <v/>
      </c>
      <c r="E32" s="124" t="str">
        <f>IFERROR(VLOOKUP(H32,'[1]Consolidado MP Planta'!$A$2:$M$823,12,0),"")</f>
        <v/>
      </c>
      <c r="F32" s="124" t="str">
        <f t="shared" si="7"/>
        <v/>
      </c>
      <c r="G32" s="125" t="str">
        <f t="shared" si="8"/>
        <v/>
      </c>
      <c r="H32" s="129"/>
      <c r="I32" s="129"/>
      <c r="J32" s="127"/>
    </row>
    <row r="33" spans="1:13" ht="14.25" hidden="1" thickBot="1" x14ac:dyDescent="0.3">
      <c r="A33" s="122"/>
      <c r="B33" s="128"/>
      <c r="C33" s="123"/>
      <c r="D33" s="124"/>
      <c r="E33" s="124"/>
      <c r="F33" s="124"/>
      <c r="G33" s="125"/>
      <c r="H33" s="129"/>
      <c r="I33" s="129"/>
      <c r="J33" s="127"/>
    </row>
    <row r="34" spans="1:13" ht="26.25" hidden="1" thickBot="1" x14ac:dyDescent="0.25">
      <c r="A34" s="117" t="s">
        <v>127</v>
      </c>
      <c r="B34" s="118" t="s">
        <v>135</v>
      </c>
      <c r="C34" s="118" t="s">
        <v>127</v>
      </c>
      <c r="D34" s="119" t="s">
        <v>129</v>
      </c>
      <c r="E34" s="119" t="s">
        <v>130</v>
      </c>
      <c r="F34" s="119" t="s">
        <v>131</v>
      </c>
      <c r="G34" s="119" t="s">
        <v>132</v>
      </c>
      <c r="H34" s="120" t="s">
        <v>133</v>
      </c>
      <c r="I34" s="129"/>
      <c r="J34" s="127"/>
    </row>
    <row r="35" spans="1:13" ht="13.5" hidden="1" x14ac:dyDescent="0.25">
      <c r="A35" s="122">
        <f>+A17</f>
        <v>0</v>
      </c>
      <c r="B35" s="128" t="str">
        <f>IFERROR(VLOOKUP(H35,[1]SEMIELABORADOS!$A$2:$M$6000,2,0),"")</f>
        <v/>
      </c>
      <c r="C35" s="123">
        <f>+A35</f>
        <v>0</v>
      </c>
      <c r="D35" s="124" t="str">
        <f>IFERROR(VLOOKUP(H35,[1]SEMIELABORADOS!$A$2:$M$6000,6,0),"")</f>
        <v/>
      </c>
      <c r="E35" s="124" t="str">
        <f>IFERROR(VLOOKUP(H35,[1]SEMIELABORADOS!$A$2:$M$65536,10,0),"")</f>
        <v/>
      </c>
      <c r="F35" s="124" t="str">
        <f>IFERROR(E35*C35,"")</f>
        <v/>
      </c>
      <c r="G35" s="125" t="str">
        <f t="shared" ref="G35:G41" si="9">IFERROR(F35/$F$66,"")</f>
        <v/>
      </c>
      <c r="H35" s="129"/>
      <c r="I35" s="129"/>
      <c r="J35" s="127"/>
    </row>
    <row r="36" spans="1:13" ht="13.5" hidden="1" x14ac:dyDescent="0.25">
      <c r="A36" s="122">
        <f t="shared" ref="A36:A41" si="10">+A18</f>
        <v>0</v>
      </c>
      <c r="B36" s="128" t="str">
        <f>IFERROR(VLOOKUP(H36,[1]SEMIELABORADOS!$A$2:$M$6000,2,0),"")</f>
        <v/>
      </c>
      <c r="C36" s="123">
        <f t="shared" ref="C36:C41" si="11">+A36</f>
        <v>0</v>
      </c>
      <c r="D36" s="124" t="str">
        <f>IFERROR(VLOOKUP(H36,[1]SEMIELABORADOS!$A$2:$M$6000,6,0),"")</f>
        <v/>
      </c>
      <c r="E36" s="124" t="str">
        <f>IFERROR(VLOOKUP(H36,[1]SEMIELABORADOS!$A$2:$M$65536,10,0),"")</f>
        <v/>
      </c>
      <c r="F36" s="124" t="str">
        <f t="shared" ref="F36:F41" si="12">IFERROR(E36*C36,"")</f>
        <v/>
      </c>
      <c r="G36" s="125" t="str">
        <f t="shared" si="9"/>
        <v/>
      </c>
      <c r="H36" s="129"/>
      <c r="I36" s="129"/>
      <c r="J36" s="127"/>
    </row>
    <row r="37" spans="1:13" ht="13.5" hidden="1" x14ac:dyDescent="0.25">
      <c r="A37" s="122">
        <f t="shared" si="10"/>
        <v>0</v>
      </c>
      <c r="B37" s="128" t="str">
        <f>IFERROR(VLOOKUP(H37,[1]SEMIELABORADOS!$A$2:$M$6000,2,0),"")</f>
        <v/>
      </c>
      <c r="C37" s="123">
        <f t="shared" si="11"/>
        <v>0</v>
      </c>
      <c r="D37" s="124" t="str">
        <f>IFERROR(VLOOKUP(H37,[1]SEMIELABORADOS!$A$2:$M$6000,6,0),"")</f>
        <v/>
      </c>
      <c r="E37" s="124" t="str">
        <f>IFERROR(VLOOKUP(H37,[1]SEMIELABORADOS!$A$2:$M$65536,10,0),"")</f>
        <v/>
      </c>
      <c r="F37" s="124" t="str">
        <f t="shared" si="12"/>
        <v/>
      </c>
      <c r="G37" s="125" t="str">
        <f t="shared" si="9"/>
        <v/>
      </c>
      <c r="H37" s="129"/>
      <c r="I37" s="129"/>
      <c r="J37" s="127"/>
    </row>
    <row r="38" spans="1:13" ht="13.5" hidden="1" x14ac:dyDescent="0.25">
      <c r="A38" s="122">
        <f t="shared" si="10"/>
        <v>0</v>
      </c>
      <c r="B38" s="128" t="str">
        <f>IFERROR(VLOOKUP(H38,[1]SEMIELABORADOS!$A$2:$M$6000,2,0),"")</f>
        <v/>
      </c>
      <c r="C38" s="123">
        <f>+A38</f>
        <v>0</v>
      </c>
      <c r="D38" s="124" t="str">
        <f>IFERROR(VLOOKUP(H38,[1]SEMIELABORADOS!$A$2:$M$6000,6,0),"")</f>
        <v/>
      </c>
      <c r="E38" s="124" t="str">
        <f>IFERROR(VLOOKUP(H38,[1]SEMIELABORADOS!$A$2:$M$65536,10,0),"")</f>
        <v/>
      </c>
      <c r="F38" s="124" t="str">
        <f>IFERROR(E38*C38,"")</f>
        <v/>
      </c>
      <c r="G38" s="125" t="str">
        <f t="shared" si="9"/>
        <v/>
      </c>
      <c r="H38" s="129"/>
      <c r="I38" s="129"/>
      <c r="J38" s="127"/>
    </row>
    <row r="39" spans="1:13" ht="13.5" hidden="1" x14ac:dyDescent="0.25">
      <c r="A39" s="122">
        <f t="shared" si="10"/>
        <v>0</v>
      </c>
      <c r="B39" s="128" t="str">
        <f>IFERROR(VLOOKUP(H39,[1]SEMIELABORADOS!$A$2:$M$6000,2,0),"")</f>
        <v/>
      </c>
      <c r="C39" s="123">
        <f>+A39</f>
        <v>0</v>
      </c>
      <c r="D39" s="124" t="str">
        <f>IFERROR(VLOOKUP(H39,[1]SEMIELABORADOS!$A$2:$M$6000,6,0),"")</f>
        <v/>
      </c>
      <c r="E39" s="124" t="str">
        <f>IFERROR(VLOOKUP(H39,[1]SEMIELABORADOS!$A$2:$M$65536,10,0),"")</f>
        <v/>
      </c>
      <c r="F39" s="124" t="str">
        <f>IFERROR(E39*C39,"")</f>
        <v/>
      </c>
      <c r="G39" s="125" t="str">
        <f t="shared" si="9"/>
        <v/>
      </c>
      <c r="H39" s="129"/>
      <c r="I39" s="129"/>
      <c r="J39" s="127"/>
    </row>
    <row r="40" spans="1:13" ht="13.5" hidden="1" x14ac:dyDescent="0.25">
      <c r="A40" s="122">
        <f t="shared" si="10"/>
        <v>0</v>
      </c>
      <c r="B40" s="128" t="str">
        <f>IFERROR(VLOOKUP(H40,[1]SEMIELABORADOS!$A$2:$M$6000,2,0),"")</f>
        <v/>
      </c>
      <c r="C40" s="123">
        <f t="shared" si="11"/>
        <v>0</v>
      </c>
      <c r="D40" s="124" t="str">
        <f>IFERROR(VLOOKUP(H40,[1]SEMIELABORADOS!$A$2:$M$6000,6,0),"")</f>
        <v/>
      </c>
      <c r="E40" s="124" t="str">
        <f>IFERROR(VLOOKUP(H40,[1]SEMIELABORADOS!$A$2:$M$65536,10,0),"")</f>
        <v/>
      </c>
      <c r="F40" s="124" t="str">
        <f t="shared" si="12"/>
        <v/>
      </c>
      <c r="G40" s="125" t="str">
        <f t="shared" si="9"/>
        <v/>
      </c>
      <c r="H40" s="129"/>
      <c r="I40" s="129"/>
      <c r="J40" s="127"/>
    </row>
    <row r="41" spans="1:13" ht="13.5" hidden="1" x14ac:dyDescent="0.25">
      <c r="A41" s="122">
        <f t="shared" si="10"/>
        <v>0</v>
      </c>
      <c r="B41" s="128" t="str">
        <f>IFERROR(VLOOKUP(H41,[1]SEMIELABORADOS!$A$2:$M$6000,2,0),"")</f>
        <v/>
      </c>
      <c r="C41" s="123">
        <f t="shared" si="11"/>
        <v>0</v>
      </c>
      <c r="D41" s="124" t="str">
        <f>IFERROR(VLOOKUP(H41,[1]SEMIELABORADOS!$A$2:$M$6000,6,0),"")</f>
        <v/>
      </c>
      <c r="E41" s="124" t="str">
        <f>IFERROR(VLOOKUP(H41,[1]SEMIELABORADOS!$A$2:$M$65536,10,0),"")</f>
        <v/>
      </c>
      <c r="F41" s="124" t="str">
        <f t="shared" si="12"/>
        <v/>
      </c>
      <c r="G41" s="125" t="str">
        <f t="shared" si="9"/>
        <v/>
      </c>
      <c r="H41" s="129"/>
      <c r="I41" s="129"/>
      <c r="J41" s="127"/>
    </row>
    <row r="42" spans="1:13" ht="14.25" hidden="1" thickBot="1" x14ac:dyDescent="0.3">
      <c r="A42" s="122"/>
      <c r="B42" s="128"/>
      <c r="C42" s="123"/>
      <c r="D42" s="124"/>
      <c r="E42" s="124"/>
      <c r="F42" s="124"/>
      <c r="G42" s="125"/>
      <c r="H42" s="129"/>
      <c r="I42" s="129"/>
      <c r="J42" s="127"/>
    </row>
    <row r="43" spans="1:13" ht="26.25" thickBot="1" x14ac:dyDescent="0.3">
      <c r="A43" s="117" t="s">
        <v>127</v>
      </c>
      <c r="B43" s="118" t="s">
        <v>136</v>
      </c>
      <c r="C43" s="118" t="s">
        <v>127</v>
      </c>
      <c r="D43" s="119" t="s">
        <v>129</v>
      </c>
      <c r="E43" s="119" t="s">
        <v>130</v>
      </c>
      <c r="F43" s="119" t="s">
        <v>131</v>
      </c>
      <c r="G43" s="119" t="s">
        <v>132</v>
      </c>
      <c r="H43" s="120" t="s">
        <v>133</v>
      </c>
      <c r="I43" s="121"/>
      <c r="J43" s="127"/>
    </row>
    <row r="44" spans="1:13" ht="13.5" hidden="1" x14ac:dyDescent="0.25">
      <c r="A44" s="122">
        <f>+A35</f>
        <v>0</v>
      </c>
      <c r="B44" s="128" t="str">
        <f>IFERROR(VLOOKUP(H44,[1]SEMIELABORADOS!$A$2:$M$6000,2,0),"")</f>
        <v/>
      </c>
      <c r="C44" s="123">
        <f>+A44</f>
        <v>0</v>
      </c>
      <c r="D44" s="124" t="str">
        <f>IFERROR(VLOOKUP(H44,[1]SEMIELABORADOS!$A$2:$M$6000,6,0),"")</f>
        <v/>
      </c>
      <c r="E44" s="124" t="str">
        <f>IFERROR(VLOOKUP(H44,[1]SEMIELABORADOS!$A$2:$M$65536,12,0),"")</f>
        <v/>
      </c>
      <c r="F44" s="124" t="str">
        <f>IFERROR(E44*C44,"")</f>
        <v/>
      </c>
      <c r="G44" s="125" t="str">
        <f>IFERROR(F44/$F$66,"")</f>
        <v/>
      </c>
      <c r="H44" s="129"/>
      <c r="I44" s="121"/>
      <c r="J44" s="127"/>
    </row>
    <row r="45" spans="1:13" ht="13.5" hidden="1" x14ac:dyDescent="0.25">
      <c r="A45" s="122">
        <f t="shared" ref="A45:A50" si="13">+A36</f>
        <v>0</v>
      </c>
      <c r="B45" s="128" t="str">
        <f>IFERROR(VLOOKUP(H45,[1]SEMIELABORADOS!$A$2:$M$6000,2,0),"")</f>
        <v/>
      </c>
      <c r="C45" s="123">
        <f t="shared" ref="C45:C50" si="14">+A45</f>
        <v>0</v>
      </c>
      <c r="D45" s="124" t="str">
        <f>IFERROR(VLOOKUP(H45,[1]SEMIELABORADOS!$A$2:$M$6000,6,0),"")</f>
        <v/>
      </c>
      <c r="E45" s="124" t="str">
        <f>IFERROR(VLOOKUP(H45,[1]SEMIELABORADOS!$A$2:$M$65536,12,0),"")</f>
        <v/>
      </c>
      <c r="F45" s="124" t="str">
        <f t="shared" ref="F45:F50" si="15">IFERROR(E45*C45,"")</f>
        <v/>
      </c>
      <c r="G45" s="125" t="str">
        <f t="shared" ref="G45:G50" si="16">IFERROR(F45/$F$66,"")</f>
        <v/>
      </c>
      <c r="H45" s="129"/>
      <c r="I45" s="121"/>
      <c r="J45" s="127"/>
      <c r="M45" s="132"/>
    </row>
    <row r="46" spans="1:13" ht="13.5" hidden="1" x14ac:dyDescent="0.25">
      <c r="A46" s="122">
        <f t="shared" si="13"/>
        <v>0</v>
      </c>
      <c r="B46" s="128" t="str">
        <f>IFERROR(VLOOKUP(H46,[1]SEMIELABORADOS!$A$2:$M$6000,2,0),"")</f>
        <v/>
      </c>
      <c r="C46" s="123">
        <f t="shared" si="14"/>
        <v>0</v>
      </c>
      <c r="D46" s="124" t="str">
        <f>IFERROR(VLOOKUP(H46,[1]SEMIELABORADOS!$A$2:$M$6000,6,0),"")</f>
        <v/>
      </c>
      <c r="E46" s="124" t="str">
        <f>IFERROR(VLOOKUP(H46,[1]SEMIELABORADOS!$A$2:$M$65536,12,0),"")</f>
        <v/>
      </c>
      <c r="F46" s="124" t="str">
        <f t="shared" si="15"/>
        <v/>
      </c>
      <c r="G46" s="125" t="str">
        <f t="shared" si="16"/>
        <v/>
      </c>
      <c r="H46" s="129"/>
      <c r="I46" s="121"/>
      <c r="J46" s="127"/>
    </row>
    <row r="47" spans="1:13" ht="13.5" hidden="1" x14ac:dyDescent="0.25">
      <c r="A47" s="122">
        <f t="shared" si="13"/>
        <v>0</v>
      </c>
      <c r="B47" s="128" t="str">
        <f>IFERROR(VLOOKUP(H47,[1]SEMIELABORADOS!$A$2:$M$6000,2,0),"")</f>
        <v/>
      </c>
      <c r="C47" s="123">
        <f t="shared" si="14"/>
        <v>0</v>
      </c>
      <c r="D47" s="124" t="str">
        <f>IFERROR(VLOOKUP(H47,[1]SEMIELABORADOS!$A$2:$M$6000,6,0),"")</f>
        <v/>
      </c>
      <c r="E47" s="124" t="str">
        <f>IFERROR(VLOOKUP(H47,[1]SEMIELABORADOS!$A$2:$M$65536,12,0),"")</f>
        <v/>
      </c>
      <c r="F47" s="124" t="str">
        <f t="shared" si="15"/>
        <v/>
      </c>
      <c r="G47" s="125" t="str">
        <f t="shared" si="16"/>
        <v/>
      </c>
      <c r="H47" s="129"/>
      <c r="I47" s="121"/>
      <c r="J47" s="127"/>
    </row>
    <row r="48" spans="1:13" ht="13.5" hidden="1" x14ac:dyDescent="0.25">
      <c r="A48" s="122">
        <f t="shared" si="13"/>
        <v>0</v>
      </c>
      <c r="B48" s="128" t="str">
        <f>IFERROR(VLOOKUP(H48,[1]SEMIELABORADOS!$A$2:$M$6000,2,0),"")</f>
        <v/>
      </c>
      <c r="C48" s="123">
        <f t="shared" si="14"/>
        <v>0</v>
      </c>
      <c r="D48" s="124" t="str">
        <f>IFERROR(VLOOKUP(H48,[1]SEMIELABORADOS!$A$2:$M$6000,6,0),"")</f>
        <v/>
      </c>
      <c r="E48" s="124" t="str">
        <f>IFERROR(VLOOKUP(H48,[1]SEMIELABORADOS!$A$2:$M$65536,12,0),"")</f>
        <v/>
      </c>
      <c r="F48" s="124" t="str">
        <f t="shared" si="15"/>
        <v/>
      </c>
      <c r="G48" s="125" t="str">
        <f t="shared" si="16"/>
        <v/>
      </c>
      <c r="H48" s="129"/>
      <c r="I48" s="121"/>
      <c r="J48" s="127"/>
    </row>
    <row r="49" spans="1:17" ht="13.5" hidden="1" x14ac:dyDescent="0.25">
      <c r="A49" s="122">
        <f t="shared" si="13"/>
        <v>0</v>
      </c>
      <c r="B49" s="128" t="str">
        <f>IFERROR(VLOOKUP(H49,[1]SEMIELABORADOS!$A$2:$M$6000,2,0),"")</f>
        <v/>
      </c>
      <c r="C49" s="123">
        <f t="shared" si="14"/>
        <v>0</v>
      </c>
      <c r="D49" s="124" t="str">
        <f>IFERROR(VLOOKUP(H49,[1]SEMIELABORADOS!$A$2:$M$6000,6,0),"")</f>
        <v/>
      </c>
      <c r="E49" s="124" t="str">
        <f>IFERROR(VLOOKUP(H49,[1]SEMIELABORADOS!$A$2:$M$65536,12,0),"")</f>
        <v/>
      </c>
      <c r="F49" s="124" t="str">
        <f t="shared" si="15"/>
        <v/>
      </c>
      <c r="G49" s="125" t="str">
        <f t="shared" si="16"/>
        <v/>
      </c>
      <c r="H49" s="129"/>
      <c r="I49" s="121"/>
      <c r="J49" s="127"/>
    </row>
    <row r="50" spans="1:17" ht="13.5" hidden="1" x14ac:dyDescent="0.25">
      <c r="A50" s="122">
        <f t="shared" si="13"/>
        <v>0</v>
      </c>
      <c r="B50" s="128" t="str">
        <f>IFERROR(VLOOKUP(H50,[1]SEMIELABORADOS!$A$2:$M$6000,2,0),"")</f>
        <v/>
      </c>
      <c r="C50" s="123">
        <f t="shared" si="14"/>
        <v>0</v>
      </c>
      <c r="D50" s="124" t="str">
        <f>IFERROR(VLOOKUP(H50,[1]SEMIELABORADOS!$A$2:$M$6000,6,0),"")</f>
        <v/>
      </c>
      <c r="E50" s="124" t="str">
        <f>IFERROR(VLOOKUP(H50,[1]SEMIELABORADOS!$A$2:$M$65536,12,0),"")</f>
        <v/>
      </c>
      <c r="F50" s="124" t="str">
        <f t="shared" si="15"/>
        <v/>
      </c>
      <c r="G50" s="125" t="str">
        <f t="shared" si="16"/>
        <v/>
      </c>
      <c r="H50" s="128"/>
      <c r="I50" s="121"/>
      <c r="J50" s="127"/>
    </row>
    <row r="51" spans="1:17" ht="13.5" x14ac:dyDescent="0.25">
      <c r="A51" s="122">
        <v>1</v>
      </c>
      <c r="B51" s="128" t="s">
        <v>137</v>
      </c>
      <c r="C51" s="123">
        <f>+A51</f>
        <v>1</v>
      </c>
      <c r="D51" s="123" t="s">
        <v>138</v>
      </c>
      <c r="E51" s="124">
        <f>+F65</f>
        <v>183</v>
      </c>
      <c r="F51" s="124">
        <f>IFERROR(C51*E51,"")</f>
        <v>183</v>
      </c>
      <c r="G51" s="125">
        <f>IFERROR(F51/$F$66,"")</f>
        <v>4.4055841429015495E-2</v>
      </c>
      <c r="H51" s="133"/>
      <c r="I51" s="133"/>
      <c r="J51" s="127"/>
    </row>
    <row r="52" spans="1:17" ht="14.25" thickBot="1" x14ac:dyDescent="0.3">
      <c r="A52" s="122"/>
      <c r="B52" s="128"/>
      <c r="C52" s="123"/>
      <c r="D52" s="123"/>
      <c r="E52" s="124"/>
      <c r="F52" s="124"/>
      <c r="G52" s="125"/>
      <c r="H52" s="133"/>
      <c r="I52" s="133"/>
      <c r="J52" s="127"/>
    </row>
    <row r="53" spans="1:17" ht="13.5" thickBot="1" x14ac:dyDescent="0.3">
      <c r="A53" s="134"/>
      <c r="B53" s="611" t="s">
        <v>139</v>
      </c>
      <c r="C53" s="611"/>
      <c r="D53" s="611"/>
      <c r="E53" s="611"/>
      <c r="F53" s="136">
        <f>SUM(F8:F14,F17:F24)</f>
        <v>3892.96</v>
      </c>
      <c r="G53" s="125">
        <f>+F53/$F$66</f>
        <v>0.93720015546174951</v>
      </c>
      <c r="H53" s="137">
        <f>+F53/$D$60</f>
        <v>3892.96</v>
      </c>
      <c r="I53" s="137"/>
      <c r="J53" s="138"/>
      <c r="K53" s="139"/>
      <c r="L53" s="139"/>
      <c r="M53" s="139"/>
      <c r="N53" s="139"/>
      <c r="O53" s="139"/>
      <c r="P53" s="139"/>
      <c r="Q53" s="140"/>
    </row>
    <row r="54" spans="1:17" x14ac:dyDescent="0.2">
      <c r="A54" s="134"/>
      <c r="B54" s="611" t="s">
        <v>140</v>
      </c>
      <c r="C54" s="611"/>
      <c r="D54" s="611"/>
      <c r="E54" s="611"/>
      <c r="F54" s="136">
        <f>SUM(F27:F32,F35:F41)</f>
        <v>0</v>
      </c>
      <c r="G54" s="125">
        <f>+F54/$F$66</f>
        <v>0</v>
      </c>
      <c r="H54" s="137">
        <f>+F54/$D$60</f>
        <v>0</v>
      </c>
      <c r="I54" s="137"/>
      <c r="J54" s="141"/>
      <c r="K54" s="612" t="s">
        <v>141</v>
      </c>
      <c r="L54" s="613"/>
      <c r="M54" s="613"/>
      <c r="N54" s="613"/>
      <c r="O54" s="142">
        <f>+F55</f>
        <v>3892.96</v>
      </c>
      <c r="P54" s="142"/>
      <c r="Q54" s="143"/>
    </row>
    <row r="55" spans="1:17" x14ac:dyDescent="0.2">
      <c r="A55" s="134"/>
      <c r="B55" s="611" t="s">
        <v>142</v>
      </c>
      <c r="C55" s="611"/>
      <c r="D55" s="611"/>
      <c r="E55" s="611"/>
      <c r="F55" s="136">
        <f>+F53+F54</f>
        <v>3892.96</v>
      </c>
      <c r="G55" s="125">
        <f>+F55/$F$66</f>
        <v>0.93720015546174951</v>
      </c>
      <c r="H55" s="137">
        <f>+F55/$D$60</f>
        <v>3892.96</v>
      </c>
      <c r="I55" s="137"/>
      <c r="J55" s="144"/>
      <c r="K55" s="145"/>
      <c r="M55" s="146" t="s">
        <v>143</v>
      </c>
      <c r="N55" s="147"/>
      <c r="O55" s="142">
        <f>+H56</f>
        <v>183</v>
      </c>
      <c r="P55" s="142"/>
      <c r="Q55" s="143"/>
    </row>
    <row r="56" spans="1:17" ht="13.5" thickBot="1" x14ac:dyDescent="0.25">
      <c r="A56" s="134"/>
      <c r="B56" s="135"/>
      <c r="C56" s="611" t="s">
        <v>144</v>
      </c>
      <c r="D56" s="611"/>
      <c r="E56" s="611"/>
      <c r="F56" s="136">
        <f>SUM(F44:F51)</f>
        <v>183</v>
      </c>
      <c r="G56" s="125">
        <f>+F56/$F$66</f>
        <v>4.4055841429015495E-2</v>
      </c>
      <c r="H56" s="137">
        <f>+F56/$D$60</f>
        <v>183</v>
      </c>
      <c r="I56" s="137"/>
      <c r="J56" s="144"/>
      <c r="K56" s="145"/>
      <c r="L56" s="145"/>
      <c r="M56" s="145" t="s">
        <v>145</v>
      </c>
      <c r="N56" s="148"/>
      <c r="O56" s="142">
        <f>O54*N56</f>
        <v>0</v>
      </c>
      <c r="P56" s="142"/>
      <c r="Q56" s="143"/>
    </row>
    <row r="57" spans="1:17" ht="13.5" thickBot="1" x14ac:dyDescent="0.25">
      <c r="A57" s="134"/>
      <c r="B57" s="149"/>
      <c r="C57" s="149"/>
      <c r="D57" s="149"/>
      <c r="E57" s="149"/>
      <c r="F57" s="150"/>
      <c r="G57" s="125"/>
      <c r="H57" s="151"/>
      <c r="I57" s="137"/>
      <c r="J57" s="144"/>
      <c r="K57" s="152"/>
      <c r="M57" s="153" t="s">
        <v>146</v>
      </c>
      <c r="N57" s="154"/>
      <c r="O57" s="155">
        <f>SUM(O54:O56)</f>
        <v>4075.96</v>
      </c>
      <c r="P57" s="156"/>
      <c r="Q57" s="143"/>
    </row>
    <row r="58" spans="1:17" x14ac:dyDescent="0.2">
      <c r="B58" s="614" t="s">
        <v>147</v>
      </c>
      <c r="C58" s="614"/>
      <c r="D58" s="157">
        <v>930</v>
      </c>
      <c r="E58" s="158"/>
      <c r="G58" s="125"/>
      <c r="H58" s="151">
        <f>+H56/61</f>
        <v>3</v>
      </c>
      <c r="I58" s="159"/>
      <c r="J58" s="144"/>
      <c r="K58" s="152"/>
      <c r="L58" s="145"/>
      <c r="M58" s="145" t="s">
        <v>148</v>
      </c>
      <c r="N58" s="160"/>
      <c r="O58" s="142">
        <f>+H59</f>
        <v>174</v>
      </c>
      <c r="P58" s="142"/>
      <c r="Q58" s="143"/>
    </row>
    <row r="59" spans="1:17" x14ac:dyDescent="0.2">
      <c r="B59" s="614" t="s">
        <v>149</v>
      </c>
      <c r="C59" s="614"/>
      <c r="D59" s="161">
        <v>930</v>
      </c>
      <c r="E59" s="158"/>
      <c r="G59" s="125"/>
      <c r="H59" s="151">
        <f>+H58*58</f>
        <v>174</v>
      </c>
      <c r="I59" s="159"/>
      <c r="J59" s="144"/>
      <c r="K59" s="152"/>
      <c r="L59" s="145"/>
      <c r="M59" s="615" t="s">
        <v>146</v>
      </c>
      <c r="N59" s="615"/>
      <c r="O59" s="142">
        <f>SUM(O57:O58)</f>
        <v>4249.96</v>
      </c>
      <c r="P59" s="142"/>
      <c r="Q59" s="143"/>
    </row>
    <row r="60" spans="1:17" ht="13.5" thickBot="1" x14ac:dyDescent="0.25">
      <c r="B60" s="607" t="s">
        <v>150</v>
      </c>
      <c r="C60" s="607"/>
      <c r="D60" s="157">
        <f>+D58/D59</f>
        <v>1</v>
      </c>
      <c r="E60" s="158"/>
      <c r="F60" s="162"/>
      <c r="G60" s="125"/>
      <c r="H60" s="151"/>
      <c r="I60" s="159"/>
      <c r="J60" s="144"/>
      <c r="K60" s="152"/>
      <c r="L60" s="615"/>
      <c r="M60" s="615"/>
      <c r="N60" s="160"/>
      <c r="O60" s="142">
        <f>+O59*N60</f>
        <v>0</v>
      </c>
      <c r="P60" s="142"/>
      <c r="Q60" s="143"/>
    </row>
    <row r="61" spans="1:17" ht="13.5" thickBot="1" x14ac:dyDescent="0.25">
      <c r="B61" s="607" t="s">
        <v>151</v>
      </c>
      <c r="C61" s="607"/>
      <c r="D61" s="163"/>
      <c r="E61" s="158"/>
      <c r="F61" s="162"/>
      <c r="G61" s="125"/>
      <c r="H61" s="151"/>
      <c r="I61" s="159"/>
      <c r="J61" s="144"/>
      <c r="K61" s="608" t="s">
        <v>152</v>
      </c>
      <c r="L61" s="609"/>
      <c r="M61" s="609"/>
      <c r="N61" s="610"/>
      <c r="O61" s="155">
        <f>SUM(O59:O60)</f>
        <v>4249.96</v>
      </c>
      <c r="P61" s="164" t="s">
        <v>153</v>
      </c>
      <c r="Q61" s="143"/>
    </row>
    <row r="62" spans="1:17" ht="13.5" thickBot="1" x14ac:dyDescent="0.25">
      <c r="C62" s="134" t="s">
        <v>154</v>
      </c>
      <c r="D62" s="165"/>
      <c r="E62" s="108" t="s">
        <v>155</v>
      </c>
      <c r="F62" s="166" t="s">
        <v>156</v>
      </c>
      <c r="G62" s="125"/>
      <c r="H62" s="151"/>
      <c r="I62" s="159"/>
      <c r="J62" s="167"/>
      <c r="K62" s="168"/>
      <c r="L62" s="621" t="s">
        <v>157</v>
      </c>
      <c r="M62" s="621"/>
      <c r="N62" s="621"/>
      <c r="O62" s="169">
        <f>+O61/D60</f>
        <v>4249.96</v>
      </c>
      <c r="P62" s="170">
        <f>+O62/D59</f>
        <v>4.5698494623655916</v>
      </c>
      <c r="Q62" s="171"/>
    </row>
    <row r="63" spans="1:17" ht="13.5" thickBot="1" x14ac:dyDescent="0.25">
      <c r="B63" s="622" t="s">
        <v>142</v>
      </c>
      <c r="C63" s="622"/>
      <c r="D63" s="622"/>
      <c r="E63" s="172">
        <f>+F63/F63</f>
        <v>1</v>
      </c>
      <c r="F63" s="173">
        <f>SUM(F55)</f>
        <v>3892.96</v>
      </c>
      <c r="G63" s="125">
        <f>+F63/$F$66</f>
        <v>0.93720015546174951</v>
      </c>
      <c r="H63" s="151"/>
      <c r="I63" s="159"/>
      <c r="K63" s="623"/>
      <c r="L63" s="624"/>
      <c r="M63" s="624"/>
      <c r="N63" s="624"/>
      <c r="O63" s="174"/>
      <c r="P63" s="175"/>
    </row>
    <row r="64" spans="1:17" ht="13.5" thickBot="1" x14ac:dyDescent="0.3">
      <c r="B64" s="625" t="s">
        <v>158</v>
      </c>
      <c r="C64" s="625"/>
      <c r="D64" s="625"/>
      <c r="E64" s="176">
        <v>0.02</v>
      </c>
      <c r="F64" s="173">
        <f>+F53*E64</f>
        <v>77.859200000000001</v>
      </c>
      <c r="G64" s="125">
        <f>+F64/$F$66</f>
        <v>1.8744003109234991E-2</v>
      </c>
      <c r="H64" s="137"/>
      <c r="I64" s="159"/>
      <c r="J64" s="177"/>
      <c r="O64" s="178"/>
      <c r="P64" s="135"/>
    </row>
    <row r="65" spans="2:13" ht="13.5" thickBot="1" x14ac:dyDescent="0.3">
      <c r="B65" s="626" t="s">
        <v>159</v>
      </c>
      <c r="C65" s="627"/>
      <c r="D65" s="179">
        <v>3</v>
      </c>
      <c r="E65" s="180">
        <v>61</v>
      </c>
      <c r="F65" s="173">
        <f>+E65*D65</f>
        <v>183</v>
      </c>
      <c r="G65" s="125">
        <f>+F65/$F$66</f>
        <v>4.4055841429015495E-2</v>
      </c>
      <c r="H65" s="137"/>
      <c r="I65" s="137"/>
      <c r="J65" s="127"/>
    </row>
    <row r="66" spans="2:13" ht="13.5" thickBot="1" x14ac:dyDescent="0.3">
      <c r="B66" s="628" t="s">
        <v>160</v>
      </c>
      <c r="C66" s="629"/>
      <c r="D66" s="629"/>
      <c r="E66" s="630"/>
      <c r="F66" s="150">
        <f>SUM(F63:F65)</f>
        <v>4153.8191999999999</v>
      </c>
      <c r="G66" s="125">
        <f>+F66/$F$66</f>
        <v>1</v>
      </c>
      <c r="H66" s="631"/>
      <c r="I66" s="137"/>
      <c r="J66" s="127"/>
      <c r="M66" s="110" t="s">
        <v>161</v>
      </c>
    </row>
    <row r="67" spans="2:13" x14ac:dyDescent="0.25">
      <c r="C67" s="132"/>
      <c r="D67" s="132"/>
      <c r="E67" s="182"/>
      <c r="F67" s="173"/>
      <c r="G67" s="125"/>
      <c r="H67" s="631"/>
      <c r="I67" s="181"/>
      <c r="J67" s="110"/>
      <c r="M67" s="110" t="s">
        <v>162</v>
      </c>
    </row>
    <row r="68" spans="2:13" ht="13.5" thickBot="1" x14ac:dyDescent="0.3">
      <c r="B68" s="616" t="s">
        <v>163</v>
      </c>
      <c r="C68" s="616"/>
      <c r="D68" s="616"/>
      <c r="E68" s="616"/>
      <c r="F68" s="616"/>
      <c r="G68" s="125"/>
      <c r="H68" s="184"/>
      <c r="I68" s="181"/>
      <c r="J68" s="110"/>
      <c r="M68" s="110" t="s">
        <v>164</v>
      </c>
    </row>
    <row r="69" spans="2:13" ht="13.5" thickBot="1" x14ac:dyDescent="0.3">
      <c r="B69" s="185" t="s">
        <v>165</v>
      </c>
      <c r="C69" s="186">
        <f>+F53</f>
        <v>3892.96</v>
      </c>
      <c r="D69" s="186">
        <f>+D58</f>
        <v>930</v>
      </c>
      <c r="E69" s="187">
        <f>+C69/D69</f>
        <v>4.1859784946236562</v>
      </c>
      <c r="F69" s="125"/>
      <c r="G69" s="184"/>
      <c r="H69" s="127"/>
      <c r="I69" s="184"/>
      <c r="J69" s="110"/>
    </row>
    <row r="70" spans="2:13" x14ac:dyDescent="0.25">
      <c r="B70" s="188"/>
      <c r="C70" s="189"/>
      <c r="D70" s="190"/>
      <c r="E70" s="173"/>
      <c r="F70" s="125"/>
      <c r="G70" s="184"/>
      <c r="H70" s="127"/>
      <c r="I70" s="127"/>
      <c r="J70" s="110"/>
    </row>
    <row r="71" spans="2:13" x14ac:dyDescent="0.25">
      <c r="B71" s="185" t="s">
        <v>166</v>
      </c>
      <c r="C71" s="186">
        <f>SUM(F63:F64)</f>
        <v>3970.8191999999999</v>
      </c>
      <c r="D71" s="186">
        <f>+D58</f>
        <v>930</v>
      </c>
      <c r="E71" s="191">
        <f>+C71/D71</f>
        <v>4.2696980645161293</v>
      </c>
      <c r="F71" s="125"/>
      <c r="G71" s="184"/>
      <c r="H71" s="127"/>
      <c r="I71" s="127"/>
      <c r="J71" s="110"/>
    </row>
    <row r="72" spans="2:13" x14ac:dyDescent="0.25">
      <c r="B72" s="185"/>
      <c r="C72" s="186"/>
      <c r="D72" s="186"/>
      <c r="E72" s="191"/>
      <c r="F72" s="125"/>
      <c r="G72" s="184"/>
      <c r="H72" s="127"/>
      <c r="I72" s="127"/>
      <c r="J72" s="110"/>
    </row>
    <row r="73" spans="2:13" ht="13.5" thickBot="1" x14ac:dyDescent="0.3">
      <c r="B73" s="185" t="s">
        <v>167</v>
      </c>
      <c r="C73" s="186">
        <f>+F65</f>
        <v>183</v>
      </c>
      <c r="D73" s="186">
        <f>+D58</f>
        <v>930</v>
      </c>
      <c r="E73" s="191">
        <f>+C73/D73</f>
        <v>0.1967741935483871</v>
      </c>
      <c r="F73" s="125"/>
      <c r="G73" s="184"/>
      <c r="H73" s="127"/>
      <c r="I73" s="127"/>
      <c r="J73" s="110"/>
    </row>
    <row r="74" spans="2:13" ht="13.5" thickBot="1" x14ac:dyDescent="0.3">
      <c r="B74" s="185" t="s">
        <v>168</v>
      </c>
      <c r="C74" s="186">
        <f>+F56</f>
        <v>183</v>
      </c>
      <c r="D74" s="186">
        <f>+D73</f>
        <v>930</v>
      </c>
      <c r="E74" s="187">
        <f>+C74/D74</f>
        <v>0.1967741935483871</v>
      </c>
      <c r="F74" s="125"/>
      <c r="G74" s="184"/>
      <c r="H74" s="127"/>
      <c r="I74" s="127"/>
      <c r="J74" s="110"/>
    </row>
    <row r="75" spans="2:13" ht="13.5" thickBot="1" x14ac:dyDescent="0.3">
      <c r="B75" s="149"/>
      <c r="C75" s="150"/>
      <c r="D75" s="150"/>
      <c r="E75" s="191"/>
      <c r="F75" s="125"/>
      <c r="G75" s="184"/>
      <c r="H75" s="127"/>
      <c r="I75" s="127"/>
      <c r="J75" s="110"/>
    </row>
    <row r="76" spans="2:13" ht="13.5" thickBot="1" x14ac:dyDescent="0.3">
      <c r="B76" s="185" t="s">
        <v>169</v>
      </c>
      <c r="C76" s="186">
        <f>+F54</f>
        <v>0</v>
      </c>
      <c r="D76" s="186">
        <f>+D74</f>
        <v>930</v>
      </c>
      <c r="E76" s="187">
        <f>+C76/D76</f>
        <v>0</v>
      </c>
      <c r="F76" s="125"/>
      <c r="G76" s="184"/>
      <c r="H76" s="127"/>
      <c r="I76" s="127"/>
      <c r="J76" s="127"/>
    </row>
    <row r="77" spans="2:13" ht="13.5" thickBot="1" x14ac:dyDescent="0.3">
      <c r="B77" s="149"/>
      <c r="C77" s="150"/>
      <c r="D77" s="150"/>
      <c r="E77" s="191"/>
      <c r="F77" s="125"/>
      <c r="G77" s="184"/>
      <c r="H77" s="127"/>
      <c r="I77" s="127"/>
    </row>
    <row r="78" spans="2:13" ht="13.5" thickBot="1" x14ac:dyDescent="0.3">
      <c r="B78" s="617" t="s">
        <v>170</v>
      </c>
      <c r="C78" s="618"/>
      <c r="D78" s="619"/>
      <c r="E78" s="187">
        <f>+E69+E74</f>
        <v>4.3827526881720438</v>
      </c>
      <c r="G78" s="125"/>
      <c r="H78" s="184"/>
      <c r="I78" s="127"/>
      <c r="J78" s="191"/>
    </row>
    <row r="79" spans="2:13" x14ac:dyDescent="0.25">
      <c r="I79" s="184"/>
      <c r="J79" s="110"/>
    </row>
    <row r="80" spans="2:13" ht="13.5" thickBot="1" x14ac:dyDescent="0.3">
      <c r="B80" s="616" t="s">
        <v>171</v>
      </c>
      <c r="C80" s="616"/>
      <c r="D80" s="616"/>
      <c r="E80" s="616"/>
      <c r="F80" s="616"/>
      <c r="G80" s="125"/>
      <c r="H80" s="184"/>
      <c r="J80" s="110"/>
    </row>
    <row r="81" spans="1:10" ht="13.5" thickBot="1" x14ac:dyDescent="0.3">
      <c r="B81" s="185" t="s">
        <v>165</v>
      </c>
      <c r="C81" s="186">
        <f>+C69</f>
        <v>3892.96</v>
      </c>
      <c r="D81" s="186">
        <f>+D60</f>
        <v>1</v>
      </c>
      <c r="E81" s="187">
        <f>+C81/D81</f>
        <v>3892.96</v>
      </c>
      <c r="F81" s="125"/>
      <c r="G81" s="184"/>
      <c r="H81" s="127"/>
      <c r="I81" s="184"/>
      <c r="J81" s="110"/>
    </row>
    <row r="82" spans="1:10" x14ac:dyDescent="0.25">
      <c r="B82" s="188"/>
      <c r="C82" s="189"/>
      <c r="D82" s="190"/>
      <c r="E82" s="173"/>
      <c r="F82" s="125"/>
      <c r="G82" s="184"/>
      <c r="H82" s="127"/>
      <c r="I82" s="127"/>
      <c r="J82" s="110"/>
    </row>
    <row r="83" spans="1:10" x14ac:dyDescent="0.25">
      <c r="B83" s="185" t="s">
        <v>166</v>
      </c>
      <c r="C83" s="186">
        <f>+C71</f>
        <v>3970.8191999999999</v>
      </c>
      <c r="D83" s="186">
        <f>+D60</f>
        <v>1</v>
      </c>
      <c r="E83" s="191">
        <f>+C83/D83</f>
        <v>3970.8191999999999</v>
      </c>
      <c r="F83" s="125"/>
      <c r="G83" s="184"/>
      <c r="H83" s="127"/>
      <c r="I83" s="127"/>
      <c r="J83" s="110"/>
    </row>
    <row r="84" spans="1:10" x14ac:dyDescent="0.25">
      <c r="B84" s="185"/>
      <c r="C84" s="186"/>
      <c r="D84" s="186"/>
      <c r="E84" s="191"/>
      <c r="F84" s="125"/>
      <c r="G84" s="184"/>
      <c r="H84" s="127"/>
      <c r="I84" s="127"/>
      <c r="J84" s="110"/>
    </row>
    <row r="85" spans="1:10" ht="13.5" thickBot="1" x14ac:dyDescent="0.3">
      <c r="B85" s="185" t="s">
        <v>168</v>
      </c>
      <c r="C85" s="186">
        <f>+C73</f>
        <v>183</v>
      </c>
      <c r="D85" s="186">
        <f>+D60</f>
        <v>1</v>
      </c>
      <c r="E85" s="191">
        <f>+C85/D85</f>
        <v>183</v>
      </c>
      <c r="F85" s="193"/>
      <c r="G85" s="183"/>
      <c r="H85" s="109"/>
      <c r="I85" s="127"/>
    </row>
    <row r="86" spans="1:10" ht="13.5" thickBot="1" x14ac:dyDescent="0.3">
      <c r="B86" s="185" t="s">
        <v>168</v>
      </c>
      <c r="C86" s="186">
        <f>+C74</f>
        <v>183</v>
      </c>
      <c r="D86" s="186">
        <f>+D85</f>
        <v>1</v>
      </c>
      <c r="E86" s="187">
        <f>+C86/D86</f>
        <v>183</v>
      </c>
      <c r="F86" s="192"/>
      <c r="G86" s="183"/>
      <c r="H86" s="109"/>
      <c r="I86" s="109"/>
    </row>
    <row r="87" spans="1:10" x14ac:dyDescent="0.25">
      <c r="I87" s="109"/>
    </row>
    <row r="88" spans="1:10" x14ac:dyDescent="0.2">
      <c r="A88" s="620"/>
      <c r="B88" s="620"/>
      <c r="C88" s="194"/>
      <c r="D88" s="194"/>
      <c r="E88" s="195"/>
      <c r="G88" s="196"/>
    </row>
    <row r="89" spans="1:10" x14ac:dyDescent="0.2">
      <c r="A89" s="128"/>
      <c r="B89" s="197"/>
      <c r="C89" s="198"/>
      <c r="D89" s="198"/>
      <c r="E89" s="199"/>
      <c r="G89" s="196"/>
    </row>
    <row r="90" spans="1:10" x14ac:dyDescent="0.2">
      <c r="A90" s="128"/>
      <c r="B90" s="197"/>
      <c r="C90" s="200"/>
      <c r="D90" s="200"/>
      <c r="E90" s="128"/>
      <c r="G90" s="196"/>
    </row>
    <row r="91" spans="1:10" x14ac:dyDescent="0.2">
      <c r="A91" s="128"/>
      <c r="B91" s="197"/>
      <c r="C91" s="201"/>
      <c r="D91" s="201"/>
      <c r="E91" s="128"/>
      <c r="G91" s="1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dimension ref="A1:I36"/>
  <sheetViews>
    <sheetView topLeftCell="A6" workbookViewId="0">
      <selection activeCell="C10" sqref="C10"/>
    </sheetView>
  </sheetViews>
  <sheetFormatPr baseColWidth="10" defaultRowHeight="15" x14ac:dyDescent="0.25"/>
  <cols>
    <col min="3" max="3" width="32.7109375" customWidth="1"/>
    <col min="8" max="8" width="27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53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400</v>
      </c>
      <c r="F9" s="55" t="s">
        <v>2</v>
      </c>
      <c r="G9" s="13"/>
      <c r="H9" s="54"/>
      <c r="I9" s="53"/>
    </row>
    <row r="10" spans="1:9" x14ac:dyDescent="0.25">
      <c r="A10" s="72" t="s">
        <v>42</v>
      </c>
      <c r="B10" s="73" t="s">
        <v>42</v>
      </c>
      <c r="C10" s="47" t="s">
        <v>52</v>
      </c>
      <c r="D10" s="40" t="s">
        <v>48</v>
      </c>
      <c r="E10" s="35">
        <v>1000</v>
      </c>
      <c r="F10" s="52" t="s">
        <v>2</v>
      </c>
      <c r="G10" s="35"/>
      <c r="H10" s="49"/>
      <c r="I10" s="48"/>
    </row>
    <row r="11" spans="1:9" x14ac:dyDescent="0.25">
      <c r="A11" s="42"/>
      <c r="B11" s="67"/>
      <c r="C11" s="41"/>
      <c r="D11" s="40"/>
      <c r="E11" s="46"/>
      <c r="F11" s="45"/>
      <c r="G11" s="51"/>
      <c r="H11" s="49"/>
      <c r="I11" s="48"/>
    </row>
    <row r="12" spans="1:9" x14ac:dyDescent="0.25">
      <c r="A12" s="32"/>
      <c r="B12" s="68"/>
      <c r="C12" s="31"/>
      <c r="D12" s="30"/>
      <c r="E12" s="29"/>
      <c r="F12" s="28"/>
      <c r="G12" s="27"/>
      <c r="H12" s="26"/>
      <c r="I12" s="25"/>
    </row>
    <row r="13" spans="1:9" ht="15.75" thickBot="1" x14ac:dyDescent="0.3">
      <c r="A13" s="24"/>
      <c r="B13" s="69"/>
      <c r="C13" s="21"/>
      <c r="D13" s="21"/>
      <c r="E13" s="23"/>
      <c r="F13" s="22"/>
      <c r="G13" s="21"/>
      <c r="H13" s="21"/>
      <c r="I13" s="20"/>
    </row>
    <row r="14" spans="1:9" ht="15.75" thickBot="1" x14ac:dyDescent="0.3">
      <c r="A14" s="19"/>
      <c r="B14" s="70"/>
      <c r="C14" s="15"/>
      <c r="D14" s="18" t="s">
        <v>15</v>
      </c>
      <c r="E14" s="17" t="s">
        <v>14</v>
      </c>
      <c r="F14" s="16"/>
      <c r="G14" s="15"/>
      <c r="H14" s="15"/>
      <c r="I14" s="14"/>
    </row>
    <row r="15" spans="1:9" x14ac:dyDescent="0.25">
      <c r="A15" s="517" t="s">
        <v>13</v>
      </c>
      <c r="B15" s="518"/>
      <c r="C15" s="519"/>
      <c r="D15" s="13">
        <v>1350</v>
      </c>
      <c r="E15" s="12" t="s">
        <v>2</v>
      </c>
      <c r="F15" s="520" t="s">
        <v>12</v>
      </c>
      <c r="G15" s="520"/>
      <c r="H15" s="521"/>
      <c r="I15" s="522"/>
    </row>
    <row r="16" spans="1:9" x14ac:dyDescent="0.25">
      <c r="A16" s="523" t="s">
        <v>11</v>
      </c>
      <c r="B16" s="524"/>
      <c r="C16" s="525"/>
      <c r="D16" s="11">
        <v>3</v>
      </c>
      <c r="E16" s="11" t="s">
        <v>10</v>
      </c>
      <c r="F16" s="526" t="s">
        <v>9</v>
      </c>
      <c r="G16" s="526"/>
      <c r="H16" s="527"/>
      <c r="I16" s="528"/>
    </row>
    <row r="17" spans="1:9" x14ac:dyDescent="0.25">
      <c r="A17" s="523" t="s">
        <v>8</v>
      </c>
      <c r="B17" s="524"/>
      <c r="C17" s="525"/>
      <c r="D17" s="11">
        <v>1</v>
      </c>
      <c r="E17" s="11" t="s">
        <v>7</v>
      </c>
      <c r="F17" s="526" t="s">
        <v>6</v>
      </c>
      <c r="G17" s="526"/>
      <c r="H17" s="527"/>
      <c r="I17" s="528"/>
    </row>
    <row r="18" spans="1:9" x14ac:dyDescent="0.25">
      <c r="A18" s="523" t="s">
        <v>5</v>
      </c>
      <c r="B18" s="524"/>
      <c r="C18" s="525"/>
      <c r="D18" s="10">
        <v>1350</v>
      </c>
      <c r="E18" s="9" t="s">
        <v>2</v>
      </c>
      <c r="F18" s="533" t="s">
        <v>4</v>
      </c>
      <c r="G18" s="533"/>
      <c r="H18" s="527"/>
      <c r="I18" s="528"/>
    </row>
    <row r="19" spans="1:9" ht="15.75" thickBot="1" x14ac:dyDescent="0.3">
      <c r="A19" s="534" t="s">
        <v>3</v>
      </c>
      <c r="B19" s="535"/>
      <c r="C19" s="536"/>
      <c r="D19" s="7">
        <f>SUM(E9:E10)-D15</f>
        <v>50</v>
      </c>
      <c r="E19" s="6" t="s">
        <v>2</v>
      </c>
      <c r="F19" s="537"/>
      <c r="G19" s="537"/>
      <c r="H19" s="599"/>
      <c r="I19" s="600"/>
    </row>
    <row r="20" spans="1:9" ht="15.75" thickBot="1" x14ac:dyDescent="0.3">
      <c r="A20" s="592" t="s">
        <v>1</v>
      </c>
      <c r="B20" s="593"/>
      <c r="C20" s="593"/>
      <c r="D20" s="593"/>
      <c r="E20" s="593"/>
      <c r="F20" s="593"/>
      <c r="G20" s="593"/>
      <c r="H20" s="593"/>
      <c r="I20" s="594"/>
    </row>
    <row r="21" spans="1:9" x14ac:dyDescent="0.25">
      <c r="A21" s="595" t="s">
        <v>51</v>
      </c>
      <c r="B21" s="596"/>
      <c r="C21" s="597"/>
      <c r="D21" s="597"/>
      <c r="E21" s="597"/>
      <c r="F21" s="597"/>
      <c r="G21" s="597"/>
      <c r="H21" s="597"/>
      <c r="I21" s="598"/>
    </row>
    <row r="22" spans="1:9" x14ac:dyDescent="0.25">
      <c r="A22" s="529"/>
      <c r="B22" s="530"/>
      <c r="C22" s="531"/>
      <c r="D22" s="531"/>
      <c r="E22" s="531"/>
      <c r="F22" s="531"/>
      <c r="G22" s="531"/>
      <c r="H22" s="531"/>
      <c r="I22" s="532"/>
    </row>
    <row r="23" spans="1:9" x14ac:dyDescent="0.25">
      <c r="A23" s="542"/>
      <c r="B23" s="543"/>
      <c r="C23" s="544"/>
      <c r="D23" s="544"/>
      <c r="E23" s="544"/>
      <c r="F23" s="544"/>
      <c r="G23" s="544"/>
      <c r="H23" s="544"/>
      <c r="I23" s="545"/>
    </row>
    <row r="24" spans="1:9" x14ac:dyDescent="0.25">
      <c r="A24" s="574"/>
      <c r="B24" s="575"/>
      <c r="C24" s="575"/>
      <c r="D24" s="575"/>
      <c r="E24" s="575"/>
      <c r="F24" s="575"/>
      <c r="G24" s="575"/>
      <c r="H24" s="575"/>
      <c r="I24" s="576"/>
    </row>
    <row r="25" spans="1:9" x14ac:dyDescent="0.25">
      <c r="A25" s="577"/>
      <c r="B25" s="578"/>
      <c r="C25" s="579"/>
      <c r="D25" s="579"/>
      <c r="E25" s="579"/>
      <c r="F25" s="579"/>
      <c r="G25" s="579"/>
      <c r="H25" s="579"/>
      <c r="I25" s="580"/>
    </row>
    <row r="26" spans="1:9" ht="15.75" thickBot="1" x14ac:dyDescent="0.3">
      <c r="A26" s="581"/>
      <c r="B26" s="582"/>
      <c r="C26" s="583"/>
      <c r="D26" s="583"/>
      <c r="E26" s="583"/>
      <c r="F26" s="583"/>
      <c r="G26" s="583"/>
      <c r="H26" s="583"/>
      <c r="I26" s="584"/>
    </row>
    <row r="27" spans="1:9" x14ac:dyDescent="0.25">
      <c r="A27" s="585" t="s">
        <v>0</v>
      </c>
      <c r="B27" s="586"/>
      <c r="C27" s="586"/>
      <c r="D27" s="586"/>
      <c r="E27" s="586"/>
      <c r="F27" s="586"/>
      <c r="G27" s="586"/>
      <c r="H27" s="586"/>
      <c r="I27" s="587"/>
    </row>
    <row r="28" spans="1:9" ht="15.75" thickBot="1" x14ac:dyDescent="0.3">
      <c r="A28" s="588"/>
      <c r="B28" s="589"/>
      <c r="C28" s="590"/>
      <c r="D28" s="590"/>
      <c r="E28" s="590"/>
      <c r="F28" s="590"/>
      <c r="G28" s="590"/>
      <c r="H28" s="590"/>
      <c r="I28" s="591"/>
    </row>
    <row r="29" spans="1:9" ht="15.75" thickBot="1" x14ac:dyDescent="0.3">
      <c r="A29" s="538"/>
      <c r="B29" s="539"/>
      <c r="C29" s="540"/>
      <c r="D29" s="540"/>
      <c r="E29" s="540"/>
      <c r="F29" s="540"/>
      <c r="G29" s="540"/>
      <c r="H29" s="540"/>
      <c r="I29" s="541"/>
    </row>
    <row r="30" spans="1:9" ht="15.75" thickBot="1" x14ac:dyDescent="0.3">
      <c r="A30" s="538"/>
      <c r="B30" s="539"/>
      <c r="C30" s="540"/>
      <c r="D30" s="540"/>
      <c r="E30" s="540"/>
      <c r="F30" s="540"/>
      <c r="G30" s="540"/>
      <c r="H30" s="540"/>
      <c r="I30" s="541"/>
    </row>
    <row r="31" spans="1:9" ht="15.75" thickBot="1" x14ac:dyDescent="0.3">
      <c r="A31" s="538"/>
      <c r="B31" s="539"/>
      <c r="C31" s="540"/>
      <c r="D31" s="540"/>
      <c r="E31" s="540"/>
      <c r="F31" s="540"/>
      <c r="G31" s="540"/>
      <c r="H31" s="540"/>
      <c r="I31" s="541"/>
    </row>
    <row r="32" spans="1:9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</row>
    <row r="33" spans="1:9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</row>
    <row r="34" spans="1:9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9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9" ht="15.75" thickBot="1" x14ac:dyDescent="0.3">
      <c r="A36" s="513"/>
      <c r="B36" s="514"/>
      <c r="C36" s="515"/>
      <c r="D36" s="515"/>
      <c r="E36" s="515"/>
      <c r="F36" s="515"/>
      <c r="G36" s="515"/>
      <c r="H36" s="515"/>
      <c r="I36" s="516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15:C15"/>
    <mergeCell ref="F15:G15"/>
    <mergeCell ref="H15:I1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31:I31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2:I32"/>
    <mergeCell ref="A33:I33"/>
    <mergeCell ref="A34:I34"/>
    <mergeCell ref="A35:I35"/>
    <mergeCell ref="A36:I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70FD-FCAE-4C43-B182-89E79B419D9D}">
  <dimension ref="A1:I36"/>
  <sheetViews>
    <sheetView topLeftCell="A7" workbookViewId="0">
      <selection activeCell="B11" sqref="B11"/>
    </sheetView>
  </sheetViews>
  <sheetFormatPr baseColWidth="10" defaultRowHeight="15" x14ac:dyDescent="0.25"/>
  <cols>
    <col min="3" max="3" width="35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53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500</v>
      </c>
      <c r="F9" s="55" t="s">
        <v>2</v>
      </c>
      <c r="G9" s="13"/>
      <c r="H9" s="54"/>
      <c r="I9" s="53"/>
    </row>
    <row r="10" spans="1:9" x14ac:dyDescent="0.25">
      <c r="A10" s="72" t="s">
        <v>42</v>
      </c>
      <c r="B10" s="73" t="s">
        <v>42</v>
      </c>
      <c r="C10" s="47" t="s">
        <v>184</v>
      </c>
      <c r="D10" s="40" t="s">
        <v>48</v>
      </c>
      <c r="E10" s="35">
        <v>400</v>
      </c>
      <c r="F10" s="52" t="s">
        <v>2</v>
      </c>
      <c r="G10" s="35"/>
      <c r="H10" s="49"/>
      <c r="I10" s="48"/>
    </row>
    <row r="11" spans="1:9" x14ac:dyDescent="0.25">
      <c r="A11" t="s">
        <v>185</v>
      </c>
      <c r="B11" t="s">
        <v>186</v>
      </c>
      <c r="C11" t="s">
        <v>187</v>
      </c>
      <c r="D11" s="40"/>
      <c r="E11" s="46">
        <v>60</v>
      </c>
      <c r="F11" s="45" t="s">
        <v>2</v>
      </c>
      <c r="G11" s="51"/>
      <c r="H11" s="49"/>
      <c r="I11" s="48"/>
    </row>
    <row r="12" spans="1:9" x14ac:dyDescent="0.25">
      <c r="A12" s="32"/>
      <c r="B12" s="68"/>
      <c r="C12" s="31"/>
      <c r="D12" s="30"/>
      <c r="E12" s="29"/>
      <c r="F12" s="28"/>
      <c r="G12" s="27"/>
      <c r="H12" s="26"/>
      <c r="I12" s="25"/>
    </row>
    <row r="13" spans="1:9" ht="15.75" thickBot="1" x14ac:dyDescent="0.3">
      <c r="A13" s="24"/>
      <c r="B13" s="69"/>
      <c r="C13" s="21"/>
      <c r="D13" s="21"/>
      <c r="E13" s="23"/>
      <c r="F13" s="22"/>
      <c r="G13" s="21"/>
      <c r="H13" s="21"/>
      <c r="I13" s="20"/>
    </row>
    <row r="14" spans="1:9" ht="15.75" thickBot="1" x14ac:dyDescent="0.3">
      <c r="A14" s="19"/>
      <c r="B14" s="70"/>
      <c r="C14" s="15"/>
      <c r="D14" s="18" t="s">
        <v>15</v>
      </c>
      <c r="E14" s="17" t="s">
        <v>14</v>
      </c>
      <c r="F14" s="16"/>
      <c r="G14" s="15"/>
      <c r="H14" s="15"/>
      <c r="I14" s="14"/>
    </row>
    <row r="15" spans="1:9" x14ac:dyDescent="0.25">
      <c r="A15" s="517" t="s">
        <v>13</v>
      </c>
      <c r="B15" s="518"/>
      <c r="C15" s="519"/>
      <c r="D15" s="13">
        <v>960</v>
      </c>
      <c r="E15" s="12" t="s">
        <v>2</v>
      </c>
      <c r="F15" s="520" t="s">
        <v>12</v>
      </c>
      <c r="G15" s="520"/>
      <c r="H15" s="521"/>
      <c r="I15" s="522"/>
    </row>
    <row r="16" spans="1:9" x14ac:dyDescent="0.25">
      <c r="A16" s="523" t="s">
        <v>11</v>
      </c>
      <c r="B16" s="524"/>
      <c r="C16" s="525"/>
      <c r="D16" s="11">
        <v>3</v>
      </c>
      <c r="E16" s="11" t="s">
        <v>10</v>
      </c>
      <c r="F16" s="526" t="s">
        <v>9</v>
      </c>
      <c r="G16" s="526"/>
      <c r="H16" s="527"/>
      <c r="I16" s="528"/>
    </row>
    <row r="17" spans="1:9" x14ac:dyDescent="0.25">
      <c r="A17" s="523" t="s">
        <v>8</v>
      </c>
      <c r="B17" s="524"/>
      <c r="C17" s="525"/>
      <c r="D17" s="11">
        <v>1</v>
      </c>
      <c r="E17" s="11" t="s">
        <v>7</v>
      </c>
      <c r="F17" s="526" t="s">
        <v>6</v>
      </c>
      <c r="G17" s="526"/>
      <c r="H17" s="527"/>
      <c r="I17" s="528"/>
    </row>
    <row r="18" spans="1:9" x14ac:dyDescent="0.25">
      <c r="A18" s="523" t="s">
        <v>5</v>
      </c>
      <c r="B18" s="524"/>
      <c r="C18" s="525"/>
      <c r="D18" s="10">
        <v>960</v>
      </c>
      <c r="E18" s="9" t="s">
        <v>2</v>
      </c>
      <c r="F18" s="533" t="s">
        <v>4</v>
      </c>
      <c r="G18" s="533"/>
      <c r="H18" s="527"/>
      <c r="I18" s="528"/>
    </row>
    <row r="19" spans="1:9" ht="15.75" thickBot="1" x14ac:dyDescent="0.3">
      <c r="A19" s="534" t="s">
        <v>3</v>
      </c>
      <c r="B19" s="535"/>
      <c r="C19" s="536"/>
      <c r="D19" s="7">
        <v>0</v>
      </c>
      <c r="E19" s="6" t="s">
        <v>2</v>
      </c>
      <c r="F19" s="537"/>
      <c r="G19" s="537"/>
      <c r="H19" s="599"/>
      <c r="I19" s="600"/>
    </row>
    <row r="20" spans="1:9" ht="15.75" thickBot="1" x14ac:dyDescent="0.3">
      <c r="A20" s="592" t="s">
        <v>1</v>
      </c>
      <c r="B20" s="593"/>
      <c r="C20" s="593"/>
      <c r="D20" s="593"/>
      <c r="E20" s="593"/>
      <c r="F20" s="593"/>
      <c r="G20" s="593"/>
      <c r="H20" s="593"/>
      <c r="I20" s="594"/>
    </row>
    <row r="21" spans="1:9" x14ac:dyDescent="0.25">
      <c r="A21" s="595" t="s">
        <v>188</v>
      </c>
      <c r="B21" s="596"/>
      <c r="C21" s="597"/>
      <c r="D21" s="597"/>
      <c r="E21" s="597"/>
      <c r="F21" s="597"/>
      <c r="G21" s="597"/>
      <c r="H21" s="597"/>
      <c r="I21" s="598"/>
    </row>
    <row r="22" spans="1:9" x14ac:dyDescent="0.25">
      <c r="A22" s="529"/>
      <c r="B22" s="530"/>
      <c r="C22" s="531"/>
      <c r="D22" s="531"/>
      <c r="E22" s="531"/>
      <c r="F22" s="531"/>
      <c r="G22" s="531"/>
      <c r="H22" s="531"/>
      <c r="I22" s="532"/>
    </row>
    <row r="23" spans="1:9" x14ac:dyDescent="0.25">
      <c r="A23" s="542"/>
      <c r="B23" s="543"/>
      <c r="C23" s="544"/>
      <c r="D23" s="544"/>
      <c r="E23" s="544"/>
      <c r="F23" s="544"/>
      <c r="G23" s="544"/>
      <c r="H23" s="544"/>
      <c r="I23" s="545"/>
    </row>
    <row r="24" spans="1:9" x14ac:dyDescent="0.25">
      <c r="A24" s="574"/>
      <c r="B24" s="575"/>
      <c r="C24" s="575"/>
      <c r="D24" s="575"/>
      <c r="E24" s="575"/>
      <c r="F24" s="575"/>
      <c r="G24" s="575"/>
      <c r="H24" s="575"/>
      <c r="I24" s="576"/>
    </row>
    <row r="25" spans="1:9" x14ac:dyDescent="0.25">
      <c r="A25" s="577"/>
      <c r="B25" s="578"/>
      <c r="C25" s="579"/>
      <c r="D25" s="579"/>
      <c r="E25" s="579"/>
      <c r="F25" s="579"/>
      <c r="G25" s="579"/>
      <c r="H25" s="579"/>
      <c r="I25" s="580"/>
    </row>
    <row r="26" spans="1:9" ht="15.75" thickBot="1" x14ac:dyDescent="0.3">
      <c r="A26" s="581"/>
      <c r="B26" s="582"/>
      <c r="C26" s="583"/>
      <c r="D26" s="583"/>
      <c r="E26" s="583"/>
      <c r="F26" s="583"/>
      <c r="G26" s="583"/>
      <c r="H26" s="583"/>
      <c r="I26" s="584"/>
    </row>
    <row r="27" spans="1:9" x14ac:dyDescent="0.25">
      <c r="A27" s="585" t="s">
        <v>0</v>
      </c>
      <c r="B27" s="586"/>
      <c r="C27" s="586"/>
      <c r="D27" s="586"/>
      <c r="E27" s="586"/>
      <c r="F27" s="586"/>
      <c r="G27" s="586"/>
      <c r="H27" s="586"/>
      <c r="I27" s="587"/>
    </row>
    <row r="28" spans="1:9" ht="15.75" thickBot="1" x14ac:dyDescent="0.3">
      <c r="A28" s="588"/>
      <c r="B28" s="589"/>
      <c r="C28" s="590"/>
      <c r="D28" s="590"/>
      <c r="E28" s="590"/>
      <c r="F28" s="590"/>
      <c r="G28" s="590"/>
      <c r="H28" s="590"/>
      <c r="I28" s="591"/>
    </row>
    <row r="29" spans="1:9" ht="15.75" thickBot="1" x14ac:dyDescent="0.3">
      <c r="A29" s="538"/>
      <c r="B29" s="539"/>
      <c r="C29" s="540"/>
      <c r="D29" s="540"/>
      <c r="E29" s="540"/>
      <c r="F29" s="540"/>
      <c r="G29" s="540"/>
      <c r="H29" s="540"/>
      <c r="I29" s="541"/>
    </row>
    <row r="30" spans="1:9" ht="15.75" thickBot="1" x14ac:dyDescent="0.3">
      <c r="A30" s="538"/>
      <c r="B30" s="539"/>
      <c r="C30" s="540"/>
      <c r="D30" s="540"/>
      <c r="E30" s="540"/>
      <c r="F30" s="540"/>
      <c r="G30" s="540"/>
      <c r="H30" s="540"/>
      <c r="I30" s="541"/>
    </row>
    <row r="31" spans="1:9" ht="15.75" thickBot="1" x14ac:dyDescent="0.3">
      <c r="A31" s="538"/>
      <c r="B31" s="539"/>
      <c r="C31" s="540"/>
      <c r="D31" s="540"/>
      <c r="E31" s="540"/>
      <c r="F31" s="540"/>
      <c r="G31" s="540"/>
      <c r="H31" s="540"/>
      <c r="I31" s="541"/>
    </row>
    <row r="32" spans="1:9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</row>
    <row r="33" spans="1:9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</row>
    <row r="34" spans="1:9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9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9" ht="15.75" thickBot="1" x14ac:dyDescent="0.3">
      <c r="A36" s="513"/>
      <c r="B36" s="514"/>
      <c r="C36" s="515"/>
      <c r="D36" s="515"/>
      <c r="E36" s="515"/>
      <c r="F36" s="515"/>
      <c r="G36" s="515"/>
      <c r="H36" s="515"/>
      <c r="I36" s="516"/>
    </row>
  </sheetData>
  <mergeCells count="49">
    <mergeCell ref="A32:I32"/>
    <mergeCell ref="A33:I33"/>
    <mergeCell ref="A34:I34"/>
    <mergeCell ref="A35:I35"/>
    <mergeCell ref="A36:I36"/>
    <mergeCell ref="A17:C17"/>
    <mergeCell ref="F17:G17"/>
    <mergeCell ref="H17:I17"/>
    <mergeCell ref="A31:I31"/>
    <mergeCell ref="A20:I20"/>
    <mergeCell ref="A21:I21"/>
    <mergeCell ref="A22:I22"/>
    <mergeCell ref="A28:I28"/>
    <mergeCell ref="A29:I29"/>
    <mergeCell ref="A30:I30"/>
    <mergeCell ref="A18:C18"/>
    <mergeCell ref="F18:G18"/>
    <mergeCell ref="H18:I18"/>
    <mergeCell ref="A19:C19"/>
    <mergeCell ref="F19:G19"/>
    <mergeCell ref="H19:I19"/>
    <mergeCell ref="A15:C15"/>
    <mergeCell ref="F15:G15"/>
    <mergeCell ref="H15:I15"/>
    <mergeCell ref="A6:C6"/>
    <mergeCell ref="A16:C16"/>
    <mergeCell ref="F16:G16"/>
    <mergeCell ref="H16:I1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23:I23"/>
    <mergeCell ref="A24:I24"/>
    <mergeCell ref="A25:I25"/>
    <mergeCell ref="A26:I26"/>
    <mergeCell ref="A27:I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9AD2-86C5-4A63-8C67-6AEA5974CA84}">
  <dimension ref="A1:I36"/>
  <sheetViews>
    <sheetView topLeftCell="A5" workbookViewId="0">
      <selection activeCell="C3" sqref="C3:G3"/>
    </sheetView>
  </sheetViews>
  <sheetFormatPr baseColWidth="10" defaultRowHeight="15" x14ac:dyDescent="0.25"/>
  <cols>
    <col min="3" max="3" width="41.42578125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53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39</v>
      </c>
      <c r="B9" s="71" t="s">
        <v>40</v>
      </c>
      <c r="C9" t="s">
        <v>41</v>
      </c>
      <c r="D9" s="56" t="s">
        <v>47</v>
      </c>
      <c r="E9" s="13">
        <v>500</v>
      </c>
      <c r="F9" s="55" t="s">
        <v>2</v>
      </c>
      <c r="G9" s="13"/>
      <c r="H9" s="54"/>
      <c r="I9" s="53"/>
    </row>
    <row r="10" spans="1:9" x14ac:dyDescent="0.25">
      <c r="A10" s="72" t="s">
        <v>42</v>
      </c>
      <c r="B10" s="73" t="s">
        <v>42</v>
      </c>
      <c r="C10" s="47" t="s">
        <v>184</v>
      </c>
      <c r="D10" s="40" t="s">
        <v>48</v>
      </c>
      <c r="E10" s="35">
        <v>600</v>
      </c>
      <c r="F10" s="52" t="s">
        <v>2</v>
      </c>
      <c r="G10" s="35"/>
      <c r="H10" s="49"/>
      <c r="I10" s="48"/>
    </row>
    <row r="11" spans="1:9" x14ac:dyDescent="0.25">
      <c r="A11" t="s">
        <v>185</v>
      </c>
      <c r="B11" t="s">
        <v>186</v>
      </c>
      <c r="C11" t="s">
        <v>187</v>
      </c>
      <c r="D11" s="40"/>
      <c r="E11" s="46">
        <v>80</v>
      </c>
      <c r="F11" s="45" t="s">
        <v>2</v>
      </c>
      <c r="G11" s="51"/>
      <c r="H11" s="49"/>
      <c r="I11" s="48"/>
    </row>
    <row r="12" spans="1:9" x14ac:dyDescent="0.25">
      <c r="A12" s="32"/>
      <c r="B12" s="68"/>
      <c r="C12" s="31"/>
      <c r="D12" s="30"/>
      <c r="E12" s="29"/>
      <c r="F12" s="28"/>
      <c r="G12" s="27"/>
      <c r="H12" s="26"/>
      <c r="I12" s="25"/>
    </row>
    <row r="13" spans="1:9" ht="15.75" thickBot="1" x14ac:dyDescent="0.3">
      <c r="A13" s="24"/>
      <c r="B13" s="69"/>
      <c r="C13" s="21"/>
      <c r="D13" s="21"/>
      <c r="E13" s="23"/>
      <c r="F13" s="22"/>
      <c r="G13" s="21"/>
      <c r="H13" s="21"/>
      <c r="I13" s="20"/>
    </row>
    <row r="14" spans="1:9" ht="15.75" thickBot="1" x14ac:dyDescent="0.3">
      <c r="A14" s="19"/>
      <c r="B14" s="70"/>
      <c r="C14" s="15"/>
      <c r="D14" s="18" t="s">
        <v>15</v>
      </c>
      <c r="E14" s="17" t="s">
        <v>14</v>
      </c>
      <c r="F14" s="16"/>
      <c r="G14" s="15"/>
      <c r="H14" s="15"/>
      <c r="I14" s="14"/>
    </row>
    <row r="15" spans="1:9" x14ac:dyDescent="0.25">
      <c r="A15" s="517" t="s">
        <v>13</v>
      </c>
      <c r="B15" s="518"/>
      <c r="C15" s="519"/>
      <c r="D15" s="13">
        <v>1120</v>
      </c>
      <c r="E15" s="12" t="s">
        <v>2</v>
      </c>
      <c r="F15" s="520" t="s">
        <v>12</v>
      </c>
      <c r="G15" s="520"/>
      <c r="H15" s="521"/>
      <c r="I15" s="522"/>
    </row>
    <row r="16" spans="1:9" x14ac:dyDescent="0.25">
      <c r="A16" s="523" t="s">
        <v>11</v>
      </c>
      <c r="B16" s="524"/>
      <c r="C16" s="525"/>
      <c r="D16" s="11">
        <v>2</v>
      </c>
      <c r="E16" s="11" t="s">
        <v>10</v>
      </c>
      <c r="F16" s="526" t="s">
        <v>9</v>
      </c>
      <c r="G16" s="526"/>
      <c r="H16" s="527"/>
      <c r="I16" s="528"/>
    </row>
    <row r="17" spans="1:9" x14ac:dyDescent="0.25">
      <c r="A17" s="523" t="s">
        <v>8</v>
      </c>
      <c r="B17" s="524"/>
      <c r="C17" s="525"/>
      <c r="D17" s="11">
        <v>1</v>
      </c>
      <c r="E17" s="11" t="s">
        <v>7</v>
      </c>
      <c r="F17" s="526" t="s">
        <v>6</v>
      </c>
      <c r="G17" s="526"/>
      <c r="H17" s="527"/>
      <c r="I17" s="528"/>
    </row>
    <row r="18" spans="1:9" x14ac:dyDescent="0.25">
      <c r="A18" s="523" t="s">
        <v>5</v>
      </c>
      <c r="B18" s="524"/>
      <c r="C18" s="525"/>
      <c r="D18" s="10">
        <v>1120</v>
      </c>
      <c r="E18" s="9" t="s">
        <v>2</v>
      </c>
      <c r="F18" s="533" t="s">
        <v>4</v>
      </c>
      <c r="G18" s="533"/>
      <c r="H18" s="527"/>
      <c r="I18" s="528"/>
    </row>
    <row r="19" spans="1:9" ht="15.75" thickBot="1" x14ac:dyDescent="0.3">
      <c r="A19" s="534" t="s">
        <v>3</v>
      </c>
      <c r="B19" s="535"/>
      <c r="C19" s="536"/>
      <c r="D19" s="7">
        <v>60</v>
      </c>
      <c r="E19" s="6" t="s">
        <v>2</v>
      </c>
      <c r="F19" s="537"/>
      <c r="G19" s="537"/>
      <c r="H19" s="599"/>
      <c r="I19" s="600"/>
    </row>
    <row r="20" spans="1:9" ht="15.75" thickBot="1" x14ac:dyDescent="0.3">
      <c r="A20" s="592" t="s">
        <v>1</v>
      </c>
      <c r="B20" s="593"/>
      <c r="C20" s="593"/>
      <c r="D20" s="593"/>
      <c r="E20" s="593"/>
      <c r="F20" s="593"/>
      <c r="G20" s="593"/>
      <c r="H20" s="593"/>
      <c r="I20" s="594"/>
    </row>
    <row r="21" spans="1:9" x14ac:dyDescent="0.25">
      <c r="A21" s="595" t="s">
        <v>188</v>
      </c>
      <c r="B21" s="596"/>
      <c r="C21" s="597"/>
      <c r="D21" s="597"/>
      <c r="E21" s="597"/>
      <c r="F21" s="597"/>
      <c r="G21" s="597"/>
      <c r="H21" s="597"/>
      <c r="I21" s="598"/>
    </row>
    <row r="22" spans="1:9" x14ac:dyDescent="0.25">
      <c r="A22" s="529"/>
      <c r="B22" s="530"/>
      <c r="C22" s="531"/>
      <c r="D22" s="531"/>
      <c r="E22" s="531"/>
      <c r="F22" s="531"/>
      <c r="G22" s="531"/>
      <c r="H22" s="531"/>
      <c r="I22" s="532"/>
    </row>
    <row r="23" spans="1:9" x14ac:dyDescent="0.25">
      <c r="A23" s="542"/>
      <c r="B23" s="543"/>
      <c r="C23" s="544"/>
      <c r="D23" s="544"/>
      <c r="E23" s="544"/>
      <c r="F23" s="544"/>
      <c r="G23" s="544"/>
      <c r="H23" s="544"/>
      <c r="I23" s="545"/>
    </row>
    <row r="24" spans="1:9" x14ac:dyDescent="0.25">
      <c r="A24" s="574"/>
      <c r="B24" s="575"/>
      <c r="C24" s="575"/>
      <c r="D24" s="575"/>
      <c r="E24" s="575"/>
      <c r="F24" s="575"/>
      <c r="G24" s="575"/>
      <c r="H24" s="575"/>
      <c r="I24" s="576"/>
    </row>
    <row r="25" spans="1:9" x14ac:dyDescent="0.25">
      <c r="A25" s="577"/>
      <c r="B25" s="578"/>
      <c r="C25" s="579"/>
      <c r="D25" s="579"/>
      <c r="E25" s="579"/>
      <c r="F25" s="579"/>
      <c r="G25" s="579"/>
      <c r="H25" s="579"/>
      <c r="I25" s="580"/>
    </row>
    <row r="26" spans="1:9" ht="15.75" thickBot="1" x14ac:dyDescent="0.3">
      <c r="A26" s="581"/>
      <c r="B26" s="582"/>
      <c r="C26" s="583"/>
      <c r="D26" s="583"/>
      <c r="E26" s="583"/>
      <c r="F26" s="583"/>
      <c r="G26" s="583"/>
      <c r="H26" s="583"/>
      <c r="I26" s="584"/>
    </row>
    <row r="27" spans="1:9" x14ac:dyDescent="0.25">
      <c r="A27" s="585" t="s">
        <v>0</v>
      </c>
      <c r="B27" s="586"/>
      <c r="C27" s="586"/>
      <c r="D27" s="586"/>
      <c r="E27" s="586"/>
      <c r="F27" s="586"/>
      <c r="G27" s="586"/>
      <c r="H27" s="586"/>
      <c r="I27" s="587"/>
    </row>
    <row r="28" spans="1:9" ht="15.75" thickBot="1" x14ac:dyDescent="0.3">
      <c r="A28" s="588"/>
      <c r="B28" s="589"/>
      <c r="C28" s="590"/>
      <c r="D28" s="590"/>
      <c r="E28" s="590"/>
      <c r="F28" s="590"/>
      <c r="G28" s="590"/>
      <c r="H28" s="590"/>
      <c r="I28" s="591"/>
    </row>
    <row r="29" spans="1:9" ht="15.75" thickBot="1" x14ac:dyDescent="0.3">
      <c r="A29" s="538"/>
      <c r="B29" s="539"/>
      <c r="C29" s="540"/>
      <c r="D29" s="540"/>
      <c r="E29" s="540"/>
      <c r="F29" s="540"/>
      <c r="G29" s="540"/>
      <c r="H29" s="540"/>
      <c r="I29" s="541"/>
    </row>
    <row r="30" spans="1:9" ht="15.75" thickBot="1" x14ac:dyDescent="0.3">
      <c r="A30" s="538"/>
      <c r="B30" s="539"/>
      <c r="C30" s="540"/>
      <c r="D30" s="540"/>
      <c r="E30" s="540"/>
      <c r="F30" s="540"/>
      <c r="G30" s="540"/>
      <c r="H30" s="540"/>
      <c r="I30" s="541"/>
    </row>
    <row r="31" spans="1:9" ht="15.75" thickBot="1" x14ac:dyDescent="0.3">
      <c r="A31" s="538"/>
      <c r="B31" s="539"/>
      <c r="C31" s="540"/>
      <c r="D31" s="540"/>
      <c r="E31" s="540"/>
      <c r="F31" s="540"/>
      <c r="G31" s="540"/>
      <c r="H31" s="540"/>
      <c r="I31" s="541"/>
    </row>
    <row r="32" spans="1:9" ht="15.75" thickBot="1" x14ac:dyDescent="0.3">
      <c r="A32" s="538"/>
      <c r="B32" s="539"/>
      <c r="C32" s="540"/>
      <c r="D32" s="540"/>
      <c r="E32" s="540"/>
      <c r="F32" s="540"/>
      <c r="G32" s="540"/>
      <c r="H32" s="540"/>
      <c r="I32" s="541"/>
    </row>
    <row r="33" spans="1:9" ht="15.75" thickBot="1" x14ac:dyDescent="0.3">
      <c r="A33" s="538"/>
      <c r="B33" s="539"/>
      <c r="C33" s="540"/>
      <c r="D33" s="540"/>
      <c r="E33" s="540"/>
      <c r="F33" s="540"/>
      <c r="G33" s="540"/>
      <c r="H33" s="540"/>
      <c r="I33" s="541"/>
    </row>
    <row r="34" spans="1:9" ht="15.75" thickBot="1" x14ac:dyDescent="0.3">
      <c r="A34" s="538"/>
      <c r="B34" s="539"/>
      <c r="C34" s="540"/>
      <c r="D34" s="540"/>
      <c r="E34" s="540"/>
      <c r="F34" s="540"/>
      <c r="G34" s="540"/>
      <c r="H34" s="540"/>
      <c r="I34" s="541"/>
    </row>
    <row r="35" spans="1:9" ht="15.75" thickBot="1" x14ac:dyDescent="0.3">
      <c r="A35" s="538"/>
      <c r="B35" s="539"/>
      <c r="C35" s="540"/>
      <c r="D35" s="540"/>
      <c r="E35" s="540"/>
      <c r="F35" s="540"/>
      <c r="G35" s="540"/>
      <c r="H35" s="540"/>
      <c r="I35" s="541"/>
    </row>
    <row r="36" spans="1:9" ht="15.75" thickBot="1" x14ac:dyDescent="0.3">
      <c r="A36" s="513"/>
      <c r="B36" s="514"/>
      <c r="C36" s="515"/>
      <c r="D36" s="515"/>
      <c r="E36" s="515"/>
      <c r="F36" s="515"/>
      <c r="G36" s="515"/>
      <c r="H36" s="515"/>
      <c r="I36" s="516"/>
    </row>
  </sheetData>
  <mergeCells count="49">
    <mergeCell ref="A17:C17"/>
    <mergeCell ref="F17:G17"/>
    <mergeCell ref="A23:I23"/>
    <mergeCell ref="A18:C18"/>
    <mergeCell ref="F18:G18"/>
    <mergeCell ref="H18:I18"/>
    <mergeCell ref="A19:C19"/>
    <mergeCell ref="F19:G19"/>
    <mergeCell ref="H19:I19"/>
    <mergeCell ref="H17:I17"/>
    <mergeCell ref="A34:I34"/>
    <mergeCell ref="A35:I35"/>
    <mergeCell ref="A36:I36"/>
    <mergeCell ref="A31:I31"/>
    <mergeCell ref="A20:I20"/>
    <mergeCell ref="A21:I21"/>
    <mergeCell ref="A22:I22"/>
    <mergeCell ref="A24:I24"/>
    <mergeCell ref="A25:I25"/>
    <mergeCell ref="A26:I26"/>
    <mergeCell ref="A27:I27"/>
    <mergeCell ref="A28:I28"/>
    <mergeCell ref="A29:I29"/>
    <mergeCell ref="A30:I30"/>
    <mergeCell ref="A32:I32"/>
    <mergeCell ref="A33:I33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I3:I5"/>
    <mergeCell ref="D4:G4"/>
    <mergeCell ref="D5:G5"/>
    <mergeCell ref="A1:B5"/>
    <mergeCell ref="C1:G1"/>
    <mergeCell ref="C2:G2"/>
    <mergeCell ref="C3:G3"/>
    <mergeCell ref="H3:H5"/>
    <mergeCell ref="A15:C15"/>
    <mergeCell ref="F15:G15"/>
    <mergeCell ref="H15:I15"/>
    <mergeCell ref="A6:C6"/>
    <mergeCell ref="D6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3CAE-08EE-4C3B-B8E5-567ADA80054A}">
  <dimension ref="A1:Q91"/>
  <sheetViews>
    <sheetView workbookViewId="0">
      <selection activeCell="D60" sqref="D60"/>
    </sheetView>
  </sheetViews>
  <sheetFormatPr baseColWidth="10" defaultColWidth="8.42578125" defaultRowHeight="12.75" x14ac:dyDescent="0.25"/>
  <cols>
    <col min="1" max="1" width="10" style="110" bestFit="1" customWidth="1"/>
    <col min="2" max="2" width="44.28515625" style="110" bestFit="1" customWidth="1"/>
    <col min="3" max="3" width="10.42578125" style="110" bestFit="1" customWidth="1"/>
    <col min="4" max="4" width="10.42578125" style="110" customWidth="1"/>
    <col min="5" max="5" width="9.7109375" style="110" bestFit="1" customWidth="1"/>
    <col min="6" max="6" width="9.5703125" style="110" bestFit="1" customWidth="1"/>
    <col min="7" max="7" width="9.5703125" style="192" bestFit="1" customWidth="1"/>
    <col min="8" max="8" width="10.42578125" style="183" bestFit="1" customWidth="1"/>
    <col min="9" max="9" width="4.5703125" style="183" customWidth="1"/>
    <col min="10" max="10" width="1.7109375" style="109" customWidth="1"/>
    <col min="11" max="11" width="7" style="110" bestFit="1" customWidth="1"/>
    <col min="12" max="12" width="6.28515625" style="110" customWidth="1"/>
    <col min="13" max="13" width="20.42578125" style="110" customWidth="1"/>
    <col min="14" max="14" width="6.42578125" style="110" bestFit="1" customWidth="1"/>
    <col min="15" max="16" width="8.42578125" style="110"/>
    <col min="17" max="17" width="3.28515625" style="110" customWidth="1"/>
    <col min="18" max="256" width="8.42578125" style="110"/>
    <col min="257" max="257" width="10" style="110" bestFit="1" customWidth="1"/>
    <col min="258" max="258" width="44.28515625" style="110" bestFit="1" customWidth="1"/>
    <col min="259" max="259" width="10.42578125" style="110" bestFit="1" customWidth="1"/>
    <col min="260" max="260" width="10.42578125" style="110" customWidth="1"/>
    <col min="261" max="261" width="9.7109375" style="110" bestFit="1" customWidth="1"/>
    <col min="262" max="263" width="9.5703125" style="110" bestFit="1" customWidth="1"/>
    <col min="264" max="264" width="10.42578125" style="110" bestFit="1" customWidth="1"/>
    <col min="265" max="265" width="4.5703125" style="110" customWidth="1"/>
    <col min="266" max="266" width="1.7109375" style="110" customWidth="1"/>
    <col min="267" max="267" width="7" style="110" bestFit="1" customWidth="1"/>
    <col min="268" max="268" width="6.28515625" style="110" customWidth="1"/>
    <col min="269" max="269" width="20.42578125" style="110" customWidth="1"/>
    <col min="270" max="270" width="6.42578125" style="110" bestFit="1" customWidth="1"/>
    <col min="271" max="272" width="8.42578125" style="110"/>
    <col min="273" max="273" width="3.28515625" style="110" customWidth="1"/>
    <col min="274" max="512" width="8.42578125" style="110"/>
    <col min="513" max="513" width="10" style="110" bestFit="1" customWidth="1"/>
    <col min="514" max="514" width="44.28515625" style="110" bestFit="1" customWidth="1"/>
    <col min="515" max="515" width="10.42578125" style="110" bestFit="1" customWidth="1"/>
    <col min="516" max="516" width="10.42578125" style="110" customWidth="1"/>
    <col min="517" max="517" width="9.7109375" style="110" bestFit="1" customWidth="1"/>
    <col min="518" max="519" width="9.5703125" style="110" bestFit="1" customWidth="1"/>
    <col min="520" max="520" width="10.42578125" style="110" bestFit="1" customWidth="1"/>
    <col min="521" max="521" width="4.5703125" style="110" customWidth="1"/>
    <col min="522" max="522" width="1.7109375" style="110" customWidth="1"/>
    <col min="523" max="523" width="7" style="110" bestFit="1" customWidth="1"/>
    <col min="524" max="524" width="6.28515625" style="110" customWidth="1"/>
    <col min="525" max="525" width="20.42578125" style="110" customWidth="1"/>
    <col min="526" max="526" width="6.42578125" style="110" bestFit="1" customWidth="1"/>
    <col min="527" max="528" width="8.42578125" style="110"/>
    <col min="529" max="529" width="3.28515625" style="110" customWidth="1"/>
    <col min="530" max="768" width="8.42578125" style="110"/>
    <col min="769" max="769" width="10" style="110" bestFit="1" customWidth="1"/>
    <col min="770" max="770" width="44.28515625" style="110" bestFit="1" customWidth="1"/>
    <col min="771" max="771" width="10.42578125" style="110" bestFit="1" customWidth="1"/>
    <col min="772" max="772" width="10.42578125" style="110" customWidth="1"/>
    <col min="773" max="773" width="9.7109375" style="110" bestFit="1" customWidth="1"/>
    <col min="774" max="775" width="9.5703125" style="110" bestFit="1" customWidth="1"/>
    <col min="776" max="776" width="10.42578125" style="110" bestFit="1" customWidth="1"/>
    <col min="777" max="777" width="4.5703125" style="110" customWidth="1"/>
    <col min="778" max="778" width="1.7109375" style="110" customWidth="1"/>
    <col min="779" max="779" width="7" style="110" bestFit="1" customWidth="1"/>
    <col min="780" max="780" width="6.28515625" style="110" customWidth="1"/>
    <col min="781" max="781" width="20.42578125" style="110" customWidth="1"/>
    <col min="782" max="782" width="6.42578125" style="110" bestFit="1" customWidth="1"/>
    <col min="783" max="784" width="8.42578125" style="110"/>
    <col min="785" max="785" width="3.28515625" style="110" customWidth="1"/>
    <col min="786" max="1024" width="8.42578125" style="110"/>
    <col min="1025" max="1025" width="10" style="110" bestFit="1" customWidth="1"/>
    <col min="1026" max="1026" width="44.28515625" style="110" bestFit="1" customWidth="1"/>
    <col min="1027" max="1027" width="10.42578125" style="110" bestFit="1" customWidth="1"/>
    <col min="1028" max="1028" width="10.42578125" style="110" customWidth="1"/>
    <col min="1029" max="1029" width="9.7109375" style="110" bestFit="1" customWidth="1"/>
    <col min="1030" max="1031" width="9.5703125" style="110" bestFit="1" customWidth="1"/>
    <col min="1032" max="1032" width="10.42578125" style="110" bestFit="1" customWidth="1"/>
    <col min="1033" max="1033" width="4.5703125" style="110" customWidth="1"/>
    <col min="1034" max="1034" width="1.7109375" style="110" customWidth="1"/>
    <col min="1035" max="1035" width="7" style="110" bestFit="1" customWidth="1"/>
    <col min="1036" max="1036" width="6.28515625" style="110" customWidth="1"/>
    <col min="1037" max="1037" width="20.42578125" style="110" customWidth="1"/>
    <col min="1038" max="1038" width="6.42578125" style="110" bestFit="1" customWidth="1"/>
    <col min="1039" max="1040" width="8.42578125" style="110"/>
    <col min="1041" max="1041" width="3.28515625" style="110" customWidth="1"/>
    <col min="1042" max="1280" width="8.42578125" style="110"/>
    <col min="1281" max="1281" width="10" style="110" bestFit="1" customWidth="1"/>
    <col min="1282" max="1282" width="44.28515625" style="110" bestFit="1" customWidth="1"/>
    <col min="1283" max="1283" width="10.42578125" style="110" bestFit="1" customWidth="1"/>
    <col min="1284" max="1284" width="10.42578125" style="110" customWidth="1"/>
    <col min="1285" max="1285" width="9.7109375" style="110" bestFit="1" customWidth="1"/>
    <col min="1286" max="1287" width="9.5703125" style="110" bestFit="1" customWidth="1"/>
    <col min="1288" max="1288" width="10.42578125" style="110" bestFit="1" customWidth="1"/>
    <col min="1289" max="1289" width="4.5703125" style="110" customWidth="1"/>
    <col min="1290" max="1290" width="1.7109375" style="110" customWidth="1"/>
    <col min="1291" max="1291" width="7" style="110" bestFit="1" customWidth="1"/>
    <col min="1292" max="1292" width="6.28515625" style="110" customWidth="1"/>
    <col min="1293" max="1293" width="20.42578125" style="110" customWidth="1"/>
    <col min="1294" max="1294" width="6.42578125" style="110" bestFit="1" customWidth="1"/>
    <col min="1295" max="1296" width="8.42578125" style="110"/>
    <col min="1297" max="1297" width="3.28515625" style="110" customWidth="1"/>
    <col min="1298" max="1536" width="8.42578125" style="110"/>
    <col min="1537" max="1537" width="10" style="110" bestFit="1" customWidth="1"/>
    <col min="1538" max="1538" width="44.28515625" style="110" bestFit="1" customWidth="1"/>
    <col min="1539" max="1539" width="10.42578125" style="110" bestFit="1" customWidth="1"/>
    <col min="1540" max="1540" width="10.42578125" style="110" customWidth="1"/>
    <col min="1541" max="1541" width="9.7109375" style="110" bestFit="1" customWidth="1"/>
    <col min="1542" max="1543" width="9.5703125" style="110" bestFit="1" customWidth="1"/>
    <col min="1544" max="1544" width="10.42578125" style="110" bestFit="1" customWidth="1"/>
    <col min="1545" max="1545" width="4.5703125" style="110" customWidth="1"/>
    <col min="1546" max="1546" width="1.7109375" style="110" customWidth="1"/>
    <col min="1547" max="1547" width="7" style="110" bestFit="1" customWidth="1"/>
    <col min="1548" max="1548" width="6.28515625" style="110" customWidth="1"/>
    <col min="1549" max="1549" width="20.42578125" style="110" customWidth="1"/>
    <col min="1550" max="1550" width="6.42578125" style="110" bestFit="1" customWidth="1"/>
    <col min="1551" max="1552" width="8.42578125" style="110"/>
    <col min="1553" max="1553" width="3.28515625" style="110" customWidth="1"/>
    <col min="1554" max="1792" width="8.42578125" style="110"/>
    <col min="1793" max="1793" width="10" style="110" bestFit="1" customWidth="1"/>
    <col min="1794" max="1794" width="44.28515625" style="110" bestFit="1" customWidth="1"/>
    <col min="1795" max="1795" width="10.42578125" style="110" bestFit="1" customWidth="1"/>
    <col min="1796" max="1796" width="10.42578125" style="110" customWidth="1"/>
    <col min="1797" max="1797" width="9.7109375" style="110" bestFit="1" customWidth="1"/>
    <col min="1798" max="1799" width="9.5703125" style="110" bestFit="1" customWidth="1"/>
    <col min="1800" max="1800" width="10.42578125" style="110" bestFit="1" customWidth="1"/>
    <col min="1801" max="1801" width="4.5703125" style="110" customWidth="1"/>
    <col min="1802" max="1802" width="1.7109375" style="110" customWidth="1"/>
    <col min="1803" max="1803" width="7" style="110" bestFit="1" customWidth="1"/>
    <col min="1804" max="1804" width="6.28515625" style="110" customWidth="1"/>
    <col min="1805" max="1805" width="20.42578125" style="110" customWidth="1"/>
    <col min="1806" max="1806" width="6.42578125" style="110" bestFit="1" customWidth="1"/>
    <col min="1807" max="1808" width="8.42578125" style="110"/>
    <col min="1809" max="1809" width="3.28515625" style="110" customWidth="1"/>
    <col min="1810" max="2048" width="8.42578125" style="110"/>
    <col min="2049" max="2049" width="10" style="110" bestFit="1" customWidth="1"/>
    <col min="2050" max="2050" width="44.28515625" style="110" bestFit="1" customWidth="1"/>
    <col min="2051" max="2051" width="10.42578125" style="110" bestFit="1" customWidth="1"/>
    <col min="2052" max="2052" width="10.42578125" style="110" customWidth="1"/>
    <col min="2053" max="2053" width="9.7109375" style="110" bestFit="1" customWidth="1"/>
    <col min="2054" max="2055" width="9.5703125" style="110" bestFit="1" customWidth="1"/>
    <col min="2056" max="2056" width="10.42578125" style="110" bestFit="1" customWidth="1"/>
    <col min="2057" max="2057" width="4.5703125" style="110" customWidth="1"/>
    <col min="2058" max="2058" width="1.7109375" style="110" customWidth="1"/>
    <col min="2059" max="2059" width="7" style="110" bestFit="1" customWidth="1"/>
    <col min="2060" max="2060" width="6.28515625" style="110" customWidth="1"/>
    <col min="2061" max="2061" width="20.42578125" style="110" customWidth="1"/>
    <col min="2062" max="2062" width="6.42578125" style="110" bestFit="1" customWidth="1"/>
    <col min="2063" max="2064" width="8.42578125" style="110"/>
    <col min="2065" max="2065" width="3.28515625" style="110" customWidth="1"/>
    <col min="2066" max="2304" width="8.42578125" style="110"/>
    <col min="2305" max="2305" width="10" style="110" bestFit="1" customWidth="1"/>
    <col min="2306" max="2306" width="44.28515625" style="110" bestFit="1" customWidth="1"/>
    <col min="2307" max="2307" width="10.42578125" style="110" bestFit="1" customWidth="1"/>
    <col min="2308" max="2308" width="10.42578125" style="110" customWidth="1"/>
    <col min="2309" max="2309" width="9.7109375" style="110" bestFit="1" customWidth="1"/>
    <col min="2310" max="2311" width="9.5703125" style="110" bestFit="1" customWidth="1"/>
    <col min="2312" max="2312" width="10.42578125" style="110" bestFit="1" customWidth="1"/>
    <col min="2313" max="2313" width="4.5703125" style="110" customWidth="1"/>
    <col min="2314" max="2314" width="1.7109375" style="110" customWidth="1"/>
    <col min="2315" max="2315" width="7" style="110" bestFit="1" customWidth="1"/>
    <col min="2316" max="2316" width="6.28515625" style="110" customWidth="1"/>
    <col min="2317" max="2317" width="20.42578125" style="110" customWidth="1"/>
    <col min="2318" max="2318" width="6.42578125" style="110" bestFit="1" customWidth="1"/>
    <col min="2319" max="2320" width="8.42578125" style="110"/>
    <col min="2321" max="2321" width="3.28515625" style="110" customWidth="1"/>
    <col min="2322" max="2560" width="8.42578125" style="110"/>
    <col min="2561" max="2561" width="10" style="110" bestFit="1" customWidth="1"/>
    <col min="2562" max="2562" width="44.28515625" style="110" bestFit="1" customWidth="1"/>
    <col min="2563" max="2563" width="10.42578125" style="110" bestFit="1" customWidth="1"/>
    <col min="2564" max="2564" width="10.42578125" style="110" customWidth="1"/>
    <col min="2565" max="2565" width="9.7109375" style="110" bestFit="1" customWidth="1"/>
    <col min="2566" max="2567" width="9.5703125" style="110" bestFit="1" customWidth="1"/>
    <col min="2568" max="2568" width="10.42578125" style="110" bestFit="1" customWidth="1"/>
    <col min="2569" max="2569" width="4.5703125" style="110" customWidth="1"/>
    <col min="2570" max="2570" width="1.7109375" style="110" customWidth="1"/>
    <col min="2571" max="2571" width="7" style="110" bestFit="1" customWidth="1"/>
    <col min="2572" max="2572" width="6.28515625" style="110" customWidth="1"/>
    <col min="2573" max="2573" width="20.42578125" style="110" customWidth="1"/>
    <col min="2574" max="2574" width="6.42578125" style="110" bestFit="1" customWidth="1"/>
    <col min="2575" max="2576" width="8.42578125" style="110"/>
    <col min="2577" max="2577" width="3.28515625" style="110" customWidth="1"/>
    <col min="2578" max="2816" width="8.42578125" style="110"/>
    <col min="2817" max="2817" width="10" style="110" bestFit="1" customWidth="1"/>
    <col min="2818" max="2818" width="44.28515625" style="110" bestFit="1" customWidth="1"/>
    <col min="2819" max="2819" width="10.42578125" style="110" bestFit="1" customWidth="1"/>
    <col min="2820" max="2820" width="10.42578125" style="110" customWidth="1"/>
    <col min="2821" max="2821" width="9.7109375" style="110" bestFit="1" customWidth="1"/>
    <col min="2822" max="2823" width="9.5703125" style="110" bestFit="1" customWidth="1"/>
    <col min="2824" max="2824" width="10.42578125" style="110" bestFit="1" customWidth="1"/>
    <col min="2825" max="2825" width="4.5703125" style="110" customWidth="1"/>
    <col min="2826" max="2826" width="1.7109375" style="110" customWidth="1"/>
    <col min="2827" max="2827" width="7" style="110" bestFit="1" customWidth="1"/>
    <col min="2828" max="2828" width="6.28515625" style="110" customWidth="1"/>
    <col min="2829" max="2829" width="20.42578125" style="110" customWidth="1"/>
    <col min="2830" max="2830" width="6.42578125" style="110" bestFit="1" customWidth="1"/>
    <col min="2831" max="2832" width="8.42578125" style="110"/>
    <col min="2833" max="2833" width="3.28515625" style="110" customWidth="1"/>
    <col min="2834" max="3072" width="8.42578125" style="110"/>
    <col min="3073" max="3073" width="10" style="110" bestFit="1" customWidth="1"/>
    <col min="3074" max="3074" width="44.28515625" style="110" bestFit="1" customWidth="1"/>
    <col min="3075" max="3075" width="10.42578125" style="110" bestFit="1" customWidth="1"/>
    <col min="3076" max="3076" width="10.42578125" style="110" customWidth="1"/>
    <col min="3077" max="3077" width="9.7109375" style="110" bestFit="1" customWidth="1"/>
    <col min="3078" max="3079" width="9.5703125" style="110" bestFit="1" customWidth="1"/>
    <col min="3080" max="3080" width="10.42578125" style="110" bestFit="1" customWidth="1"/>
    <col min="3081" max="3081" width="4.5703125" style="110" customWidth="1"/>
    <col min="3082" max="3082" width="1.7109375" style="110" customWidth="1"/>
    <col min="3083" max="3083" width="7" style="110" bestFit="1" customWidth="1"/>
    <col min="3084" max="3084" width="6.28515625" style="110" customWidth="1"/>
    <col min="3085" max="3085" width="20.42578125" style="110" customWidth="1"/>
    <col min="3086" max="3086" width="6.42578125" style="110" bestFit="1" customWidth="1"/>
    <col min="3087" max="3088" width="8.42578125" style="110"/>
    <col min="3089" max="3089" width="3.28515625" style="110" customWidth="1"/>
    <col min="3090" max="3328" width="8.42578125" style="110"/>
    <col min="3329" max="3329" width="10" style="110" bestFit="1" customWidth="1"/>
    <col min="3330" max="3330" width="44.28515625" style="110" bestFit="1" customWidth="1"/>
    <col min="3331" max="3331" width="10.42578125" style="110" bestFit="1" customWidth="1"/>
    <col min="3332" max="3332" width="10.42578125" style="110" customWidth="1"/>
    <col min="3333" max="3333" width="9.7109375" style="110" bestFit="1" customWidth="1"/>
    <col min="3334" max="3335" width="9.5703125" style="110" bestFit="1" customWidth="1"/>
    <col min="3336" max="3336" width="10.42578125" style="110" bestFit="1" customWidth="1"/>
    <col min="3337" max="3337" width="4.5703125" style="110" customWidth="1"/>
    <col min="3338" max="3338" width="1.7109375" style="110" customWidth="1"/>
    <col min="3339" max="3339" width="7" style="110" bestFit="1" customWidth="1"/>
    <col min="3340" max="3340" width="6.28515625" style="110" customWidth="1"/>
    <col min="3341" max="3341" width="20.42578125" style="110" customWidth="1"/>
    <col min="3342" max="3342" width="6.42578125" style="110" bestFit="1" customWidth="1"/>
    <col min="3343" max="3344" width="8.42578125" style="110"/>
    <col min="3345" max="3345" width="3.28515625" style="110" customWidth="1"/>
    <col min="3346" max="3584" width="8.42578125" style="110"/>
    <col min="3585" max="3585" width="10" style="110" bestFit="1" customWidth="1"/>
    <col min="3586" max="3586" width="44.28515625" style="110" bestFit="1" customWidth="1"/>
    <col min="3587" max="3587" width="10.42578125" style="110" bestFit="1" customWidth="1"/>
    <col min="3588" max="3588" width="10.42578125" style="110" customWidth="1"/>
    <col min="3589" max="3589" width="9.7109375" style="110" bestFit="1" customWidth="1"/>
    <col min="3590" max="3591" width="9.5703125" style="110" bestFit="1" customWidth="1"/>
    <col min="3592" max="3592" width="10.42578125" style="110" bestFit="1" customWidth="1"/>
    <col min="3593" max="3593" width="4.5703125" style="110" customWidth="1"/>
    <col min="3594" max="3594" width="1.7109375" style="110" customWidth="1"/>
    <col min="3595" max="3595" width="7" style="110" bestFit="1" customWidth="1"/>
    <col min="3596" max="3596" width="6.28515625" style="110" customWidth="1"/>
    <col min="3597" max="3597" width="20.42578125" style="110" customWidth="1"/>
    <col min="3598" max="3598" width="6.42578125" style="110" bestFit="1" customWidth="1"/>
    <col min="3599" max="3600" width="8.42578125" style="110"/>
    <col min="3601" max="3601" width="3.28515625" style="110" customWidth="1"/>
    <col min="3602" max="3840" width="8.42578125" style="110"/>
    <col min="3841" max="3841" width="10" style="110" bestFit="1" customWidth="1"/>
    <col min="3842" max="3842" width="44.28515625" style="110" bestFit="1" customWidth="1"/>
    <col min="3843" max="3843" width="10.42578125" style="110" bestFit="1" customWidth="1"/>
    <col min="3844" max="3844" width="10.42578125" style="110" customWidth="1"/>
    <col min="3845" max="3845" width="9.7109375" style="110" bestFit="1" customWidth="1"/>
    <col min="3846" max="3847" width="9.5703125" style="110" bestFit="1" customWidth="1"/>
    <col min="3848" max="3848" width="10.42578125" style="110" bestFit="1" customWidth="1"/>
    <col min="3849" max="3849" width="4.5703125" style="110" customWidth="1"/>
    <col min="3850" max="3850" width="1.7109375" style="110" customWidth="1"/>
    <col min="3851" max="3851" width="7" style="110" bestFit="1" customWidth="1"/>
    <col min="3852" max="3852" width="6.28515625" style="110" customWidth="1"/>
    <col min="3853" max="3853" width="20.42578125" style="110" customWidth="1"/>
    <col min="3854" max="3854" width="6.42578125" style="110" bestFit="1" customWidth="1"/>
    <col min="3855" max="3856" width="8.42578125" style="110"/>
    <col min="3857" max="3857" width="3.28515625" style="110" customWidth="1"/>
    <col min="3858" max="4096" width="8.42578125" style="110"/>
    <col min="4097" max="4097" width="10" style="110" bestFit="1" customWidth="1"/>
    <col min="4098" max="4098" width="44.28515625" style="110" bestFit="1" customWidth="1"/>
    <col min="4099" max="4099" width="10.42578125" style="110" bestFit="1" customWidth="1"/>
    <col min="4100" max="4100" width="10.42578125" style="110" customWidth="1"/>
    <col min="4101" max="4101" width="9.7109375" style="110" bestFit="1" customWidth="1"/>
    <col min="4102" max="4103" width="9.5703125" style="110" bestFit="1" customWidth="1"/>
    <col min="4104" max="4104" width="10.42578125" style="110" bestFit="1" customWidth="1"/>
    <col min="4105" max="4105" width="4.5703125" style="110" customWidth="1"/>
    <col min="4106" max="4106" width="1.7109375" style="110" customWidth="1"/>
    <col min="4107" max="4107" width="7" style="110" bestFit="1" customWidth="1"/>
    <col min="4108" max="4108" width="6.28515625" style="110" customWidth="1"/>
    <col min="4109" max="4109" width="20.42578125" style="110" customWidth="1"/>
    <col min="4110" max="4110" width="6.42578125" style="110" bestFit="1" customWidth="1"/>
    <col min="4111" max="4112" width="8.42578125" style="110"/>
    <col min="4113" max="4113" width="3.28515625" style="110" customWidth="1"/>
    <col min="4114" max="4352" width="8.42578125" style="110"/>
    <col min="4353" max="4353" width="10" style="110" bestFit="1" customWidth="1"/>
    <col min="4354" max="4354" width="44.28515625" style="110" bestFit="1" customWidth="1"/>
    <col min="4355" max="4355" width="10.42578125" style="110" bestFit="1" customWidth="1"/>
    <col min="4356" max="4356" width="10.42578125" style="110" customWidth="1"/>
    <col min="4357" max="4357" width="9.7109375" style="110" bestFit="1" customWidth="1"/>
    <col min="4358" max="4359" width="9.5703125" style="110" bestFit="1" customWidth="1"/>
    <col min="4360" max="4360" width="10.42578125" style="110" bestFit="1" customWidth="1"/>
    <col min="4361" max="4361" width="4.5703125" style="110" customWidth="1"/>
    <col min="4362" max="4362" width="1.7109375" style="110" customWidth="1"/>
    <col min="4363" max="4363" width="7" style="110" bestFit="1" customWidth="1"/>
    <col min="4364" max="4364" width="6.28515625" style="110" customWidth="1"/>
    <col min="4365" max="4365" width="20.42578125" style="110" customWidth="1"/>
    <col min="4366" max="4366" width="6.42578125" style="110" bestFit="1" customWidth="1"/>
    <col min="4367" max="4368" width="8.42578125" style="110"/>
    <col min="4369" max="4369" width="3.28515625" style="110" customWidth="1"/>
    <col min="4370" max="4608" width="8.42578125" style="110"/>
    <col min="4609" max="4609" width="10" style="110" bestFit="1" customWidth="1"/>
    <col min="4610" max="4610" width="44.28515625" style="110" bestFit="1" customWidth="1"/>
    <col min="4611" max="4611" width="10.42578125" style="110" bestFit="1" customWidth="1"/>
    <col min="4612" max="4612" width="10.42578125" style="110" customWidth="1"/>
    <col min="4613" max="4613" width="9.7109375" style="110" bestFit="1" customWidth="1"/>
    <col min="4614" max="4615" width="9.5703125" style="110" bestFit="1" customWidth="1"/>
    <col min="4616" max="4616" width="10.42578125" style="110" bestFit="1" customWidth="1"/>
    <col min="4617" max="4617" width="4.5703125" style="110" customWidth="1"/>
    <col min="4618" max="4618" width="1.7109375" style="110" customWidth="1"/>
    <col min="4619" max="4619" width="7" style="110" bestFit="1" customWidth="1"/>
    <col min="4620" max="4620" width="6.28515625" style="110" customWidth="1"/>
    <col min="4621" max="4621" width="20.42578125" style="110" customWidth="1"/>
    <col min="4622" max="4622" width="6.42578125" style="110" bestFit="1" customWidth="1"/>
    <col min="4623" max="4624" width="8.42578125" style="110"/>
    <col min="4625" max="4625" width="3.28515625" style="110" customWidth="1"/>
    <col min="4626" max="4864" width="8.42578125" style="110"/>
    <col min="4865" max="4865" width="10" style="110" bestFit="1" customWidth="1"/>
    <col min="4866" max="4866" width="44.28515625" style="110" bestFit="1" customWidth="1"/>
    <col min="4867" max="4867" width="10.42578125" style="110" bestFit="1" customWidth="1"/>
    <col min="4868" max="4868" width="10.42578125" style="110" customWidth="1"/>
    <col min="4869" max="4869" width="9.7109375" style="110" bestFit="1" customWidth="1"/>
    <col min="4870" max="4871" width="9.5703125" style="110" bestFit="1" customWidth="1"/>
    <col min="4872" max="4872" width="10.42578125" style="110" bestFit="1" customWidth="1"/>
    <col min="4873" max="4873" width="4.5703125" style="110" customWidth="1"/>
    <col min="4874" max="4874" width="1.7109375" style="110" customWidth="1"/>
    <col min="4875" max="4875" width="7" style="110" bestFit="1" customWidth="1"/>
    <col min="4876" max="4876" width="6.28515625" style="110" customWidth="1"/>
    <col min="4877" max="4877" width="20.42578125" style="110" customWidth="1"/>
    <col min="4878" max="4878" width="6.42578125" style="110" bestFit="1" customWidth="1"/>
    <col min="4879" max="4880" width="8.42578125" style="110"/>
    <col min="4881" max="4881" width="3.28515625" style="110" customWidth="1"/>
    <col min="4882" max="5120" width="8.42578125" style="110"/>
    <col min="5121" max="5121" width="10" style="110" bestFit="1" customWidth="1"/>
    <col min="5122" max="5122" width="44.28515625" style="110" bestFit="1" customWidth="1"/>
    <col min="5123" max="5123" width="10.42578125" style="110" bestFit="1" customWidth="1"/>
    <col min="5124" max="5124" width="10.42578125" style="110" customWidth="1"/>
    <col min="5125" max="5125" width="9.7109375" style="110" bestFit="1" customWidth="1"/>
    <col min="5126" max="5127" width="9.5703125" style="110" bestFit="1" customWidth="1"/>
    <col min="5128" max="5128" width="10.42578125" style="110" bestFit="1" customWidth="1"/>
    <col min="5129" max="5129" width="4.5703125" style="110" customWidth="1"/>
    <col min="5130" max="5130" width="1.7109375" style="110" customWidth="1"/>
    <col min="5131" max="5131" width="7" style="110" bestFit="1" customWidth="1"/>
    <col min="5132" max="5132" width="6.28515625" style="110" customWidth="1"/>
    <col min="5133" max="5133" width="20.42578125" style="110" customWidth="1"/>
    <col min="5134" max="5134" width="6.42578125" style="110" bestFit="1" customWidth="1"/>
    <col min="5135" max="5136" width="8.42578125" style="110"/>
    <col min="5137" max="5137" width="3.28515625" style="110" customWidth="1"/>
    <col min="5138" max="5376" width="8.42578125" style="110"/>
    <col min="5377" max="5377" width="10" style="110" bestFit="1" customWidth="1"/>
    <col min="5378" max="5378" width="44.28515625" style="110" bestFit="1" customWidth="1"/>
    <col min="5379" max="5379" width="10.42578125" style="110" bestFit="1" customWidth="1"/>
    <col min="5380" max="5380" width="10.42578125" style="110" customWidth="1"/>
    <col min="5381" max="5381" width="9.7109375" style="110" bestFit="1" customWidth="1"/>
    <col min="5382" max="5383" width="9.5703125" style="110" bestFit="1" customWidth="1"/>
    <col min="5384" max="5384" width="10.42578125" style="110" bestFit="1" customWidth="1"/>
    <col min="5385" max="5385" width="4.5703125" style="110" customWidth="1"/>
    <col min="5386" max="5386" width="1.7109375" style="110" customWidth="1"/>
    <col min="5387" max="5387" width="7" style="110" bestFit="1" customWidth="1"/>
    <col min="5388" max="5388" width="6.28515625" style="110" customWidth="1"/>
    <col min="5389" max="5389" width="20.42578125" style="110" customWidth="1"/>
    <col min="5390" max="5390" width="6.42578125" style="110" bestFit="1" customWidth="1"/>
    <col min="5391" max="5392" width="8.42578125" style="110"/>
    <col min="5393" max="5393" width="3.28515625" style="110" customWidth="1"/>
    <col min="5394" max="5632" width="8.42578125" style="110"/>
    <col min="5633" max="5633" width="10" style="110" bestFit="1" customWidth="1"/>
    <col min="5634" max="5634" width="44.28515625" style="110" bestFit="1" customWidth="1"/>
    <col min="5635" max="5635" width="10.42578125" style="110" bestFit="1" customWidth="1"/>
    <col min="5636" max="5636" width="10.42578125" style="110" customWidth="1"/>
    <col min="5637" max="5637" width="9.7109375" style="110" bestFit="1" customWidth="1"/>
    <col min="5638" max="5639" width="9.5703125" style="110" bestFit="1" customWidth="1"/>
    <col min="5640" max="5640" width="10.42578125" style="110" bestFit="1" customWidth="1"/>
    <col min="5641" max="5641" width="4.5703125" style="110" customWidth="1"/>
    <col min="5642" max="5642" width="1.7109375" style="110" customWidth="1"/>
    <col min="5643" max="5643" width="7" style="110" bestFit="1" customWidth="1"/>
    <col min="5644" max="5644" width="6.28515625" style="110" customWidth="1"/>
    <col min="5645" max="5645" width="20.42578125" style="110" customWidth="1"/>
    <col min="5646" max="5646" width="6.42578125" style="110" bestFit="1" customWidth="1"/>
    <col min="5647" max="5648" width="8.42578125" style="110"/>
    <col min="5649" max="5649" width="3.28515625" style="110" customWidth="1"/>
    <col min="5650" max="5888" width="8.42578125" style="110"/>
    <col min="5889" max="5889" width="10" style="110" bestFit="1" customWidth="1"/>
    <col min="5890" max="5890" width="44.28515625" style="110" bestFit="1" customWidth="1"/>
    <col min="5891" max="5891" width="10.42578125" style="110" bestFit="1" customWidth="1"/>
    <col min="5892" max="5892" width="10.42578125" style="110" customWidth="1"/>
    <col min="5893" max="5893" width="9.7109375" style="110" bestFit="1" customWidth="1"/>
    <col min="5894" max="5895" width="9.5703125" style="110" bestFit="1" customWidth="1"/>
    <col min="5896" max="5896" width="10.42578125" style="110" bestFit="1" customWidth="1"/>
    <col min="5897" max="5897" width="4.5703125" style="110" customWidth="1"/>
    <col min="5898" max="5898" width="1.7109375" style="110" customWidth="1"/>
    <col min="5899" max="5899" width="7" style="110" bestFit="1" customWidth="1"/>
    <col min="5900" max="5900" width="6.28515625" style="110" customWidth="1"/>
    <col min="5901" max="5901" width="20.42578125" style="110" customWidth="1"/>
    <col min="5902" max="5902" width="6.42578125" style="110" bestFit="1" customWidth="1"/>
    <col min="5903" max="5904" width="8.42578125" style="110"/>
    <col min="5905" max="5905" width="3.28515625" style="110" customWidth="1"/>
    <col min="5906" max="6144" width="8.42578125" style="110"/>
    <col min="6145" max="6145" width="10" style="110" bestFit="1" customWidth="1"/>
    <col min="6146" max="6146" width="44.28515625" style="110" bestFit="1" customWidth="1"/>
    <col min="6147" max="6147" width="10.42578125" style="110" bestFit="1" customWidth="1"/>
    <col min="6148" max="6148" width="10.42578125" style="110" customWidth="1"/>
    <col min="6149" max="6149" width="9.7109375" style="110" bestFit="1" customWidth="1"/>
    <col min="6150" max="6151" width="9.5703125" style="110" bestFit="1" customWidth="1"/>
    <col min="6152" max="6152" width="10.42578125" style="110" bestFit="1" customWidth="1"/>
    <col min="6153" max="6153" width="4.5703125" style="110" customWidth="1"/>
    <col min="6154" max="6154" width="1.7109375" style="110" customWidth="1"/>
    <col min="6155" max="6155" width="7" style="110" bestFit="1" customWidth="1"/>
    <col min="6156" max="6156" width="6.28515625" style="110" customWidth="1"/>
    <col min="6157" max="6157" width="20.42578125" style="110" customWidth="1"/>
    <col min="6158" max="6158" width="6.42578125" style="110" bestFit="1" customWidth="1"/>
    <col min="6159" max="6160" width="8.42578125" style="110"/>
    <col min="6161" max="6161" width="3.28515625" style="110" customWidth="1"/>
    <col min="6162" max="6400" width="8.42578125" style="110"/>
    <col min="6401" max="6401" width="10" style="110" bestFit="1" customWidth="1"/>
    <col min="6402" max="6402" width="44.28515625" style="110" bestFit="1" customWidth="1"/>
    <col min="6403" max="6403" width="10.42578125" style="110" bestFit="1" customWidth="1"/>
    <col min="6404" max="6404" width="10.42578125" style="110" customWidth="1"/>
    <col min="6405" max="6405" width="9.7109375" style="110" bestFit="1" customWidth="1"/>
    <col min="6406" max="6407" width="9.5703125" style="110" bestFit="1" customWidth="1"/>
    <col min="6408" max="6408" width="10.42578125" style="110" bestFit="1" customWidth="1"/>
    <col min="6409" max="6409" width="4.5703125" style="110" customWidth="1"/>
    <col min="6410" max="6410" width="1.7109375" style="110" customWidth="1"/>
    <col min="6411" max="6411" width="7" style="110" bestFit="1" customWidth="1"/>
    <col min="6412" max="6412" width="6.28515625" style="110" customWidth="1"/>
    <col min="6413" max="6413" width="20.42578125" style="110" customWidth="1"/>
    <col min="6414" max="6414" width="6.42578125" style="110" bestFit="1" customWidth="1"/>
    <col min="6415" max="6416" width="8.42578125" style="110"/>
    <col min="6417" max="6417" width="3.28515625" style="110" customWidth="1"/>
    <col min="6418" max="6656" width="8.42578125" style="110"/>
    <col min="6657" max="6657" width="10" style="110" bestFit="1" customWidth="1"/>
    <col min="6658" max="6658" width="44.28515625" style="110" bestFit="1" customWidth="1"/>
    <col min="6659" max="6659" width="10.42578125" style="110" bestFit="1" customWidth="1"/>
    <col min="6660" max="6660" width="10.42578125" style="110" customWidth="1"/>
    <col min="6661" max="6661" width="9.7109375" style="110" bestFit="1" customWidth="1"/>
    <col min="6662" max="6663" width="9.5703125" style="110" bestFit="1" customWidth="1"/>
    <col min="6664" max="6664" width="10.42578125" style="110" bestFit="1" customWidth="1"/>
    <col min="6665" max="6665" width="4.5703125" style="110" customWidth="1"/>
    <col min="6666" max="6666" width="1.7109375" style="110" customWidth="1"/>
    <col min="6667" max="6667" width="7" style="110" bestFit="1" customWidth="1"/>
    <col min="6668" max="6668" width="6.28515625" style="110" customWidth="1"/>
    <col min="6669" max="6669" width="20.42578125" style="110" customWidth="1"/>
    <col min="6670" max="6670" width="6.42578125" style="110" bestFit="1" customWidth="1"/>
    <col min="6671" max="6672" width="8.42578125" style="110"/>
    <col min="6673" max="6673" width="3.28515625" style="110" customWidth="1"/>
    <col min="6674" max="6912" width="8.42578125" style="110"/>
    <col min="6913" max="6913" width="10" style="110" bestFit="1" customWidth="1"/>
    <col min="6914" max="6914" width="44.28515625" style="110" bestFit="1" customWidth="1"/>
    <col min="6915" max="6915" width="10.42578125" style="110" bestFit="1" customWidth="1"/>
    <col min="6916" max="6916" width="10.42578125" style="110" customWidth="1"/>
    <col min="6917" max="6917" width="9.7109375" style="110" bestFit="1" customWidth="1"/>
    <col min="6918" max="6919" width="9.5703125" style="110" bestFit="1" customWidth="1"/>
    <col min="6920" max="6920" width="10.42578125" style="110" bestFit="1" customWidth="1"/>
    <col min="6921" max="6921" width="4.5703125" style="110" customWidth="1"/>
    <col min="6922" max="6922" width="1.7109375" style="110" customWidth="1"/>
    <col min="6923" max="6923" width="7" style="110" bestFit="1" customWidth="1"/>
    <col min="6924" max="6924" width="6.28515625" style="110" customWidth="1"/>
    <col min="6925" max="6925" width="20.42578125" style="110" customWidth="1"/>
    <col min="6926" max="6926" width="6.42578125" style="110" bestFit="1" customWidth="1"/>
    <col min="6927" max="6928" width="8.42578125" style="110"/>
    <col min="6929" max="6929" width="3.28515625" style="110" customWidth="1"/>
    <col min="6930" max="7168" width="8.42578125" style="110"/>
    <col min="7169" max="7169" width="10" style="110" bestFit="1" customWidth="1"/>
    <col min="7170" max="7170" width="44.28515625" style="110" bestFit="1" customWidth="1"/>
    <col min="7171" max="7171" width="10.42578125" style="110" bestFit="1" customWidth="1"/>
    <col min="7172" max="7172" width="10.42578125" style="110" customWidth="1"/>
    <col min="7173" max="7173" width="9.7109375" style="110" bestFit="1" customWidth="1"/>
    <col min="7174" max="7175" width="9.5703125" style="110" bestFit="1" customWidth="1"/>
    <col min="7176" max="7176" width="10.42578125" style="110" bestFit="1" customWidth="1"/>
    <col min="7177" max="7177" width="4.5703125" style="110" customWidth="1"/>
    <col min="7178" max="7178" width="1.7109375" style="110" customWidth="1"/>
    <col min="7179" max="7179" width="7" style="110" bestFit="1" customWidth="1"/>
    <col min="7180" max="7180" width="6.28515625" style="110" customWidth="1"/>
    <col min="7181" max="7181" width="20.42578125" style="110" customWidth="1"/>
    <col min="7182" max="7182" width="6.42578125" style="110" bestFit="1" customWidth="1"/>
    <col min="7183" max="7184" width="8.42578125" style="110"/>
    <col min="7185" max="7185" width="3.28515625" style="110" customWidth="1"/>
    <col min="7186" max="7424" width="8.42578125" style="110"/>
    <col min="7425" max="7425" width="10" style="110" bestFit="1" customWidth="1"/>
    <col min="7426" max="7426" width="44.28515625" style="110" bestFit="1" customWidth="1"/>
    <col min="7427" max="7427" width="10.42578125" style="110" bestFit="1" customWidth="1"/>
    <col min="7428" max="7428" width="10.42578125" style="110" customWidth="1"/>
    <col min="7429" max="7429" width="9.7109375" style="110" bestFit="1" customWidth="1"/>
    <col min="7430" max="7431" width="9.5703125" style="110" bestFit="1" customWidth="1"/>
    <col min="7432" max="7432" width="10.42578125" style="110" bestFit="1" customWidth="1"/>
    <col min="7433" max="7433" width="4.5703125" style="110" customWidth="1"/>
    <col min="7434" max="7434" width="1.7109375" style="110" customWidth="1"/>
    <col min="7435" max="7435" width="7" style="110" bestFit="1" customWidth="1"/>
    <col min="7436" max="7436" width="6.28515625" style="110" customWidth="1"/>
    <col min="7437" max="7437" width="20.42578125" style="110" customWidth="1"/>
    <col min="7438" max="7438" width="6.42578125" style="110" bestFit="1" customWidth="1"/>
    <col min="7439" max="7440" width="8.42578125" style="110"/>
    <col min="7441" max="7441" width="3.28515625" style="110" customWidth="1"/>
    <col min="7442" max="7680" width="8.42578125" style="110"/>
    <col min="7681" max="7681" width="10" style="110" bestFit="1" customWidth="1"/>
    <col min="7682" max="7682" width="44.28515625" style="110" bestFit="1" customWidth="1"/>
    <col min="7683" max="7683" width="10.42578125" style="110" bestFit="1" customWidth="1"/>
    <col min="7684" max="7684" width="10.42578125" style="110" customWidth="1"/>
    <col min="7685" max="7685" width="9.7109375" style="110" bestFit="1" customWidth="1"/>
    <col min="7686" max="7687" width="9.5703125" style="110" bestFit="1" customWidth="1"/>
    <col min="7688" max="7688" width="10.42578125" style="110" bestFit="1" customWidth="1"/>
    <col min="7689" max="7689" width="4.5703125" style="110" customWidth="1"/>
    <col min="7690" max="7690" width="1.7109375" style="110" customWidth="1"/>
    <col min="7691" max="7691" width="7" style="110" bestFit="1" customWidth="1"/>
    <col min="7692" max="7692" width="6.28515625" style="110" customWidth="1"/>
    <col min="7693" max="7693" width="20.42578125" style="110" customWidth="1"/>
    <col min="7694" max="7694" width="6.42578125" style="110" bestFit="1" customWidth="1"/>
    <col min="7695" max="7696" width="8.42578125" style="110"/>
    <col min="7697" max="7697" width="3.28515625" style="110" customWidth="1"/>
    <col min="7698" max="7936" width="8.42578125" style="110"/>
    <col min="7937" max="7937" width="10" style="110" bestFit="1" customWidth="1"/>
    <col min="7938" max="7938" width="44.28515625" style="110" bestFit="1" customWidth="1"/>
    <col min="7939" max="7939" width="10.42578125" style="110" bestFit="1" customWidth="1"/>
    <col min="7940" max="7940" width="10.42578125" style="110" customWidth="1"/>
    <col min="7941" max="7941" width="9.7109375" style="110" bestFit="1" customWidth="1"/>
    <col min="7942" max="7943" width="9.5703125" style="110" bestFit="1" customWidth="1"/>
    <col min="7944" max="7944" width="10.42578125" style="110" bestFit="1" customWidth="1"/>
    <col min="7945" max="7945" width="4.5703125" style="110" customWidth="1"/>
    <col min="7946" max="7946" width="1.7109375" style="110" customWidth="1"/>
    <col min="7947" max="7947" width="7" style="110" bestFit="1" customWidth="1"/>
    <col min="7948" max="7948" width="6.28515625" style="110" customWidth="1"/>
    <col min="7949" max="7949" width="20.42578125" style="110" customWidth="1"/>
    <col min="7950" max="7950" width="6.42578125" style="110" bestFit="1" customWidth="1"/>
    <col min="7951" max="7952" width="8.42578125" style="110"/>
    <col min="7953" max="7953" width="3.28515625" style="110" customWidth="1"/>
    <col min="7954" max="8192" width="8.42578125" style="110"/>
    <col min="8193" max="8193" width="10" style="110" bestFit="1" customWidth="1"/>
    <col min="8194" max="8194" width="44.28515625" style="110" bestFit="1" customWidth="1"/>
    <col min="8195" max="8195" width="10.42578125" style="110" bestFit="1" customWidth="1"/>
    <col min="8196" max="8196" width="10.42578125" style="110" customWidth="1"/>
    <col min="8197" max="8197" width="9.7109375" style="110" bestFit="1" customWidth="1"/>
    <col min="8198" max="8199" width="9.5703125" style="110" bestFit="1" customWidth="1"/>
    <col min="8200" max="8200" width="10.42578125" style="110" bestFit="1" customWidth="1"/>
    <col min="8201" max="8201" width="4.5703125" style="110" customWidth="1"/>
    <col min="8202" max="8202" width="1.7109375" style="110" customWidth="1"/>
    <col min="8203" max="8203" width="7" style="110" bestFit="1" customWidth="1"/>
    <col min="8204" max="8204" width="6.28515625" style="110" customWidth="1"/>
    <col min="8205" max="8205" width="20.42578125" style="110" customWidth="1"/>
    <col min="8206" max="8206" width="6.42578125" style="110" bestFit="1" customWidth="1"/>
    <col min="8207" max="8208" width="8.42578125" style="110"/>
    <col min="8209" max="8209" width="3.28515625" style="110" customWidth="1"/>
    <col min="8210" max="8448" width="8.42578125" style="110"/>
    <col min="8449" max="8449" width="10" style="110" bestFit="1" customWidth="1"/>
    <col min="8450" max="8450" width="44.28515625" style="110" bestFit="1" customWidth="1"/>
    <col min="8451" max="8451" width="10.42578125" style="110" bestFit="1" customWidth="1"/>
    <col min="8452" max="8452" width="10.42578125" style="110" customWidth="1"/>
    <col min="8453" max="8453" width="9.7109375" style="110" bestFit="1" customWidth="1"/>
    <col min="8454" max="8455" width="9.5703125" style="110" bestFit="1" customWidth="1"/>
    <col min="8456" max="8456" width="10.42578125" style="110" bestFit="1" customWidth="1"/>
    <col min="8457" max="8457" width="4.5703125" style="110" customWidth="1"/>
    <col min="8458" max="8458" width="1.7109375" style="110" customWidth="1"/>
    <col min="8459" max="8459" width="7" style="110" bestFit="1" customWidth="1"/>
    <col min="8460" max="8460" width="6.28515625" style="110" customWidth="1"/>
    <col min="8461" max="8461" width="20.42578125" style="110" customWidth="1"/>
    <col min="8462" max="8462" width="6.42578125" style="110" bestFit="1" customWidth="1"/>
    <col min="8463" max="8464" width="8.42578125" style="110"/>
    <col min="8465" max="8465" width="3.28515625" style="110" customWidth="1"/>
    <col min="8466" max="8704" width="8.42578125" style="110"/>
    <col min="8705" max="8705" width="10" style="110" bestFit="1" customWidth="1"/>
    <col min="8706" max="8706" width="44.28515625" style="110" bestFit="1" customWidth="1"/>
    <col min="8707" max="8707" width="10.42578125" style="110" bestFit="1" customWidth="1"/>
    <col min="8708" max="8708" width="10.42578125" style="110" customWidth="1"/>
    <col min="8709" max="8709" width="9.7109375" style="110" bestFit="1" customWidth="1"/>
    <col min="8710" max="8711" width="9.5703125" style="110" bestFit="1" customWidth="1"/>
    <col min="8712" max="8712" width="10.42578125" style="110" bestFit="1" customWidth="1"/>
    <col min="8713" max="8713" width="4.5703125" style="110" customWidth="1"/>
    <col min="8714" max="8714" width="1.7109375" style="110" customWidth="1"/>
    <col min="8715" max="8715" width="7" style="110" bestFit="1" customWidth="1"/>
    <col min="8716" max="8716" width="6.28515625" style="110" customWidth="1"/>
    <col min="8717" max="8717" width="20.42578125" style="110" customWidth="1"/>
    <col min="8718" max="8718" width="6.42578125" style="110" bestFit="1" customWidth="1"/>
    <col min="8719" max="8720" width="8.42578125" style="110"/>
    <col min="8721" max="8721" width="3.28515625" style="110" customWidth="1"/>
    <col min="8722" max="8960" width="8.42578125" style="110"/>
    <col min="8961" max="8961" width="10" style="110" bestFit="1" customWidth="1"/>
    <col min="8962" max="8962" width="44.28515625" style="110" bestFit="1" customWidth="1"/>
    <col min="8963" max="8963" width="10.42578125" style="110" bestFit="1" customWidth="1"/>
    <col min="8964" max="8964" width="10.42578125" style="110" customWidth="1"/>
    <col min="8965" max="8965" width="9.7109375" style="110" bestFit="1" customWidth="1"/>
    <col min="8966" max="8967" width="9.5703125" style="110" bestFit="1" customWidth="1"/>
    <col min="8968" max="8968" width="10.42578125" style="110" bestFit="1" customWidth="1"/>
    <col min="8969" max="8969" width="4.5703125" style="110" customWidth="1"/>
    <col min="8970" max="8970" width="1.7109375" style="110" customWidth="1"/>
    <col min="8971" max="8971" width="7" style="110" bestFit="1" customWidth="1"/>
    <col min="8972" max="8972" width="6.28515625" style="110" customWidth="1"/>
    <col min="8973" max="8973" width="20.42578125" style="110" customWidth="1"/>
    <col min="8974" max="8974" width="6.42578125" style="110" bestFit="1" customWidth="1"/>
    <col min="8975" max="8976" width="8.42578125" style="110"/>
    <col min="8977" max="8977" width="3.28515625" style="110" customWidth="1"/>
    <col min="8978" max="9216" width="8.42578125" style="110"/>
    <col min="9217" max="9217" width="10" style="110" bestFit="1" customWidth="1"/>
    <col min="9218" max="9218" width="44.28515625" style="110" bestFit="1" customWidth="1"/>
    <col min="9219" max="9219" width="10.42578125" style="110" bestFit="1" customWidth="1"/>
    <col min="9220" max="9220" width="10.42578125" style="110" customWidth="1"/>
    <col min="9221" max="9221" width="9.7109375" style="110" bestFit="1" customWidth="1"/>
    <col min="9222" max="9223" width="9.5703125" style="110" bestFit="1" customWidth="1"/>
    <col min="9224" max="9224" width="10.42578125" style="110" bestFit="1" customWidth="1"/>
    <col min="9225" max="9225" width="4.5703125" style="110" customWidth="1"/>
    <col min="9226" max="9226" width="1.7109375" style="110" customWidth="1"/>
    <col min="9227" max="9227" width="7" style="110" bestFit="1" customWidth="1"/>
    <col min="9228" max="9228" width="6.28515625" style="110" customWidth="1"/>
    <col min="9229" max="9229" width="20.42578125" style="110" customWidth="1"/>
    <col min="9230" max="9230" width="6.42578125" style="110" bestFit="1" customWidth="1"/>
    <col min="9231" max="9232" width="8.42578125" style="110"/>
    <col min="9233" max="9233" width="3.28515625" style="110" customWidth="1"/>
    <col min="9234" max="9472" width="8.42578125" style="110"/>
    <col min="9473" max="9473" width="10" style="110" bestFit="1" customWidth="1"/>
    <col min="9474" max="9474" width="44.28515625" style="110" bestFit="1" customWidth="1"/>
    <col min="9475" max="9475" width="10.42578125" style="110" bestFit="1" customWidth="1"/>
    <col min="9476" max="9476" width="10.42578125" style="110" customWidth="1"/>
    <col min="9477" max="9477" width="9.7109375" style="110" bestFit="1" customWidth="1"/>
    <col min="9478" max="9479" width="9.5703125" style="110" bestFit="1" customWidth="1"/>
    <col min="9480" max="9480" width="10.42578125" style="110" bestFit="1" customWidth="1"/>
    <col min="9481" max="9481" width="4.5703125" style="110" customWidth="1"/>
    <col min="9482" max="9482" width="1.7109375" style="110" customWidth="1"/>
    <col min="9483" max="9483" width="7" style="110" bestFit="1" customWidth="1"/>
    <col min="9484" max="9484" width="6.28515625" style="110" customWidth="1"/>
    <col min="9485" max="9485" width="20.42578125" style="110" customWidth="1"/>
    <col min="9486" max="9486" width="6.42578125" style="110" bestFit="1" customWidth="1"/>
    <col min="9487" max="9488" width="8.42578125" style="110"/>
    <col min="9489" max="9489" width="3.28515625" style="110" customWidth="1"/>
    <col min="9490" max="9728" width="8.42578125" style="110"/>
    <col min="9729" max="9729" width="10" style="110" bestFit="1" customWidth="1"/>
    <col min="9730" max="9730" width="44.28515625" style="110" bestFit="1" customWidth="1"/>
    <col min="9731" max="9731" width="10.42578125" style="110" bestFit="1" customWidth="1"/>
    <col min="9732" max="9732" width="10.42578125" style="110" customWidth="1"/>
    <col min="9733" max="9733" width="9.7109375" style="110" bestFit="1" customWidth="1"/>
    <col min="9734" max="9735" width="9.5703125" style="110" bestFit="1" customWidth="1"/>
    <col min="9736" max="9736" width="10.42578125" style="110" bestFit="1" customWidth="1"/>
    <col min="9737" max="9737" width="4.5703125" style="110" customWidth="1"/>
    <col min="9738" max="9738" width="1.7109375" style="110" customWidth="1"/>
    <col min="9739" max="9739" width="7" style="110" bestFit="1" customWidth="1"/>
    <col min="9740" max="9740" width="6.28515625" style="110" customWidth="1"/>
    <col min="9741" max="9741" width="20.42578125" style="110" customWidth="1"/>
    <col min="9742" max="9742" width="6.42578125" style="110" bestFit="1" customWidth="1"/>
    <col min="9743" max="9744" width="8.42578125" style="110"/>
    <col min="9745" max="9745" width="3.28515625" style="110" customWidth="1"/>
    <col min="9746" max="9984" width="8.42578125" style="110"/>
    <col min="9985" max="9985" width="10" style="110" bestFit="1" customWidth="1"/>
    <col min="9986" max="9986" width="44.28515625" style="110" bestFit="1" customWidth="1"/>
    <col min="9987" max="9987" width="10.42578125" style="110" bestFit="1" customWidth="1"/>
    <col min="9988" max="9988" width="10.42578125" style="110" customWidth="1"/>
    <col min="9989" max="9989" width="9.7109375" style="110" bestFit="1" customWidth="1"/>
    <col min="9990" max="9991" width="9.5703125" style="110" bestFit="1" customWidth="1"/>
    <col min="9992" max="9992" width="10.42578125" style="110" bestFit="1" customWidth="1"/>
    <col min="9993" max="9993" width="4.5703125" style="110" customWidth="1"/>
    <col min="9994" max="9994" width="1.7109375" style="110" customWidth="1"/>
    <col min="9995" max="9995" width="7" style="110" bestFit="1" customWidth="1"/>
    <col min="9996" max="9996" width="6.28515625" style="110" customWidth="1"/>
    <col min="9997" max="9997" width="20.42578125" style="110" customWidth="1"/>
    <col min="9998" max="9998" width="6.42578125" style="110" bestFit="1" customWidth="1"/>
    <col min="9999" max="10000" width="8.42578125" style="110"/>
    <col min="10001" max="10001" width="3.28515625" style="110" customWidth="1"/>
    <col min="10002" max="10240" width="8.42578125" style="110"/>
    <col min="10241" max="10241" width="10" style="110" bestFit="1" customWidth="1"/>
    <col min="10242" max="10242" width="44.28515625" style="110" bestFit="1" customWidth="1"/>
    <col min="10243" max="10243" width="10.42578125" style="110" bestFit="1" customWidth="1"/>
    <col min="10244" max="10244" width="10.42578125" style="110" customWidth="1"/>
    <col min="10245" max="10245" width="9.7109375" style="110" bestFit="1" customWidth="1"/>
    <col min="10246" max="10247" width="9.5703125" style="110" bestFit="1" customWidth="1"/>
    <col min="10248" max="10248" width="10.42578125" style="110" bestFit="1" customWidth="1"/>
    <col min="10249" max="10249" width="4.5703125" style="110" customWidth="1"/>
    <col min="10250" max="10250" width="1.7109375" style="110" customWidth="1"/>
    <col min="10251" max="10251" width="7" style="110" bestFit="1" customWidth="1"/>
    <col min="10252" max="10252" width="6.28515625" style="110" customWidth="1"/>
    <col min="10253" max="10253" width="20.42578125" style="110" customWidth="1"/>
    <col min="10254" max="10254" width="6.42578125" style="110" bestFit="1" customWidth="1"/>
    <col min="10255" max="10256" width="8.42578125" style="110"/>
    <col min="10257" max="10257" width="3.28515625" style="110" customWidth="1"/>
    <col min="10258" max="10496" width="8.42578125" style="110"/>
    <col min="10497" max="10497" width="10" style="110" bestFit="1" customWidth="1"/>
    <col min="10498" max="10498" width="44.28515625" style="110" bestFit="1" customWidth="1"/>
    <col min="10499" max="10499" width="10.42578125" style="110" bestFit="1" customWidth="1"/>
    <col min="10500" max="10500" width="10.42578125" style="110" customWidth="1"/>
    <col min="10501" max="10501" width="9.7109375" style="110" bestFit="1" customWidth="1"/>
    <col min="10502" max="10503" width="9.5703125" style="110" bestFit="1" customWidth="1"/>
    <col min="10504" max="10504" width="10.42578125" style="110" bestFit="1" customWidth="1"/>
    <col min="10505" max="10505" width="4.5703125" style="110" customWidth="1"/>
    <col min="10506" max="10506" width="1.7109375" style="110" customWidth="1"/>
    <col min="10507" max="10507" width="7" style="110" bestFit="1" customWidth="1"/>
    <col min="10508" max="10508" width="6.28515625" style="110" customWidth="1"/>
    <col min="10509" max="10509" width="20.42578125" style="110" customWidth="1"/>
    <col min="10510" max="10510" width="6.42578125" style="110" bestFit="1" customWidth="1"/>
    <col min="10511" max="10512" width="8.42578125" style="110"/>
    <col min="10513" max="10513" width="3.28515625" style="110" customWidth="1"/>
    <col min="10514" max="10752" width="8.42578125" style="110"/>
    <col min="10753" max="10753" width="10" style="110" bestFit="1" customWidth="1"/>
    <col min="10754" max="10754" width="44.28515625" style="110" bestFit="1" customWidth="1"/>
    <col min="10755" max="10755" width="10.42578125" style="110" bestFit="1" customWidth="1"/>
    <col min="10756" max="10756" width="10.42578125" style="110" customWidth="1"/>
    <col min="10757" max="10757" width="9.7109375" style="110" bestFit="1" customWidth="1"/>
    <col min="10758" max="10759" width="9.5703125" style="110" bestFit="1" customWidth="1"/>
    <col min="10760" max="10760" width="10.42578125" style="110" bestFit="1" customWidth="1"/>
    <col min="10761" max="10761" width="4.5703125" style="110" customWidth="1"/>
    <col min="10762" max="10762" width="1.7109375" style="110" customWidth="1"/>
    <col min="10763" max="10763" width="7" style="110" bestFit="1" customWidth="1"/>
    <col min="10764" max="10764" width="6.28515625" style="110" customWidth="1"/>
    <col min="10765" max="10765" width="20.42578125" style="110" customWidth="1"/>
    <col min="10766" max="10766" width="6.42578125" style="110" bestFit="1" customWidth="1"/>
    <col min="10767" max="10768" width="8.42578125" style="110"/>
    <col min="10769" max="10769" width="3.28515625" style="110" customWidth="1"/>
    <col min="10770" max="11008" width="8.42578125" style="110"/>
    <col min="11009" max="11009" width="10" style="110" bestFit="1" customWidth="1"/>
    <col min="11010" max="11010" width="44.28515625" style="110" bestFit="1" customWidth="1"/>
    <col min="11011" max="11011" width="10.42578125" style="110" bestFit="1" customWidth="1"/>
    <col min="11012" max="11012" width="10.42578125" style="110" customWidth="1"/>
    <col min="11013" max="11013" width="9.7109375" style="110" bestFit="1" customWidth="1"/>
    <col min="11014" max="11015" width="9.5703125" style="110" bestFit="1" customWidth="1"/>
    <col min="11016" max="11016" width="10.42578125" style="110" bestFit="1" customWidth="1"/>
    <col min="11017" max="11017" width="4.5703125" style="110" customWidth="1"/>
    <col min="11018" max="11018" width="1.7109375" style="110" customWidth="1"/>
    <col min="11019" max="11019" width="7" style="110" bestFit="1" customWidth="1"/>
    <col min="11020" max="11020" width="6.28515625" style="110" customWidth="1"/>
    <col min="11021" max="11021" width="20.42578125" style="110" customWidth="1"/>
    <col min="11022" max="11022" width="6.42578125" style="110" bestFit="1" customWidth="1"/>
    <col min="11023" max="11024" width="8.42578125" style="110"/>
    <col min="11025" max="11025" width="3.28515625" style="110" customWidth="1"/>
    <col min="11026" max="11264" width="8.42578125" style="110"/>
    <col min="11265" max="11265" width="10" style="110" bestFit="1" customWidth="1"/>
    <col min="11266" max="11266" width="44.28515625" style="110" bestFit="1" customWidth="1"/>
    <col min="11267" max="11267" width="10.42578125" style="110" bestFit="1" customWidth="1"/>
    <col min="11268" max="11268" width="10.42578125" style="110" customWidth="1"/>
    <col min="11269" max="11269" width="9.7109375" style="110" bestFit="1" customWidth="1"/>
    <col min="11270" max="11271" width="9.5703125" style="110" bestFit="1" customWidth="1"/>
    <col min="11272" max="11272" width="10.42578125" style="110" bestFit="1" customWidth="1"/>
    <col min="11273" max="11273" width="4.5703125" style="110" customWidth="1"/>
    <col min="11274" max="11274" width="1.7109375" style="110" customWidth="1"/>
    <col min="11275" max="11275" width="7" style="110" bestFit="1" customWidth="1"/>
    <col min="11276" max="11276" width="6.28515625" style="110" customWidth="1"/>
    <col min="11277" max="11277" width="20.42578125" style="110" customWidth="1"/>
    <col min="11278" max="11278" width="6.42578125" style="110" bestFit="1" customWidth="1"/>
    <col min="11279" max="11280" width="8.42578125" style="110"/>
    <col min="11281" max="11281" width="3.28515625" style="110" customWidth="1"/>
    <col min="11282" max="11520" width="8.42578125" style="110"/>
    <col min="11521" max="11521" width="10" style="110" bestFit="1" customWidth="1"/>
    <col min="11522" max="11522" width="44.28515625" style="110" bestFit="1" customWidth="1"/>
    <col min="11523" max="11523" width="10.42578125" style="110" bestFit="1" customWidth="1"/>
    <col min="11524" max="11524" width="10.42578125" style="110" customWidth="1"/>
    <col min="11525" max="11525" width="9.7109375" style="110" bestFit="1" customWidth="1"/>
    <col min="11526" max="11527" width="9.5703125" style="110" bestFit="1" customWidth="1"/>
    <col min="11528" max="11528" width="10.42578125" style="110" bestFit="1" customWidth="1"/>
    <col min="11529" max="11529" width="4.5703125" style="110" customWidth="1"/>
    <col min="11530" max="11530" width="1.7109375" style="110" customWidth="1"/>
    <col min="11531" max="11531" width="7" style="110" bestFit="1" customWidth="1"/>
    <col min="11532" max="11532" width="6.28515625" style="110" customWidth="1"/>
    <col min="11533" max="11533" width="20.42578125" style="110" customWidth="1"/>
    <col min="11534" max="11534" width="6.42578125" style="110" bestFit="1" customWidth="1"/>
    <col min="11535" max="11536" width="8.42578125" style="110"/>
    <col min="11537" max="11537" width="3.28515625" style="110" customWidth="1"/>
    <col min="11538" max="11776" width="8.42578125" style="110"/>
    <col min="11777" max="11777" width="10" style="110" bestFit="1" customWidth="1"/>
    <col min="11778" max="11778" width="44.28515625" style="110" bestFit="1" customWidth="1"/>
    <col min="11779" max="11779" width="10.42578125" style="110" bestFit="1" customWidth="1"/>
    <col min="11780" max="11780" width="10.42578125" style="110" customWidth="1"/>
    <col min="11781" max="11781" width="9.7109375" style="110" bestFit="1" customWidth="1"/>
    <col min="11782" max="11783" width="9.5703125" style="110" bestFit="1" customWidth="1"/>
    <col min="11784" max="11784" width="10.42578125" style="110" bestFit="1" customWidth="1"/>
    <col min="11785" max="11785" width="4.5703125" style="110" customWidth="1"/>
    <col min="11786" max="11786" width="1.7109375" style="110" customWidth="1"/>
    <col min="11787" max="11787" width="7" style="110" bestFit="1" customWidth="1"/>
    <col min="11788" max="11788" width="6.28515625" style="110" customWidth="1"/>
    <col min="11789" max="11789" width="20.42578125" style="110" customWidth="1"/>
    <col min="11790" max="11790" width="6.42578125" style="110" bestFit="1" customWidth="1"/>
    <col min="11791" max="11792" width="8.42578125" style="110"/>
    <col min="11793" max="11793" width="3.28515625" style="110" customWidth="1"/>
    <col min="11794" max="12032" width="8.42578125" style="110"/>
    <col min="12033" max="12033" width="10" style="110" bestFit="1" customWidth="1"/>
    <col min="12034" max="12034" width="44.28515625" style="110" bestFit="1" customWidth="1"/>
    <col min="12035" max="12035" width="10.42578125" style="110" bestFit="1" customWidth="1"/>
    <col min="12036" max="12036" width="10.42578125" style="110" customWidth="1"/>
    <col min="12037" max="12037" width="9.7109375" style="110" bestFit="1" customWidth="1"/>
    <col min="12038" max="12039" width="9.5703125" style="110" bestFit="1" customWidth="1"/>
    <col min="12040" max="12040" width="10.42578125" style="110" bestFit="1" customWidth="1"/>
    <col min="12041" max="12041" width="4.5703125" style="110" customWidth="1"/>
    <col min="12042" max="12042" width="1.7109375" style="110" customWidth="1"/>
    <col min="12043" max="12043" width="7" style="110" bestFit="1" customWidth="1"/>
    <col min="12044" max="12044" width="6.28515625" style="110" customWidth="1"/>
    <col min="12045" max="12045" width="20.42578125" style="110" customWidth="1"/>
    <col min="12046" max="12046" width="6.42578125" style="110" bestFit="1" customWidth="1"/>
    <col min="12047" max="12048" width="8.42578125" style="110"/>
    <col min="12049" max="12049" width="3.28515625" style="110" customWidth="1"/>
    <col min="12050" max="12288" width="8.42578125" style="110"/>
    <col min="12289" max="12289" width="10" style="110" bestFit="1" customWidth="1"/>
    <col min="12290" max="12290" width="44.28515625" style="110" bestFit="1" customWidth="1"/>
    <col min="12291" max="12291" width="10.42578125" style="110" bestFit="1" customWidth="1"/>
    <col min="12292" max="12292" width="10.42578125" style="110" customWidth="1"/>
    <col min="12293" max="12293" width="9.7109375" style="110" bestFit="1" customWidth="1"/>
    <col min="12294" max="12295" width="9.5703125" style="110" bestFit="1" customWidth="1"/>
    <col min="12296" max="12296" width="10.42578125" style="110" bestFit="1" customWidth="1"/>
    <col min="12297" max="12297" width="4.5703125" style="110" customWidth="1"/>
    <col min="12298" max="12298" width="1.7109375" style="110" customWidth="1"/>
    <col min="12299" max="12299" width="7" style="110" bestFit="1" customWidth="1"/>
    <col min="12300" max="12300" width="6.28515625" style="110" customWidth="1"/>
    <col min="12301" max="12301" width="20.42578125" style="110" customWidth="1"/>
    <col min="12302" max="12302" width="6.42578125" style="110" bestFit="1" customWidth="1"/>
    <col min="12303" max="12304" width="8.42578125" style="110"/>
    <col min="12305" max="12305" width="3.28515625" style="110" customWidth="1"/>
    <col min="12306" max="12544" width="8.42578125" style="110"/>
    <col min="12545" max="12545" width="10" style="110" bestFit="1" customWidth="1"/>
    <col min="12546" max="12546" width="44.28515625" style="110" bestFit="1" customWidth="1"/>
    <col min="12547" max="12547" width="10.42578125" style="110" bestFit="1" customWidth="1"/>
    <col min="12548" max="12548" width="10.42578125" style="110" customWidth="1"/>
    <col min="12549" max="12549" width="9.7109375" style="110" bestFit="1" customWidth="1"/>
    <col min="12550" max="12551" width="9.5703125" style="110" bestFit="1" customWidth="1"/>
    <col min="12552" max="12552" width="10.42578125" style="110" bestFit="1" customWidth="1"/>
    <col min="12553" max="12553" width="4.5703125" style="110" customWidth="1"/>
    <col min="12554" max="12554" width="1.7109375" style="110" customWidth="1"/>
    <col min="12555" max="12555" width="7" style="110" bestFit="1" customWidth="1"/>
    <col min="12556" max="12556" width="6.28515625" style="110" customWidth="1"/>
    <col min="12557" max="12557" width="20.42578125" style="110" customWidth="1"/>
    <col min="12558" max="12558" width="6.42578125" style="110" bestFit="1" customWidth="1"/>
    <col min="12559" max="12560" width="8.42578125" style="110"/>
    <col min="12561" max="12561" width="3.28515625" style="110" customWidth="1"/>
    <col min="12562" max="12800" width="8.42578125" style="110"/>
    <col min="12801" max="12801" width="10" style="110" bestFit="1" customWidth="1"/>
    <col min="12802" max="12802" width="44.28515625" style="110" bestFit="1" customWidth="1"/>
    <col min="12803" max="12803" width="10.42578125" style="110" bestFit="1" customWidth="1"/>
    <col min="12804" max="12804" width="10.42578125" style="110" customWidth="1"/>
    <col min="12805" max="12805" width="9.7109375" style="110" bestFit="1" customWidth="1"/>
    <col min="12806" max="12807" width="9.5703125" style="110" bestFit="1" customWidth="1"/>
    <col min="12808" max="12808" width="10.42578125" style="110" bestFit="1" customWidth="1"/>
    <col min="12809" max="12809" width="4.5703125" style="110" customWidth="1"/>
    <col min="12810" max="12810" width="1.7109375" style="110" customWidth="1"/>
    <col min="12811" max="12811" width="7" style="110" bestFit="1" customWidth="1"/>
    <col min="12812" max="12812" width="6.28515625" style="110" customWidth="1"/>
    <col min="12813" max="12813" width="20.42578125" style="110" customWidth="1"/>
    <col min="12814" max="12814" width="6.42578125" style="110" bestFit="1" customWidth="1"/>
    <col min="12815" max="12816" width="8.42578125" style="110"/>
    <col min="12817" max="12817" width="3.28515625" style="110" customWidth="1"/>
    <col min="12818" max="13056" width="8.42578125" style="110"/>
    <col min="13057" max="13057" width="10" style="110" bestFit="1" customWidth="1"/>
    <col min="13058" max="13058" width="44.28515625" style="110" bestFit="1" customWidth="1"/>
    <col min="13059" max="13059" width="10.42578125" style="110" bestFit="1" customWidth="1"/>
    <col min="13060" max="13060" width="10.42578125" style="110" customWidth="1"/>
    <col min="13061" max="13061" width="9.7109375" style="110" bestFit="1" customWidth="1"/>
    <col min="13062" max="13063" width="9.5703125" style="110" bestFit="1" customWidth="1"/>
    <col min="13064" max="13064" width="10.42578125" style="110" bestFit="1" customWidth="1"/>
    <col min="13065" max="13065" width="4.5703125" style="110" customWidth="1"/>
    <col min="13066" max="13066" width="1.7109375" style="110" customWidth="1"/>
    <col min="13067" max="13067" width="7" style="110" bestFit="1" customWidth="1"/>
    <col min="13068" max="13068" width="6.28515625" style="110" customWidth="1"/>
    <col min="13069" max="13069" width="20.42578125" style="110" customWidth="1"/>
    <col min="13070" max="13070" width="6.42578125" style="110" bestFit="1" customWidth="1"/>
    <col min="13071" max="13072" width="8.42578125" style="110"/>
    <col min="13073" max="13073" width="3.28515625" style="110" customWidth="1"/>
    <col min="13074" max="13312" width="8.42578125" style="110"/>
    <col min="13313" max="13313" width="10" style="110" bestFit="1" customWidth="1"/>
    <col min="13314" max="13314" width="44.28515625" style="110" bestFit="1" customWidth="1"/>
    <col min="13315" max="13315" width="10.42578125" style="110" bestFit="1" customWidth="1"/>
    <col min="13316" max="13316" width="10.42578125" style="110" customWidth="1"/>
    <col min="13317" max="13317" width="9.7109375" style="110" bestFit="1" customWidth="1"/>
    <col min="13318" max="13319" width="9.5703125" style="110" bestFit="1" customWidth="1"/>
    <col min="13320" max="13320" width="10.42578125" style="110" bestFit="1" customWidth="1"/>
    <col min="13321" max="13321" width="4.5703125" style="110" customWidth="1"/>
    <col min="13322" max="13322" width="1.7109375" style="110" customWidth="1"/>
    <col min="13323" max="13323" width="7" style="110" bestFit="1" customWidth="1"/>
    <col min="13324" max="13324" width="6.28515625" style="110" customWidth="1"/>
    <col min="13325" max="13325" width="20.42578125" style="110" customWidth="1"/>
    <col min="13326" max="13326" width="6.42578125" style="110" bestFit="1" customWidth="1"/>
    <col min="13327" max="13328" width="8.42578125" style="110"/>
    <col min="13329" max="13329" width="3.28515625" style="110" customWidth="1"/>
    <col min="13330" max="13568" width="8.42578125" style="110"/>
    <col min="13569" max="13569" width="10" style="110" bestFit="1" customWidth="1"/>
    <col min="13570" max="13570" width="44.28515625" style="110" bestFit="1" customWidth="1"/>
    <col min="13571" max="13571" width="10.42578125" style="110" bestFit="1" customWidth="1"/>
    <col min="13572" max="13572" width="10.42578125" style="110" customWidth="1"/>
    <col min="13573" max="13573" width="9.7109375" style="110" bestFit="1" customWidth="1"/>
    <col min="13574" max="13575" width="9.5703125" style="110" bestFit="1" customWidth="1"/>
    <col min="13576" max="13576" width="10.42578125" style="110" bestFit="1" customWidth="1"/>
    <col min="13577" max="13577" width="4.5703125" style="110" customWidth="1"/>
    <col min="13578" max="13578" width="1.7109375" style="110" customWidth="1"/>
    <col min="13579" max="13579" width="7" style="110" bestFit="1" customWidth="1"/>
    <col min="13580" max="13580" width="6.28515625" style="110" customWidth="1"/>
    <col min="13581" max="13581" width="20.42578125" style="110" customWidth="1"/>
    <col min="13582" max="13582" width="6.42578125" style="110" bestFit="1" customWidth="1"/>
    <col min="13583" max="13584" width="8.42578125" style="110"/>
    <col min="13585" max="13585" width="3.28515625" style="110" customWidth="1"/>
    <col min="13586" max="13824" width="8.42578125" style="110"/>
    <col min="13825" max="13825" width="10" style="110" bestFit="1" customWidth="1"/>
    <col min="13826" max="13826" width="44.28515625" style="110" bestFit="1" customWidth="1"/>
    <col min="13827" max="13827" width="10.42578125" style="110" bestFit="1" customWidth="1"/>
    <col min="13828" max="13828" width="10.42578125" style="110" customWidth="1"/>
    <col min="13829" max="13829" width="9.7109375" style="110" bestFit="1" customWidth="1"/>
    <col min="13830" max="13831" width="9.5703125" style="110" bestFit="1" customWidth="1"/>
    <col min="13832" max="13832" width="10.42578125" style="110" bestFit="1" customWidth="1"/>
    <col min="13833" max="13833" width="4.5703125" style="110" customWidth="1"/>
    <col min="13834" max="13834" width="1.7109375" style="110" customWidth="1"/>
    <col min="13835" max="13835" width="7" style="110" bestFit="1" customWidth="1"/>
    <col min="13836" max="13836" width="6.28515625" style="110" customWidth="1"/>
    <col min="13837" max="13837" width="20.42578125" style="110" customWidth="1"/>
    <col min="13838" max="13838" width="6.42578125" style="110" bestFit="1" customWidth="1"/>
    <col min="13839" max="13840" width="8.42578125" style="110"/>
    <col min="13841" max="13841" width="3.28515625" style="110" customWidth="1"/>
    <col min="13842" max="14080" width="8.42578125" style="110"/>
    <col min="14081" max="14081" width="10" style="110" bestFit="1" customWidth="1"/>
    <col min="14082" max="14082" width="44.28515625" style="110" bestFit="1" customWidth="1"/>
    <col min="14083" max="14083" width="10.42578125" style="110" bestFit="1" customWidth="1"/>
    <col min="14084" max="14084" width="10.42578125" style="110" customWidth="1"/>
    <col min="14085" max="14085" width="9.7109375" style="110" bestFit="1" customWidth="1"/>
    <col min="14086" max="14087" width="9.5703125" style="110" bestFit="1" customWidth="1"/>
    <col min="14088" max="14088" width="10.42578125" style="110" bestFit="1" customWidth="1"/>
    <col min="14089" max="14089" width="4.5703125" style="110" customWidth="1"/>
    <col min="14090" max="14090" width="1.7109375" style="110" customWidth="1"/>
    <col min="14091" max="14091" width="7" style="110" bestFit="1" customWidth="1"/>
    <col min="14092" max="14092" width="6.28515625" style="110" customWidth="1"/>
    <col min="14093" max="14093" width="20.42578125" style="110" customWidth="1"/>
    <col min="14094" max="14094" width="6.42578125" style="110" bestFit="1" customWidth="1"/>
    <col min="14095" max="14096" width="8.42578125" style="110"/>
    <col min="14097" max="14097" width="3.28515625" style="110" customWidth="1"/>
    <col min="14098" max="14336" width="8.42578125" style="110"/>
    <col min="14337" max="14337" width="10" style="110" bestFit="1" customWidth="1"/>
    <col min="14338" max="14338" width="44.28515625" style="110" bestFit="1" customWidth="1"/>
    <col min="14339" max="14339" width="10.42578125" style="110" bestFit="1" customWidth="1"/>
    <col min="14340" max="14340" width="10.42578125" style="110" customWidth="1"/>
    <col min="14341" max="14341" width="9.7109375" style="110" bestFit="1" customWidth="1"/>
    <col min="14342" max="14343" width="9.5703125" style="110" bestFit="1" customWidth="1"/>
    <col min="14344" max="14344" width="10.42578125" style="110" bestFit="1" customWidth="1"/>
    <col min="14345" max="14345" width="4.5703125" style="110" customWidth="1"/>
    <col min="14346" max="14346" width="1.7109375" style="110" customWidth="1"/>
    <col min="14347" max="14347" width="7" style="110" bestFit="1" customWidth="1"/>
    <col min="14348" max="14348" width="6.28515625" style="110" customWidth="1"/>
    <col min="14349" max="14349" width="20.42578125" style="110" customWidth="1"/>
    <col min="14350" max="14350" width="6.42578125" style="110" bestFit="1" customWidth="1"/>
    <col min="14351" max="14352" width="8.42578125" style="110"/>
    <col min="14353" max="14353" width="3.28515625" style="110" customWidth="1"/>
    <col min="14354" max="14592" width="8.42578125" style="110"/>
    <col min="14593" max="14593" width="10" style="110" bestFit="1" customWidth="1"/>
    <col min="14594" max="14594" width="44.28515625" style="110" bestFit="1" customWidth="1"/>
    <col min="14595" max="14595" width="10.42578125" style="110" bestFit="1" customWidth="1"/>
    <col min="14596" max="14596" width="10.42578125" style="110" customWidth="1"/>
    <col min="14597" max="14597" width="9.7109375" style="110" bestFit="1" customWidth="1"/>
    <col min="14598" max="14599" width="9.5703125" style="110" bestFit="1" customWidth="1"/>
    <col min="14600" max="14600" width="10.42578125" style="110" bestFit="1" customWidth="1"/>
    <col min="14601" max="14601" width="4.5703125" style="110" customWidth="1"/>
    <col min="14602" max="14602" width="1.7109375" style="110" customWidth="1"/>
    <col min="14603" max="14603" width="7" style="110" bestFit="1" customWidth="1"/>
    <col min="14604" max="14604" width="6.28515625" style="110" customWidth="1"/>
    <col min="14605" max="14605" width="20.42578125" style="110" customWidth="1"/>
    <col min="14606" max="14606" width="6.42578125" style="110" bestFit="1" customWidth="1"/>
    <col min="14607" max="14608" width="8.42578125" style="110"/>
    <col min="14609" max="14609" width="3.28515625" style="110" customWidth="1"/>
    <col min="14610" max="14848" width="8.42578125" style="110"/>
    <col min="14849" max="14849" width="10" style="110" bestFit="1" customWidth="1"/>
    <col min="14850" max="14850" width="44.28515625" style="110" bestFit="1" customWidth="1"/>
    <col min="14851" max="14851" width="10.42578125" style="110" bestFit="1" customWidth="1"/>
    <col min="14852" max="14852" width="10.42578125" style="110" customWidth="1"/>
    <col min="14853" max="14853" width="9.7109375" style="110" bestFit="1" customWidth="1"/>
    <col min="14854" max="14855" width="9.5703125" style="110" bestFit="1" customWidth="1"/>
    <col min="14856" max="14856" width="10.42578125" style="110" bestFit="1" customWidth="1"/>
    <col min="14857" max="14857" width="4.5703125" style="110" customWidth="1"/>
    <col min="14858" max="14858" width="1.7109375" style="110" customWidth="1"/>
    <col min="14859" max="14859" width="7" style="110" bestFit="1" customWidth="1"/>
    <col min="14860" max="14860" width="6.28515625" style="110" customWidth="1"/>
    <col min="14861" max="14861" width="20.42578125" style="110" customWidth="1"/>
    <col min="14862" max="14862" width="6.42578125" style="110" bestFit="1" customWidth="1"/>
    <col min="14863" max="14864" width="8.42578125" style="110"/>
    <col min="14865" max="14865" width="3.28515625" style="110" customWidth="1"/>
    <col min="14866" max="15104" width="8.42578125" style="110"/>
    <col min="15105" max="15105" width="10" style="110" bestFit="1" customWidth="1"/>
    <col min="15106" max="15106" width="44.28515625" style="110" bestFit="1" customWidth="1"/>
    <col min="15107" max="15107" width="10.42578125" style="110" bestFit="1" customWidth="1"/>
    <col min="15108" max="15108" width="10.42578125" style="110" customWidth="1"/>
    <col min="15109" max="15109" width="9.7109375" style="110" bestFit="1" customWidth="1"/>
    <col min="15110" max="15111" width="9.5703125" style="110" bestFit="1" customWidth="1"/>
    <col min="15112" max="15112" width="10.42578125" style="110" bestFit="1" customWidth="1"/>
    <col min="15113" max="15113" width="4.5703125" style="110" customWidth="1"/>
    <col min="15114" max="15114" width="1.7109375" style="110" customWidth="1"/>
    <col min="15115" max="15115" width="7" style="110" bestFit="1" customWidth="1"/>
    <col min="15116" max="15116" width="6.28515625" style="110" customWidth="1"/>
    <col min="15117" max="15117" width="20.42578125" style="110" customWidth="1"/>
    <col min="15118" max="15118" width="6.42578125" style="110" bestFit="1" customWidth="1"/>
    <col min="15119" max="15120" width="8.42578125" style="110"/>
    <col min="15121" max="15121" width="3.28515625" style="110" customWidth="1"/>
    <col min="15122" max="15360" width="8.42578125" style="110"/>
    <col min="15361" max="15361" width="10" style="110" bestFit="1" customWidth="1"/>
    <col min="15362" max="15362" width="44.28515625" style="110" bestFit="1" customWidth="1"/>
    <col min="15363" max="15363" width="10.42578125" style="110" bestFit="1" customWidth="1"/>
    <col min="15364" max="15364" width="10.42578125" style="110" customWidth="1"/>
    <col min="15365" max="15365" width="9.7109375" style="110" bestFit="1" customWidth="1"/>
    <col min="15366" max="15367" width="9.5703125" style="110" bestFit="1" customWidth="1"/>
    <col min="15368" max="15368" width="10.42578125" style="110" bestFit="1" customWidth="1"/>
    <col min="15369" max="15369" width="4.5703125" style="110" customWidth="1"/>
    <col min="15370" max="15370" width="1.7109375" style="110" customWidth="1"/>
    <col min="15371" max="15371" width="7" style="110" bestFit="1" customWidth="1"/>
    <col min="15372" max="15372" width="6.28515625" style="110" customWidth="1"/>
    <col min="15373" max="15373" width="20.42578125" style="110" customWidth="1"/>
    <col min="15374" max="15374" width="6.42578125" style="110" bestFit="1" customWidth="1"/>
    <col min="15375" max="15376" width="8.42578125" style="110"/>
    <col min="15377" max="15377" width="3.28515625" style="110" customWidth="1"/>
    <col min="15378" max="15616" width="8.42578125" style="110"/>
    <col min="15617" max="15617" width="10" style="110" bestFit="1" customWidth="1"/>
    <col min="15618" max="15618" width="44.28515625" style="110" bestFit="1" customWidth="1"/>
    <col min="15619" max="15619" width="10.42578125" style="110" bestFit="1" customWidth="1"/>
    <col min="15620" max="15620" width="10.42578125" style="110" customWidth="1"/>
    <col min="15621" max="15621" width="9.7109375" style="110" bestFit="1" customWidth="1"/>
    <col min="15622" max="15623" width="9.5703125" style="110" bestFit="1" customWidth="1"/>
    <col min="15624" max="15624" width="10.42578125" style="110" bestFit="1" customWidth="1"/>
    <col min="15625" max="15625" width="4.5703125" style="110" customWidth="1"/>
    <col min="15626" max="15626" width="1.7109375" style="110" customWidth="1"/>
    <col min="15627" max="15627" width="7" style="110" bestFit="1" customWidth="1"/>
    <col min="15628" max="15628" width="6.28515625" style="110" customWidth="1"/>
    <col min="15629" max="15629" width="20.42578125" style="110" customWidth="1"/>
    <col min="15630" max="15630" width="6.42578125" style="110" bestFit="1" customWidth="1"/>
    <col min="15631" max="15632" width="8.42578125" style="110"/>
    <col min="15633" max="15633" width="3.28515625" style="110" customWidth="1"/>
    <col min="15634" max="15872" width="8.42578125" style="110"/>
    <col min="15873" max="15873" width="10" style="110" bestFit="1" customWidth="1"/>
    <col min="15874" max="15874" width="44.28515625" style="110" bestFit="1" customWidth="1"/>
    <col min="15875" max="15875" width="10.42578125" style="110" bestFit="1" customWidth="1"/>
    <col min="15876" max="15876" width="10.42578125" style="110" customWidth="1"/>
    <col min="15877" max="15877" width="9.7109375" style="110" bestFit="1" customWidth="1"/>
    <col min="15878" max="15879" width="9.5703125" style="110" bestFit="1" customWidth="1"/>
    <col min="15880" max="15880" width="10.42578125" style="110" bestFit="1" customWidth="1"/>
    <col min="15881" max="15881" width="4.5703125" style="110" customWidth="1"/>
    <col min="15882" max="15882" width="1.7109375" style="110" customWidth="1"/>
    <col min="15883" max="15883" width="7" style="110" bestFit="1" customWidth="1"/>
    <col min="15884" max="15884" width="6.28515625" style="110" customWidth="1"/>
    <col min="15885" max="15885" width="20.42578125" style="110" customWidth="1"/>
    <col min="15886" max="15886" width="6.42578125" style="110" bestFit="1" customWidth="1"/>
    <col min="15887" max="15888" width="8.42578125" style="110"/>
    <col min="15889" max="15889" width="3.28515625" style="110" customWidth="1"/>
    <col min="15890" max="16128" width="8.42578125" style="110"/>
    <col min="16129" max="16129" width="10" style="110" bestFit="1" customWidth="1"/>
    <col min="16130" max="16130" width="44.28515625" style="110" bestFit="1" customWidth="1"/>
    <col min="16131" max="16131" width="10.42578125" style="110" bestFit="1" customWidth="1"/>
    <col min="16132" max="16132" width="10.42578125" style="110" customWidth="1"/>
    <col min="16133" max="16133" width="9.7109375" style="110" bestFit="1" customWidth="1"/>
    <col min="16134" max="16135" width="9.5703125" style="110" bestFit="1" customWidth="1"/>
    <col min="16136" max="16136" width="10.42578125" style="110" bestFit="1" customWidth="1"/>
    <col min="16137" max="16137" width="4.5703125" style="110" customWidth="1"/>
    <col min="16138" max="16138" width="1.7109375" style="110" customWidth="1"/>
    <col min="16139" max="16139" width="7" style="110" bestFit="1" customWidth="1"/>
    <col min="16140" max="16140" width="6.28515625" style="110" customWidth="1"/>
    <col min="16141" max="16141" width="20.42578125" style="110" customWidth="1"/>
    <col min="16142" max="16142" width="6.42578125" style="110" bestFit="1" customWidth="1"/>
    <col min="16143" max="16144" width="8.42578125" style="110"/>
    <col min="16145" max="16145" width="3.28515625" style="110" customWidth="1"/>
    <col min="16146" max="16384" width="8.42578125" style="110"/>
  </cols>
  <sheetData>
    <row r="1" spans="1:10" ht="27.75" customHeight="1" x14ac:dyDescent="0.25">
      <c r="A1" s="105"/>
      <c r="B1" s="105"/>
      <c r="C1" s="105"/>
      <c r="D1" s="105"/>
      <c r="E1" s="106" t="s">
        <v>121</v>
      </c>
      <c r="F1" s="107" t="s">
        <v>122</v>
      </c>
      <c r="G1" s="107" t="s">
        <v>123</v>
      </c>
      <c r="H1" s="107" t="s">
        <v>124</v>
      </c>
      <c r="I1" s="108"/>
    </row>
    <row r="2" spans="1:10" ht="30.75" customHeight="1" x14ac:dyDescent="0.25">
      <c r="A2" s="105"/>
      <c r="B2" s="105"/>
      <c r="C2" s="105"/>
      <c r="D2" s="105"/>
      <c r="E2" s="111">
        <f>IFERROR(O62,"")</f>
        <v>7051</v>
      </c>
      <c r="F2" s="111">
        <f>IFERROR(H53,"")</f>
        <v>6694</v>
      </c>
      <c r="G2" s="111">
        <f>IFERROR(H54,"")</f>
        <v>0</v>
      </c>
      <c r="H2" s="111">
        <f>IFERROR(H56,"")</f>
        <v>183</v>
      </c>
      <c r="I2" s="112"/>
    </row>
    <row r="3" spans="1:10" ht="15" customHeight="1" x14ac:dyDescent="0.25">
      <c r="A3" s="105"/>
      <c r="B3" s="105"/>
      <c r="C3" s="105"/>
      <c r="D3" s="105"/>
      <c r="E3" s="105"/>
      <c r="F3" s="113"/>
      <c r="G3" s="113"/>
      <c r="H3" s="113"/>
      <c r="I3" s="113"/>
    </row>
    <row r="4" spans="1:10" ht="24.75" customHeight="1" thickBot="1" x14ac:dyDescent="0.3">
      <c r="A4" s="602"/>
      <c r="B4" s="602"/>
      <c r="C4" s="602"/>
      <c r="D4" s="602"/>
      <c r="E4" s="602"/>
      <c r="F4" s="602"/>
      <c r="G4" s="602"/>
      <c r="H4" s="602"/>
      <c r="I4" s="114"/>
    </row>
    <row r="5" spans="1:10" ht="19.5" customHeight="1" thickBot="1" x14ac:dyDescent="0.3">
      <c r="A5" s="603" t="s">
        <v>125</v>
      </c>
      <c r="B5" s="604"/>
      <c r="C5" s="604"/>
      <c r="D5" s="604"/>
      <c r="E5" s="604"/>
      <c r="F5" s="604"/>
      <c r="G5" s="604"/>
      <c r="H5" s="605"/>
      <c r="I5" s="115"/>
    </row>
    <row r="6" spans="1:10" ht="19.5" thickBot="1" x14ac:dyDescent="0.3">
      <c r="A6" s="115"/>
      <c r="B6" s="115"/>
      <c r="C6" s="115"/>
      <c r="D6" s="115"/>
      <c r="E6" s="115"/>
      <c r="F6" s="606" t="s">
        <v>126</v>
      </c>
      <c r="G6" s="606"/>
      <c r="H6" s="116">
        <f ca="1">TODAY()</f>
        <v>45761</v>
      </c>
      <c r="I6" s="116"/>
    </row>
    <row r="7" spans="1:10" ht="26.25" thickBot="1" x14ac:dyDescent="0.3">
      <c r="A7" s="117" t="s">
        <v>127</v>
      </c>
      <c r="B7" s="118" t="s">
        <v>128</v>
      </c>
      <c r="C7" s="118" t="s">
        <v>127</v>
      </c>
      <c r="D7" s="119" t="s">
        <v>129</v>
      </c>
      <c r="E7" s="119" t="s">
        <v>130</v>
      </c>
      <c r="F7" s="119" t="s">
        <v>131</v>
      </c>
      <c r="G7" s="119" t="s">
        <v>132</v>
      </c>
      <c r="H7" s="120" t="s">
        <v>133</v>
      </c>
      <c r="I7" s="121"/>
    </row>
    <row r="8" spans="1:10" ht="13.5" x14ac:dyDescent="0.25">
      <c r="A8" s="122">
        <v>400</v>
      </c>
      <c r="B8" s="110" t="str">
        <f>IFERROR(VLOOKUP(H8,'[1]Consolidado MP Planta'!$A$2:$M$823,3,0),"")</f>
        <v>CREMA PRESTIGE GRAND (UND:4 K) *</v>
      </c>
      <c r="C8" s="123">
        <f>+A8</f>
        <v>400</v>
      </c>
      <c r="D8" s="124" t="str">
        <f>IFERROR(VLOOKUP(H8,'[1]Consolidado MP Planta'!$A$2:$M$823,13,0),"")</f>
        <v>Gramos</v>
      </c>
      <c r="E8" s="124">
        <v>2.11</v>
      </c>
      <c r="F8" s="124">
        <f>IFERROR(C8*E8,"")</f>
        <v>844</v>
      </c>
      <c r="G8" s="125">
        <f t="shared" ref="G8:G14" si="0">IFERROR(F8/$F$66,"")</f>
        <v>0.12038431694737323</v>
      </c>
      <c r="H8" s="126" t="s">
        <v>39</v>
      </c>
      <c r="I8" s="126"/>
      <c r="J8" s="127"/>
    </row>
    <row r="9" spans="1:10" ht="13.5" x14ac:dyDescent="0.25">
      <c r="A9" s="122">
        <v>1000</v>
      </c>
      <c r="B9" s="110" t="s">
        <v>184</v>
      </c>
      <c r="C9" s="123">
        <f t="shared" ref="C9:C14" si="1">+A9</f>
        <v>1000</v>
      </c>
      <c r="D9" s="124" t="s">
        <v>172</v>
      </c>
      <c r="E9" s="124">
        <v>5.85</v>
      </c>
      <c r="F9" s="124">
        <f t="shared" ref="F9:F14" si="2">IFERROR(C9*E9,"")</f>
        <v>5850</v>
      </c>
      <c r="G9" s="125">
        <f t="shared" si="0"/>
        <v>0.83441736272764611</v>
      </c>
      <c r="H9" s="126"/>
      <c r="I9" s="126"/>
      <c r="J9" s="127"/>
    </row>
    <row r="10" spans="1:10" ht="13.5" hidden="1" x14ac:dyDescent="0.25">
      <c r="A10" s="122">
        <v>0</v>
      </c>
      <c r="B10" s="110" t="str">
        <f>IFERROR(VLOOKUP(H10,'[1]Consolidado MP Planta'!$A$2:$M$823,3,0),"")</f>
        <v>COCOA DUTCH PROCESS (SACO:25 KG)</v>
      </c>
      <c r="C10" s="123">
        <f t="shared" si="1"/>
        <v>0</v>
      </c>
      <c r="D10" s="124" t="str">
        <f>IFERROR(VLOOKUP(H10,'[1]Consolidado MP Planta'!$A$2:$M$823,13,0),"")</f>
        <v>Gramos</v>
      </c>
      <c r="E10" s="124">
        <v>3.82</v>
      </c>
      <c r="F10" s="124">
        <f t="shared" si="2"/>
        <v>0</v>
      </c>
      <c r="G10" s="125">
        <f t="shared" si="0"/>
        <v>0</v>
      </c>
      <c r="H10" s="126" t="s">
        <v>185</v>
      </c>
      <c r="I10" s="126"/>
      <c r="J10" s="127"/>
    </row>
    <row r="11" spans="1:10" ht="13.5" hidden="1" x14ac:dyDescent="0.25">
      <c r="A11" s="122"/>
      <c r="B11" s="110" t="str">
        <f>IFERROR(VLOOKUP(H11,'[1]Consolidado MP Planta'!$A$2:$M$823,3,0),"")</f>
        <v/>
      </c>
      <c r="C11" s="123">
        <f t="shared" si="1"/>
        <v>0</v>
      </c>
      <c r="D11" s="124" t="str">
        <f>IFERROR(VLOOKUP(H11,'[1]Consolidado MP Planta'!$A$2:$M$823,13,0),"")</f>
        <v/>
      </c>
      <c r="E11" s="124" t="str">
        <f>IFERROR(VLOOKUP(H11,'[1]Consolidado MP Planta'!$A$2:$M$823,12,0),"")</f>
        <v/>
      </c>
      <c r="F11" s="124" t="str">
        <f t="shared" si="2"/>
        <v/>
      </c>
      <c r="G11" s="125" t="str">
        <f t="shared" si="0"/>
        <v/>
      </c>
      <c r="H11" s="126"/>
      <c r="I11" s="126"/>
      <c r="J11" s="127"/>
    </row>
    <row r="12" spans="1:10" ht="13.5" hidden="1" x14ac:dyDescent="0.25">
      <c r="A12" s="122"/>
      <c r="B12" s="110" t="str">
        <f>IFERROR(VLOOKUP(H12,'[1]Consolidado MP Planta'!$A$2:$M$823,3,0),"")</f>
        <v/>
      </c>
      <c r="C12" s="123">
        <f t="shared" si="1"/>
        <v>0</v>
      </c>
      <c r="D12" s="124" t="str">
        <f>IFERROR(VLOOKUP(H12,'[1]Consolidado MP Planta'!$A$2:$M$823,13,0),"")</f>
        <v/>
      </c>
      <c r="E12" s="124" t="str">
        <f>IFERROR(VLOOKUP(H12,'[1]Consolidado MP Planta'!$A$2:$M$823,12,0),"")</f>
        <v/>
      </c>
      <c r="F12" s="124" t="str">
        <f t="shared" si="2"/>
        <v/>
      </c>
      <c r="G12" s="125" t="str">
        <f t="shared" si="0"/>
        <v/>
      </c>
      <c r="H12" s="126"/>
      <c r="I12" s="126"/>
      <c r="J12" s="127"/>
    </row>
    <row r="13" spans="1:10" ht="13.5" hidden="1" x14ac:dyDescent="0.25">
      <c r="A13" s="122"/>
      <c r="B13" s="110" t="str">
        <f>IFERROR(VLOOKUP(H13,'[1]Consolidado MP Planta'!$A$2:$M$823,3,0),"")</f>
        <v/>
      </c>
      <c r="C13" s="123">
        <f t="shared" si="1"/>
        <v>0</v>
      </c>
      <c r="D13" s="124" t="str">
        <f>IFERROR(VLOOKUP(H13,'[1]Consolidado MP Planta'!$A$2:$M$823,13,0),"")</f>
        <v/>
      </c>
      <c r="E13" s="124" t="str">
        <f>IFERROR(VLOOKUP(H13,'[1]Consolidado MP Planta'!$A$2:$M$823,12,0),"")</f>
        <v/>
      </c>
      <c r="F13" s="124" t="str">
        <f t="shared" si="2"/>
        <v/>
      </c>
      <c r="G13" s="125" t="str">
        <f t="shared" si="0"/>
        <v/>
      </c>
      <c r="H13" s="126"/>
      <c r="I13" s="126"/>
      <c r="J13" s="127"/>
    </row>
    <row r="14" spans="1:10" ht="13.5" hidden="1" x14ac:dyDescent="0.25">
      <c r="A14" s="122"/>
      <c r="B14" s="110" t="str">
        <f>IFERROR(VLOOKUP(H14,'[1]Consolidado MP Planta'!$A$2:$M$823,3,0),"")</f>
        <v/>
      </c>
      <c r="C14" s="123">
        <f t="shared" si="1"/>
        <v>0</v>
      </c>
      <c r="D14" s="124" t="str">
        <f>IFERROR(VLOOKUP(H14,'[1]Consolidado MP Planta'!$A$2:$M$823,13,0),"")</f>
        <v/>
      </c>
      <c r="E14" s="124" t="str">
        <f>IFERROR(VLOOKUP(H14,'[1]Consolidado MP Planta'!$A$2:$M$823,12,0),"")</f>
        <v/>
      </c>
      <c r="F14" s="124" t="str">
        <f t="shared" si="2"/>
        <v/>
      </c>
      <c r="G14" s="125" t="str">
        <f t="shared" si="0"/>
        <v/>
      </c>
      <c r="H14" s="126"/>
      <c r="I14" s="126"/>
      <c r="J14" s="127"/>
    </row>
    <row r="15" spans="1:10" ht="14.25" thickBot="1" x14ac:dyDescent="0.3">
      <c r="A15" s="122"/>
      <c r="B15" s="110" t="str">
        <f>IFERROR(VLOOKUP(H15,'[2]ARTICULOS MP PLANTA'!$A$2:$G$589,2,0),"")</f>
        <v/>
      </c>
      <c r="C15" s="123"/>
      <c r="D15" s="124"/>
      <c r="E15" s="124"/>
      <c r="F15" s="124"/>
      <c r="G15" s="125"/>
      <c r="H15" s="126"/>
      <c r="I15" s="126"/>
      <c r="J15" s="127"/>
    </row>
    <row r="16" spans="1:10" ht="26.25" hidden="1" thickBot="1" x14ac:dyDescent="0.3">
      <c r="A16" s="117" t="s">
        <v>127</v>
      </c>
      <c r="B16" s="118" t="s">
        <v>134</v>
      </c>
      <c r="C16" s="118" t="s">
        <v>127</v>
      </c>
      <c r="D16" s="119" t="s">
        <v>129</v>
      </c>
      <c r="E16" s="119" t="s">
        <v>130</v>
      </c>
      <c r="F16" s="119" t="s">
        <v>131</v>
      </c>
      <c r="G16" s="119" t="s">
        <v>132</v>
      </c>
      <c r="H16" s="120" t="s">
        <v>133</v>
      </c>
      <c r="I16" s="121"/>
      <c r="J16" s="127"/>
    </row>
    <row r="17" spans="1:12" ht="13.5" hidden="1" x14ac:dyDescent="0.25">
      <c r="A17" s="122"/>
      <c r="B17" s="110" t="str">
        <f>IFERROR(VLOOKUP(H17,[1]SEMIELABORADOS!$A$2:$M$6000,2,0),"")</f>
        <v/>
      </c>
      <c r="C17" s="123">
        <f>+A17</f>
        <v>0</v>
      </c>
      <c r="D17" s="123" t="str">
        <f>IFERROR(VLOOKUP(H17,[1]SEMIELABORADOS!$A$2:$M$6000,6,0),"")</f>
        <v/>
      </c>
      <c r="E17" s="124" t="str">
        <f>IFERROR(VLOOKUP(H17,[1]SEMIELABORADOS!$A$2:$H$65536,8,0),"")</f>
        <v/>
      </c>
      <c r="F17" s="124" t="str">
        <f>IFERROR(E17*C17,"")</f>
        <v/>
      </c>
      <c r="G17" s="125" t="str">
        <f t="shared" ref="G17:G24" si="3">IFERROR(F17/$F$66,"")</f>
        <v/>
      </c>
      <c r="H17" s="126"/>
      <c r="I17" s="126"/>
      <c r="J17" s="127"/>
    </row>
    <row r="18" spans="1:12" ht="13.5" hidden="1" x14ac:dyDescent="0.25">
      <c r="A18" s="122"/>
      <c r="B18" s="110" t="str">
        <f>IFERROR(VLOOKUP(H18,[1]SEMIELABORADOS!$A$2:$M$6000,2,0),"")</f>
        <v/>
      </c>
      <c r="C18" s="123">
        <f t="shared" ref="C18:C24" si="4">+A18</f>
        <v>0</v>
      </c>
      <c r="D18" s="123" t="str">
        <f>IFERROR(VLOOKUP(H18,[1]SEMIELABORADOS!$A$2:$M$6000,6,0),"")</f>
        <v/>
      </c>
      <c r="E18" s="124" t="str">
        <f>IFERROR(VLOOKUP(H18,[1]SEMIELABORADOS!$A$2:$H$65536,8,0),"")</f>
        <v/>
      </c>
      <c r="F18" s="124" t="str">
        <f t="shared" ref="F18:F24" si="5">IFERROR(E18*C18,"")</f>
        <v/>
      </c>
      <c r="G18" s="125" t="str">
        <f t="shared" si="3"/>
        <v/>
      </c>
      <c r="H18" s="126"/>
      <c r="I18" s="126"/>
      <c r="J18" s="127"/>
    </row>
    <row r="19" spans="1:12" ht="13.5" hidden="1" x14ac:dyDescent="0.25">
      <c r="A19" s="122"/>
      <c r="B19" s="110" t="str">
        <f>IFERROR(VLOOKUP(H19,[1]SEMIELABORADOS!$A$2:$M$6000,2,0),"")</f>
        <v/>
      </c>
      <c r="C19" s="123">
        <f>+A19</f>
        <v>0</v>
      </c>
      <c r="D19" s="123" t="str">
        <f>IFERROR(VLOOKUP(H19,[1]SEMIELABORADOS!$A$2:$M$6000,6,0),"")</f>
        <v/>
      </c>
      <c r="E19" s="124" t="str">
        <f>IFERROR(VLOOKUP(H19,[1]SEMIELABORADOS!$A$2:$H$65536,8,0),"")</f>
        <v/>
      </c>
      <c r="F19" s="124" t="str">
        <f>IFERROR(E19*C19,"")</f>
        <v/>
      </c>
      <c r="G19" s="125" t="str">
        <f t="shared" si="3"/>
        <v/>
      </c>
      <c r="H19" s="126"/>
      <c r="I19" s="126"/>
      <c r="J19" s="127"/>
    </row>
    <row r="20" spans="1:12" ht="13.5" hidden="1" x14ac:dyDescent="0.25">
      <c r="A20" s="122"/>
      <c r="B20" s="110" t="str">
        <f>IFERROR(VLOOKUP(H20,[1]SEMIELABORADOS!$A$2:$M$6000,2,0),"")</f>
        <v/>
      </c>
      <c r="C20" s="123">
        <f>+A20</f>
        <v>0</v>
      </c>
      <c r="D20" s="123" t="str">
        <f>IFERROR(VLOOKUP(H20,[1]SEMIELABORADOS!$A$2:$M$6000,6,0),"")</f>
        <v/>
      </c>
      <c r="E20" s="124" t="str">
        <f>IFERROR(VLOOKUP(H20,[1]SEMIELABORADOS!$A$2:$H$65536,8,0),"")</f>
        <v/>
      </c>
      <c r="F20" s="124" t="str">
        <f>IFERROR(E20*C20,"")</f>
        <v/>
      </c>
      <c r="G20" s="125" t="str">
        <f t="shared" si="3"/>
        <v/>
      </c>
      <c r="H20" s="126"/>
      <c r="I20" s="126"/>
      <c r="J20" s="127"/>
    </row>
    <row r="21" spans="1:12" ht="13.5" hidden="1" x14ac:dyDescent="0.25">
      <c r="A21" s="122"/>
      <c r="B21" s="110" t="str">
        <f>IFERROR(VLOOKUP(H21,[1]SEMIELABORADOS!$A$2:$M$6000,2,0),"")</f>
        <v/>
      </c>
      <c r="C21" s="123">
        <f>+A21</f>
        <v>0</v>
      </c>
      <c r="D21" s="123" t="str">
        <f>IFERROR(VLOOKUP(H21,[1]SEMIELABORADOS!$A$2:$M$6000,6,0),"")</f>
        <v/>
      </c>
      <c r="E21" s="124" t="str">
        <f>IFERROR(VLOOKUP(H21,[1]SEMIELABORADOS!$A$2:$H$65536,8,0),"")</f>
        <v/>
      </c>
      <c r="F21" s="124" t="str">
        <f>IFERROR(E21*C21,"")</f>
        <v/>
      </c>
      <c r="G21" s="125" t="str">
        <f t="shared" si="3"/>
        <v/>
      </c>
      <c r="H21" s="126"/>
      <c r="I21" s="126"/>
      <c r="J21" s="127"/>
    </row>
    <row r="22" spans="1:12" ht="13.5" hidden="1" x14ac:dyDescent="0.25">
      <c r="A22" s="122"/>
      <c r="B22" s="110" t="str">
        <f>IFERROR(VLOOKUP(H22,[1]SEMIELABORADOS!$A$2:$M$6000,2,0),"")</f>
        <v/>
      </c>
      <c r="C22" s="123">
        <f t="shared" si="4"/>
        <v>0</v>
      </c>
      <c r="D22" s="123" t="str">
        <f>IFERROR(VLOOKUP(H22,[1]SEMIELABORADOS!$A$2:$M$6000,6,0),"")</f>
        <v/>
      </c>
      <c r="E22" s="124" t="str">
        <f>IFERROR(VLOOKUP(H22,[1]SEMIELABORADOS!$A$2:$H$65536,8,0),"")</f>
        <v/>
      </c>
      <c r="F22" s="124" t="str">
        <f t="shared" si="5"/>
        <v/>
      </c>
      <c r="G22" s="125" t="str">
        <f t="shared" si="3"/>
        <v/>
      </c>
      <c r="H22" s="126"/>
      <c r="I22" s="126"/>
      <c r="J22" s="127"/>
    </row>
    <row r="23" spans="1:12" ht="13.5" hidden="1" x14ac:dyDescent="0.25">
      <c r="A23" s="122"/>
      <c r="B23" s="110" t="str">
        <f>IFERROR(VLOOKUP(H23,[1]SEMIELABORADOS!$A$2:$M$6000,2,0),"")</f>
        <v/>
      </c>
      <c r="C23" s="123">
        <f t="shared" si="4"/>
        <v>0</v>
      </c>
      <c r="D23" s="123" t="str">
        <f>IFERROR(VLOOKUP(H23,[1]SEMIELABORADOS!$A$2:$M$6000,6,0),"")</f>
        <v/>
      </c>
      <c r="E23" s="124" t="str">
        <f>IFERROR(VLOOKUP(H23,[1]SEMIELABORADOS!$A$2:$H$65536,8,0),"")</f>
        <v/>
      </c>
      <c r="F23" s="124" t="str">
        <f t="shared" si="5"/>
        <v/>
      </c>
      <c r="G23" s="125" t="str">
        <f t="shared" si="3"/>
        <v/>
      </c>
      <c r="H23" s="126"/>
      <c r="I23" s="126"/>
      <c r="J23" s="127"/>
    </row>
    <row r="24" spans="1:12" ht="13.5" hidden="1" x14ac:dyDescent="0.25">
      <c r="A24" s="122"/>
      <c r="B24" s="110" t="str">
        <f>IFERROR(VLOOKUP(H24,[1]SEMIELABORADOS!$A$2:$M$6000,2,0),"")</f>
        <v/>
      </c>
      <c r="C24" s="123">
        <f t="shared" si="4"/>
        <v>0</v>
      </c>
      <c r="D24" s="123" t="str">
        <f>IFERROR(VLOOKUP(H24,[1]SEMIELABORADOS!$A$2:$M$6000,6,0),"")</f>
        <v/>
      </c>
      <c r="E24" s="124" t="str">
        <f>IFERROR(VLOOKUP(H24,[1]SEMIELABORADOS!$A$2:$H$65536,8,0),"")</f>
        <v/>
      </c>
      <c r="F24" s="124" t="str">
        <f t="shared" si="5"/>
        <v/>
      </c>
      <c r="G24" s="125" t="str">
        <f t="shared" si="3"/>
        <v/>
      </c>
      <c r="H24" s="126"/>
      <c r="I24" s="126"/>
      <c r="J24" s="127"/>
    </row>
    <row r="25" spans="1:12" ht="14.25" hidden="1" thickBot="1" x14ac:dyDescent="0.3">
      <c r="A25" s="122"/>
      <c r="C25" s="123"/>
      <c r="D25" s="123"/>
      <c r="E25" s="124"/>
      <c r="F25" s="124"/>
      <c r="G25" s="125"/>
      <c r="H25" s="126"/>
      <c r="I25" s="126"/>
      <c r="J25" s="127"/>
    </row>
    <row r="26" spans="1:12" ht="26.25" hidden="1" thickBot="1" x14ac:dyDescent="0.3">
      <c r="A26" s="117" t="s">
        <v>127</v>
      </c>
      <c r="B26" s="118" t="s">
        <v>94</v>
      </c>
      <c r="C26" s="118" t="s">
        <v>127</v>
      </c>
      <c r="D26" s="119" t="s">
        <v>129</v>
      </c>
      <c r="E26" s="119" t="s">
        <v>130</v>
      </c>
      <c r="F26" s="119" t="s">
        <v>131</v>
      </c>
      <c r="G26" s="119" t="s">
        <v>132</v>
      </c>
      <c r="H26" s="120" t="s">
        <v>133</v>
      </c>
      <c r="I26" s="121"/>
    </row>
    <row r="27" spans="1:12" ht="13.5" hidden="1" x14ac:dyDescent="0.25">
      <c r="A27" s="122">
        <v>0</v>
      </c>
      <c r="B27" s="128" t="str">
        <f>IFERROR(VLOOKUP(H27,'[1]Consolidado MP Planta'!$A$2:$M$823,3,0),"")</f>
        <v/>
      </c>
      <c r="C27" s="123">
        <f t="shared" ref="C27:C32" si="6">+A27</f>
        <v>0</v>
      </c>
      <c r="D27" s="124" t="str">
        <f>IFERROR(VLOOKUP(H27,'[1]Consolidado MP Planta'!$A$2:$M$823,13,0),"")</f>
        <v/>
      </c>
      <c r="E27" s="124" t="str">
        <f>IFERROR(VLOOKUP(H27,'[1]Consolidado MP Planta'!$A$2:$M$823,12,0),"")</f>
        <v/>
      </c>
      <c r="F27" s="124" t="str">
        <f t="shared" ref="F27:F32" si="7">IFERROR(C27*E27,"")</f>
        <v/>
      </c>
      <c r="G27" s="125" t="str">
        <f t="shared" ref="G27:G32" si="8">IFERROR(F27/$F$66,"")</f>
        <v/>
      </c>
      <c r="H27" s="129"/>
      <c r="I27" s="129"/>
      <c r="J27" s="127"/>
      <c r="K27" s="601"/>
      <c r="L27" s="601"/>
    </row>
    <row r="28" spans="1:12" ht="13.5" hidden="1" x14ac:dyDescent="0.25">
      <c r="A28" s="122"/>
      <c r="B28" s="128" t="str">
        <f>IFERROR(VLOOKUP(H28,'[1]Consolidado MP Planta'!$A$2:$M$823,3,0),"")</f>
        <v/>
      </c>
      <c r="C28" s="123">
        <f t="shared" si="6"/>
        <v>0</v>
      </c>
      <c r="D28" s="124" t="str">
        <f>IFERROR(VLOOKUP(H28,'[1]Consolidado MP Planta'!$A$2:$M$823,13,0),"")</f>
        <v/>
      </c>
      <c r="E28" s="124" t="str">
        <f>IFERROR(VLOOKUP(H28,'[1]Consolidado MP Planta'!$A$2:$M$823,12,0),"")</f>
        <v/>
      </c>
      <c r="F28" s="124" t="str">
        <f t="shared" si="7"/>
        <v/>
      </c>
      <c r="G28" s="125" t="str">
        <f t="shared" si="8"/>
        <v/>
      </c>
      <c r="H28" s="129"/>
      <c r="I28" s="129"/>
      <c r="J28" s="127"/>
      <c r="K28" s="601"/>
      <c r="L28" s="601"/>
    </row>
    <row r="29" spans="1:12" ht="13.5" hidden="1" x14ac:dyDescent="0.25">
      <c r="A29" s="122"/>
      <c r="B29" s="128" t="str">
        <f>IFERROR(VLOOKUP(H29,'[1]Consolidado MP Planta'!$A$2:$M$823,3,0),"")</f>
        <v/>
      </c>
      <c r="C29" s="123">
        <f t="shared" si="6"/>
        <v>0</v>
      </c>
      <c r="D29" s="124" t="str">
        <f>IFERROR(VLOOKUP(H29,'[1]Consolidado MP Planta'!$A$2:$M$823,13,0),"")</f>
        <v/>
      </c>
      <c r="E29" s="124" t="str">
        <f>IFERROR(VLOOKUP(H29,'[1]Consolidado MP Planta'!$A$2:$M$823,12,0),"")</f>
        <v/>
      </c>
      <c r="F29" s="124" t="str">
        <f t="shared" si="7"/>
        <v/>
      </c>
      <c r="G29" s="125" t="str">
        <f t="shared" si="8"/>
        <v/>
      </c>
      <c r="H29" s="129"/>
      <c r="I29" s="129"/>
      <c r="J29" s="127"/>
      <c r="K29" s="601"/>
      <c r="L29" s="601"/>
    </row>
    <row r="30" spans="1:12" ht="13.5" hidden="1" x14ac:dyDescent="0.25">
      <c r="A30" s="122"/>
      <c r="B30" s="128" t="str">
        <f>IFERROR(VLOOKUP(H30,'[1]Consolidado MP Planta'!$A$2:$M$823,3,0),"")</f>
        <v/>
      </c>
      <c r="C30" s="123">
        <f t="shared" si="6"/>
        <v>0</v>
      </c>
      <c r="D30" s="124" t="str">
        <f>IFERROR(VLOOKUP(H30,'[1]Consolidado MP Planta'!$A$2:$M$823,13,0),"")</f>
        <v/>
      </c>
      <c r="E30" s="124" t="str">
        <f>IFERROR(VLOOKUP(H30,'[1]Consolidado MP Planta'!$A$2:$M$823,12,0),"")</f>
        <v/>
      </c>
      <c r="F30" s="124" t="str">
        <f t="shared" si="7"/>
        <v/>
      </c>
      <c r="G30" s="125" t="str">
        <f t="shared" si="8"/>
        <v/>
      </c>
      <c r="H30" s="129"/>
      <c r="I30" s="129"/>
      <c r="J30" s="127"/>
      <c r="K30" s="601"/>
      <c r="L30" s="601"/>
    </row>
    <row r="31" spans="1:12" ht="13.5" hidden="1" x14ac:dyDescent="0.25">
      <c r="A31" s="122"/>
      <c r="B31" s="128" t="str">
        <f>IFERROR(VLOOKUP(H31,'[1]Consolidado MP Planta'!$A$2:$M$823,3,0),"")</f>
        <v/>
      </c>
      <c r="C31" s="123">
        <f t="shared" si="6"/>
        <v>0</v>
      </c>
      <c r="D31" s="124" t="str">
        <f>IFERROR(VLOOKUP(H31,'[1]Consolidado MP Planta'!$A$2:$M$823,13,0),"")</f>
        <v/>
      </c>
      <c r="E31" s="124" t="str">
        <f>IFERROR(VLOOKUP(H31,'[1]Consolidado MP Planta'!$A$2:$M$823,12,0),"")</f>
        <v/>
      </c>
      <c r="F31" s="124" t="str">
        <f t="shared" si="7"/>
        <v/>
      </c>
      <c r="G31" s="125" t="str">
        <f t="shared" si="8"/>
        <v/>
      </c>
      <c r="H31" s="129"/>
      <c r="I31" s="129"/>
      <c r="J31" s="127"/>
      <c r="K31" s="130"/>
      <c r="L31" s="131"/>
    </row>
    <row r="32" spans="1:12" ht="13.5" hidden="1" x14ac:dyDescent="0.25">
      <c r="A32" s="122"/>
      <c r="B32" s="128" t="str">
        <f>IFERROR(VLOOKUP(H32,'[1]Consolidado MP Planta'!$A$2:$M$823,3,0),"")</f>
        <v/>
      </c>
      <c r="C32" s="123">
        <f t="shared" si="6"/>
        <v>0</v>
      </c>
      <c r="D32" s="124" t="str">
        <f>IFERROR(VLOOKUP(H32,'[1]Consolidado MP Planta'!$A$2:$M$823,13,0),"")</f>
        <v/>
      </c>
      <c r="E32" s="124" t="str">
        <f>IFERROR(VLOOKUP(H32,'[1]Consolidado MP Planta'!$A$2:$M$823,12,0),"")</f>
        <v/>
      </c>
      <c r="F32" s="124" t="str">
        <f t="shared" si="7"/>
        <v/>
      </c>
      <c r="G32" s="125" t="str">
        <f t="shared" si="8"/>
        <v/>
      </c>
      <c r="H32" s="129"/>
      <c r="I32" s="129"/>
      <c r="J32" s="127"/>
    </row>
    <row r="33" spans="1:13" ht="14.25" hidden="1" thickBot="1" x14ac:dyDescent="0.3">
      <c r="A33" s="122"/>
      <c r="B33" s="128"/>
      <c r="C33" s="123"/>
      <c r="D33" s="124"/>
      <c r="E33" s="124"/>
      <c r="F33" s="124"/>
      <c r="G33" s="125"/>
      <c r="H33" s="129"/>
      <c r="I33" s="129"/>
      <c r="J33" s="127"/>
    </row>
    <row r="34" spans="1:13" ht="26.25" hidden="1" thickBot="1" x14ac:dyDescent="0.25">
      <c r="A34" s="117" t="s">
        <v>127</v>
      </c>
      <c r="B34" s="118" t="s">
        <v>135</v>
      </c>
      <c r="C34" s="118" t="s">
        <v>127</v>
      </c>
      <c r="D34" s="119" t="s">
        <v>129</v>
      </c>
      <c r="E34" s="119" t="s">
        <v>130</v>
      </c>
      <c r="F34" s="119" t="s">
        <v>131</v>
      </c>
      <c r="G34" s="119" t="s">
        <v>132</v>
      </c>
      <c r="H34" s="120" t="s">
        <v>133</v>
      </c>
      <c r="I34" s="129"/>
      <c r="J34" s="127"/>
    </row>
    <row r="35" spans="1:13" ht="13.5" hidden="1" x14ac:dyDescent="0.25">
      <c r="A35" s="122">
        <f>+A17</f>
        <v>0</v>
      </c>
      <c r="B35" s="128" t="str">
        <f>IFERROR(VLOOKUP(H35,[1]SEMIELABORADOS!$A$2:$M$6000,2,0),"")</f>
        <v/>
      </c>
      <c r="C35" s="123">
        <f>+A35</f>
        <v>0</v>
      </c>
      <c r="D35" s="124" t="str">
        <f>IFERROR(VLOOKUP(H35,[1]SEMIELABORADOS!$A$2:$M$6000,6,0),"")</f>
        <v/>
      </c>
      <c r="E35" s="124" t="str">
        <f>IFERROR(VLOOKUP(H35,[1]SEMIELABORADOS!$A$2:$M$65536,10,0),"")</f>
        <v/>
      </c>
      <c r="F35" s="124" t="str">
        <f>IFERROR(E35*C35,"")</f>
        <v/>
      </c>
      <c r="G35" s="125" t="str">
        <f t="shared" ref="G35:G41" si="9">IFERROR(F35/$F$66,"")</f>
        <v/>
      </c>
      <c r="H35" s="129"/>
      <c r="I35" s="129"/>
      <c r="J35" s="127"/>
    </row>
    <row r="36" spans="1:13" ht="13.5" hidden="1" x14ac:dyDescent="0.25">
      <c r="A36" s="122">
        <f t="shared" ref="A36:A41" si="10">+A18</f>
        <v>0</v>
      </c>
      <c r="B36" s="128" t="str">
        <f>IFERROR(VLOOKUP(H36,[1]SEMIELABORADOS!$A$2:$M$6000,2,0),"")</f>
        <v/>
      </c>
      <c r="C36" s="123">
        <f t="shared" ref="C36:C41" si="11">+A36</f>
        <v>0</v>
      </c>
      <c r="D36" s="124" t="str">
        <f>IFERROR(VLOOKUP(H36,[1]SEMIELABORADOS!$A$2:$M$6000,6,0),"")</f>
        <v/>
      </c>
      <c r="E36" s="124" t="str">
        <f>IFERROR(VLOOKUP(H36,[1]SEMIELABORADOS!$A$2:$M$65536,10,0),"")</f>
        <v/>
      </c>
      <c r="F36" s="124" t="str">
        <f t="shared" ref="F36:F41" si="12">IFERROR(E36*C36,"")</f>
        <v/>
      </c>
      <c r="G36" s="125" t="str">
        <f t="shared" si="9"/>
        <v/>
      </c>
      <c r="H36" s="129"/>
      <c r="I36" s="129"/>
      <c r="J36" s="127"/>
    </row>
    <row r="37" spans="1:13" ht="13.5" hidden="1" x14ac:dyDescent="0.25">
      <c r="A37" s="122">
        <f t="shared" si="10"/>
        <v>0</v>
      </c>
      <c r="B37" s="128" t="str">
        <f>IFERROR(VLOOKUP(H37,[1]SEMIELABORADOS!$A$2:$M$6000,2,0),"")</f>
        <v/>
      </c>
      <c r="C37" s="123">
        <f t="shared" si="11"/>
        <v>0</v>
      </c>
      <c r="D37" s="124" t="str">
        <f>IFERROR(VLOOKUP(H37,[1]SEMIELABORADOS!$A$2:$M$6000,6,0),"")</f>
        <v/>
      </c>
      <c r="E37" s="124" t="str">
        <f>IFERROR(VLOOKUP(H37,[1]SEMIELABORADOS!$A$2:$M$65536,10,0),"")</f>
        <v/>
      </c>
      <c r="F37" s="124" t="str">
        <f t="shared" si="12"/>
        <v/>
      </c>
      <c r="G37" s="125" t="str">
        <f t="shared" si="9"/>
        <v/>
      </c>
      <c r="H37" s="129"/>
      <c r="I37" s="129"/>
      <c r="J37" s="127"/>
    </row>
    <row r="38" spans="1:13" ht="13.5" hidden="1" x14ac:dyDescent="0.25">
      <c r="A38" s="122">
        <f t="shared" si="10"/>
        <v>0</v>
      </c>
      <c r="B38" s="128" t="str">
        <f>IFERROR(VLOOKUP(H38,[1]SEMIELABORADOS!$A$2:$M$6000,2,0),"")</f>
        <v/>
      </c>
      <c r="C38" s="123">
        <f>+A38</f>
        <v>0</v>
      </c>
      <c r="D38" s="124" t="str">
        <f>IFERROR(VLOOKUP(H38,[1]SEMIELABORADOS!$A$2:$M$6000,6,0),"")</f>
        <v/>
      </c>
      <c r="E38" s="124" t="str">
        <f>IFERROR(VLOOKUP(H38,[1]SEMIELABORADOS!$A$2:$M$65536,10,0),"")</f>
        <v/>
      </c>
      <c r="F38" s="124" t="str">
        <f>IFERROR(E38*C38,"")</f>
        <v/>
      </c>
      <c r="G38" s="125" t="str">
        <f t="shared" si="9"/>
        <v/>
      </c>
      <c r="H38" s="129"/>
      <c r="I38" s="129"/>
      <c r="J38" s="127"/>
    </row>
    <row r="39" spans="1:13" ht="13.5" hidden="1" x14ac:dyDescent="0.25">
      <c r="A39" s="122">
        <f t="shared" si="10"/>
        <v>0</v>
      </c>
      <c r="B39" s="128" t="str">
        <f>IFERROR(VLOOKUP(H39,[1]SEMIELABORADOS!$A$2:$M$6000,2,0),"")</f>
        <v/>
      </c>
      <c r="C39" s="123">
        <f>+A39</f>
        <v>0</v>
      </c>
      <c r="D39" s="124" t="str">
        <f>IFERROR(VLOOKUP(H39,[1]SEMIELABORADOS!$A$2:$M$6000,6,0),"")</f>
        <v/>
      </c>
      <c r="E39" s="124" t="str">
        <f>IFERROR(VLOOKUP(H39,[1]SEMIELABORADOS!$A$2:$M$65536,10,0),"")</f>
        <v/>
      </c>
      <c r="F39" s="124" t="str">
        <f>IFERROR(E39*C39,"")</f>
        <v/>
      </c>
      <c r="G39" s="125" t="str">
        <f t="shared" si="9"/>
        <v/>
      </c>
      <c r="H39" s="129"/>
      <c r="I39" s="129"/>
      <c r="J39" s="127"/>
    </row>
    <row r="40" spans="1:13" ht="13.5" hidden="1" x14ac:dyDescent="0.25">
      <c r="A40" s="122">
        <f t="shared" si="10"/>
        <v>0</v>
      </c>
      <c r="B40" s="128" t="str">
        <f>IFERROR(VLOOKUP(H40,[1]SEMIELABORADOS!$A$2:$M$6000,2,0),"")</f>
        <v/>
      </c>
      <c r="C40" s="123">
        <f t="shared" si="11"/>
        <v>0</v>
      </c>
      <c r="D40" s="124" t="str">
        <f>IFERROR(VLOOKUP(H40,[1]SEMIELABORADOS!$A$2:$M$6000,6,0),"")</f>
        <v/>
      </c>
      <c r="E40" s="124" t="str">
        <f>IFERROR(VLOOKUP(H40,[1]SEMIELABORADOS!$A$2:$M$65536,10,0),"")</f>
        <v/>
      </c>
      <c r="F40" s="124" t="str">
        <f t="shared" si="12"/>
        <v/>
      </c>
      <c r="G40" s="125" t="str">
        <f t="shared" si="9"/>
        <v/>
      </c>
      <c r="H40" s="129"/>
      <c r="I40" s="129"/>
      <c r="J40" s="127"/>
    </row>
    <row r="41" spans="1:13" ht="13.5" hidden="1" x14ac:dyDescent="0.25">
      <c r="A41" s="122">
        <f t="shared" si="10"/>
        <v>0</v>
      </c>
      <c r="B41" s="128" t="str">
        <f>IFERROR(VLOOKUP(H41,[1]SEMIELABORADOS!$A$2:$M$6000,2,0),"")</f>
        <v/>
      </c>
      <c r="C41" s="123">
        <f t="shared" si="11"/>
        <v>0</v>
      </c>
      <c r="D41" s="124" t="str">
        <f>IFERROR(VLOOKUP(H41,[1]SEMIELABORADOS!$A$2:$M$6000,6,0),"")</f>
        <v/>
      </c>
      <c r="E41" s="124" t="str">
        <f>IFERROR(VLOOKUP(H41,[1]SEMIELABORADOS!$A$2:$M$65536,10,0),"")</f>
        <v/>
      </c>
      <c r="F41" s="124" t="str">
        <f t="shared" si="12"/>
        <v/>
      </c>
      <c r="G41" s="125" t="str">
        <f t="shared" si="9"/>
        <v/>
      </c>
      <c r="H41" s="129"/>
      <c r="I41" s="129"/>
      <c r="J41" s="127"/>
    </row>
    <row r="42" spans="1:13" ht="14.25" hidden="1" thickBot="1" x14ac:dyDescent="0.3">
      <c r="A42" s="122"/>
      <c r="B42" s="128"/>
      <c r="C42" s="123"/>
      <c r="D42" s="124"/>
      <c r="E42" s="124"/>
      <c r="F42" s="124"/>
      <c r="G42" s="125"/>
      <c r="H42" s="129"/>
      <c r="I42" s="129"/>
      <c r="J42" s="127"/>
    </row>
    <row r="43" spans="1:13" ht="26.25" thickBot="1" x14ac:dyDescent="0.3">
      <c r="A43" s="117" t="s">
        <v>127</v>
      </c>
      <c r="B43" s="118" t="s">
        <v>136</v>
      </c>
      <c r="C43" s="118" t="s">
        <v>127</v>
      </c>
      <c r="D43" s="119" t="s">
        <v>129</v>
      </c>
      <c r="E43" s="119" t="s">
        <v>130</v>
      </c>
      <c r="F43" s="119" t="s">
        <v>131</v>
      </c>
      <c r="G43" s="119" t="s">
        <v>132</v>
      </c>
      <c r="H43" s="120" t="s">
        <v>133</v>
      </c>
      <c r="I43" s="121"/>
      <c r="J43" s="127"/>
    </row>
    <row r="44" spans="1:13" ht="13.5" hidden="1" x14ac:dyDescent="0.25">
      <c r="A44" s="122">
        <f>+A35</f>
        <v>0</v>
      </c>
      <c r="B44" s="128" t="str">
        <f>IFERROR(VLOOKUP(H44,[1]SEMIELABORADOS!$A$2:$M$6000,2,0),"")</f>
        <v/>
      </c>
      <c r="C44" s="123">
        <f>+A44</f>
        <v>0</v>
      </c>
      <c r="D44" s="124" t="str">
        <f>IFERROR(VLOOKUP(H44,[1]SEMIELABORADOS!$A$2:$M$6000,6,0),"")</f>
        <v/>
      </c>
      <c r="E44" s="124" t="str">
        <f>IFERROR(VLOOKUP(H44,[1]SEMIELABORADOS!$A$2:$M$65536,12,0),"")</f>
        <v/>
      </c>
      <c r="F44" s="124" t="str">
        <f>IFERROR(E44*C44,"")</f>
        <v/>
      </c>
      <c r="G44" s="125" t="str">
        <f>IFERROR(F44/$F$66,"")</f>
        <v/>
      </c>
      <c r="H44" s="129"/>
      <c r="I44" s="121"/>
      <c r="J44" s="127"/>
    </row>
    <row r="45" spans="1:13" ht="13.5" hidden="1" x14ac:dyDescent="0.25">
      <c r="A45" s="122">
        <f t="shared" ref="A45:A50" si="13">+A36</f>
        <v>0</v>
      </c>
      <c r="B45" s="128" t="str">
        <f>IFERROR(VLOOKUP(H45,[1]SEMIELABORADOS!$A$2:$M$6000,2,0),"")</f>
        <v/>
      </c>
      <c r="C45" s="123">
        <f t="shared" ref="C45:C50" si="14">+A45</f>
        <v>0</v>
      </c>
      <c r="D45" s="124" t="str">
        <f>IFERROR(VLOOKUP(H45,[1]SEMIELABORADOS!$A$2:$M$6000,6,0),"")</f>
        <v/>
      </c>
      <c r="E45" s="124" t="str">
        <f>IFERROR(VLOOKUP(H45,[1]SEMIELABORADOS!$A$2:$M$65536,12,0),"")</f>
        <v/>
      </c>
      <c r="F45" s="124" t="str">
        <f t="shared" ref="F45:F50" si="15">IFERROR(E45*C45,"")</f>
        <v/>
      </c>
      <c r="G45" s="125" t="str">
        <f t="shared" ref="G45:G50" si="16">IFERROR(F45/$F$66,"")</f>
        <v/>
      </c>
      <c r="H45" s="129"/>
      <c r="I45" s="121"/>
      <c r="J45" s="127"/>
      <c r="M45" s="132"/>
    </row>
    <row r="46" spans="1:13" ht="13.5" hidden="1" x14ac:dyDescent="0.25">
      <c r="A46" s="122">
        <f t="shared" si="13"/>
        <v>0</v>
      </c>
      <c r="B46" s="128" t="str">
        <f>IFERROR(VLOOKUP(H46,[1]SEMIELABORADOS!$A$2:$M$6000,2,0),"")</f>
        <v/>
      </c>
      <c r="C46" s="123">
        <f t="shared" si="14"/>
        <v>0</v>
      </c>
      <c r="D46" s="124" t="str">
        <f>IFERROR(VLOOKUP(H46,[1]SEMIELABORADOS!$A$2:$M$6000,6,0),"")</f>
        <v/>
      </c>
      <c r="E46" s="124" t="str">
        <f>IFERROR(VLOOKUP(H46,[1]SEMIELABORADOS!$A$2:$M$65536,12,0),"")</f>
        <v/>
      </c>
      <c r="F46" s="124" t="str">
        <f t="shared" si="15"/>
        <v/>
      </c>
      <c r="G46" s="125" t="str">
        <f t="shared" si="16"/>
        <v/>
      </c>
      <c r="H46" s="129"/>
      <c r="I46" s="121"/>
      <c r="J46" s="127"/>
    </row>
    <row r="47" spans="1:13" ht="13.5" hidden="1" x14ac:dyDescent="0.25">
      <c r="A47" s="122">
        <f t="shared" si="13"/>
        <v>0</v>
      </c>
      <c r="B47" s="128" t="str">
        <f>IFERROR(VLOOKUP(H47,[1]SEMIELABORADOS!$A$2:$M$6000,2,0),"")</f>
        <v/>
      </c>
      <c r="C47" s="123">
        <f t="shared" si="14"/>
        <v>0</v>
      </c>
      <c r="D47" s="124" t="str">
        <f>IFERROR(VLOOKUP(H47,[1]SEMIELABORADOS!$A$2:$M$6000,6,0),"")</f>
        <v/>
      </c>
      <c r="E47" s="124" t="str">
        <f>IFERROR(VLOOKUP(H47,[1]SEMIELABORADOS!$A$2:$M$65536,12,0),"")</f>
        <v/>
      </c>
      <c r="F47" s="124" t="str">
        <f t="shared" si="15"/>
        <v/>
      </c>
      <c r="G47" s="125" t="str">
        <f t="shared" si="16"/>
        <v/>
      </c>
      <c r="H47" s="129"/>
      <c r="I47" s="121"/>
      <c r="J47" s="127"/>
    </row>
    <row r="48" spans="1:13" ht="13.5" hidden="1" x14ac:dyDescent="0.25">
      <c r="A48" s="122">
        <f t="shared" si="13"/>
        <v>0</v>
      </c>
      <c r="B48" s="128" t="str">
        <f>IFERROR(VLOOKUP(H48,[1]SEMIELABORADOS!$A$2:$M$6000,2,0),"")</f>
        <v/>
      </c>
      <c r="C48" s="123">
        <f t="shared" si="14"/>
        <v>0</v>
      </c>
      <c r="D48" s="124" t="str">
        <f>IFERROR(VLOOKUP(H48,[1]SEMIELABORADOS!$A$2:$M$6000,6,0),"")</f>
        <v/>
      </c>
      <c r="E48" s="124" t="str">
        <f>IFERROR(VLOOKUP(H48,[1]SEMIELABORADOS!$A$2:$M$65536,12,0),"")</f>
        <v/>
      </c>
      <c r="F48" s="124" t="str">
        <f t="shared" si="15"/>
        <v/>
      </c>
      <c r="G48" s="125" t="str">
        <f t="shared" si="16"/>
        <v/>
      </c>
      <c r="H48" s="129"/>
      <c r="I48" s="121"/>
      <c r="J48" s="127"/>
    </row>
    <row r="49" spans="1:17" ht="13.5" hidden="1" x14ac:dyDescent="0.25">
      <c r="A49" s="122">
        <f t="shared" si="13"/>
        <v>0</v>
      </c>
      <c r="B49" s="128" t="str">
        <f>IFERROR(VLOOKUP(H49,[1]SEMIELABORADOS!$A$2:$M$6000,2,0),"")</f>
        <v/>
      </c>
      <c r="C49" s="123">
        <f t="shared" si="14"/>
        <v>0</v>
      </c>
      <c r="D49" s="124" t="str">
        <f>IFERROR(VLOOKUP(H49,[1]SEMIELABORADOS!$A$2:$M$6000,6,0),"")</f>
        <v/>
      </c>
      <c r="E49" s="124" t="str">
        <f>IFERROR(VLOOKUP(H49,[1]SEMIELABORADOS!$A$2:$M$65536,12,0),"")</f>
        <v/>
      </c>
      <c r="F49" s="124" t="str">
        <f t="shared" si="15"/>
        <v/>
      </c>
      <c r="G49" s="125" t="str">
        <f t="shared" si="16"/>
        <v/>
      </c>
      <c r="H49" s="129"/>
      <c r="I49" s="121"/>
      <c r="J49" s="127"/>
    </row>
    <row r="50" spans="1:17" ht="13.5" hidden="1" x14ac:dyDescent="0.25">
      <c r="A50" s="122">
        <f t="shared" si="13"/>
        <v>0</v>
      </c>
      <c r="B50" s="128" t="str">
        <f>IFERROR(VLOOKUP(H50,[1]SEMIELABORADOS!$A$2:$M$6000,2,0),"")</f>
        <v/>
      </c>
      <c r="C50" s="123">
        <f t="shared" si="14"/>
        <v>0</v>
      </c>
      <c r="D50" s="124" t="str">
        <f>IFERROR(VLOOKUP(H50,[1]SEMIELABORADOS!$A$2:$M$6000,6,0),"")</f>
        <v/>
      </c>
      <c r="E50" s="124" t="str">
        <f>IFERROR(VLOOKUP(H50,[1]SEMIELABORADOS!$A$2:$M$65536,12,0),"")</f>
        <v/>
      </c>
      <c r="F50" s="124" t="str">
        <f t="shared" si="15"/>
        <v/>
      </c>
      <c r="G50" s="125" t="str">
        <f t="shared" si="16"/>
        <v/>
      </c>
      <c r="H50" s="128"/>
      <c r="I50" s="121"/>
      <c r="J50" s="127"/>
    </row>
    <row r="51" spans="1:17" ht="13.5" x14ac:dyDescent="0.25">
      <c r="A51" s="122">
        <v>1</v>
      </c>
      <c r="B51" s="128" t="s">
        <v>137</v>
      </c>
      <c r="C51" s="123">
        <f>+A51</f>
        <v>1</v>
      </c>
      <c r="D51" s="123" t="s">
        <v>138</v>
      </c>
      <c r="E51" s="124">
        <f>+F65</f>
        <v>183</v>
      </c>
      <c r="F51" s="124">
        <f>IFERROR(C51*E51,"")</f>
        <v>183</v>
      </c>
      <c r="G51" s="125">
        <f>IFERROR(F51/$F$66,"")</f>
        <v>2.6102286731480212E-2</v>
      </c>
      <c r="H51" s="133"/>
      <c r="I51" s="133"/>
      <c r="J51" s="127"/>
    </row>
    <row r="52" spans="1:17" ht="14.25" thickBot="1" x14ac:dyDescent="0.3">
      <c r="A52" s="122"/>
      <c r="B52" s="128"/>
      <c r="C52" s="123"/>
      <c r="D52" s="123"/>
      <c r="E52" s="124"/>
      <c r="F52" s="124"/>
      <c r="G52" s="125"/>
      <c r="H52" s="133"/>
      <c r="I52" s="133"/>
      <c r="J52" s="127"/>
    </row>
    <row r="53" spans="1:17" ht="13.5" thickBot="1" x14ac:dyDescent="0.3">
      <c r="A53" s="134"/>
      <c r="B53" s="611" t="s">
        <v>139</v>
      </c>
      <c r="C53" s="611"/>
      <c r="D53" s="611"/>
      <c r="E53" s="611"/>
      <c r="F53" s="136">
        <f>SUM(F8:F14,F17:F24)</f>
        <v>6694</v>
      </c>
      <c r="G53" s="125">
        <f>+F53/$F$66</f>
        <v>0.95480167967501939</v>
      </c>
      <c r="H53" s="137">
        <f>+F53/$D$60</f>
        <v>6694</v>
      </c>
      <c r="I53" s="137"/>
      <c r="J53" s="138"/>
      <c r="K53" s="139"/>
      <c r="L53" s="139"/>
      <c r="M53" s="139"/>
      <c r="N53" s="139"/>
      <c r="O53" s="139"/>
      <c r="P53" s="139"/>
      <c r="Q53" s="140"/>
    </row>
    <row r="54" spans="1:17" x14ac:dyDescent="0.2">
      <c r="A54" s="134"/>
      <c r="B54" s="611" t="s">
        <v>140</v>
      </c>
      <c r="C54" s="611"/>
      <c r="D54" s="611"/>
      <c r="E54" s="611"/>
      <c r="F54" s="136">
        <f>SUM(F27:F32,F35:F41)</f>
        <v>0</v>
      </c>
      <c r="G54" s="125">
        <f>+F54/$F$66</f>
        <v>0</v>
      </c>
      <c r="H54" s="137">
        <f>+F54/$D$60</f>
        <v>0</v>
      </c>
      <c r="I54" s="137"/>
      <c r="J54" s="141"/>
      <c r="K54" s="612" t="s">
        <v>141</v>
      </c>
      <c r="L54" s="613"/>
      <c r="M54" s="613"/>
      <c r="N54" s="613"/>
      <c r="O54" s="142">
        <f>+F55</f>
        <v>6694</v>
      </c>
      <c r="P54" s="142"/>
      <c r="Q54" s="143"/>
    </row>
    <row r="55" spans="1:17" x14ac:dyDescent="0.2">
      <c r="A55" s="134"/>
      <c r="B55" s="611" t="s">
        <v>142</v>
      </c>
      <c r="C55" s="611"/>
      <c r="D55" s="611"/>
      <c r="E55" s="611"/>
      <c r="F55" s="136">
        <f>+F53+F54</f>
        <v>6694</v>
      </c>
      <c r="G55" s="125">
        <f>+F55/$F$66</f>
        <v>0.95480167967501939</v>
      </c>
      <c r="H55" s="137">
        <f>+F55/$D$60</f>
        <v>6694</v>
      </c>
      <c r="I55" s="137"/>
      <c r="J55" s="144"/>
      <c r="K55" s="145"/>
      <c r="M55" s="146" t="s">
        <v>143</v>
      </c>
      <c r="N55" s="147"/>
      <c r="O55" s="142">
        <f>+H56</f>
        <v>183</v>
      </c>
      <c r="P55" s="142"/>
      <c r="Q55" s="143"/>
    </row>
    <row r="56" spans="1:17" ht="13.5" thickBot="1" x14ac:dyDescent="0.25">
      <c r="A56" s="134"/>
      <c r="B56" s="135"/>
      <c r="C56" s="611" t="s">
        <v>144</v>
      </c>
      <c r="D56" s="611"/>
      <c r="E56" s="611"/>
      <c r="F56" s="136">
        <f>SUM(F44:F51)</f>
        <v>183</v>
      </c>
      <c r="G56" s="125">
        <f>+F56/$F$66</f>
        <v>2.6102286731480212E-2</v>
      </c>
      <c r="H56" s="137">
        <f>+F56/$D$60</f>
        <v>183</v>
      </c>
      <c r="I56" s="137"/>
      <c r="J56" s="144"/>
      <c r="K56" s="145"/>
      <c r="L56" s="145"/>
      <c r="M56" s="145" t="s">
        <v>145</v>
      </c>
      <c r="N56" s="148"/>
      <c r="O56" s="142">
        <f>O54*N56</f>
        <v>0</v>
      </c>
      <c r="P56" s="142"/>
      <c r="Q56" s="143"/>
    </row>
    <row r="57" spans="1:17" ht="13.5" thickBot="1" x14ac:dyDescent="0.25">
      <c r="A57" s="134"/>
      <c r="B57" s="149"/>
      <c r="C57" s="149"/>
      <c r="D57" s="149"/>
      <c r="E57" s="149"/>
      <c r="F57" s="150"/>
      <c r="G57" s="125"/>
      <c r="H57" s="151"/>
      <c r="I57" s="137"/>
      <c r="J57" s="144"/>
      <c r="K57" s="152"/>
      <c r="M57" s="153" t="s">
        <v>146</v>
      </c>
      <c r="N57" s="154"/>
      <c r="O57" s="155">
        <f>SUM(O54:O56)</f>
        <v>6877</v>
      </c>
      <c r="P57" s="156"/>
      <c r="Q57" s="143"/>
    </row>
    <row r="58" spans="1:17" x14ac:dyDescent="0.2">
      <c r="B58" s="614" t="s">
        <v>147</v>
      </c>
      <c r="C58" s="614"/>
      <c r="D58" s="157">
        <v>1350</v>
      </c>
      <c r="E58" s="158"/>
      <c r="G58" s="125"/>
      <c r="H58" s="151">
        <f>+H56/61</f>
        <v>3</v>
      </c>
      <c r="I58" s="159"/>
      <c r="J58" s="144"/>
      <c r="K58" s="152"/>
      <c r="L58" s="145"/>
      <c r="M58" s="145" t="s">
        <v>148</v>
      </c>
      <c r="N58" s="160"/>
      <c r="O58" s="142">
        <f>+H59</f>
        <v>174</v>
      </c>
      <c r="P58" s="142"/>
      <c r="Q58" s="143"/>
    </row>
    <row r="59" spans="1:17" x14ac:dyDescent="0.2">
      <c r="B59" s="614" t="s">
        <v>149</v>
      </c>
      <c r="C59" s="614"/>
      <c r="D59" s="161">
        <v>1350</v>
      </c>
      <c r="E59" s="158"/>
      <c r="G59" s="125"/>
      <c r="H59" s="151">
        <f>+H58*58</f>
        <v>174</v>
      </c>
      <c r="I59" s="159"/>
      <c r="J59" s="144"/>
      <c r="K59" s="152"/>
      <c r="L59" s="145"/>
      <c r="M59" s="615" t="s">
        <v>146</v>
      </c>
      <c r="N59" s="615"/>
      <c r="O59" s="142">
        <f>SUM(O57:O58)</f>
        <v>7051</v>
      </c>
      <c r="P59" s="142"/>
      <c r="Q59" s="143"/>
    </row>
    <row r="60" spans="1:17" ht="13.5" thickBot="1" x14ac:dyDescent="0.25">
      <c r="B60" s="607" t="s">
        <v>150</v>
      </c>
      <c r="C60" s="607"/>
      <c r="D60" s="157">
        <f>+D58/D59</f>
        <v>1</v>
      </c>
      <c r="E60" s="158"/>
      <c r="F60" s="162"/>
      <c r="G60" s="125"/>
      <c r="H60" s="151"/>
      <c r="I60" s="159"/>
      <c r="J60" s="144"/>
      <c r="K60" s="152"/>
      <c r="L60" s="615"/>
      <c r="M60" s="615"/>
      <c r="N60" s="160"/>
      <c r="O60" s="142">
        <f>+O59*N60</f>
        <v>0</v>
      </c>
      <c r="P60" s="142"/>
      <c r="Q60" s="143"/>
    </row>
    <row r="61" spans="1:17" ht="13.5" thickBot="1" x14ac:dyDescent="0.25">
      <c r="B61" s="607" t="s">
        <v>151</v>
      </c>
      <c r="C61" s="607"/>
      <c r="D61" s="163"/>
      <c r="E61" s="158"/>
      <c r="F61" s="162"/>
      <c r="G61" s="125"/>
      <c r="H61" s="151"/>
      <c r="I61" s="159"/>
      <c r="J61" s="144"/>
      <c r="K61" s="608" t="s">
        <v>152</v>
      </c>
      <c r="L61" s="609"/>
      <c r="M61" s="609"/>
      <c r="N61" s="610"/>
      <c r="O61" s="155">
        <f>SUM(O59:O60)</f>
        <v>7051</v>
      </c>
      <c r="P61" s="164" t="s">
        <v>153</v>
      </c>
      <c r="Q61" s="143"/>
    </row>
    <row r="62" spans="1:17" ht="13.5" thickBot="1" x14ac:dyDescent="0.25">
      <c r="C62" s="134" t="s">
        <v>154</v>
      </c>
      <c r="D62" s="165"/>
      <c r="E62" s="108" t="s">
        <v>155</v>
      </c>
      <c r="F62" s="166" t="s">
        <v>156</v>
      </c>
      <c r="G62" s="125"/>
      <c r="H62" s="151"/>
      <c r="I62" s="159"/>
      <c r="J62" s="167"/>
      <c r="K62" s="168"/>
      <c r="L62" s="621" t="s">
        <v>157</v>
      </c>
      <c r="M62" s="621"/>
      <c r="N62" s="621"/>
      <c r="O62" s="169">
        <f>+O61/D60</f>
        <v>7051</v>
      </c>
      <c r="P62" s="170">
        <f>+O62/D59</f>
        <v>5.2229629629629626</v>
      </c>
      <c r="Q62" s="171"/>
    </row>
    <row r="63" spans="1:17" ht="13.5" thickBot="1" x14ac:dyDescent="0.25">
      <c r="B63" s="622" t="s">
        <v>142</v>
      </c>
      <c r="C63" s="622"/>
      <c r="D63" s="622"/>
      <c r="E63" s="172">
        <f>+F63/F63</f>
        <v>1</v>
      </c>
      <c r="F63" s="173">
        <f>SUM(F55)</f>
        <v>6694</v>
      </c>
      <c r="G63" s="125">
        <f>+F63/$F$66</f>
        <v>0.95480167967501939</v>
      </c>
      <c r="H63" s="151"/>
      <c r="I63" s="159"/>
      <c r="K63" s="623"/>
      <c r="L63" s="624"/>
      <c r="M63" s="624"/>
      <c r="N63" s="624"/>
      <c r="O63" s="174"/>
      <c r="P63" s="175"/>
    </row>
    <row r="64" spans="1:17" ht="13.5" thickBot="1" x14ac:dyDescent="0.3">
      <c r="B64" s="625" t="s">
        <v>158</v>
      </c>
      <c r="C64" s="625"/>
      <c r="D64" s="625"/>
      <c r="E64" s="176">
        <v>0.02</v>
      </c>
      <c r="F64" s="173">
        <f>+F53*E64</f>
        <v>133.88</v>
      </c>
      <c r="G64" s="125">
        <f>+F64/$F$66</f>
        <v>1.9096033593500386E-2</v>
      </c>
      <c r="H64" s="137"/>
      <c r="I64" s="159"/>
      <c r="J64" s="177"/>
      <c r="O64" s="178"/>
      <c r="P64" s="135"/>
    </row>
    <row r="65" spans="2:13" ht="13.5" thickBot="1" x14ac:dyDescent="0.3">
      <c r="B65" s="626" t="s">
        <v>159</v>
      </c>
      <c r="C65" s="627"/>
      <c r="D65" s="179">
        <v>3</v>
      </c>
      <c r="E65" s="180">
        <v>61</v>
      </c>
      <c r="F65" s="173">
        <f>+E65*D65</f>
        <v>183</v>
      </c>
      <c r="G65" s="125">
        <f>+F65/$F$66</f>
        <v>2.6102286731480212E-2</v>
      </c>
      <c r="H65" s="137"/>
      <c r="I65" s="137"/>
      <c r="J65" s="127"/>
    </row>
    <row r="66" spans="2:13" ht="13.5" thickBot="1" x14ac:dyDescent="0.3">
      <c r="B66" s="628" t="s">
        <v>160</v>
      </c>
      <c r="C66" s="629"/>
      <c r="D66" s="629"/>
      <c r="E66" s="630"/>
      <c r="F66" s="150">
        <f>SUM(F63:F65)</f>
        <v>7010.88</v>
      </c>
      <c r="G66" s="125">
        <f>+F66/$F$66</f>
        <v>1</v>
      </c>
      <c r="H66" s="631"/>
      <c r="I66" s="137"/>
      <c r="J66" s="127"/>
      <c r="M66" s="110" t="s">
        <v>161</v>
      </c>
    </row>
    <row r="67" spans="2:13" x14ac:dyDescent="0.25">
      <c r="C67" s="132"/>
      <c r="D67" s="132"/>
      <c r="E67" s="182"/>
      <c r="F67" s="173"/>
      <c r="G67" s="125"/>
      <c r="H67" s="631"/>
      <c r="I67" s="181"/>
      <c r="J67" s="110"/>
      <c r="M67" s="110" t="s">
        <v>162</v>
      </c>
    </row>
    <row r="68" spans="2:13" ht="13.5" thickBot="1" x14ac:dyDescent="0.3">
      <c r="B68" s="616" t="s">
        <v>163</v>
      </c>
      <c r="C68" s="616"/>
      <c r="D68" s="616"/>
      <c r="E68" s="616"/>
      <c r="F68" s="616"/>
      <c r="G68" s="125"/>
      <c r="H68" s="184"/>
      <c r="I68" s="181"/>
      <c r="J68" s="110"/>
      <c r="M68" s="110" t="s">
        <v>164</v>
      </c>
    </row>
    <row r="69" spans="2:13" ht="13.5" thickBot="1" x14ac:dyDescent="0.3">
      <c r="B69" s="185" t="s">
        <v>165</v>
      </c>
      <c r="C69" s="186">
        <f>+F53</f>
        <v>6694</v>
      </c>
      <c r="D69" s="186">
        <f>+D58</f>
        <v>1350</v>
      </c>
      <c r="E69" s="187">
        <f>+C69/D69</f>
        <v>4.9585185185185185</v>
      </c>
      <c r="F69" s="125"/>
      <c r="G69" s="184"/>
      <c r="H69" s="127"/>
      <c r="I69" s="184"/>
      <c r="J69" s="110"/>
    </row>
    <row r="70" spans="2:13" x14ac:dyDescent="0.25">
      <c r="B70" s="188"/>
      <c r="C70" s="189"/>
      <c r="D70" s="190"/>
      <c r="E70" s="173"/>
      <c r="F70" s="125"/>
      <c r="G70" s="184"/>
      <c r="H70" s="127"/>
      <c r="I70" s="127"/>
      <c r="J70" s="110"/>
    </row>
    <row r="71" spans="2:13" x14ac:dyDescent="0.25">
      <c r="B71" s="185" t="s">
        <v>166</v>
      </c>
      <c r="C71" s="186">
        <f>SUM(F63:F64)</f>
        <v>6827.88</v>
      </c>
      <c r="D71" s="186">
        <f>+D58</f>
        <v>1350</v>
      </c>
      <c r="E71" s="191">
        <f>+C71/D71</f>
        <v>5.0576888888888893</v>
      </c>
      <c r="F71" s="125"/>
      <c r="G71" s="184"/>
      <c r="H71" s="127"/>
      <c r="I71" s="127"/>
      <c r="J71" s="110"/>
    </row>
    <row r="72" spans="2:13" x14ac:dyDescent="0.25">
      <c r="B72" s="185"/>
      <c r="C72" s="186"/>
      <c r="D72" s="186"/>
      <c r="E72" s="191"/>
      <c r="F72" s="125"/>
      <c r="G72" s="184"/>
      <c r="H72" s="127"/>
      <c r="I72" s="127"/>
      <c r="J72" s="110"/>
    </row>
    <row r="73" spans="2:13" ht="13.5" thickBot="1" x14ac:dyDescent="0.3">
      <c r="B73" s="185" t="s">
        <v>167</v>
      </c>
      <c r="C73" s="186">
        <f>+F65</f>
        <v>183</v>
      </c>
      <c r="D73" s="186">
        <f>+D58</f>
        <v>1350</v>
      </c>
      <c r="E73" s="191">
        <f>+C73/D73</f>
        <v>0.13555555555555557</v>
      </c>
      <c r="F73" s="125"/>
      <c r="G73" s="184"/>
      <c r="H73" s="127"/>
      <c r="I73" s="127"/>
      <c r="J73" s="110"/>
    </row>
    <row r="74" spans="2:13" ht="13.5" thickBot="1" x14ac:dyDescent="0.3">
      <c r="B74" s="185" t="s">
        <v>168</v>
      </c>
      <c r="C74" s="186">
        <f>+F56</f>
        <v>183</v>
      </c>
      <c r="D74" s="186">
        <f>+D73</f>
        <v>1350</v>
      </c>
      <c r="E74" s="187">
        <f>+C74/D74</f>
        <v>0.13555555555555557</v>
      </c>
      <c r="F74" s="125"/>
      <c r="G74" s="184"/>
      <c r="H74" s="127"/>
      <c r="I74" s="127"/>
      <c r="J74" s="110"/>
    </row>
    <row r="75" spans="2:13" ht="13.5" thickBot="1" x14ac:dyDescent="0.3">
      <c r="B75" s="149"/>
      <c r="C75" s="150"/>
      <c r="D75" s="150"/>
      <c r="E75" s="191"/>
      <c r="F75" s="125"/>
      <c r="G75" s="184"/>
      <c r="H75" s="127"/>
      <c r="I75" s="127"/>
      <c r="J75" s="110"/>
    </row>
    <row r="76" spans="2:13" ht="13.5" thickBot="1" x14ac:dyDescent="0.3">
      <c r="B76" s="185" t="s">
        <v>169</v>
      </c>
      <c r="C76" s="186">
        <f>+F54</f>
        <v>0</v>
      </c>
      <c r="D76" s="186">
        <f>+D74</f>
        <v>1350</v>
      </c>
      <c r="E76" s="187">
        <f>+C76/D76</f>
        <v>0</v>
      </c>
      <c r="F76" s="125"/>
      <c r="G76" s="184"/>
      <c r="H76" s="127"/>
      <c r="I76" s="127"/>
      <c r="J76" s="127"/>
    </row>
    <row r="77" spans="2:13" ht="13.5" thickBot="1" x14ac:dyDescent="0.3">
      <c r="B77" s="149"/>
      <c r="C77" s="150"/>
      <c r="D77" s="150"/>
      <c r="E77" s="191"/>
      <c r="F77" s="125"/>
      <c r="G77" s="184"/>
      <c r="H77" s="127"/>
      <c r="I77" s="127"/>
    </row>
    <row r="78" spans="2:13" ht="13.5" thickBot="1" x14ac:dyDescent="0.3">
      <c r="B78" s="617" t="s">
        <v>170</v>
      </c>
      <c r="C78" s="618"/>
      <c r="D78" s="619"/>
      <c r="E78" s="187">
        <f>+E69+E74</f>
        <v>5.094074074074074</v>
      </c>
      <c r="G78" s="125"/>
      <c r="H78" s="184"/>
      <c r="I78" s="127"/>
      <c r="J78" s="191"/>
    </row>
    <row r="79" spans="2:13" x14ac:dyDescent="0.25">
      <c r="I79" s="184"/>
      <c r="J79" s="110"/>
    </row>
    <row r="80" spans="2:13" ht="13.5" thickBot="1" x14ac:dyDescent="0.3">
      <c r="B80" s="616" t="s">
        <v>171</v>
      </c>
      <c r="C80" s="616"/>
      <c r="D80" s="616"/>
      <c r="E80" s="616"/>
      <c r="F80" s="616"/>
      <c r="G80" s="125"/>
      <c r="H80" s="184"/>
      <c r="J80" s="110"/>
    </row>
    <row r="81" spans="1:10" ht="13.5" thickBot="1" x14ac:dyDescent="0.3">
      <c r="B81" s="185" t="s">
        <v>165</v>
      </c>
      <c r="C81" s="186">
        <f>+C69</f>
        <v>6694</v>
      </c>
      <c r="D81" s="186">
        <f>+D60</f>
        <v>1</v>
      </c>
      <c r="E81" s="187">
        <f>+C81/D81</f>
        <v>6694</v>
      </c>
      <c r="F81" s="125"/>
      <c r="G81" s="184"/>
      <c r="H81" s="127"/>
      <c r="I81" s="184"/>
      <c r="J81" s="110"/>
    </row>
    <row r="82" spans="1:10" x14ac:dyDescent="0.25">
      <c r="B82" s="188"/>
      <c r="C82" s="189"/>
      <c r="D82" s="190"/>
      <c r="E82" s="173"/>
      <c r="F82" s="125"/>
      <c r="G82" s="184"/>
      <c r="H82" s="127"/>
      <c r="I82" s="127"/>
      <c r="J82" s="110"/>
    </row>
    <row r="83" spans="1:10" x14ac:dyDescent="0.25">
      <c r="B83" s="185" t="s">
        <v>166</v>
      </c>
      <c r="C83" s="186">
        <f>+C71</f>
        <v>6827.88</v>
      </c>
      <c r="D83" s="186">
        <f>+D60</f>
        <v>1</v>
      </c>
      <c r="E83" s="191">
        <f>+C83/D83</f>
        <v>6827.88</v>
      </c>
      <c r="F83" s="125"/>
      <c r="G83" s="184"/>
      <c r="H83" s="127"/>
      <c r="I83" s="127"/>
      <c r="J83" s="110"/>
    </row>
    <row r="84" spans="1:10" x14ac:dyDescent="0.25">
      <c r="B84" s="185"/>
      <c r="C84" s="186"/>
      <c r="D84" s="186"/>
      <c r="E84" s="191"/>
      <c r="F84" s="125"/>
      <c r="G84" s="184"/>
      <c r="H84" s="127"/>
      <c r="I84" s="127"/>
      <c r="J84" s="110"/>
    </row>
    <row r="85" spans="1:10" ht="13.5" thickBot="1" x14ac:dyDescent="0.3">
      <c r="B85" s="185" t="s">
        <v>168</v>
      </c>
      <c r="C85" s="186">
        <f>+C73</f>
        <v>183</v>
      </c>
      <c r="D85" s="186">
        <f>+D60</f>
        <v>1</v>
      </c>
      <c r="E85" s="191">
        <f>+C85/D85</f>
        <v>183</v>
      </c>
      <c r="F85" s="193"/>
      <c r="G85" s="183"/>
      <c r="H85" s="109"/>
      <c r="I85" s="127"/>
    </row>
    <row r="86" spans="1:10" ht="13.5" thickBot="1" x14ac:dyDescent="0.3">
      <c r="B86" s="185" t="s">
        <v>168</v>
      </c>
      <c r="C86" s="186">
        <f>+C74</f>
        <v>183</v>
      </c>
      <c r="D86" s="186">
        <f>+D85</f>
        <v>1</v>
      </c>
      <c r="E86" s="187">
        <f>+C86/D86</f>
        <v>183</v>
      </c>
      <c r="F86" s="192"/>
      <c r="G86" s="183"/>
      <c r="H86" s="109"/>
      <c r="I86" s="109"/>
    </row>
    <row r="87" spans="1:10" x14ac:dyDescent="0.25">
      <c r="I87" s="109"/>
    </row>
    <row r="88" spans="1:10" x14ac:dyDescent="0.2">
      <c r="A88" s="620"/>
      <c r="B88" s="620"/>
      <c r="C88" s="194"/>
      <c r="D88" s="194"/>
      <c r="E88" s="195"/>
      <c r="G88" s="196"/>
    </row>
    <row r="89" spans="1:10" x14ac:dyDescent="0.2">
      <c r="A89" s="128"/>
      <c r="B89" s="197"/>
      <c r="C89" s="198"/>
      <c r="D89" s="198"/>
      <c r="E89" s="199"/>
      <c r="G89" s="196"/>
    </row>
    <row r="90" spans="1:10" x14ac:dyDescent="0.2">
      <c r="A90" s="128"/>
      <c r="B90" s="197"/>
      <c r="C90" s="200"/>
      <c r="D90" s="200"/>
      <c r="E90" s="128"/>
      <c r="G90" s="196"/>
    </row>
    <row r="91" spans="1:10" x14ac:dyDescent="0.2">
      <c r="A91" s="128"/>
      <c r="B91" s="197"/>
      <c r="C91" s="201"/>
      <c r="D91" s="201"/>
      <c r="E91" s="128"/>
      <c r="G91" s="1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7603-A249-445A-A06F-25796244BD9D}">
  <dimension ref="A1:M30"/>
  <sheetViews>
    <sheetView workbookViewId="0">
      <selection activeCell="E18" sqref="E18"/>
    </sheetView>
  </sheetViews>
  <sheetFormatPr baseColWidth="10" defaultRowHeight="13.5" x14ac:dyDescent="0.25"/>
  <cols>
    <col min="1" max="1" width="11.42578125" style="5"/>
    <col min="2" max="2" width="16.28515625" style="5" customWidth="1"/>
    <col min="3" max="3" width="40.5703125" style="5" customWidth="1"/>
    <col min="4" max="4" width="15.5703125" style="5" customWidth="1"/>
    <col min="5" max="5" width="11.42578125" style="5"/>
    <col min="6" max="6" width="13.28515625" style="5" customWidth="1"/>
    <col min="7" max="7" width="12.5703125" style="5" customWidth="1"/>
    <col min="8" max="8" width="15.5703125" style="5" customWidth="1"/>
    <col min="9" max="9" width="16" style="5" customWidth="1"/>
    <col min="10" max="257" width="11.42578125" style="5"/>
    <col min="258" max="258" width="16.28515625" style="5" customWidth="1"/>
    <col min="259" max="259" width="40.5703125" style="5" customWidth="1"/>
    <col min="260" max="260" width="15.5703125" style="5" customWidth="1"/>
    <col min="261" max="261" width="11.42578125" style="5"/>
    <col min="262" max="262" width="13.28515625" style="5" customWidth="1"/>
    <col min="263" max="263" width="12.5703125" style="5" customWidth="1"/>
    <col min="264" max="264" width="15.5703125" style="5" customWidth="1"/>
    <col min="265" max="265" width="16" style="5" customWidth="1"/>
    <col min="266" max="513" width="11.42578125" style="5"/>
    <col min="514" max="514" width="16.28515625" style="5" customWidth="1"/>
    <col min="515" max="515" width="40.5703125" style="5" customWidth="1"/>
    <col min="516" max="516" width="15.5703125" style="5" customWidth="1"/>
    <col min="517" max="517" width="11.42578125" style="5"/>
    <col min="518" max="518" width="13.28515625" style="5" customWidth="1"/>
    <col min="519" max="519" width="12.5703125" style="5" customWidth="1"/>
    <col min="520" max="520" width="15.5703125" style="5" customWidth="1"/>
    <col min="521" max="521" width="16" style="5" customWidth="1"/>
    <col min="522" max="769" width="11.42578125" style="5"/>
    <col min="770" max="770" width="16.28515625" style="5" customWidth="1"/>
    <col min="771" max="771" width="40.5703125" style="5" customWidth="1"/>
    <col min="772" max="772" width="15.5703125" style="5" customWidth="1"/>
    <col min="773" max="773" width="11.42578125" style="5"/>
    <col min="774" max="774" width="13.28515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5" width="11.42578125" style="5"/>
    <col min="1026" max="1026" width="16.28515625" style="5" customWidth="1"/>
    <col min="1027" max="1027" width="40.5703125" style="5" customWidth="1"/>
    <col min="1028" max="1028" width="15.5703125" style="5" customWidth="1"/>
    <col min="1029" max="1029" width="11.42578125" style="5"/>
    <col min="1030" max="1030" width="13.28515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1" width="11.42578125" style="5"/>
    <col min="1282" max="1282" width="16.28515625" style="5" customWidth="1"/>
    <col min="1283" max="1283" width="40.5703125" style="5" customWidth="1"/>
    <col min="1284" max="1284" width="15.5703125" style="5" customWidth="1"/>
    <col min="1285" max="1285" width="11.42578125" style="5"/>
    <col min="1286" max="1286" width="13.28515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7" width="11.42578125" style="5"/>
    <col min="1538" max="1538" width="16.28515625" style="5" customWidth="1"/>
    <col min="1539" max="1539" width="40.5703125" style="5" customWidth="1"/>
    <col min="1540" max="1540" width="15.5703125" style="5" customWidth="1"/>
    <col min="1541" max="1541" width="11.42578125" style="5"/>
    <col min="1542" max="1542" width="13.28515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3" width="11.42578125" style="5"/>
    <col min="1794" max="1794" width="16.28515625" style="5" customWidth="1"/>
    <col min="1795" max="1795" width="40.5703125" style="5" customWidth="1"/>
    <col min="1796" max="1796" width="15.5703125" style="5" customWidth="1"/>
    <col min="1797" max="1797" width="11.42578125" style="5"/>
    <col min="1798" max="1798" width="13.28515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9" width="11.42578125" style="5"/>
    <col min="2050" max="2050" width="16.28515625" style="5" customWidth="1"/>
    <col min="2051" max="2051" width="40.5703125" style="5" customWidth="1"/>
    <col min="2052" max="2052" width="15.5703125" style="5" customWidth="1"/>
    <col min="2053" max="2053" width="11.42578125" style="5"/>
    <col min="2054" max="2054" width="13.28515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5" width="11.42578125" style="5"/>
    <col min="2306" max="2306" width="16.28515625" style="5" customWidth="1"/>
    <col min="2307" max="2307" width="40.5703125" style="5" customWidth="1"/>
    <col min="2308" max="2308" width="15.5703125" style="5" customWidth="1"/>
    <col min="2309" max="2309" width="11.42578125" style="5"/>
    <col min="2310" max="2310" width="13.28515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1" width="11.42578125" style="5"/>
    <col min="2562" max="2562" width="16.28515625" style="5" customWidth="1"/>
    <col min="2563" max="2563" width="40.5703125" style="5" customWidth="1"/>
    <col min="2564" max="2564" width="15.5703125" style="5" customWidth="1"/>
    <col min="2565" max="2565" width="11.42578125" style="5"/>
    <col min="2566" max="2566" width="13.28515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7" width="11.42578125" style="5"/>
    <col min="2818" max="2818" width="16.28515625" style="5" customWidth="1"/>
    <col min="2819" max="2819" width="40.5703125" style="5" customWidth="1"/>
    <col min="2820" max="2820" width="15.5703125" style="5" customWidth="1"/>
    <col min="2821" max="2821" width="11.42578125" style="5"/>
    <col min="2822" max="2822" width="13.28515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3" width="11.42578125" style="5"/>
    <col min="3074" max="3074" width="16.28515625" style="5" customWidth="1"/>
    <col min="3075" max="3075" width="40.5703125" style="5" customWidth="1"/>
    <col min="3076" max="3076" width="15.5703125" style="5" customWidth="1"/>
    <col min="3077" max="3077" width="11.42578125" style="5"/>
    <col min="3078" max="3078" width="13.28515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9" width="11.42578125" style="5"/>
    <col min="3330" max="3330" width="16.28515625" style="5" customWidth="1"/>
    <col min="3331" max="3331" width="40.5703125" style="5" customWidth="1"/>
    <col min="3332" max="3332" width="15.5703125" style="5" customWidth="1"/>
    <col min="3333" max="3333" width="11.42578125" style="5"/>
    <col min="3334" max="3334" width="13.28515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5" width="11.42578125" style="5"/>
    <col min="3586" max="3586" width="16.28515625" style="5" customWidth="1"/>
    <col min="3587" max="3587" width="40.5703125" style="5" customWidth="1"/>
    <col min="3588" max="3588" width="15.5703125" style="5" customWidth="1"/>
    <col min="3589" max="3589" width="11.42578125" style="5"/>
    <col min="3590" max="3590" width="13.28515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1" width="11.42578125" style="5"/>
    <col min="3842" max="3842" width="16.28515625" style="5" customWidth="1"/>
    <col min="3843" max="3843" width="40.5703125" style="5" customWidth="1"/>
    <col min="3844" max="3844" width="15.5703125" style="5" customWidth="1"/>
    <col min="3845" max="3845" width="11.42578125" style="5"/>
    <col min="3846" max="3846" width="13.28515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7" width="11.42578125" style="5"/>
    <col min="4098" max="4098" width="16.28515625" style="5" customWidth="1"/>
    <col min="4099" max="4099" width="40.5703125" style="5" customWidth="1"/>
    <col min="4100" max="4100" width="15.5703125" style="5" customWidth="1"/>
    <col min="4101" max="4101" width="11.42578125" style="5"/>
    <col min="4102" max="4102" width="13.28515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3" width="11.42578125" style="5"/>
    <col min="4354" max="4354" width="16.28515625" style="5" customWidth="1"/>
    <col min="4355" max="4355" width="40.5703125" style="5" customWidth="1"/>
    <col min="4356" max="4356" width="15.5703125" style="5" customWidth="1"/>
    <col min="4357" max="4357" width="11.42578125" style="5"/>
    <col min="4358" max="4358" width="13.28515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9" width="11.42578125" style="5"/>
    <col min="4610" max="4610" width="16.28515625" style="5" customWidth="1"/>
    <col min="4611" max="4611" width="40.5703125" style="5" customWidth="1"/>
    <col min="4612" max="4612" width="15.5703125" style="5" customWidth="1"/>
    <col min="4613" max="4613" width="11.42578125" style="5"/>
    <col min="4614" max="4614" width="13.28515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5" width="11.42578125" style="5"/>
    <col min="4866" max="4866" width="16.28515625" style="5" customWidth="1"/>
    <col min="4867" max="4867" width="40.5703125" style="5" customWidth="1"/>
    <col min="4868" max="4868" width="15.5703125" style="5" customWidth="1"/>
    <col min="4869" max="4869" width="11.42578125" style="5"/>
    <col min="4870" max="4870" width="13.28515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1" width="11.42578125" style="5"/>
    <col min="5122" max="5122" width="16.28515625" style="5" customWidth="1"/>
    <col min="5123" max="5123" width="40.5703125" style="5" customWidth="1"/>
    <col min="5124" max="5124" width="15.5703125" style="5" customWidth="1"/>
    <col min="5125" max="5125" width="11.42578125" style="5"/>
    <col min="5126" max="5126" width="13.28515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7" width="11.42578125" style="5"/>
    <col min="5378" max="5378" width="16.28515625" style="5" customWidth="1"/>
    <col min="5379" max="5379" width="40.5703125" style="5" customWidth="1"/>
    <col min="5380" max="5380" width="15.5703125" style="5" customWidth="1"/>
    <col min="5381" max="5381" width="11.42578125" style="5"/>
    <col min="5382" max="5382" width="13.28515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3" width="11.42578125" style="5"/>
    <col min="5634" max="5634" width="16.28515625" style="5" customWidth="1"/>
    <col min="5635" max="5635" width="40.5703125" style="5" customWidth="1"/>
    <col min="5636" max="5636" width="15.5703125" style="5" customWidth="1"/>
    <col min="5637" max="5637" width="11.42578125" style="5"/>
    <col min="5638" max="5638" width="13.28515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9" width="11.42578125" style="5"/>
    <col min="5890" max="5890" width="16.28515625" style="5" customWidth="1"/>
    <col min="5891" max="5891" width="40.5703125" style="5" customWidth="1"/>
    <col min="5892" max="5892" width="15.5703125" style="5" customWidth="1"/>
    <col min="5893" max="5893" width="11.42578125" style="5"/>
    <col min="5894" max="5894" width="13.28515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5" width="11.42578125" style="5"/>
    <col min="6146" max="6146" width="16.28515625" style="5" customWidth="1"/>
    <col min="6147" max="6147" width="40.5703125" style="5" customWidth="1"/>
    <col min="6148" max="6148" width="15.5703125" style="5" customWidth="1"/>
    <col min="6149" max="6149" width="11.42578125" style="5"/>
    <col min="6150" max="6150" width="13.28515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1" width="11.42578125" style="5"/>
    <col min="6402" max="6402" width="16.28515625" style="5" customWidth="1"/>
    <col min="6403" max="6403" width="40.5703125" style="5" customWidth="1"/>
    <col min="6404" max="6404" width="15.5703125" style="5" customWidth="1"/>
    <col min="6405" max="6405" width="11.42578125" style="5"/>
    <col min="6406" max="6406" width="13.28515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7" width="11.42578125" style="5"/>
    <col min="6658" max="6658" width="16.28515625" style="5" customWidth="1"/>
    <col min="6659" max="6659" width="40.5703125" style="5" customWidth="1"/>
    <col min="6660" max="6660" width="15.5703125" style="5" customWidth="1"/>
    <col min="6661" max="6661" width="11.42578125" style="5"/>
    <col min="6662" max="6662" width="13.28515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3" width="11.42578125" style="5"/>
    <col min="6914" max="6914" width="16.28515625" style="5" customWidth="1"/>
    <col min="6915" max="6915" width="40.5703125" style="5" customWidth="1"/>
    <col min="6916" max="6916" width="15.5703125" style="5" customWidth="1"/>
    <col min="6917" max="6917" width="11.42578125" style="5"/>
    <col min="6918" max="6918" width="13.28515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9" width="11.42578125" style="5"/>
    <col min="7170" max="7170" width="16.28515625" style="5" customWidth="1"/>
    <col min="7171" max="7171" width="40.5703125" style="5" customWidth="1"/>
    <col min="7172" max="7172" width="15.5703125" style="5" customWidth="1"/>
    <col min="7173" max="7173" width="11.42578125" style="5"/>
    <col min="7174" max="7174" width="13.28515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5" width="11.42578125" style="5"/>
    <col min="7426" max="7426" width="16.28515625" style="5" customWidth="1"/>
    <col min="7427" max="7427" width="40.5703125" style="5" customWidth="1"/>
    <col min="7428" max="7428" width="15.5703125" style="5" customWidth="1"/>
    <col min="7429" max="7429" width="11.42578125" style="5"/>
    <col min="7430" max="7430" width="13.28515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1" width="11.42578125" style="5"/>
    <col min="7682" max="7682" width="16.28515625" style="5" customWidth="1"/>
    <col min="7683" max="7683" width="40.5703125" style="5" customWidth="1"/>
    <col min="7684" max="7684" width="15.5703125" style="5" customWidth="1"/>
    <col min="7685" max="7685" width="11.42578125" style="5"/>
    <col min="7686" max="7686" width="13.28515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7" width="11.42578125" style="5"/>
    <col min="7938" max="7938" width="16.28515625" style="5" customWidth="1"/>
    <col min="7939" max="7939" width="40.5703125" style="5" customWidth="1"/>
    <col min="7940" max="7940" width="15.5703125" style="5" customWidth="1"/>
    <col min="7941" max="7941" width="11.42578125" style="5"/>
    <col min="7942" max="7942" width="13.28515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3" width="11.42578125" style="5"/>
    <col min="8194" max="8194" width="16.28515625" style="5" customWidth="1"/>
    <col min="8195" max="8195" width="40.5703125" style="5" customWidth="1"/>
    <col min="8196" max="8196" width="15.5703125" style="5" customWidth="1"/>
    <col min="8197" max="8197" width="11.42578125" style="5"/>
    <col min="8198" max="8198" width="13.28515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9" width="11.42578125" style="5"/>
    <col min="8450" max="8450" width="16.28515625" style="5" customWidth="1"/>
    <col min="8451" max="8451" width="40.5703125" style="5" customWidth="1"/>
    <col min="8452" max="8452" width="15.5703125" style="5" customWidth="1"/>
    <col min="8453" max="8453" width="11.42578125" style="5"/>
    <col min="8454" max="8454" width="13.28515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5" width="11.42578125" style="5"/>
    <col min="8706" max="8706" width="16.28515625" style="5" customWidth="1"/>
    <col min="8707" max="8707" width="40.5703125" style="5" customWidth="1"/>
    <col min="8708" max="8708" width="15.5703125" style="5" customWidth="1"/>
    <col min="8709" max="8709" width="11.42578125" style="5"/>
    <col min="8710" max="8710" width="13.28515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1" width="11.42578125" style="5"/>
    <col min="8962" max="8962" width="16.28515625" style="5" customWidth="1"/>
    <col min="8963" max="8963" width="40.5703125" style="5" customWidth="1"/>
    <col min="8964" max="8964" width="15.5703125" style="5" customWidth="1"/>
    <col min="8965" max="8965" width="11.42578125" style="5"/>
    <col min="8966" max="8966" width="13.28515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7" width="11.42578125" style="5"/>
    <col min="9218" max="9218" width="16.28515625" style="5" customWidth="1"/>
    <col min="9219" max="9219" width="40.5703125" style="5" customWidth="1"/>
    <col min="9220" max="9220" width="15.5703125" style="5" customWidth="1"/>
    <col min="9221" max="9221" width="11.42578125" style="5"/>
    <col min="9222" max="9222" width="13.28515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3" width="11.42578125" style="5"/>
    <col min="9474" max="9474" width="16.28515625" style="5" customWidth="1"/>
    <col min="9475" max="9475" width="40.5703125" style="5" customWidth="1"/>
    <col min="9476" max="9476" width="15.5703125" style="5" customWidth="1"/>
    <col min="9477" max="9477" width="11.42578125" style="5"/>
    <col min="9478" max="9478" width="13.28515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9" width="11.42578125" style="5"/>
    <col min="9730" max="9730" width="16.28515625" style="5" customWidth="1"/>
    <col min="9731" max="9731" width="40.5703125" style="5" customWidth="1"/>
    <col min="9732" max="9732" width="15.5703125" style="5" customWidth="1"/>
    <col min="9733" max="9733" width="11.42578125" style="5"/>
    <col min="9734" max="9734" width="13.28515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5" width="11.42578125" style="5"/>
    <col min="9986" max="9986" width="16.28515625" style="5" customWidth="1"/>
    <col min="9987" max="9987" width="40.5703125" style="5" customWidth="1"/>
    <col min="9988" max="9988" width="15.5703125" style="5" customWidth="1"/>
    <col min="9989" max="9989" width="11.42578125" style="5"/>
    <col min="9990" max="9990" width="13.28515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1" width="11.42578125" style="5"/>
    <col min="10242" max="10242" width="16.28515625" style="5" customWidth="1"/>
    <col min="10243" max="10243" width="40.5703125" style="5" customWidth="1"/>
    <col min="10244" max="10244" width="15.5703125" style="5" customWidth="1"/>
    <col min="10245" max="10245" width="11.42578125" style="5"/>
    <col min="10246" max="10246" width="13.28515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7" width="11.42578125" style="5"/>
    <col min="10498" max="10498" width="16.28515625" style="5" customWidth="1"/>
    <col min="10499" max="10499" width="40.5703125" style="5" customWidth="1"/>
    <col min="10500" max="10500" width="15.5703125" style="5" customWidth="1"/>
    <col min="10501" max="10501" width="11.42578125" style="5"/>
    <col min="10502" max="10502" width="13.28515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3" width="11.42578125" style="5"/>
    <col min="10754" max="10754" width="16.28515625" style="5" customWidth="1"/>
    <col min="10755" max="10755" width="40.5703125" style="5" customWidth="1"/>
    <col min="10756" max="10756" width="15.5703125" style="5" customWidth="1"/>
    <col min="10757" max="10757" width="11.42578125" style="5"/>
    <col min="10758" max="10758" width="13.28515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9" width="11.42578125" style="5"/>
    <col min="11010" max="11010" width="16.28515625" style="5" customWidth="1"/>
    <col min="11011" max="11011" width="40.5703125" style="5" customWidth="1"/>
    <col min="11012" max="11012" width="15.5703125" style="5" customWidth="1"/>
    <col min="11013" max="11013" width="11.42578125" style="5"/>
    <col min="11014" max="11014" width="13.28515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5" width="11.42578125" style="5"/>
    <col min="11266" max="11266" width="16.28515625" style="5" customWidth="1"/>
    <col min="11267" max="11267" width="40.5703125" style="5" customWidth="1"/>
    <col min="11268" max="11268" width="15.5703125" style="5" customWidth="1"/>
    <col min="11269" max="11269" width="11.42578125" style="5"/>
    <col min="11270" max="11270" width="13.28515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1" width="11.42578125" style="5"/>
    <col min="11522" max="11522" width="16.28515625" style="5" customWidth="1"/>
    <col min="11523" max="11523" width="40.5703125" style="5" customWidth="1"/>
    <col min="11524" max="11524" width="15.5703125" style="5" customWidth="1"/>
    <col min="11525" max="11525" width="11.42578125" style="5"/>
    <col min="11526" max="11526" width="13.28515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7" width="11.42578125" style="5"/>
    <col min="11778" max="11778" width="16.28515625" style="5" customWidth="1"/>
    <col min="11779" max="11779" width="40.5703125" style="5" customWidth="1"/>
    <col min="11780" max="11780" width="15.5703125" style="5" customWidth="1"/>
    <col min="11781" max="11781" width="11.42578125" style="5"/>
    <col min="11782" max="11782" width="13.28515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3" width="11.42578125" style="5"/>
    <col min="12034" max="12034" width="16.28515625" style="5" customWidth="1"/>
    <col min="12035" max="12035" width="40.5703125" style="5" customWidth="1"/>
    <col min="12036" max="12036" width="15.5703125" style="5" customWidth="1"/>
    <col min="12037" max="12037" width="11.42578125" style="5"/>
    <col min="12038" max="12038" width="13.28515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9" width="11.42578125" style="5"/>
    <col min="12290" max="12290" width="16.28515625" style="5" customWidth="1"/>
    <col min="12291" max="12291" width="40.5703125" style="5" customWidth="1"/>
    <col min="12292" max="12292" width="15.5703125" style="5" customWidth="1"/>
    <col min="12293" max="12293" width="11.42578125" style="5"/>
    <col min="12294" max="12294" width="13.28515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5" width="11.42578125" style="5"/>
    <col min="12546" max="12546" width="16.28515625" style="5" customWidth="1"/>
    <col min="12547" max="12547" width="40.5703125" style="5" customWidth="1"/>
    <col min="12548" max="12548" width="15.5703125" style="5" customWidth="1"/>
    <col min="12549" max="12549" width="11.42578125" style="5"/>
    <col min="12550" max="12550" width="13.28515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1" width="11.42578125" style="5"/>
    <col min="12802" max="12802" width="16.28515625" style="5" customWidth="1"/>
    <col min="12803" max="12803" width="40.5703125" style="5" customWidth="1"/>
    <col min="12804" max="12804" width="15.5703125" style="5" customWidth="1"/>
    <col min="12805" max="12805" width="11.42578125" style="5"/>
    <col min="12806" max="12806" width="13.28515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7" width="11.42578125" style="5"/>
    <col min="13058" max="13058" width="16.28515625" style="5" customWidth="1"/>
    <col min="13059" max="13059" width="40.5703125" style="5" customWidth="1"/>
    <col min="13060" max="13060" width="15.5703125" style="5" customWidth="1"/>
    <col min="13061" max="13061" width="11.42578125" style="5"/>
    <col min="13062" max="13062" width="13.28515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3" width="11.42578125" style="5"/>
    <col min="13314" max="13314" width="16.28515625" style="5" customWidth="1"/>
    <col min="13315" max="13315" width="40.5703125" style="5" customWidth="1"/>
    <col min="13316" max="13316" width="15.5703125" style="5" customWidth="1"/>
    <col min="13317" max="13317" width="11.42578125" style="5"/>
    <col min="13318" max="13318" width="13.28515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9" width="11.42578125" style="5"/>
    <col min="13570" max="13570" width="16.28515625" style="5" customWidth="1"/>
    <col min="13571" max="13571" width="40.5703125" style="5" customWidth="1"/>
    <col min="13572" max="13572" width="15.5703125" style="5" customWidth="1"/>
    <col min="13573" max="13573" width="11.42578125" style="5"/>
    <col min="13574" max="13574" width="13.28515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5" width="11.42578125" style="5"/>
    <col min="13826" max="13826" width="16.28515625" style="5" customWidth="1"/>
    <col min="13827" max="13827" width="40.5703125" style="5" customWidth="1"/>
    <col min="13828" max="13828" width="15.5703125" style="5" customWidth="1"/>
    <col min="13829" max="13829" width="11.42578125" style="5"/>
    <col min="13830" max="13830" width="13.28515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1" width="11.42578125" style="5"/>
    <col min="14082" max="14082" width="16.28515625" style="5" customWidth="1"/>
    <col min="14083" max="14083" width="40.5703125" style="5" customWidth="1"/>
    <col min="14084" max="14084" width="15.5703125" style="5" customWidth="1"/>
    <col min="14085" max="14085" width="11.42578125" style="5"/>
    <col min="14086" max="14086" width="13.28515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7" width="11.42578125" style="5"/>
    <col min="14338" max="14338" width="16.28515625" style="5" customWidth="1"/>
    <col min="14339" max="14339" width="40.5703125" style="5" customWidth="1"/>
    <col min="14340" max="14340" width="15.5703125" style="5" customWidth="1"/>
    <col min="14341" max="14341" width="11.42578125" style="5"/>
    <col min="14342" max="14342" width="13.28515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3" width="11.42578125" style="5"/>
    <col min="14594" max="14594" width="16.28515625" style="5" customWidth="1"/>
    <col min="14595" max="14595" width="40.5703125" style="5" customWidth="1"/>
    <col min="14596" max="14596" width="15.5703125" style="5" customWidth="1"/>
    <col min="14597" max="14597" width="11.42578125" style="5"/>
    <col min="14598" max="14598" width="13.28515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9" width="11.42578125" style="5"/>
    <col min="14850" max="14850" width="16.28515625" style="5" customWidth="1"/>
    <col min="14851" max="14851" width="40.5703125" style="5" customWidth="1"/>
    <col min="14852" max="14852" width="15.5703125" style="5" customWidth="1"/>
    <col min="14853" max="14853" width="11.42578125" style="5"/>
    <col min="14854" max="14854" width="13.28515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5" width="11.42578125" style="5"/>
    <col min="15106" max="15106" width="16.28515625" style="5" customWidth="1"/>
    <col min="15107" max="15107" width="40.5703125" style="5" customWidth="1"/>
    <col min="15108" max="15108" width="15.5703125" style="5" customWidth="1"/>
    <col min="15109" max="15109" width="11.42578125" style="5"/>
    <col min="15110" max="15110" width="13.28515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1" width="11.42578125" style="5"/>
    <col min="15362" max="15362" width="16.28515625" style="5" customWidth="1"/>
    <col min="15363" max="15363" width="40.5703125" style="5" customWidth="1"/>
    <col min="15364" max="15364" width="15.5703125" style="5" customWidth="1"/>
    <col min="15365" max="15365" width="11.42578125" style="5"/>
    <col min="15366" max="15366" width="13.28515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7" width="11.42578125" style="5"/>
    <col min="15618" max="15618" width="16.28515625" style="5" customWidth="1"/>
    <col min="15619" max="15619" width="40.5703125" style="5" customWidth="1"/>
    <col min="15620" max="15620" width="15.5703125" style="5" customWidth="1"/>
    <col min="15621" max="15621" width="11.42578125" style="5"/>
    <col min="15622" max="15622" width="13.28515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3" width="11.42578125" style="5"/>
    <col min="15874" max="15874" width="16.28515625" style="5" customWidth="1"/>
    <col min="15875" max="15875" width="40.5703125" style="5" customWidth="1"/>
    <col min="15876" max="15876" width="15.5703125" style="5" customWidth="1"/>
    <col min="15877" max="15877" width="11.42578125" style="5"/>
    <col min="15878" max="15878" width="13.28515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9" width="11.42578125" style="5"/>
    <col min="16130" max="16130" width="16.28515625" style="5" customWidth="1"/>
    <col min="16131" max="16131" width="40.5703125" style="5" customWidth="1"/>
    <col min="16132" max="16132" width="15.5703125" style="5" customWidth="1"/>
    <col min="16133" max="16133" width="11.42578125" style="5"/>
    <col min="16134" max="16134" width="13.28515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11.42578125" style="5"/>
  </cols>
  <sheetData>
    <row r="1" spans="1:12" ht="15.75" x14ac:dyDescent="0.25">
      <c r="A1" s="363"/>
      <c r="B1" s="638"/>
      <c r="C1" s="564" t="s">
        <v>35</v>
      </c>
      <c r="D1" s="564"/>
      <c r="E1" s="564"/>
      <c r="F1" s="564"/>
      <c r="G1" s="564"/>
      <c r="H1" s="209" t="s">
        <v>34</v>
      </c>
      <c r="I1" s="208"/>
    </row>
    <row r="2" spans="1:12" ht="16.5" thickBot="1" x14ac:dyDescent="0.3">
      <c r="A2" s="363"/>
      <c r="B2" s="639"/>
      <c r="C2" s="565" t="s">
        <v>33</v>
      </c>
      <c r="D2" s="565"/>
      <c r="E2" s="565"/>
      <c r="F2" s="565"/>
      <c r="G2" s="565"/>
      <c r="H2" s="214" t="s">
        <v>32</v>
      </c>
      <c r="I2" s="215"/>
    </row>
    <row r="3" spans="1:12" ht="18.75" thickBot="1" x14ac:dyDescent="0.3">
      <c r="A3" s="363"/>
      <c r="B3" s="560"/>
      <c r="C3" s="640" t="s">
        <v>316</v>
      </c>
      <c r="D3" s="641"/>
      <c r="E3" s="641"/>
      <c r="F3" s="641"/>
      <c r="G3" s="642"/>
      <c r="H3" s="569" t="s">
        <v>31</v>
      </c>
      <c r="I3" s="546"/>
    </row>
    <row r="4" spans="1:12" x14ac:dyDescent="0.25">
      <c r="A4" s="363"/>
      <c r="B4" s="639"/>
      <c r="C4" s="216" t="s">
        <v>30</v>
      </c>
      <c r="D4" s="632" t="s">
        <v>294</v>
      </c>
      <c r="E4" s="633"/>
      <c r="F4" s="633"/>
      <c r="G4" s="634"/>
      <c r="H4" s="570"/>
      <c r="I4" s="547"/>
    </row>
    <row r="5" spans="1:12" ht="14.25" thickBot="1" x14ac:dyDescent="0.3">
      <c r="A5" s="363"/>
      <c r="B5" s="639"/>
      <c r="C5" s="217" t="s">
        <v>29</v>
      </c>
      <c r="D5" s="635" t="s">
        <v>28</v>
      </c>
      <c r="E5" s="636"/>
      <c r="F5" s="636"/>
      <c r="G5" s="637"/>
      <c r="H5" s="571"/>
      <c r="I5" s="547"/>
    </row>
    <row r="6" spans="1:12" ht="25.5" x14ac:dyDescent="0.25">
      <c r="A6" s="643" t="s">
        <v>23</v>
      </c>
      <c r="B6" s="643" t="s">
        <v>23</v>
      </c>
      <c r="C6" s="645" t="s">
        <v>22</v>
      </c>
      <c r="D6" s="645" t="s">
        <v>21</v>
      </c>
      <c r="E6" s="645" t="s">
        <v>20</v>
      </c>
      <c r="F6" s="645"/>
      <c r="G6" s="645" t="s">
        <v>19</v>
      </c>
      <c r="H6" s="645"/>
      <c r="I6" s="218" t="s">
        <v>18</v>
      </c>
    </row>
    <row r="7" spans="1:12" ht="27" thickBot="1" x14ac:dyDescent="0.3">
      <c r="A7" s="644"/>
      <c r="B7" s="644"/>
      <c r="C7" s="646"/>
      <c r="D7" s="646"/>
      <c r="E7" s="221" t="s">
        <v>15</v>
      </c>
      <c r="F7" s="222" t="s">
        <v>17</v>
      </c>
      <c r="G7" s="221" t="s">
        <v>15</v>
      </c>
      <c r="H7" s="222" t="s">
        <v>17</v>
      </c>
      <c r="I7" s="364" t="s">
        <v>16</v>
      </c>
    </row>
    <row r="8" spans="1:12" x14ac:dyDescent="0.25">
      <c r="A8" s="365" t="s">
        <v>295</v>
      </c>
      <c r="B8" s="366"/>
      <c r="C8" s="367"/>
      <c r="D8" s="348"/>
      <c r="E8" s="11"/>
      <c r="F8" s="28"/>
      <c r="G8" s="29"/>
      <c r="H8" s="11"/>
      <c r="I8" s="368"/>
    </row>
    <row r="9" spans="1:12" ht="15.75" x14ac:dyDescent="0.25">
      <c r="A9" s="365">
        <v>310148</v>
      </c>
      <c r="B9" s="236">
        <v>310148</v>
      </c>
      <c r="C9" s="237" t="s">
        <v>296</v>
      </c>
      <c r="D9" s="74" t="s">
        <v>54</v>
      </c>
      <c r="E9" s="75">
        <v>8000</v>
      </c>
      <c r="F9" s="76" t="s">
        <v>2</v>
      </c>
      <c r="G9" s="647" t="s">
        <v>55</v>
      </c>
      <c r="H9" s="648"/>
      <c r="I9" s="226"/>
    </row>
    <row r="10" spans="1:12" ht="15.75" x14ac:dyDescent="0.25">
      <c r="A10" s="365">
        <v>11400031</v>
      </c>
      <c r="B10" s="236">
        <v>11400031</v>
      </c>
      <c r="C10" s="237" t="s">
        <v>297</v>
      </c>
      <c r="D10" s="74" t="s">
        <v>54</v>
      </c>
      <c r="E10" s="75">
        <v>12000</v>
      </c>
      <c r="F10" s="76" t="s">
        <v>2</v>
      </c>
      <c r="G10" s="647" t="s">
        <v>56</v>
      </c>
      <c r="H10" s="648"/>
      <c r="I10" s="226"/>
    </row>
    <row r="11" spans="1:12" ht="15.75" x14ac:dyDescent="0.25">
      <c r="A11" s="365">
        <v>10415</v>
      </c>
      <c r="B11" s="77" t="s">
        <v>57</v>
      </c>
      <c r="C11" s="78" t="s">
        <v>58</v>
      </c>
      <c r="D11" s="74" t="s">
        <v>59</v>
      </c>
      <c r="E11" s="75">
        <v>1000</v>
      </c>
      <c r="F11" s="76" t="s">
        <v>2</v>
      </c>
      <c r="G11" s="75"/>
      <c r="H11" s="79"/>
      <c r="I11" s="226"/>
    </row>
    <row r="12" spans="1:12" ht="15.75" x14ac:dyDescent="0.25">
      <c r="A12" s="365">
        <v>1212410</v>
      </c>
      <c r="B12" s="236">
        <v>1212410</v>
      </c>
      <c r="C12" s="237" t="s">
        <v>252</v>
      </c>
      <c r="D12" s="74" t="s">
        <v>60</v>
      </c>
      <c r="E12" s="75">
        <v>15</v>
      </c>
      <c r="F12" s="76" t="s">
        <v>2</v>
      </c>
      <c r="G12" s="75"/>
      <c r="H12" s="79"/>
      <c r="I12" s="226"/>
    </row>
    <row r="13" spans="1:12" ht="15.75" x14ac:dyDescent="0.25">
      <c r="A13" s="365">
        <v>702069</v>
      </c>
      <c r="B13" s="236">
        <v>702123</v>
      </c>
      <c r="C13" s="237" t="s">
        <v>265</v>
      </c>
      <c r="D13" s="74" t="s">
        <v>61</v>
      </c>
      <c r="E13" s="75">
        <v>1</v>
      </c>
      <c r="F13" s="80" t="s">
        <v>7</v>
      </c>
      <c r="G13" s="37"/>
      <c r="H13" s="81"/>
      <c r="I13" s="226"/>
    </row>
    <row r="14" spans="1:12" ht="15.75" x14ac:dyDescent="0.25">
      <c r="A14" s="363"/>
      <c r="B14" s="369"/>
      <c r="C14" s="370"/>
      <c r="D14" s="371"/>
      <c r="E14" s="372"/>
      <c r="F14" s="373"/>
      <c r="G14" s="358"/>
      <c r="H14" s="360"/>
      <c r="I14" s="361"/>
    </row>
    <row r="15" spans="1:12" ht="14.25" thickBot="1" x14ac:dyDescent="0.3">
      <c r="B15" s="247"/>
      <c r="E15" s="249"/>
      <c r="F15" s="250"/>
      <c r="I15" s="251"/>
      <c r="L15" s="8"/>
    </row>
    <row r="16" spans="1:12" ht="14.25" thickBot="1" x14ac:dyDescent="0.3">
      <c r="B16" s="252"/>
      <c r="C16" s="254"/>
      <c r="D16" s="255" t="s">
        <v>15</v>
      </c>
      <c r="E16" s="256" t="s">
        <v>14</v>
      </c>
      <c r="F16" s="257"/>
      <c r="G16" s="254"/>
      <c r="H16" s="254"/>
      <c r="I16" s="258"/>
      <c r="L16" s="8"/>
    </row>
    <row r="17" spans="2:13" x14ac:dyDescent="0.25">
      <c r="B17" s="649" t="s">
        <v>13</v>
      </c>
      <c r="C17" s="650"/>
      <c r="D17" s="37">
        <v>20000</v>
      </c>
      <c r="E17" s="260" t="s">
        <v>2</v>
      </c>
      <c r="F17" s="651" t="s">
        <v>12</v>
      </c>
      <c r="G17" s="651"/>
      <c r="H17" s="652"/>
      <c r="I17" s="653"/>
      <c r="L17" s="8"/>
    </row>
    <row r="18" spans="2:13" x14ac:dyDescent="0.25">
      <c r="B18" s="523" t="s">
        <v>11</v>
      </c>
      <c r="C18" s="525"/>
      <c r="D18" s="82">
        <v>10</v>
      </c>
      <c r="E18" s="11" t="s">
        <v>10</v>
      </c>
      <c r="F18" s="526" t="s">
        <v>9</v>
      </c>
      <c r="G18" s="526"/>
      <c r="H18" s="527"/>
      <c r="I18" s="528"/>
      <c r="L18" s="8"/>
    </row>
    <row r="19" spans="2:13" x14ac:dyDescent="0.25">
      <c r="B19" s="523" t="s">
        <v>8</v>
      </c>
      <c r="C19" s="525"/>
      <c r="D19" s="11">
        <v>1</v>
      </c>
      <c r="E19" s="11" t="s">
        <v>231</v>
      </c>
      <c r="F19" s="526" t="s">
        <v>6</v>
      </c>
      <c r="G19" s="526"/>
      <c r="H19" s="527"/>
      <c r="I19" s="528"/>
      <c r="L19" s="8"/>
    </row>
    <row r="20" spans="2:13" x14ac:dyDescent="0.25">
      <c r="B20" s="523" t="s">
        <v>5</v>
      </c>
      <c r="C20" s="525"/>
      <c r="D20" s="29">
        <f>D17</f>
        <v>20000</v>
      </c>
      <c r="E20" s="11" t="s">
        <v>2</v>
      </c>
      <c r="F20" s="654" t="s">
        <v>4</v>
      </c>
      <c r="G20" s="655"/>
      <c r="H20" s="527"/>
      <c r="I20" s="528"/>
      <c r="L20" s="8"/>
      <c r="M20" s="4"/>
    </row>
    <row r="21" spans="2:13" ht="14.25" thickBot="1" x14ac:dyDescent="0.3">
      <c r="B21" s="534" t="s">
        <v>3</v>
      </c>
      <c r="C21" s="536"/>
      <c r="D21" s="83">
        <f>SUM(E9:E13)-D17</f>
        <v>1016</v>
      </c>
      <c r="E21" s="263" t="s">
        <v>2</v>
      </c>
      <c r="F21" s="537"/>
      <c r="G21" s="537"/>
      <c r="H21" s="599"/>
      <c r="I21" s="600"/>
      <c r="L21" s="8"/>
    </row>
    <row r="22" spans="2:13" ht="14.25" thickBot="1" x14ac:dyDescent="0.3">
      <c r="B22" s="659" t="s">
        <v>1</v>
      </c>
      <c r="C22" s="660"/>
      <c r="D22" s="660"/>
      <c r="E22" s="660"/>
      <c r="F22" s="660"/>
      <c r="G22" s="660"/>
      <c r="H22" s="660"/>
      <c r="I22" s="661"/>
    </row>
    <row r="23" spans="2:13" ht="16.5" customHeight="1" x14ac:dyDescent="0.25">
      <c r="B23" s="656" t="s">
        <v>298</v>
      </c>
      <c r="C23" s="657"/>
      <c r="D23" s="657"/>
      <c r="E23" s="657"/>
      <c r="F23" s="657"/>
      <c r="G23" s="657"/>
      <c r="H23" s="657"/>
      <c r="I23" s="658"/>
    </row>
    <row r="24" spans="2:13" ht="16.5" customHeight="1" x14ac:dyDescent="0.25">
      <c r="B24" s="656" t="s">
        <v>68</v>
      </c>
      <c r="C24" s="657"/>
      <c r="D24" s="657"/>
      <c r="E24" s="657"/>
      <c r="F24" s="657"/>
      <c r="G24" s="657"/>
      <c r="H24" s="657"/>
      <c r="I24" s="658"/>
    </row>
    <row r="25" spans="2:13" ht="16.5" customHeight="1" x14ac:dyDescent="0.25">
      <c r="B25" s="656" t="s">
        <v>69</v>
      </c>
      <c r="C25" s="657"/>
      <c r="D25" s="657"/>
      <c r="E25" s="657"/>
      <c r="F25" s="657"/>
      <c r="G25" s="657"/>
      <c r="H25" s="657"/>
      <c r="I25" s="658"/>
    </row>
    <row r="26" spans="2:13" ht="16.5" customHeight="1" x14ac:dyDescent="0.25">
      <c r="B26" s="656" t="s">
        <v>70</v>
      </c>
      <c r="C26" s="657"/>
      <c r="D26" s="657"/>
      <c r="E26" s="657"/>
      <c r="F26" s="657"/>
      <c r="G26" s="657"/>
      <c r="H26" s="657"/>
      <c r="I26" s="658"/>
    </row>
    <row r="27" spans="2:13" ht="15.75" thickBot="1" x14ac:dyDescent="0.3">
      <c r="B27" s="656" t="s">
        <v>71</v>
      </c>
      <c r="C27" s="657"/>
      <c r="D27" s="657"/>
      <c r="E27" s="657"/>
      <c r="F27" s="657"/>
      <c r="G27" s="657"/>
      <c r="H27" s="657"/>
      <c r="I27" s="658"/>
    </row>
    <row r="28" spans="2:13" ht="14.25" thickBot="1" x14ac:dyDescent="0.3">
      <c r="B28" s="659" t="s">
        <v>299</v>
      </c>
      <c r="C28" s="660"/>
      <c r="D28" s="660"/>
      <c r="E28" s="660"/>
      <c r="F28" s="660"/>
      <c r="G28" s="660"/>
      <c r="H28" s="660"/>
      <c r="I28" s="661"/>
    </row>
    <row r="30" spans="2:13" x14ac:dyDescent="0.25">
      <c r="C30" s="264"/>
    </row>
  </sheetData>
  <mergeCells count="38">
    <mergeCell ref="B25:I25"/>
    <mergeCell ref="B26:I26"/>
    <mergeCell ref="B27:I27"/>
    <mergeCell ref="B28:I28"/>
    <mergeCell ref="B21:C21"/>
    <mergeCell ref="F21:G21"/>
    <mergeCell ref="H21:I21"/>
    <mergeCell ref="B22:I22"/>
    <mergeCell ref="B23:I23"/>
    <mergeCell ref="B24:I24"/>
    <mergeCell ref="B19:C19"/>
    <mergeCell ref="F19:G19"/>
    <mergeCell ref="H19:I19"/>
    <mergeCell ref="B20:C20"/>
    <mergeCell ref="F20:G20"/>
    <mergeCell ref="H20:I20"/>
    <mergeCell ref="B18:C18"/>
    <mergeCell ref="F18:G18"/>
    <mergeCell ref="H18:I18"/>
    <mergeCell ref="A6:A7"/>
    <mergeCell ref="B6:B7"/>
    <mergeCell ref="C6:C7"/>
    <mergeCell ref="D6:D7"/>
    <mergeCell ref="E6:F6"/>
    <mergeCell ref="G6:H6"/>
    <mergeCell ref="G9:H9"/>
    <mergeCell ref="G10:H10"/>
    <mergeCell ref="B17:C17"/>
    <mergeCell ref="F17:G17"/>
    <mergeCell ref="H17:I17"/>
    <mergeCell ref="I3:I5"/>
    <mergeCell ref="D4:G4"/>
    <mergeCell ref="D5:G5"/>
    <mergeCell ref="B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42E2-354B-4C1D-9183-A366A3B205F2}">
  <dimension ref="A1:Q91"/>
  <sheetViews>
    <sheetView topLeftCell="A4" workbookViewId="0">
      <selection activeCell="B12" sqref="B12"/>
    </sheetView>
  </sheetViews>
  <sheetFormatPr baseColWidth="10" defaultColWidth="8.42578125" defaultRowHeight="12.75" x14ac:dyDescent="0.25"/>
  <cols>
    <col min="1" max="1" width="10" style="110" bestFit="1" customWidth="1"/>
    <col min="2" max="2" width="44.28515625" style="110" bestFit="1" customWidth="1"/>
    <col min="3" max="3" width="10.42578125" style="110" bestFit="1" customWidth="1"/>
    <col min="4" max="4" width="10.42578125" style="110" customWidth="1"/>
    <col min="5" max="5" width="9.7109375" style="110" bestFit="1" customWidth="1"/>
    <col min="6" max="6" width="9.5703125" style="110" bestFit="1" customWidth="1"/>
    <col min="7" max="7" width="9.5703125" style="192" bestFit="1" customWidth="1"/>
    <col min="8" max="8" width="10.42578125" style="183" bestFit="1" customWidth="1"/>
    <col min="9" max="9" width="4.5703125" style="183" customWidth="1"/>
    <col min="10" max="10" width="1.7109375" style="109" customWidth="1"/>
    <col min="11" max="11" width="7" style="110" bestFit="1" customWidth="1"/>
    <col min="12" max="12" width="6.28515625" style="110" customWidth="1"/>
    <col min="13" max="13" width="20.42578125" style="110" customWidth="1"/>
    <col min="14" max="14" width="6.42578125" style="110" bestFit="1" customWidth="1"/>
    <col min="15" max="16" width="8.42578125" style="110"/>
    <col min="17" max="17" width="3.28515625" style="110" customWidth="1"/>
    <col min="18" max="256" width="8.42578125" style="110"/>
    <col min="257" max="257" width="10" style="110" bestFit="1" customWidth="1"/>
    <col min="258" max="258" width="44.28515625" style="110" bestFit="1" customWidth="1"/>
    <col min="259" max="259" width="10.42578125" style="110" bestFit="1" customWidth="1"/>
    <col min="260" max="260" width="10.42578125" style="110" customWidth="1"/>
    <col min="261" max="261" width="9.7109375" style="110" bestFit="1" customWidth="1"/>
    <col min="262" max="263" width="9.5703125" style="110" bestFit="1" customWidth="1"/>
    <col min="264" max="264" width="10.42578125" style="110" bestFit="1" customWidth="1"/>
    <col min="265" max="265" width="4.5703125" style="110" customWidth="1"/>
    <col min="266" max="266" width="1.7109375" style="110" customWidth="1"/>
    <col min="267" max="267" width="7" style="110" bestFit="1" customWidth="1"/>
    <col min="268" max="268" width="6.28515625" style="110" customWidth="1"/>
    <col min="269" max="269" width="20.42578125" style="110" customWidth="1"/>
    <col min="270" max="270" width="6.42578125" style="110" bestFit="1" customWidth="1"/>
    <col min="271" max="272" width="8.42578125" style="110"/>
    <col min="273" max="273" width="3.28515625" style="110" customWidth="1"/>
    <col min="274" max="512" width="8.42578125" style="110"/>
    <col min="513" max="513" width="10" style="110" bestFit="1" customWidth="1"/>
    <col min="514" max="514" width="44.28515625" style="110" bestFit="1" customWidth="1"/>
    <col min="515" max="515" width="10.42578125" style="110" bestFit="1" customWidth="1"/>
    <col min="516" max="516" width="10.42578125" style="110" customWidth="1"/>
    <col min="517" max="517" width="9.7109375" style="110" bestFit="1" customWidth="1"/>
    <col min="518" max="519" width="9.5703125" style="110" bestFit="1" customWidth="1"/>
    <col min="520" max="520" width="10.42578125" style="110" bestFit="1" customWidth="1"/>
    <col min="521" max="521" width="4.5703125" style="110" customWidth="1"/>
    <col min="522" max="522" width="1.7109375" style="110" customWidth="1"/>
    <col min="523" max="523" width="7" style="110" bestFit="1" customWidth="1"/>
    <col min="524" max="524" width="6.28515625" style="110" customWidth="1"/>
    <col min="525" max="525" width="20.42578125" style="110" customWidth="1"/>
    <col min="526" max="526" width="6.42578125" style="110" bestFit="1" customWidth="1"/>
    <col min="527" max="528" width="8.42578125" style="110"/>
    <col min="529" max="529" width="3.28515625" style="110" customWidth="1"/>
    <col min="530" max="768" width="8.42578125" style="110"/>
    <col min="769" max="769" width="10" style="110" bestFit="1" customWidth="1"/>
    <col min="770" max="770" width="44.28515625" style="110" bestFit="1" customWidth="1"/>
    <col min="771" max="771" width="10.42578125" style="110" bestFit="1" customWidth="1"/>
    <col min="772" max="772" width="10.42578125" style="110" customWidth="1"/>
    <col min="773" max="773" width="9.7109375" style="110" bestFit="1" customWidth="1"/>
    <col min="774" max="775" width="9.5703125" style="110" bestFit="1" customWidth="1"/>
    <col min="776" max="776" width="10.42578125" style="110" bestFit="1" customWidth="1"/>
    <col min="777" max="777" width="4.5703125" style="110" customWidth="1"/>
    <col min="778" max="778" width="1.7109375" style="110" customWidth="1"/>
    <col min="779" max="779" width="7" style="110" bestFit="1" customWidth="1"/>
    <col min="780" max="780" width="6.28515625" style="110" customWidth="1"/>
    <col min="781" max="781" width="20.42578125" style="110" customWidth="1"/>
    <col min="782" max="782" width="6.42578125" style="110" bestFit="1" customWidth="1"/>
    <col min="783" max="784" width="8.42578125" style="110"/>
    <col min="785" max="785" width="3.28515625" style="110" customWidth="1"/>
    <col min="786" max="1024" width="8.42578125" style="110"/>
    <col min="1025" max="1025" width="10" style="110" bestFit="1" customWidth="1"/>
    <col min="1026" max="1026" width="44.28515625" style="110" bestFit="1" customWidth="1"/>
    <col min="1027" max="1027" width="10.42578125" style="110" bestFit="1" customWidth="1"/>
    <col min="1028" max="1028" width="10.42578125" style="110" customWidth="1"/>
    <col min="1029" max="1029" width="9.7109375" style="110" bestFit="1" customWidth="1"/>
    <col min="1030" max="1031" width="9.5703125" style="110" bestFit="1" customWidth="1"/>
    <col min="1032" max="1032" width="10.42578125" style="110" bestFit="1" customWidth="1"/>
    <col min="1033" max="1033" width="4.5703125" style="110" customWidth="1"/>
    <col min="1034" max="1034" width="1.7109375" style="110" customWidth="1"/>
    <col min="1035" max="1035" width="7" style="110" bestFit="1" customWidth="1"/>
    <col min="1036" max="1036" width="6.28515625" style="110" customWidth="1"/>
    <col min="1037" max="1037" width="20.42578125" style="110" customWidth="1"/>
    <col min="1038" max="1038" width="6.42578125" style="110" bestFit="1" customWidth="1"/>
    <col min="1039" max="1040" width="8.42578125" style="110"/>
    <col min="1041" max="1041" width="3.28515625" style="110" customWidth="1"/>
    <col min="1042" max="1280" width="8.42578125" style="110"/>
    <col min="1281" max="1281" width="10" style="110" bestFit="1" customWidth="1"/>
    <col min="1282" max="1282" width="44.28515625" style="110" bestFit="1" customWidth="1"/>
    <col min="1283" max="1283" width="10.42578125" style="110" bestFit="1" customWidth="1"/>
    <col min="1284" max="1284" width="10.42578125" style="110" customWidth="1"/>
    <col min="1285" max="1285" width="9.7109375" style="110" bestFit="1" customWidth="1"/>
    <col min="1286" max="1287" width="9.5703125" style="110" bestFit="1" customWidth="1"/>
    <col min="1288" max="1288" width="10.42578125" style="110" bestFit="1" customWidth="1"/>
    <col min="1289" max="1289" width="4.5703125" style="110" customWidth="1"/>
    <col min="1290" max="1290" width="1.7109375" style="110" customWidth="1"/>
    <col min="1291" max="1291" width="7" style="110" bestFit="1" customWidth="1"/>
    <col min="1292" max="1292" width="6.28515625" style="110" customWidth="1"/>
    <col min="1293" max="1293" width="20.42578125" style="110" customWidth="1"/>
    <col min="1294" max="1294" width="6.42578125" style="110" bestFit="1" customWidth="1"/>
    <col min="1295" max="1296" width="8.42578125" style="110"/>
    <col min="1297" max="1297" width="3.28515625" style="110" customWidth="1"/>
    <col min="1298" max="1536" width="8.42578125" style="110"/>
    <col min="1537" max="1537" width="10" style="110" bestFit="1" customWidth="1"/>
    <col min="1538" max="1538" width="44.28515625" style="110" bestFit="1" customWidth="1"/>
    <col min="1539" max="1539" width="10.42578125" style="110" bestFit="1" customWidth="1"/>
    <col min="1540" max="1540" width="10.42578125" style="110" customWidth="1"/>
    <col min="1541" max="1541" width="9.7109375" style="110" bestFit="1" customWidth="1"/>
    <col min="1542" max="1543" width="9.5703125" style="110" bestFit="1" customWidth="1"/>
    <col min="1544" max="1544" width="10.42578125" style="110" bestFit="1" customWidth="1"/>
    <col min="1545" max="1545" width="4.5703125" style="110" customWidth="1"/>
    <col min="1546" max="1546" width="1.7109375" style="110" customWidth="1"/>
    <col min="1547" max="1547" width="7" style="110" bestFit="1" customWidth="1"/>
    <col min="1548" max="1548" width="6.28515625" style="110" customWidth="1"/>
    <col min="1549" max="1549" width="20.42578125" style="110" customWidth="1"/>
    <col min="1550" max="1550" width="6.42578125" style="110" bestFit="1" customWidth="1"/>
    <col min="1551" max="1552" width="8.42578125" style="110"/>
    <col min="1553" max="1553" width="3.28515625" style="110" customWidth="1"/>
    <col min="1554" max="1792" width="8.42578125" style="110"/>
    <col min="1793" max="1793" width="10" style="110" bestFit="1" customWidth="1"/>
    <col min="1794" max="1794" width="44.28515625" style="110" bestFit="1" customWidth="1"/>
    <col min="1795" max="1795" width="10.42578125" style="110" bestFit="1" customWidth="1"/>
    <col min="1796" max="1796" width="10.42578125" style="110" customWidth="1"/>
    <col min="1797" max="1797" width="9.7109375" style="110" bestFit="1" customWidth="1"/>
    <col min="1798" max="1799" width="9.5703125" style="110" bestFit="1" customWidth="1"/>
    <col min="1800" max="1800" width="10.42578125" style="110" bestFit="1" customWidth="1"/>
    <col min="1801" max="1801" width="4.5703125" style="110" customWidth="1"/>
    <col min="1802" max="1802" width="1.7109375" style="110" customWidth="1"/>
    <col min="1803" max="1803" width="7" style="110" bestFit="1" customWidth="1"/>
    <col min="1804" max="1804" width="6.28515625" style="110" customWidth="1"/>
    <col min="1805" max="1805" width="20.42578125" style="110" customWidth="1"/>
    <col min="1806" max="1806" width="6.42578125" style="110" bestFit="1" customWidth="1"/>
    <col min="1807" max="1808" width="8.42578125" style="110"/>
    <col min="1809" max="1809" width="3.28515625" style="110" customWidth="1"/>
    <col min="1810" max="2048" width="8.42578125" style="110"/>
    <col min="2049" max="2049" width="10" style="110" bestFit="1" customWidth="1"/>
    <col min="2050" max="2050" width="44.28515625" style="110" bestFit="1" customWidth="1"/>
    <col min="2051" max="2051" width="10.42578125" style="110" bestFit="1" customWidth="1"/>
    <col min="2052" max="2052" width="10.42578125" style="110" customWidth="1"/>
    <col min="2053" max="2053" width="9.7109375" style="110" bestFit="1" customWidth="1"/>
    <col min="2054" max="2055" width="9.5703125" style="110" bestFit="1" customWidth="1"/>
    <col min="2056" max="2056" width="10.42578125" style="110" bestFit="1" customWidth="1"/>
    <col min="2057" max="2057" width="4.5703125" style="110" customWidth="1"/>
    <col min="2058" max="2058" width="1.7109375" style="110" customWidth="1"/>
    <col min="2059" max="2059" width="7" style="110" bestFit="1" customWidth="1"/>
    <col min="2060" max="2060" width="6.28515625" style="110" customWidth="1"/>
    <col min="2061" max="2061" width="20.42578125" style="110" customWidth="1"/>
    <col min="2062" max="2062" width="6.42578125" style="110" bestFit="1" customWidth="1"/>
    <col min="2063" max="2064" width="8.42578125" style="110"/>
    <col min="2065" max="2065" width="3.28515625" style="110" customWidth="1"/>
    <col min="2066" max="2304" width="8.42578125" style="110"/>
    <col min="2305" max="2305" width="10" style="110" bestFit="1" customWidth="1"/>
    <col min="2306" max="2306" width="44.28515625" style="110" bestFit="1" customWidth="1"/>
    <col min="2307" max="2307" width="10.42578125" style="110" bestFit="1" customWidth="1"/>
    <col min="2308" max="2308" width="10.42578125" style="110" customWidth="1"/>
    <col min="2309" max="2309" width="9.7109375" style="110" bestFit="1" customWidth="1"/>
    <col min="2310" max="2311" width="9.5703125" style="110" bestFit="1" customWidth="1"/>
    <col min="2312" max="2312" width="10.42578125" style="110" bestFit="1" customWidth="1"/>
    <col min="2313" max="2313" width="4.5703125" style="110" customWidth="1"/>
    <col min="2314" max="2314" width="1.7109375" style="110" customWidth="1"/>
    <col min="2315" max="2315" width="7" style="110" bestFit="1" customWidth="1"/>
    <col min="2316" max="2316" width="6.28515625" style="110" customWidth="1"/>
    <col min="2317" max="2317" width="20.42578125" style="110" customWidth="1"/>
    <col min="2318" max="2318" width="6.42578125" style="110" bestFit="1" customWidth="1"/>
    <col min="2319" max="2320" width="8.42578125" style="110"/>
    <col min="2321" max="2321" width="3.28515625" style="110" customWidth="1"/>
    <col min="2322" max="2560" width="8.42578125" style="110"/>
    <col min="2561" max="2561" width="10" style="110" bestFit="1" customWidth="1"/>
    <col min="2562" max="2562" width="44.28515625" style="110" bestFit="1" customWidth="1"/>
    <col min="2563" max="2563" width="10.42578125" style="110" bestFit="1" customWidth="1"/>
    <col min="2564" max="2564" width="10.42578125" style="110" customWidth="1"/>
    <col min="2565" max="2565" width="9.7109375" style="110" bestFit="1" customWidth="1"/>
    <col min="2566" max="2567" width="9.5703125" style="110" bestFit="1" customWidth="1"/>
    <col min="2568" max="2568" width="10.42578125" style="110" bestFit="1" customWidth="1"/>
    <col min="2569" max="2569" width="4.5703125" style="110" customWidth="1"/>
    <col min="2570" max="2570" width="1.7109375" style="110" customWidth="1"/>
    <col min="2571" max="2571" width="7" style="110" bestFit="1" customWidth="1"/>
    <col min="2572" max="2572" width="6.28515625" style="110" customWidth="1"/>
    <col min="2573" max="2573" width="20.42578125" style="110" customWidth="1"/>
    <col min="2574" max="2574" width="6.42578125" style="110" bestFit="1" customWidth="1"/>
    <col min="2575" max="2576" width="8.42578125" style="110"/>
    <col min="2577" max="2577" width="3.28515625" style="110" customWidth="1"/>
    <col min="2578" max="2816" width="8.42578125" style="110"/>
    <col min="2817" max="2817" width="10" style="110" bestFit="1" customWidth="1"/>
    <col min="2818" max="2818" width="44.28515625" style="110" bestFit="1" customWidth="1"/>
    <col min="2819" max="2819" width="10.42578125" style="110" bestFit="1" customWidth="1"/>
    <col min="2820" max="2820" width="10.42578125" style="110" customWidth="1"/>
    <col min="2821" max="2821" width="9.7109375" style="110" bestFit="1" customWidth="1"/>
    <col min="2822" max="2823" width="9.5703125" style="110" bestFit="1" customWidth="1"/>
    <col min="2824" max="2824" width="10.42578125" style="110" bestFit="1" customWidth="1"/>
    <col min="2825" max="2825" width="4.5703125" style="110" customWidth="1"/>
    <col min="2826" max="2826" width="1.7109375" style="110" customWidth="1"/>
    <col min="2827" max="2827" width="7" style="110" bestFit="1" customWidth="1"/>
    <col min="2828" max="2828" width="6.28515625" style="110" customWidth="1"/>
    <col min="2829" max="2829" width="20.42578125" style="110" customWidth="1"/>
    <col min="2830" max="2830" width="6.42578125" style="110" bestFit="1" customWidth="1"/>
    <col min="2831" max="2832" width="8.42578125" style="110"/>
    <col min="2833" max="2833" width="3.28515625" style="110" customWidth="1"/>
    <col min="2834" max="3072" width="8.42578125" style="110"/>
    <col min="3073" max="3073" width="10" style="110" bestFit="1" customWidth="1"/>
    <col min="3074" max="3074" width="44.28515625" style="110" bestFit="1" customWidth="1"/>
    <col min="3075" max="3075" width="10.42578125" style="110" bestFit="1" customWidth="1"/>
    <col min="3076" max="3076" width="10.42578125" style="110" customWidth="1"/>
    <col min="3077" max="3077" width="9.7109375" style="110" bestFit="1" customWidth="1"/>
    <col min="3078" max="3079" width="9.5703125" style="110" bestFit="1" customWidth="1"/>
    <col min="3080" max="3080" width="10.42578125" style="110" bestFit="1" customWidth="1"/>
    <col min="3081" max="3081" width="4.5703125" style="110" customWidth="1"/>
    <col min="3082" max="3082" width="1.7109375" style="110" customWidth="1"/>
    <col min="3083" max="3083" width="7" style="110" bestFit="1" customWidth="1"/>
    <col min="3084" max="3084" width="6.28515625" style="110" customWidth="1"/>
    <col min="3085" max="3085" width="20.42578125" style="110" customWidth="1"/>
    <col min="3086" max="3086" width="6.42578125" style="110" bestFit="1" customWidth="1"/>
    <col min="3087" max="3088" width="8.42578125" style="110"/>
    <col min="3089" max="3089" width="3.28515625" style="110" customWidth="1"/>
    <col min="3090" max="3328" width="8.42578125" style="110"/>
    <col min="3329" max="3329" width="10" style="110" bestFit="1" customWidth="1"/>
    <col min="3330" max="3330" width="44.28515625" style="110" bestFit="1" customWidth="1"/>
    <col min="3331" max="3331" width="10.42578125" style="110" bestFit="1" customWidth="1"/>
    <col min="3332" max="3332" width="10.42578125" style="110" customWidth="1"/>
    <col min="3333" max="3333" width="9.7109375" style="110" bestFit="1" customWidth="1"/>
    <col min="3334" max="3335" width="9.5703125" style="110" bestFit="1" customWidth="1"/>
    <col min="3336" max="3336" width="10.42578125" style="110" bestFit="1" customWidth="1"/>
    <col min="3337" max="3337" width="4.5703125" style="110" customWidth="1"/>
    <col min="3338" max="3338" width="1.7109375" style="110" customWidth="1"/>
    <col min="3339" max="3339" width="7" style="110" bestFit="1" customWidth="1"/>
    <col min="3340" max="3340" width="6.28515625" style="110" customWidth="1"/>
    <col min="3341" max="3341" width="20.42578125" style="110" customWidth="1"/>
    <col min="3342" max="3342" width="6.42578125" style="110" bestFit="1" customWidth="1"/>
    <col min="3343" max="3344" width="8.42578125" style="110"/>
    <col min="3345" max="3345" width="3.28515625" style="110" customWidth="1"/>
    <col min="3346" max="3584" width="8.42578125" style="110"/>
    <col min="3585" max="3585" width="10" style="110" bestFit="1" customWidth="1"/>
    <col min="3586" max="3586" width="44.28515625" style="110" bestFit="1" customWidth="1"/>
    <col min="3587" max="3587" width="10.42578125" style="110" bestFit="1" customWidth="1"/>
    <col min="3588" max="3588" width="10.42578125" style="110" customWidth="1"/>
    <col min="3589" max="3589" width="9.7109375" style="110" bestFit="1" customWidth="1"/>
    <col min="3590" max="3591" width="9.5703125" style="110" bestFit="1" customWidth="1"/>
    <col min="3592" max="3592" width="10.42578125" style="110" bestFit="1" customWidth="1"/>
    <col min="3593" max="3593" width="4.5703125" style="110" customWidth="1"/>
    <col min="3594" max="3594" width="1.7109375" style="110" customWidth="1"/>
    <col min="3595" max="3595" width="7" style="110" bestFit="1" customWidth="1"/>
    <col min="3596" max="3596" width="6.28515625" style="110" customWidth="1"/>
    <col min="3597" max="3597" width="20.42578125" style="110" customWidth="1"/>
    <col min="3598" max="3598" width="6.42578125" style="110" bestFit="1" customWidth="1"/>
    <col min="3599" max="3600" width="8.42578125" style="110"/>
    <col min="3601" max="3601" width="3.28515625" style="110" customWidth="1"/>
    <col min="3602" max="3840" width="8.42578125" style="110"/>
    <col min="3841" max="3841" width="10" style="110" bestFit="1" customWidth="1"/>
    <col min="3842" max="3842" width="44.28515625" style="110" bestFit="1" customWidth="1"/>
    <col min="3843" max="3843" width="10.42578125" style="110" bestFit="1" customWidth="1"/>
    <col min="3844" max="3844" width="10.42578125" style="110" customWidth="1"/>
    <col min="3845" max="3845" width="9.7109375" style="110" bestFit="1" customWidth="1"/>
    <col min="3846" max="3847" width="9.5703125" style="110" bestFit="1" customWidth="1"/>
    <col min="3848" max="3848" width="10.42578125" style="110" bestFit="1" customWidth="1"/>
    <col min="3849" max="3849" width="4.5703125" style="110" customWidth="1"/>
    <col min="3850" max="3850" width="1.7109375" style="110" customWidth="1"/>
    <col min="3851" max="3851" width="7" style="110" bestFit="1" customWidth="1"/>
    <col min="3852" max="3852" width="6.28515625" style="110" customWidth="1"/>
    <col min="3853" max="3853" width="20.42578125" style="110" customWidth="1"/>
    <col min="3854" max="3854" width="6.42578125" style="110" bestFit="1" customWidth="1"/>
    <col min="3855" max="3856" width="8.42578125" style="110"/>
    <col min="3857" max="3857" width="3.28515625" style="110" customWidth="1"/>
    <col min="3858" max="4096" width="8.42578125" style="110"/>
    <col min="4097" max="4097" width="10" style="110" bestFit="1" customWidth="1"/>
    <col min="4098" max="4098" width="44.28515625" style="110" bestFit="1" customWidth="1"/>
    <col min="4099" max="4099" width="10.42578125" style="110" bestFit="1" customWidth="1"/>
    <col min="4100" max="4100" width="10.42578125" style="110" customWidth="1"/>
    <col min="4101" max="4101" width="9.7109375" style="110" bestFit="1" customWidth="1"/>
    <col min="4102" max="4103" width="9.5703125" style="110" bestFit="1" customWidth="1"/>
    <col min="4104" max="4104" width="10.42578125" style="110" bestFit="1" customWidth="1"/>
    <col min="4105" max="4105" width="4.5703125" style="110" customWidth="1"/>
    <col min="4106" max="4106" width="1.7109375" style="110" customWidth="1"/>
    <col min="4107" max="4107" width="7" style="110" bestFit="1" customWidth="1"/>
    <col min="4108" max="4108" width="6.28515625" style="110" customWidth="1"/>
    <col min="4109" max="4109" width="20.42578125" style="110" customWidth="1"/>
    <col min="4110" max="4110" width="6.42578125" style="110" bestFit="1" customWidth="1"/>
    <col min="4111" max="4112" width="8.42578125" style="110"/>
    <col min="4113" max="4113" width="3.28515625" style="110" customWidth="1"/>
    <col min="4114" max="4352" width="8.42578125" style="110"/>
    <col min="4353" max="4353" width="10" style="110" bestFit="1" customWidth="1"/>
    <col min="4354" max="4354" width="44.28515625" style="110" bestFit="1" customWidth="1"/>
    <col min="4355" max="4355" width="10.42578125" style="110" bestFit="1" customWidth="1"/>
    <col min="4356" max="4356" width="10.42578125" style="110" customWidth="1"/>
    <col min="4357" max="4357" width="9.7109375" style="110" bestFit="1" customWidth="1"/>
    <col min="4358" max="4359" width="9.5703125" style="110" bestFit="1" customWidth="1"/>
    <col min="4360" max="4360" width="10.42578125" style="110" bestFit="1" customWidth="1"/>
    <col min="4361" max="4361" width="4.5703125" style="110" customWidth="1"/>
    <col min="4362" max="4362" width="1.7109375" style="110" customWidth="1"/>
    <col min="4363" max="4363" width="7" style="110" bestFit="1" customWidth="1"/>
    <col min="4364" max="4364" width="6.28515625" style="110" customWidth="1"/>
    <col min="4365" max="4365" width="20.42578125" style="110" customWidth="1"/>
    <col min="4366" max="4366" width="6.42578125" style="110" bestFit="1" customWidth="1"/>
    <col min="4367" max="4368" width="8.42578125" style="110"/>
    <col min="4369" max="4369" width="3.28515625" style="110" customWidth="1"/>
    <col min="4370" max="4608" width="8.42578125" style="110"/>
    <col min="4609" max="4609" width="10" style="110" bestFit="1" customWidth="1"/>
    <col min="4610" max="4610" width="44.28515625" style="110" bestFit="1" customWidth="1"/>
    <col min="4611" max="4611" width="10.42578125" style="110" bestFit="1" customWidth="1"/>
    <col min="4612" max="4612" width="10.42578125" style="110" customWidth="1"/>
    <col min="4613" max="4613" width="9.7109375" style="110" bestFit="1" customWidth="1"/>
    <col min="4614" max="4615" width="9.5703125" style="110" bestFit="1" customWidth="1"/>
    <col min="4616" max="4616" width="10.42578125" style="110" bestFit="1" customWidth="1"/>
    <col min="4617" max="4617" width="4.5703125" style="110" customWidth="1"/>
    <col min="4618" max="4618" width="1.7109375" style="110" customWidth="1"/>
    <col min="4619" max="4619" width="7" style="110" bestFit="1" customWidth="1"/>
    <col min="4620" max="4620" width="6.28515625" style="110" customWidth="1"/>
    <col min="4621" max="4621" width="20.42578125" style="110" customWidth="1"/>
    <col min="4622" max="4622" width="6.42578125" style="110" bestFit="1" customWidth="1"/>
    <col min="4623" max="4624" width="8.42578125" style="110"/>
    <col min="4625" max="4625" width="3.28515625" style="110" customWidth="1"/>
    <col min="4626" max="4864" width="8.42578125" style="110"/>
    <col min="4865" max="4865" width="10" style="110" bestFit="1" customWidth="1"/>
    <col min="4866" max="4866" width="44.28515625" style="110" bestFit="1" customWidth="1"/>
    <col min="4867" max="4867" width="10.42578125" style="110" bestFit="1" customWidth="1"/>
    <col min="4868" max="4868" width="10.42578125" style="110" customWidth="1"/>
    <col min="4869" max="4869" width="9.7109375" style="110" bestFit="1" customWidth="1"/>
    <col min="4870" max="4871" width="9.5703125" style="110" bestFit="1" customWidth="1"/>
    <col min="4872" max="4872" width="10.42578125" style="110" bestFit="1" customWidth="1"/>
    <col min="4873" max="4873" width="4.5703125" style="110" customWidth="1"/>
    <col min="4874" max="4874" width="1.7109375" style="110" customWidth="1"/>
    <col min="4875" max="4875" width="7" style="110" bestFit="1" customWidth="1"/>
    <col min="4876" max="4876" width="6.28515625" style="110" customWidth="1"/>
    <col min="4877" max="4877" width="20.42578125" style="110" customWidth="1"/>
    <col min="4878" max="4878" width="6.42578125" style="110" bestFit="1" customWidth="1"/>
    <col min="4879" max="4880" width="8.42578125" style="110"/>
    <col min="4881" max="4881" width="3.28515625" style="110" customWidth="1"/>
    <col min="4882" max="5120" width="8.42578125" style="110"/>
    <col min="5121" max="5121" width="10" style="110" bestFit="1" customWidth="1"/>
    <col min="5122" max="5122" width="44.28515625" style="110" bestFit="1" customWidth="1"/>
    <col min="5123" max="5123" width="10.42578125" style="110" bestFit="1" customWidth="1"/>
    <col min="5124" max="5124" width="10.42578125" style="110" customWidth="1"/>
    <col min="5125" max="5125" width="9.7109375" style="110" bestFit="1" customWidth="1"/>
    <col min="5126" max="5127" width="9.5703125" style="110" bestFit="1" customWidth="1"/>
    <col min="5128" max="5128" width="10.42578125" style="110" bestFit="1" customWidth="1"/>
    <col min="5129" max="5129" width="4.5703125" style="110" customWidth="1"/>
    <col min="5130" max="5130" width="1.7109375" style="110" customWidth="1"/>
    <col min="5131" max="5131" width="7" style="110" bestFit="1" customWidth="1"/>
    <col min="5132" max="5132" width="6.28515625" style="110" customWidth="1"/>
    <col min="5133" max="5133" width="20.42578125" style="110" customWidth="1"/>
    <col min="5134" max="5134" width="6.42578125" style="110" bestFit="1" customWidth="1"/>
    <col min="5135" max="5136" width="8.42578125" style="110"/>
    <col min="5137" max="5137" width="3.28515625" style="110" customWidth="1"/>
    <col min="5138" max="5376" width="8.42578125" style="110"/>
    <col min="5377" max="5377" width="10" style="110" bestFit="1" customWidth="1"/>
    <col min="5378" max="5378" width="44.28515625" style="110" bestFit="1" customWidth="1"/>
    <col min="5379" max="5379" width="10.42578125" style="110" bestFit="1" customWidth="1"/>
    <col min="5380" max="5380" width="10.42578125" style="110" customWidth="1"/>
    <col min="5381" max="5381" width="9.7109375" style="110" bestFit="1" customWidth="1"/>
    <col min="5382" max="5383" width="9.5703125" style="110" bestFit="1" customWidth="1"/>
    <col min="5384" max="5384" width="10.42578125" style="110" bestFit="1" customWidth="1"/>
    <col min="5385" max="5385" width="4.5703125" style="110" customWidth="1"/>
    <col min="5386" max="5386" width="1.7109375" style="110" customWidth="1"/>
    <col min="5387" max="5387" width="7" style="110" bestFit="1" customWidth="1"/>
    <col min="5388" max="5388" width="6.28515625" style="110" customWidth="1"/>
    <col min="5389" max="5389" width="20.42578125" style="110" customWidth="1"/>
    <col min="5390" max="5390" width="6.42578125" style="110" bestFit="1" customWidth="1"/>
    <col min="5391" max="5392" width="8.42578125" style="110"/>
    <col min="5393" max="5393" width="3.28515625" style="110" customWidth="1"/>
    <col min="5394" max="5632" width="8.42578125" style="110"/>
    <col min="5633" max="5633" width="10" style="110" bestFit="1" customWidth="1"/>
    <col min="5634" max="5634" width="44.28515625" style="110" bestFit="1" customWidth="1"/>
    <col min="5635" max="5635" width="10.42578125" style="110" bestFit="1" customWidth="1"/>
    <col min="5636" max="5636" width="10.42578125" style="110" customWidth="1"/>
    <col min="5637" max="5637" width="9.7109375" style="110" bestFit="1" customWidth="1"/>
    <col min="5638" max="5639" width="9.5703125" style="110" bestFit="1" customWidth="1"/>
    <col min="5640" max="5640" width="10.42578125" style="110" bestFit="1" customWidth="1"/>
    <col min="5641" max="5641" width="4.5703125" style="110" customWidth="1"/>
    <col min="5642" max="5642" width="1.7109375" style="110" customWidth="1"/>
    <col min="5643" max="5643" width="7" style="110" bestFit="1" customWidth="1"/>
    <col min="5644" max="5644" width="6.28515625" style="110" customWidth="1"/>
    <col min="5645" max="5645" width="20.42578125" style="110" customWidth="1"/>
    <col min="5646" max="5646" width="6.42578125" style="110" bestFit="1" customWidth="1"/>
    <col min="5647" max="5648" width="8.42578125" style="110"/>
    <col min="5649" max="5649" width="3.28515625" style="110" customWidth="1"/>
    <col min="5650" max="5888" width="8.42578125" style="110"/>
    <col min="5889" max="5889" width="10" style="110" bestFit="1" customWidth="1"/>
    <col min="5890" max="5890" width="44.28515625" style="110" bestFit="1" customWidth="1"/>
    <col min="5891" max="5891" width="10.42578125" style="110" bestFit="1" customWidth="1"/>
    <col min="5892" max="5892" width="10.42578125" style="110" customWidth="1"/>
    <col min="5893" max="5893" width="9.7109375" style="110" bestFit="1" customWidth="1"/>
    <col min="5894" max="5895" width="9.5703125" style="110" bestFit="1" customWidth="1"/>
    <col min="5896" max="5896" width="10.42578125" style="110" bestFit="1" customWidth="1"/>
    <col min="5897" max="5897" width="4.5703125" style="110" customWidth="1"/>
    <col min="5898" max="5898" width="1.7109375" style="110" customWidth="1"/>
    <col min="5899" max="5899" width="7" style="110" bestFit="1" customWidth="1"/>
    <col min="5900" max="5900" width="6.28515625" style="110" customWidth="1"/>
    <col min="5901" max="5901" width="20.42578125" style="110" customWidth="1"/>
    <col min="5902" max="5902" width="6.42578125" style="110" bestFit="1" customWidth="1"/>
    <col min="5903" max="5904" width="8.42578125" style="110"/>
    <col min="5905" max="5905" width="3.28515625" style="110" customWidth="1"/>
    <col min="5906" max="6144" width="8.42578125" style="110"/>
    <col min="6145" max="6145" width="10" style="110" bestFit="1" customWidth="1"/>
    <col min="6146" max="6146" width="44.28515625" style="110" bestFit="1" customWidth="1"/>
    <col min="6147" max="6147" width="10.42578125" style="110" bestFit="1" customWidth="1"/>
    <col min="6148" max="6148" width="10.42578125" style="110" customWidth="1"/>
    <col min="6149" max="6149" width="9.7109375" style="110" bestFit="1" customWidth="1"/>
    <col min="6150" max="6151" width="9.5703125" style="110" bestFit="1" customWidth="1"/>
    <col min="6152" max="6152" width="10.42578125" style="110" bestFit="1" customWidth="1"/>
    <col min="6153" max="6153" width="4.5703125" style="110" customWidth="1"/>
    <col min="6154" max="6154" width="1.7109375" style="110" customWidth="1"/>
    <col min="6155" max="6155" width="7" style="110" bestFit="1" customWidth="1"/>
    <col min="6156" max="6156" width="6.28515625" style="110" customWidth="1"/>
    <col min="6157" max="6157" width="20.42578125" style="110" customWidth="1"/>
    <col min="6158" max="6158" width="6.42578125" style="110" bestFit="1" customWidth="1"/>
    <col min="6159" max="6160" width="8.42578125" style="110"/>
    <col min="6161" max="6161" width="3.28515625" style="110" customWidth="1"/>
    <col min="6162" max="6400" width="8.42578125" style="110"/>
    <col min="6401" max="6401" width="10" style="110" bestFit="1" customWidth="1"/>
    <col min="6402" max="6402" width="44.28515625" style="110" bestFit="1" customWidth="1"/>
    <col min="6403" max="6403" width="10.42578125" style="110" bestFit="1" customWidth="1"/>
    <col min="6404" max="6404" width="10.42578125" style="110" customWidth="1"/>
    <col min="6405" max="6405" width="9.7109375" style="110" bestFit="1" customWidth="1"/>
    <col min="6406" max="6407" width="9.5703125" style="110" bestFit="1" customWidth="1"/>
    <col min="6408" max="6408" width="10.42578125" style="110" bestFit="1" customWidth="1"/>
    <col min="6409" max="6409" width="4.5703125" style="110" customWidth="1"/>
    <col min="6410" max="6410" width="1.7109375" style="110" customWidth="1"/>
    <col min="6411" max="6411" width="7" style="110" bestFit="1" customWidth="1"/>
    <col min="6412" max="6412" width="6.28515625" style="110" customWidth="1"/>
    <col min="6413" max="6413" width="20.42578125" style="110" customWidth="1"/>
    <col min="6414" max="6414" width="6.42578125" style="110" bestFit="1" customWidth="1"/>
    <col min="6415" max="6416" width="8.42578125" style="110"/>
    <col min="6417" max="6417" width="3.28515625" style="110" customWidth="1"/>
    <col min="6418" max="6656" width="8.42578125" style="110"/>
    <col min="6657" max="6657" width="10" style="110" bestFit="1" customWidth="1"/>
    <col min="6658" max="6658" width="44.28515625" style="110" bestFit="1" customWidth="1"/>
    <col min="6659" max="6659" width="10.42578125" style="110" bestFit="1" customWidth="1"/>
    <col min="6660" max="6660" width="10.42578125" style="110" customWidth="1"/>
    <col min="6661" max="6661" width="9.7109375" style="110" bestFit="1" customWidth="1"/>
    <col min="6662" max="6663" width="9.5703125" style="110" bestFit="1" customWidth="1"/>
    <col min="6664" max="6664" width="10.42578125" style="110" bestFit="1" customWidth="1"/>
    <col min="6665" max="6665" width="4.5703125" style="110" customWidth="1"/>
    <col min="6666" max="6666" width="1.7109375" style="110" customWidth="1"/>
    <col min="6667" max="6667" width="7" style="110" bestFit="1" customWidth="1"/>
    <col min="6668" max="6668" width="6.28515625" style="110" customWidth="1"/>
    <col min="6669" max="6669" width="20.42578125" style="110" customWidth="1"/>
    <col min="6670" max="6670" width="6.42578125" style="110" bestFit="1" customWidth="1"/>
    <col min="6671" max="6672" width="8.42578125" style="110"/>
    <col min="6673" max="6673" width="3.28515625" style="110" customWidth="1"/>
    <col min="6674" max="6912" width="8.42578125" style="110"/>
    <col min="6913" max="6913" width="10" style="110" bestFit="1" customWidth="1"/>
    <col min="6914" max="6914" width="44.28515625" style="110" bestFit="1" customWidth="1"/>
    <col min="6915" max="6915" width="10.42578125" style="110" bestFit="1" customWidth="1"/>
    <col min="6916" max="6916" width="10.42578125" style="110" customWidth="1"/>
    <col min="6917" max="6917" width="9.7109375" style="110" bestFit="1" customWidth="1"/>
    <col min="6918" max="6919" width="9.5703125" style="110" bestFit="1" customWidth="1"/>
    <col min="6920" max="6920" width="10.42578125" style="110" bestFit="1" customWidth="1"/>
    <col min="6921" max="6921" width="4.5703125" style="110" customWidth="1"/>
    <col min="6922" max="6922" width="1.7109375" style="110" customWidth="1"/>
    <col min="6923" max="6923" width="7" style="110" bestFit="1" customWidth="1"/>
    <col min="6924" max="6924" width="6.28515625" style="110" customWidth="1"/>
    <col min="6925" max="6925" width="20.42578125" style="110" customWidth="1"/>
    <col min="6926" max="6926" width="6.42578125" style="110" bestFit="1" customWidth="1"/>
    <col min="6927" max="6928" width="8.42578125" style="110"/>
    <col min="6929" max="6929" width="3.28515625" style="110" customWidth="1"/>
    <col min="6930" max="7168" width="8.42578125" style="110"/>
    <col min="7169" max="7169" width="10" style="110" bestFit="1" customWidth="1"/>
    <col min="7170" max="7170" width="44.28515625" style="110" bestFit="1" customWidth="1"/>
    <col min="7171" max="7171" width="10.42578125" style="110" bestFit="1" customWidth="1"/>
    <col min="7172" max="7172" width="10.42578125" style="110" customWidth="1"/>
    <col min="7173" max="7173" width="9.7109375" style="110" bestFit="1" customWidth="1"/>
    <col min="7174" max="7175" width="9.5703125" style="110" bestFit="1" customWidth="1"/>
    <col min="7176" max="7176" width="10.42578125" style="110" bestFit="1" customWidth="1"/>
    <col min="7177" max="7177" width="4.5703125" style="110" customWidth="1"/>
    <col min="7178" max="7178" width="1.7109375" style="110" customWidth="1"/>
    <col min="7179" max="7179" width="7" style="110" bestFit="1" customWidth="1"/>
    <col min="7180" max="7180" width="6.28515625" style="110" customWidth="1"/>
    <col min="7181" max="7181" width="20.42578125" style="110" customWidth="1"/>
    <col min="7182" max="7182" width="6.42578125" style="110" bestFit="1" customWidth="1"/>
    <col min="7183" max="7184" width="8.42578125" style="110"/>
    <col min="7185" max="7185" width="3.28515625" style="110" customWidth="1"/>
    <col min="7186" max="7424" width="8.42578125" style="110"/>
    <col min="7425" max="7425" width="10" style="110" bestFit="1" customWidth="1"/>
    <col min="7426" max="7426" width="44.28515625" style="110" bestFit="1" customWidth="1"/>
    <col min="7427" max="7427" width="10.42578125" style="110" bestFit="1" customWidth="1"/>
    <col min="7428" max="7428" width="10.42578125" style="110" customWidth="1"/>
    <col min="7429" max="7429" width="9.7109375" style="110" bestFit="1" customWidth="1"/>
    <col min="7430" max="7431" width="9.5703125" style="110" bestFit="1" customWidth="1"/>
    <col min="7432" max="7432" width="10.42578125" style="110" bestFit="1" customWidth="1"/>
    <col min="7433" max="7433" width="4.5703125" style="110" customWidth="1"/>
    <col min="7434" max="7434" width="1.7109375" style="110" customWidth="1"/>
    <col min="7435" max="7435" width="7" style="110" bestFit="1" customWidth="1"/>
    <col min="7436" max="7436" width="6.28515625" style="110" customWidth="1"/>
    <col min="7437" max="7437" width="20.42578125" style="110" customWidth="1"/>
    <col min="7438" max="7438" width="6.42578125" style="110" bestFit="1" customWidth="1"/>
    <col min="7439" max="7440" width="8.42578125" style="110"/>
    <col min="7441" max="7441" width="3.28515625" style="110" customWidth="1"/>
    <col min="7442" max="7680" width="8.42578125" style="110"/>
    <col min="7681" max="7681" width="10" style="110" bestFit="1" customWidth="1"/>
    <col min="7682" max="7682" width="44.28515625" style="110" bestFit="1" customWidth="1"/>
    <col min="7683" max="7683" width="10.42578125" style="110" bestFit="1" customWidth="1"/>
    <col min="7684" max="7684" width="10.42578125" style="110" customWidth="1"/>
    <col min="7685" max="7685" width="9.7109375" style="110" bestFit="1" customWidth="1"/>
    <col min="7686" max="7687" width="9.5703125" style="110" bestFit="1" customWidth="1"/>
    <col min="7688" max="7688" width="10.42578125" style="110" bestFit="1" customWidth="1"/>
    <col min="7689" max="7689" width="4.5703125" style="110" customWidth="1"/>
    <col min="7690" max="7690" width="1.7109375" style="110" customWidth="1"/>
    <col min="7691" max="7691" width="7" style="110" bestFit="1" customWidth="1"/>
    <col min="7692" max="7692" width="6.28515625" style="110" customWidth="1"/>
    <col min="7693" max="7693" width="20.42578125" style="110" customWidth="1"/>
    <col min="7694" max="7694" width="6.42578125" style="110" bestFit="1" customWidth="1"/>
    <col min="7695" max="7696" width="8.42578125" style="110"/>
    <col min="7697" max="7697" width="3.28515625" style="110" customWidth="1"/>
    <col min="7698" max="7936" width="8.42578125" style="110"/>
    <col min="7937" max="7937" width="10" style="110" bestFit="1" customWidth="1"/>
    <col min="7938" max="7938" width="44.28515625" style="110" bestFit="1" customWidth="1"/>
    <col min="7939" max="7939" width="10.42578125" style="110" bestFit="1" customWidth="1"/>
    <col min="7940" max="7940" width="10.42578125" style="110" customWidth="1"/>
    <col min="7941" max="7941" width="9.7109375" style="110" bestFit="1" customWidth="1"/>
    <col min="7942" max="7943" width="9.5703125" style="110" bestFit="1" customWidth="1"/>
    <col min="7944" max="7944" width="10.42578125" style="110" bestFit="1" customWidth="1"/>
    <col min="7945" max="7945" width="4.5703125" style="110" customWidth="1"/>
    <col min="7946" max="7946" width="1.7109375" style="110" customWidth="1"/>
    <col min="7947" max="7947" width="7" style="110" bestFit="1" customWidth="1"/>
    <col min="7948" max="7948" width="6.28515625" style="110" customWidth="1"/>
    <col min="7949" max="7949" width="20.42578125" style="110" customWidth="1"/>
    <col min="7950" max="7950" width="6.42578125" style="110" bestFit="1" customWidth="1"/>
    <col min="7951" max="7952" width="8.42578125" style="110"/>
    <col min="7953" max="7953" width="3.28515625" style="110" customWidth="1"/>
    <col min="7954" max="8192" width="8.42578125" style="110"/>
    <col min="8193" max="8193" width="10" style="110" bestFit="1" customWidth="1"/>
    <col min="8194" max="8194" width="44.28515625" style="110" bestFit="1" customWidth="1"/>
    <col min="8195" max="8195" width="10.42578125" style="110" bestFit="1" customWidth="1"/>
    <col min="8196" max="8196" width="10.42578125" style="110" customWidth="1"/>
    <col min="8197" max="8197" width="9.7109375" style="110" bestFit="1" customWidth="1"/>
    <col min="8198" max="8199" width="9.5703125" style="110" bestFit="1" customWidth="1"/>
    <col min="8200" max="8200" width="10.42578125" style="110" bestFit="1" customWidth="1"/>
    <col min="8201" max="8201" width="4.5703125" style="110" customWidth="1"/>
    <col min="8202" max="8202" width="1.7109375" style="110" customWidth="1"/>
    <col min="8203" max="8203" width="7" style="110" bestFit="1" customWidth="1"/>
    <col min="8204" max="8204" width="6.28515625" style="110" customWidth="1"/>
    <col min="8205" max="8205" width="20.42578125" style="110" customWidth="1"/>
    <col min="8206" max="8206" width="6.42578125" style="110" bestFit="1" customWidth="1"/>
    <col min="8207" max="8208" width="8.42578125" style="110"/>
    <col min="8209" max="8209" width="3.28515625" style="110" customWidth="1"/>
    <col min="8210" max="8448" width="8.42578125" style="110"/>
    <col min="8449" max="8449" width="10" style="110" bestFit="1" customWidth="1"/>
    <col min="8450" max="8450" width="44.28515625" style="110" bestFit="1" customWidth="1"/>
    <col min="8451" max="8451" width="10.42578125" style="110" bestFit="1" customWidth="1"/>
    <col min="8452" max="8452" width="10.42578125" style="110" customWidth="1"/>
    <col min="8453" max="8453" width="9.7109375" style="110" bestFit="1" customWidth="1"/>
    <col min="8454" max="8455" width="9.5703125" style="110" bestFit="1" customWidth="1"/>
    <col min="8456" max="8456" width="10.42578125" style="110" bestFit="1" customWidth="1"/>
    <col min="8457" max="8457" width="4.5703125" style="110" customWidth="1"/>
    <col min="8458" max="8458" width="1.7109375" style="110" customWidth="1"/>
    <col min="8459" max="8459" width="7" style="110" bestFit="1" customWidth="1"/>
    <col min="8460" max="8460" width="6.28515625" style="110" customWidth="1"/>
    <col min="8461" max="8461" width="20.42578125" style="110" customWidth="1"/>
    <col min="8462" max="8462" width="6.42578125" style="110" bestFit="1" customWidth="1"/>
    <col min="8463" max="8464" width="8.42578125" style="110"/>
    <col min="8465" max="8465" width="3.28515625" style="110" customWidth="1"/>
    <col min="8466" max="8704" width="8.42578125" style="110"/>
    <col min="8705" max="8705" width="10" style="110" bestFit="1" customWidth="1"/>
    <col min="8706" max="8706" width="44.28515625" style="110" bestFit="1" customWidth="1"/>
    <col min="8707" max="8707" width="10.42578125" style="110" bestFit="1" customWidth="1"/>
    <col min="8708" max="8708" width="10.42578125" style="110" customWidth="1"/>
    <col min="8709" max="8709" width="9.7109375" style="110" bestFit="1" customWidth="1"/>
    <col min="8710" max="8711" width="9.5703125" style="110" bestFit="1" customWidth="1"/>
    <col min="8712" max="8712" width="10.42578125" style="110" bestFit="1" customWidth="1"/>
    <col min="8713" max="8713" width="4.5703125" style="110" customWidth="1"/>
    <col min="8714" max="8714" width="1.7109375" style="110" customWidth="1"/>
    <col min="8715" max="8715" width="7" style="110" bestFit="1" customWidth="1"/>
    <col min="8716" max="8716" width="6.28515625" style="110" customWidth="1"/>
    <col min="8717" max="8717" width="20.42578125" style="110" customWidth="1"/>
    <col min="8718" max="8718" width="6.42578125" style="110" bestFit="1" customWidth="1"/>
    <col min="8719" max="8720" width="8.42578125" style="110"/>
    <col min="8721" max="8721" width="3.28515625" style="110" customWidth="1"/>
    <col min="8722" max="8960" width="8.42578125" style="110"/>
    <col min="8961" max="8961" width="10" style="110" bestFit="1" customWidth="1"/>
    <col min="8962" max="8962" width="44.28515625" style="110" bestFit="1" customWidth="1"/>
    <col min="8963" max="8963" width="10.42578125" style="110" bestFit="1" customWidth="1"/>
    <col min="8964" max="8964" width="10.42578125" style="110" customWidth="1"/>
    <col min="8965" max="8965" width="9.7109375" style="110" bestFit="1" customWidth="1"/>
    <col min="8966" max="8967" width="9.5703125" style="110" bestFit="1" customWidth="1"/>
    <col min="8968" max="8968" width="10.42578125" style="110" bestFit="1" customWidth="1"/>
    <col min="8969" max="8969" width="4.5703125" style="110" customWidth="1"/>
    <col min="8970" max="8970" width="1.7109375" style="110" customWidth="1"/>
    <col min="8971" max="8971" width="7" style="110" bestFit="1" customWidth="1"/>
    <col min="8972" max="8972" width="6.28515625" style="110" customWidth="1"/>
    <col min="8973" max="8973" width="20.42578125" style="110" customWidth="1"/>
    <col min="8974" max="8974" width="6.42578125" style="110" bestFit="1" customWidth="1"/>
    <col min="8975" max="8976" width="8.42578125" style="110"/>
    <col min="8977" max="8977" width="3.28515625" style="110" customWidth="1"/>
    <col min="8978" max="9216" width="8.42578125" style="110"/>
    <col min="9217" max="9217" width="10" style="110" bestFit="1" customWidth="1"/>
    <col min="9218" max="9218" width="44.28515625" style="110" bestFit="1" customWidth="1"/>
    <col min="9219" max="9219" width="10.42578125" style="110" bestFit="1" customWidth="1"/>
    <col min="9220" max="9220" width="10.42578125" style="110" customWidth="1"/>
    <col min="9221" max="9221" width="9.7109375" style="110" bestFit="1" customWidth="1"/>
    <col min="9222" max="9223" width="9.5703125" style="110" bestFit="1" customWidth="1"/>
    <col min="9224" max="9224" width="10.42578125" style="110" bestFit="1" customWidth="1"/>
    <col min="9225" max="9225" width="4.5703125" style="110" customWidth="1"/>
    <col min="9226" max="9226" width="1.7109375" style="110" customWidth="1"/>
    <col min="9227" max="9227" width="7" style="110" bestFit="1" customWidth="1"/>
    <col min="9228" max="9228" width="6.28515625" style="110" customWidth="1"/>
    <col min="9229" max="9229" width="20.42578125" style="110" customWidth="1"/>
    <col min="9230" max="9230" width="6.42578125" style="110" bestFit="1" customWidth="1"/>
    <col min="9231" max="9232" width="8.42578125" style="110"/>
    <col min="9233" max="9233" width="3.28515625" style="110" customWidth="1"/>
    <col min="9234" max="9472" width="8.42578125" style="110"/>
    <col min="9473" max="9473" width="10" style="110" bestFit="1" customWidth="1"/>
    <col min="9474" max="9474" width="44.28515625" style="110" bestFit="1" customWidth="1"/>
    <col min="9475" max="9475" width="10.42578125" style="110" bestFit="1" customWidth="1"/>
    <col min="9476" max="9476" width="10.42578125" style="110" customWidth="1"/>
    <col min="9477" max="9477" width="9.7109375" style="110" bestFit="1" customWidth="1"/>
    <col min="9478" max="9479" width="9.5703125" style="110" bestFit="1" customWidth="1"/>
    <col min="9480" max="9480" width="10.42578125" style="110" bestFit="1" customWidth="1"/>
    <col min="9481" max="9481" width="4.5703125" style="110" customWidth="1"/>
    <col min="9482" max="9482" width="1.7109375" style="110" customWidth="1"/>
    <col min="9483" max="9483" width="7" style="110" bestFit="1" customWidth="1"/>
    <col min="9484" max="9484" width="6.28515625" style="110" customWidth="1"/>
    <col min="9485" max="9485" width="20.42578125" style="110" customWidth="1"/>
    <col min="9486" max="9486" width="6.42578125" style="110" bestFit="1" customWidth="1"/>
    <col min="9487" max="9488" width="8.42578125" style="110"/>
    <col min="9489" max="9489" width="3.28515625" style="110" customWidth="1"/>
    <col min="9490" max="9728" width="8.42578125" style="110"/>
    <col min="9729" max="9729" width="10" style="110" bestFit="1" customWidth="1"/>
    <col min="9730" max="9730" width="44.28515625" style="110" bestFit="1" customWidth="1"/>
    <col min="9731" max="9731" width="10.42578125" style="110" bestFit="1" customWidth="1"/>
    <col min="9732" max="9732" width="10.42578125" style="110" customWidth="1"/>
    <col min="9733" max="9733" width="9.7109375" style="110" bestFit="1" customWidth="1"/>
    <col min="9734" max="9735" width="9.5703125" style="110" bestFit="1" customWidth="1"/>
    <col min="9736" max="9736" width="10.42578125" style="110" bestFit="1" customWidth="1"/>
    <col min="9737" max="9737" width="4.5703125" style="110" customWidth="1"/>
    <col min="9738" max="9738" width="1.7109375" style="110" customWidth="1"/>
    <col min="9739" max="9739" width="7" style="110" bestFit="1" customWidth="1"/>
    <col min="9740" max="9740" width="6.28515625" style="110" customWidth="1"/>
    <col min="9741" max="9741" width="20.42578125" style="110" customWidth="1"/>
    <col min="9742" max="9742" width="6.42578125" style="110" bestFit="1" customWidth="1"/>
    <col min="9743" max="9744" width="8.42578125" style="110"/>
    <col min="9745" max="9745" width="3.28515625" style="110" customWidth="1"/>
    <col min="9746" max="9984" width="8.42578125" style="110"/>
    <col min="9985" max="9985" width="10" style="110" bestFit="1" customWidth="1"/>
    <col min="9986" max="9986" width="44.28515625" style="110" bestFit="1" customWidth="1"/>
    <col min="9987" max="9987" width="10.42578125" style="110" bestFit="1" customWidth="1"/>
    <col min="9988" max="9988" width="10.42578125" style="110" customWidth="1"/>
    <col min="9989" max="9989" width="9.7109375" style="110" bestFit="1" customWidth="1"/>
    <col min="9990" max="9991" width="9.5703125" style="110" bestFit="1" customWidth="1"/>
    <col min="9992" max="9992" width="10.42578125" style="110" bestFit="1" customWidth="1"/>
    <col min="9993" max="9993" width="4.5703125" style="110" customWidth="1"/>
    <col min="9994" max="9994" width="1.7109375" style="110" customWidth="1"/>
    <col min="9995" max="9995" width="7" style="110" bestFit="1" customWidth="1"/>
    <col min="9996" max="9996" width="6.28515625" style="110" customWidth="1"/>
    <col min="9997" max="9997" width="20.42578125" style="110" customWidth="1"/>
    <col min="9998" max="9998" width="6.42578125" style="110" bestFit="1" customWidth="1"/>
    <col min="9999" max="10000" width="8.42578125" style="110"/>
    <col min="10001" max="10001" width="3.28515625" style="110" customWidth="1"/>
    <col min="10002" max="10240" width="8.42578125" style="110"/>
    <col min="10241" max="10241" width="10" style="110" bestFit="1" customWidth="1"/>
    <col min="10242" max="10242" width="44.28515625" style="110" bestFit="1" customWidth="1"/>
    <col min="10243" max="10243" width="10.42578125" style="110" bestFit="1" customWidth="1"/>
    <col min="10244" max="10244" width="10.42578125" style="110" customWidth="1"/>
    <col min="10245" max="10245" width="9.7109375" style="110" bestFit="1" customWidth="1"/>
    <col min="10246" max="10247" width="9.5703125" style="110" bestFit="1" customWidth="1"/>
    <col min="10248" max="10248" width="10.42578125" style="110" bestFit="1" customWidth="1"/>
    <col min="10249" max="10249" width="4.5703125" style="110" customWidth="1"/>
    <col min="10250" max="10250" width="1.7109375" style="110" customWidth="1"/>
    <col min="10251" max="10251" width="7" style="110" bestFit="1" customWidth="1"/>
    <col min="10252" max="10252" width="6.28515625" style="110" customWidth="1"/>
    <col min="10253" max="10253" width="20.42578125" style="110" customWidth="1"/>
    <col min="10254" max="10254" width="6.42578125" style="110" bestFit="1" customWidth="1"/>
    <col min="10255" max="10256" width="8.42578125" style="110"/>
    <col min="10257" max="10257" width="3.28515625" style="110" customWidth="1"/>
    <col min="10258" max="10496" width="8.42578125" style="110"/>
    <col min="10497" max="10497" width="10" style="110" bestFit="1" customWidth="1"/>
    <col min="10498" max="10498" width="44.28515625" style="110" bestFit="1" customWidth="1"/>
    <col min="10499" max="10499" width="10.42578125" style="110" bestFit="1" customWidth="1"/>
    <col min="10500" max="10500" width="10.42578125" style="110" customWidth="1"/>
    <col min="10501" max="10501" width="9.7109375" style="110" bestFit="1" customWidth="1"/>
    <col min="10502" max="10503" width="9.5703125" style="110" bestFit="1" customWidth="1"/>
    <col min="10504" max="10504" width="10.42578125" style="110" bestFit="1" customWidth="1"/>
    <col min="10505" max="10505" width="4.5703125" style="110" customWidth="1"/>
    <col min="10506" max="10506" width="1.7109375" style="110" customWidth="1"/>
    <col min="10507" max="10507" width="7" style="110" bestFit="1" customWidth="1"/>
    <col min="10508" max="10508" width="6.28515625" style="110" customWidth="1"/>
    <col min="10509" max="10509" width="20.42578125" style="110" customWidth="1"/>
    <col min="10510" max="10510" width="6.42578125" style="110" bestFit="1" customWidth="1"/>
    <col min="10511" max="10512" width="8.42578125" style="110"/>
    <col min="10513" max="10513" width="3.28515625" style="110" customWidth="1"/>
    <col min="10514" max="10752" width="8.42578125" style="110"/>
    <col min="10753" max="10753" width="10" style="110" bestFit="1" customWidth="1"/>
    <col min="10754" max="10754" width="44.28515625" style="110" bestFit="1" customWidth="1"/>
    <col min="10755" max="10755" width="10.42578125" style="110" bestFit="1" customWidth="1"/>
    <col min="10756" max="10756" width="10.42578125" style="110" customWidth="1"/>
    <col min="10757" max="10757" width="9.7109375" style="110" bestFit="1" customWidth="1"/>
    <col min="10758" max="10759" width="9.5703125" style="110" bestFit="1" customWidth="1"/>
    <col min="10760" max="10760" width="10.42578125" style="110" bestFit="1" customWidth="1"/>
    <col min="10761" max="10761" width="4.5703125" style="110" customWidth="1"/>
    <col min="10762" max="10762" width="1.7109375" style="110" customWidth="1"/>
    <col min="10763" max="10763" width="7" style="110" bestFit="1" customWidth="1"/>
    <col min="10764" max="10764" width="6.28515625" style="110" customWidth="1"/>
    <col min="10765" max="10765" width="20.42578125" style="110" customWidth="1"/>
    <col min="10766" max="10766" width="6.42578125" style="110" bestFit="1" customWidth="1"/>
    <col min="10767" max="10768" width="8.42578125" style="110"/>
    <col min="10769" max="10769" width="3.28515625" style="110" customWidth="1"/>
    <col min="10770" max="11008" width="8.42578125" style="110"/>
    <col min="11009" max="11009" width="10" style="110" bestFit="1" customWidth="1"/>
    <col min="11010" max="11010" width="44.28515625" style="110" bestFit="1" customWidth="1"/>
    <col min="11011" max="11011" width="10.42578125" style="110" bestFit="1" customWidth="1"/>
    <col min="11012" max="11012" width="10.42578125" style="110" customWidth="1"/>
    <col min="11013" max="11013" width="9.7109375" style="110" bestFit="1" customWidth="1"/>
    <col min="11014" max="11015" width="9.5703125" style="110" bestFit="1" customWidth="1"/>
    <col min="11016" max="11016" width="10.42578125" style="110" bestFit="1" customWidth="1"/>
    <col min="11017" max="11017" width="4.5703125" style="110" customWidth="1"/>
    <col min="11018" max="11018" width="1.7109375" style="110" customWidth="1"/>
    <col min="11019" max="11019" width="7" style="110" bestFit="1" customWidth="1"/>
    <col min="11020" max="11020" width="6.28515625" style="110" customWidth="1"/>
    <col min="11021" max="11021" width="20.42578125" style="110" customWidth="1"/>
    <col min="11022" max="11022" width="6.42578125" style="110" bestFit="1" customWidth="1"/>
    <col min="11023" max="11024" width="8.42578125" style="110"/>
    <col min="11025" max="11025" width="3.28515625" style="110" customWidth="1"/>
    <col min="11026" max="11264" width="8.42578125" style="110"/>
    <col min="11265" max="11265" width="10" style="110" bestFit="1" customWidth="1"/>
    <col min="11266" max="11266" width="44.28515625" style="110" bestFit="1" customWidth="1"/>
    <col min="11267" max="11267" width="10.42578125" style="110" bestFit="1" customWidth="1"/>
    <col min="11268" max="11268" width="10.42578125" style="110" customWidth="1"/>
    <col min="11269" max="11269" width="9.7109375" style="110" bestFit="1" customWidth="1"/>
    <col min="11270" max="11271" width="9.5703125" style="110" bestFit="1" customWidth="1"/>
    <col min="11272" max="11272" width="10.42578125" style="110" bestFit="1" customWidth="1"/>
    <col min="11273" max="11273" width="4.5703125" style="110" customWidth="1"/>
    <col min="11274" max="11274" width="1.7109375" style="110" customWidth="1"/>
    <col min="11275" max="11275" width="7" style="110" bestFit="1" customWidth="1"/>
    <col min="11276" max="11276" width="6.28515625" style="110" customWidth="1"/>
    <col min="11277" max="11277" width="20.42578125" style="110" customWidth="1"/>
    <col min="11278" max="11278" width="6.42578125" style="110" bestFit="1" customWidth="1"/>
    <col min="11279" max="11280" width="8.42578125" style="110"/>
    <col min="11281" max="11281" width="3.28515625" style="110" customWidth="1"/>
    <col min="11282" max="11520" width="8.42578125" style="110"/>
    <col min="11521" max="11521" width="10" style="110" bestFit="1" customWidth="1"/>
    <col min="11522" max="11522" width="44.28515625" style="110" bestFit="1" customWidth="1"/>
    <col min="11523" max="11523" width="10.42578125" style="110" bestFit="1" customWidth="1"/>
    <col min="11524" max="11524" width="10.42578125" style="110" customWidth="1"/>
    <col min="11525" max="11525" width="9.7109375" style="110" bestFit="1" customWidth="1"/>
    <col min="11526" max="11527" width="9.5703125" style="110" bestFit="1" customWidth="1"/>
    <col min="11528" max="11528" width="10.42578125" style="110" bestFit="1" customWidth="1"/>
    <col min="11529" max="11529" width="4.5703125" style="110" customWidth="1"/>
    <col min="11530" max="11530" width="1.7109375" style="110" customWidth="1"/>
    <col min="11531" max="11531" width="7" style="110" bestFit="1" customWidth="1"/>
    <col min="11532" max="11532" width="6.28515625" style="110" customWidth="1"/>
    <col min="11533" max="11533" width="20.42578125" style="110" customWidth="1"/>
    <col min="11534" max="11534" width="6.42578125" style="110" bestFit="1" customWidth="1"/>
    <col min="11535" max="11536" width="8.42578125" style="110"/>
    <col min="11537" max="11537" width="3.28515625" style="110" customWidth="1"/>
    <col min="11538" max="11776" width="8.42578125" style="110"/>
    <col min="11777" max="11777" width="10" style="110" bestFit="1" customWidth="1"/>
    <col min="11778" max="11778" width="44.28515625" style="110" bestFit="1" customWidth="1"/>
    <col min="11779" max="11779" width="10.42578125" style="110" bestFit="1" customWidth="1"/>
    <col min="11780" max="11780" width="10.42578125" style="110" customWidth="1"/>
    <col min="11781" max="11781" width="9.7109375" style="110" bestFit="1" customWidth="1"/>
    <col min="11782" max="11783" width="9.5703125" style="110" bestFit="1" customWidth="1"/>
    <col min="11784" max="11784" width="10.42578125" style="110" bestFit="1" customWidth="1"/>
    <col min="11785" max="11785" width="4.5703125" style="110" customWidth="1"/>
    <col min="11786" max="11786" width="1.7109375" style="110" customWidth="1"/>
    <col min="11787" max="11787" width="7" style="110" bestFit="1" customWidth="1"/>
    <col min="11788" max="11788" width="6.28515625" style="110" customWidth="1"/>
    <col min="11789" max="11789" width="20.42578125" style="110" customWidth="1"/>
    <col min="11790" max="11790" width="6.42578125" style="110" bestFit="1" customWidth="1"/>
    <col min="11791" max="11792" width="8.42578125" style="110"/>
    <col min="11793" max="11793" width="3.28515625" style="110" customWidth="1"/>
    <col min="11794" max="12032" width="8.42578125" style="110"/>
    <col min="12033" max="12033" width="10" style="110" bestFit="1" customWidth="1"/>
    <col min="12034" max="12034" width="44.28515625" style="110" bestFit="1" customWidth="1"/>
    <col min="12035" max="12035" width="10.42578125" style="110" bestFit="1" customWidth="1"/>
    <col min="12036" max="12036" width="10.42578125" style="110" customWidth="1"/>
    <col min="12037" max="12037" width="9.7109375" style="110" bestFit="1" customWidth="1"/>
    <col min="12038" max="12039" width="9.5703125" style="110" bestFit="1" customWidth="1"/>
    <col min="12040" max="12040" width="10.42578125" style="110" bestFit="1" customWidth="1"/>
    <col min="12041" max="12041" width="4.5703125" style="110" customWidth="1"/>
    <col min="12042" max="12042" width="1.7109375" style="110" customWidth="1"/>
    <col min="12043" max="12043" width="7" style="110" bestFit="1" customWidth="1"/>
    <col min="12044" max="12044" width="6.28515625" style="110" customWidth="1"/>
    <col min="12045" max="12045" width="20.42578125" style="110" customWidth="1"/>
    <col min="12046" max="12046" width="6.42578125" style="110" bestFit="1" customWidth="1"/>
    <col min="12047" max="12048" width="8.42578125" style="110"/>
    <col min="12049" max="12049" width="3.28515625" style="110" customWidth="1"/>
    <col min="12050" max="12288" width="8.42578125" style="110"/>
    <col min="12289" max="12289" width="10" style="110" bestFit="1" customWidth="1"/>
    <col min="12290" max="12290" width="44.28515625" style="110" bestFit="1" customWidth="1"/>
    <col min="12291" max="12291" width="10.42578125" style="110" bestFit="1" customWidth="1"/>
    <col min="12292" max="12292" width="10.42578125" style="110" customWidth="1"/>
    <col min="12293" max="12293" width="9.7109375" style="110" bestFit="1" customWidth="1"/>
    <col min="12294" max="12295" width="9.5703125" style="110" bestFit="1" customWidth="1"/>
    <col min="12296" max="12296" width="10.42578125" style="110" bestFit="1" customWidth="1"/>
    <col min="12297" max="12297" width="4.5703125" style="110" customWidth="1"/>
    <col min="12298" max="12298" width="1.7109375" style="110" customWidth="1"/>
    <col min="12299" max="12299" width="7" style="110" bestFit="1" customWidth="1"/>
    <col min="12300" max="12300" width="6.28515625" style="110" customWidth="1"/>
    <col min="12301" max="12301" width="20.42578125" style="110" customWidth="1"/>
    <col min="12302" max="12302" width="6.42578125" style="110" bestFit="1" customWidth="1"/>
    <col min="12303" max="12304" width="8.42578125" style="110"/>
    <col min="12305" max="12305" width="3.28515625" style="110" customWidth="1"/>
    <col min="12306" max="12544" width="8.42578125" style="110"/>
    <col min="12545" max="12545" width="10" style="110" bestFit="1" customWidth="1"/>
    <col min="12546" max="12546" width="44.28515625" style="110" bestFit="1" customWidth="1"/>
    <col min="12547" max="12547" width="10.42578125" style="110" bestFit="1" customWidth="1"/>
    <col min="12548" max="12548" width="10.42578125" style="110" customWidth="1"/>
    <col min="12549" max="12549" width="9.7109375" style="110" bestFit="1" customWidth="1"/>
    <col min="12550" max="12551" width="9.5703125" style="110" bestFit="1" customWidth="1"/>
    <col min="12552" max="12552" width="10.42578125" style="110" bestFit="1" customWidth="1"/>
    <col min="12553" max="12553" width="4.5703125" style="110" customWidth="1"/>
    <col min="12554" max="12554" width="1.7109375" style="110" customWidth="1"/>
    <col min="12555" max="12555" width="7" style="110" bestFit="1" customWidth="1"/>
    <col min="12556" max="12556" width="6.28515625" style="110" customWidth="1"/>
    <col min="12557" max="12557" width="20.42578125" style="110" customWidth="1"/>
    <col min="12558" max="12558" width="6.42578125" style="110" bestFit="1" customWidth="1"/>
    <col min="12559" max="12560" width="8.42578125" style="110"/>
    <col min="12561" max="12561" width="3.28515625" style="110" customWidth="1"/>
    <col min="12562" max="12800" width="8.42578125" style="110"/>
    <col min="12801" max="12801" width="10" style="110" bestFit="1" customWidth="1"/>
    <col min="12802" max="12802" width="44.28515625" style="110" bestFit="1" customWidth="1"/>
    <col min="12803" max="12803" width="10.42578125" style="110" bestFit="1" customWidth="1"/>
    <col min="12804" max="12804" width="10.42578125" style="110" customWidth="1"/>
    <col min="12805" max="12805" width="9.7109375" style="110" bestFit="1" customWidth="1"/>
    <col min="12806" max="12807" width="9.5703125" style="110" bestFit="1" customWidth="1"/>
    <col min="12808" max="12808" width="10.42578125" style="110" bestFit="1" customWidth="1"/>
    <col min="12809" max="12809" width="4.5703125" style="110" customWidth="1"/>
    <col min="12810" max="12810" width="1.7109375" style="110" customWidth="1"/>
    <col min="12811" max="12811" width="7" style="110" bestFit="1" customWidth="1"/>
    <col min="12812" max="12812" width="6.28515625" style="110" customWidth="1"/>
    <col min="12813" max="12813" width="20.42578125" style="110" customWidth="1"/>
    <col min="12814" max="12814" width="6.42578125" style="110" bestFit="1" customWidth="1"/>
    <col min="12815" max="12816" width="8.42578125" style="110"/>
    <col min="12817" max="12817" width="3.28515625" style="110" customWidth="1"/>
    <col min="12818" max="13056" width="8.42578125" style="110"/>
    <col min="13057" max="13057" width="10" style="110" bestFit="1" customWidth="1"/>
    <col min="13058" max="13058" width="44.28515625" style="110" bestFit="1" customWidth="1"/>
    <col min="13059" max="13059" width="10.42578125" style="110" bestFit="1" customWidth="1"/>
    <col min="13060" max="13060" width="10.42578125" style="110" customWidth="1"/>
    <col min="13061" max="13061" width="9.7109375" style="110" bestFit="1" customWidth="1"/>
    <col min="13062" max="13063" width="9.5703125" style="110" bestFit="1" customWidth="1"/>
    <col min="13064" max="13064" width="10.42578125" style="110" bestFit="1" customWidth="1"/>
    <col min="13065" max="13065" width="4.5703125" style="110" customWidth="1"/>
    <col min="13066" max="13066" width="1.7109375" style="110" customWidth="1"/>
    <col min="13067" max="13067" width="7" style="110" bestFit="1" customWidth="1"/>
    <col min="13068" max="13068" width="6.28515625" style="110" customWidth="1"/>
    <col min="13069" max="13069" width="20.42578125" style="110" customWidth="1"/>
    <col min="13070" max="13070" width="6.42578125" style="110" bestFit="1" customWidth="1"/>
    <col min="13071" max="13072" width="8.42578125" style="110"/>
    <col min="13073" max="13073" width="3.28515625" style="110" customWidth="1"/>
    <col min="13074" max="13312" width="8.42578125" style="110"/>
    <col min="13313" max="13313" width="10" style="110" bestFit="1" customWidth="1"/>
    <col min="13314" max="13314" width="44.28515625" style="110" bestFit="1" customWidth="1"/>
    <col min="13315" max="13315" width="10.42578125" style="110" bestFit="1" customWidth="1"/>
    <col min="13316" max="13316" width="10.42578125" style="110" customWidth="1"/>
    <col min="13317" max="13317" width="9.7109375" style="110" bestFit="1" customWidth="1"/>
    <col min="13318" max="13319" width="9.5703125" style="110" bestFit="1" customWidth="1"/>
    <col min="13320" max="13320" width="10.42578125" style="110" bestFit="1" customWidth="1"/>
    <col min="13321" max="13321" width="4.5703125" style="110" customWidth="1"/>
    <col min="13322" max="13322" width="1.7109375" style="110" customWidth="1"/>
    <col min="13323" max="13323" width="7" style="110" bestFit="1" customWidth="1"/>
    <col min="13324" max="13324" width="6.28515625" style="110" customWidth="1"/>
    <col min="13325" max="13325" width="20.42578125" style="110" customWidth="1"/>
    <col min="13326" max="13326" width="6.42578125" style="110" bestFit="1" customWidth="1"/>
    <col min="13327" max="13328" width="8.42578125" style="110"/>
    <col min="13329" max="13329" width="3.28515625" style="110" customWidth="1"/>
    <col min="13330" max="13568" width="8.42578125" style="110"/>
    <col min="13569" max="13569" width="10" style="110" bestFit="1" customWidth="1"/>
    <col min="13570" max="13570" width="44.28515625" style="110" bestFit="1" customWidth="1"/>
    <col min="13571" max="13571" width="10.42578125" style="110" bestFit="1" customWidth="1"/>
    <col min="13572" max="13572" width="10.42578125" style="110" customWidth="1"/>
    <col min="13573" max="13573" width="9.7109375" style="110" bestFit="1" customWidth="1"/>
    <col min="13574" max="13575" width="9.5703125" style="110" bestFit="1" customWidth="1"/>
    <col min="13576" max="13576" width="10.42578125" style="110" bestFit="1" customWidth="1"/>
    <col min="13577" max="13577" width="4.5703125" style="110" customWidth="1"/>
    <col min="13578" max="13578" width="1.7109375" style="110" customWidth="1"/>
    <col min="13579" max="13579" width="7" style="110" bestFit="1" customWidth="1"/>
    <col min="13580" max="13580" width="6.28515625" style="110" customWidth="1"/>
    <col min="13581" max="13581" width="20.42578125" style="110" customWidth="1"/>
    <col min="13582" max="13582" width="6.42578125" style="110" bestFit="1" customWidth="1"/>
    <col min="13583" max="13584" width="8.42578125" style="110"/>
    <col min="13585" max="13585" width="3.28515625" style="110" customWidth="1"/>
    <col min="13586" max="13824" width="8.42578125" style="110"/>
    <col min="13825" max="13825" width="10" style="110" bestFit="1" customWidth="1"/>
    <col min="13826" max="13826" width="44.28515625" style="110" bestFit="1" customWidth="1"/>
    <col min="13827" max="13827" width="10.42578125" style="110" bestFit="1" customWidth="1"/>
    <col min="13828" max="13828" width="10.42578125" style="110" customWidth="1"/>
    <col min="13829" max="13829" width="9.7109375" style="110" bestFit="1" customWidth="1"/>
    <col min="13830" max="13831" width="9.5703125" style="110" bestFit="1" customWidth="1"/>
    <col min="13832" max="13832" width="10.42578125" style="110" bestFit="1" customWidth="1"/>
    <col min="13833" max="13833" width="4.5703125" style="110" customWidth="1"/>
    <col min="13834" max="13834" width="1.7109375" style="110" customWidth="1"/>
    <col min="13835" max="13835" width="7" style="110" bestFit="1" customWidth="1"/>
    <col min="13836" max="13836" width="6.28515625" style="110" customWidth="1"/>
    <col min="13837" max="13837" width="20.42578125" style="110" customWidth="1"/>
    <col min="13838" max="13838" width="6.42578125" style="110" bestFit="1" customWidth="1"/>
    <col min="13839" max="13840" width="8.42578125" style="110"/>
    <col min="13841" max="13841" width="3.28515625" style="110" customWidth="1"/>
    <col min="13842" max="14080" width="8.42578125" style="110"/>
    <col min="14081" max="14081" width="10" style="110" bestFit="1" customWidth="1"/>
    <col min="14082" max="14082" width="44.28515625" style="110" bestFit="1" customWidth="1"/>
    <col min="14083" max="14083" width="10.42578125" style="110" bestFit="1" customWidth="1"/>
    <col min="14084" max="14084" width="10.42578125" style="110" customWidth="1"/>
    <col min="14085" max="14085" width="9.7109375" style="110" bestFit="1" customWidth="1"/>
    <col min="14086" max="14087" width="9.5703125" style="110" bestFit="1" customWidth="1"/>
    <col min="14088" max="14088" width="10.42578125" style="110" bestFit="1" customWidth="1"/>
    <col min="14089" max="14089" width="4.5703125" style="110" customWidth="1"/>
    <col min="14090" max="14090" width="1.7109375" style="110" customWidth="1"/>
    <col min="14091" max="14091" width="7" style="110" bestFit="1" customWidth="1"/>
    <col min="14092" max="14092" width="6.28515625" style="110" customWidth="1"/>
    <col min="14093" max="14093" width="20.42578125" style="110" customWidth="1"/>
    <col min="14094" max="14094" width="6.42578125" style="110" bestFit="1" customWidth="1"/>
    <col min="14095" max="14096" width="8.42578125" style="110"/>
    <col min="14097" max="14097" width="3.28515625" style="110" customWidth="1"/>
    <col min="14098" max="14336" width="8.42578125" style="110"/>
    <col min="14337" max="14337" width="10" style="110" bestFit="1" customWidth="1"/>
    <col min="14338" max="14338" width="44.28515625" style="110" bestFit="1" customWidth="1"/>
    <col min="14339" max="14339" width="10.42578125" style="110" bestFit="1" customWidth="1"/>
    <col min="14340" max="14340" width="10.42578125" style="110" customWidth="1"/>
    <col min="14341" max="14341" width="9.7109375" style="110" bestFit="1" customWidth="1"/>
    <col min="14342" max="14343" width="9.5703125" style="110" bestFit="1" customWidth="1"/>
    <col min="14344" max="14344" width="10.42578125" style="110" bestFit="1" customWidth="1"/>
    <col min="14345" max="14345" width="4.5703125" style="110" customWidth="1"/>
    <col min="14346" max="14346" width="1.7109375" style="110" customWidth="1"/>
    <col min="14347" max="14347" width="7" style="110" bestFit="1" customWidth="1"/>
    <col min="14348" max="14348" width="6.28515625" style="110" customWidth="1"/>
    <col min="14349" max="14349" width="20.42578125" style="110" customWidth="1"/>
    <col min="14350" max="14350" width="6.42578125" style="110" bestFit="1" customWidth="1"/>
    <col min="14351" max="14352" width="8.42578125" style="110"/>
    <col min="14353" max="14353" width="3.28515625" style="110" customWidth="1"/>
    <col min="14354" max="14592" width="8.42578125" style="110"/>
    <col min="14593" max="14593" width="10" style="110" bestFit="1" customWidth="1"/>
    <col min="14594" max="14594" width="44.28515625" style="110" bestFit="1" customWidth="1"/>
    <col min="14595" max="14595" width="10.42578125" style="110" bestFit="1" customWidth="1"/>
    <col min="14596" max="14596" width="10.42578125" style="110" customWidth="1"/>
    <col min="14597" max="14597" width="9.7109375" style="110" bestFit="1" customWidth="1"/>
    <col min="14598" max="14599" width="9.5703125" style="110" bestFit="1" customWidth="1"/>
    <col min="14600" max="14600" width="10.42578125" style="110" bestFit="1" customWidth="1"/>
    <col min="14601" max="14601" width="4.5703125" style="110" customWidth="1"/>
    <col min="14602" max="14602" width="1.7109375" style="110" customWidth="1"/>
    <col min="14603" max="14603" width="7" style="110" bestFit="1" customWidth="1"/>
    <col min="14604" max="14604" width="6.28515625" style="110" customWidth="1"/>
    <col min="14605" max="14605" width="20.42578125" style="110" customWidth="1"/>
    <col min="14606" max="14606" width="6.42578125" style="110" bestFit="1" customWidth="1"/>
    <col min="14607" max="14608" width="8.42578125" style="110"/>
    <col min="14609" max="14609" width="3.28515625" style="110" customWidth="1"/>
    <col min="14610" max="14848" width="8.42578125" style="110"/>
    <col min="14849" max="14849" width="10" style="110" bestFit="1" customWidth="1"/>
    <col min="14850" max="14850" width="44.28515625" style="110" bestFit="1" customWidth="1"/>
    <col min="14851" max="14851" width="10.42578125" style="110" bestFit="1" customWidth="1"/>
    <col min="14852" max="14852" width="10.42578125" style="110" customWidth="1"/>
    <col min="14853" max="14853" width="9.7109375" style="110" bestFit="1" customWidth="1"/>
    <col min="14854" max="14855" width="9.5703125" style="110" bestFit="1" customWidth="1"/>
    <col min="14856" max="14856" width="10.42578125" style="110" bestFit="1" customWidth="1"/>
    <col min="14857" max="14857" width="4.5703125" style="110" customWidth="1"/>
    <col min="14858" max="14858" width="1.7109375" style="110" customWidth="1"/>
    <col min="14859" max="14859" width="7" style="110" bestFit="1" customWidth="1"/>
    <col min="14860" max="14860" width="6.28515625" style="110" customWidth="1"/>
    <col min="14861" max="14861" width="20.42578125" style="110" customWidth="1"/>
    <col min="14862" max="14862" width="6.42578125" style="110" bestFit="1" customWidth="1"/>
    <col min="14863" max="14864" width="8.42578125" style="110"/>
    <col min="14865" max="14865" width="3.28515625" style="110" customWidth="1"/>
    <col min="14866" max="15104" width="8.42578125" style="110"/>
    <col min="15105" max="15105" width="10" style="110" bestFit="1" customWidth="1"/>
    <col min="15106" max="15106" width="44.28515625" style="110" bestFit="1" customWidth="1"/>
    <col min="15107" max="15107" width="10.42578125" style="110" bestFit="1" customWidth="1"/>
    <col min="15108" max="15108" width="10.42578125" style="110" customWidth="1"/>
    <col min="15109" max="15109" width="9.7109375" style="110" bestFit="1" customWidth="1"/>
    <col min="15110" max="15111" width="9.5703125" style="110" bestFit="1" customWidth="1"/>
    <col min="15112" max="15112" width="10.42578125" style="110" bestFit="1" customWidth="1"/>
    <col min="15113" max="15113" width="4.5703125" style="110" customWidth="1"/>
    <col min="15114" max="15114" width="1.7109375" style="110" customWidth="1"/>
    <col min="15115" max="15115" width="7" style="110" bestFit="1" customWidth="1"/>
    <col min="15116" max="15116" width="6.28515625" style="110" customWidth="1"/>
    <col min="15117" max="15117" width="20.42578125" style="110" customWidth="1"/>
    <col min="15118" max="15118" width="6.42578125" style="110" bestFit="1" customWidth="1"/>
    <col min="15119" max="15120" width="8.42578125" style="110"/>
    <col min="15121" max="15121" width="3.28515625" style="110" customWidth="1"/>
    <col min="15122" max="15360" width="8.42578125" style="110"/>
    <col min="15361" max="15361" width="10" style="110" bestFit="1" customWidth="1"/>
    <col min="15362" max="15362" width="44.28515625" style="110" bestFit="1" customWidth="1"/>
    <col min="15363" max="15363" width="10.42578125" style="110" bestFit="1" customWidth="1"/>
    <col min="15364" max="15364" width="10.42578125" style="110" customWidth="1"/>
    <col min="15365" max="15365" width="9.7109375" style="110" bestFit="1" customWidth="1"/>
    <col min="15366" max="15367" width="9.5703125" style="110" bestFit="1" customWidth="1"/>
    <col min="15368" max="15368" width="10.42578125" style="110" bestFit="1" customWidth="1"/>
    <col min="15369" max="15369" width="4.5703125" style="110" customWidth="1"/>
    <col min="15370" max="15370" width="1.7109375" style="110" customWidth="1"/>
    <col min="15371" max="15371" width="7" style="110" bestFit="1" customWidth="1"/>
    <col min="15372" max="15372" width="6.28515625" style="110" customWidth="1"/>
    <col min="15373" max="15373" width="20.42578125" style="110" customWidth="1"/>
    <col min="15374" max="15374" width="6.42578125" style="110" bestFit="1" customWidth="1"/>
    <col min="15375" max="15376" width="8.42578125" style="110"/>
    <col min="15377" max="15377" width="3.28515625" style="110" customWidth="1"/>
    <col min="15378" max="15616" width="8.42578125" style="110"/>
    <col min="15617" max="15617" width="10" style="110" bestFit="1" customWidth="1"/>
    <col min="15618" max="15618" width="44.28515625" style="110" bestFit="1" customWidth="1"/>
    <col min="15619" max="15619" width="10.42578125" style="110" bestFit="1" customWidth="1"/>
    <col min="15620" max="15620" width="10.42578125" style="110" customWidth="1"/>
    <col min="15621" max="15621" width="9.7109375" style="110" bestFit="1" customWidth="1"/>
    <col min="15622" max="15623" width="9.5703125" style="110" bestFit="1" customWidth="1"/>
    <col min="15624" max="15624" width="10.42578125" style="110" bestFit="1" customWidth="1"/>
    <col min="15625" max="15625" width="4.5703125" style="110" customWidth="1"/>
    <col min="15626" max="15626" width="1.7109375" style="110" customWidth="1"/>
    <col min="15627" max="15627" width="7" style="110" bestFit="1" customWidth="1"/>
    <col min="15628" max="15628" width="6.28515625" style="110" customWidth="1"/>
    <col min="15629" max="15629" width="20.42578125" style="110" customWidth="1"/>
    <col min="15630" max="15630" width="6.42578125" style="110" bestFit="1" customWidth="1"/>
    <col min="15631" max="15632" width="8.42578125" style="110"/>
    <col min="15633" max="15633" width="3.28515625" style="110" customWidth="1"/>
    <col min="15634" max="15872" width="8.42578125" style="110"/>
    <col min="15873" max="15873" width="10" style="110" bestFit="1" customWidth="1"/>
    <col min="15874" max="15874" width="44.28515625" style="110" bestFit="1" customWidth="1"/>
    <col min="15875" max="15875" width="10.42578125" style="110" bestFit="1" customWidth="1"/>
    <col min="15876" max="15876" width="10.42578125" style="110" customWidth="1"/>
    <col min="15877" max="15877" width="9.7109375" style="110" bestFit="1" customWidth="1"/>
    <col min="15878" max="15879" width="9.5703125" style="110" bestFit="1" customWidth="1"/>
    <col min="15880" max="15880" width="10.42578125" style="110" bestFit="1" customWidth="1"/>
    <col min="15881" max="15881" width="4.5703125" style="110" customWidth="1"/>
    <col min="15882" max="15882" width="1.7109375" style="110" customWidth="1"/>
    <col min="15883" max="15883" width="7" style="110" bestFit="1" customWidth="1"/>
    <col min="15884" max="15884" width="6.28515625" style="110" customWidth="1"/>
    <col min="15885" max="15885" width="20.42578125" style="110" customWidth="1"/>
    <col min="15886" max="15886" width="6.42578125" style="110" bestFit="1" customWidth="1"/>
    <col min="15887" max="15888" width="8.42578125" style="110"/>
    <col min="15889" max="15889" width="3.28515625" style="110" customWidth="1"/>
    <col min="15890" max="16128" width="8.42578125" style="110"/>
    <col min="16129" max="16129" width="10" style="110" bestFit="1" customWidth="1"/>
    <col min="16130" max="16130" width="44.28515625" style="110" bestFit="1" customWidth="1"/>
    <col min="16131" max="16131" width="10.42578125" style="110" bestFit="1" customWidth="1"/>
    <col min="16132" max="16132" width="10.42578125" style="110" customWidth="1"/>
    <col min="16133" max="16133" width="9.7109375" style="110" bestFit="1" customWidth="1"/>
    <col min="16134" max="16135" width="9.5703125" style="110" bestFit="1" customWidth="1"/>
    <col min="16136" max="16136" width="10.42578125" style="110" bestFit="1" customWidth="1"/>
    <col min="16137" max="16137" width="4.5703125" style="110" customWidth="1"/>
    <col min="16138" max="16138" width="1.7109375" style="110" customWidth="1"/>
    <col min="16139" max="16139" width="7" style="110" bestFit="1" customWidth="1"/>
    <col min="16140" max="16140" width="6.28515625" style="110" customWidth="1"/>
    <col min="16141" max="16141" width="20.42578125" style="110" customWidth="1"/>
    <col min="16142" max="16142" width="6.42578125" style="110" bestFit="1" customWidth="1"/>
    <col min="16143" max="16144" width="8.42578125" style="110"/>
    <col min="16145" max="16145" width="3.28515625" style="110" customWidth="1"/>
    <col min="16146" max="16384" width="8.42578125" style="110"/>
  </cols>
  <sheetData>
    <row r="1" spans="1:10" ht="27.75" customHeight="1" x14ac:dyDescent="0.25">
      <c r="A1" s="105"/>
      <c r="B1" s="105"/>
      <c r="C1" s="105"/>
      <c r="D1" s="105"/>
      <c r="E1" s="106" t="s">
        <v>121</v>
      </c>
      <c r="F1" s="107" t="s">
        <v>122</v>
      </c>
      <c r="G1" s="107" t="s">
        <v>123</v>
      </c>
      <c r="H1" s="107" t="s">
        <v>124</v>
      </c>
      <c r="I1" s="108"/>
    </row>
    <row r="2" spans="1:10" ht="30.75" customHeight="1" x14ac:dyDescent="0.25">
      <c r="A2" s="105"/>
      <c r="B2" s="105"/>
      <c r="C2" s="105"/>
      <c r="D2" s="105"/>
      <c r="E2" s="111">
        <f>IFERROR(O62,"")</f>
        <v>47239.627999999997</v>
      </c>
      <c r="F2" s="111">
        <f>IFERROR(H53,"")</f>
        <v>46047.5</v>
      </c>
      <c r="G2" s="111">
        <f>IFERROR(H54,"")</f>
        <v>2.1280000000000001</v>
      </c>
      <c r="H2" s="111">
        <f>IFERROR(H56,"")</f>
        <v>610</v>
      </c>
      <c r="I2" s="112"/>
    </row>
    <row r="3" spans="1:10" ht="15" customHeight="1" x14ac:dyDescent="0.25">
      <c r="A3" s="105"/>
      <c r="B3" s="105"/>
      <c r="C3" s="105"/>
      <c r="D3" s="105"/>
      <c r="E3" s="105"/>
      <c r="F3" s="113"/>
      <c r="G3" s="113"/>
      <c r="H3" s="113"/>
      <c r="I3" s="113"/>
    </row>
    <row r="4" spans="1:10" ht="24.75" customHeight="1" thickBot="1" x14ac:dyDescent="0.3">
      <c r="A4" s="602"/>
      <c r="B4" s="602"/>
      <c r="C4" s="602"/>
      <c r="D4" s="602"/>
      <c r="E4" s="602"/>
      <c r="F4" s="602"/>
      <c r="G4" s="602"/>
      <c r="H4" s="602"/>
      <c r="I4" s="114"/>
    </row>
    <row r="5" spans="1:10" ht="19.5" customHeight="1" thickBot="1" x14ac:dyDescent="0.3">
      <c r="A5" s="603" t="s">
        <v>125</v>
      </c>
      <c r="B5" s="604"/>
      <c r="C5" s="604"/>
      <c r="D5" s="604"/>
      <c r="E5" s="604"/>
      <c r="F5" s="604"/>
      <c r="G5" s="604"/>
      <c r="H5" s="605"/>
      <c r="I5" s="115"/>
    </row>
    <row r="6" spans="1:10" ht="19.5" thickBot="1" x14ac:dyDescent="0.3">
      <c r="A6" s="115"/>
      <c r="B6" s="115"/>
      <c r="C6" s="115"/>
      <c r="D6" s="115"/>
      <c r="E6" s="115"/>
      <c r="F6" s="606" t="s">
        <v>126</v>
      </c>
      <c r="G6" s="606"/>
      <c r="H6" s="116">
        <f ca="1">TODAY()</f>
        <v>45761</v>
      </c>
      <c r="I6" s="116"/>
    </row>
    <row r="7" spans="1:10" ht="26.25" thickBot="1" x14ac:dyDescent="0.3">
      <c r="A7" s="117" t="s">
        <v>127</v>
      </c>
      <c r="B7" s="118" t="s">
        <v>128</v>
      </c>
      <c r="C7" s="118" t="s">
        <v>127</v>
      </c>
      <c r="D7" s="119" t="s">
        <v>129</v>
      </c>
      <c r="E7" s="119" t="s">
        <v>130</v>
      </c>
      <c r="F7" s="119" t="s">
        <v>131</v>
      </c>
      <c r="G7" s="119" t="s">
        <v>132</v>
      </c>
      <c r="H7" s="120" t="s">
        <v>133</v>
      </c>
      <c r="I7" s="121"/>
    </row>
    <row r="8" spans="1:10" ht="13.5" x14ac:dyDescent="0.25">
      <c r="A8" s="122">
        <v>8000</v>
      </c>
      <c r="B8" s="110" t="str">
        <f>IFERROR(VLOOKUP(H8,'[1]Consolidado MP Planta'!$A$2:$M$823,3,0),"")</f>
        <v>BETTERCREME SUPREMO (UND:4 K)</v>
      </c>
      <c r="C8" s="123">
        <f>+A8</f>
        <v>8000</v>
      </c>
      <c r="D8" s="124" t="str">
        <f>IFERROR(VLOOKUP(H8,'[1]Consolidado MP Planta'!$A$2:$M$823,13,0),"")</f>
        <v>Gramos</v>
      </c>
      <c r="E8" s="124">
        <f>IFERROR(VLOOKUP(H8,'[1]Consolidado MP Planta'!$A$2:$M$823,12,0),"")</f>
        <v>2.4260000000000002</v>
      </c>
      <c r="F8" s="124">
        <f>IFERROR(C8*E8,"")</f>
        <v>19408</v>
      </c>
      <c r="G8" s="125">
        <f t="shared" ref="G8:G14" si="0">IFERROR(F8/$F$66,"")</f>
        <v>0.40789752491026909</v>
      </c>
      <c r="H8" s="126" t="s">
        <v>62</v>
      </c>
      <c r="I8" s="126"/>
      <c r="J8" s="127"/>
    </row>
    <row r="9" spans="1:10" ht="13.5" x14ac:dyDescent="0.25">
      <c r="A9" s="122">
        <v>12000</v>
      </c>
      <c r="B9" s="110" t="str">
        <f>IFERROR(VLOOKUP(H9,'[1]Consolidado MP Planta'!$A$2:$M$823,3,0),"")</f>
        <v>CREMA PRESTIGE GRAND (UND:4 K) *</v>
      </c>
      <c r="C9" s="123">
        <f t="shared" ref="C9:C14" si="1">+A9</f>
        <v>12000</v>
      </c>
      <c r="D9" s="124" t="str">
        <f>IFERROR(VLOOKUP(H9,'[1]Consolidado MP Planta'!$A$2:$M$823,13,0),"")</f>
        <v>Gramos</v>
      </c>
      <c r="E9" s="124">
        <v>2.11</v>
      </c>
      <c r="F9" s="124">
        <f t="shared" ref="F9:F14" si="2">IFERROR(C9*E9,"")</f>
        <v>25320</v>
      </c>
      <c r="G9" s="125">
        <f t="shared" si="0"/>
        <v>0.5321499036854912</v>
      </c>
      <c r="H9" s="126" t="s">
        <v>39</v>
      </c>
      <c r="I9" s="126"/>
      <c r="J9" s="127"/>
    </row>
    <row r="10" spans="1:10" ht="13.5" x14ac:dyDescent="0.25">
      <c r="A10" s="122">
        <v>1000</v>
      </c>
      <c r="B10" s="110" t="str">
        <f>IFERROR(VLOOKUP(H10,'[1]Consolidado MP Planta'!$A$2:$M$823,3,0),"")</f>
        <v>AGUA PLANTA</v>
      </c>
      <c r="C10" s="123">
        <f t="shared" si="1"/>
        <v>1000</v>
      </c>
      <c r="D10" s="124" t="str">
        <f>IFERROR(VLOOKUP(H10,'[1]Consolidado MP Planta'!$A$2:$M$823,13,0),"")</f>
        <v>Mililitros</v>
      </c>
      <c r="E10" s="124">
        <f>IFERROR(VLOOKUP(H10,'[1]Consolidado MP Planta'!$A$2:$M$823,12,0),"")</f>
        <v>0.1</v>
      </c>
      <c r="F10" s="124">
        <f t="shared" si="2"/>
        <v>100</v>
      </c>
      <c r="G10" s="125">
        <f t="shared" si="0"/>
        <v>2.1016978818542307E-3</v>
      </c>
      <c r="H10" s="126" t="s">
        <v>57</v>
      </c>
      <c r="I10" s="126"/>
      <c r="J10" s="127"/>
    </row>
    <row r="11" spans="1:10" ht="13.5" x14ac:dyDescent="0.25">
      <c r="A11" s="122">
        <v>60</v>
      </c>
      <c r="B11" s="110" t="str">
        <f>IFERROR(VLOOKUP(H11,'[1]Consolidado MP Planta'!$A$2:$M$823,3,0),"")</f>
        <v>COLORANTE GEL SUPER RED</v>
      </c>
      <c r="C11" s="123">
        <f t="shared" si="1"/>
        <v>60</v>
      </c>
      <c r="D11" s="124" t="str">
        <f>IFERROR(VLOOKUP(H11,'[1]Consolidado MP Planta'!$A$2:$M$823,13,0),"")</f>
        <v>Mililitros</v>
      </c>
      <c r="E11" s="124">
        <v>18.46</v>
      </c>
      <c r="F11" s="124">
        <f t="shared" si="2"/>
        <v>1107.6000000000001</v>
      </c>
      <c r="G11" s="125">
        <f t="shared" si="0"/>
        <v>2.3278405739417463E-2</v>
      </c>
      <c r="H11" s="126" t="s">
        <v>44</v>
      </c>
      <c r="I11" s="126"/>
      <c r="J11" s="127"/>
    </row>
    <row r="12" spans="1:10" ht="13.5" x14ac:dyDescent="0.25">
      <c r="A12" s="122">
        <v>15</v>
      </c>
      <c r="B12" s="110" t="str">
        <f>IFERROR(VLOOKUP(H12,'[1]Consolidado MP Planta'!$A$2:$M$823,3,0),"")</f>
        <v>PRESERVANTE 1047S (PAQ=5 KILO)</v>
      </c>
      <c r="C12" s="123">
        <f t="shared" si="1"/>
        <v>15</v>
      </c>
      <c r="D12" s="124" t="str">
        <f>IFERROR(VLOOKUP(H12,'[1]Consolidado MP Planta'!$A$2:$M$823,13,0),"")</f>
        <v>Gramos</v>
      </c>
      <c r="E12" s="124">
        <v>7.46</v>
      </c>
      <c r="F12" s="124">
        <f t="shared" si="2"/>
        <v>111.9</v>
      </c>
      <c r="G12" s="125">
        <f t="shared" si="0"/>
        <v>2.3517999297948842E-3</v>
      </c>
      <c r="H12" s="126" t="s">
        <v>64</v>
      </c>
      <c r="I12" s="126"/>
      <c r="J12" s="127"/>
    </row>
    <row r="13" spans="1:10" ht="13.5" hidden="1" x14ac:dyDescent="0.25">
      <c r="A13" s="122"/>
      <c r="B13" s="110" t="str">
        <f>IFERROR(VLOOKUP(H13,'[1]Consolidado MP Planta'!$A$2:$M$823,3,0),"")</f>
        <v/>
      </c>
      <c r="C13" s="123">
        <f t="shared" si="1"/>
        <v>0</v>
      </c>
      <c r="D13" s="124" t="str">
        <f>IFERROR(VLOOKUP(H13,'[1]Consolidado MP Planta'!$A$2:$M$823,13,0),"")</f>
        <v/>
      </c>
      <c r="E13" s="124" t="str">
        <f>IFERROR(VLOOKUP(H13,'[1]Consolidado MP Planta'!$A$2:$M$823,12,0),"")</f>
        <v/>
      </c>
      <c r="F13" s="124" t="str">
        <f t="shared" si="2"/>
        <v/>
      </c>
      <c r="G13" s="125" t="str">
        <f t="shared" si="0"/>
        <v/>
      </c>
      <c r="H13" s="126"/>
      <c r="I13" s="126"/>
      <c r="J13" s="127"/>
    </row>
    <row r="14" spans="1:10" ht="13.5" hidden="1" x14ac:dyDescent="0.25">
      <c r="A14" s="122"/>
      <c r="B14" s="110" t="str">
        <f>IFERROR(VLOOKUP(H14,'[1]Consolidado MP Planta'!$A$2:$M$823,3,0),"")</f>
        <v/>
      </c>
      <c r="C14" s="123">
        <f t="shared" si="1"/>
        <v>0</v>
      </c>
      <c r="D14" s="124" t="str">
        <f>IFERROR(VLOOKUP(H14,'[1]Consolidado MP Planta'!$A$2:$M$823,13,0),"")</f>
        <v/>
      </c>
      <c r="E14" s="124" t="str">
        <f>IFERROR(VLOOKUP(H14,'[1]Consolidado MP Planta'!$A$2:$M$823,12,0),"")</f>
        <v/>
      </c>
      <c r="F14" s="124" t="str">
        <f t="shared" si="2"/>
        <v/>
      </c>
      <c r="G14" s="125" t="str">
        <f t="shared" si="0"/>
        <v/>
      </c>
      <c r="H14" s="126"/>
      <c r="I14" s="126"/>
      <c r="J14" s="127"/>
    </row>
    <row r="15" spans="1:10" ht="14.25" thickBot="1" x14ac:dyDescent="0.3">
      <c r="A15" s="122"/>
      <c r="B15" s="110" t="str">
        <f>IFERROR(VLOOKUP(H15,'[2]ARTICULOS MP PLANTA'!$A$2:$G$589,2,0),"")</f>
        <v/>
      </c>
      <c r="C15" s="123"/>
      <c r="D15" s="124"/>
      <c r="E15" s="124"/>
      <c r="F15" s="124"/>
      <c r="G15" s="125"/>
      <c r="H15" s="126"/>
      <c r="I15" s="126"/>
      <c r="J15" s="127"/>
    </row>
    <row r="16" spans="1:10" ht="26.25" hidden="1" thickBot="1" x14ac:dyDescent="0.3">
      <c r="A16" s="117" t="s">
        <v>127</v>
      </c>
      <c r="B16" s="118" t="s">
        <v>134</v>
      </c>
      <c r="C16" s="118" t="s">
        <v>127</v>
      </c>
      <c r="D16" s="119" t="s">
        <v>129</v>
      </c>
      <c r="E16" s="119" t="s">
        <v>130</v>
      </c>
      <c r="F16" s="119" t="s">
        <v>131</v>
      </c>
      <c r="G16" s="119" t="s">
        <v>132</v>
      </c>
      <c r="H16" s="120" t="s">
        <v>133</v>
      </c>
      <c r="I16" s="121"/>
      <c r="J16" s="127"/>
    </row>
    <row r="17" spans="1:12" ht="13.5" hidden="1" x14ac:dyDescent="0.25">
      <c r="A17" s="122"/>
      <c r="B17" s="110" t="str">
        <f>IFERROR(VLOOKUP(H17,[1]SEMIELABORADOS!$A$2:$M$6000,2,0),"")</f>
        <v/>
      </c>
      <c r="C17" s="123">
        <f>+A17</f>
        <v>0</v>
      </c>
      <c r="D17" s="123" t="str">
        <f>IFERROR(VLOOKUP(H17,[1]SEMIELABORADOS!$A$2:$M$6000,6,0),"")</f>
        <v/>
      </c>
      <c r="E17" s="124" t="str">
        <f>IFERROR(VLOOKUP(H17,[1]SEMIELABORADOS!$A$2:$H$65536,8,0),"")</f>
        <v/>
      </c>
      <c r="F17" s="124" t="str">
        <f>IFERROR(E17*C17,"")</f>
        <v/>
      </c>
      <c r="G17" s="125" t="str">
        <f t="shared" ref="G17:G24" si="3">IFERROR(F17/$F$66,"")</f>
        <v/>
      </c>
      <c r="H17" s="126"/>
      <c r="I17" s="126"/>
      <c r="J17" s="127"/>
    </row>
    <row r="18" spans="1:12" ht="13.5" hidden="1" x14ac:dyDescent="0.25">
      <c r="A18" s="122"/>
      <c r="B18" s="110" t="str">
        <f>IFERROR(VLOOKUP(H18,[1]SEMIELABORADOS!$A$2:$M$6000,2,0),"")</f>
        <v/>
      </c>
      <c r="C18" s="123">
        <f t="shared" ref="C18:C24" si="4">+A18</f>
        <v>0</v>
      </c>
      <c r="D18" s="123" t="str">
        <f>IFERROR(VLOOKUP(H18,[1]SEMIELABORADOS!$A$2:$M$6000,6,0),"")</f>
        <v/>
      </c>
      <c r="E18" s="124" t="str">
        <f>IFERROR(VLOOKUP(H18,[1]SEMIELABORADOS!$A$2:$H$65536,8,0),"")</f>
        <v/>
      </c>
      <c r="F18" s="124" t="str">
        <f t="shared" ref="F18:F24" si="5">IFERROR(E18*C18,"")</f>
        <v/>
      </c>
      <c r="G18" s="125" t="str">
        <f t="shared" si="3"/>
        <v/>
      </c>
      <c r="H18" s="126"/>
      <c r="I18" s="126"/>
      <c r="J18" s="127"/>
    </row>
    <row r="19" spans="1:12" ht="13.5" hidden="1" x14ac:dyDescent="0.25">
      <c r="A19" s="122"/>
      <c r="B19" s="110" t="str">
        <f>IFERROR(VLOOKUP(H19,[1]SEMIELABORADOS!$A$2:$M$6000,2,0),"")</f>
        <v/>
      </c>
      <c r="C19" s="123">
        <f>+A19</f>
        <v>0</v>
      </c>
      <c r="D19" s="123" t="str">
        <f>IFERROR(VLOOKUP(H19,[1]SEMIELABORADOS!$A$2:$M$6000,6,0),"")</f>
        <v/>
      </c>
      <c r="E19" s="124" t="str">
        <f>IFERROR(VLOOKUP(H19,[1]SEMIELABORADOS!$A$2:$H$65536,8,0),"")</f>
        <v/>
      </c>
      <c r="F19" s="124" t="str">
        <f>IFERROR(E19*C19,"")</f>
        <v/>
      </c>
      <c r="G19" s="125" t="str">
        <f t="shared" si="3"/>
        <v/>
      </c>
      <c r="H19" s="126"/>
      <c r="I19" s="126"/>
      <c r="J19" s="127"/>
    </row>
    <row r="20" spans="1:12" ht="13.5" hidden="1" x14ac:dyDescent="0.25">
      <c r="A20" s="122"/>
      <c r="B20" s="110" t="str">
        <f>IFERROR(VLOOKUP(H20,[1]SEMIELABORADOS!$A$2:$M$6000,2,0),"")</f>
        <v/>
      </c>
      <c r="C20" s="123">
        <f>+A20</f>
        <v>0</v>
      </c>
      <c r="D20" s="123" t="str">
        <f>IFERROR(VLOOKUP(H20,[1]SEMIELABORADOS!$A$2:$M$6000,6,0),"")</f>
        <v/>
      </c>
      <c r="E20" s="124" t="str">
        <f>IFERROR(VLOOKUP(H20,[1]SEMIELABORADOS!$A$2:$H$65536,8,0),"")</f>
        <v/>
      </c>
      <c r="F20" s="124" t="str">
        <f>IFERROR(E20*C20,"")</f>
        <v/>
      </c>
      <c r="G20" s="125" t="str">
        <f t="shared" si="3"/>
        <v/>
      </c>
      <c r="H20" s="126"/>
      <c r="I20" s="126"/>
      <c r="J20" s="127"/>
    </row>
    <row r="21" spans="1:12" ht="13.5" hidden="1" x14ac:dyDescent="0.25">
      <c r="A21" s="122"/>
      <c r="B21" s="110" t="str">
        <f>IFERROR(VLOOKUP(H21,[1]SEMIELABORADOS!$A$2:$M$6000,2,0),"")</f>
        <v/>
      </c>
      <c r="C21" s="123">
        <f>+A21</f>
        <v>0</v>
      </c>
      <c r="D21" s="123" t="str">
        <f>IFERROR(VLOOKUP(H21,[1]SEMIELABORADOS!$A$2:$M$6000,6,0),"")</f>
        <v/>
      </c>
      <c r="E21" s="124" t="str">
        <f>IFERROR(VLOOKUP(H21,[1]SEMIELABORADOS!$A$2:$H$65536,8,0),"")</f>
        <v/>
      </c>
      <c r="F21" s="124" t="str">
        <f>IFERROR(E21*C21,"")</f>
        <v/>
      </c>
      <c r="G21" s="125" t="str">
        <f t="shared" si="3"/>
        <v/>
      </c>
      <c r="H21" s="126"/>
      <c r="I21" s="126"/>
      <c r="J21" s="127"/>
    </row>
    <row r="22" spans="1:12" ht="13.5" hidden="1" x14ac:dyDescent="0.25">
      <c r="A22" s="122"/>
      <c r="B22" s="110" t="str">
        <f>IFERROR(VLOOKUP(H22,[1]SEMIELABORADOS!$A$2:$M$6000,2,0),"")</f>
        <v/>
      </c>
      <c r="C22" s="123">
        <f t="shared" si="4"/>
        <v>0</v>
      </c>
      <c r="D22" s="123" t="str">
        <f>IFERROR(VLOOKUP(H22,[1]SEMIELABORADOS!$A$2:$M$6000,6,0),"")</f>
        <v/>
      </c>
      <c r="E22" s="124" t="str">
        <f>IFERROR(VLOOKUP(H22,[1]SEMIELABORADOS!$A$2:$H$65536,8,0),"")</f>
        <v/>
      </c>
      <c r="F22" s="124" t="str">
        <f t="shared" si="5"/>
        <v/>
      </c>
      <c r="G22" s="125" t="str">
        <f t="shared" si="3"/>
        <v/>
      </c>
      <c r="H22" s="126"/>
      <c r="I22" s="126"/>
      <c r="J22" s="127"/>
    </row>
    <row r="23" spans="1:12" ht="13.5" hidden="1" x14ac:dyDescent="0.25">
      <c r="A23" s="122"/>
      <c r="B23" s="110" t="str">
        <f>IFERROR(VLOOKUP(H23,[1]SEMIELABORADOS!$A$2:$M$6000,2,0),"")</f>
        <v/>
      </c>
      <c r="C23" s="123">
        <f t="shared" si="4"/>
        <v>0</v>
      </c>
      <c r="D23" s="123" t="str">
        <f>IFERROR(VLOOKUP(H23,[1]SEMIELABORADOS!$A$2:$M$6000,6,0),"")</f>
        <v/>
      </c>
      <c r="E23" s="124" t="str">
        <f>IFERROR(VLOOKUP(H23,[1]SEMIELABORADOS!$A$2:$H$65536,8,0),"")</f>
        <v/>
      </c>
      <c r="F23" s="124" t="str">
        <f t="shared" si="5"/>
        <v/>
      </c>
      <c r="G23" s="125" t="str">
        <f t="shared" si="3"/>
        <v/>
      </c>
      <c r="H23" s="126"/>
      <c r="I23" s="126"/>
      <c r="J23" s="127"/>
    </row>
    <row r="24" spans="1:12" ht="13.5" hidden="1" x14ac:dyDescent="0.25">
      <c r="A24" s="122"/>
      <c r="B24" s="110" t="str">
        <f>IFERROR(VLOOKUP(H24,[1]SEMIELABORADOS!$A$2:$M$6000,2,0),"")</f>
        <v/>
      </c>
      <c r="C24" s="123">
        <f t="shared" si="4"/>
        <v>0</v>
      </c>
      <c r="D24" s="123" t="str">
        <f>IFERROR(VLOOKUP(H24,[1]SEMIELABORADOS!$A$2:$M$6000,6,0),"")</f>
        <v/>
      </c>
      <c r="E24" s="124" t="str">
        <f>IFERROR(VLOOKUP(H24,[1]SEMIELABORADOS!$A$2:$H$65536,8,0),"")</f>
        <v/>
      </c>
      <c r="F24" s="124" t="str">
        <f t="shared" si="5"/>
        <v/>
      </c>
      <c r="G24" s="125" t="str">
        <f t="shared" si="3"/>
        <v/>
      </c>
      <c r="H24" s="126"/>
      <c r="I24" s="126"/>
      <c r="J24" s="127"/>
    </row>
    <row r="25" spans="1:12" ht="14.25" hidden="1" thickBot="1" x14ac:dyDescent="0.3">
      <c r="A25" s="122"/>
      <c r="C25" s="123"/>
      <c r="D25" s="123"/>
      <c r="E25" s="124"/>
      <c r="F25" s="124"/>
      <c r="G25" s="125"/>
      <c r="H25" s="126"/>
      <c r="I25" s="126"/>
      <c r="J25" s="127"/>
    </row>
    <row r="26" spans="1:12" ht="26.25" thickBot="1" x14ac:dyDescent="0.3">
      <c r="A26" s="117" t="s">
        <v>127</v>
      </c>
      <c r="B26" s="118" t="s">
        <v>94</v>
      </c>
      <c r="C26" s="118" t="s">
        <v>127</v>
      </c>
      <c r="D26" s="119" t="s">
        <v>129</v>
      </c>
      <c r="E26" s="119" t="s">
        <v>130</v>
      </c>
      <c r="F26" s="119" t="s">
        <v>131</v>
      </c>
      <c r="G26" s="119" t="s">
        <v>132</v>
      </c>
      <c r="H26" s="120" t="s">
        <v>133</v>
      </c>
      <c r="I26" s="121"/>
    </row>
    <row r="27" spans="1:12" ht="13.5" x14ac:dyDescent="0.25">
      <c r="A27" s="122">
        <v>1</v>
      </c>
      <c r="B27" s="128" t="str">
        <f>IFERROR(VLOOKUP(H27,'[1]Consolidado MP Planta'!$A$2:$M$823,3,0),"")</f>
        <v>ETIQUETA BLANCA 2 5/8X1 15/16 (UND)</v>
      </c>
      <c r="C27" s="123">
        <f t="shared" ref="C27:C32" si="6">+A27</f>
        <v>1</v>
      </c>
      <c r="D27" s="124" t="str">
        <f>IFERROR(VLOOKUP(H27,'[1]Consolidado MP Planta'!$A$2:$M$823,13,0),"")</f>
        <v>Und</v>
      </c>
      <c r="E27" s="124">
        <f>IFERROR(VLOOKUP(H27,'[1]Consolidado MP Planta'!$A$2:$M$823,12,0),"")</f>
        <v>2.1280000000000001</v>
      </c>
      <c r="F27" s="124">
        <f t="shared" ref="F27:F32" si="7">IFERROR(C27*E27,"")</f>
        <v>2.1280000000000001</v>
      </c>
      <c r="G27" s="125">
        <f t="shared" ref="G27:G32" si="8">IFERROR(F27/$F$66,"")</f>
        <v>4.4724130925858033E-5</v>
      </c>
      <c r="H27" s="129" t="s">
        <v>66</v>
      </c>
      <c r="I27" s="129"/>
      <c r="J27" s="127"/>
      <c r="K27" s="601"/>
      <c r="L27" s="601"/>
    </row>
    <row r="28" spans="1:12" ht="13.5" hidden="1" x14ac:dyDescent="0.25">
      <c r="A28" s="122"/>
      <c r="B28" s="128" t="str">
        <f>IFERROR(VLOOKUP(H28,'[1]Consolidado MP Planta'!$A$2:$M$823,3,0),"")</f>
        <v/>
      </c>
      <c r="C28" s="123">
        <f t="shared" si="6"/>
        <v>0</v>
      </c>
      <c r="D28" s="124" t="str">
        <f>IFERROR(VLOOKUP(H28,'[1]Consolidado MP Planta'!$A$2:$M$823,13,0),"")</f>
        <v/>
      </c>
      <c r="E28" s="124" t="str">
        <f>IFERROR(VLOOKUP(H28,'[1]Consolidado MP Planta'!$A$2:$M$823,12,0),"")</f>
        <v/>
      </c>
      <c r="F28" s="124" t="str">
        <f t="shared" si="7"/>
        <v/>
      </c>
      <c r="G28" s="125" t="str">
        <f t="shared" si="8"/>
        <v/>
      </c>
      <c r="H28" s="129"/>
      <c r="I28" s="129"/>
      <c r="J28" s="127"/>
      <c r="K28" s="601"/>
      <c r="L28" s="601"/>
    </row>
    <row r="29" spans="1:12" ht="13.5" hidden="1" x14ac:dyDescent="0.25">
      <c r="A29" s="122"/>
      <c r="B29" s="128" t="str">
        <f>IFERROR(VLOOKUP(H29,'[1]Consolidado MP Planta'!$A$2:$M$823,3,0),"")</f>
        <v/>
      </c>
      <c r="C29" s="123">
        <f t="shared" si="6"/>
        <v>0</v>
      </c>
      <c r="D29" s="124" t="str">
        <f>IFERROR(VLOOKUP(H29,'[1]Consolidado MP Planta'!$A$2:$M$823,13,0),"")</f>
        <v/>
      </c>
      <c r="E29" s="124" t="str">
        <f>IFERROR(VLOOKUP(H29,'[1]Consolidado MP Planta'!$A$2:$M$823,12,0),"")</f>
        <v/>
      </c>
      <c r="F29" s="124" t="str">
        <f t="shared" si="7"/>
        <v/>
      </c>
      <c r="G29" s="125" t="str">
        <f t="shared" si="8"/>
        <v/>
      </c>
      <c r="H29" s="129"/>
      <c r="I29" s="129"/>
      <c r="J29" s="127"/>
      <c r="K29" s="601"/>
      <c r="L29" s="601"/>
    </row>
    <row r="30" spans="1:12" ht="13.5" hidden="1" x14ac:dyDescent="0.25">
      <c r="A30" s="122"/>
      <c r="B30" s="128" t="str">
        <f>IFERROR(VLOOKUP(H30,'[1]Consolidado MP Planta'!$A$2:$M$823,3,0),"")</f>
        <v/>
      </c>
      <c r="C30" s="123">
        <f t="shared" si="6"/>
        <v>0</v>
      </c>
      <c r="D30" s="124" t="str">
        <f>IFERROR(VLOOKUP(H30,'[1]Consolidado MP Planta'!$A$2:$M$823,13,0),"")</f>
        <v/>
      </c>
      <c r="E30" s="124" t="str">
        <f>IFERROR(VLOOKUP(H30,'[1]Consolidado MP Planta'!$A$2:$M$823,12,0),"")</f>
        <v/>
      </c>
      <c r="F30" s="124" t="str">
        <f t="shared" si="7"/>
        <v/>
      </c>
      <c r="G30" s="125" t="str">
        <f t="shared" si="8"/>
        <v/>
      </c>
      <c r="H30" s="129"/>
      <c r="I30" s="129"/>
      <c r="J30" s="127"/>
      <c r="K30" s="601"/>
      <c r="L30" s="601"/>
    </row>
    <row r="31" spans="1:12" ht="13.5" hidden="1" x14ac:dyDescent="0.25">
      <c r="A31" s="122"/>
      <c r="B31" s="128" t="str">
        <f>IFERROR(VLOOKUP(H31,'[1]Consolidado MP Planta'!$A$2:$M$823,3,0),"")</f>
        <v/>
      </c>
      <c r="C31" s="123">
        <f t="shared" si="6"/>
        <v>0</v>
      </c>
      <c r="D31" s="124" t="str">
        <f>IFERROR(VLOOKUP(H31,'[1]Consolidado MP Planta'!$A$2:$M$823,13,0),"")</f>
        <v/>
      </c>
      <c r="E31" s="124" t="str">
        <f>IFERROR(VLOOKUP(H31,'[1]Consolidado MP Planta'!$A$2:$M$823,12,0),"")</f>
        <v/>
      </c>
      <c r="F31" s="124" t="str">
        <f t="shared" si="7"/>
        <v/>
      </c>
      <c r="G31" s="125" t="str">
        <f t="shared" si="8"/>
        <v/>
      </c>
      <c r="H31" s="129"/>
      <c r="I31" s="129"/>
      <c r="J31" s="127"/>
      <c r="K31" s="130"/>
      <c r="L31" s="131"/>
    </row>
    <row r="32" spans="1:12" ht="13.5" hidden="1" x14ac:dyDescent="0.25">
      <c r="A32" s="122"/>
      <c r="B32" s="128" t="str">
        <f>IFERROR(VLOOKUP(H32,'[1]Consolidado MP Planta'!$A$2:$M$823,3,0),"")</f>
        <v/>
      </c>
      <c r="C32" s="123">
        <f t="shared" si="6"/>
        <v>0</v>
      </c>
      <c r="D32" s="124" t="str">
        <f>IFERROR(VLOOKUP(H32,'[1]Consolidado MP Planta'!$A$2:$M$823,13,0),"")</f>
        <v/>
      </c>
      <c r="E32" s="124" t="str">
        <f>IFERROR(VLOOKUP(H32,'[1]Consolidado MP Planta'!$A$2:$M$823,12,0),"")</f>
        <v/>
      </c>
      <c r="F32" s="124" t="str">
        <f t="shared" si="7"/>
        <v/>
      </c>
      <c r="G32" s="125" t="str">
        <f t="shared" si="8"/>
        <v/>
      </c>
      <c r="H32" s="129"/>
      <c r="I32" s="129"/>
      <c r="J32" s="127"/>
    </row>
    <row r="33" spans="1:13" ht="14.25" thickBot="1" x14ac:dyDescent="0.3">
      <c r="A33" s="122"/>
      <c r="B33" s="128"/>
      <c r="C33" s="123"/>
      <c r="D33" s="124"/>
      <c r="E33" s="124"/>
      <c r="F33" s="124"/>
      <c r="G33" s="125"/>
      <c r="H33" s="129"/>
      <c r="I33" s="129"/>
      <c r="J33" s="127"/>
    </row>
    <row r="34" spans="1:13" ht="26.25" hidden="1" thickBot="1" x14ac:dyDescent="0.25">
      <c r="A34" s="117" t="s">
        <v>127</v>
      </c>
      <c r="B34" s="118" t="s">
        <v>135</v>
      </c>
      <c r="C34" s="118" t="s">
        <v>127</v>
      </c>
      <c r="D34" s="119" t="s">
        <v>129</v>
      </c>
      <c r="E34" s="119" t="s">
        <v>130</v>
      </c>
      <c r="F34" s="119" t="s">
        <v>131</v>
      </c>
      <c r="G34" s="119" t="s">
        <v>132</v>
      </c>
      <c r="H34" s="120" t="s">
        <v>133</v>
      </c>
      <c r="I34" s="129"/>
      <c r="J34" s="127"/>
    </row>
    <row r="35" spans="1:13" ht="13.5" hidden="1" x14ac:dyDescent="0.25">
      <c r="A35" s="122">
        <f>+A17</f>
        <v>0</v>
      </c>
      <c r="B35" s="128" t="str">
        <f>IFERROR(VLOOKUP(H35,[1]SEMIELABORADOS!$A$2:$M$6000,2,0),"")</f>
        <v/>
      </c>
      <c r="C35" s="123">
        <f>+A35</f>
        <v>0</v>
      </c>
      <c r="D35" s="124" t="str">
        <f>IFERROR(VLOOKUP(H35,[1]SEMIELABORADOS!$A$2:$M$6000,6,0),"")</f>
        <v/>
      </c>
      <c r="E35" s="124" t="str">
        <f>IFERROR(VLOOKUP(H35,[1]SEMIELABORADOS!$A$2:$M$65536,10,0),"")</f>
        <v/>
      </c>
      <c r="F35" s="124" t="str">
        <f>IFERROR(E35*C35,"")</f>
        <v/>
      </c>
      <c r="G35" s="125" t="str">
        <f t="shared" ref="G35:G41" si="9">IFERROR(F35/$F$66,"")</f>
        <v/>
      </c>
      <c r="H35" s="129"/>
      <c r="I35" s="129"/>
      <c r="J35" s="127"/>
    </row>
    <row r="36" spans="1:13" ht="13.5" hidden="1" x14ac:dyDescent="0.25">
      <c r="A36" s="122">
        <f t="shared" ref="A36:A41" si="10">+A18</f>
        <v>0</v>
      </c>
      <c r="B36" s="128" t="str">
        <f>IFERROR(VLOOKUP(H36,[1]SEMIELABORADOS!$A$2:$M$6000,2,0),"")</f>
        <v/>
      </c>
      <c r="C36" s="123">
        <f t="shared" ref="C36:C41" si="11">+A36</f>
        <v>0</v>
      </c>
      <c r="D36" s="124" t="str">
        <f>IFERROR(VLOOKUP(H36,[1]SEMIELABORADOS!$A$2:$M$6000,6,0),"")</f>
        <v/>
      </c>
      <c r="E36" s="124" t="str">
        <f>IFERROR(VLOOKUP(H36,[1]SEMIELABORADOS!$A$2:$M$65536,10,0),"")</f>
        <v/>
      </c>
      <c r="F36" s="124" t="str">
        <f t="shared" ref="F36:F41" si="12">IFERROR(E36*C36,"")</f>
        <v/>
      </c>
      <c r="G36" s="125" t="str">
        <f t="shared" si="9"/>
        <v/>
      </c>
      <c r="H36" s="129"/>
      <c r="I36" s="129"/>
      <c r="J36" s="127"/>
    </row>
    <row r="37" spans="1:13" ht="13.5" hidden="1" x14ac:dyDescent="0.25">
      <c r="A37" s="122">
        <f t="shared" si="10"/>
        <v>0</v>
      </c>
      <c r="B37" s="128" t="str">
        <f>IFERROR(VLOOKUP(H37,[1]SEMIELABORADOS!$A$2:$M$6000,2,0),"")</f>
        <v/>
      </c>
      <c r="C37" s="123">
        <f t="shared" si="11"/>
        <v>0</v>
      </c>
      <c r="D37" s="124" t="str">
        <f>IFERROR(VLOOKUP(H37,[1]SEMIELABORADOS!$A$2:$M$6000,6,0),"")</f>
        <v/>
      </c>
      <c r="E37" s="124" t="str">
        <f>IFERROR(VLOOKUP(H37,[1]SEMIELABORADOS!$A$2:$M$65536,10,0),"")</f>
        <v/>
      </c>
      <c r="F37" s="124" t="str">
        <f t="shared" si="12"/>
        <v/>
      </c>
      <c r="G37" s="125" t="str">
        <f t="shared" si="9"/>
        <v/>
      </c>
      <c r="H37" s="129"/>
      <c r="I37" s="129"/>
      <c r="J37" s="127"/>
    </row>
    <row r="38" spans="1:13" ht="13.5" hidden="1" x14ac:dyDescent="0.25">
      <c r="A38" s="122">
        <f t="shared" si="10"/>
        <v>0</v>
      </c>
      <c r="B38" s="128" t="str">
        <f>IFERROR(VLOOKUP(H38,[1]SEMIELABORADOS!$A$2:$M$6000,2,0),"")</f>
        <v/>
      </c>
      <c r="C38" s="123">
        <f>+A38</f>
        <v>0</v>
      </c>
      <c r="D38" s="124" t="str">
        <f>IFERROR(VLOOKUP(H38,[1]SEMIELABORADOS!$A$2:$M$6000,6,0),"")</f>
        <v/>
      </c>
      <c r="E38" s="124" t="str">
        <f>IFERROR(VLOOKUP(H38,[1]SEMIELABORADOS!$A$2:$M$65536,10,0),"")</f>
        <v/>
      </c>
      <c r="F38" s="124" t="str">
        <f>IFERROR(E38*C38,"")</f>
        <v/>
      </c>
      <c r="G38" s="125" t="str">
        <f t="shared" si="9"/>
        <v/>
      </c>
      <c r="H38" s="129"/>
      <c r="I38" s="129"/>
      <c r="J38" s="127"/>
    </row>
    <row r="39" spans="1:13" ht="13.5" hidden="1" x14ac:dyDescent="0.25">
      <c r="A39" s="122">
        <f t="shared" si="10"/>
        <v>0</v>
      </c>
      <c r="B39" s="128" t="str">
        <f>IFERROR(VLOOKUP(H39,[1]SEMIELABORADOS!$A$2:$M$6000,2,0),"")</f>
        <v/>
      </c>
      <c r="C39" s="123">
        <f>+A39</f>
        <v>0</v>
      </c>
      <c r="D39" s="124" t="str">
        <f>IFERROR(VLOOKUP(H39,[1]SEMIELABORADOS!$A$2:$M$6000,6,0),"")</f>
        <v/>
      </c>
      <c r="E39" s="124" t="str">
        <f>IFERROR(VLOOKUP(H39,[1]SEMIELABORADOS!$A$2:$M$65536,10,0),"")</f>
        <v/>
      </c>
      <c r="F39" s="124" t="str">
        <f>IFERROR(E39*C39,"")</f>
        <v/>
      </c>
      <c r="G39" s="125" t="str">
        <f t="shared" si="9"/>
        <v/>
      </c>
      <c r="H39" s="129"/>
      <c r="I39" s="129"/>
      <c r="J39" s="127"/>
    </row>
    <row r="40" spans="1:13" ht="13.5" hidden="1" x14ac:dyDescent="0.25">
      <c r="A40" s="122">
        <f t="shared" si="10"/>
        <v>0</v>
      </c>
      <c r="B40" s="128" t="str">
        <f>IFERROR(VLOOKUP(H40,[1]SEMIELABORADOS!$A$2:$M$6000,2,0),"")</f>
        <v/>
      </c>
      <c r="C40" s="123">
        <f t="shared" si="11"/>
        <v>0</v>
      </c>
      <c r="D40" s="124" t="str">
        <f>IFERROR(VLOOKUP(H40,[1]SEMIELABORADOS!$A$2:$M$6000,6,0),"")</f>
        <v/>
      </c>
      <c r="E40" s="124" t="str">
        <f>IFERROR(VLOOKUP(H40,[1]SEMIELABORADOS!$A$2:$M$65536,10,0),"")</f>
        <v/>
      </c>
      <c r="F40" s="124" t="str">
        <f t="shared" si="12"/>
        <v/>
      </c>
      <c r="G40" s="125" t="str">
        <f t="shared" si="9"/>
        <v/>
      </c>
      <c r="H40" s="129"/>
      <c r="I40" s="129"/>
      <c r="J40" s="127"/>
    </row>
    <row r="41" spans="1:13" ht="13.5" hidden="1" x14ac:dyDescent="0.25">
      <c r="A41" s="122">
        <f t="shared" si="10"/>
        <v>0</v>
      </c>
      <c r="B41" s="128" t="str">
        <f>IFERROR(VLOOKUP(H41,[1]SEMIELABORADOS!$A$2:$M$6000,2,0),"")</f>
        <v/>
      </c>
      <c r="C41" s="123">
        <f t="shared" si="11"/>
        <v>0</v>
      </c>
      <c r="D41" s="124" t="str">
        <f>IFERROR(VLOOKUP(H41,[1]SEMIELABORADOS!$A$2:$M$6000,6,0),"")</f>
        <v/>
      </c>
      <c r="E41" s="124" t="str">
        <f>IFERROR(VLOOKUP(H41,[1]SEMIELABORADOS!$A$2:$M$65536,10,0),"")</f>
        <v/>
      </c>
      <c r="F41" s="124" t="str">
        <f t="shared" si="12"/>
        <v/>
      </c>
      <c r="G41" s="125" t="str">
        <f t="shared" si="9"/>
        <v/>
      </c>
      <c r="H41" s="129"/>
      <c r="I41" s="129"/>
      <c r="J41" s="127"/>
    </row>
    <row r="42" spans="1:13" ht="14.25" hidden="1" thickBot="1" x14ac:dyDescent="0.3">
      <c r="A42" s="122"/>
      <c r="B42" s="128"/>
      <c r="C42" s="123"/>
      <c r="D42" s="124"/>
      <c r="E42" s="124"/>
      <c r="F42" s="124"/>
      <c r="G42" s="125"/>
      <c r="H42" s="129"/>
      <c r="I42" s="129"/>
      <c r="J42" s="127"/>
    </row>
    <row r="43" spans="1:13" ht="26.25" thickBot="1" x14ac:dyDescent="0.3">
      <c r="A43" s="117" t="s">
        <v>127</v>
      </c>
      <c r="B43" s="118" t="s">
        <v>136</v>
      </c>
      <c r="C43" s="118" t="s">
        <v>127</v>
      </c>
      <c r="D43" s="119" t="s">
        <v>129</v>
      </c>
      <c r="E43" s="119" t="s">
        <v>130</v>
      </c>
      <c r="F43" s="119" t="s">
        <v>131</v>
      </c>
      <c r="G43" s="119" t="s">
        <v>132</v>
      </c>
      <c r="H43" s="120" t="s">
        <v>133</v>
      </c>
      <c r="I43" s="121"/>
      <c r="J43" s="127"/>
    </row>
    <row r="44" spans="1:13" ht="13.5" hidden="1" x14ac:dyDescent="0.25">
      <c r="A44" s="122">
        <f>+A35</f>
        <v>0</v>
      </c>
      <c r="B44" s="128" t="str">
        <f>IFERROR(VLOOKUP(H44,[1]SEMIELABORADOS!$A$2:$M$6000,2,0),"")</f>
        <v/>
      </c>
      <c r="C44" s="123">
        <f>+A44</f>
        <v>0</v>
      </c>
      <c r="D44" s="124" t="str">
        <f>IFERROR(VLOOKUP(H44,[1]SEMIELABORADOS!$A$2:$M$6000,6,0),"")</f>
        <v/>
      </c>
      <c r="E44" s="124" t="str">
        <f>IFERROR(VLOOKUP(H44,[1]SEMIELABORADOS!$A$2:$M$65536,12,0),"")</f>
        <v/>
      </c>
      <c r="F44" s="124" t="str">
        <f>IFERROR(E44*C44,"")</f>
        <v/>
      </c>
      <c r="G44" s="125" t="str">
        <f>IFERROR(F44/$F$66,"")</f>
        <v/>
      </c>
      <c r="H44" s="129"/>
      <c r="I44" s="121"/>
      <c r="J44" s="127"/>
    </row>
    <row r="45" spans="1:13" ht="13.5" hidden="1" x14ac:dyDescent="0.25">
      <c r="A45" s="122">
        <f t="shared" ref="A45:A50" si="13">+A36</f>
        <v>0</v>
      </c>
      <c r="B45" s="128" t="str">
        <f>IFERROR(VLOOKUP(H45,[1]SEMIELABORADOS!$A$2:$M$6000,2,0),"")</f>
        <v/>
      </c>
      <c r="C45" s="123">
        <f t="shared" ref="C45:C50" si="14">+A45</f>
        <v>0</v>
      </c>
      <c r="D45" s="124" t="str">
        <f>IFERROR(VLOOKUP(H45,[1]SEMIELABORADOS!$A$2:$M$6000,6,0),"")</f>
        <v/>
      </c>
      <c r="E45" s="124" t="str">
        <f>IFERROR(VLOOKUP(H45,[1]SEMIELABORADOS!$A$2:$M$65536,12,0),"")</f>
        <v/>
      </c>
      <c r="F45" s="124" t="str">
        <f t="shared" ref="F45:F50" si="15">IFERROR(E45*C45,"")</f>
        <v/>
      </c>
      <c r="G45" s="125" t="str">
        <f t="shared" ref="G45:G50" si="16">IFERROR(F45/$F$66,"")</f>
        <v/>
      </c>
      <c r="H45" s="129"/>
      <c r="I45" s="121"/>
      <c r="J45" s="127"/>
      <c r="M45" s="132"/>
    </row>
    <row r="46" spans="1:13" ht="13.5" hidden="1" x14ac:dyDescent="0.25">
      <c r="A46" s="122">
        <f t="shared" si="13"/>
        <v>0</v>
      </c>
      <c r="B46" s="128" t="str">
        <f>IFERROR(VLOOKUP(H46,[1]SEMIELABORADOS!$A$2:$M$6000,2,0),"")</f>
        <v/>
      </c>
      <c r="C46" s="123">
        <f t="shared" si="14"/>
        <v>0</v>
      </c>
      <c r="D46" s="124" t="str">
        <f>IFERROR(VLOOKUP(H46,[1]SEMIELABORADOS!$A$2:$M$6000,6,0),"")</f>
        <v/>
      </c>
      <c r="E46" s="124" t="str">
        <f>IFERROR(VLOOKUP(H46,[1]SEMIELABORADOS!$A$2:$M$65536,12,0),"")</f>
        <v/>
      </c>
      <c r="F46" s="124" t="str">
        <f t="shared" si="15"/>
        <v/>
      </c>
      <c r="G46" s="125" t="str">
        <f t="shared" si="16"/>
        <v/>
      </c>
      <c r="H46" s="129"/>
      <c r="I46" s="121"/>
      <c r="J46" s="127"/>
    </row>
    <row r="47" spans="1:13" ht="13.5" hidden="1" x14ac:dyDescent="0.25">
      <c r="A47" s="122">
        <f t="shared" si="13"/>
        <v>0</v>
      </c>
      <c r="B47" s="128" t="str">
        <f>IFERROR(VLOOKUP(H47,[1]SEMIELABORADOS!$A$2:$M$6000,2,0),"")</f>
        <v/>
      </c>
      <c r="C47" s="123">
        <f t="shared" si="14"/>
        <v>0</v>
      </c>
      <c r="D47" s="124" t="str">
        <f>IFERROR(VLOOKUP(H47,[1]SEMIELABORADOS!$A$2:$M$6000,6,0),"")</f>
        <v/>
      </c>
      <c r="E47" s="124" t="str">
        <f>IFERROR(VLOOKUP(H47,[1]SEMIELABORADOS!$A$2:$M$65536,12,0),"")</f>
        <v/>
      </c>
      <c r="F47" s="124" t="str">
        <f t="shared" si="15"/>
        <v/>
      </c>
      <c r="G47" s="125" t="str">
        <f t="shared" si="16"/>
        <v/>
      </c>
      <c r="H47" s="129"/>
      <c r="I47" s="121"/>
      <c r="J47" s="127"/>
    </row>
    <row r="48" spans="1:13" ht="13.5" hidden="1" x14ac:dyDescent="0.25">
      <c r="A48" s="122">
        <f t="shared" si="13"/>
        <v>0</v>
      </c>
      <c r="B48" s="128" t="str">
        <f>IFERROR(VLOOKUP(H48,[1]SEMIELABORADOS!$A$2:$M$6000,2,0),"")</f>
        <v/>
      </c>
      <c r="C48" s="123">
        <f t="shared" si="14"/>
        <v>0</v>
      </c>
      <c r="D48" s="124" t="str">
        <f>IFERROR(VLOOKUP(H48,[1]SEMIELABORADOS!$A$2:$M$6000,6,0),"")</f>
        <v/>
      </c>
      <c r="E48" s="124" t="str">
        <f>IFERROR(VLOOKUP(H48,[1]SEMIELABORADOS!$A$2:$M$65536,12,0),"")</f>
        <v/>
      </c>
      <c r="F48" s="124" t="str">
        <f t="shared" si="15"/>
        <v/>
      </c>
      <c r="G48" s="125" t="str">
        <f t="shared" si="16"/>
        <v/>
      </c>
      <c r="H48" s="129"/>
      <c r="I48" s="121"/>
      <c r="J48" s="127"/>
    </row>
    <row r="49" spans="1:17" ht="13.5" hidden="1" x14ac:dyDescent="0.25">
      <c r="A49" s="122">
        <f t="shared" si="13"/>
        <v>0</v>
      </c>
      <c r="B49" s="128" t="str">
        <f>IFERROR(VLOOKUP(H49,[1]SEMIELABORADOS!$A$2:$M$6000,2,0),"")</f>
        <v/>
      </c>
      <c r="C49" s="123">
        <f t="shared" si="14"/>
        <v>0</v>
      </c>
      <c r="D49" s="124" t="str">
        <f>IFERROR(VLOOKUP(H49,[1]SEMIELABORADOS!$A$2:$M$6000,6,0),"")</f>
        <v/>
      </c>
      <c r="E49" s="124" t="str">
        <f>IFERROR(VLOOKUP(H49,[1]SEMIELABORADOS!$A$2:$M$65536,12,0),"")</f>
        <v/>
      </c>
      <c r="F49" s="124" t="str">
        <f t="shared" si="15"/>
        <v/>
      </c>
      <c r="G49" s="125" t="str">
        <f t="shared" si="16"/>
        <v/>
      </c>
      <c r="H49" s="129"/>
      <c r="I49" s="121"/>
      <c r="J49" s="127"/>
    </row>
    <row r="50" spans="1:17" ht="13.5" hidden="1" x14ac:dyDescent="0.25">
      <c r="A50" s="122">
        <f t="shared" si="13"/>
        <v>0</v>
      </c>
      <c r="B50" s="128" t="str">
        <f>IFERROR(VLOOKUP(H50,[1]SEMIELABORADOS!$A$2:$M$6000,2,0),"")</f>
        <v/>
      </c>
      <c r="C50" s="123">
        <f t="shared" si="14"/>
        <v>0</v>
      </c>
      <c r="D50" s="124" t="str">
        <f>IFERROR(VLOOKUP(H50,[1]SEMIELABORADOS!$A$2:$M$6000,6,0),"")</f>
        <v/>
      </c>
      <c r="E50" s="124" t="str">
        <f>IFERROR(VLOOKUP(H50,[1]SEMIELABORADOS!$A$2:$M$65536,12,0),"")</f>
        <v/>
      </c>
      <c r="F50" s="124" t="str">
        <f t="shared" si="15"/>
        <v/>
      </c>
      <c r="G50" s="125" t="str">
        <f t="shared" si="16"/>
        <v/>
      </c>
      <c r="H50" s="128"/>
      <c r="I50" s="121"/>
      <c r="J50" s="127"/>
    </row>
    <row r="51" spans="1:17" ht="13.5" x14ac:dyDescent="0.25">
      <c r="A51" s="122">
        <v>1</v>
      </c>
      <c r="B51" s="128" t="s">
        <v>137</v>
      </c>
      <c r="C51" s="123">
        <f>+A51</f>
        <v>1</v>
      </c>
      <c r="D51" s="123" t="s">
        <v>138</v>
      </c>
      <c r="E51" s="124">
        <f>+F65</f>
        <v>610</v>
      </c>
      <c r="F51" s="124">
        <f>IFERROR(C51*E51,"")</f>
        <v>610</v>
      </c>
      <c r="G51" s="125">
        <f>IFERROR(F51/$F$66,"")</f>
        <v>1.2820357079310807E-2</v>
      </c>
      <c r="H51" s="133"/>
      <c r="I51" s="133"/>
      <c r="J51" s="127"/>
    </row>
    <row r="52" spans="1:17" ht="14.25" thickBot="1" x14ac:dyDescent="0.3">
      <c r="A52" s="122"/>
      <c r="B52" s="128"/>
      <c r="C52" s="123"/>
      <c r="D52" s="123"/>
      <c r="E52" s="124"/>
      <c r="F52" s="124"/>
      <c r="G52" s="125"/>
      <c r="H52" s="133"/>
      <c r="I52" s="133"/>
      <c r="J52" s="127"/>
    </row>
    <row r="53" spans="1:17" ht="13.5" thickBot="1" x14ac:dyDescent="0.3">
      <c r="A53" s="134"/>
      <c r="B53" s="611" t="s">
        <v>139</v>
      </c>
      <c r="C53" s="611"/>
      <c r="D53" s="611"/>
      <c r="E53" s="611"/>
      <c r="F53" s="136">
        <f>SUM(F8:F14,F17:F24)</f>
        <v>46047.5</v>
      </c>
      <c r="G53" s="125">
        <f>+F53/$F$66</f>
        <v>0.96777933214682688</v>
      </c>
      <c r="H53" s="137">
        <f>+F53/$D$60</f>
        <v>46047.5</v>
      </c>
      <c r="I53" s="137"/>
      <c r="J53" s="138"/>
      <c r="K53" s="139"/>
      <c r="L53" s="139"/>
      <c r="M53" s="139"/>
      <c r="N53" s="139"/>
      <c r="O53" s="139"/>
      <c r="P53" s="139"/>
      <c r="Q53" s="140"/>
    </row>
    <row r="54" spans="1:17" x14ac:dyDescent="0.2">
      <c r="A54" s="134"/>
      <c r="B54" s="611" t="s">
        <v>140</v>
      </c>
      <c r="C54" s="611"/>
      <c r="D54" s="611"/>
      <c r="E54" s="611"/>
      <c r="F54" s="136">
        <f>SUM(F27:F32,F35:F41)</f>
        <v>2.1280000000000001</v>
      </c>
      <c r="G54" s="125">
        <f>+F54/$F$66</f>
        <v>4.4724130925858033E-5</v>
      </c>
      <c r="H54" s="137">
        <f>+F54/$D$60</f>
        <v>2.1280000000000001</v>
      </c>
      <c r="I54" s="137"/>
      <c r="J54" s="141"/>
      <c r="K54" s="612" t="s">
        <v>141</v>
      </c>
      <c r="L54" s="613"/>
      <c r="M54" s="613"/>
      <c r="N54" s="613"/>
      <c r="O54" s="142">
        <f>+F55</f>
        <v>46049.627999999997</v>
      </c>
      <c r="P54" s="142"/>
      <c r="Q54" s="143"/>
    </row>
    <row r="55" spans="1:17" x14ac:dyDescent="0.2">
      <c r="A55" s="134"/>
      <c r="B55" s="611" t="s">
        <v>142</v>
      </c>
      <c r="C55" s="611"/>
      <c r="D55" s="611"/>
      <c r="E55" s="611"/>
      <c r="F55" s="136">
        <f>+F53+F54</f>
        <v>46049.627999999997</v>
      </c>
      <c r="G55" s="125">
        <f>+F55/$F$66</f>
        <v>0.9678240562777527</v>
      </c>
      <c r="H55" s="137">
        <f>+F55/$D$60</f>
        <v>46049.627999999997</v>
      </c>
      <c r="I55" s="137"/>
      <c r="J55" s="144"/>
      <c r="K55" s="145"/>
      <c r="M55" s="146" t="s">
        <v>143</v>
      </c>
      <c r="N55" s="147"/>
      <c r="O55" s="142">
        <f>+H56</f>
        <v>610</v>
      </c>
      <c r="P55" s="142"/>
      <c r="Q55" s="143"/>
    </row>
    <row r="56" spans="1:17" ht="13.5" thickBot="1" x14ac:dyDescent="0.25">
      <c r="A56" s="134"/>
      <c r="B56" s="135"/>
      <c r="C56" s="611" t="s">
        <v>144</v>
      </c>
      <c r="D56" s="611"/>
      <c r="E56" s="611"/>
      <c r="F56" s="136">
        <f>SUM(F44:F51)</f>
        <v>610</v>
      </c>
      <c r="G56" s="125">
        <f>+F56/$F$66</f>
        <v>1.2820357079310807E-2</v>
      </c>
      <c r="H56" s="137">
        <f>+F56/$D$60</f>
        <v>610</v>
      </c>
      <c r="I56" s="137"/>
      <c r="J56" s="144"/>
      <c r="K56" s="145"/>
      <c r="L56" s="145"/>
      <c r="M56" s="145" t="s">
        <v>145</v>
      </c>
      <c r="N56" s="148"/>
      <c r="O56" s="142">
        <f>O54*N56</f>
        <v>0</v>
      </c>
      <c r="P56" s="142"/>
      <c r="Q56" s="143"/>
    </row>
    <row r="57" spans="1:17" ht="13.5" thickBot="1" x14ac:dyDescent="0.25">
      <c r="A57" s="134"/>
      <c r="B57" s="149"/>
      <c r="C57" s="149"/>
      <c r="D57" s="149"/>
      <c r="E57" s="149"/>
      <c r="F57" s="150"/>
      <c r="G57" s="125"/>
      <c r="H57" s="151"/>
      <c r="I57" s="137"/>
      <c r="J57" s="144"/>
      <c r="K57" s="152"/>
      <c r="M57" s="153" t="s">
        <v>146</v>
      </c>
      <c r="N57" s="154"/>
      <c r="O57" s="155">
        <f>SUM(O54:O56)</f>
        <v>46659.627999999997</v>
      </c>
      <c r="P57" s="156"/>
      <c r="Q57" s="143"/>
    </row>
    <row r="58" spans="1:17" x14ac:dyDescent="0.2">
      <c r="B58" s="614" t="s">
        <v>147</v>
      </c>
      <c r="C58" s="614"/>
      <c r="D58" s="157">
        <v>20000</v>
      </c>
      <c r="E58" s="158"/>
      <c r="G58" s="125"/>
      <c r="H58" s="151">
        <f>+H56/61</f>
        <v>10</v>
      </c>
      <c r="I58" s="159"/>
      <c r="J58" s="144"/>
      <c r="K58" s="152"/>
      <c r="L58" s="145"/>
      <c r="M58" s="145" t="s">
        <v>148</v>
      </c>
      <c r="N58" s="160"/>
      <c r="O58" s="142">
        <f>+H59</f>
        <v>580</v>
      </c>
      <c r="P58" s="142"/>
      <c r="Q58" s="143"/>
    </row>
    <row r="59" spans="1:17" x14ac:dyDescent="0.2">
      <c r="B59" s="614" t="s">
        <v>149</v>
      </c>
      <c r="C59" s="614"/>
      <c r="D59" s="161">
        <v>20000</v>
      </c>
      <c r="E59" s="158"/>
      <c r="G59" s="125"/>
      <c r="H59" s="151">
        <f>+H58*58</f>
        <v>580</v>
      </c>
      <c r="I59" s="159"/>
      <c r="J59" s="144"/>
      <c r="K59" s="152"/>
      <c r="L59" s="145"/>
      <c r="M59" s="615" t="s">
        <v>146</v>
      </c>
      <c r="N59" s="615"/>
      <c r="O59" s="142">
        <f>SUM(O57:O58)</f>
        <v>47239.627999999997</v>
      </c>
      <c r="P59" s="142"/>
      <c r="Q59" s="143"/>
    </row>
    <row r="60" spans="1:17" ht="13.5" thickBot="1" x14ac:dyDescent="0.25">
      <c r="B60" s="607" t="s">
        <v>150</v>
      </c>
      <c r="C60" s="607"/>
      <c r="D60" s="157">
        <f>+D58/D59</f>
        <v>1</v>
      </c>
      <c r="E60" s="158"/>
      <c r="F60" s="162"/>
      <c r="G60" s="125"/>
      <c r="H60" s="151"/>
      <c r="I60" s="159"/>
      <c r="J60" s="144"/>
      <c r="K60" s="152"/>
      <c r="L60" s="615"/>
      <c r="M60" s="615"/>
      <c r="N60" s="160"/>
      <c r="O60" s="142">
        <f>+O59*N60</f>
        <v>0</v>
      </c>
      <c r="P60" s="142"/>
      <c r="Q60" s="143"/>
    </row>
    <row r="61" spans="1:17" ht="13.5" thickBot="1" x14ac:dyDescent="0.25">
      <c r="B61" s="607" t="s">
        <v>151</v>
      </c>
      <c r="C61" s="607"/>
      <c r="D61" s="163"/>
      <c r="E61" s="158"/>
      <c r="F61" s="162"/>
      <c r="G61" s="125"/>
      <c r="H61" s="151"/>
      <c r="I61" s="159"/>
      <c r="J61" s="144"/>
      <c r="K61" s="608" t="s">
        <v>152</v>
      </c>
      <c r="L61" s="609"/>
      <c r="M61" s="609"/>
      <c r="N61" s="610"/>
      <c r="O61" s="155">
        <f>SUM(O59:O60)</f>
        <v>47239.627999999997</v>
      </c>
      <c r="P61" s="164" t="s">
        <v>153</v>
      </c>
      <c r="Q61" s="143"/>
    </row>
    <row r="62" spans="1:17" ht="13.5" thickBot="1" x14ac:dyDescent="0.25">
      <c r="C62" s="134" t="s">
        <v>154</v>
      </c>
      <c r="D62" s="165"/>
      <c r="E62" s="108" t="s">
        <v>155</v>
      </c>
      <c r="F62" s="166" t="s">
        <v>156</v>
      </c>
      <c r="G62" s="125"/>
      <c r="H62" s="151"/>
      <c r="I62" s="159"/>
      <c r="J62" s="167"/>
      <c r="K62" s="168"/>
      <c r="L62" s="621" t="s">
        <v>157</v>
      </c>
      <c r="M62" s="621"/>
      <c r="N62" s="621"/>
      <c r="O62" s="169">
        <f>+O61/D60</f>
        <v>47239.627999999997</v>
      </c>
      <c r="P62" s="170">
        <f>+O62/D59</f>
        <v>2.3619813999999999</v>
      </c>
      <c r="Q62" s="171"/>
    </row>
    <row r="63" spans="1:17" ht="13.5" thickBot="1" x14ac:dyDescent="0.25">
      <c r="B63" s="622" t="s">
        <v>142</v>
      </c>
      <c r="C63" s="622"/>
      <c r="D63" s="622"/>
      <c r="E63" s="172">
        <f>+F63/F63</f>
        <v>1</v>
      </c>
      <c r="F63" s="173">
        <f>SUM(F55)</f>
        <v>46049.627999999997</v>
      </c>
      <c r="G63" s="125">
        <f>+F63/$F$66</f>
        <v>0.9678240562777527</v>
      </c>
      <c r="H63" s="151"/>
      <c r="I63" s="159"/>
      <c r="K63" s="623"/>
      <c r="L63" s="624"/>
      <c r="M63" s="624"/>
      <c r="N63" s="624"/>
      <c r="O63" s="174"/>
      <c r="P63" s="175"/>
    </row>
    <row r="64" spans="1:17" ht="13.5" thickBot="1" x14ac:dyDescent="0.3">
      <c r="B64" s="625" t="s">
        <v>158</v>
      </c>
      <c r="C64" s="625"/>
      <c r="D64" s="625"/>
      <c r="E64" s="176">
        <v>0.02</v>
      </c>
      <c r="F64" s="173">
        <f>+F53*E64</f>
        <v>920.95</v>
      </c>
      <c r="G64" s="125">
        <f>+F64/$F$66</f>
        <v>1.9355586642936538E-2</v>
      </c>
      <c r="H64" s="137"/>
      <c r="I64" s="159"/>
      <c r="J64" s="177"/>
      <c r="O64" s="178"/>
      <c r="P64" s="135"/>
    </row>
    <row r="65" spans="2:13" ht="13.5" thickBot="1" x14ac:dyDescent="0.3">
      <c r="B65" s="626" t="s">
        <v>159</v>
      </c>
      <c r="C65" s="627"/>
      <c r="D65" s="179">
        <v>10</v>
      </c>
      <c r="E65" s="180">
        <v>61</v>
      </c>
      <c r="F65" s="173">
        <f>+E65*D65</f>
        <v>610</v>
      </c>
      <c r="G65" s="125">
        <f>+F65/$F$66</f>
        <v>1.2820357079310807E-2</v>
      </c>
      <c r="H65" s="137"/>
      <c r="I65" s="137"/>
      <c r="J65" s="127"/>
    </row>
    <row r="66" spans="2:13" ht="13.5" thickBot="1" x14ac:dyDescent="0.3">
      <c r="B66" s="628" t="s">
        <v>160</v>
      </c>
      <c r="C66" s="629"/>
      <c r="D66" s="629"/>
      <c r="E66" s="630"/>
      <c r="F66" s="150">
        <f>SUM(F63:F65)</f>
        <v>47580.577999999994</v>
      </c>
      <c r="G66" s="125">
        <f>+F66/$F$66</f>
        <v>1</v>
      </c>
      <c r="H66" s="631"/>
      <c r="I66" s="137"/>
      <c r="J66" s="127"/>
      <c r="M66" s="110" t="s">
        <v>161</v>
      </c>
    </row>
    <row r="67" spans="2:13" x14ac:dyDescent="0.25">
      <c r="C67" s="132"/>
      <c r="D67" s="132"/>
      <c r="E67" s="182"/>
      <c r="F67" s="173"/>
      <c r="G67" s="125"/>
      <c r="H67" s="631"/>
      <c r="I67" s="181"/>
      <c r="J67" s="110"/>
      <c r="M67" s="110" t="s">
        <v>162</v>
      </c>
    </row>
    <row r="68" spans="2:13" ht="13.5" thickBot="1" x14ac:dyDescent="0.3">
      <c r="B68" s="616" t="s">
        <v>163</v>
      </c>
      <c r="C68" s="616"/>
      <c r="D68" s="616"/>
      <c r="E68" s="616"/>
      <c r="F68" s="616"/>
      <c r="G68" s="125"/>
      <c r="H68" s="184"/>
      <c r="I68" s="181"/>
      <c r="J68" s="110"/>
      <c r="M68" s="110" t="s">
        <v>164</v>
      </c>
    </row>
    <row r="69" spans="2:13" ht="13.5" thickBot="1" x14ac:dyDescent="0.3">
      <c r="B69" s="185" t="s">
        <v>165</v>
      </c>
      <c r="C69" s="186">
        <f>+F53</f>
        <v>46047.5</v>
      </c>
      <c r="D69" s="186">
        <f>+D58</f>
        <v>20000</v>
      </c>
      <c r="E69" s="187">
        <f>+C69/D69</f>
        <v>2.3023750000000001</v>
      </c>
      <c r="F69" s="125"/>
      <c r="G69" s="184"/>
      <c r="H69" s="127"/>
      <c r="I69" s="184"/>
      <c r="J69" s="110"/>
    </row>
    <row r="70" spans="2:13" x14ac:dyDescent="0.25">
      <c r="B70" s="188"/>
      <c r="C70" s="189"/>
      <c r="D70" s="190"/>
      <c r="E70" s="173"/>
      <c r="F70" s="125"/>
      <c r="G70" s="184"/>
      <c r="H70" s="127"/>
      <c r="I70" s="127"/>
      <c r="J70" s="110"/>
    </row>
    <row r="71" spans="2:13" x14ac:dyDescent="0.25">
      <c r="B71" s="185" t="s">
        <v>166</v>
      </c>
      <c r="C71" s="186">
        <f>SUM(F63:F64)</f>
        <v>46970.577999999994</v>
      </c>
      <c r="D71" s="186">
        <f>+D58</f>
        <v>20000</v>
      </c>
      <c r="E71" s="191">
        <f>+C71/D71</f>
        <v>2.3485288999999998</v>
      </c>
      <c r="F71" s="125"/>
      <c r="G71" s="184"/>
      <c r="H71" s="127"/>
      <c r="I71" s="127"/>
      <c r="J71" s="110"/>
    </row>
    <row r="72" spans="2:13" x14ac:dyDescent="0.25">
      <c r="B72" s="185"/>
      <c r="C72" s="186"/>
      <c r="D72" s="186"/>
      <c r="E72" s="191"/>
      <c r="F72" s="125"/>
      <c r="G72" s="184"/>
      <c r="H72" s="127"/>
      <c r="I72" s="127"/>
      <c r="J72" s="110"/>
    </row>
    <row r="73" spans="2:13" ht="13.5" thickBot="1" x14ac:dyDescent="0.3">
      <c r="B73" s="185" t="s">
        <v>167</v>
      </c>
      <c r="C73" s="186">
        <f>+F65</f>
        <v>610</v>
      </c>
      <c r="D73" s="186">
        <f>+D58</f>
        <v>20000</v>
      </c>
      <c r="E73" s="191">
        <f>+C73/D73</f>
        <v>3.0499999999999999E-2</v>
      </c>
      <c r="F73" s="125"/>
      <c r="G73" s="184"/>
      <c r="H73" s="127"/>
      <c r="I73" s="127"/>
      <c r="J73" s="110"/>
    </row>
    <row r="74" spans="2:13" ht="13.5" thickBot="1" x14ac:dyDescent="0.3">
      <c r="B74" s="185" t="s">
        <v>168</v>
      </c>
      <c r="C74" s="186">
        <f>+F56</f>
        <v>610</v>
      </c>
      <c r="D74" s="186">
        <f>+D73</f>
        <v>20000</v>
      </c>
      <c r="E74" s="187">
        <f>+C74/D74</f>
        <v>3.0499999999999999E-2</v>
      </c>
      <c r="F74" s="125"/>
      <c r="G74" s="184"/>
      <c r="H74" s="127"/>
      <c r="I74" s="127"/>
      <c r="J74" s="110"/>
    </row>
    <row r="75" spans="2:13" ht="13.5" thickBot="1" x14ac:dyDescent="0.3">
      <c r="B75" s="149"/>
      <c r="C75" s="150"/>
      <c r="D75" s="150"/>
      <c r="E75" s="191"/>
      <c r="F75" s="125"/>
      <c r="G75" s="184"/>
      <c r="H75" s="127"/>
      <c r="I75" s="127"/>
      <c r="J75" s="110"/>
    </row>
    <row r="76" spans="2:13" ht="13.5" thickBot="1" x14ac:dyDescent="0.3">
      <c r="B76" s="185" t="s">
        <v>169</v>
      </c>
      <c r="C76" s="186">
        <f>+F54</f>
        <v>2.1280000000000001</v>
      </c>
      <c r="D76" s="186">
        <f>+D74</f>
        <v>20000</v>
      </c>
      <c r="E76" s="187">
        <f>+C76/D76</f>
        <v>1.0640000000000001E-4</v>
      </c>
      <c r="F76" s="125"/>
      <c r="G76" s="184"/>
      <c r="H76" s="127"/>
      <c r="I76" s="127"/>
      <c r="J76" s="127"/>
    </row>
    <row r="77" spans="2:13" ht="13.5" thickBot="1" x14ac:dyDescent="0.3">
      <c r="B77" s="149"/>
      <c r="C77" s="150"/>
      <c r="D77" s="150"/>
      <c r="E77" s="191"/>
      <c r="F77" s="125"/>
      <c r="G77" s="184"/>
      <c r="H77" s="127"/>
      <c r="I77" s="127"/>
    </row>
    <row r="78" spans="2:13" ht="13.5" thickBot="1" x14ac:dyDescent="0.3">
      <c r="B78" s="617" t="s">
        <v>170</v>
      </c>
      <c r="C78" s="618"/>
      <c r="D78" s="619"/>
      <c r="E78" s="187">
        <f>+E69+E74</f>
        <v>2.332875</v>
      </c>
      <c r="G78" s="125"/>
      <c r="H78" s="184"/>
      <c r="I78" s="127"/>
      <c r="J78" s="191"/>
    </row>
    <row r="79" spans="2:13" x14ac:dyDescent="0.25">
      <c r="I79" s="184"/>
      <c r="J79" s="110"/>
    </row>
    <row r="80" spans="2:13" ht="13.5" thickBot="1" x14ac:dyDescent="0.3">
      <c r="B80" s="616" t="s">
        <v>171</v>
      </c>
      <c r="C80" s="616"/>
      <c r="D80" s="616"/>
      <c r="E80" s="616"/>
      <c r="F80" s="616"/>
      <c r="G80" s="125"/>
      <c r="H80" s="184"/>
      <c r="J80" s="110"/>
    </row>
    <row r="81" spans="1:10" ht="13.5" thickBot="1" x14ac:dyDescent="0.3">
      <c r="B81" s="185" t="s">
        <v>165</v>
      </c>
      <c r="C81" s="186">
        <f>+C69</f>
        <v>46047.5</v>
      </c>
      <c r="D81" s="186">
        <f>+D60</f>
        <v>1</v>
      </c>
      <c r="E81" s="187">
        <f>+C81/D81</f>
        <v>46047.5</v>
      </c>
      <c r="F81" s="125"/>
      <c r="G81" s="184"/>
      <c r="H81" s="127"/>
      <c r="I81" s="184"/>
      <c r="J81" s="110"/>
    </row>
    <row r="82" spans="1:10" x14ac:dyDescent="0.25">
      <c r="B82" s="188"/>
      <c r="C82" s="189"/>
      <c r="D82" s="190"/>
      <c r="E82" s="173"/>
      <c r="F82" s="125"/>
      <c r="G82" s="184"/>
      <c r="H82" s="127"/>
      <c r="I82" s="127"/>
      <c r="J82" s="110"/>
    </row>
    <row r="83" spans="1:10" x14ac:dyDescent="0.25">
      <c r="B83" s="185" t="s">
        <v>166</v>
      </c>
      <c r="C83" s="186">
        <f>+C71</f>
        <v>46970.577999999994</v>
      </c>
      <c r="D83" s="186">
        <f>+D60</f>
        <v>1</v>
      </c>
      <c r="E83" s="191">
        <f>+C83/D83</f>
        <v>46970.577999999994</v>
      </c>
      <c r="F83" s="125"/>
      <c r="G83" s="184"/>
      <c r="H83" s="127"/>
      <c r="I83" s="127"/>
      <c r="J83" s="110"/>
    </row>
    <row r="84" spans="1:10" x14ac:dyDescent="0.25">
      <c r="B84" s="185"/>
      <c r="C84" s="186"/>
      <c r="D84" s="186"/>
      <c r="E84" s="191"/>
      <c r="F84" s="125"/>
      <c r="G84" s="184"/>
      <c r="H84" s="127"/>
      <c r="I84" s="127"/>
      <c r="J84" s="110"/>
    </row>
    <row r="85" spans="1:10" ht="13.5" thickBot="1" x14ac:dyDescent="0.3">
      <c r="B85" s="185" t="s">
        <v>168</v>
      </c>
      <c r="C85" s="186">
        <f>+C73</f>
        <v>610</v>
      </c>
      <c r="D85" s="186">
        <f>+D60</f>
        <v>1</v>
      </c>
      <c r="E85" s="191">
        <f>+C85/D85</f>
        <v>610</v>
      </c>
      <c r="F85" s="193"/>
      <c r="G85" s="183"/>
      <c r="H85" s="109"/>
      <c r="I85" s="127"/>
    </row>
    <row r="86" spans="1:10" ht="13.5" thickBot="1" x14ac:dyDescent="0.3">
      <c r="B86" s="185" t="s">
        <v>168</v>
      </c>
      <c r="C86" s="186">
        <f>+C74</f>
        <v>610</v>
      </c>
      <c r="D86" s="186">
        <f>+D85</f>
        <v>1</v>
      </c>
      <c r="E86" s="187">
        <f>+C86/D86</f>
        <v>610</v>
      </c>
      <c r="F86" s="192"/>
      <c r="G86" s="183"/>
      <c r="H86" s="109"/>
      <c r="I86" s="109"/>
    </row>
    <row r="87" spans="1:10" x14ac:dyDescent="0.25">
      <c r="I87" s="109"/>
    </row>
    <row r="88" spans="1:10" x14ac:dyDescent="0.2">
      <c r="A88" s="620"/>
      <c r="B88" s="620"/>
      <c r="C88" s="194"/>
      <c r="D88" s="194"/>
      <c r="E88" s="195"/>
      <c r="G88" s="196"/>
    </row>
    <row r="89" spans="1:10" x14ac:dyDescent="0.2">
      <c r="A89" s="128"/>
      <c r="B89" s="197"/>
      <c r="C89" s="198"/>
      <c r="D89" s="198"/>
      <c r="E89" s="199"/>
      <c r="G89" s="196"/>
    </row>
    <row r="90" spans="1:10" x14ac:dyDescent="0.2">
      <c r="A90" s="128"/>
      <c r="B90" s="197"/>
      <c r="C90" s="200"/>
      <c r="D90" s="200"/>
      <c r="E90" s="128"/>
      <c r="G90" s="196"/>
    </row>
    <row r="91" spans="1:10" x14ac:dyDescent="0.2">
      <c r="A91" s="128"/>
      <c r="B91" s="197"/>
      <c r="C91" s="201"/>
      <c r="D91" s="201"/>
      <c r="E91" s="128"/>
      <c r="G91" s="1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99E4-5467-47E2-9394-0A76760B72A4}">
  <dimension ref="A1:I55"/>
  <sheetViews>
    <sheetView tabSelected="1" view="pageBreakPreview" zoomScale="60" zoomScaleNormal="70" workbookViewId="0">
      <selection activeCell="M8" sqref="M8"/>
    </sheetView>
  </sheetViews>
  <sheetFormatPr baseColWidth="10" defaultRowHeight="15" x14ac:dyDescent="0.25"/>
  <cols>
    <col min="1" max="1" width="13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1.140625" bestFit="1" customWidth="1"/>
  </cols>
  <sheetData>
    <row r="1" spans="1:9" ht="18" x14ac:dyDescent="0.25">
      <c r="A1" s="671"/>
      <c r="B1" s="672"/>
      <c r="C1" s="677" t="s">
        <v>35</v>
      </c>
      <c r="D1" s="677"/>
      <c r="E1" s="677"/>
      <c r="F1" s="677"/>
      <c r="G1" s="677"/>
      <c r="H1" s="406" t="s">
        <v>34</v>
      </c>
      <c r="I1" s="407" t="s">
        <v>325</v>
      </c>
    </row>
    <row r="2" spans="1:9" ht="18" customHeight="1" thickBot="1" x14ac:dyDescent="0.3">
      <c r="A2" s="673"/>
      <c r="B2" s="674"/>
      <c r="C2" s="678" t="s">
        <v>33</v>
      </c>
      <c r="D2" s="679"/>
      <c r="E2" s="679"/>
      <c r="F2" s="679"/>
      <c r="G2" s="680"/>
      <c r="H2" s="408" t="s">
        <v>32</v>
      </c>
      <c r="I2" s="409" t="s">
        <v>196</v>
      </c>
    </row>
    <row r="3" spans="1:9" ht="31.5" customHeight="1" thickBot="1" x14ac:dyDescent="0.3">
      <c r="A3" s="673"/>
      <c r="B3" s="674"/>
      <c r="C3" s="566" t="s">
        <v>328</v>
      </c>
      <c r="D3" s="567"/>
      <c r="E3" s="567"/>
      <c r="F3" s="567"/>
      <c r="G3" s="568"/>
      <c r="H3" s="681" t="s">
        <v>31</v>
      </c>
      <c r="I3" s="662">
        <v>45612</v>
      </c>
    </row>
    <row r="4" spans="1:9" ht="18" customHeight="1" x14ac:dyDescent="0.25">
      <c r="A4" s="673"/>
      <c r="B4" s="674"/>
      <c r="C4" s="410" t="s">
        <v>30</v>
      </c>
      <c r="D4" s="665" t="s">
        <v>199</v>
      </c>
      <c r="E4" s="666"/>
      <c r="F4" s="666"/>
      <c r="G4" s="667"/>
      <c r="H4" s="682"/>
      <c r="I4" s="663"/>
    </row>
    <row r="5" spans="1:9" ht="18.75" thickBot="1" x14ac:dyDescent="0.3">
      <c r="A5" s="675"/>
      <c r="B5" s="676"/>
      <c r="C5" s="411" t="s">
        <v>29</v>
      </c>
      <c r="D5" s="668" t="s">
        <v>28</v>
      </c>
      <c r="E5" s="669"/>
      <c r="F5" s="669"/>
      <c r="G5" s="670"/>
      <c r="H5" s="683"/>
      <c r="I5" s="664"/>
    </row>
    <row r="6" spans="1:9" ht="18.75" thickBot="1" x14ac:dyDescent="0.3">
      <c r="A6" s="684" t="s">
        <v>27</v>
      </c>
      <c r="B6" s="684"/>
      <c r="C6" s="684"/>
      <c r="D6" s="685" t="s">
        <v>317</v>
      </c>
      <c r="E6" s="685"/>
      <c r="F6" s="685"/>
      <c r="G6" s="686" t="s">
        <v>25</v>
      </c>
      <c r="H6" s="686"/>
      <c r="I6" s="412" t="s">
        <v>318</v>
      </c>
    </row>
    <row r="7" spans="1:9" ht="36" x14ac:dyDescent="0.25">
      <c r="A7" s="687" t="s">
        <v>23</v>
      </c>
      <c r="B7" s="689" t="s">
        <v>319</v>
      </c>
      <c r="C7" s="691" t="s">
        <v>22</v>
      </c>
      <c r="D7" s="691" t="s">
        <v>21</v>
      </c>
      <c r="E7" s="691" t="s">
        <v>20</v>
      </c>
      <c r="F7" s="691"/>
      <c r="G7" s="691" t="s">
        <v>19</v>
      </c>
      <c r="H7" s="691"/>
      <c r="I7" s="413" t="s">
        <v>18</v>
      </c>
    </row>
    <row r="8" spans="1:9" ht="54.75" thickBot="1" x14ac:dyDescent="0.3">
      <c r="A8" s="688"/>
      <c r="B8" s="690"/>
      <c r="C8" s="692"/>
      <c r="D8" s="692"/>
      <c r="E8" s="414" t="s">
        <v>15</v>
      </c>
      <c r="F8" s="415" t="s">
        <v>17</v>
      </c>
      <c r="G8" s="414" t="s">
        <v>15</v>
      </c>
      <c r="H8" s="415" t="s">
        <v>17</v>
      </c>
      <c r="I8" s="416" t="s">
        <v>16</v>
      </c>
    </row>
    <row r="9" spans="1:9" ht="19.5" thickBot="1" x14ac:dyDescent="0.35">
      <c r="A9" s="417"/>
      <c r="B9" s="418"/>
      <c r="C9" s="419" t="s">
        <v>320</v>
      </c>
      <c r="D9" s="420"/>
      <c r="E9" s="421"/>
      <c r="F9" s="422"/>
      <c r="G9" s="421"/>
      <c r="H9" s="422"/>
      <c r="I9" s="423"/>
    </row>
    <row r="10" spans="1:9" ht="18" customHeight="1" x14ac:dyDescent="0.3">
      <c r="A10" s="424">
        <v>11400031</v>
      </c>
      <c r="B10" s="425" t="s">
        <v>40</v>
      </c>
      <c r="C10" s="426" t="s">
        <v>321</v>
      </c>
      <c r="D10" s="427" t="s">
        <v>72</v>
      </c>
      <c r="E10" s="428">
        <v>100</v>
      </c>
      <c r="F10" s="429" t="s">
        <v>2</v>
      </c>
      <c r="G10" s="430"/>
      <c r="H10" s="431"/>
      <c r="I10" s="423"/>
    </row>
    <row r="11" spans="1:9" ht="18.75" x14ac:dyDescent="0.3">
      <c r="A11" s="432" t="s">
        <v>44</v>
      </c>
      <c r="B11" s="433" t="s">
        <v>45</v>
      </c>
      <c r="C11" s="434" t="s">
        <v>322</v>
      </c>
      <c r="D11" s="427" t="s">
        <v>49</v>
      </c>
      <c r="E11" s="435" t="s">
        <v>326</v>
      </c>
      <c r="F11" s="436" t="s">
        <v>2</v>
      </c>
      <c r="G11" s="437"/>
      <c r="H11" s="431"/>
      <c r="I11" s="423"/>
    </row>
    <row r="12" spans="1:9" ht="18.75" x14ac:dyDescent="0.3">
      <c r="A12" s="438"/>
      <c r="B12" s="439"/>
      <c r="C12" s="440"/>
      <c r="D12" s="427"/>
      <c r="E12" s="441"/>
      <c r="F12" s="442"/>
      <c r="G12" s="443"/>
      <c r="H12" s="431"/>
      <c r="I12" s="423"/>
    </row>
    <row r="13" spans="1:9" ht="18.75" x14ac:dyDescent="0.3">
      <c r="A13" s="438"/>
      <c r="B13" s="439"/>
      <c r="C13" s="440"/>
      <c r="D13" s="427"/>
      <c r="E13" s="435"/>
      <c r="F13" s="436"/>
      <c r="G13" s="444"/>
      <c r="H13" s="431"/>
      <c r="I13" s="423"/>
    </row>
    <row r="14" spans="1:9" ht="18.75" x14ac:dyDescent="0.3">
      <c r="A14" s="445"/>
      <c r="B14" s="446"/>
      <c r="C14" s="447"/>
      <c r="D14" s="448"/>
      <c r="E14" s="449"/>
      <c r="F14" s="450"/>
      <c r="G14" s="444"/>
      <c r="H14" s="431"/>
      <c r="I14" s="423"/>
    </row>
    <row r="15" spans="1:9" ht="18.75" x14ac:dyDescent="0.3">
      <c r="A15" s="451"/>
      <c r="B15" s="451"/>
      <c r="C15" s="452"/>
      <c r="D15" s="453"/>
      <c r="E15" s="454"/>
      <c r="F15" s="455"/>
      <c r="G15" s="444"/>
      <c r="H15" s="431"/>
      <c r="I15" s="423"/>
    </row>
    <row r="16" spans="1:9" ht="18.75" x14ac:dyDescent="0.3">
      <c r="A16" s="451"/>
      <c r="B16" s="451"/>
      <c r="C16" s="452"/>
      <c r="D16" s="453"/>
      <c r="E16" s="454"/>
      <c r="F16" s="455"/>
      <c r="G16" s="421"/>
      <c r="H16" s="431"/>
      <c r="I16" s="423"/>
    </row>
    <row r="17" spans="1:9" ht="18.75" x14ac:dyDescent="0.3">
      <c r="A17" s="456"/>
      <c r="B17" s="457"/>
      <c r="C17" s="458" t="s">
        <v>317</v>
      </c>
      <c r="D17" s="459"/>
      <c r="E17" s="437"/>
      <c r="F17" s="450"/>
      <c r="G17" s="421"/>
      <c r="H17" s="422"/>
      <c r="I17" s="423"/>
    </row>
    <row r="18" spans="1:9" ht="18.75" x14ac:dyDescent="0.3">
      <c r="A18" s="460"/>
      <c r="B18" s="451"/>
      <c r="C18" s="452"/>
      <c r="D18" s="461"/>
      <c r="E18" s="462"/>
      <c r="F18" s="436"/>
      <c r="G18" s="421"/>
      <c r="H18" s="422"/>
      <c r="I18" s="423"/>
    </row>
    <row r="19" spans="1:9" ht="18.75" x14ac:dyDescent="0.3">
      <c r="A19" s="463"/>
      <c r="B19" s="425"/>
      <c r="C19" s="426"/>
      <c r="D19" s="461"/>
      <c r="E19" s="462"/>
      <c r="F19" s="436"/>
      <c r="G19" s="421"/>
      <c r="H19" s="422"/>
      <c r="I19" s="423"/>
    </row>
    <row r="20" spans="1:9" ht="18.75" x14ac:dyDescent="0.3">
      <c r="A20" s="464"/>
      <c r="B20" s="439"/>
      <c r="C20" s="440"/>
      <c r="D20" s="461"/>
      <c r="E20" s="435"/>
      <c r="F20" s="436"/>
      <c r="G20" s="421"/>
      <c r="H20" s="422"/>
      <c r="I20" s="423"/>
    </row>
    <row r="21" spans="1:9" ht="18.75" x14ac:dyDescent="0.3">
      <c r="A21" s="465"/>
      <c r="B21" s="466"/>
      <c r="C21" s="467"/>
      <c r="D21" s="461"/>
      <c r="E21" s="435"/>
      <c r="F21" s="436"/>
      <c r="G21" s="421"/>
      <c r="H21" s="422"/>
      <c r="I21" s="423"/>
    </row>
    <row r="22" spans="1:9" ht="18.75" x14ac:dyDescent="0.3">
      <c r="A22" s="468"/>
      <c r="B22" s="469"/>
      <c r="C22" s="470"/>
      <c r="D22" s="461"/>
      <c r="E22" s="435"/>
      <c r="F22" s="436"/>
      <c r="G22" s="421"/>
      <c r="H22" s="422"/>
      <c r="I22" s="423"/>
    </row>
    <row r="23" spans="1:9" ht="18.75" x14ac:dyDescent="0.3">
      <c r="A23" s="471"/>
      <c r="B23" s="471"/>
      <c r="C23" s="472"/>
      <c r="D23" s="461"/>
      <c r="E23" s="435"/>
      <c r="F23" s="436"/>
      <c r="G23" s="421"/>
      <c r="H23" s="422"/>
      <c r="I23" s="423"/>
    </row>
    <row r="24" spans="1:9" ht="18.75" x14ac:dyDescent="0.3">
      <c r="A24" s="451"/>
      <c r="B24" s="451"/>
      <c r="C24" s="452"/>
      <c r="D24" s="473"/>
      <c r="E24" s="474"/>
      <c r="F24" s="475"/>
      <c r="G24" s="421"/>
      <c r="H24" s="422"/>
      <c r="I24" s="423"/>
    </row>
    <row r="25" spans="1:9" ht="18.75" x14ac:dyDescent="0.3">
      <c r="A25" s="451"/>
      <c r="B25" s="451"/>
      <c r="C25" s="452"/>
      <c r="D25" s="473"/>
      <c r="E25" s="476"/>
      <c r="F25" s="477"/>
      <c r="G25" s="421"/>
      <c r="H25" s="422"/>
      <c r="I25" s="423"/>
    </row>
    <row r="26" spans="1:9" ht="18.75" x14ac:dyDescent="0.3">
      <c r="A26" s="478"/>
      <c r="B26" s="479"/>
      <c r="C26" s="480" t="s">
        <v>323</v>
      </c>
      <c r="D26" s="481"/>
      <c r="E26" s="482"/>
      <c r="F26" s="422"/>
      <c r="G26" s="421"/>
      <c r="H26" s="472"/>
      <c r="I26" s="423"/>
    </row>
    <row r="27" spans="1:9" ht="18.75" x14ac:dyDescent="0.3">
      <c r="A27" s="483"/>
      <c r="B27" s="483"/>
      <c r="C27" s="484"/>
      <c r="D27" s="483"/>
      <c r="E27" s="485"/>
      <c r="F27" s="486"/>
      <c r="G27" s="487"/>
      <c r="H27" s="422"/>
      <c r="I27" s="423"/>
    </row>
    <row r="28" spans="1:9" ht="18.75" x14ac:dyDescent="0.3">
      <c r="A28" s="483"/>
      <c r="B28" s="483"/>
      <c r="C28" s="484"/>
      <c r="D28" s="483"/>
      <c r="E28" s="485"/>
      <c r="F28" s="486"/>
      <c r="G28" s="487"/>
      <c r="H28" s="422"/>
      <c r="I28" s="423"/>
    </row>
    <row r="29" spans="1:9" ht="18.75" x14ac:dyDescent="0.3">
      <c r="A29" s="483"/>
      <c r="B29" s="483"/>
      <c r="C29" s="484"/>
      <c r="D29" s="483"/>
      <c r="E29" s="485"/>
      <c r="F29" s="486"/>
      <c r="G29" s="487"/>
      <c r="H29" s="422"/>
      <c r="I29" s="423"/>
    </row>
    <row r="30" spans="1:9" ht="18.75" x14ac:dyDescent="0.3">
      <c r="A30" s="483"/>
      <c r="B30" s="483"/>
      <c r="C30" s="484"/>
      <c r="D30" s="483"/>
      <c r="E30" s="485"/>
      <c r="F30" s="486"/>
      <c r="G30" s="421"/>
      <c r="H30" s="422"/>
      <c r="I30" s="423"/>
    </row>
    <row r="31" spans="1:9" ht="18.75" x14ac:dyDescent="0.3">
      <c r="A31" s="483"/>
      <c r="B31" s="483"/>
      <c r="C31" s="484"/>
      <c r="D31" s="483"/>
      <c r="E31" s="485"/>
      <c r="F31" s="486"/>
      <c r="G31" s="421"/>
      <c r="H31" s="422"/>
      <c r="I31" s="423"/>
    </row>
    <row r="32" spans="1:9" ht="18.75" x14ac:dyDescent="0.3">
      <c r="A32" s="483"/>
      <c r="B32" s="483"/>
      <c r="C32" s="484"/>
      <c r="D32" s="483"/>
      <c r="E32" s="483"/>
      <c r="F32" s="488"/>
      <c r="G32" s="489"/>
      <c r="H32" s="422"/>
      <c r="I32" s="423"/>
    </row>
    <row r="33" spans="1:9" ht="18.75" x14ac:dyDescent="0.3">
      <c r="A33" s="490"/>
      <c r="B33" s="491"/>
      <c r="C33" s="484"/>
      <c r="D33" s="483"/>
      <c r="E33" s="483"/>
      <c r="F33" s="488"/>
      <c r="G33" s="449"/>
      <c r="H33" s="422"/>
      <c r="I33" s="423"/>
    </row>
    <row r="34" spans="1:9" ht="18.75" x14ac:dyDescent="0.3">
      <c r="A34" s="456"/>
      <c r="B34" s="457"/>
      <c r="C34" s="492"/>
      <c r="D34" s="493"/>
      <c r="E34" s="449"/>
      <c r="F34" s="450"/>
      <c r="G34" s="449"/>
      <c r="H34" s="422" t="str">
        <f t="shared" ref="H34" si="0">UPPER(D34)</f>
        <v/>
      </c>
      <c r="I34" s="423"/>
    </row>
    <row r="35" spans="1:9" ht="18.75" x14ac:dyDescent="0.3">
      <c r="A35" s="456"/>
      <c r="B35" s="457"/>
      <c r="C35" s="492"/>
      <c r="D35" s="459"/>
      <c r="E35" s="459"/>
      <c r="F35" s="450"/>
      <c r="G35" s="459"/>
      <c r="H35" s="459"/>
      <c r="I35" s="423"/>
    </row>
    <row r="36" spans="1:9" ht="18.75" thickBot="1" x14ac:dyDescent="0.3">
      <c r="A36" s="494"/>
      <c r="B36" s="495"/>
      <c r="C36" s="496"/>
      <c r="D36" s="496"/>
      <c r="E36" s="497"/>
      <c r="F36" s="498"/>
      <c r="G36" s="496"/>
      <c r="H36" s="496"/>
      <c r="I36" s="499"/>
    </row>
    <row r="37" spans="1:9" ht="18.75" thickBot="1" x14ac:dyDescent="0.3">
      <c r="A37" s="500"/>
      <c r="B37" s="501"/>
      <c r="C37" s="502"/>
      <c r="D37" s="503" t="s">
        <v>15</v>
      </c>
      <c r="E37" s="504" t="s">
        <v>14</v>
      </c>
      <c r="F37" s="505"/>
      <c r="G37" s="502"/>
      <c r="H37" s="502"/>
      <c r="I37" s="506"/>
    </row>
    <row r="38" spans="1:9" ht="18" x14ac:dyDescent="0.25">
      <c r="A38" s="693" t="s">
        <v>13</v>
      </c>
      <c r="B38" s="694"/>
      <c r="C38" s="695"/>
      <c r="D38" s="474">
        <v>100</v>
      </c>
      <c r="E38" s="507" t="s">
        <v>2</v>
      </c>
      <c r="F38" s="696" t="s">
        <v>12</v>
      </c>
      <c r="G38" s="696"/>
      <c r="H38" s="697"/>
      <c r="I38" s="698"/>
    </row>
    <row r="39" spans="1:9" ht="18" x14ac:dyDescent="0.25">
      <c r="A39" s="699" t="s">
        <v>11</v>
      </c>
      <c r="B39" s="700"/>
      <c r="C39" s="701"/>
      <c r="D39" s="508">
        <v>1</v>
      </c>
      <c r="E39" s="509" t="s">
        <v>10</v>
      </c>
      <c r="F39" s="702" t="s">
        <v>9</v>
      </c>
      <c r="G39" s="702"/>
      <c r="H39" s="703"/>
      <c r="I39" s="704"/>
    </row>
    <row r="40" spans="1:9" ht="18" x14ac:dyDescent="0.25">
      <c r="A40" s="699" t="s">
        <v>8</v>
      </c>
      <c r="B40" s="700"/>
      <c r="C40" s="701"/>
      <c r="D40" s="509">
        <v>1</v>
      </c>
      <c r="E40" s="509" t="s">
        <v>7</v>
      </c>
      <c r="F40" s="702" t="s">
        <v>6</v>
      </c>
      <c r="G40" s="702"/>
      <c r="H40" s="703"/>
      <c r="I40" s="704"/>
    </row>
    <row r="41" spans="1:9" ht="18" x14ac:dyDescent="0.25">
      <c r="A41" s="699" t="s">
        <v>5</v>
      </c>
      <c r="B41" s="700"/>
      <c r="C41" s="701"/>
      <c r="D41" s="476">
        <v>100</v>
      </c>
      <c r="E41" s="509" t="s">
        <v>2</v>
      </c>
      <c r="F41" s="709" t="s">
        <v>4</v>
      </c>
      <c r="G41" s="710"/>
      <c r="H41" s="711"/>
      <c r="I41" s="712"/>
    </row>
    <row r="42" spans="1:9" ht="18.75" thickBot="1" x14ac:dyDescent="0.3">
      <c r="A42" s="713" t="s">
        <v>3</v>
      </c>
      <c r="B42" s="714"/>
      <c r="C42" s="715"/>
      <c r="D42" s="510">
        <f>SUM(E10:E11)-D38</f>
        <v>0</v>
      </c>
      <c r="E42" s="511" t="s">
        <v>2</v>
      </c>
      <c r="F42" s="716"/>
      <c r="G42" s="716"/>
      <c r="H42" s="703"/>
      <c r="I42" s="704"/>
    </row>
    <row r="43" spans="1:9" ht="18.75" thickBot="1" x14ac:dyDescent="0.3">
      <c r="A43" s="717" t="s">
        <v>1</v>
      </c>
      <c r="B43" s="718"/>
      <c r="C43" s="718"/>
      <c r="D43" s="718"/>
      <c r="E43" s="718"/>
      <c r="F43" s="718"/>
      <c r="G43" s="718"/>
      <c r="H43" s="718"/>
      <c r="I43" s="719"/>
    </row>
    <row r="44" spans="1:9" ht="18.399999999999999" customHeight="1" x14ac:dyDescent="0.25">
      <c r="A44" s="720" t="s">
        <v>73</v>
      </c>
      <c r="B44" s="721"/>
      <c r="C44" s="722"/>
      <c r="D44" s="722"/>
      <c r="E44" s="722"/>
      <c r="F44" s="722"/>
      <c r="G44" s="722"/>
      <c r="H44" s="722"/>
      <c r="I44" s="723"/>
    </row>
    <row r="45" spans="1:9" ht="14.65" customHeight="1" x14ac:dyDescent="0.25">
      <c r="A45" s="705"/>
      <c r="B45" s="706"/>
      <c r="C45" s="707"/>
      <c r="D45" s="707"/>
      <c r="E45" s="707"/>
      <c r="F45" s="707"/>
      <c r="G45" s="707"/>
      <c r="H45" s="707"/>
      <c r="I45" s="708"/>
    </row>
    <row r="46" spans="1:9" ht="14.65" customHeight="1" x14ac:dyDescent="0.25">
      <c r="A46" s="731"/>
      <c r="B46" s="732"/>
      <c r="C46" s="733"/>
      <c r="D46" s="733"/>
      <c r="E46" s="733"/>
      <c r="F46" s="733"/>
      <c r="G46" s="733"/>
      <c r="H46" s="733"/>
      <c r="I46" s="734"/>
    </row>
    <row r="47" spans="1:9" ht="14.65" customHeight="1" x14ac:dyDescent="0.25">
      <c r="A47" s="735"/>
      <c r="B47" s="736"/>
      <c r="C47" s="736"/>
      <c r="D47" s="736"/>
      <c r="E47" s="736"/>
      <c r="F47" s="736"/>
      <c r="G47" s="736"/>
      <c r="H47" s="736"/>
      <c r="I47" s="737"/>
    </row>
    <row r="48" spans="1:9" ht="14.65" customHeight="1" x14ac:dyDescent="0.25">
      <c r="A48" s="738"/>
      <c r="B48" s="739"/>
      <c r="C48" s="740"/>
      <c r="D48" s="740"/>
      <c r="E48" s="740"/>
      <c r="F48" s="740"/>
      <c r="G48" s="740"/>
      <c r="H48" s="740"/>
      <c r="I48" s="741"/>
    </row>
    <row r="49" spans="1:9" ht="14.65" customHeight="1" x14ac:dyDescent="0.3">
      <c r="A49" s="742"/>
      <c r="B49" s="743"/>
      <c r="C49" s="744"/>
      <c r="D49" s="744"/>
      <c r="E49" s="744"/>
      <c r="F49" s="744"/>
      <c r="G49" s="744"/>
      <c r="H49" s="744"/>
      <c r="I49" s="745"/>
    </row>
    <row r="50" spans="1:9" ht="18" customHeight="1" x14ac:dyDescent="0.3">
      <c r="A50" s="742"/>
      <c r="B50" s="743"/>
      <c r="C50" s="744"/>
      <c r="D50" s="744"/>
      <c r="E50" s="744"/>
      <c r="F50" s="744"/>
      <c r="G50" s="744"/>
      <c r="H50" s="744"/>
      <c r="I50" s="745"/>
    </row>
    <row r="51" spans="1:9" ht="18" x14ac:dyDescent="0.25">
      <c r="A51" s="746"/>
      <c r="B51" s="747"/>
      <c r="C51" s="747"/>
      <c r="D51" s="747"/>
      <c r="E51" s="747"/>
      <c r="F51" s="747"/>
      <c r="G51" s="747"/>
      <c r="H51" s="747"/>
      <c r="I51" s="748"/>
    </row>
    <row r="52" spans="1:9" ht="19.5" thickBot="1" x14ac:dyDescent="0.35">
      <c r="A52" s="724"/>
      <c r="B52" s="725"/>
      <c r="C52" s="725"/>
      <c r="D52" s="725"/>
      <c r="E52" s="725"/>
      <c r="F52" s="725"/>
      <c r="G52" s="725"/>
      <c r="H52" s="725"/>
      <c r="I52" s="726"/>
    </row>
    <row r="53" spans="1:9" ht="18" x14ac:dyDescent="0.25">
      <c r="A53" s="727" t="s">
        <v>324</v>
      </c>
      <c r="B53" s="728"/>
      <c r="C53" s="728"/>
      <c r="D53" s="728"/>
      <c r="E53" s="728"/>
      <c r="F53" s="728"/>
      <c r="G53" s="728"/>
      <c r="H53" s="728"/>
      <c r="I53" s="728"/>
    </row>
    <row r="54" spans="1:9" ht="18" x14ac:dyDescent="0.25">
      <c r="A54" s="668" t="s">
        <v>327</v>
      </c>
      <c r="B54" s="669"/>
      <c r="C54" s="669"/>
      <c r="D54" s="669"/>
      <c r="E54" s="669"/>
      <c r="F54" s="669"/>
      <c r="G54" s="669"/>
      <c r="H54" s="669"/>
      <c r="I54" s="670"/>
    </row>
    <row r="55" spans="1:9" ht="18" x14ac:dyDescent="0.25">
      <c r="A55" s="729"/>
      <c r="B55" s="730"/>
      <c r="C55" s="730"/>
      <c r="D55" s="730"/>
      <c r="E55" s="730"/>
      <c r="F55" s="730"/>
      <c r="G55" s="730"/>
      <c r="H55" s="730"/>
      <c r="I55" s="730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4979-1340-4AFA-AA3A-8C73255BA0E3}">
  <dimension ref="A1:Q91"/>
  <sheetViews>
    <sheetView workbookViewId="0">
      <selection activeCell="L8" sqref="L8"/>
    </sheetView>
  </sheetViews>
  <sheetFormatPr baseColWidth="10" defaultColWidth="8.42578125" defaultRowHeight="12.75" x14ac:dyDescent="0.25"/>
  <cols>
    <col min="1" max="1" width="10" style="110" bestFit="1" customWidth="1"/>
    <col min="2" max="2" width="44.28515625" style="110" bestFit="1" customWidth="1"/>
    <col min="3" max="3" width="10.42578125" style="110" bestFit="1" customWidth="1"/>
    <col min="4" max="4" width="10.42578125" style="110" customWidth="1"/>
    <col min="5" max="5" width="9.7109375" style="110" bestFit="1" customWidth="1"/>
    <col min="6" max="6" width="9.5703125" style="110" bestFit="1" customWidth="1"/>
    <col min="7" max="7" width="9.5703125" style="192" bestFit="1" customWidth="1"/>
    <col min="8" max="8" width="10.42578125" style="183" bestFit="1" customWidth="1"/>
    <col min="9" max="9" width="4.5703125" style="183" customWidth="1"/>
    <col min="10" max="10" width="1.7109375" style="109" customWidth="1"/>
    <col min="11" max="11" width="7" style="110" bestFit="1" customWidth="1"/>
    <col min="12" max="12" width="6.28515625" style="110" customWidth="1"/>
    <col min="13" max="13" width="20.42578125" style="110" customWidth="1"/>
    <col min="14" max="14" width="6.42578125" style="110" bestFit="1" customWidth="1"/>
    <col min="15" max="16" width="8.42578125" style="110"/>
    <col min="17" max="17" width="3.28515625" style="110" customWidth="1"/>
    <col min="18" max="256" width="8.42578125" style="110"/>
    <col min="257" max="257" width="10" style="110" bestFit="1" customWidth="1"/>
    <col min="258" max="258" width="44.28515625" style="110" bestFit="1" customWidth="1"/>
    <col min="259" max="259" width="10.42578125" style="110" bestFit="1" customWidth="1"/>
    <col min="260" max="260" width="10.42578125" style="110" customWidth="1"/>
    <col min="261" max="261" width="9.7109375" style="110" bestFit="1" customWidth="1"/>
    <col min="262" max="263" width="9.5703125" style="110" bestFit="1" customWidth="1"/>
    <col min="264" max="264" width="10.42578125" style="110" bestFit="1" customWidth="1"/>
    <col min="265" max="265" width="4.5703125" style="110" customWidth="1"/>
    <col min="266" max="266" width="1.7109375" style="110" customWidth="1"/>
    <col min="267" max="267" width="7" style="110" bestFit="1" customWidth="1"/>
    <col min="268" max="268" width="6.28515625" style="110" customWidth="1"/>
    <col min="269" max="269" width="20.42578125" style="110" customWidth="1"/>
    <col min="270" max="270" width="6.42578125" style="110" bestFit="1" customWidth="1"/>
    <col min="271" max="272" width="8.42578125" style="110"/>
    <col min="273" max="273" width="3.28515625" style="110" customWidth="1"/>
    <col min="274" max="512" width="8.42578125" style="110"/>
    <col min="513" max="513" width="10" style="110" bestFit="1" customWidth="1"/>
    <col min="514" max="514" width="44.28515625" style="110" bestFit="1" customWidth="1"/>
    <col min="515" max="515" width="10.42578125" style="110" bestFit="1" customWidth="1"/>
    <col min="516" max="516" width="10.42578125" style="110" customWidth="1"/>
    <col min="517" max="517" width="9.7109375" style="110" bestFit="1" customWidth="1"/>
    <col min="518" max="519" width="9.5703125" style="110" bestFit="1" customWidth="1"/>
    <col min="520" max="520" width="10.42578125" style="110" bestFit="1" customWidth="1"/>
    <col min="521" max="521" width="4.5703125" style="110" customWidth="1"/>
    <col min="522" max="522" width="1.7109375" style="110" customWidth="1"/>
    <col min="523" max="523" width="7" style="110" bestFit="1" customWidth="1"/>
    <col min="524" max="524" width="6.28515625" style="110" customWidth="1"/>
    <col min="525" max="525" width="20.42578125" style="110" customWidth="1"/>
    <col min="526" max="526" width="6.42578125" style="110" bestFit="1" customWidth="1"/>
    <col min="527" max="528" width="8.42578125" style="110"/>
    <col min="529" max="529" width="3.28515625" style="110" customWidth="1"/>
    <col min="530" max="768" width="8.42578125" style="110"/>
    <col min="769" max="769" width="10" style="110" bestFit="1" customWidth="1"/>
    <col min="770" max="770" width="44.28515625" style="110" bestFit="1" customWidth="1"/>
    <col min="771" max="771" width="10.42578125" style="110" bestFit="1" customWidth="1"/>
    <col min="772" max="772" width="10.42578125" style="110" customWidth="1"/>
    <col min="773" max="773" width="9.7109375" style="110" bestFit="1" customWidth="1"/>
    <col min="774" max="775" width="9.5703125" style="110" bestFit="1" customWidth="1"/>
    <col min="776" max="776" width="10.42578125" style="110" bestFit="1" customWidth="1"/>
    <col min="777" max="777" width="4.5703125" style="110" customWidth="1"/>
    <col min="778" max="778" width="1.7109375" style="110" customWidth="1"/>
    <col min="779" max="779" width="7" style="110" bestFit="1" customWidth="1"/>
    <col min="780" max="780" width="6.28515625" style="110" customWidth="1"/>
    <col min="781" max="781" width="20.42578125" style="110" customWidth="1"/>
    <col min="782" max="782" width="6.42578125" style="110" bestFit="1" customWidth="1"/>
    <col min="783" max="784" width="8.42578125" style="110"/>
    <col min="785" max="785" width="3.28515625" style="110" customWidth="1"/>
    <col min="786" max="1024" width="8.42578125" style="110"/>
    <col min="1025" max="1025" width="10" style="110" bestFit="1" customWidth="1"/>
    <col min="1026" max="1026" width="44.28515625" style="110" bestFit="1" customWidth="1"/>
    <col min="1027" max="1027" width="10.42578125" style="110" bestFit="1" customWidth="1"/>
    <col min="1028" max="1028" width="10.42578125" style="110" customWidth="1"/>
    <col min="1029" max="1029" width="9.7109375" style="110" bestFit="1" customWidth="1"/>
    <col min="1030" max="1031" width="9.5703125" style="110" bestFit="1" customWidth="1"/>
    <col min="1032" max="1032" width="10.42578125" style="110" bestFit="1" customWidth="1"/>
    <col min="1033" max="1033" width="4.5703125" style="110" customWidth="1"/>
    <col min="1034" max="1034" width="1.7109375" style="110" customWidth="1"/>
    <col min="1035" max="1035" width="7" style="110" bestFit="1" customWidth="1"/>
    <col min="1036" max="1036" width="6.28515625" style="110" customWidth="1"/>
    <col min="1037" max="1037" width="20.42578125" style="110" customWidth="1"/>
    <col min="1038" max="1038" width="6.42578125" style="110" bestFit="1" customWidth="1"/>
    <col min="1039" max="1040" width="8.42578125" style="110"/>
    <col min="1041" max="1041" width="3.28515625" style="110" customWidth="1"/>
    <col min="1042" max="1280" width="8.42578125" style="110"/>
    <col min="1281" max="1281" width="10" style="110" bestFit="1" customWidth="1"/>
    <col min="1282" max="1282" width="44.28515625" style="110" bestFit="1" customWidth="1"/>
    <col min="1283" max="1283" width="10.42578125" style="110" bestFit="1" customWidth="1"/>
    <col min="1284" max="1284" width="10.42578125" style="110" customWidth="1"/>
    <col min="1285" max="1285" width="9.7109375" style="110" bestFit="1" customWidth="1"/>
    <col min="1286" max="1287" width="9.5703125" style="110" bestFit="1" customWidth="1"/>
    <col min="1288" max="1288" width="10.42578125" style="110" bestFit="1" customWidth="1"/>
    <col min="1289" max="1289" width="4.5703125" style="110" customWidth="1"/>
    <col min="1290" max="1290" width="1.7109375" style="110" customWidth="1"/>
    <col min="1291" max="1291" width="7" style="110" bestFit="1" customWidth="1"/>
    <col min="1292" max="1292" width="6.28515625" style="110" customWidth="1"/>
    <col min="1293" max="1293" width="20.42578125" style="110" customWidth="1"/>
    <col min="1294" max="1294" width="6.42578125" style="110" bestFit="1" customWidth="1"/>
    <col min="1295" max="1296" width="8.42578125" style="110"/>
    <col min="1297" max="1297" width="3.28515625" style="110" customWidth="1"/>
    <col min="1298" max="1536" width="8.42578125" style="110"/>
    <col min="1537" max="1537" width="10" style="110" bestFit="1" customWidth="1"/>
    <col min="1538" max="1538" width="44.28515625" style="110" bestFit="1" customWidth="1"/>
    <col min="1539" max="1539" width="10.42578125" style="110" bestFit="1" customWidth="1"/>
    <col min="1540" max="1540" width="10.42578125" style="110" customWidth="1"/>
    <col min="1541" max="1541" width="9.7109375" style="110" bestFit="1" customWidth="1"/>
    <col min="1542" max="1543" width="9.5703125" style="110" bestFit="1" customWidth="1"/>
    <col min="1544" max="1544" width="10.42578125" style="110" bestFit="1" customWidth="1"/>
    <col min="1545" max="1545" width="4.5703125" style="110" customWidth="1"/>
    <col min="1546" max="1546" width="1.7109375" style="110" customWidth="1"/>
    <col min="1547" max="1547" width="7" style="110" bestFit="1" customWidth="1"/>
    <col min="1548" max="1548" width="6.28515625" style="110" customWidth="1"/>
    <col min="1549" max="1549" width="20.42578125" style="110" customWidth="1"/>
    <col min="1550" max="1550" width="6.42578125" style="110" bestFit="1" customWidth="1"/>
    <col min="1551" max="1552" width="8.42578125" style="110"/>
    <col min="1553" max="1553" width="3.28515625" style="110" customWidth="1"/>
    <col min="1554" max="1792" width="8.42578125" style="110"/>
    <col min="1793" max="1793" width="10" style="110" bestFit="1" customWidth="1"/>
    <col min="1794" max="1794" width="44.28515625" style="110" bestFit="1" customWidth="1"/>
    <col min="1795" max="1795" width="10.42578125" style="110" bestFit="1" customWidth="1"/>
    <col min="1796" max="1796" width="10.42578125" style="110" customWidth="1"/>
    <col min="1797" max="1797" width="9.7109375" style="110" bestFit="1" customWidth="1"/>
    <col min="1798" max="1799" width="9.5703125" style="110" bestFit="1" customWidth="1"/>
    <col min="1800" max="1800" width="10.42578125" style="110" bestFit="1" customWidth="1"/>
    <col min="1801" max="1801" width="4.5703125" style="110" customWidth="1"/>
    <col min="1802" max="1802" width="1.7109375" style="110" customWidth="1"/>
    <col min="1803" max="1803" width="7" style="110" bestFit="1" customWidth="1"/>
    <col min="1804" max="1804" width="6.28515625" style="110" customWidth="1"/>
    <col min="1805" max="1805" width="20.42578125" style="110" customWidth="1"/>
    <col min="1806" max="1806" width="6.42578125" style="110" bestFit="1" customWidth="1"/>
    <col min="1807" max="1808" width="8.42578125" style="110"/>
    <col min="1809" max="1809" width="3.28515625" style="110" customWidth="1"/>
    <col min="1810" max="2048" width="8.42578125" style="110"/>
    <col min="2049" max="2049" width="10" style="110" bestFit="1" customWidth="1"/>
    <col min="2050" max="2050" width="44.28515625" style="110" bestFit="1" customWidth="1"/>
    <col min="2051" max="2051" width="10.42578125" style="110" bestFit="1" customWidth="1"/>
    <col min="2052" max="2052" width="10.42578125" style="110" customWidth="1"/>
    <col min="2053" max="2053" width="9.7109375" style="110" bestFit="1" customWidth="1"/>
    <col min="2054" max="2055" width="9.5703125" style="110" bestFit="1" customWidth="1"/>
    <col min="2056" max="2056" width="10.42578125" style="110" bestFit="1" customWidth="1"/>
    <col min="2057" max="2057" width="4.5703125" style="110" customWidth="1"/>
    <col min="2058" max="2058" width="1.7109375" style="110" customWidth="1"/>
    <col min="2059" max="2059" width="7" style="110" bestFit="1" customWidth="1"/>
    <col min="2060" max="2060" width="6.28515625" style="110" customWidth="1"/>
    <col min="2061" max="2061" width="20.42578125" style="110" customWidth="1"/>
    <col min="2062" max="2062" width="6.42578125" style="110" bestFit="1" customWidth="1"/>
    <col min="2063" max="2064" width="8.42578125" style="110"/>
    <col min="2065" max="2065" width="3.28515625" style="110" customWidth="1"/>
    <col min="2066" max="2304" width="8.42578125" style="110"/>
    <col min="2305" max="2305" width="10" style="110" bestFit="1" customWidth="1"/>
    <col min="2306" max="2306" width="44.28515625" style="110" bestFit="1" customWidth="1"/>
    <col min="2307" max="2307" width="10.42578125" style="110" bestFit="1" customWidth="1"/>
    <col min="2308" max="2308" width="10.42578125" style="110" customWidth="1"/>
    <col min="2309" max="2309" width="9.7109375" style="110" bestFit="1" customWidth="1"/>
    <col min="2310" max="2311" width="9.5703125" style="110" bestFit="1" customWidth="1"/>
    <col min="2312" max="2312" width="10.42578125" style="110" bestFit="1" customWidth="1"/>
    <col min="2313" max="2313" width="4.5703125" style="110" customWidth="1"/>
    <col min="2314" max="2314" width="1.7109375" style="110" customWidth="1"/>
    <col min="2315" max="2315" width="7" style="110" bestFit="1" customWidth="1"/>
    <col min="2316" max="2316" width="6.28515625" style="110" customWidth="1"/>
    <col min="2317" max="2317" width="20.42578125" style="110" customWidth="1"/>
    <col min="2318" max="2318" width="6.42578125" style="110" bestFit="1" customWidth="1"/>
    <col min="2319" max="2320" width="8.42578125" style="110"/>
    <col min="2321" max="2321" width="3.28515625" style="110" customWidth="1"/>
    <col min="2322" max="2560" width="8.42578125" style="110"/>
    <col min="2561" max="2561" width="10" style="110" bestFit="1" customWidth="1"/>
    <col min="2562" max="2562" width="44.28515625" style="110" bestFit="1" customWidth="1"/>
    <col min="2563" max="2563" width="10.42578125" style="110" bestFit="1" customWidth="1"/>
    <col min="2564" max="2564" width="10.42578125" style="110" customWidth="1"/>
    <col min="2565" max="2565" width="9.7109375" style="110" bestFit="1" customWidth="1"/>
    <col min="2566" max="2567" width="9.5703125" style="110" bestFit="1" customWidth="1"/>
    <col min="2568" max="2568" width="10.42578125" style="110" bestFit="1" customWidth="1"/>
    <col min="2569" max="2569" width="4.5703125" style="110" customWidth="1"/>
    <col min="2570" max="2570" width="1.7109375" style="110" customWidth="1"/>
    <col min="2571" max="2571" width="7" style="110" bestFit="1" customWidth="1"/>
    <col min="2572" max="2572" width="6.28515625" style="110" customWidth="1"/>
    <col min="2573" max="2573" width="20.42578125" style="110" customWidth="1"/>
    <col min="2574" max="2574" width="6.42578125" style="110" bestFit="1" customWidth="1"/>
    <col min="2575" max="2576" width="8.42578125" style="110"/>
    <col min="2577" max="2577" width="3.28515625" style="110" customWidth="1"/>
    <col min="2578" max="2816" width="8.42578125" style="110"/>
    <col min="2817" max="2817" width="10" style="110" bestFit="1" customWidth="1"/>
    <col min="2818" max="2818" width="44.28515625" style="110" bestFit="1" customWidth="1"/>
    <col min="2819" max="2819" width="10.42578125" style="110" bestFit="1" customWidth="1"/>
    <col min="2820" max="2820" width="10.42578125" style="110" customWidth="1"/>
    <col min="2821" max="2821" width="9.7109375" style="110" bestFit="1" customWidth="1"/>
    <col min="2822" max="2823" width="9.5703125" style="110" bestFit="1" customWidth="1"/>
    <col min="2824" max="2824" width="10.42578125" style="110" bestFit="1" customWidth="1"/>
    <col min="2825" max="2825" width="4.5703125" style="110" customWidth="1"/>
    <col min="2826" max="2826" width="1.7109375" style="110" customWidth="1"/>
    <col min="2827" max="2827" width="7" style="110" bestFit="1" customWidth="1"/>
    <col min="2828" max="2828" width="6.28515625" style="110" customWidth="1"/>
    <col min="2829" max="2829" width="20.42578125" style="110" customWidth="1"/>
    <col min="2830" max="2830" width="6.42578125" style="110" bestFit="1" customWidth="1"/>
    <col min="2831" max="2832" width="8.42578125" style="110"/>
    <col min="2833" max="2833" width="3.28515625" style="110" customWidth="1"/>
    <col min="2834" max="3072" width="8.42578125" style="110"/>
    <col min="3073" max="3073" width="10" style="110" bestFit="1" customWidth="1"/>
    <col min="3074" max="3074" width="44.28515625" style="110" bestFit="1" customWidth="1"/>
    <col min="3075" max="3075" width="10.42578125" style="110" bestFit="1" customWidth="1"/>
    <col min="3076" max="3076" width="10.42578125" style="110" customWidth="1"/>
    <col min="3077" max="3077" width="9.7109375" style="110" bestFit="1" customWidth="1"/>
    <col min="3078" max="3079" width="9.5703125" style="110" bestFit="1" customWidth="1"/>
    <col min="3080" max="3080" width="10.42578125" style="110" bestFit="1" customWidth="1"/>
    <col min="3081" max="3081" width="4.5703125" style="110" customWidth="1"/>
    <col min="3082" max="3082" width="1.7109375" style="110" customWidth="1"/>
    <col min="3083" max="3083" width="7" style="110" bestFit="1" customWidth="1"/>
    <col min="3084" max="3084" width="6.28515625" style="110" customWidth="1"/>
    <col min="3085" max="3085" width="20.42578125" style="110" customWidth="1"/>
    <col min="3086" max="3086" width="6.42578125" style="110" bestFit="1" customWidth="1"/>
    <col min="3087" max="3088" width="8.42578125" style="110"/>
    <col min="3089" max="3089" width="3.28515625" style="110" customWidth="1"/>
    <col min="3090" max="3328" width="8.42578125" style="110"/>
    <col min="3329" max="3329" width="10" style="110" bestFit="1" customWidth="1"/>
    <col min="3330" max="3330" width="44.28515625" style="110" bestFit="1" customWidth="1"/>
    <col min="3331" max="3331" width="10.42578125" style="110" bestFit="1" customWidth="1"/>
    <col min="3332" max="3332" width="10.42578125" style="110" customWidth="1"/>
    <col min="3333" max="3333" width="9.7109375" style="110" bestFit="1" customWidth="1"/>
    <col min="3334" max="3335" width="9.5703125" style="110" bestFit="1" customWidth="1"/>
    <col min="3336" max="3336" width="10.42578125" style="110" bestFit="1" customWidth="1"/>
    <col min="3337" max="3337" width="4.5703125" style="110" customWidth="1"/>
    <col min="3338" max="3338" width="1.7109375" style="110" customWidth="1"/>
    <col min="3339" max="3339" width="7" style="110" bestFit="1" customWidth="1"/>
    <col min="3340" max="3340" width="6.28515625" style="110" customWidth="1"/>
    <col min="3341" max="3341" width="20.42578125" style="110" customWidth="1"/>
    <col min="3342" max="3342" width="6.42578125" style="110" bestFit="1" customWidth="1"/>
    <col min="3343" max="3344" width="8.42578125" style="110"/>
    <col min="3345" max="3345" width="3.28515625" style="110" customWidth="1"/>
    <col min="3346" max="3584" width="8.42578125" style="110"/>
    <col min="3585" max="3585" width="10" style="110" bestFit="1" customWidth="1"/>
    <col min="3586" max="3586" width="44.28515625" style="110" bestFit="1" customWidth="1"/>
    <col min="3587" max="3587" width="10.42578125" style="110" bestFit="1" customWidth="1"/>
    <col min="3588" max="3588" width="10.42578125" style="110" customWidth="1"/>
    <col min="3589" max="3589" width="9.7109375" style="110" bestFit="1" customWidth="1"/>
    <col min="3590" max="3591" width="9.5703125" style="110" bestFit="1" customWidth="1"/>
    <col min="3592" max="3592" width="10.42578125" style="110" bestFit="1" customWidth="1"/>
    <col min="3593" max="3593" width="4.5703125" style="110" customWidth="1"/>
    <col min="3594" max="3594" width="1.7109375" style="110" customWidth="1"/>
    <col min="3595" max="3595" width="7" style="110" bestFit="1" customWidth="1"/>
    <col min="3596" max="3596" width="6.28515625" style="110" customWidth="1"/>
    <col min="3597" max="3597" width="20.42578125" style="110" customWidth="1"/>
    <col min="3598" max="3598" width="6.42578125" style="110" bestFit="1" customWidth="1"/>
    <col min="3599" max="3600" width="8.42578125" style="110"/>
    <col min="3601" max="3601" width="3.28515625" style="110" customWidth="1"/>
    <col min="3602" max="3840" width="8.42578125" style="110"/>
    <col min="3841" max="3841" width="10" style="110" bestFit="1" customWidth="1"/>
    <col min="3842" max="3842" width="44.28515625" style="110" bestFit="1" customWidth="1"/>
    <col min="3843" max="3843" width="10.42578125" style="110" bestFit="1" customWidth="1"/>
    <col min="3844" max="3844" width="10.42578125" style="110" customWidth="1"/>
    <col min="3845" max="3845" width="9.7109375" style="110" bestFit="1" customWidth="1"/>
    <col min="3846" max="3847" width="9.5703125" style="110" bestFit="1" customWidth="1"/>
    <col min="3848" max="3848" width="10.42578125" style="110" bestFit="1" customWidth="1"/>
    <col min="3849" max="3849" width="4.5703125" style="110" customWidth="1"/>
    <col min="3850" max="3850" width="1.7109375" style="110" customWidth="1"/>
    <col min="3851" max="3851" width="7" style="110" bestFit="1" customWidth="1"/>
    <col min="3852" max="3852" width="6.28515625" style="110" customWidth="1"/>
    <col min="3853" max="3853" width="20.42578125" style="110" customWidth="1"/>
    <col min="3854" max="3854" width="6.42578125" style="110" bestFit="1" customWidth="1"/>
    <col min="3855" max="3856" width="8.42578125" style="110"/>
    <col min="3857" max="3857" width="3.28515625" style="110" customWidth="1"/>
    <col min="3858" max="4096" width="8.42578125" style="110"/>
    <col min="4097" max="4097" width="10" style="110" bestFit="1" customWidth="1"/>
    <col min="4098" max="4098" width="44.28515625" style="110" bestFit="1" customWidth="1"/>
    <col min="4099" max="4099" width="10.42578125" style="110" bestFit="1" customWidth="1"/>
    <col min="4100" max="4100" width="10.42578125" style="110" customWidth="1"/>
    <col min="4101" max="4101" width="9.7109375" style="110" bestFit="1" customWidth="1"/>
    <col min="4102" max="4103" width="9.5703125" style="110" bestFit="1" customWidth="1"/>
    <col min="4104" max="4104" width="10.42578125" style="110" bestFit="1" customWidth="1"/>
    <col min="4105" max="4105" width="4.5703125" style="110" customWidth="1"/>
    <col min="4106" max="4106" width="1.7109375" style="110" customWidth="1"/>
    <col min="4107" max="4107" width="7" style="110" bestFit="1" customWidth="1"/>
    <col min="4108" max="4108" width="6.28515625" style="110" customWidth="1"/>
    <col min="4109" max="4109" width="20.42578125" style="110" customWidth="1"/>
    <col min="4110" max="4110" width="6.42578125" style="110" bestFit="1" customWidth="1"/>
    <col min="4111" max="4112" width="8.42578125" style="110"/>
    <col min="4113" max="4113" width="3.28515625" style="110" customWidth="1"/>
    <col min="4114" max="4352" width="8.42578125" style="110"/>
    <col min="4353" max="4353" width="10" style="110" bestFit="1" customWidth="1"/>
    <col min="4354" max="4354" width="44.28515625" style="110" bestFit="1" customWidth="1"/>
    <col min="4355" max="4355" width="10.42578125" style="110" bestFit="1" customWidth="1"/>
    <col min="4356" max="4356" width="10.42578125" style="110" customWidth="1"/>
    <col min="4357" max="4357" width="9.7109375" style="110" bestFit="1" customWidth="1"/>
    <col min="4358" max="4359" width="9.5703125" style="110" bestFit="1" customWidth="1"/>
    <col min="4360" max="4360" width="10.42578125" style="110" bestFit="1" customWidth="1"/>
    <col min="4361" max="4361" width="4.5703125" style="110" customWidth="1"/>
    <col min="4362" max="4362" width="1.7109375" style="110" customWidth="1"/>
    <col min="4363" max="4363" width="7" style="110" bestFit="1" customWidth="1"/>
    <col min="4364" max="4364" width="6.28515625" style="110" customWidth="1"/>
    <col min="4365" max="4365" width="20.42578125" style="110" customWidth="1"/>
    <col min="4366" max="4366" width="6.42578125" style="110" bestFit="1" customWidth="1"/>
    <col min="4367" max="4368" width="8.42578125" style="110"/>
    <col min="4369" max="4369" width="3.28515625" style="110" customWidth="1"/>
    <col min="4370" max="4608" width="8.42578125" style="110"/>
    <col min="4609" max="4609" width="10" style="110" bestFit="1" customWidth="1"/>
    <col min="4610" max="4610" width="44.28515625" style="110" bestFit="1" customWidth="1"/>
    <col min="4611" max="4611" width="10.42578125" style="110" bestFit="1" customWidth="1"/>
    <col min="4612" max="4612" width="10.42578125" style="110" customWidth="1"/>
    <col min="4613" max="4613" width="9.7109375" style="110" bestFit="1" customWidth="1"/>
    <col min="4614" max="4615" width="9.5703125" style="110" bestFit="1" customWidth="1"/>
    <col min="4616" max="4616" width="10.42578125" style="110" bestFit="1" customWidth="1"/>
    <col min="4617" max="4617" width="4.5703125" style="110" customWidth="1"/>
    <col min="4618" max="4618" width="1.7109375" style="110" customWidth="1"/>
    <col min="4619" max="4619" width="7" style="110" bestFit="1" customWidth="1"/>
    <col min="4620" max="4620" width="6.28515625" style="110" customWidth="1"/>
    <col min="4621" max="4621" width="20.42578125" style="110" customWidth="1"/>
    <col min="4622" max="4622" width="6.42578125" style="110" bestFit="1" customWidth="1"/>
    <col min="4623" max="4624" width="8.42578125" style="110"/>
    <col min="4625" max="4625" width="3.28515625" style="110" customWidth="1"/>
    <col min="4626" max="4864" width="8.42578125" style="110"/>
    <col min="4865" max="4865" width="10" style="110" bestFit="1" customWidth="1"/>
    <col min="4866" max="4866" width="44.28515625" style="110" bestFit="1" customWidth="1"/>
    <col min="4867" max="4867" width="10.42578125" style="110" bestFit="1" customWidth="1"/>
    <col min="4868" max="4868" width="10.42578125" style="110" customWidth="1"/>
    <col min="4869" max="4869" width="9.7109375" style="110" bestFit="1" customWidth="1"/>
    <col min="4870" max="4871" width="9.5703125" style="110" bestFit="1" customWidth="1"/>
    <col min="4872" max="4872" width="10.42578125" style="110" bestFit="1" customWidth="1"/>
    <col min="4873" max="4873" width="4.5703125" style="110" customWidth="1"/>
    <col min="4874" max="4874" width="1.7109375" style="110" customWidth="1"/>
    <col min="4875" max="4875" width="7" style="110" bestFit="1" customWidth="1"/>
    <col min="4876" max="4876" width="6.28515625" style="110" customWidth="1"/>
    <col min="4877" max="4877" width="20.42578125" style="110" customWidth="1"/>
    <col min="4878" max="4878" width="6.42578125" style="110" bestFit="1" customWidth="1"/>
    <col min="4879" max="4880" width="8.42578125" style="110"/>
    <col min="4881" max="4881" width="3.28515625" style="110" customWidth="1"/>
    <col min="4882" max="5120" width="8.42578125" style="110"/>
    <col min="5121" max="5121" width="10" style="110" bestFit="1" customWidth="1"/>
    <col min="5122" max="5122" width="44.28515625" style="110" bestFit="1" customWidth="1"/>
    <col min="5123" max="5123" width="10.42578125" style="110" bestFit="1" customWidth="1"/>
    <col min="5124" max="5124" width="10.42578125" style="110" customWidth="1"/>
    <col min="5125" max="5125" width="9.7109375" style="110" bestFit="1" customWidth="1"/>
    <col min="5126" max="5127" width="9.5703125" style="110" bestFit="1" customWidth="1"/>
    <col min="5128" max="5128" width="10.42578125" style="110" bestFit="1" customWidth="1"/>
    <col min="5129" max="5129" width="4.5703125" style="110" customWidth="1"/>
    <col min="5130" max="5130" width="1.7109375" style="110" customWidth="1"/>
    <col min="5131" max="5131" width="7" style="110" bestFit="1" customWidth="1"/>
    <col min="5132" max="5132" width="6.28515625" style="110" customWidth="1"/>
    <col min="5133" max="5133" width="20.42578125" style="110" customWidth="1"/>
    <col min="5134" max="5134" width="6.42578125" style="110" bestFit="1" customWidth="1"/>
    <col min="5135" max="5136" width="8.42578125" style="110"/>
    <col min="5137" max="5137" width="3.28515625" style="110" customWidth="1"/>
    <col min="5138" max="5376" width="8.42578125" style="110"/>
    <col min="5377" max="5377" width="10" style="110" bestFit="1" customWidth="1"/>
    <col min="5378" max="5378" width="44.28515625" style="110" bestFit="1" customWidth="1"/>
    <col min="5379" max="5379" width="10.42578125" style="110" bestFit="1" customWidth="1"/>
    <col min="5380" max="5380" width="10.42578125" style="110" customWidth="1"/>
    <col min="5381" max="5381" width="9.7109375" style="110" bestFit="1" customWidth="1"/>
    <col min="5382" max="5383" width="9.5703125" style="110" bestFit="1" customWidth="1"/>
    <col min="5384" max="5384" width="10.42578125" style="110" bestFit="1" customWidth="1"/>
    <col min="5385" max="5385" width="4.5703125" style="110" customWidth="1"/>
    <col min="5386" max="5386" width="1.7109375" style="110" customWidth="1"/>
    <col min="5387" max="5387" width="7" style="110" bestFit="1" customWidth="1"/>
    <col min="5388" max="5388" width="6.28515625" style="110" customWidth="1"/>
    <col min="5389" max="5389" width="20.42578125" style="110" customWidth="1"/>
    <col min="5390" max="5390" width="6.42578125" style="110" bestFit="1" customWidth="1"/>
    <col min="5391" max="5392" width="8.42578125" style="110"/>
    <col min="5393" max="5393" width="3.28515625" style="110" customWidth="1"/>
    <col min="5394" max="5632" width="8.42578125" style="110"/>
    <col min="5633" max="5633" width="10" style="110" bestFit="1" customWidth="1"/>
    <col min="5634" max="5634" width="44.28515625" style="110" bestFit="1" customWidth="1"/>
    <col min="5635" max="5635" width="10.42578125" style="110" bestFit="1" customWidth="1"/>
    <col min="5636" max="5636" width="10.42578125" style="110" customWidth="1"/>
    <col min="5637" max="5637" width="9.7109375" style="110" bestFit="1" customWidth="1"/>
    <col min="5638" max="5639" width="9.5703125" style="110" bestFit="1" customWidth="1"/>
    <col min="5640" max="5640" width="10.42578125" style="110" bestFit="1" customWidth="1"/>
    <col min="5641" max="5641" width="4.5703125" style="110" customWidth="1"/>
    <col min="5642" max="5642" width="1.7109375" style="110" customWidth="1"/>
    <col min="5643" max="5643" width="7" style="110" bestFit="1" customWidth="1"/>
    <col min="5644" max="5644" width="6.28515625" style="110" customWidth="1"/>
    <col min="5645" max="5645" width="20.42578125" style="110" customWidth="1"/>
    <col min="5646" max="5646" width="6.42578125" style="110" bestFit="1" customWidth="1"/>
    <col min="5647" max="5648" width="8.42578125" style="110"/>
    <col min="5649" max="5649" width="3.28515625" style="110" customWidth="1"/>
    <col min="5650" max="5888" width="8.42578125" style="110"/>
    <col min="5889" max="5889" width="10" style="110" bestFit="1" customWidth="1"/>
    <col min="5890" max="5890" width="44.28515625" style="110" bestFit="1" customWidth="1"/>
    <col min="5891" max="5891" width="10.42578125" style="110" bestFit="1" customWidth="1"/>
    <col min="5892" max="5892" width="10.42578125" style="110" customWidth="1"/>
    <col min="5893" max="5893" width="9.7109375" style="110" bestFit="1" customWidth="1"/>
    <col min="5894" max="5895" width="9.5703125" style="110" bestFit="1" customWidth="1"/>
    <col min="5896" max="5896" width="10.42578125" style="110" bestFit="1" customWidth="1"/>
    <col min="5897" max="5897" width="4.5703125" style="110" customWidth="1"/>
    <col min="5898" max="5898" width="1.7109375" style="110" customWidth="1"/>
    <col min="5899" max="5899" width="7" style="110" bestFit="1" customWidth="1"/>
    <col min="5900" max="5900" width="6.28515625" style="110" customWidth="1"/>
    <col min="5901" max="5901" width="20.42578125" style="110" customWidth="1"/>
    <col min="5902" max="5902" width="6.42578125" style="110" bestFit="1" customWidth="1"/>
    <col min="5903" max="5904" width="8.42578125" style="110"/>
    <col min="5905" max="5905" width="3.28515625" style="110" customWidth="1"/>
    <col min="5906" max="6144" width="8.42578125" style="110"/>
    <col min="6145" max="6145" width="10" style="110" bestFit="1" customWidth="1"/>
    <col min="6146" max="6146" width="44.28515625" style="110" bestFit="1" customWidth="1"/>
    <col min="6147" max="6147" width="10.42578125" style="110" bestFit="1" customWidth="1"/>
    <col min="6148" max="6148" width="10.42578125" style="110" customWidth="1"/>
    <col min="6149" max="6149" width="9.7109375" style="110" bestFit="1" customWidth="1"/>
    <col min="6150" max="6151" width="9.5703125" style="110" bestFit="1" customWidth="1"/>
    <col min="6152" max="6152" width="10.42578125" style="110" bestFit="1" customWidth="1"/>
    <col min="6153" max="6153" width="4.5703125" style="110" customWidth="1"/>
    <col min="6154" max="6154" width="1.7109375" style="110" customWidth="1"/>
    <col min="6155" max="6155" width="7" style="110" bestFit="1" customWidth="1"/>
    <col min="6156" max="6156" width="6.28515625" style="110" customWidth="1"/>
    <col min="6157" max="6157" width="20.42578125" style="110" customWidth="1"/>
    <col min="6158" max="6158" width="6.42578125" style="110" bestFit="1" customWidth="1"/>
    <col min="6159" max="6160" width="8.42578125" style="110"/>
    <col min="6161" max="6161" width="3.28515625" style="110" customWidth="1"/>
    <col min="6162" max="6400" width="8.42578125" style="110"/>
    <col min="6401" max="6401" width="10" style="110" bestFit="1" customWidth="1"/>
    <col min="6402" max="6402" width="44.28515625" style="110" bestFit="1" customWidth="1"/>
    <col min="6403" max="6403" width="10.42578125" style="110" bestFit="1" customWidth="1"/>
    <col min="6404" max="6404" width="10.42578125" style="110" customWidth="1"/>
    <col min="6405" max="6405" width="9.7109375" style="110" bestFit="1" customWidth="1"/>
    <col min="6406" max="6407" width="9.5703125" style="110" bestFit="1" customWidth="1"/>
    <col min="6408" max="6408" width="10.42578125" style="110" bestFit="1" customWidth="1"/>
    <col min="6409" max="6409" width="4.5703125" style="110" customWidth="1"/>
    <col min="6410" max="6410" width="1.7109375" style="110" customWidth="1"/>
    <col min="6411" max="6411" width="7" style="110" bestFit="1" customWidth="1"/>
    <col min="6412" max="6412" width="6.28515625" style="110" customWidth="1"/>
    <col min="6413" max="6413" width="20.42578125" style="110" customWidth="1"/>
    <col min="6414" max="6414" width="6.42578125" style="110" bestFit="1" customWidth="1"/>
    <col min="6415" max="6416" width="8.42578125" style="110"/>
    <col min="6417" max="6417" width="3.28515625" style="110" customWidth="1"/>
    <col min="6418" max="6656" width="8.42578125" style="110"/>
    <col min="6657" max="6657" width="10" style="110" bestFit="1" customWidth="1"/>
    <col min="6658" max="6658" width="44.28515625" style="110" bestFit="1" customWidth="1"/>
    <col min="6659" max="6659" width="10.42578125" style="110" bestFit="1" customWidth="1"/>
    <col min="6660" max="6660" width="10.42578125" style="110" customWidth="1"/>
    <col min="6661" max="6661" width="9.7109375" style="110" bestFit="1" customWidth="1"/>
    <col min="6662" max="6663" width="9.5703125" style="110" bestFit="1" customWidth="1"/>
    <col min="6664" max="6664" width="10.42578125" style="110" bestFit="1" customWidth="1"/>
    <col min="6665" max="6665" width="4.5703125" style="110" customWidth="1"/>
    <col min="6666" max="6666" width="1.7109375" style="110" customWidth="1"/>
    <col min="6667" max="6667" width="7" style="110" bestFit="1" customWidth="1"/>
    <col min="6668" max="6668" width="6.28515625" style="110" customWidth="1"/>
    <col min="6669" max="6669" width="20.42578125" style="110" customWidth="1"/>
    <col min="6670" max="6670" width="6.42578125" style="110" bestFit="1" customWidth="1"/>
    <col min="6671" max="6672" width="8.42578125" style="110"/>
    <col min="6673" max="6673" width="3.28515625" style="110" customWidth="1"/>
    <col min="6674" max="6912" width="8.42578125" style="110"/>
    <col min="6913" max="6913" width="10" style="110" bestFit="1" customWidth="1"/>
    <col min="6914" max="6914" width="44.28515625" style="110" bestFit="1" customWidth="1"/>
    <col min="6915" max="6915" width="10.42578125" style="110" bestFit="1" customWidth="1"/>
    <col min="6916" max="6916" width="10.42578125" style="110" customWidth="1"/>
    <col min="6917" max="6917" width="9.7109375" style="110" bestFit="1" customWidth="1"/>
    <col min="6918" max="6919" width="9.5703125" style="110" bestFit="1" customWidth="1"/>
    <col min="6920" max="6920" width="10.42578125" style="110" bestFit="1" customWidth="1"/>
    <col min="6921" max="6921" width="4.5703125" style="110" customWidth="1"/>
    <col min="6922" max="6922" width="1.7109375" style="110" customWidth="1"/>
    <col min="6923" max="6923" width="7" style="110" bestFit="1" customWidth="1"/>
    <col min="6924" max="6924" width="6.28515625" style="110" customWidth="1"/>
    <col min="6925" max="6925" width="20.42578125" style="110" customWidth="1"/>
    <col min="6926" max="6926" width="6.42578125" style="110" bestFit="1" customWidth="1"/>
    <col min="6927" max="6928" width="8.42578125" style="110"/>
    <col min="6929" max="6929" width="3.28515625" style="110" customWidth="1"/>
    <col min="6930" max="7168" width="8.42578125" style="110"/>
    <col min="7169" max="7169" width="10" style="110" bestFit="1" customWidth="1"/>
    <col min="7170" max="7170" width="44.28515625" style="110" bestFit="1" customWidth="1"/>
    <col min="7171" max="7171" width="10.42578125" style="110" bestFit="1" customWidth="1"/>
    <col min="7172" max="7172" width="10.42578125" style="110" customWidth="1"/>
    <col min="7173" max="7173" width="9.7109375" style="110" bestFit="1" customWidth="1"/>
    <col min="7174" max="7175" width="9.5703125" style="110" bestFit="1" customWidth="1"/>
    <col min="7176" max="7176" width="10.42578125" style="110" bestFit="1" customWidth="1"/>
    <col min="7177" max="7177" width="4.5703125" style="110" customWidth="1"/>
    <col min="7178" max="7178" width="1.7109375" style="110" customWidth="1"/>
    <col min="7179" max="7179" width="7" style="110" bestFit="1" customWidth="1"/>
    <col min="7180" max="7180" width="6.28515625" style="110" customWidth="1"/>
    <col min="7181" max="7181" width="20.42578125" style="110" customWidth="1"/>
    <col min="7182" max="7182" width="6.42578125" style="110" bestFit="1" customWidth="1"/>
    <col min="7183" max="7184" width="8.42578125" style="110"/>
    <col min="7185" max="7185" width="3.28515625" style="110" customWidth="1"/>
    <col min="7186" max="7424" width="8.42578125" style="110"/>
    <col min="7425" max="7425" width="10" style="110" bestFit="1" customWidth="1"/>
    <col min="7426" max="7426" width="44.28515625" style="110" bestFit="1" customWidth="1"/>
    <col min="7427" max="7427" width="10.42578125" style="110" bestFit="1" customWidth="1"/>
    <col min="7428" max="7428" width="10.42578125" style="110" customWidth="1"/>
    <col min="7429" max="7429" width="9.7109375" style="110" bestFit="1" customWidth="1"/>
    <col min="7430" max="7431" width="9.5703125" style="110" bestFit="1" customWidth="1"/>
    <col min="7432" max="7432" width="10.42578125" style="110" bestFit="1" customWidth="1"/>
    <col min="7433" max="7433" width="4.5703125" style="110" customWidth="1"/>
    <col min="7434" max="7434" width="1.7109375" style="110" customWidth="1"/>
    <col min="7435" max="7435" width="7" style="110" bestFit="1" customWidth="1"/>
    <col min="7436" max="7436" width="6.28515625" style="110" customWidth="1"/>
    <col min="7437" max="7437" width="20.42578125" style="110" customWidth="1"/>
    <col min="7438" max="7438" width="6.42578125" style="110" bestFit="1" customWidth="1"/>
    <col min="7439" max="7440" width="8.42578125" style="110"/>
    <col min="7441" max="7441" width="3.28515625" style="110" customWidth="1"/>
    <col min="7442" max="7680" width="8.42578125" style="110"/>
    <col min="7681" max="7681" width="10" style="110" bestFit="1" customWidth="1"/>
    <col min="7682" max="7682" width="44.28515625" style="110" bestFit="1" customWidth="1"/>
    <col min="7683" max="7683" width="10.42578125" style="110" bestFit="1" customWidth="1"/>
    <col min="7684" max="7684" width="10.42578125" style="110" customWidth="1"/>
    <col min="7685" max="7685" width="9.7109375" style="110" bestFit="1" customWidth="1"/>
    <col min="7686" max="7687" width="9.5703125" style="110" bestFit="1" customWidth="1"/>
    <col min="7688" max="7688" width="10.42578125" style="110" bestFit="1" customWidth="1"/>
    <col min="7689" max="7689" width="4.5703125" style="110" customWidth="1"/>
    <col min="7690" max="7690" width="1.7109375" style="110" customWidth="1"/>
    <col min="7691" max="7691" width="7" style="110" bestFit="1" customWidth="1"/>
    <col min="7692" max="7692" width="6.28515625" style="110" customWidth="1"/>
    <col min="7693" max="7693" width="20.42578125" style="110" customWidth="1"/>
    <col min="7694" max="7694" width="6.42578125" style="110" bestFit="1" customWidth="1"/>
    <col min="7695" max="7696" width="8.42578125" style="110"/>
    <col min="7697" max="7697" width="3.28515625" style="110" customWidth="1"/>
    <col min="7698" max="7936" width="8.42578125" style="110"/>
    <col min="7937" max="7937" width="10" style="110" bestFit="1" customWidth="1"/>
    <col min="7938" max="7938" width="44.28515625" style="110" bestFit="1" customWidth="1"/>
    <col min="7939" max="7939" width="10.42578125" style="110" bestFit="1" customWidth="1"/>
    <col min="7940" max="7940" width="10.42578125" style="110" customWidth="1"/>
    <col min="7941" max="7941" width="9.7109375" style="110" bestFit="1" customWidth="1"/>
    <col min="7942" max="7943" width="9.5703125" style="110" bestFit="1" customWidth="1"/>
    <col min="7944" max="7944" width="10.42578125" style="110" bestFit="1" customWidth="1"/>
    <col min="7945" max="7945" width="4.5703125" style="110" customWidth="1"/>
    <col min="7946" max="7946" width="1.7109375" style="110" customWidth="1"/>
    <col min="7947" max="7947" width="7" style="110" bestFit="1" customWidth="1"/>
    <col min="7948" max="7948" width="6.28515625" style="110" customWidth="1"/>
    <col min="7949" max="7949" width="20.42578125" style="110" customWidth="1"/>
    <col min="7950" max="7950" width="6.42578125" style="110" bestFit="1" customWidth="1"/>
    <col min="7951" max="7952" width="8.42578125" style="110"/>
    <col min="7953" max="7953" width="3.28515625" style="110" customWidth="1"/>
    <col min="7954" max="8192" width="8.42578125" style="110"/>
    <col min="8193" max="8193" width="10" style="110" bestFit="1" customWidth="1"/>
    <col min="8194" max="8194" width="44.28515625" style="110" bestFit="1" customWidth="1"/>
    <col min="8195" max="8195" width="10.42578125" style="110" bestFit="1" customWidth="1"/>
    <col min="8196" max="8196" width="10.42578125" style="110" customWidth="1"/>
    <col min="8197" max="8197" width="9.7109375" style="110" bestFit="1" customWidth="1"/>
    <col min="8198" max="8199" width="9.5703125" style="110" bestFit="1" customWidth="1"/>
    <col min="8200" max="8200" width="10.42578125" style="110" bestFit="1" customWidth="1"/>
    <col min="8201" max="8201" width="4.5703125" style="110" customWidth="1"/>
    <col min="8202" max="8202" width="1.7109375" style="110" customWidth="1"/>
    <col min="8203" max="8203" width="7" style="110" bestFit="1" customWidth="1"/>
    <col min="8204" max="8204" width="6.28515625" style="110" customWidth="1"/>
    <col min="8205" max="8205" width="20.42578125" style="110" customWidth="1"/>
    <col min="8206" max="8206" width="6.42578125" style="110" bestFit="1" customWidth="1"/>
    <col min="8207" max="8208" width="8.42578125" style="110"/>
    <col min="8209" max="8209" width="3.28515625" style="110" customWidth="1"/>
    <col min="8210" max="8448" width="8.42578125" style="110"/>
    <col min="8449" max="8449" width="10" style="110" bestFit="1" customWidth="1"/>
    <col min="8450" max="8450" width="44.28515625" style="110" bestFit="1" customWidth="1"/>
    <col min="8451" max="8451" width="10.42578125" style="110" bestFit="1" customWidth="1"/>
    <col min="8452" max="8452" width="10.42578125" style="110" customWidth="1"/>
    <col min="8453" max="8453" width="9.7109375" style="110" bestFit="1" customWidth="1"/>
    <col min="8454" max="8455" width="9.5703125" style="110" bestFit="1" customWidth="1"/>
    <col min="8456" max="8456" width="10.42578125" style="110" bestFit="1" customWidth="1"/>
    <col min="8457" max="8457" width="4.5703125" style="110" customWidth="1"/>
    <col min="8458" max="8458" width="1.7109375" style="110" customWidth="1"/>
    <col min="8459" max="8459" width="7" style="110" bestFit="1" customWidth="1"/>
    <col min="8460" max="8460" width="6.28515625" style="110" customWidth="1"/>
    <col min="8461" max="8461" width="20.42578125" style="110" customWidth="1"/>
    <col min="8462" max="8462" width="6.42578125" style="110" bestFit="1" customWidth="1"/>
    <col min="8463" max="8464" width="8.42578125" style="110"/>
    <col min="8465" max="8465" width="3.28515625" style="110" customWidth="1"/>
    <col min="8466" max="8704" width="8.42578125" style="110"/>
    <col min="8705" max="8705" width="10" style="110" bestFit="1" customWidth="1"/>
    <col min="8706" max="8706" width="44.28515625" style="110" bestFit="1" customWidth="1"/>
    <col min="8707" max="8707" width="10.42578125" style="110" bestFit="1" customWidth="1"/>
    <col min="8708" max="8708" width="10.42578125" style="110" customWidth="1"/>
    <col min="8709" max="8709" width="9.7109375" style="110" bestFit="1" customWidth="1"/>
    <col min="8710" max="8711" width="9.5703125" style="110" bestFit="1" customWidth="1"/>
    <col min="8712" max="8712" width="10.42578125" style="110" bestFit="1" customWidth="1"/>
    <col min="8713" max="8713" width="4.5703125" style="110" customWidth="1"/>
    <col min="8714" max="8714" width="1.7109375" style="110" customWidth="1"/>
    <col min="8715" max="8715" width="7" style="110" bestFit="1" customWidth="1"/>
    <col min="8716" max="8716" width="6.28515625" style="110" customWidth="1"/>
    <col min="8717" max="8717" width="20.42578125" style="110" customWidth="1"/>
    <col min="8718" max="8718" width="6.42578125" style="110" bestFit="1" customWidth="1"/>
    <col min="8719" max="8720" width="8.42578125" style="110"/>
    <col min="8721" max="8721" width="3.28515625" style="110" customWidth="1"/>
    <col min="8722" max="8960" width="8.42578125" style="110"/>
    <col min="8961" max="8961" width="10" style="110" bestFit="1" customWidth="1"/>
    <col min="8962" max="8962" width="44.28515625" style="110" bestFit="1" customWidth="1"/>
    <col min="8963" max="8963" width="10.42578125" style="110" bestFit="1" customWidth="1"/>
    <col min="8964" max="8964" width="10.42578125" style="110" customWidth="1"/>
    <col min="8965" max="8965" width="9.7109375" style="110" bestFit="1" customWidth="1"/>
    <col min="8966" max="8967" width="9.5703125" style="110" bestFit="1" customWidth="1"/>
    <col min="8968" max="8968" width="10.42578125" style="110" bestFit="1" customWidth="1"/>
    <col min="8969" max="8969" width="4.5703125" style="110" customWidth="1"/>
    <col min="8970" max="8970" width="1.7109375" style="110" customWidth="1"/>
    <col min="8971" max="8971" width="7" style="110" bestFit="1" customWidth="1"/>
    <col min="8972" max="8972" width="6.28515625" style="110" customWidth="1"/>
    <col min="8973" max="8973" width="20.42578125" style="110" customWidth="1"/>
    <col min="8974" max="8974" width="6.42578125" style="110" bestFit="1" customWidth="1"/>
    <col min="8975" max="8976" width="8.42578125" style="110"/>
    <col min="8977" max="8977" width="3.28515625" style="110" customWidth="1"/>
    <col min="8978" max="9216" width="8.42578125" style="110"/>
    <col min="9217" max="9217" width="10" style="110" bestFit="1" customWidth="1"/>
    <col min="9218" max="9218" width="44.28515625" style="110" bestFit="1" customWidth="1"/>
    <col min="9219" max="9219" width="10.42578125" style="110" bestFit="1" customWidth="1"/>
    <col min="9220" max="9220" width="10.42578125" style="110" customWidth="1"/>
    <col min="9221" max="9221" width="9.7109375" style="110" bestFit="1" customWidth="1"/>
    <col min="9222" max="9223" width="9.5703125" style="110" bestFit="1" customWidth="1"/>
    <col min="9224" max="9224" width="10.42578125" style="110" bestFit="1" customWidth="1"/>
    <col min="9225" max="9225" width="4.5703125" style="110" customWidth="1"/>
    <col min="9226" max="9226" width="1.7109375" style="110" customWidth="1"/>
    <col min="9227" max="9227" width="7" style="110" bestFit="1" customWidth="1"/>
    <col min="9228" max="9228" width="6.28515625" style="110" customWidth="1"/>
    <col min="9229" max="9229" width="20.42578125" style="110" customWidth="1"/>
    <col min="9230" max="9230" width="6.42578125" style="110" bestFit="1" customWidth="1"/>
    <col min="9231" max="9232" width="8.42578125" style="110"/>
    <col min="9233" max="9233" width="3.28515625" style="110" customWidth="1"/>
    <col min="9234" max="9472" width="8.42578125" style="110"/>
    <col min="9473" max="9473" width="10" style="110" bestFit="1" customWidth="1"/>
    <col min="9474" max="9474" width="44.28515625" style="110" bestFit="1" customWidth="1"/>
    <col min="9475" max="9475" width="10.42578125" style="110" bestFit="1" customWidth="1"/>
    <col min="9476" max="9476" width="10.42578125" style="110" customWidth="1"/>
    <col min="9477" max="9477" width="9.7109375" style="110" bestFit="1" customWidth="1"/>
    <col min="9478" max="9479" width="9.5703125" style="110" bestFit="1" customWidth="1"/>
    <col min="9480" max="9480" width="10.42578125" style="110" bestFit="1" customWidth="1"/>
    <col min="9481" max="9481" width="4.5703125" style="110" customWidth="1"/>
    <col min="9482" max="9482" width="1.7109375" style="110" customWidth="1"/>
    <col min="9483" max="9483" width="7" style="110" bestFit="1" customWidth="1"/>
    <col min="9484" max="9484" width="6.28515625" style="110" customWidth="1"/>
    <col min="9485" max="9485" width="20.42578125" style="110" customWidth="1"/>
    <col min="9486" max="9486" width="6.42578125" style="110" bestFit="1" customWidth="1"/>
    <col min="9487" max="9488" width="8.42578125" style="110"/>
    <col min="9489" max="9489" width="3.28515625" style="110" customWidth="1"/>
    <col min="9490" max="9728" width="8.42578125" style="110"/>
    <col min="9729" max="9729" width="10" style="110" bestFit="1" customWidth="1"/>
    <col min="9730" max="9730" width="44.28515625" style="110" bestFit="1" customWidth="1"/>
    <col min="9731" max="9731" width="10.42578125" style="110" bestFit="1" customWidth="1"/>
    <col min="9732" max="9732" width="10.42578125" style="110" customWidth="1"/>
    <col min="9733" max="9733" width="9.7109375" style="110" bestFit="1" customWidth="1"/>
    <col min="9734" max="9735" width="9.5703125" style="110" bestFit="1" customWidth="1"/>
    <col min="9736" max="9736" width="10.42578125" style="110" bestFit="1" customWidth="1"/>
    <col min="9737" max="9737" width="4.5703125" style="110" customWidth="1"/>
    <col min="9738" max="9738" width="1.7109375" style="110" customWidth="1"/>
    <col min="9739" max="9739" width="7" style="110" bestFit="1" customWidth="1"/>
    <col min="9740" max="9740" width="6.28515625" style="110" customWidth="1"/>
    <col min="9741" max="9741" width="20.42578125" style="110" customWidth="1"/>
    <col min="9742" max="9742" width="6.42578125" style="110" bestFit="1" customWidth="1"/>
    <col min="9743" max="9744" width="8.42578125" style="110"/>
    <col min="9745" max="9745" width="3.28515625" style="110" customWidth="1"/>
    <col min="9746" max="9984" width="8.42578125" style="110"/>
    <col min="9985" max="9985" width="10" style="110" bestFit="1" customWidth="1"/>
    <col min="9986" max="9986" width="44.28515625" style="110" bestFit="1" customWidth="1"/>
    <col min="9987" max="9987" width="10.42578125" style="110" bestFit="1" customWidth="1"/>
    <col min="9988" max="9988" width="10.42578125" style="110" customWidth="1"/>
    <col min="9989" max="9989" width="9.7109375" style="110" bestFit="1" customWidth="1"/>
    <col min="9990" max="9991" width="9.5703125" style="110" bestFit="1" customWidth="1"/>
    <col min="9992" max="9992" width="10.42578125" style="110" bestFit="1" customWidth="1"/>
    <col min="9993" max="9993" width="4.5703125" style="110" customWidth="1"/>
    <col min="9994" max="9994" width="1.7109375" style="110" customWidth="1"/>
    <col min="9995" max="9995" width="7" style="110" bestFit="1" customWidth="1"/>
    <col min="9996" max="9996" width="6.28515625" style="110" customWidth="1"/>
    <col min="9997" max="9997" width="20.42578125" style="110" customWidth="1"/>
    <col min="9998" max="9998" width="6.42578125" style="110" bestFit="1" customWidth="1"/>
    <col min="9999" max="10000" width="8.42578125" style="110"/>
    <col min="10001" max="10001" width="3.28515625" style="110" customWidth="1"/>
    <col min="10002" max="10240" width="8.42578125" style="110"/>
    <col min="10241" max="10241" width="10" style="110" bestFit="1" customWidth="1"/>
    <col min="10242" max="10242" width="44.28515625" style="110" bestFit="1" customWidth="1"/>
    <col min="10243" max="10243" width="10.42578125" style="110" bestFit="1" customWidth="1"/>
    <col min="10244" max="10244" width="10.42578125" style="110" customWidth="1"/>
    <col min="10245" max="10245" width="9.7109375" style="110" bestFit="1" customWidth="1"/>
    <col min="10246" max="10247" width="9.5703125" style="110" bestFit="1" customWidth="1"/>
    <col min="10248" max="10248" width="10.42578125" style="110" bestFit="1" customWidth="1"/>
    <col min="10249" max="10249" width="4.5703125" style="110" customWidth="1"/>
    <col min="10250" max="10250" width="1.7109375" style="110" customWidth="1"/>
    <col min="10251" max="10251" width="7" style="110" bestFit="1" customWidth="1"/>
    <col min="10252" max="10252" width="6.28515625" style="110" customWidth="1"/>
    <col min="10253" max="10253" width="20.42578125" style="110" customWidth="1"/>
    <col min="10254" max="10254" width="6.42578125" style="110" bestFit="1" customWidth="1"/>
    <col min="10255" max="10256" width="8.42578125" style="110"/>
    <col min="10257" max="10257" width="3.28515625" style="110" customWidth="1"/>
    <col min="10258" max="10496" width="8.42578125" style="110"/>
    <col min="10497" max="10497" width="10" style="110" bestFit="1" customWidth="1"/>
    <col min="10498" max="10498" width="44.28515625" style="110" bestFit="1" customWidth="1"/>
    <col min="10499" max="10499" width="10.42578125" style="110" bestFit="1" customWidth="1"/>
    <col min="10500" max="10500" width="10.42578125" style="110" customWidth="1"/>
    <col min="10501" max="10501" width="9.7109375" style="110" bestFit="1" customWidth="1"/>
    <col min="10502" max="10503" width="9.5703125" style="110" bestFit="1" customWidth="1"/>
    <col min="10504" max="10504" width="10.42578125" style="110" bestFit="1" customWidth="1"/>
    <col min="10505" max="10505" width="4.5703125" style="110" customWidth="1"/>
    <col min="10506" max="10506" width="1.7109375" style="110" customWidth="1"/>
    <col min="10507" max="10507" width="7" style="110" bestFit="1" customWidth="1"/>
    <col min="10508" max="10508" width="6.28515625" style="110" customWidth="1"/>
    <col min="10509" max="10509" width="20.42578125" style="110" customWidth="1"/>
    <col min="10510" max="10510" width="6.42578125" style="110" bestFit="1" customWidth="1"/>
    <col min="10511" max="10512" width="8.42578125" style="110"/>
    <col min="10513" max="10513" width="3.28515625" style="110" customWidth="1"/>
    <col min="10514" max="10752" width="8.42578125" style="110"/>
    <col min="10753" max="10753" width="10" style="110" bestFit="1" customWidth="1"/>
    <col min="10754" max="10754" width="44.28515625" style="110" bestFit="1" customWidth="1"/>
    <col min="10755" max="10755" width="10.42578125" style="110" bestFit="1" customWidth="1"/>
    <col min="10756" max="10756" width="10.42578125" style="110" customWidth="1"/>
    <col min="10757" max="10757" width="9.7109375" style="110" bestFit="1" customWidth="1"/>
    <col min="10758" max="10759" width="9.5703125" style="110" bestFit="1" customWidth="1"/>
    <col min="10760" max="10760" width="10.42578125" style="110" bestFit="1" customWidth="1"/>
    <col min="10761" max="10761" width="4.5703125" style="110" customWidth="1"/>
    <col min="10762" max="10762" width="1.7109375" style="110" customWidth="1"/>
    <col min="10763" max="10763" width="7" style="110" bestFit="1" customWidth="1"/>
    <col min="10764" max="10764" width="6.28515625" style="110" customWidth="1"/>
    <col min="10765" max="10765" width="20.42578125" style="110" customWidth="1"/>
    <col min="10766" max="10766" width="6.42578125" style="110" bestFit="1" customWidth="1"/>
    <col min="10767" max="10768" width="8.42578125" style="110"/>
    <col min="10769" max="10769" width="3.28515625" style="110" customWidth="1"/>
    <col min="10770" max="11008" width="8.42578125" style="110"/>
    <col min="11009" max="11009" width="10" style="110" bestFit="1" customWidth="1"/>
    <col min="11010" max="11010" width="44.28515625" style="110" bestFit="1" customWidth="1"/>
    <col min="11011" max="11011" width="10.42578125" style="110" bestFit="1" customWidth="1"/>
    <col min="11012" max="11012" width="10.42578125" style="110" customWidth="1"/>
    <col min="11013" max="11013" width="9.7109375" style="110" bestFit="1" customWidth="1"/>
    <col min="11014" max="11015" width="9.5703125" style="110" bestFit="1" customWidth="1"/>
    <col min="11016" max="11016" width="10.42578125" style="110" bestFit="1" customWidth="1"/>
    <col min="11017" max="11017" width="4.5703125" style="110" customWidth="1"/>
    <col min="11018" max="11018" width="1.7109375" style="110" customWidth="1"/>
    <col min="11019" max="11019" width="7" style="110" bestFit="1" customWidth="1"/>
    <col min="11020" max="11020" width="6.28515625" style="110" customWidth="1"/>
    <col min="11021" max="11021" width="20.42578125" style="110" customWidth="1"/>
    <col min="11022" max="11022" width="6.42578125" style="110" bestFit="1" customWidth="1"/>
    <col min="11023" max="11024" width="8.42578125" style="110"/>
    <col min="11025" max="11025" width="3.28515625" style="110" customWidth="1"/>
    <col min="11026" max="11264" width="8.42578125" style="110"/>
    <col min="11265" max="11265" width="10" style="110" bestFit="1" customWidth="1"/>
    <col min="11266" max="11266" width="44.28515625" style="110" bestFit="1" customWidth="1"/>
    <col min="11267" max="11267" width="10.42578125" style="110" bestFit="1" customWidth="1"/>
    <col min="11268" max="11268" width="10.42578125" style="110" customWidth="1"/>
    <col min="11269" max="11269" width="9.7109375" style="110" bestFit="1" customWidth="1"/>
    <col min="11270" max="11271" width="9.5703125" style="110" bestFit="1" customWidth="1"/>
    <col min="11272" max="11272" width="10.42578125" style="110" bestFit="1" customWidth="1"/>
    <col min="11273" max="11273" width="4.5703125" style="110" customWidth="1"/>
    <col min="11274" max="11274" width="1.7109375" style="110" customWidth="1"/>
    <col min="11275" max="11275" width="7" style="110" bestFit="1" customWidth="1"/>
    <col min="11276" max="11276" width="6.28515625" style="110" customWidth="1"/>
    <col min="11277" max="11277" width="20.42578125" style="110" customWidth="1"/>
    <col min="11278" max="11278" width="6.42578125" style="110" bestFit="1" customWidth="1"/>
    <col min="11279" max="11280" width="8.42578125" style="110"/>
    <col min="11281" max="11281" width="3.28515625" style="110" customWidth="1"/>
    <col min="11282" max="11520" width="8.42578125" style="110"/>
    <col min="11521" max="11521" width="10" style="110" bestFit="1" customWidth="1"/>
    <col min="11522" max="11522" width="44.28515625" style="110" bestFit="1" customWidth="1"/>
    <col min="11523" max="11523" width="10.42578125" style="110" bestFit="1" customWidth="1"/>
    <col min="11524" max="11524" width="10.42578125" style="110" customWidth="1"/>
    <col min="11525" max="11525" width="9.7109375" style="110" bestFit="1" customWidth="1"/>
    <col min="11526" max="11527" width="9.5703125" style="110" bestFit="1" customWidth="1"/>
    <col min="11528" max="11528" width="10.42578125" style="110" bestFit="1" customWidth="1"/>
    <col min="11529" max="11529" width="4.5703125" style="110" customWidth="1"/>
    <col min="11530" max="11530" width="1.7109375" style="110" customWidth="1"/>
    <col min="11531" max="11531" width="7" style="110" bestFit="1" customWidth="1"/>
    <col min="11532" max="11532" width="6.28515625" style="110" customWidth="1"/>
    <col min="11533" max="11533" width="20.42578125" style="110" customWidth="1"/>
    <col min="11534" max="11534" width="6.42578125" style="110" bestFit="1" customWidth="1"/>
    <col min="11535" max="11536" width="8.42578125" style="110"/>
    <col min="11537" max="11537" width="3.28515625" style="110" customWidth="1"/>
    <col min="11538" max="11776" width="8.42578125" style="110"/>
    <col min="11777" max="11777" width="10" style="110" bestFit="1" customWidth="1"/>
    <col min="11778" max="11778" width="44.28515625" style="110" bestFit="1" customWidth="1"/>
    <col min="11779" max="11779" width="10.42578125" style="110" bestFit="1" customWidth="1"/>
    <col min="11780" max="11780" width="10.42578125" style="110" customWidth="1"/>
    <col min="11781" max="11781" width="9.7109375" style="110" bestFit="1" customWidth="1"/>
    <col min="11782" max="11783" width="9.5703125" style="110" bestFit="1" customWidth="1"/>
    <col min="11784" max="11784" width="10.42578125" style="110" bestFit="1" customWidth="1"/>
    <col min="11785" max="11785" width="4.5703125" style="110" customWidth="1"/>
    <col min="11786" max="11786" width="1.7109375" style="110" customWidth="1"/>
    <col min="11787" max="11787" width="7" style="110" bestFit="1" customWidth="1"/>
    <col min="11788" max="11788" width="6.28515625" style="110" customWidth="1"/>
    <col min="11789" max="11789" width="20.42578125" style="110" customWidth="1"/>
    <col min="11790" max="11790" width="6.42578125" style="110" bestFit="1" customWidth="1"/>
    <col min="11791" max="11792" width="8.42578125" style="110"/>
    <col min="11793" max="11793" width="3.28515625" style="110" customWidth="1"/>
    <col min="11794" max="12032" width="8.42578125" style="110"/>
    <col min="12033" max="12033" width="10" style="110" bestFit="1" customWidth="1"/>
    <col min="12034" max="12034" width="44.28515625" style="110" bestFit="1" customWidth="1"/>
    <col min="12035" max="12035" width="10.42578125" style="110" bestFit="1" customWidth="1"/>
    <col min="12036" max="12036" width="10.42578125" style="110" customWidth="1"/>
    <col min="12037" max="12037" width="9.7109375" style="110" bestFit="1" customWidth="1"/>
    <col min="12038" max="12039" width="9.5703125" style="110" bestFit="1" customWidth="1"/>
    <col min="12040" max="12040" width="10.42578125" style="110" bestFit="1" customWidth="1"/>
    <col min="12041" max="12041" width="4.5703125" style="110" customWidth="1"/>
    <col min="12042" max="12042" width="1.7109375" style="110" customWidth="1"/>
    <col min="12043" max="12043" width="7" style="110" bestFit="1" customWidth="1"/>
    <col min="12044" max="12044" width="6.28515625" style="110" customWidth="1"/>
    <col min="12045" max="12045" width="20.42578125" style="110" customWidth="1"/>
    <col min="12046" max="12046" width="6.42578125" style="110" bestFit="1" customWidth="1"/>
    <col min="12047" max="12048" width="8.42578125" style="110"/>
    <col min="12049" max="12049" width="3.28515625" style="110" customWidth="1"/>
    <col min="12050" max="12288" width="8.42578125" style="110"/>
    <col min="12289" max="12289" width="10" style="110" bestFit="1" customWidth="1"/>
    <col min="12290" max="12290" width="44.28515625" style="110" bestFit="1" customWidth="1"/>
    <col min="12291" max="12291" width="10.42578125" style="110" bestFit="1" customWidth="1"/>
    <col min="12292" max="12292" width="10.42578125" style="110" customWidth="1"/>
    <col min="12293" max="12293" width="9.7109375" style="110" bestFit="1" customWidth="1"/>
    <col min="12294" max="12295" width="9.5703125" style="110" bestFit="1" customWidth="1"/>
    <col min="12296" max="12296" width="10.42578125" style="110" bestFit="1" customWidth="1"/>
    <col min="12297" max="12297" width="4.5703125" style="110" customWidth="1"/>
    <col min="12298" max="12298" width="1.7109375" style="110" customWidth="1"/>
    <col min="12299" max="12299" width="7" style="110" bestFit="1" customWidth="1"/>
    <col min="12300" max="12300" width="6.28515625" style="110" customWidth="1"/>
    <col min="12301" max="12301" width="20.42578125" style="110" customWidth="1"/>
    <col min="12302" max="12302" width="6.42578125" style="110" bestFit="1" customWidth="1"/>
    <col min="12303" max="12304" width="8.42578125" style="110"/>
    <col min="12305" max="12305" width="3.28515625" style="110" customWidth="1"/>
    <col min="12306" max="12544" width="8.42578125" style="110"/>
    <col min="12545" max="12545" width="10" style="110" bestFit="1" customWidth="1"/>
    <col min="12546" max="12546" width="44.28515625" style="110" bestFit="1" customWidth="1"/>
    <col min="12547" max="12547" width="10.42578125" style="110" bestFit="1" customWidth="1"/>
    <col min="12548" max="12548" width="10.42578125" style="110" customWidth="1"/>
    <col min="12549" max="12549" width="9.7109375" style="110" bestFit="1" customWidth="1"/>
    <col min="12550" max="12551" width="9.5703125" style="110" bestFit="1" customWidth="1"/>
    <col min="12552" max="12552" width="10.42578125" style="110" bestFit="1" customWidth="1"/>
    <col min="12553" max="12553" width="4.5703125" style="110" customWidth="1"/>
    <col min="12554" max="12554" width="1.7109375" style="110" customWidth="1"/>
    <col min="12555" max="12555" width="7" style="110" bestFit="1" customWidth="1"/>
    <col min="12556" max="12556" width="6.28515625" style="110" customWidth="1"/>
    <col min="12557" max="12557" width="20.42578125" style="110" customWidth="1"/>
    <col min="12558" max="12558" width="6.42578125" style="110" bestFit="1" customWidth="1"/>
    <col min="12559" max="12560" width="8.42578125" style="110"/>
    <col min="12561" max="12561" width="3.28515625" style="110" customWidth="1"/>
    <col min="12562" max="12800" width="8.42578125" style="110"/>
    <col min="12801" max="12801" width="10" style="110" bestFit="1" customWidth="1"/>
    <col min="12802" max="12802" width="44.28515625" style="110" bestFit="1" customWidth="1"/>
    <col min="12803" max="12803" width="10.42578125" style="110" bestFit="1" customWidth="1"/>
    <col min="12804" max="12804" width="10.42578125" style="110" customWidth="1"/>
    <col min="12805" max="12805" width="9.7109375" style="110" bestFit="1" customWidth="1"/>
    <col min="12806" max="12807" width="9.5703125" style="110" bestFit="1" customWidth="1"/>
    <col min="12808" max="12808" width="10.42578125" style="110" bestFit="1" customWidth="1"/>
    <col min="12809" max="12809" width="4.5703125" style="110" customWidth="1"/>
    <col min="12810" max="12810" width="1.7109375" style="110" customWidth="1"/>
    <col min="12811" max="12811" width="7" style="110" bestFit="1" customWidth="1"/>
    <col min="12812" max="12812" width="6.28515625" style="110" customWidth="1"/>
    <col min="12813" max="12813" width="20.42578125" style="110" customWidth="1"/>
    <col min="12814" max="12814" width="6.42578125" style="110" bestFit="1" customWidth="1"/>
    <col min="12815" max="12816" width="8.42578125" style="110"/>
    <col min="12817" max="12817" width="3.28515625" style="110" customWidth="1"/>
    <col min="12818" max="13056" width="8.42578125" style="110"/>
    <col min="13057" max="13057" width="10" style="110" bestFit="1" customWidth="1"/>
    <col min="13058" max="13058" width="44.28515625" style="110" bestFit="1" customWidth="1"/>
    <col min="13059" max="13059" width="10.42578125" style="110" bestFit="1" customWidth="1"/>
    <col min="13060" max="13060" width="10.42578125" style="110" customWidth="1"/>
    <col min="13061" max="13061" width="9.7109375" style="110" bestFit="1" customWidth="1"/>
    <col min="13062" max="13063" width="9.5703125" style="110" bestFit="1" customWidth="1"/>
    <col min="13064" max="13064" width="10.42578125" style="110" bestFit="1" customWidth="1"/>
    <col min="13065" max="13065" width="4.5703125" style="110" customWidth="1"/>
    <col min="13066" max="13066" width="1.7109375" style="110" customWidth="1"/>
    <col min="13067" max="13067" width="7" style="110" bestFit="1" customWidth="1"/>
    <col min="13068" max="13068" width="6.28515625" style="110" customWidth="1"/>
    <col min="13069" max="13069" width="20.42578125" style="110" customWidth="1"/>
    <col min="13070" max="13070" width="6.42578125" style="110" bestFit="1" customWidth="1"/>
    <col min="13071" max="13072" width="8.42578125" style="110"/>
    <col min="13073" max="13073" width="3.28515625" style="110" customWidth="1"/>
    <col min="13074" max="13312" width="8.42578125" style="110"/>
    <col min="13313" max="13313" width="10" style="110" bestFit="1" customWidth="1"/>
    <col min="13314" max="13314" width="44.28515625" style="110" bestFit="1" customWidth="1"/>
    <col min="13315" max="13315" width="10.42578125" style="110" bestFit="1" customWidth="1"/>
    <col min="13316" max="13316" width="10.42578125" style="110" customWidth="1"/>
    <col min="13317" max="13317" width="9.7109375" style="110" bestFit="1" customWidth="1"/>
    <col min="13318" max="13319" width="9.5703125" style="110" bestFit="1" customWidth="1"/>
    <col min="13320" max="13320" width="10.42578125" style="110" bestFit="1" customWidth="1"/>
    <col min="13321" max="13321" width="4.5703125" style="110" customWidth="1"/>
    <col min="13322" max="13322" width="1.7109375" style="110" customWidth="1"/>
    <col min="13323" max="13323" width="7" style="110" bestFit="1" customWidth="1"/>
    <col min="13324" max="13324" width="6.28515625" style="110" customWidth="1"/>
    <col min="13325" max="13325" width="20.42578125" style="110" customWidth="1"/>
    <col min="13326" max="13326" width="6.42578125" style="110" bestFit="1" customWidth="1"/>
    <col min="13327" max="13328" width="8.42578125" style="110"/>
    <col min="13329" max="13329" width="3.28515625" style="110" customWidth="1"/>
    <col min="13330" max="13568" width="8.42578125" style="110"/>
    <col min="13569" max="13569" width="10" style="110" bestFit="1" customWidth="1"/>
    <col min="13570" max="13570" width="44.28515625" style="110" bestFit="1" customWidth="1"/>
    <col min="13571" max="13571" width="10.42578125" style="110" bestFit="1" customWidth="1"/>
    <col min="13572" max="13572" width="10.42578125" style="110" customWidth="1"/>
    <col min="13573" max="13573" width="9.7109375" style="110" bestFit="1" customWidth="1"/>
    <col min="13574" max="13575" width="9.5703125" style="110" bestFit="1" customWidth="1"/>
    <col min="13576" max="13576" width="10.42578125" style="110" bestFit="1" customWidth="1"/>
    <col min="13577" max="13577" width="4.5703125" style="110" customWidth="1"/>
    <col min="13578" max="13578" width="1.7109375" style="110" customWidth="1"/>
    <col min="13579" max="13579" width="7" style="110" bestFit="1" customWidth="1"/>
    <col min="13580" max="13580" width="6.28515625" style="110" customWidth="1"/>
    <col min="13581" max="13581" width="20.42578125" style="110" customWidth="1"/>
    <col min="13582" max="13582" width="6.42578125" style="110" bestFit="1" customWidth="1"/>
    <col min="13583" max="13584" width="8.42578125" style="110"/>
    <col min="13585" max="13585" width="3.28515625" style="110" customWidth="1"/>
    <col min="13586" max="13824" width="8.42578125" style="110"/>
    <col min="13825" max="13825" width="10" style="110" bestFit="1" customWidth="1"/>
    <col min="13826" max="13826" width="44.28515625" style="110" bestFit="1" customWidth="1"/>
    <col min="13827" max="13827" width="10.42578125" style="110" bestFit="1" customWidth="1"/>
    <col min="13828" max="13828" width="10.42578125" style="110" customWidth="1"/>
    <col min="13829" max="13829" width="9.7109375" style="110" bestFit="1" customWidth="1"/>
    <col min="13830" max="13831" width="9.5703125" style="110" bestFit="1" customWidth="1"/>
    <col min="13832" max="13832" width="10.42578125" style="110" bestFit="1" customWidth="1"/>
    <col min="13833" max="13833" width="4.5703125" style="110" customWidth="1"/>
    <col min="13834" max="13834" width="1.7109375" style="110" customWidth="1"/>
    <col min="13835" max="13835" width="7" style="110" bestFit="1" customWidth="1"/>
    <col min="13836" max="13836" width="6.28515625" style="110" customWidth="1"/>
    <col min="13837" max="13837" width="20.42578125" style="110" customWidth="1"/>
    <col min="13838" max="13838" width="6.42578125" style="110" bestFit="1" customWidth="1"/>
    <col min="13839" max="13840" width="8.42578125" style="110"/>
    <col min="13841" max="13841" width="3.28515625" style="110" customWidth="1"/>
    <col min="13842" max="14080" width="8.42578125" style="110"/>
    <col min="14081" max="14081" width="10" style="110" bestFit="1" customWidth="1"/>
    <col min="14082" max="14082" width="44.28515625" style="110" bestFit="1" customWidth="1"/>
    <col min="14083" max="14083" width="10.42578125" style="110" bestFit="1" customWidth="1"/>
    <col min="14084" max="14084" width="10.42578125" style="110" customWidth="1"/>
    <col min="14085" max="14085" width="9.7109375" style="110" bestFit="1" customWidth="1"/>
    <col min="14086" max="14087" width="9.5703125" style="110" bestFit="1" customWidth="1"/>
    <col min="14088" max="14088" width="10.42578125" style="110" bestFit="1" customWidth="1"/>
    <col min="14089" max="14089" width="4.5703125" style="110" customWidth="1"/>
    <col min="14090" max="14090" width="1.7109375" style="110" customWidth="1"/>
    <col min="14091" max="14091" width="7" style="110" bestFit="1" customWidth="1"/>
    <col min="14092" max="14092" width="6.28515625" style="110" customWidth="1"/>
    <col min="14093" max="14093" width="20.42578125" style="110" customWidth="1"/>
    <col min="14094" max="14094" width="6.42578125" style="110" bestFit="1" customWidth="1"/>
    <col min="14095" max="14096" width="8.42578125" style="110"/>
    <col min="14097" max="14097" width="3.28515625" style="110" customWidth="1"/>
    <col min="14098" max="14336" width="8.42578125" style="110"/>
    <col min="14337" max="14337" width="10" style="110" bestFit="1" customWidth="1"/>
    <col min="14338" max="14338" width="44.28515625" style="110" bestFit="1" customWidth="1"/>
    <col min="14339" max="14339" width="10.42578125" style="110" bestFit="1" customWidth="1"/>
    <col min="14340" max="14340" width="10.42578125" style="110" customWidth="1"/>
    <col min="14341" max="14341" width="9.7109375" style="110" bestFit="1" customWidth="1"/>
    <col min="14342" max="14343" width="9.5703125" style="110" bestFit="1" customWidth="1"/>
    <col min="14344" max="14344" width="10.42578125" style="110" bestFit="1" customWidth="1"/>
    <col min="14345" max="14345" width="4.5703125" style="110" customWidth="1"/>
    <col min="14346" max="14346" width="1.7109375" style="110" customWidth="1"/>
    <col min="14347" max="14347" width="7" style="110" bestFit="1" customWidth="1"/>
    <col min="14348" max="14348" width="6.28515625" style="110" customWidth="1"/>
    <col min="14349" max="14349" width="20.42578125" style="110" customWidth="1"/>
    <col min="14350" max="14350" width="6.42578125" style="110" bestFit="1" customWidth="1"/>
    <col min="14351" max="14352" width="8.42578125" style="110"/>
    <col min="14353" max="14353" width="3.28515625" style="110" customWidth="1"/>
    <col min="14354" max="14592" width="8.42578125" style="110"/>
    <col min="14593" max="14593" width="10" style="110" bestFit="1" customWidth="1"/>
    <col min="14594" max="14594" width="44.28515625" style="110" bestFit="1" customWidth="1"/>
    <col min="14595" max="14595" width="10.42578125" style="110" bestFit="1" customWidth="1"/>
    <col min="14596" max="14596" width="10.42578125" style="110" customWidth="1"/>
    <col min="14597" max="14597" width="9.7109375" style="110" bestFit="1" customWidth="1"/>
    <col min="14598" max="14599" width="9.5703125" style="110" bestFit="1" customWidth="1"/>
    <col min="14600" max="14600" width="10.42578125" style="110" bestFit="1" customWidth="1"/>
    <col min="14601" max="14601" width="4.5703125" style="110" customWidth="1"/>
    <col min="14602" max="14602" width="1.7109375" style="110" customWidth="1"/>
    <col min="14603" max="14603" width="7" style="110" bestFit="1" customWidth="1"/>
    <col min="14604" max="14604" width="6.28515625" style="110" customWidth="1"/>
    <col min="14605" max="14605" width="20.42578125" style="110" customWidth="1"/>
    <col min="14606" max="14606" width="6.42578125" style="110" bestFit="1" customWidth="1"/>
    <col min="14607" max="14608" width="8.42578125" style="110"/>
    <col min="14609" max="14609" width="3.28515625" style="110" customWidth="1"/>
    <col min="14610" max="14848" width="8.42578125" style="110"/>
    <col min="14849" max="14849" width="10" style="110" bestFit="1" customWidth="1"/>
    <col min="14850" max="14850" width="44.28515625" style="110" bestFit="1" customWidth="1"/>
    <col min="14851" max="14851" width="10.42578125" style="110" bestFit="1" customWidth="1"/>
    <col min="14852" max="14852" width="10.42578125" style="110" customWidth="1"/>
    <col min="14853" max="14853" width="9.7109375" style="110" bestFit="1" customWidth="1"/>
    <col min="14854" max="14855" width="9.5703125" style="110" bestFit="1" customWidth="1"/>
    <col min="14856" max="14856" width="10.42578125" style="110" bestFit="1" customWidth="1"/>
    <col min="14857" max="14857" width="4.5703125" style="110" customWidth="1"/>
    <col min="14858" max="14858" width="1.7109375" style="110" customWidth="1"/>
    <col min="14859" max="14859" width="7" style="110" bestFit="1" customWidth="1"/>
    <col min="14860" max="14860" width="6.28515625" style="110" customWidth="1"/>
    <col min="14861" max="14861" width="20.42578125" style="110" customWidth="1"/>
    <col min="14862" max="14862" width="6.42578125" style="110" bestFit="1" customWidth="1"/>
    <col min="14863" max="14864" width="8.42578125" style="110"/>
    <col min="14865" max="14865" width="3.28515625" style="110" customWidth="1"/>
    <col min="14866" max="15104" width="8.42578125" style="110"/>
    <col min="15105" max="15105" width="10" style="110" bestFit="1" customWidth="1"/>
    <col min="15106" max="15106" width="44.28515625" style="110" bestFit="1" customWidth="1"/>
    <col min="15107" max="15107" width="10.42578125" style="110" bestFit="1" customWidth="1"/>
    <col min="15108" max="15108" width="10.42578125" style="110" customWidth="1"/>
    <col min="15109" max="15109" width="9.7109375" style="110" bestFit="1" customWidth="1"/>
    <col min="15110" max="15111" width="9.5703125" style="110" bestFit="1" customWidth="1"/>
    <col min="15112" max="15112" width="10.42578125" style="110" bestFit="1" customWidth="1"/>
    <col min="15113" max="15113" width="4.5703125" style="110" customWidth="1"/>
    <col min="15114" max="15114" width="1.7109375" style="110" customWidth="1"/>
    <col min="15115" max="15115" width="7" style="110" bestFit="1" customWidth="1"/>
    <col min="15116" max="15116" width="6.28515625" style="110" customWidth="1"/>
    <col min="15117" max="15117" width="20.42578125" style="110" customWidth="1"/>
    <col min="15118" max="15118" width="6.42578125" style="110" bestFit="1" customWidth="1"/>
    <col min="15119" max="15120" width="8.42578125" style="110"/>
    <col min="15121" max="15121" width="3.28515625" style="110" customWidth="1"/>
    <col min="15122" max="15360" width="8.42578125" style="110"/>
    <col min="15361" max="15361" width="10" style="110" bestFit="1" customWidth="1"/>
    <col min="15362" max="15362" width="44.28515625" style="110" bestFit="1" customWidth="1"/>
    <col min="15363" max="15363" width="10.42578125" style="110" bestFit="1" customWidth="1"/>
    <col min="15364" max="15364" width="10.42578125" style="110" customWidth="1"/>
    <col min="15365" max="15365" width="9.7109375" style="110" bestFit="1" customWidth="1"/>
    <col min="15366" max="15367" width="9.5703125" style="110" bestFit="1" customWidth="1"/>
    <col min="15368" max="15368" width="10.42578125" style="110" bestFit="1" customWidth="1"/>
    <col min="15369" max="15369" width="4.5703125" style="110" customWidth="1"/>
    <col min="15370" max="15370" width="1.7109375" style="110" customWidth="1"/>
    <col min="15371" max="15371" width="7" style="110" bestFit="1" customWidth="1"/>
    <col min="15372" max="15372" width="6.28515625" style="110" customWidth="1"/>
    <col min="15373" max="15373" width="20.42578125" style="110" customWidth="1"/>
    <col min="15374" max="15374" width="6.42578125" style="110" bestFit="1" customWidth="1"/>
    <col min="15375" max="15376" width="8.42578125" style="110"/>
    <col min="15377" max="15377" width="3.28515625" style="110" customWidth="1"/>
    <col min="15378" max="15616" width="8.42578125" style="110"/>
    <col min="15617" max="15617" width="10" style="110" bestFit="1" customWidth="1"/>
    <col min="15618" max="15618" width="44.28515625" style="110" bestFit="1" customWidth="1"/>
    <col min="15619" max="15619" width="10.42578125" style="110" bestFit="1" customWidth="1"/>
    <col min="15620" max="15620" width="10.42578125" style="110" customWidth="1"/>
    <col min="15621" max="15621" width="9.7109375" style="110" bestFit="1" customWidth="1"/>
    <col min="15622" max="15623" width="9.5703125" style="110" bestFit="1" customWidth="1"/>
    <col min="15624" max="15624" width="10.42578125" style="110" bestFit="1" customWidth="1"/>
    <col min="15625" max="15625" width="4.5703125" style="110" customWidth="1"/>
    <col min="15626" max="15626" width="1.7109375" style="110" customWidth="1"/>
    <col min="15627" max="15627" width="7" style="110" bestFit="1" customWidth="1"/>
    <col min="15628" max="15628" width="6.28515625" style="110" customWidth="1"/>
    <col min="15629" max="15629" width="20.42578125" style="110" customWidth="1"/>
    <col min="15630" max="15630" width="6.42578125" style="110" bestFit="1" customWidth="1"/>
    <col min="15631" max="15632" width="8.42578125" style="110"/>
    <col min="15633" max="15633" width="3.28515625" style="110" customWidth="1"/>
    <col min="15634" max="15872" width="8.42578125" style="110"/>
    <col min="15873" max="15873" width="10" style="110" bestFit="1" customWidth="1"/>
    <col min="15874" max="15874" width="44.28515625" style="110" bestFit="1" customWidth="1"/>
    <col min="15875" max="15875" width="10.42578125" style="110" bestFit="1" customWidth="1"/>
    <col min="15876" max="15876" width="10.42578125" style="110" customWidth="1"/>
    <col min="15877" max="15877" width="9.7109375" style="110" bestFit="1" customWidth="1"/>
    <col min="15878" max="15879" width="9.5703125" style="110" bestFit="1" customWidth="1"/>
    <col min="15880" max="15880" width="10.42578125" style="110" bestFit="1" customWidth="1"/>
    <col min="15881" max="15881" width="4.5703125" style="110" customWidth="1"/>
    <col min="15882" max="15882" width="1.7109375" style="110" customWidth="1"/>
    <col min="15883" max="15883" width="7" style="110" bestFit="1" customWidth="1"/>
    <col min="15884" max="15884" width="6.28515625" style="110" customWidth="1"/>
    <col min="15885" max="15885" width="20.42578125" style="110" customWidth="1"/>
    <col min="15886" max="15886" width="6.42578125" style="110" bestFit="1" customWidth="1"/>
    <col min="15887" max="15888" width="8.42578125" style="110"/>
    <col min="15889" max="15889" width="3.28515625" style="110" customWidth="1"/>
    <col min="15890" max="16128" width="8.42578125" style="110"/>
    <col min="16129" max="16129" width="10" style="110" bestFit="1" customWidth="1"/>
    <col min="16130" max="16130" width="44.28515625" style="110" bestFit="1" customWidth="1"/>
    <col min="16131" max="16131" width="10.42578125" style="110" bestFit="1" customWidth="1"/>
    <col min="16132" max="16132" width="10.42578125" style="110" customWidth="1"/>
    <col min="16133" max="16133" width="9.7109375" style="110" bestFit="1" customWidth="1"/>
    <col min="16134" max="16135" width="9.5703125" style="110" bestFit="1" customWidth="1"/>
    <col min="16136" max="16136" width="10.42578125" style="110" bestFit="1" customWidth="1"/>
    <col min="16137" max="16137" width="4.5703125" style="110" customWidth="1"/>
    <col min="16138" max="16138" width="1.7109375" style="110" customWidth="1"/>
    <col min="16139" max="16139" width="7" style="110" bestFit="1" customWidth="1"/>
    <col min="16140" max="16140" width="6.28515625" style="110" customWidth="1"/>
    <col min="16141" max="16141" width="20.42578125" style="110" customWidth="1"/>
    <col min="16142" max="16142" width="6.42578125" style="110" bestFit="1" customWidth="1"/>
    <col min="16143" max="16144" width="8.42578125" style="110"/>
    <col min="16145" max="16145" width="3.28515625" style="110" customWidth="1"/>
    <col min="16146" max="16384" width="8.42578125" style="110"/>
  </cols>
  <sheetData>
    <row r="1" spans="1:10" ht="27.75" customHeight="1" x14ac:dyDescent="0.25">
      <c r="A1" s="105"/>
      <c r="B1" s="105"/>
      <c r="C1" s="105"/>
      <c r="D1" s="105"/>
      <c r="E1" s="106" t="s">
        <v>121</v>
      </c>
      <c r="F1" s="107" t="s">
        <v>122</v>
      </c>
      <c r="G1" s="107" t="s">
        <v>123</v>
      </c>
      <c r="H1" s="107" t="s">
        <v>124</v>
      </c>
      <c r="I1" s="108"/>
    </row>
    <row r="2" spans="1:10" ht="30.75" customHeight="1" x14ac:dyDescent="0.25">
      <c r="A2" s="105"/>
      <c r="B2" s="105"/>
      <c r="C2" s="105"/>
      <c r="D2" s="105"/>
      <c r="E2" s="111">
        <f>IFERROR(O62,"")</f>
        <v>348.46000000000004</v>
      </c>
      <c r="F2" s="111">
        <f>IFERROR(H53,"")</f>
        <v>229.46</v>
      </c>
      <c r="G2" s="111">
        <f>IFERROR(H54,"")</f>
        <v>0</v>
      </c>
      <c r="H2" s="111">
        <f>IFERROR(H56,"")</f>
        <v>61</v>
      </c>
      <c r="I2" s="112"/>
    </row>
    <row r="3" spans="1:10" ht="15" customHeight="1" x14ac:dyDescent="0.25">
      <c r="A3" s="105"/>
      <c r="B3" s="105"/>
      <c r="C3" s="105"/>
      <c r="D3" s="105"/>
      <c r="E3" s="105"/>
      <c r="F3" s="113"/>
      <c r="G3" s="113"/>
      <c r="H3" s="113"/>
      <c r="I3" s="113"/>
    </row>
    <row r="4" spans="1:10" ht="24.75" customHeight="1" thickBot="1" x14ac:dyDescent="0.3">
      <c r="A4" s="602"/>
      <c r="B4" s="602"/>
      <c r="C4" s="602"/>
      <c r="D4" s="602"/>
      <c r="E4" s="602"/>
      <c r="F4" s="602"/>
      <c r="G4" s="602"/>
      <c r="H4" s="602"/>
      <c r="I4" s="114"/>
    </row>
    <row r="5" spans="1:10" ht="19.5" customHeight="1" thickBot="1" x14ac:dyDescent="0.3">
      <c r="A5" s="603" t="s">
        <v>125</v>
      </c>
      <c r="B5" s="604"/>
      <c r="C5" s="604"/>
      <c r="D5" s="604"/>
      <c r="E5" s="604"/>
      <c r="F5" s="604"/>
      <c r="G5" s="604"/>
      <c r="H5" s="605"/>
      <c r="I5" s="115"/>
    </row>
    <row r="6" spans="1:10" ht="19.5" thickBot="1" x14ac:dyDescent="0.3">
      <c r="A6" s="115"/>
      <c r="B6" s="115"/>
      <c r="C6" s="115"/>
      <c r="D6" s="115"/>
      <c r="E6" s="115"/>
      <c r="F6" s="606" t="s">
        <v>126</v>
      </c>
      <c r="G6" s="606"/>
      <c r="H6" s="116">
        <f ca="1">TODAY()</f>
        <v>45761</v>
      </c>
      <c r="I6" s="116"/>
    </row>
    <row r="7" spans="1:10" ht="26.25" thickBot="1" x14ac:dyDescent="0.3">
      <c r="A7" s="117" t="s">
        <v>127</v>
      </c>
      <c r="B7" s="118" t="s">
        <v>128</v>
      </c>
      <c r="C7" s="118" t="s">
        <v>127</v>
      </c>
      <c r="D7" s="119" t="s">
        <v>129</v>
      </c>
      <c r="E7" s="119" t="s">
        <v>130</v>
      </c>
      <c r="F7" s="119" t="s">
        <v>131</v>
      </c>
      <c r="G7" s="119" t="s">
        <v>132</v>
      </c>
      <c r="H7" s="120" t="s">
        <v>133</v>
      </c>
      <c r="I7" s="121"/>
    </row>
    <row r="8" spans="1:10" ht="13.5" x14ac:dyDescent="0.25">
      <c r="A8" s="122">
        <v>100</v>
      </c>
      <c r="B8" s="110" t="str">
        <f>IFERROR(VLOOKUP(H8,'[1]Consolidado MP Planta'!$A$2:$M$823,3,0),"")</f>
        <v>CREMA PRESTIGE GRAND (UND:4 K) *</v>
      </c>
      <c r="C8" s="123">
        <f>+A8</f>
        <v>100</v>
      </c>
      <c r="D8" s="124" t="str">
        <f>IFERROR(VLOOKUP(H8,'[1]Consolidado MP Planta'!$A$2:$M$823,13,0),"")</f>
        <v>Gramos</v>
      </c>
      <c r="E8" s="124">
        <v>2.11</v>
      </c>
      <c r="F8" s="124">
        <f>IFERROR(C8*E8,"")</f>
        <v>211</v>
      </c>
      <c r="G8" s="125">
        <f t="shared" ref="G8:G14" si="0">IFERROR(F8/$F$66,"")</f>
        <v>0.71513496732070436</v>
      </c>
      <c r="H8" s="126" t="s">
        <v>39</v>
      </c>
      <c r="I8" s="126"/>
      <c r="J8" s="127"/>
    </row>
    <row r="9" spans="1:10" ht="13.5" x14ac:dyDescent="0.25">
      <c r="A9" s="122">
        <v>1</v>
      </c>
      <c r="B9" s="110" t="str">
        <f>IFERROR(VLOOKUP(H9,'[1]Consolidado MP Planta'!$A$2:$M$823,3,0),"")</f>
        <v>COLORANTE GEL SUPER RED</v>
      </c>
      <c r="C9" s="123">
        <f t="shared" ref="C9:C14" si="1">+A9</f>
        <v>1</v>
      </c>
      <c r="D9" s="124" t="str">
        <f>IFERROR(VLOOKUP(H9,'[1]Consolidado MP Planta'!$A$2:$M$823,13,0),"")</f>
        <v>Mililitros</v>
      </c>
      <c r="E9" s="124">
        <v>18.46</v>
      </c>
      <c r="F9" s="124">
        <f t="shared" ref="F9:F14" si="2">IFERROR(C9*E9,"")</f>
        <v>18.46</v>
      </c>
      <c r="G9" s="125">
        <f t="shared" si="0"/>
        <v>6.2565836477441725E-2</v>
      </c>
      <c r="H9" s="126" t="s">
        <v>44</v>
      </c>
      <c r="I9" s="126"/>
      <c r="J9" s="127"/>
    </row>
    <row r="10" spans="1:10" ht="13.5" hidden="1" x14ac:dyDescent="0.25">
      <c r="A10" s="122"/>
      <c r="B10" s="110" t="str">
        <f>IFERROR(VLOOKUP(H10,'[1]Consolidado MP Planta'!$A$2:$M$823,3,0),"")</f>
        <v/>
      </c>
      <c r="C10" s="123">
        <f t="shared" si="1"/>
        <v>0</v>
      </c>
      <c r="D10" s="124" t="str">
        <f>IFERROR(VLOOKUP(H10,'[1]Consolidado MP Planta'!$A$2:$M$823,13,0),"")</f>
        <v/>
      </c>
      <c r="E10" s="124" t="str">
        <f>IFERROR(VLOOKUP(H10,'[1]Consolidado MP Planta'!$A$2:$M$823,12,0),"")</f>
        <v/>
      </c>
      <c r="F10" s="124" t="str">
        <f t="shared" si="2"/>
        <v/>
      </c>
      <c r="G10" s="125" t="str">
        <f t="shared" si="0"/>
        <v/>
      </c>
      <c r="H10" s="126"/>
      <c r="I10" s="126"/>
      <c r="J10" s="127"/>
    </row>
    <row r="11" spans="1:10" ht="13.5" hidden="1" x14ac:dyDescent="0.25">
      <c r="A11" s="122"/>
      <c r="B11" s="110" t="str">
        <f>IFERROR(VLOOKUP(H11,'[1]Consolidado MP Planta'!$A$2:$M$823,3,0),"")</f>
        <v/>
      </c>
      <c r="C11" s="123">
        <f t="shared" si="1"/>
        <v>0</v>
      </c>
      <c r="D11" s="124" t="str">
        <f>IFERROR(VLOOKUP(H11,'[1]Consolidado MP Planta'!$A$2:$M$823,13,0),"")</f>
        <v/>
      </c>
      <c r="E11" s="124" t="str">
        <f>IFERROR(VLOOKUP(H11,'[1]Consolidado MP Planta'!$A$2:$M$823,12,0),"")</f>
        <v/>
      </c>
      <c r="F11" s="124" t="str">
        <f t="shared" si="2"/>
        <v/>
      </c>
      <c r="G11" s="125" t="str">
        <f t="shared" si="0"/>
        <v/>
      </c>
      <c r="H11" s="126"/>
      <c r="I11" s="126"/>
      <c r="J11" s="127"/>
    </row>
    <row r="12" spans="1:10" ht="13.5" hidden="1" x14ac:dyDescent="0.25">
      <c r="A12" s="122"/>
      <c r="B12" s="110" t="str">
        <f>IFERROR(VLOOKUP(H12,'[1]Consolidado MP Planta'!$A$2:$M$823,3,0),"")</f>
        <v/>
      </c>
      <c r="C12" s="123">
        <f t="shared" si="1"/>
        <v>0</v>
      </c>
      <c r="D12" s="124" t="str">
        <f>IFERROR(VLOOKUP(H12,'[1]Consolidado MP Planta'!$A$2:$M$823,13,0),"")</f>
        <v/>
      </c>
      <c r="E12" s="124" t="str">
        <f>IFERROR(VLOOKUP(H12,'[1]Consolidado MP Planta'!$A$2:$M$823,12,0),"")</f>
        <v/>
      </c>
      <c r="F12" s="124" t="str">
        <f t="shared" si="2"/>
        <v/>
      </c>
      <c r="G12" s="125" t="str">
        <f t="shared" si="0"/>
        <v/>
      </c>
      <c r="H12" s="126"/>
      <c r="I12" s="126"/>
      <c r="J12" s="127"/>
    </row>
    <row r="13" spans="1:10" ht="13.5" hidden="1" x14ac:dyDescent="0.25">
      <c r="A13" s="122"/>
      <c r="B13" s="110" t="str">
        <f>IFERROR(VLOOKUP(H13,'[1]Consolidado MP Planta'!$A$2:$M$823,3,0),"")</f>
        <v/>
      </c>
      <c r="C13" s="123">
        <f t="shared" si="1"/>
        <v>0</v>
      </c>
      <c r="D13" s="124" t="str">
        <f>IFERROR(VLOOKUP(H13,'[1]Consolidado MP Planta'!$A$2:$M$823,13,0),"")</f>
        <v/>
      </c>
      <c r="E13" s="124" t="str">
        <f>IFERROR(VLOOKUP(H13,'[1]Consolidado MP Planta'!$A$2:$M$823,12,0),"")</f>
        <v/>
      </c>
      <c r="F13" s="124" t="str">
        <f t="shared" si="2"/>
        <v/>
      </c>
      <c r="G13" s="125" t="str">
        <f t="shared" si="0"/>
        <v/>
      </c>
      <c r="H13" s="126"/>
      <c r="I13" s="126"/>
      <c r="J13" s="127"/>
    </row>
    <row r="14" spans="1:10" ht="13.5" hidden="1" x14ac:dyDescent="0.25">
      <c r="A14" s="122"/>
      <c r="B14" s="110" t="str">
        <f>IFERROR(VLOOKUP(H14,'[1]Consolidado MP Planta'!$A$2:$M$823,3,0),"")</f>
        <v/>
      </c>
      <c r="C14" s="123">
        <f t="shared" si="1"/>
        <v>0</v>
      </c>
      <c r="D14" s="124" t="str">
        <f>IFERROR(VLOOKUP(H14,'[1]Consolidado MP Planta'!$A$2:$M$823,13,0),"")</f>
        <v/>
      </c>
      <c r="E14" s="124" t="str">
        <f>IFERROR(VLOOKUP(H14,'[1]Consolidado MP Planta'!$A$2:$M$823,12,0),"")</f>
        <v/>
      </c>
      <c r="F14" s="124" t="str">
        <f t="shared" si="2"/>
        <v/>
      </c>
      <c r="G14" s="125" t="str">
        <f t="shared" si="0"/>
        <v/>
      </c>
      <c r="H14" s="126"/>
      <c r="I14" s="126"/>
      <c r="J14" s="127"/>
    </row>
    <row r="15" spans="1:10" ht="14.25" thickBot="1" x14ac:dyDescent="0.3">
      <c r="A15" s="122"/>
      <c r="B15" s="110" t="str">
        <f>IFERROR(VLOOKUP(H15,'[2]ARTICULOS MP PLANTA'!$A$2:$G$589,2,0),"")</f>
        <v/>
      </c>
      <c r="C15" s="123"/>
      <c r="D15" s="124"/>
      <c r="E15" s="124"/>
      <c r="F15" s="124"/>
      <c r="G15" s="125"/>
      <c r="H15" s="126"/>
      <c r="I15" s="126"/>
      <c r="J15" s="127"/>
    </row>
    <row r="16" spans="1:10" ht="26.25" hidden="1" thickBot="1" x14ac:dyDescent="0.3">
      <c r="A16" s="117" t="s">
        <v>127</v>
      </c>
      <c r="B16" s="118" t="s">
        <v>134</v>
      </c>
      <c r="C16" s="118" t="s">
        <v>127</v>
      </c>
      <c r="D16" s="119" t="s">
        <v>129</v>
      </c>
      <c r="E16" s="119" t="s">
        <v>130</v>
      </c>
      <c r="F16" s="119" t="s">
        <v>131</v>
      </c>
      <c r="G16" s="119" t="s">
        <v>132</v>
      </c>
      <c r="H16" s="120" t="s">
        <v>133</v>
      </c>
      <c r="I16" s="121"/>
      <c r="J16" s="127"/>
    </row>
    <row r="17" spans="1:12" ht="13.5" hidden="1" x14ac:dyDescent="0.25">
      <c r="A17" s="122"/>
      <c r="B17" s="110" t="str">
        <f>IFERROR(VLOOKUP(H17,[1]SEMIELABORADOS!$A$2:$M$6000,2,0),"")</f>
        <v/>
      </c>
      <c r="C17" s="123">
        <f>+A17</f>
        <v>0</v>
      </c>
      <c r="D17" s="123" t="str">
        <f>IFERROR(VLOOKUP(H17,[1]SEMIELABORADOS!$A$2:$M$6000,6,0),"")</f>
        <v/>
      </c>
      <c r="E17" s="124" t="str">
        <f>IFERROR(VLOOKUP(H17,[1]SEMIELABORADOS!$A$2:$H$65536,8,0),"")</f>
        <v/>
      </c>
      <c r="F17" s="124" t="str">
        <f>IFERROR(E17*C17,"")</f>
        <v/>
      </c>
      <c r="G17" s="125" t="str">
        <f t="shared" ref="G17:G24" si="3">IFERROR(F17/$F$66,"")</f>
        <v/>
      </c>
      <c r="H17" s="126"/>
      <c r="I17" s="126"/>
      <c r="J17" s="127"/>
    </row>
    <row r="18" spans="1:12" ht="13.5" hidden="1" x14ac:dyDescent="0.25">
      <c r="A18" s="122"/>
      <c r="B18" s="110" t="str">
        <f>IFERROR(VLOOKUP(H18,[1]SEMIELABORADOS!$A$2:$M$6000,2,0),"")</f>
        <v/>
      </c>
      <c r="C18" s="123">
        <f t="shared" ref="C18:C24" si="4">+A18</f>
        <v>0</v>
      </c>
      <c r="D18" s="123" t="str">
        <f>IFERROR(VLOOKUP(H18,[1]SEMIELABORADOS!$A$2:$M$6000,6,0),"")</f>
        <v/>
      </c>
      <c r="E18" s="124" t="str">
        <f>IFERROR(VLOOKUP(H18,[1]SEMIELABORADOS!$A$2:$H$65536,8,0),"")</f>
        <v/>
      </c>
      <c r="F18" s="124" t="str">
        <f t="shared" ref="F18:F24" si="5">IFERROR(E18*C18,"")</f>
        <v/>
      </c>
      <c r="G18" s="125" t="str">
        <f t="shared" si="3"/>
        <v/>
      </c>
      <c r="H18" s="126"/>
      <c r="I18" s="126"/>
      <c r="J18" s="127"/>
    </row>
    <row r="19" spans="1:12" ht="13.5" hidden="1" x14ac:dyDescent="0.25">
      <c r="A19" s="122"/>
      <c r="B19" s="110" t="str">
        <f>IFERROR(VLOOKUP(H19,[1]SEMIELABORADOS!$A$2:$M$6000,2,0),"")</f>
        <v/>
      </c>
      <c r="C19" s="123">
        <f>+A19</f>
        <v>0</v>
      </c>
      <c r="D19" s="123" t="str">
        <f>IFERROR(VLOOKUP(H19,[1]SEMIELABORADOS!$A$2:$M$6000,6,0),"")</f>
        <v/>
      </c>
      <c r="E19" s="124" t="str">
        <f>IFERROR(VLOOKUP(H19,[1]SEMIELABORADOS!$A$2:$H$65536,8,0),"")</f>
        <v/>
      </c>
      <c r="F19" s="124" t="str">
        <f>IFERROR(E19*C19,"")</f>
        <v/>
      </c>
      <c r="G19" s="125" t="str">
        <f t="shared" si="3"/>
        <v/>
      </c>
      <c r="H19" s="126"/>
      <c r="I19" s="126"/>
      <c r="J19" s="127"/>
    </row>
    <row r="20" spans="1:12" ht="13.5" hidden="1" x14ac:dyDescent="0.25">
      <c r="A20" s="122"/>
      <c r="B20" s="110" t="str">
        <f>IFERROR(VLOOKUP(H20,[1]SEMIELABORADOS!$A$2:$M$6000,2,0),"")</f>
        <v/>
      </c>
      <c r="C20" s="123">
        <f>+A20</f>
        <v>0</v>
      </c>
      <c r="D20" s="123" t="str">
        <f>IFERROR(VLOOKUP(H20,[1]SEMIELABORADOS!$A$2:$M$6000,6,0),"")</f>
        <v/>
      </c>
      <c r="E20" s="124" t="str">
        <f>IFERROR(VLOOKUP(H20,[1]SEMIELABORADOS!$A$2:$H$65536,8,0),"")</f>
        <v/>
      </c>
      <c r="F20" s="124" t="str">
        <f>IFERROR(E20*C20,"")</f>
        <v/>
      </c>
      <c r="G20" s="125" t="str">
        <f t="shared" si="3"/>
        <v/>
      </c>
      <c r="H20" s="126"/>
      <c r="I20" s="126"/>
      <c r="J20" s="127"/>
    </row>
    <row r="21" spans="1:12" ht="13.5" hidden="1" x14ac:dyDescent="0.25">
      <c r="A21" s="122"/>
      <c r="B21" s="110" t="str">
        <f>IFERROR(VLOOKUP(H21,[1]SEMIELABORADOS!$A$2:$M$6000,2,0),"")</f>
        <v/>
      </c>
      <c r="C21" s="123">
        <f>+A21</f>
        <v>0</v>
      </c>
      <c r="D21" s="123" t="str">
        <f>IFERROR(VLOOKUP(H21,[1]SEMIELABORADOS!$A$2:$M$6000,6,0),"")</f>
        <v/>
      </c>
      <c r="E21" s="124" t="str">
        <f>IFERROR(VLOOKUP(H21,[1]SEMIELABORADOS!$A$2:$H$65536,8,0),"")</f>
        <v/>
      </c>
      <c r="F21" s="124" t="str">
        <f>IFERROR(E21*C21,"")</f>
        <v/>
      </c>
      <c r="G21" s="125" t="str">
        <f t="shared" si="3"/>
        <v/>
      </c>
      <c r="H21" s="126"/>
      <c r="I21" s="126"/>
      <c r="J21" s="127"/>
    </row>
    <row r="22" spans="1:12" ht="13.5" hidden="1" x14ac:dyDescent="0.25">
      <c r="A22" s="122"/>
      <c r="B22" s="110" t="str">
        <f>IFERROR(VLOOKUP(H22,[1]SEMIELABORADOS!$A$2:$M$6000,2,0),"")</f>
        <v/>
      </c>
      <c r="C22" s="123">
        <f t="shared" si="4"/>
        <v>0</v>
      </c>
      <c r="D22" s="123" t="str">
        <f>IFERROR(VLOOKUP(H22,[1]SEMIELABORADOS!$A$2:$M$6000,6,0),"")</f>
        <v/>
      </c>
      <c r="E22" s="124" t="str">
        <f>IFERROR(VLOOKUP(H22,[1]SEMIELABORADOS!$A$2:$H$65536,8,0),"")</f>
        <v/>
      </c>
      <c r="F22" s="124" t="str">
        <f t="shared" si="5"/>
        <v/>
      </c>
      <c r="G22" s="125" t="str">
        <f t="shared" si="3"/>
        <v/>
      </c>
      <c r="H22" s="126"/>
      <c r="I22" s="126"/>
      <c r="J22" s="127"/>
    </row>
    <row r="23" spans="1:12" ht="13.5" hidden="1" x14ac:dyDescent="0.25">
      <c r="A23" s="122"/>
      <c r="B23" s="110" t="str">
        <f>IFERROR(VLOOKUP(H23,[1]SEMIELABORADOS!$A$2:$M$6000,2,0),"")</f>
        <v/>
      </c>
      <c r="C23" s="123">
        <f t="shared" si="4"/>
        <v>0</v>
      </c>
      <c r="D23" s="123" t="str">
        <f>IFERROR(VLOOKUP(H23,[1]SEMIELABORADOS!$A$2:$M$6000,6,0),"")</f>
        <v/>
      </c>
      <c r="E23" s="124" t="str">
        <f>IFERROR(VLOOKUP(H23,[1]SEMIELABORADOS!$A$2:$H$65536,8,0),"")</f>
        <v/>
      </c>
      <c r="F23" s="124" t="str">
        <f t="shared" si="5"/>
        <v/>
      </c>
      <c r="G23" s="125" t="str">
        <f t="shared" si="3"/>
        <v/>
      </c>
      <c r="H23" s="126"/>
      <c r="I23" s="126"/>
      <c r="J23" s="127"/>
    </row>
    <row r="24" spans="1:12" ht="13.5" hidden="1" x14ac:dyDescent="0.25">
      <c r="A24" s="122"/>
      <c r="B24" s="110" t="str">
        <f>IFERROR(VLOOKUP(H24,[1]SEMIELABORADOS!$A$2:$M$6000,2,0),"")</f>
        <v/>
      </c>
      <c r="C24" s="123">
        <f t="shared" si="4"/>
        <v>0</v>
      </c>
      <c r="D24" s="123" t="str">
        <f>IFERROR(VLOOKUP(H24,[1]SEMIELABORADOS!$A$2:$M$6000,6,0),"")</f>
        <v/>
      </c>
      <c r="E24" s="124" t="str">
        <f>IFERROR(VLOOKUP(H24,[1]SEMIELABORADOS!$A$2:$H$65536,8,0),"")</f>
        <v/>
      </c>
      <c r="F24" s="124" t="str">
        <f t="shared" si="5"/>
        <v/>
      </c>
      <c r="G24" s="125" t="str">
        <f t="shared" si="3"/>
        <v/>
      </c>
      <c r="H24" s="126"/>
      <c r="I24" s="126"/>
      <c r="J24" s="127"/>
    </row>
    <row r="25" spans="1:12" ht="14.25" hidden="1" thickBot="1" x14ac:dyDescent="0.3">
      <c r="A25" s="122"/>
      <c r="C25" s="123"/>
      <c r="D25" s="123"/>
      <c r="E25" s="124"/>
      <c r="F25" s="124"/>
      <c r="G25" s="125"/>
      <c r="H25" s="126"/>
      <c r="I25" s="126"/>
      <c r="J25" s="127"/>
    </row>
    <row r="26" spans="1:12" ht="26.25" hidden="1" thickBot="1" x14ac:dyDescent="0.3">
      <c r="A26" s="117" t="s">
        <v>127</v>
      </c>
      <c r="B26" s="118" t="s">
        <v>94</v>
      </c>
      <c r="C26" s="118" t="s">
        <v>127</v>
      </c>
      <c r="D26" s="119" t="s">
        <v>129</v>
      </c>
      <c r="E26" s="119" t="s">
        <v>130</v>
      </c>
      <c r="F26" s="119" t="s">
        <v>131</v>
      </c>
      <c r="G26" s="119" t="s">
        <v>132</v>
      </c>
      <c r="H26" s="120" t="s">
        <v>133</v>
      </c>
      <c r="I26" s="121"/>
    </row>
    <row r="27" spans="1:12" ht="13.5" hidden="1" x14ac:dyDescent="0.25">
      <c r="A27" s="122">
        <v>0</v>
      </c>
      <c r="B27" s="128" t="str">
        <f>IFERROR(VLOOKUP(H27,'[1]Consolidado MP Planta'!$A$2:$M$823,3,0),"")</f>
        <v/>
      </c>
      <c r="C27" s="123">
        <f t="shared" ref="C27:C32" si="6">+A27</f>
        <v>0</v>
      </c>
      <c r="D27" s="124" t="str">
        <f>IFERROR(VLOOKUP(H27,'[1]Consolidado MP Planta'!$A$2:$M$823,13,0),"")</f>
        <v/>
      </c>
      <c r="E27" s="124" t="str">
        <f>IFERROR(VLOOKUP(H27,'[1]Consolidado MP Planta'!$A$2:$M$823,12,0),"")</f>
        <v/>
      </c>
      <c r="F27" s="124" t="str">
        <f t="shared" ref="F27:F32" si="7">IFERROR(C27*E27,"")</f>
        <v/>
      </c>
      <c r="G27" s="125" t="str">
        <f t="shared" ref="G27:G32" si="8">IFERROR(F27/$F$66,"")</f>
        <v/>
      </c>
      <c r="H27" s="129"/>
      <c r="I27" s="129"/>
      <c r="J27" s="127"/>
      <c r="K27" s="601"/>
      <c r="L27" s="601"/>
    </row>
    <row r="28" spans="1:12" ht="13.5" hidden="1" x14ac:dyDescent="0.25">
      <c r="A28" s="122"/>
      <c r="B28" s="128" t="str">
        <f>IFERROR(VLOOKUP(H28,'[1]Consolidado MP Planta'!$A$2:$M$823,3,0),"")</f>
        <v/>
      </c>
      <c r="C28" s="123">
        <f t="shared" si="6"/>
        <v>0</v>
      </c>
      <c r="D28" s="124" t="str">
        <f>IFERROR(VLOOKUP(H28,'[1]Consolidado MP Planta'!$A$2:$M$823,13,0),"")</f>
        <v/>
      </c>
      <c r="E28" s="124" t="str">
        <f>IFERROR(VLOOKUP(H28,'[1]Consolidado MP Planta'!$A$2:$M$823,12,0),"")</f>
        <v/>
      </c>
      <c r="F28" s="124" t="str">
        <f t="shared" si="7"/>
        <v/>
      </c>
      <c r="G28" s="125" t="str">
        <f t="shared" si="8"/>
        <v/>
      </c>
      <c r="H28" s="129"/>
      <c r="I28" s="129"/>
      <c r="J28" s="127"/>
      <c r="K28" s="601"/>
      <c r="L28" s="601"/>
    </row>
    <row r="29" spans="1:12" ht="13.5" hidden="1" x14ac:dyDescent="0.25">
      <c r="A29" s="122"/>
      <c r="B29" s="128" t="str">
        <f>IFERROR(VLOOKUP(H29,'[1]Consolidado MP Planta'!$A$2:$M$823,3,0),"")</f>
        <v/>
      </c>
      <c r="C29" s="123">
        <f t="shared" si="6"/>
        <v>0</v>
      </c>
      <c r="D29" s="124" t="str">
        <f>IFERROR(VLOOKUP(H29,'[1]Consolidado MP Planta'!$A$2:$M$823,13,0),"")</f>
        <v/>
      </c>
      <c r="E29" s="124" t="str">
        <f>IFERROR(VLOOKUP(H29,'[1]Consolidado MP Planta'!$A$2:$M$823,12,0),"")</f>
        <v/>
      </c>
      <c r="F29" s="124" t="str">
        <f t="shared" si="7"/>
        <v/>
      </c>
      <c r="G29" s="125" t="str">
        <f t="shared" si="8"/>
        <v/>
      </c>
      <c r="H29" s="129"/>
      <c r="I29" s="129"/>
      <c r="J29" s="127"/>
      <c r="K29" s="601"/>
      <c r="L29" s="601"/>
    </row>
    <row r="30" spans="1:12" ht="13.5" hidden="1" x14ac:dyDescent="0.25">
      <c r="A30" s="122"/>
      <c r="B30" s="128" t="str">
        <f>IFERROR(VLOOKUP(H30,'[1]Consolidado MP Planta'!$A$2:$M$823,3,0),"")</f>
        <v/>
      </c>
      <c r="C30" s="123">
        <f t="shared" si="6"/>
        <v>0</v>
      </c>
      <c r="D30" s="124" t="str">
        <f>IFERROR(VLOOKUP(H30,'[1]Consolidado MP Planta'!$A$2:$M$823,13,0),"")</f>
        <v/>
      </c>
      <c r="E30" s="124" t="str">
        <f>IFERROR(VLOOKUP(H30,'[1]Consolidado MP Planta'!$A$2:$M$823,12,0),"")</f>
        <v/>
      </c>
      <c r="F30" s="124" t="str">
        <f t="shared" si="7"/>
        <v/>
      </c>
      <c r="G30" s="125" t="str">
        <f t="shared" si="8"/>
        <v/>
      </c>
      <c r="H30" s="129"/>
      <c r="I30" s="129"/>
      <c r="J30" s="127"/>
      <c r="K30" s="601"/>
      <c r="L30" s="601"/>
    </row>
    <row r="31" spans="1:12" ht="13.5" hidden="1" x14ac:dyDescent="0.25">
      <c r="A31" s="122"/>
      <c r="B31" s="128" t="str">
        <f>IFERROR(VLOOKUP(H31,'[1]Consolidado MP Planta'!$A$2:$M$823,3,0),"")</f>
        <v/>
      </c>
      <c r="C31" s="123">
        <f t="shared" si="6"/>
        <v>0</v>
      </c>
      <c r="D31" s="124" t="str">
        <f>IFERROR(VLOOKUP(H31,'[1]Consolidado MP Planta'!$A$2:$M$823,13,0),"")</f>
        <v/>
      </c>
      <c r="E31" s="124" t="str">
        <f>IFERROR(VLOOKUP(H31,'[1]Consolidado MP Planta'!$A$2:$M$823,12,0),"")</f>
        <v/>
      </c>
      <c r="F31" s="124" t="str">
        <f t="shared" si="7"/>
        <v/>
      </c>
      <c r="G31" s="125" t="str">
        <f t="shared" si="8"/>
        <v/>
      </c>
      <c r="H31" s="129"/>
      <c r="I31" s="129"/>
      <c r="J31" s="127"/>
      <c r="K31" s="130"/>
      <c r="L31" s="131"/>
    </row>
    <row r="32" spans="1:12" ht="13.5" hidden="1" x14ac:dyDescent="0.25">
      <c r="A32" s="122"/>
      <c r="B32" s="128" t="str">
        <f>IFERROR(VLOOKUP(H32,'[1]Consolidado MP Planta'!$A$2:$M$823,3,0),"")</f>
        <v/>
      </c>
      <c r="C32" s="123">
        <f t="shared" si="6"/>
        <v>0</v>
      </c>
      <c r="D32" s="124" t="str">
        <f>IFERROR(VLOOKUP(H32,'[1]Consolidado MP Planta'!$A$2:$M$823,13,0),"")</f>
        <v/>
      </c>
      <c r="E32" s="124" t="str">
        <f>IFERROR(VLOOKUP(H32,'[1]Consolidado MP Planta'!$A$2:$M$823,12,0),"")</f>
        <v/>
      </c>
      <c r="F32" s="124" t="str">
        <f t="shared" si="7"/>
        <v/>
      </c>
      <c r="G32" s="125" t="str">
        <f t="shared" si="8"/>
        <v/>
      </c>
      <c r="H32" s="129"/>
      <c r="I32" s="129"/>
      <c r="J32" s="127"/>
    </row>
    <row r="33" spans="1:13" ht="14.25" hidden="1" thickBot="1" x14ac:dyDescent="0.3">
      <c r="A33" s="122"/>
      <c r="B33" s="128"/>
      <c r="C33" s="123"/>
      <c r="D33" s="124"/>
      <c r="E33" s="124"/>
      <c r="F33" s="124"/>
      <c r="G33" s="125"/>
      <c r="H33" s="129"/>
      <c r="I33" s="129"/>
      <c r="J33" s="127"/>
    </row>
    <row r="34" spans="1:13" ht="26.25" hidden="1" thickBot="1" x14ac:dyDescent="0.25">
      <c r="A34" s="117" t="s">
        <v>127</v>
      </c>
      <c r="B34" s="118" t="s">
        <v>135</v>
      </c>
      <c r="C34" s="118" t="s">
        <v>127</v>
      </c>
      <c r="D34" s="119" t="s">
        <v>129</v>
      </c>
      <c r="E34" s="119" t="s">
        <v>130</v>
      </c>
      <c r="F34" s="119" t="s">
        <v>131</v>
      </c>
      <c r="G34" s="119" t="s">
        <v>132</v>
      </c>
      <c r="H34" s="120" t="s">
        <v>133</v>
      </c>
      <c r="I34" s="129"/>
      <c r="J34" s="127"/>
    </row>
    <row r="35" spans="1:13" ht="13.5" hidden="1" x14ac:dyDescent="0.25">
      <c r="A35" s="122">
        <f>+A17</f>
        <v>0</v>
      </c>
      <c r="B35" s="128" t="str">
        <f>IFERROR(VLOOKUP(H35,[1]SEMIELABORADOS!$A$2:$M$6000,2,0),"")</f>
        <v/>
      </c>
      <c r="C35" s="123">
        <f>+A35</f>
        <v>0</v>
      </c>
      <c r="D35" s="124" t="str">
        <f>IFERROR(VLOOKUP(H35,[1]SEMIELABORADOS!$A$2:$M$6000,6,0),"")</f>
        <v/>
      </c>
      <c r="E35" s="124" t="str">
        <f>IFERROR(VLOOKUP(H35,[1]SEMIELABORADOS!$A$2:$M$65536,10,0),"")</f>
        <v/>
      </c>
      <c r="F35" s="124" t="str">
        <f>IFERROR(E35*C35,"")</f>
        <v/>
      </c>
      <c r="G35" s="125" t="str">
        <f t="shared" ref="G35:G41" si="9">IFERROR(F35/$F$66,"")</f>
        <v/>
      </c>
      <c r="H35" s="129"/>
      <c r="I35" s="129"/>
      <c r="J35" s="127"/>
    </row>
    <row r="36" spans="1:13" ht="13.5" hidden="1" x14ac:dyDescent="0.25">
      <c r="A36" s="122">
        <f t="shared" ref="A36:A41" si="10">+A18</f>
        <v>0</v>
      </c>
      <c r="B36" s="128" t="str">
        <f>IFERROR(VLOOKUP(H36,[1]SEMIELABORADOS!$A$2:$M$6000,2,0),"")</f>
        <v/>
      </c>
      <c r="C36" s="123">
        <f t="shared" ref="C36:C41" si="11">+A36</f>
        <v>0</v>
      </c>
      <c r="D36" s="124" t="str">
        <f>IFERROR(VLOOKUP(H36,[1]SEMIELABORADOS!$A$2:$M$6000,6,0),"")</f>
        <v/>
      </c>
      <c r="E36" s="124" t="str">
        <f>IFERROR(VLOOKUP(H36,[1]SEMIELABORADOS!$A$2:$M$65536,10,0),"")</f>
        <v/>
      </c>
      <c r="F36" s="124" t="str">
        <f t="shared" ref="F36:F41" si="12">IFERROR(E36*C36,"")</f>
        <v/>
      </c>
      <c r="G36" s="125" t="str">
        <f t="shared" si="9"/>
        <v/>
      </c>
      <c r="H36" s="129"/>
      <c r="I36" s="129"/>
      <c r="J36" s="127"/>
    </row>
    <row r="37" spans="1:13" ht="13.5" hidden="1" x14ac:dyDescent="0.25">
      <c r="A37" s="122">
        <f t="shared" si="10"/>
        <v>0</v>
      </c>
      <c r="B37" s="128" t="str">
        <f>IFERROR(VLOOKUP(H37,[1]SEMIELABORADOS!$A$2:$M$6000,2,0),"")</f>
        <v/>
      </c>
      <c r="C37" s="123">
        <f t="shared" si="11"/>
        <v>0</v>
      </c>
      <c r="D37" s="124" t="str">
        <f>IFERROR(VLOOKUP(H37,[1]SEMIELABORADOS!$A$2:$M$6000,6,0),"")</f>
        <v/>
      </c>
      <c r="E37" s="124" t="str">
        <f>IFERROR(VLOOKUP(H37,[1]SEMIELABORADOS!$A$2:$M$65536,10,0),"")</f>
        <v/>
      </c>
      <c r="F37" s="124" t="str">
        <f t="shared" si="12"/>
        <v/>
      </c>
      <c r="G37" s="125" t="str">
        <f t="shared" si="9"/>
        <v/>
      </c>
      <c r="H37" s="129"/>
      <c r="I37" s="129"/>
      <c r="J37" s="127"/>
    </row>
    <row r="38" spans="1:13" ht="13.5" hidden="1" x14ac:dyDescent="0.25">
      <c r="A38" s="122">
        <f t="shared" si="10"/>
        <v>0</v>
      </c>
      <c r="B38" s="128" t="str">
        <f>IFERROR(VLOOKUP(H38,[1]SEMIELABORADOS!$A$2:$M$6000,2,0),"")</f>
        <v/>
      </c>
      <c r="C38" s="123">
        <f>+A38</f>
        <v>0</v>
      </c>
      <c r="D38" s="124" t="str">
        <f>IFERROR(VLOOKUP(H38,[1]SEMIELABORADOS!$A$2:$M$6000,6,0),"")</f>
        <v/>
      </c>
      <c r="E38" s="124" t="str">
        <f>IFERROR(VLOOKUP(H38,[1]SEMIELABORADOS!$A$2:$M$65536,10,0),"")</f>
        <v/>
      </c>
      <c r="F38" s="124" t="str">
        <f>IFERROR(E38*C38,"")</f>
        <v/>
      </c>
      <c r="G38" s="125" t="str">
        <f t="shared" si="9"/>
        <v/>
      </c>
      <c r="H38" s="129"/>
      <c r="I38" s="129"/>
      <c r="J38" s="127"/>
    </row>
    <row r="39" spans="1:13" ht="13.5" hidden="1" x14ac:dyDescent="0.25">
      <c r="A39" s="122">
        <f t="shared" si="10"/>
        <v>0</v>
      </c>
      <c r="B39" s="128" t="str">
        <f>IFERROR(VLOOKUP(H39,[1]SEMIELABORADOS!$A$2:$M$6000,2,0),"")</f>
        <v/>
      </c>
      <c r="C39" s="123">
        <f>+A39</f>
        <v>0</v>
      </c>
      <c r="D39" s="124" t="str">
        <f>IFERROR(VLOOKUP(H39,[1]SEMIELABORADOS!$A$2:$M$6000,6,0),"")</f>
        <v/>
      </c>
      <c r="E39" s="124" t="str">
        <f>IFERROR(VLOOKUP(H39,[1]SEMIELABORADOS!$A$2:$M$65536,10,0),"")</f>
        <v/>
      </c>
      <c r="F39" s="124" t="str">
        <f>IFERROR(E39*C39,"")</f>
        <v/>
      </c>
      <c r="G39" s="125" t="str">
        <f t="shared" si="9"/>
        <v/>
      </c>
      <c r="H39" s="129"/>
      <c r="I39" s="129"/>
      <c r="J39" s="127"/>
    </row>
    <row r="40" spans="1:13" ht="13.5" hidden="1" x14ac:dyDescent="0.25">
      <c r="A40" s="122">
        <f t="shared" si="10"/>
        <v>0</v>
      </c>
      <c r="B40" s="128" t="str">
        <f>IFERROR(VLOOKUP(H40,[1]SEMIELABORADOS!$A$2:$M$6000,2,0),"")</f>
        <v/>
      </c>
      <c r="C40" s="123">
        <f t="shared" si="11"/>
        <v>0</v>
      </c>
      <c r="D40" s="124" t="str">
        <f>IFERROR(VLOOKUP(H40,[1]SEMIELABORADOS!$A$2:$M$6000,6,0),"")</f>
        <v/>
      </c>
      <c r="E40" s="124" t="str">
        <f>IFERROR(VLOOKUP(H40,[1]SEMIELABORADOS!$A$2:$M$65536,10,0),"")</f>
        <v/>
      </c>
      <c r="F40" s="124" t="str">
        <f t="shared" si="12"/>
        <v/>
      </c>
      <c r="G40" s="125" t="str">
        <f t="shared" si="9"/>
        <v/>
      </c>
      <c r="H40" s="129"/>
      <c r="I40" s="129"/>
      <c r="J40" s="127"/>
    </row>
    <row r="41" spans="1:13" ht="13.5" hidden="1" x14ac:dyDescent="0.25">
      <c r="A41" s="122">
        <f t="shared" si="10"/>
        <v>0</v>
      </c>
      <c r="B41" s="128" t="str">
        <f>IFERROR(VLOOKUP(H41,[1]SEMIELABORADOS!$A$2:$M$6000,2,0),"")</f>
        <v/>
      </c>
      <c r="C41" s="123">
        <f t="shared" si="11"/>
        <v>0</v>
      </c>
      <c r="D41" s="124" t="str">
        <f>IFERROR(VLOOKUP(H41,[1]SEMIELABORADOS!$A$2:$M$6000,6,0),"")</f>
        <v/>
      </c>
      <c r="E41" s="124" t="str">
        <f>IFERROR(VLOOKUP(H41,[1]SEMIELABORADOS!$A$2:$M$65536,10,0),"")</f>
        <v/>
      </c>
      <c r="F41" s="124" t="str">
        <f t="shared" si="12"/>
        <v/>
      </c>
      <c r="G41" s="125" t="str">
        <f t="shared" si="9"/>
        <v/>
      </c>
      <c r="H41" s="129"/>
      <c r="I41" s="129"/>
      <c r="J41" s="127"/>
    </row>
    <row r="42" spans="1:13" ht="14.25" hidden="1" thickBot="1" x14ac:dyDescent="0.3">
      <c r="A42" s="122"/>
      <c r="B42" s="128"/>
      <c r="C42" s="123"/>
      <c r="D42" s="124"/>
      <c r="E42" s="124"/>
      <c r="F42" s="124"/>
      <c r="G42" s="125"/>
      <c r="H42" s="129"/>
      <c r="I42" s="129"/>
      <c r="J42" s="127"/>
    </row>
    <row r="43" spans="1:13" ht="26.25" thickBot="1" x14ac:dyDescent="0.3">
      <c r="A43" s="117" t="s">
        <v>127</v>
      </c>
      <c r="B43" s="118" t="s">
        <v>136</v>
      </c>
      <c r="C43" s="118" t="s">
        <v>127</v>
      </c>
      <c r="D43" s="119" t="s">
        <v>129</v>
      </c>
      <c r="E43" s="119" t="s">
        <v>130</v>
      </c>
      <c r="F43" s="119" t="s">
        <v>131</v>
      </c>
      <c r="G43" s="119" t="s">
        <v>132</v>
      </c>
      <c r="H43" s="120" t="s">
        <v>133</v>
      </c>
      <c r="I43" s="121"/>
      <c r="J43" s="127"/>
    </row>
    <row r="44" spans="1:13" ht="13.5" hidden="1" x14ac:dyDescent="0.25">
      <c r="A44" s="122">
        <f>+A35</f>
        <v>0</v>
      </c>
      <c r="B44" s="128" t="str">
        <f>IFERROR(VLOOKUP(H44,[1]SEMIELABORADOS!$A$2:$M$6000,2,0),"")</f>
        <v/>
      </c>
      <c r="C44" s="123">
        <f>+A44</f>
        <v>0</v>
      </c>
      <c r="D44" s="124" t="str">
        <f>IFERROR(VLOOKUP(H44,[1]SEMIELABORADOS!$A$2:$M$6000,6,0),"")</f>
        <v/>
      </c>
      <c r="E44" s="124" t="str">
        <f>IFERROR(VLOOKUP(H44,[1]SEMIELABORADOS!$A$2:$M$65536,12,0),"")</f>
        <v/>
      </c>
      <c r="F44" s="124" t="str">
        <f>IFERROR(E44*C44,"")</f>
        <v/>
      </c>
      <c r="G44" s="125" t="str">
        <f>IFERROR(F44/$F$66,"")</f>
        <v/>
      </c>
      <c r="H44" s="129"/>
      <c r="I44" s="121"/>
      <c r="J44" s="127"/>
    </row>
    <row r="45" spans="1:13" ht="13.5" hidden="1" x14ac:dyDescent="0.25">
      <c r="A45" s="122">
        <f t="shared" ref="A45:A50" si="13">+A36</f>
        <v>0</v>
      </c>
      <c r="B45" s="128" t="str">
        <f>IFERROR(VLOOKUP(H45,[1]SEMIELABORADOS!$A$2:$M$6000,2,0),"")</f>
        <v/>
      </c>
      <c r="C45" s="123">
        <f t="shared" ref="C45:C50" si="14">+A45</f>
        <v>0</v>
      </c>
      <c r="D45" s="124" t="str">
        <f>IFERROR(VLOOKUP(H45,[1]SEMIELABORADOS!$A$2:$M$6000,6,0),"")</f>
        <v/>
      </c>
      <c r="E45" s="124" t="str">
        <f>IFERROR(VLOOKUP(H45,[1]SEMIELABORADOS!$A$2:$M$65536,12,0),"")</f>
        <v/>
      </c>
      <c r="F45" s="124" t="str">
        <f t="shared" ref="F45:F50" si="15">IFERROR(E45*C45,"")</f>
        <v/>
      </c>
      <c r="G45" s="125" t="str">
        <f t="shared" ref="G45:G50" si="16">IFERROR(F45/$F$66,"")</f>
        <v/>
      </c>
      <c r="H45" s="129"/>
      <c r="I45" s="121"/>
      <c r="J45" s="127"/>
      <c r="M45" s="132"/>
    </row>
    <row r="46" spans="1:13" ht="13.5" hidden="1" x14ac:dyDescent="0.25">
      <c r="A46" s="122">
        <f t="shared" si="13"/>
        <v>0</v>
      </c>
      <c r="B46" s="128" t="str">
        <f>IFERROR(VLOOKUP(H46,[1]SEMIELABORADOS!$A$2:$M$6000,2,0),"")</f>
        <v/>
      </c>
      <c r="C46" s="123">
        <f t="shared" si="14"/>
        <v>0</v>
      </c>
      <c r="D46" s="124" t="str">
        <f>IFERROR(VLOOKUP(H46,[1]SEMIELABORADOS!$A$2:$M$6000,6,0),"")</f>
        <v/>
      </c>
      <c r="E46" s="124" t="str">
        <f>IFERROR(VLOOKUP(H46,[1]SEMIELABORADOS!$A$2:$M$65536,12,0),"")</f>
        <v/>
      </c>
      <c r="F46" s="124" t="str">
        <f t="shared" si="15"/>
        <v/>
      </c>
      <c r="G46" s="125" t="str">
        <f t="shared" si="16"/>
        <v/>
      </c>
      <c r="H46" s="129"/>
      <c r="I46" s="121"/>
      <c r="J46" s="127"/>
    </row>
    <row r="47" spans="1:13" ht="13.5" hidden="1" x14ac:dyDescent="0.25">
      <c r="A47" s="122">
        <f t="shared" si="13"/>
        <v>0</v>
      </c>
      <c r="B47" s="128" t="str">
        <f>IFERROR(VLOOKUP(H47,[1]SEMIELABORADOS!$A$2:$M$6000,2,0),"")</f>
        <v/>
      </c>
      <c r="C47" s="123">
        <f t="shared" si="14"/>
        <v>0</v>
      </c>
      <c r="D47" s="124" t="str">
        <f>IFERROR(VLOOKUP(H47,[1]SEMIELABORADOS!$A$2:$M$6000,6,0),"")</f>
        <v/>
      </c>
      <c r="E47" s="124" t="str">
        <f>IFERROR(VLOOKUP(H47,[1]SEMIELABORADOS!$A$2:$M$65536,12,0),"")</f>
        <v/>
      </c>
      <c r="F47" s="124" t="str">
        <f t="shared" si="15"/>
        <v/>
      </c>
      <c r="G47" s="125" t="str">
        <f t="shared" si="16"/>
        <v/>
      </c>
      <c r="H47" s="129"/>
      <c r="I47" s="121"/>
      <c r="J47" s="127"/>
    </row>
    <row r="48" spans="1:13" ht="13.5" hidden="1" x14ac:dyDescent="0.25">
      <c r="A48" s="122">
        <f t="shared" si="13"/>
        <v>0</v>
      </c>
      <c r="B48" s="128" t="str">
        <f>IFERROR(VLOOKUP(H48,[1]SEMIELABORADOS!$A$2:$M$6000,2,0),"")</f>
        <v/>
      </c>
      <c r="C48" s="123">
        <f t="shared" si="14"/>
        <v>0</v>
      </c>
      <c r="D48" s="124" t="str">
        <f>IFERROR(VLOOKUP(H48,[1]SEMIELABORADOS!$A$2:$M$6000,6,0),"")</f>
        <v/>
      </c>
      <c r="E48" s="124" t="str">
        <f>IFERROR(VLOOKUP(H48,[1]SEMIELABORADOS!$A$2:$M$65536,12,0),"")</f>
        <v/>
      </c>
      <c r="F48" s="124" t="str">
        <f t="shared" si="15"/>
        <v/>
      </c>
      <c r="G48" s="125" t="str">
        <f t="shared" si="16"/>
        <v/>
      </c>
      <c r="H48" s="129"/>
      <c r="I48" s="121"/>
      <c r="J48" s="127"/>
    </row>
    <row r="49" spans="1:17" ht="13.5" hidden="1" x14ac:dyDescent="0.25">
      <c r="A49" s="122">
        <f t="shared" si="13"/>
        <v>0</v>
      </c>
      <c r="B49" s="128" t="str">
        <f>IFERROR(VLOOKUP(H49,[1]SEMIELABORADOS!$A$2:$M$6000,2,0),"")</f>
        <v/>
      </c>
      <c r="C49" s="123">
        <f t="shared" si="14"/>
        <v>0</v>
      </c>
      <c r="D49" s="124" t="str">
        <f>IFERROR(VLOOKUP(H49,[1]SEMIELABORADOS!$A$2:$M$6000,6,0),"")</f>
        <v/>
      </c>
      <c r="E49" s="124" t="str">
        <f>IFERROR(VLOOKUP(H49,[1]SEMIELABORADOS!$A$2:$M$65536,12,0),"")</f>
        <v/>
      </c>
      <c r="F49" s="124" t="str">
        <f t="shared" si="15"/>
        <v/>
      </c>
      <c r="G49" s="125" t="str">
        <f t="shared" si="16"/>
        <v/>
      </c>
      <c r="H49" s="129"/>
      <c r="I49" s="121"/>
      <c r="J49" s="127"/>
    </row>
    <row r="50" spans="1:17" ht="13.5" hidden="1" x14ac:dyDescent="0.25">
      <c r="A50" s="122">
        <f t="shared" si="13"/>
        <v>0</v>
      </c>
      <c r="B50" s="128" t="str">
        <f>IFERROR(VLOOKUP(H50,[1]SEMIELABORADOS!$A$2:$M$6000,2,0),"")</f>
        <v/>
      </c>
      <c r="C50" s="123">
        <f t="shared" si="14"/>
        <v>0</v>
      </c>
      <c r="D50" s="124" t="str">
        <f>IFERROR(VLOOKUP(H50,[1]SEMIELABORADOS!$A$2:$M$6000,6,0),"")</f>
        <v/>
      </c>
      <c r="E50" s="124" t="str">
        <f>IFERROR(VLOOKUP(H50,[1]SEMIELABORADOS!$A$2:$M$65536,12,0),"")</f>
        <v/>
      </c>
      <c r="F50" s="124" t="str">
        <f t="shared" si="15"/>
        <v/>
      </c>
      <c r="G50" s="125" t="str">
        <f t="shared" si="16"/>
        <v/>
      </c>
      <c r="H50" s="128"/>
      <c r="I50" s="121"/>
      <c r="J50" s="127"/>
    </row>
    <row r="51" spans="1:17" ht="13.5" x14ac:dyDescent="0.25">
      <c r="A51" s="122">
        <v>1</v>
      </c>
      <c r="B51" s="128" t="s">
        <v>137</v>
      </c>
      <c r="C51" s="123">
        <f>+A51</f>
        <v>1</v>
      </c>
      <c r="D51" s="123" t="s">
        <v>138</v>
      </c>
      <c r="E51" s="124">
        <f>+F65</f>
        <v>61</v>
      </c>
      <c r="F51" s="124">
        <f>IFERROR(C51*E51,"")</f>
        <v>61</v>
      </c>
      <c r="G51" s="125">
        <f>IFERROR(F51/$F$66,"")</f>
        <v>0.20674518012589083</v>
      </c>
      <c r="H51" s="133"/>
      <c r="I51" s="133"/>
      <c r="J51" s="127"/>
    </row>
    <row r="52" spans="1:17" ht="14.25" thickBot="1" x14ac:dyDescent="0.3">
      <c r="A52" s="122"/>
      <c r="B52" s="128"/>
      <c r="C52" s="123"/>
      <c r="D52" s="123"/>
      <c r="E52" s="124"/>
      <c r="F52" s="124"/>
      <c r="G52" s="125"/>
      <c r="H52" s="133"/>
      <c r="I52" s="133"/>
      <c r="J52" s="127"/>
    </row>
    <row r="53" spans="1:17" ht="13.5" thickBot="1" x14ac:dyDescent="0.3">
      <c r="A53" s="134"/>
      <c r="B53" s="611" t="s">
        <v>139</v>
      </c>
      <c r="C53" s="611"/>
      <c r="D53" s="611"/>
      <c r="E53" s="611"/>
      <c r="F53" s="136">
        <f>SUM(F8:F14,F17:F24)</f>
        <v>229.46</v>
      </c>
      <c r="G53" s="125">
        <f>+F53/$F$66</f>
        <v>0.7777008037981461</v>
      </c>
      <c r="H53" s="137">
        <f>+F53/$D$60</f>
        <v>229.46</v>
      </c>
      <c r="I53" s="137"/>
      <c r="J53" s="138"/>
      <c r="K53" s="139"/>
      <c r="L53" s="139"/>
      <c r="M53" s="139"/>
      <c r="N53" s="139"/>
      <c r="O53" s="139"/>
      <c r="P53" s="139"/>
      <c r="Q53" s="140"/>
    </row>
    <row r="54" spans="1:17" x14ac:dyDescent="0.2">
      <c r="A54" s="134"/>
      <c r="B54" s="611" t="s">
        <v>140</v>
      </c>
      <c r="C54" s="611"/>
      <c r="D54" s="611"/>
      <c r="E54" s="611"/>
      <c r="F54" s="136">
        <f>SUM(F27:F32,F35:F41)</f>
        <v>0</v>
      </c>
      <c r="G54" s="125">
        <f>+F54/$F$66</f>
        <v>0</v>
      </c>
      <c r="H54" s="137">
        <f>+F54/$D$60</f>
        <v>0</v>
      </c>
      <c r="I54" s="137"/>
      <c r="J54" s="141"/>
      <c r="K54" s="612" t="s">
        <v>141</v>
      </c>
      <c r="L54" s="613"/>
      <c r="M54" s="613"/>
      <c r="N54" s="613"/>
      <c r="O54" s="142">
        <f>+F55</f>
        <v>229.46</v>
      </c>
      <c r="P54" s="142"/>
      <c r="Q54" s="143"/>
    </row>
    <row r="55" spans="1:17" x14ac:dyDescent="0.2">
      <c r="A55" s="134"/>
      <c r="B55" s="611" t="s">
        <v>142</v>
      </c>
      <c r="C55" s="611"/>
      <c r="D55" s="611"/>
      <c r="E55" s="611"/>
      <c r="F55" s="136">
        <f>+F53+F54</f>
        <v>229.46</v>
      </c>
      <c r="G55" s="125">
        <f>+F55/$F$66</f>
        <v>0.7777008037981461</v>
      </c>
      <c r="H55" s="137">
        <f>+F55/$D$60</f>
        <v>229.46</v>
      </c>
      <c r="I55" s="137"/>
      <c r="J55" s="144"/>
      <c r="K55" s="145"/>
      <c r="M55" s="146" t="s">
        <v>143</v>
      </c>
      <c r="N55" s="147"/>
      <c r="O55" s="142">
        <f>+H56</f>
        <v>61</v>
      </c>
      <c r="P55" s="142"/>
      <c r="Q55" s="143"/>
    </row>
    <row r="56" spans="1:17" ht="13.5" thickBot="1" x14ac:dyDescent="0.25">
      <c r="A56" s="134"/>
      <c r="B56" s="135"/>
      <c r="C56" s="611" t="s">
        <v>144</v>
      </c>
      <c r="D56" s="611"/>
      <c r="E56" s="611"/>
      <c r="F56" s="136">
        <f>SUM(F44:F51)</f>
        <v>61</v>
      </c>
      <c r="G56" s="125">
        <f>+F56/$F$66</f>
        <v>0.20674518012589083</v>
      </c>
      <c r="H56" s="137">
        <f>+F56/$D$60</f>
        <v>61</v>
      </c>
      <c r="I56" s="137"/>
      <c r="J56" s="144"/>
      <c r="K56" s="145"/>
      <c r="L56" s="145"/>
      <c r="M56" s="145" t="s">
        <v>145</v>
      </c>
      <c r="N56" s="148"/>
      <c r="O56" s="142">
        <f>O54*N56</f>
        <v>0</v>
      </c>
      <c r="P56" s="142"/>
      <c r="Q56" s="143"/>
    </row>
    <row r="57" spans="1:17" ht="13.5" thickBot="1" x14ac:dyDescent="0.25">
      <c r="A57" s="134"/>
      <c r="B57" s="149"/>
      <c r="C57" s="149"/>
      <c r="D57" s="149"/>
      <c r="E57" s="149"/>
      <c r="F57" s="150"/>
      <c r="G57" s="125"/>
      <c r="H57" s="151"/>
      <c r="I57" s="137"/>
      <c r="J57" s="144"/>
      <c r="K57" s="152"/>
      <c r="M57" s="153" t="s">
        <v>146</v>
      </c>
      <c r="N57" s="154"/>
      <c r="O57" s="155">
        <f>SUM(O54:O56)</f>
        <v>290.46000000000004</v>
      </c>
      <c r="P57" s="156"/>
      <c r="Q57" s="143"/>
    </row>
    <row r="58" spans="1:17" x14ac:dyDescent="0.2">
      <c r="B58" s="614" t="s">
        <v>147</v>
      </c>
      <c r="C58" s="614"/>
      <c r="D58" s="157">
        <v>100</v>
      </c>
      <c r="E58" s="158"/>
      <c r="G58" s="125"/>
      <c r="H58" s="151">
        <f>+H56/61</f>
        <v>1</v>
      </c>
      <c r="I58" s="159"/>
      <c r="J58" s="144"/>
      <c r="K58" s="152"/>
      <c r="L58" s="145"/>
      <c r="M58" s="145" t="s">
        <v>148</v>
      </c>
      <c r="N58" s="160"/>
      <c r="O58" s="142">
        <f>+H59</f>
        <v>58</v>
      </c>
      <c r="P58" s="142"/>
      <c r="Q58" s="143"/>
    </row>
    <row r="59" spans="1:17" x14ac:dyDescent="0.2">
      <c r="B59" s="614" t="s">
        <v>149</v>
      </c>
      <c r="C59" s="614"/>
      <c r="D59" s="161">
        <v>100</v>
      </c>
      <c r="E59" s="158"/>
      <c r="G59" s="125"/>
      <c r="H59" s="151">
        <f>+H58*58</f>
        <v>58</v>
      </c>
      <c r="I59" s="159"/>
      <c r="J59" s="144"/>
      <c r="K59" s="152"/>
      <c r="L59" s="145"/>
      <c r="M59" s="615" t="s">
        <v>146</v>
      </c>
      <c r="N59" s="615"/>
      <c r="O59" s="142">
        <f>SUM(O57:O58)</f>
        <v>348.46000000000004</v>
      </c>
      <c r="P59" s="142"/>
      <c r="Q59" s="143"/>
    </row>
    <row r="60" spans="1:17" ht="13.5" thickBot="1" x14ac:dyDescent="0.25">
      <c r="B60" s="607" t="s">
        <v>150</v>
      </c>
      <c r="C60" s="607"/>
      <c r="D60" s="157">
        <f>+D58/D59</f>
        <v>1</v>
      </c>
      <c r="E60" s="158"/>
      <c r="F60" s="162"/>
      <c r="G60" s="125"/>
      <c r="H60" s="151"/>
      <c r="I60" s="159"/>
      <c r="J60" s="144"/>
      <c r="K60" s="152"/>
      <c r="L60" s="615"/>
      <c r="M60" s="615"/>
      <c r="N60" s="160"/>
      <c r="O60" s="142">
        <f>+O59*N60</f>
        <v>0</v>
      </c>
      <c r="P60" s="142"/>
      <c r="Q60" s="143"/>
    </row>
    <row r="61" spans="1:17" ht="13.5" thickBot="1" x14ac:dyDescent="0.25">
      <c r="B61" s="607" t="s">
        <v>151</v>
      </c>
      <c r="C61" s="607"/>
      <c r="D61" s="163"/>
      <c r="E61" s="158"/>
      <c r="F61" s="162"/>
      <c r="G61" s="125"/>
      <c r="H61" s="151"/>
      <c r="I61" s="159"/>
      <c r="J61" s="144"/>
      <c r="K61" s="608" t="s">
        <v>152</v>
      </c>
      <c r="L61" s="609"/>
      <c r="M61" s="609"/>
      <c r="N61" s="610"/>
      <c r="O61" s="155">
        <f>SUM(O59:O60)</f>
        <v>348.46000000000004</v>
      </c>
      <c r="P61" s="164" t="s">
        <v>153</v>
      </c>
      <c r="Q61" s="143"/>
    </row>
    <row r="62" spans="1:17" ht="13.5" thickBot="1" x14ac:dyDescent="0.25">
      <c r="C62" s="134" t="s">
        <v>154</v>
      </c>
      <c r="D62" s="165"/>
      <c r="E62" s="108" t="s">
        <v>155</v>
      </c>
      <c r="F62" s="166" t="s">
        <v>156</v>
      </c>
      <c r="G62" s="125"/>
      <c r="H62" s="151"/>
      <c r="I62" s="159"/>
      <c r="J62" s="167"/>
      <c r="K62" s="168"/>
      <c r="L62" s="621" t="s">
        <v>157</v>
      </c>
      <c r="M62" s="621"/>
      <c r="N62" s="621"/>
      <c r="O62" s="169">
        <f>+O61/D60</f>
        <v>348.46000000000004</v>
      </c>
      <c r="P62" s="170">
        <f>+O62/D59</f>
        <v>3.4846000000000004</v>
      </c>
      <c r="Q62" s="171"/>
    </row>
    <row r="63" spans="1:17" ht="13.5" thickBot="1" x14ac:dyDescent="0.25">
      <c r="B63" s="622" t="s">
        <v>142</v>
      </c>
      <c r="C63" s="622"/>
      <c r="D63" s="622"/>
      <c r="E63" s="172">
        <f>+F63/F63</f>
        <v>1</v>
      </c>
      <c r="F63" s="173">
        <f>SUM(F55)</f>
        <v>229.46</v>
      </c>
      <c r="G63" s="125">
        <f>+F63/$F$66</f>
        <v>0.7777008037981461</v>
      </c>
      <c r="H63" s="151"/>
      <c r="I63" s="159"/>
      <c r="K63" s="623"/>
      <c r="L63" s="624"/>
      <c r="M63" s="624"/>
      <c r="N63" s="624"/>
      <c r="O63" s="174"/>
      <c r="P63" s="175"/>
    </row>
    <row r="64" spans="1:17" ht="13.5" thickBot="1" x14ac:dyDescent="0.3">
      <c r="B64" s="625" t="s">
        <v>158</v>
      </c>
      <c r="C64" s="625"/>
      <c r="D64" s="625"/>
      <c r="E64" s="176">
        <v>0.02</v>
      </c>
      <c r="F64" s="173">
        <f>+F53*E64</f>
        <v>4.5891999999999999</v>
      </c>
      <c r="G64" s="125">
        <f>+F64/$F$66</f>
        <v>1.5554016075962922E-2</v>
      </c>
      <c r="H64" s="137"/>
      <c r="I64" s="159"/>
      <c r="J64" s="177"/>
      <c r="O64" s="178"/>
      <c r="P64" s="135"/>
    </row>
    <row r="65" spans="2:13" ht="13.5" thickBot="1" x14ac:dyDescent="0.3">
      <c r="B65" s="626" t="s">
        <v>159</v>
      </c>
      <c r="C65" s="627"/>
      <c r="D65" s="179">
        <v>1</v>
      </c>
      <c r="E65" s="180">
        <v>61</v>
      </c>
      <c r="F65" s="173">
        <f>+E65*D65</f>
        <v>61</v>
      </c>
      <c r="G65" s="125">
        <f>+F65/$F$66</f>
        <v>0.20674518012589083</v>
      </c>
      <c r="H65" s="137"/>
      <c r="I65" s="137"/>
      <c r="J65" s="127"/>
    </row>
    <row r="66" spans="2:13" ht="13.5" thickBot="1" x14ac:dyDescent="0.3">
      <c r="B66" s="628" t="s">
        <v>160</v>
      </c>
      <c r="C66" s="629"/>
      <c r="D66" s="629"/>
      <c r="E66" s="630"/>
      <c r="F66" s="150">
        <f>SUM(F63:F65)</f>
        <v>295.04920000000004</v>
      </c>
      <c r="G66" s="125">
        <f>+F66/$F$66</f>
        <v>1</v>
      </c>
      <c r="H66" s="631"/>
      <c r="I66" s="137"/>
      <c r="J66" s="127"/>
      <c r="M66" s="110" t="s">
        <v>161</v>
      </c>
    </row>
    <row r="67" spans="2:13" x14ac:dyDescent="0.25">
      <c r="C67" s="132"/>
      <c r="D67" s="132"/>
      <c r="E67" s="182"/>
      <c r="F67" s="173"/>
      <c r="G67" s="125"/>
      <c r="H67" s="631"/>
      <c r="I67" s="181"/>
      <c r="J67" s="110"/>
      <c r="M67" s="110" t="s">
        <v>162</v>
      </c>
    </row>
    <row r="68" spans="2:13" ht="13.5" thickBot="1" x14ac:dyDescent="0.3">
      <c r="B68" s="616" t="s">
        <v>163</v>
      </c>
      <c r="C68" s="616"/>
      <c r="D68" s="616"/>
      <c r="E68" s="616"/>
      <c r="F68" s="616"/>
      <c r="G68" s="125"/>
      <c r="H68" s="184"/>
      <c r="I68" s="181"/>
      <c r="J68" s="110"/>
      <c r="M68" s="110" t="s">
        <v>164</v>
      </c>
    </row>
    <row r="69" spans="2:13" ht="13.5" thickBot="1" x14ac:dyDescent="0.3">
      <c r="B69" s="185" t="s">
        <v>165</v>
      </c>
      <c r="C69" s="186">
        <f>+F53</f>
        <v>229.46</v>
      </c>
      <c r="D69" s="186">
        <f>+D58</f>
        <v>100</v>
      </c>
      <c r="E69" s="187">
        <f>+C69/D69</f>
        <v>2.2946</v>
      </c>
      <c r="F69" s="125"/>
      <c r="G69" s="184"/>
      <c r="H69" s="127"/>
      <c r="I69" s="184"/>
      <c r="J69" s="110"/>
    </row>
    <row r="70" spans="2:13" x14ac:dyDescent="0.25">
      <c r="B70" s="188"/>
      <c r="C70" s="189"/>
      <c r="D70" s="190"/>
      <c r="E70" s="173"/>
      <c r="F70" s="125"/>
      <c r="G70" s="184"/>
      <c r="H70" s="127"/>
      <c r="I70" s="127"/>
      <c r="J70" s="110"/>
    </row>
    <row r="71" spans="2:13" x14ac:dyDescent="0.25">
      <c r="B71" s="185" t="s">
        <v>166</v>
      </c>
      <c r="C71" s="186">
        <f>SUM(F63:F64)</f>
        <v>234.04920000000001</v>
      </c>
      <c r="D71" s="186">
        <f>+D58</f>
        <v>100</v>
      </c>
      <c r="E71" s="191">
        <f>+C71/D71</f>
        <v>2.3404920000000002</v>
      </c>
      <c r="F71" s="125"/>
      <c r="G71" s="184"/>
      <c r="H71" s="127"/>
      <c r="I71" s="127"/>
      <c r="J71" s="110"/>
    </row>
    <row r="72" spans="2:13" x14ac:dyDescent="0.25">
      <c r="B72" s="185"/>
      <c r="C72" s="186"/>
      <c r="D72" s="186"/>
      <c r="E72" s="191"/>
      <c r="F72" s="125"/>
      <c r="G72" s="184"/>
      <c r="H72" s="127"/>
      <c r="I72" s="127"/>
      <c r="J72" s="110"/>
    </row>
    <row r="73" spans="2:13" ht="13.5" thickBot="1" x14ac:dyDescent="0.3">
      <c r="B73" s="185" t="s">
        <v>167</v>
      </c>
      <c r="C73" s="186">
        <f>+F65</f>
        <v>61</v>
      </c>
      <c r="D73" s="186">
        <f>+D58</f>
        <v>100</v>
      </c>
      <c r="E73" s="191">
        <f>+C73/D73</f>
        <v>0.61</v>
      </c>
      <c r="F73" s="125"/>
      <c r="G73" s="184"/>
      <c r="H73" s="127"/>
      <c r="I73" s="127"/>
      <c r="J73" s="110"/>
    </row>
    <row r="74" spans="2:13" ht="13.5" thickBot="1" x14ac:dyDescent="0.3">
      <c r="B74" s="185" t="s">
        <v>168</v>
      </c>
      <c r="C74" s="186">
        <f>+F56</f>
        <v>61</v>
      </c>
      <c r="D74" s="186">
        <f>+D73</f>
        <v>100</v>
      </c>
      <c r="E74" s="187">
        <f>+C74/D74</f>
        <v>0.61</v>
      </c>
      <c r="F74" s="125"/>
      <c r="G74" s="184"/>
      <c r="H74" s="127"/>
      <c r="I74" s="127"/>
      <c r="J74" s="110"/>
    </row>
    <row r="75" spans="2:13" ht="13.5" thickBot="1" x14ac:dyDescent="0.3">
      <c r="B75" s="149"/>
      <c r="C75" s="150"/>
      <c r="D75" s="150"/>
      <c r="E75" s="191"/>
      <c r="F75" s="125"/>
      <c r="G75" s="184"/>
      <c r="H75" s="127"/>
      <c r="I75" s="127"/>
      <c r="J75" s="110"/>
    </row>
    <row r="76" spans="2:13" ht="13.5" thickBot="1" x14ac:dyDescent="0.3">
      <c r="B76" s="185" t="s">
        <v>169</v>
      </c>
      <c r="C76" s="186">
        <f>+F54</f>
        <v>0</v>
      </c>
      <c r="D76" s="186">
        <f>+D74</f>
        <v>100</v>
      </c>
      <c r="E76" s="187">
        <f>+C76/D76</f>
        <v>0</v>
      </c>
      <c r="F76" s="125"/>
      <c r="G76" s="184"/>
      <c r="H76" s="127"/>
      <c r="I76" s="127"/>
      <c r="J76" s="127"/>
    </row>
    <row r="77" spans="2:13" ht="13.5" thickBot="1" x14ac:dyDescent="0.3">
      <c r="B77" s="149"/>
      <c r="C77" s="150"/>
      <c r="D77" s="150"/>
      <c r="E77" s="191"/>
      <c r="F77" s="125"/>
      <c r="G77" s="184"/>
      <c r="H77" s="127"/>
      <c r="I77" s="127"/>
    </row>
    <row r="78" spans="2:13" ht="13.5" thickBot="1" x14ac:dyDescent="0.3">
      <c r="B78" s="617" t="s">
        <v>170</v>
      </c>
      <c r="C78" s="618"/>
      <c r="D78" s="619"/>
      <c r="E78" s="187">
        <f>+E69+E74</f>
        <v>2.9045999999999998</v>
      </c>
      <c r="G78" s="125"/>
      <c r="H78" s="184"/>
      <c r="I78" s="127"/>
      <c r="J78" s="191"/>
    </row>
    <row r="79" spans="2:13" x14ac:dyDescent="0.25">
      <c r="I79" s="184"/>
      <c r="J79" s="110"/>
    </row>
    <row r="80" spans="2:13" ht="13.5" thickBot="1" x14ac:dyDescent="0.3">
      <c r="B80" s="616" t="s">
        <v>171</v>
      </c>
      <c r="C80" s="616"/>
      <c r="D80" s="616"/>
      <c r="E80" s="616"/>
      <c r="F80" s="616"/>
      <c r="G80" s="125"/>
      <c r="H80" s="184"/>
      <c r="J80" s="110"/>
    </row>
    <row r="81" spans="1:10" ht="13.5" thickBot="1" x14ac:dyDescent="0.3">
      <c r="B81" s="185" t="s">
        <v>165</v>
      </c>
      <c r="C81" s="186">
        <f>+C69</f>
        <v>229.46</v>
      </c>
      <c r="D81" s="186">
        <f>+D60</f>
        <v>1</v>
      </c>
      <c r="E81" s="187">
        <f>+C81/D81</f>
        <v>229.46</v>
      </c>
      <c r="F81" s="125"/>
      <c r="G81" s="184"/>
      <c r="H81" s="127"/>
      <c r="I81" s="184"/>
      <c r="J81" s="110"/>
    </row>
    <row r="82" spans="1:10" x14ac:dyDescent="0.25">
      <c r="B82" s="188"/>
      <c r="C82" s="189"/>
      <c r="D82" s="190"/>
      <c r="E82" s="173"/>
      <c r="F82" s="125"/>
      <c r="G82" s="184"/>
      <c r="H82" s="127"/>
      <c r="I82" s="127"/>
      <c r="J82" s="110"/>
    </row>
    <row r="83" spans="1:10" x14ac:dyDescent="0.25">
      <c r="B83" s="185" t="s">
        <v>166</v>
      </c>
      <c r="C83" s="186">
        <f>+C71</f>
        <v>234.04920000000001</v>
      </c>
      <c r="D83" s="186">
        <f>+D60</f>
        <v>1</v>
      </c>
      <c r="E83" s="191">
        <f>+C83/D83</f>
        <v>234.04920000000001</v>
      </c>
      <c r="F83" s="125"/>
      <c r="G83" s="184"/>
      <c r="H83" s="127"/>
      <c r="I83" s="127"/>
      <c r="J83" s="110"/>
    </row>
    <row r="84" spans="1:10" x14ac:dyDescent="0.25">
      <c r="B84" s="185"/>
      <c r="C84" s="186"/>
      <c r="D84" s="186"/>
      <c r="E84" s="191"/>
      <c r="F84" s="125"/>
      <c r="G84" s="184"/>
      <c r="H84" s="127"/>
      <c r="I84" s="127"/>
      <c r="J84" s="110"/>
    </row>
    <row r="85" spans="1:10" ht="13.5" thickBot="1" x14ac:dyDescent="0.3">
      <c r="B85" s="185" t="s">
        <v>168</v>
      </c>
      <c r="C85" s="186">
        <f>+C73</f>
        <v>61</v>
      </c>
      <c r="D85" s="186">
        <f>+D60</f>
        <v>1</v>
      </c>
      <c r="E85" s="191">
        <f>+C85/D85</f>
        <v>61</v>
      </c>
      <c r="F85" s="193"/>
      <c r="G85" s="183"/>
      <c r="H85" s="109"/>
      <c r="I85" s="127"/>
    </row>
    <row r="86" spans="1:10" ht="13.5" thickBot="1" x14ac:dyDescent="0.3">
      <c r="B86" s="185" t="s">
        <v>168</v>
      </c>
      <c r="C86" s="186">
        <f>+C74</f>
        <v>61</v>
      </c>
      <c r="D86" s="186">
        <f>+D85</f>
        <v>1</v>
      </c>
      <c r="E86" s="187">
        <f>+C86/D86</f>
        <v>61</v>
      </c>
      <c r="F86" s="192"/>
      <c r="G86" s="183"/>
      <c r="H86" s="109"/>
      <c r="I86" s="109"/>
    </row>
    <row r="87" spans="1:10" x14ac:dyDescent="0.25">
      <c r="I87" s="109"/>
    </row>
    <row r="88" spans="1:10" x14ac:dyDescent="0.2">
      <c r="A88" s="620"/>
      <c r="B88" s="620"/>
      <c r="C88" s="194"/>
      <c r="D88" s="194"/>
      <c r="E88" s="195"/>
      <c r="G88" s="196"/>
    </row>
    <row r="89" spans="1:10" x14ac:dyDescent="0.2">
      <c r="A89" s="128"/>
      <c r="B89" s="197"/>
      <c r="C89" s="198"/>
      <c r="D89" s="198"/>
      <c r="E89" s="199"/>
      <c r="G89" s="196"/>
    </row>
    <row r="90" spans="1:10" x14ac:dyDescent="0.2">
      <c r="A90" s="128"/>
      <c r="B90" s="197"/>
      <c r="C90" s="200"/>
      <c r="D90" s="200"/>
      <c r="E90" s="128"/>
      <c r="G90" s="196"/>
    </row>
    <row r="91" spans="1:10" x14ac:dyDescent="0.2">
      <c r="A91" s="128"/>
      <c r="B91" s="197"/>
      <c r="C91" s="201"/>
      <c r="D91" s="201"/>
      <c r="E91" s="128"/>
      <c r="G91" s="1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AE72-D2EA-4552-836C-835981F67F26}">
  <dimension ref="A1:I54"/>
  <sheetViews>
    <sheetView topLeftCell="A3" workbookViewId="0">
      <selection activeCell="C10" sqref="C10"/>
    </sheetView>
  </sheetViews>
  <sheetFormatPr baseColWidth="10" defaultRowHeight="15" x14ac:dyDescent="0.25"/>
  <cols>
    <col min="3" max="3" width="45.7109375" bestFit="1" customWidth="1"/>
    <col min="8" max="8" width="18.7109375" customWidth="1"/>
    <col min="9" max="9" width="13.42578125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74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75</v>
      </c>
      <c r="B9" s="71" t="s">
        <v>76</v>
      </c>
      <c r="C9" t="s">
        <v>77</v>
      </c>
      <c r="D9" s="56" t="s">
        <v>78</v>
      </c>
      <c r="E9" s="13">
        <v>375</v>
      </c>
      <c r="F9" s="55" t="s">
        <v>2</v>
      </c>
      <c r="G9" s="13" t="s">
        <v>79</v>
      </c>
      <c r="H9" s="54"/>
      <c r="I9" s="53"/>
    </row>
    <row r="10" spans="1:9" x14ac:dyDescent="0.25">
      <c r="A10" s="72" t="s">
        <v>42</v>
      </c>
      <c r="B10" s="73" t="s">
        <v>42</v>
      </c>
      <c r="C10" s="100" t="s">
        <v>80</v>
      </c>
      <c r="D10" s="40" t="s">
        <v>78</v>
      </c>
      <c r="E10" s="35">
        <v>140</v>
      </c>
      <c r="F10" s="52" t="s">
        <v>2</v>
      </c>
      <c r="G10" s="35" t="s">
        <v>82</v>
      </c>
      <c r="H10" s="49"/>
      <c r="I10" s="48"/>
    </row>
    <row r="11" spans="1:9" x14ac:dyDescent="0.25">
      <c r="A11" s="72" t="s">
        <v>42</v>
      </c>
      <c r="B11" s="101" t="s">
        <v>42</v>
      </c>
      <c r="C11" s="102" t="s">
        <v>81</v>
      </c>
      <c r="D11" s="40" t="s">
        <v>78</v>
      </c>
      <c r="E11" s="46">
        <v>180</v>
      </c>
      <c r="F11" s="45" t="s">
        <v>2</v>
      </c>
      <c r="G11" s="51" t="s">
        <v>82</v>
      </c>
      <c r="H11" s="49"/>
      <c r="I11" s="48"/>
    </row>
    <row r="12" spans="1:9" x14ac:dyDescent="0.25">
      <c r="A12" s="42"/>
      <c r="B12" s="67"/>
      <c r="C12" s="41"/>
      <c r="D12" s="40"/>
      <c r="E12" s="46"/>
      <c r="F12" s="45"/>
      <c r="G12" s="51"/>
      <c r="H12" s="49"/>
      <c r="I12" s="48"/>
    </row>
    <row r="13" spans="1:9" x14ac:dyDescent="0.25">
      <c r="A13" s="42"/>
      <c r="B13" s="67"/>
      <c r="C13" s="41" t="s">
        <v>83</v>
      </c>
      <c r="D13" s="40"/>
      <c r="E13" s="46"/>
      <c r="F13" s="45"/>
      <c r="G13" s="35"/>
      <c r="H13" s="49"/>
      <c r="I13" s="48"/>
    </row>
    <row r="14" spans="1:9" x14ac:dyDescent="0.25">
      <c r="A14" s="72" t="s">
        <v>42</v>
      </c>
      <c r="B14" s="103" t="s">
        <v>42</v>
      </c>
      <c r="C14" s="104" t="s">
        <v>84</v>
      </c>
      <c r="D14" s="40" t="s">
        <v>78</v>
      </c>
      <c r="E14" s="50">
        <v>120</v>
      </c>
      <c r="F14" s="45" t="s">
        <v>2</v>
      </c>
      <c r="G14" s="35"/>
      <c r="H14" s="49"/>
      <c r="I14" s="48"/>
    </row>
    <row r="15" spans="1:9" x14ac:dyDescent="0.25">
      <c r="A15" s="71" t="s">
        <v>85</v>
      </c>
      <c r="B15" s="71" t="s">
        <v>86</v>
      </c>
      <c r="C15" t="s">
        <v>87</v>
      </c>
      <c r="D15" s="40" t="s">
        <v>78</v>
      </c>
      <c r="E15" s="50">
        <v>10</v>
      </c>
      <c r="F15" s="45" t="s">
        <v>2</v>
      </c>
      <c r="G15" s="35"/>
      <c r="H15" s="49"/>
      <c r="I15" s="48"/>
    </row>
    <row r="16" spans="1:9" x14ac:dyDescent="0.25">
      <c r="A16" s="72" t="s">
        <v>42</v>
      </c>
      <c r="B16" s="73" t="s">
        <v>42</v>
      </c>
      <c r="C16" s="100" t="s">
        <v>88</v>
      </c>
      <c r="D16" s="40" t="s">
        <v>78</v>
      </c>
      <c r="E16" s="46">
        <v>10</v>
      </c>
      <c r="F16" s="45" t="s">
        <v>2</v>
      </c>
      <c r="G16" s="751"/>
      <c r="H16" s="751"/>
      <c r="I16" s="44"/>
    </row>
    <row r="17" spans="1:9" x14ac:dyDescent="0.25">
      <c r="A17" s="72" t="s">
        <v>42</v>
      </c>
      <c r="B17" s="73" t="s">
        <v>42</v>
      </c>
      <c r="C17" s="100" t="s">
        <v>89</v>
      </c>
      <c r="D17" s="40" t="s">
        <v>78</v>
      </c>
      <c r="E17" s="46">
        <v>50</v>
      </c>
      <c r="F17" s="45" t="s">
        <v>2</v>
      </c>
      <c r="G17" s="751" t="s">
        <v>90</v>
      </c>
      <c r="H17" s="751"/>
      <c r="I17" s="44"/>
    </row>
    <row r="18" spans="1:9" x14ac:dyDescent="0.25">
      <c r="A18" s="84">
        <v>95718</v>
      </c>
      <c r="B18" s="85" t="s">
        <v>91</v>
      </c>
      <c r="C18" s="86" t="s">
        <v>92</v>
      </c>
      <c r="D18" s="40" t="s">
        <v>78</v>
      </c>
      <c r="E18" s="46">
        <v>40</v>
      </c>
      <c r="F18" s="45" t="s">
        <v>2</v>
      </c>
      <c r="G18" s="751" t="s">
        <v>93</v>
      </c>
      <c r="H18" s="751"/>
      <c r="I18" s="44"/>
    </row>
    <row r="19" spans="1:9" x14ac:dyDescent="0.25">
      <c r="A19" s="71" t="s">
        <v>116</v>
      </c>
      <c r="B19" s="71" t="s">
        <v>117</v>
      </c>
      <c r="C19" t="s">
        <v>118</v>
      </c>
      <c r="D19" s="40" t="s">
        <v>78</v>
      </c>
      <c r="E19" s="46">
        <v>50</v>
      </c>
      <c r="F19" s="45" t="s">
        <v>2</v>
      </c>
      <c r="G19" s="99"/>
      <c r="H19" s="67"/>
      <c r="I19" s="44"/>
    </row>
    <row r="20" spans="1:9" x14ac:dyDescent="0.25">
      <c r="A20" s="42"/>
      <c r="B20" s="67"/>
      <c r="C20" s="41"/>
      <c r="D20" s="40"/>
      <c r="E20" s="43"/>
      <c r="F20" s="39"/>
      <c r="G20" s="752"/>
      <c r="H20" s="753"/>
      <c r="I20" s="38"/>
    </row>
    <row r="21" spans="1:9" x14ac:dyDescent="0.25">
      <c r="A21" s="87"/>
      <c r="B21" s="87"/>
      <c r="C21" s="88" t="s">
        <v>94</v>
      </c>
      <c r="D21" s="89"/>
      <c r="E21" s="90"/>
      <c r="F21" s="81"/>
      <c r="G21" s="749"/>
      <c r="H21" s="750"/>
      <c r="I21" s="38"/>
    </row>
    <row r="22" spans="1:9" x14ac:dyDescent="0.25">
      <c r="A22" s="91">
        <v>121603</v>
      </c>
      <c r="B22" s="91" t="s">
        <v>95</v>
      </c>
      <c r="C22" s="92" t="s">
        <v>96</v>
      </c>
      <c r="D22" s="93" t="s">
        <v>97</v>
      </c>
      <c r="E22" s="90">
        <v>1</v>
      </c>
      <c r="F22" s="81" t="s">
        <v>7</v>
      </c>
      <c r="G22" s="29"/>
      <c r="H22" s="36"/>
      <c r="I22" s="33"/>
    </row>
    <row r="23" spans="1:9" x14ac:dyDescent="0.25">
      <c r="A23" s="91">
        <v>1952875</v>
      </c>
      <c r="B23" s="91" t="s">
        <v>98</v>
      </c>
      <c r="C23" s="92" t="s">
        <v>99</v>
      </c>
      <c r="D23" s="93"/>
      <c r="E23" s="90">
        <v>1</v>
      </c>
      <c r="F23" s="81">
        <v>1952875</v>
      </c>
      <c r="G23" s="29"/>
      <c r="H23" s="36"/>
      <c r="I23" s="33"/>
    </row>
    <row r="24" spans="1:9" x14ac:dyDescent="0.25">
      <c r="A24" s="94">
        <v>2172411</v>
      </c>
      <c r="B24" s="94" t="s">
        <v>100</v>
      </c>
      <c r="C24" s="95" t="s">
        <v>101</v>
      </c>
      <c r="D24" s="93" t="s">
        <v>102</v>
      </c>
      <c r="E24" s="90">
        <v>1</v>
      </c>
      <c r="F24" s="81" t="s">
        <v>7</v>
      </c>
      <c r="G24" s="29"/>
      <c r="H24" s="36"/>
      <c r="I24" s="34"/>
    </row>
    <row r="25" spans="1:9" x14ac:dyDescent="0.25">
      <c r="A25" s="94">
        <v>702012</v>
      </c>
      <c r="B25" s="94" t="s">
        <v>103</v>
      </c>
      <c r="C25" s="95" t="s">
        <v>104</v>
      </c>
      <c r="D25" s="93" t="s">
        <v>105</v>
      </c>
      <c r="E25" s="90">
        <v>1</v>
      </c>
      <c r="F25" s="81" t="s">
        <v>7</v>
      </c>
      <c r="G25" s="11"/>
      <c r="H25" s="26"/>
      <c r="I25" s="34"/>
    </row>
    <row r="26" spans="1:9" x14ac:dyDescent="0.25">
      <c r="A26" s="94">
        <v>702069</v>
      </c>
      <c r="B26" s="94" t="s">
        <v>106</v>
      </c>
      <c r="C26" s="95" t="s">
        <v>107</v>
      </c>
      <c r="D26" s="93" t="s">
        <v>108</v>
      </c>
      <c r="E26" s="90">
        <v>1</v>
      </c>
      <c r="F26" s="81" t="s">
        <v>7</v>
      </c>
      <c r="G26" s="11"/>
      <c r="H26" s="26"/>
      <c r="I26" s="34"/>
    </row>
    <row r="27" spans="1:9" ht="15.75" x14ac:dyDescent="0.25">
      <c r="A27" s="96">
        <v>702123</v>
      </c>
      <c r="B27" s="97" t="s">
        <v>67</v>
      </c>
      <c r="C27" s="95" t="s">
        <v>109</v>
      </c>
      <c r="D27" s="93" t="s">
        <v>105</v>
      </c>
      <c r="E27" s="93">
        <v>1</v>
      </c>
      <c r="F27" s="98" t="s">
        <v>7</v>
      </c>
      <c r="G27" s="11"/>
      <c r="H27" s="26"/>
      <c r="I27" s="34"/>
    </row>
    <row r="28" spans="1:9" ht="15.75" x14ac:dyDescent="0.25">
      <c r="A28" s="96">
        <v>703020</v>
      </c>
      <c r="B28" s="91" t="s">
        <v>110</v>
      </c>
      <c r="C28" s="95" t="s">
        <v>111</v>
      </c>
      <c r="D28" s="93" t="s">
        <v>112</v>
      </c>
      <c r="E28" s="93">
        <v>60</v>
      </c>
      <c r="F28" s="98" t="s">
        <v>113</v>
      </c>
      <c r="G28" s="11"/>
      <c r="H28" s="26"/>
      <c r="I28" s="33"/>
    </row>
    <row r="29" spans="1:9" x14ac:dyDescent="0.25">
      <c r="A29" s="32"/>
      <c r="B29" s="68"/>
      <c r="C29" s="31"/>
      <c r="D29" s="30"/>
      <c r="E29" s="29"/>
      <c r="F29" s="28"/>
      <c r="G29" s="11"/>
      <c r="H29" s="26"/>
      <c r="I29" s="33"/>
    </row>
    <row r="30" spans="1:9" x14ac:dyDescent="0.25">
      <c r="A30" s="32"/>
      <c r="B30" s="68"/>
      <c r="C30" s="31"/>
      <c r="D30" s="30"/>
      <c r="E30" s="29"/>
      <c r="F30" s="28"/>
      <c r="G30" s="27"/>
      <c r="H30" s="26"/>
      <c r="I30" s="25"/>
    </row>
    <row r="31" spans="1:9" ht="15.75" thickBot="1" x14ac:dyDescent="0.3">
      <c r="A31" s="24"/>
      <c r="B31" s="69"/>
      <c r="C31" s="21"/>
      <c r="D31" s="21"/>
      <c r="E31" s="23"/>
      <c r="F31" s="22"/>
      <c r="G31" s="21"/>
      <c r="H31" s="21"/>
      <c r="I31" s="20"/>
    </row>
    <row r="32" spans="1:9" ht="15.75" thickBot="1" x14ac:dyDescent="0.3">
      <c r="A32" s="19"/>
      <c r="B32" s="70"/>
      <c r="C32" s="15"/>
      <c r="D32" s="18" t="s">
        <v>15</v>
      </c>
      <c r="E32" s="17" t="s">
        <v>14</v>
      </c>
      <c r="F32" s="16"/>
      <c r="G32" s="15"/>
      <c r="H32" s="15"/>
      <c r="I32" s="14"/>
    </row>
    <row r="33" spans="1:9" x14ac:dyDescent="0.25">
      <c r="A33" s="517" t="s">
        <v>13</v>
      </c>
      <c r="B33" s="518"/>
      <c r="C33" s="519"/>
      <c r="D33" s="13">
        <v>950</v>
      </c>
      <c r="E33" s="12" t="s">
        <v>2</v>
      </c>
      <c r="F33" s="520" t="s">
        <v>12</v>
      </c>
      <c r="G33" s="520"/>
      <c r="H33" s="521"/>
      <c r="I33" s="522"/>
    </row>
    <row r="34" spans="1:9" x14ac:dyDescent="0.25">
      <c r="A34" s="523" t="s">
        <v>11</v>
      </c>
      <c r="B34" s="524"/>
      <c r="C34" s="525"/>
      <c r="D34" s="11">
        <v>7</v>
      </c>
      <c r="E34" s="11" t="s">
        <v>10</v>
      </c>
      <c r="F34" s="526" t="s">
        <v>9</v>
      </c>
      <c r="G34" s="526"/>
      <c r="H34" s="527"/>
      <c r="I34" s="528"/>
    </row>
    <row r="35" spans="1:9" x14ac:dyDescent="0.25">
      <c r="A35" s="523" t="s">
        <v>8</v>
      </c>
      <c r="B35" s="524"/>
      <c r="C35" s="525"/>
      <c r="D35" s="11">
        <v>1</v>
      </c>
      <c r="E35" s="11" t="s">
        <v>7</v>
      </c>
      <c r="F35" s="526" t="s">
        <v>6</v>
      </c>
      <c r="G35" s="526"/>
      <c r="H35" s="527"/>
      <c r="I35" s="528"/>
    </row>
    <row r="36" spans="1:9" x14ac:dyDescent="0.25">
      <c r="A36" s="523" t="s">
        <v>5</v>
      </c>
      <c r="B36" s="524"/>
      <c r="C36" s="525"/>
      <c r="D36" s="10">
        <v>900</v>
      </c>
      <c r="E36" s="9" t="s">
        <v>2</v>
      </c>
      <c r="F36" s="533" t="s">
        <v>4</v>
      </c>
      <c r="G36" s="533"/>
      <c r="H36" s="527"/>
      <c r="I36" s="528"/>
    </row>
    <row r="37" spans="1:9" ht="15.75" thickBot="1" x14ac:dyDescent="0.3">
      <c r="A37" s="534" t="s">
        <v>3</v>
      </c>
      <c r="B37" s="535"/>
      <c r="C37" s="536"/>
      <c r="D37" s="7">
        <f>SUM(E9:E19)-D33</f>
        <v>25</v>
      </c>
      <c r="E37" s="6" t="s">
        <v>2</v>
      </c>
      <c r="F37" s="537"/>
      <c r="G37" s="537"/>
      <c r="H37" s="599"/>
      <c r="I37" s="600"/>
    </row>
    <row r="38" spans="1:9" ht="15.75" thickBot="1" x14ac:dyDescent="0.3">
      <c r="A38" s="592" t="s">
        <v>1</v>
      </c>
      <c r="B38" s="593"/>
      <c r="C38" s="593"/>
      <c r="D38" s="593"/>
      <c r="E38" s="593"/>
      <c r="F38" s="593"/>
      <c r="G38" s="593"/>
      <c r="H38" s="593"/>
      <c r="I38" s="594"/>
    </row>
    <row r="39" spans="1:9" x14ac:dyDescent="0.25">
      <c r="A39" s="595" t="s">
        <v>114</v>
      </c>
      <c r="B39" s="596"/>
      <c r="C39" s="597"/>
      <c r="D39" s="597"/>
      <c r="E39" s="597"/>
      <c r="F39" s="597"/>
      <c r="G39" s="597"/>
      <c r="H39" s="597"/>
      <c r="I39" s="598"/>
    </row>
    <row r="40" spans="1:9" x14ac:dyDescent="0.25">
      <c r="A40" s="529" t="s">
        <v>115</v>
      </c>
      <c r="B40" s="530"/>
      <c r="C40" s="531"/>
      <c r="D40" s="531"/>
      <c r="E40" s="531"/>
      <c r="F40" s="531"/>
      <c r="G40" s="531"/>
      <c r="H40" s="531"/>
      <c r="I40" s="532"/>
    </row>
    <row r="41" spans="1:9" x14ac:dyDescent="0.25">
      <c r="A41" s="542" t="s">
        <v>119</v>
      </c>
      <c r="B41" s="543"/>
      <c r="C41" s="544"/>
      <c r="D41" s="544"/>
      <c r="E41" s="544"/>
      <c r="F41" s="544"/>
      <c r="G41" s="544"/>
      <c r="H41" s="544"/>
      <c r="I41" s="545"/>
    </row>
    <row r="42" spans="1:9" x14ac:dyDescent="0.25">
      <c r="A42" s="574" t="s">
        <v>120</v>
      </c>
      <c r="B42" s="575"/>
      <c r="C42" s="575"/>
      <c r="D42" s="575"/>
      <c r="E42" s="575"/>
      <c r="F42" s="575"/>
      <c r="G42" s="575"/>
      <c r="H42" s="575"/>
      <c r="I42" s="576"/>
    </row>
    <row r="43" spans="1:9" x14ac:dyDescent="0.25">
      <c r="A43" s="577"/>
      <c r="B43" s="578"/>
      <c r="C43" s="579"/>
      <c r="D43" s="579"/>
      <c r="E43" s="579"/>
      <c r="F43" s="579"/>
      <c r="G43" s="579"/>
      <c r="H43" s="579"/>
      <c r="I43" s="580"/>
    </row>
    <row r="44" spans="1:9" ht="15.75" thickBot="1" x14ac:dyDescent="0.3">
      <c r="A44" s="581"/>
      <c r="B44" s="582"/>
      <c r="C44" s="583"/>
      <c r="D44" s="583"/>
      <c r="E44" s="583"/>
      <c r="F44" s="583"/>
      <c r="G44" s="583"/>
      <c r="H44" s="583"/>
      <c r="I44" s="584"/>
    </row>
    <row r="45" spans="1:9" x14ac:dyDescent="0.25">
      <c r="A45" s="585" t="s">
        <v>0</v>
      </c>
      <c r="B45" s="586"/>
      <c r="C45" s="586"/>
      <c r="D45" s="586"/>
      <c r="E45" s="586"/>
      <c r="F45" s="586"/>
      <c r="G45" s="586"/>
      <c r="H45" s="586"/>
      <c r="I45" s="587"/>
    </row>
    <row r="46" spans="1:9" ht="15.75" thickBot="1" x14ac:dyDescent="0.3">
      <c r="A46" s="588"/>
      <c r="B46" s="589"/>
      <c r="C46" s="590"/>
      <c r="D46" s="590"/>
      <c r="E46" s="590"/>
      <c r="F46" s="590"/>
      <c r="G46" s="590"/>
      <c r="H46" s="590"/>
      <c r="I46" s="591"/>
    </row>
    <row r="47" spans="1:9" ht="15.75" thickBot="1" x14ac:dyDescent="0.3">
      <c r="A47" s="538"/>
      <c r="B47" s="539"/>
      <c r="C47" s="540"/>
      <c r="D47" s="540"/>
      <c r="E47" s="540"/>
      <c r="F47" s="540"/>
      <c r="G47" s="540"/>
      <c r="H47" s="540"/>
      <c r="I47" s="541"/>
    </row>
    <row r="48" spans="1:9" ht="15.75" thickBot="1" x14ac:dyDescent="0.3">
      <c r="A48" s="538"/>
      <c r="B48" s="539"/>
      <c r="C48" s="540"/>
      <c r="D48" s="540"/>
      <c r="E48" s="540"/>
      <c r="F48" s="540"/>
      <c r="G48" s="540"/>
      <c r="H48" s="540"/>
      <c r="I48" s="541"/>
    </row>
    <row r="49" spans="1:9" ht="15.75" thickBot="1" x14ac:dyDescent="0.3">
      <c r="A49" s="538"/>
      <c r="B49" s="539"/>
      <c r="C49" s="540"/>
      <c r="D49" s="540"/>
      <c r="E49" s="540"/>
      <c r="F49" s="540"/>
      <c r="G49" s="540"/>
      <c r="H49" s="540"/>
      <c r="I49" s="541"/>
    </row>
    <row r="50" spans="1:9" ht="15.75" thickBot="1" x14ac:dyDescent="0.3">
      <c r="A50" s="538"/>
      <c r="B50" s="539"/>
      <c r="C50" s="540"/>
      <c r="D50" s="540"/>
      <c r="E50" s="540"/>
      <c r="F50" s="540"/>
      <c r="G50" s="540"/>
      <c r="H50" s="540"/>
      <c r="I50" s="541"/>
    </row>
    <row r="51" spans="1:9" ht="15.75" thickBot="1" x14ac:dyDescent="0.3">
      <c r="A51" s="538"/>
      <c r="B51" s="539"/>
      <c r="C51" s="540"/>
      <c r="D51" s="540"/>
      <c r="E51" s="540"/>
      <c r="F51" s="540"/>
      <c r="G51" s="540"/>
      <c r="H51" s="540"/>
      <c r="I51" s="541"/>
    </row>
    <row r="52" spans="1:9" ht="15.75" thickBot="1" x14ac:dyDescent="0.3">
      <c r="A52" s="538"/>
      <c r="B52" s="539"/>
      <c r="C52" s="540"/>
      <c r="D52" s="540"/>
      <c r="E52" s="540"/>
      <c r="F52" s="540"/>
      <c r="G52" s="540"/>
      <c r="H52" s="540"/>
      <c r="I52" s="541"/>
    </row>
    <row r="53" spans="1:9" ht="15.75" thickBot="1" x14ac:dyDescent="0.3">
      <c r="A53" s="538"/>
      <c r="B53" s="539"/>
      <c r="C53" s="540"/>
      <c r="D53" s="540"/>
      <c r="E53" s="540"/>
      <c r="F53" s="540"/>
      <c r="G53" s="540"/>
      <c r="H53" s="540"/>
      <c r="I53" s="541"/>
    </row>
    <row r="54" spans="1:9" ht="15.75" thickBot="1" x14ac:dyDescent="0.3">
      <c r="A54" s="513"/>
      <c r="B54" s="514"/>
      <c r="C54" s="515"/>
      <c r="D54" s="515"/>
      <c r="E54" s="515"/>
      <c r="F54" s="515"/>
      <c r="G54" s="515"/>
      <c r="H54" s="515"/>
      <c r="I54" s="516"/>
    </row>
  </sheetData>
  <mergeCells count="54">
    <mergeCell ref="A1:B5"/>
    <mergeCell ref="C1:G1"/>
    <mergeCell ref="C2:G2"/>
    <mergeCell ref="C3:G3"/>
    <mergeCell ref="H3:H5"/>
    <mergeCell ref="G16:H16"/>
    <mergeCell ref="G17:H17"/>
    <mergeCell ref="G18:H18"/>
    <mergeCell ref="G20:H20"/>
    <mergeCell ref="I3:I5"/>
    <mergeCell ref="D4:G4"/>
    <mergeCell ref="D5:G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21:H21"/>
    <mergeCell ref="A34:C34"/>
    <mergeCell ref="F34:G34"/>
    <mergeCell ref="H34:I34"/>
    <mergeCell ref="A35:C35"/>
    <mergeCell ref="F35:G35"/>
    <mergeCell ref="H35:I35"/>
    <mergeCell ref="A33:C33"/>
    <mergeCell ref="F33:G33"/>
    <mergeCell ref="H33:I33"/>
    <mergeCell ref="A36:C36"/>
    <mergeCell ref="F36:G36"/>
    <mergeCell ref="H36:I36"/>
    <mergeCell ref="A37:C37"/>
    <mergeCell ref="F37:G37"/>
    <mergeCell ref="H37:I37"/>
    <mergeCell ref="A49:I49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3F08-EBC6-4D0B-A345-E9E3CBE078C5}">
  <dimension ref="A1:I54"/>
  <sheetViews>
    <sheetView topLeftCell="A7" workbookViewId="0">
      <selection activeCell="G13" sqref="G13"/>
    </sheetView>
  </sheetViews>
  <sheetFormatPr baseColWidth="10" defaultRowHeight="15" x14ac:dyDescent="0.25"/>
  <cols>
    <col min="3" max="3" width="41.7109375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74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75</v>
      </c>
      <c r="B9" s="71" t="s">
        <v>76</v>
      </c>
      <c r="C9" t="s">
        <v>77</v>
      </c>
      <c r="D9" s="56" t="s">
        <v>78</v>
      </c>
      <c r="E9" s="13">
        <v>375</v>
      </c>
      <c r="F9" s="55" t="s">
        <v>2</v>
      </c>
      <c r="G9" s="13" t="s">
        <v>79</v>
      </c>
      <c r="H9" s="54"/>
      <c r="I9" s="53"/>
    </row>
    <row r="10" spans="1:9" x14ac:dyDescent="0.25">
      <c r="A10" s="72" t="s">
        <v>42</v>
      </c>
      <c r="B10" s="73" t="s">
        <v>42</v>
      </c>
      <c r="C10" s="100" t="s">
        <v>80</v>
      </c>
      <c r="D10" s="40" t="s">
        <v>78</v>
      </c>
      <c r="E10" s="35">
        <v>70</v>
      </c>
      <c r="F10" s="52" t="s">
        <v>2</v>
      </c>
      <c r="G10" s="35" t="s">
        <v>189</v>
      </c>
      <c r="H10" s="49"/>
      <c r="I10" s="48"/>
    </row>
    <row r="11" spans="1:9" x14ac:dyDescent="0.25">
      <c r="A11" s="72" t="s">
        <v>42</v>
      </c>
      <c r="B11" s="101" t="s">
        <v>42</v>
      </c>
      <c r="C11" s="102" t="s">
        <v>81</v>
      </c>
      <c r="D11" s="40" t="s">
        <v>78</v>
      </c>
      <c r="E11" s="46">
        <v>80</v>
      </c>
      <c r="F11" s="45" t="s">
        <v>2</v>
      </c>
      <c r="G11" s="51" t="s">
        <v>189</v>
      </c>
      <c r="H11" s="49"/>
      <c r="I11" s="48"/>
    </row>
    <row r="12" spans="1:9" x14ac:dyDescent="0.25">
      <c r="A12" s="42"/>
      <c r="B12" s="67"/>
      <c r="C12" s="41"/>
      <c r="D12" s="40"/>
      <c r="E12" s="46"/>
      <c r="F12" s="45"/>
      <c r="G12" s="51"/>
      <c r="H12" s="49"/>
      <c r="I12" s="48"/>
    </row>
    <row r="13" spans="1:9" x14ac:dyDescent="0.25">
      <c r="A13" s="42"/>
      <c r="B13" s="67"/>
      <c r="C13" s="41" t="s">
        <v>83</v>
      </c>
      <c r="D13" s="40"/>
      <c r="E13" s="46"/>
      <c r="F13" s="45"/>
      <c r="G13" s="35"/>
      <c r="H13" s="49"/>
      <c r="I13" s="48"/>
    </row>
    <row r="14" spans="1:9" x14ac:dyDescent="0.25">
      <c r="A14" s="72" t="s">
        <v>42</v>
      </c>
      <c r="B14" s="103" t="s">
        <v>42</v>
      </c>
      <c r="C14" s="104" t="s">
        <v>84</v>
      </c>
      <c r="D14" s="40" t="s">
        <v>78</v>
      </c>
      <c r="E14" s="50">
        <v>120</v>
      </c>
      <c r="F14" s="45" t="s">
        <v>2</v>
      </c>
      <c r="G14" s="35"/>
      <c r="H14" s="49"/>
      <c r="I14" s="48"/>
    </row>
    <row r="15" spans="1:9" x14ac:dyDescent="0.25">
      <c r="A15" s="71" t="s">
        <v>85</v>
      </c>
      <c r="B15" s="71" t="s">
        <v>86</v>
      </c>
      <c r="C15" t="s">
        <v>87</v>
      </c>
      <c r="D15" s="40" t="s">
        <v>78</v>
      </c>
      <c r="E15" s="50">
        <v>10</v>
      </c>
      <c r="F15" s="45" t="s">
        <v>2</v>
      </c>
      <c r="G15" s="35"/>
      <c r="H15" s="49"/>
      <c r="I15" s="48"/>
    </row>
    <row r="16" spans="1:9" x14ac:dyDescent="0.25">
      <c r="A16" s="72" t="s">
        <v>42</v>
      </c>
      <c r="B16" s="73" t="s">
        <v>42</v>
      </c>
      <c r="C16" s="100" t="s">
        <v>88</v>
      </c>
      <c r="D16" s="40" t="s">
        <v>78</v>
      </c>
      <c r="E16" s="46">
        <v>10</v>
      </c>
      <c r="F16" s="45" t="s">
        <v>2</v>
      </c>
      <c r="G16" s="751"/>
      <c r="H16" s="751"/>
      <c r="I16" s="44"/>
    </row>
    <row r="17" spans="1:9" x14ac:dyDescent="0.25">
      <c r="A17" s="72" t="s">
        <v>42</v>
      </c>
      <c r="B17" s="73" t="s">
        <v>42</v>
      </c>
      <c r="C17" s="100" t="s">
        <v>89</v>
      </c>
      <c r="D17" s="40" t="s">
        <v>78</v>
      </c>
      <c r="E17" s="46">
        <v>50</v>
      </c>
      <c r="F17" s="45" t="s">
        <v>2</v>
      </c>
      <c r="G17" s="751" t="s">
        <v>90</v>
      </c>
      <c r="H17" s="751"/>
      <c r="I17" s="44"/>
    </row>
    <row r="18" spans="1:9" x14ac:dyDescent="0.25">
      <c r="A18" s="84">
        <v>95718</v>
      </c>
      <c r="B18" s="85" t="s">
        <v>91</v>
      </c>
      <c r="C18" s="86" t="s">
        <v>92</v>
      </c>
      <c r="D18" s="40" t="s">
        <v>78</v>
      </c>
      <c r="E18" s="46">
        <v>40</v>
      </c>
      <c r="F18" s="45" t="s">
        <v>2</v>
      </c>
      <c r="G18" s="751" t="s">
        <v>93</v>
      </c>
      <c r="H18" s="751"/>
      <c r="I18" s="44"/>
    </row>
    <row r="19" spans="1:9" x14ac:dyDescent="0.25">
      <c r="A19" s="72" t="s">
        <v>42</v>
      </c>
      <c r="B19" s="103" t="s">
        <v>42</v>
      </c>
      <c r="C19" s="104" t="s">
        <v>84</v>
      </c>
      <c r="D19" s="40" t="s">
        <v>78</v>
      </c>
      <c r="E19" s="46">
        <v>30</v>
      </c>
      <c r="F19" s="45" t="s">
        <v>2</v>
      </c>
      <c r="G19" s="751" t="s">
        <v>93</v>
      </c>
      <c r="H19" s="751"/>
      <c r="I19" s="44"/>
    </row>
    <row r="20" spans="1:9" x14ac:dyDescent="0.25">
      <c r="A20" s="42"/>
      <c r="B20" s="67"/>
      <c r="C20" s="41"/>
      <c r="D20" s="40"/>
      <c r="E20" s="43"/>
      <c r="F20" s="39"/>
      <c r="G20" s="752"/>
      <c r="H20" s="753"/>
      <c r="I20" s="38"/>
    </row>
    <row r="21" spans="1:9" x14ac:dyDescent="0.25">
      <c r="A21" s="87"/>
      <c r="B21" s="87"/>
      <c r="C21" s="88" t="s">
        <v>94</v>
      </c>
      <c r="D21" s="89"/>
      <c r="E21" s="90"/>
      <c r="F21" s="81"/>
      <c r="G21" s="749"/>
      <c r="H21" s="750"/>
      <c r="I21" s="38"/>
    </row>
    <row r="22" spans="1:9" x14ac:dyDescent="0.25">
      <c r="A22" s="204">
        <v>121603</v>
      </c>
      <c r="B22" s="204" t="s">
        <v>95</v>
      </c>
      <c r="C22" s="205" t="s">
        <v>96</v>
      </c>
      <c r="D22" s="93" t="s">
        <v>97</v>
      </c>
      <c r="E22" s="90">
        <v>1</v>
      </c>
      <c r="F22" s="81" t="s">
        <v>7</v>
      </c>
      <c r="G22" s="29"/>
      <c r="H22" s="36"/>
      <c r="I22" s="33"/>
    </row>
    <row r="23" spans="1:9" x14ac:dyDescent="0.25">
      <c r="A23" s="204">
        <v>1952875</v>
      </c>
      <c r="B23" s="204" t="s">
        <v>98</v>
      </c>
      <c r="C23" s="205" t="s">
        <v>99</v>
      </c>
      <c r="D23" s="93"/>
      <c r="E23" s="90">
        <v>1</v>
      </c>
      <c r="F23" s="81">
        <v>1952875</v>
      </c>
      <c r="G23" s="29"/>
      <c r="H23" s="36"/>
      <c r="I23" s="33"/>
    </row>
    <row r="24" spans="1:9" x14ac:dyDescent="0.25">
      <c r="A24" s="206">
        <v>2172411</v>
      </c>
      <c r="B24" s="206" t="s">
        <v>100</v>
      </c>
      <c r="C24" s="207" t="s">
        <v>101</v>
      </c>
      <c r="D24" s="93" t="s">
        <v>102</v>
      </c>
      <c r="E24" s="90">
        <v>1</v>
      </c>
      <c r="F24" s="81" t="s">
        <v>7</v>
      </c>
      <c r="G24" s="29"/>
      <c r="H24" s="36"/>
      <c r="I24" s="34"/>
    </row>
    <row r="25" spans="1:9" x14ac:dyDescent="0.25">
      <c r="A25" s="206">
        <v>702012</v>
      </c>
      <c r="B25" s="206" t="s">
        <v>103</v>
      </c>
      <c r="C25" s="207" t="s">
        <v>104</v>
      </c>
      <c r="D25" s="93" t="s">
        <v>105</v>
      </c>
      <c r="E25" s="90">
        <v>1</v>
      </c>
      <c r="F25" s="81" t="s">
        <v>7</v>
      </c>
      <c r="G25" s="11"/>
      <c r="H25" s="26"/>
      <c r="I25" s="34"/>
    </row>
    <row r="26" spans="1:9" x14ac:dyDescent="0.25">
      <c r="A26" s="206">
        <v>702069</v>
      </c>
      <c r="B26" s="206" t="s">
        <v>106</v>
      </c>
      <c r="C26" s="207" t="s">
        <v>107</v>
      </c>
      <c r="D26" s="93" t="s">
        <v>108</v>
      </c>
      <c r="E26" s="90">
        <v>1</v>
      </c>
      <c r="F26" s="81" t="s">
        <v>7</v>
      </c>
      <c r="G26" s="11"/>
      <c r="H26" s="26"/>
      <c r="I26" s="34"/>
    </row>
    <row r="27" spans="1:9" ht="15.75" x14ac:dyDescent="0.25">
      <c r="A27" s="96">
        <v>702123</v>
      </c>
      <c r="B27" s="97" t="s">
        <v>67</v>
      </c>
      <c r="C27" s="95" t="s">
        <v>109</v>
      </c>
      <c r="D27" s="93" t="s">
        <v>105</v>
      </c>
      <c r="E27" s="93">
        <v>1</v>
      </c>
      <c r="F27" s="98" t="s">
        <v>7</v>
      </c>
      <c r="G27" s="11"/>
      <c r="H27" s="26"/>
      <c r="I27" s="34"/>
    </row>
    <row r="28" spans="1:9" ht="15.75" x14ac:dyDescent="0.25">
      <c r="A28" s="96">
        <v>703020</v>
      </c>
      <c r="B28" s="91" t="s">
        <v>110</v>
      </c>
      <c r="C28" s="95" t="s">
        <v>111</v>
      </c>
      <c r="D28" s="93" t="s">
        <v>112</v>
      </c>
      <c r="E28" s="93">
        <v>60</v>
      </c>
      <c r="F28" s="98" t="s">
        <v>113</v>
      </c>
      <c r="G28" s="11"/>
      <c r="H28" s="26"/>
      <c r="I28" s="33"/>
    </row>
    <row r="29" spans="1:9" x14ac:dyDescent="0.25">
      <c r="A29" s="32"/>
      <c r="B29" s="68"/>
      <c r="C29" s="31"/>
      <c r="D29" s="30"/>
      <c r="E29" s="29"/>
      <c r="F29" s="28"/>
      <c r="G29" s="11"/>
      <c r="H29" s="26"/>
      <c r="I29" s="33"/>
    </row>
    <row r="30" spans="1:9" x14ac:dyDescent="0.25">
      <c r="A30" s="32"/>
      <c r="B30" s="68"/>
      <c r="C30" s="31"/>
      <c r="D30" s="30"/>
      <c r="E30" s="29"/>
      <c r="F30" s="28"/>
      <c r="G30" s="27"/>
      <c r="H30" s="26"/>
      <c r="I30" s="25"/>
    </row>
    <row r="31" spans="1:9" ht="15.75" thickBot="1" x14ac:dyDescent="0.3">
      <c r="A31" s="24"/>
      <c r="B31" s="69"/>
      <c r="C31" s="21"/>
      <c r="D31" s="21"/>
      <c r="E31" s="23"/>
      <c r="F31" s="22"/>
      <c r="G31" s="21"/>
      <c r="H31" s="21"/>
      <c r="I31" s="20"/>
    </row>
    <row r="32" spans="1:9" ht="15.75" thickBot="1" x14ac:dyDescent="0.3">
      <c r="A32" s="19"/>
      <c r="B32" s="70"/>
      <c r="C32" s="15"/>
      <c r="D32" s="18" t="s">
        <v>15</v>
      </c>
      <c r="E32" s="17" t="s">
        <v>14</v>
      </c>
      <c r="F32" s="16"/>
      <c r="G32" s="15"/>
      <c r="H32" s="15"/>
      <c r="I32" s="14"/>
    </row>
    <row r="33" spans="1:9" x14ac:dyDescent="0.25">
      <c r="A33" s="517" t="s">
        <v>13</v>
      </c>
      <c r="B33" s="518"/>
      <c r="C33" s="519"/>
      <c r="D33" s="13">
        <v>785</v>
      </c>
      <c r="E33" s="12" t="s">
        <v>2</v>
      </c>
      <c r="F33" s="520" t="s">
        <v>12</v>
      </c>
      <c r="G33" s="520"/>
      <c r="H33" s="521"/>
      <c r="I33" s="522"/>
    </row>
    <row r="34" spans="1:9" x14ac:dyDescent="0.25">
      <c r="A34" s="523" t="s">
        <v>11</v>
      </c>
      <c r="B34" s="524"/>
      <c r="C34" s="525"/>
      <c r="D34" s="11">
        <v>7</v>
      </c>
      <c r="E34" s="11" t="s">
        <v>10</v>
      </c>
      <c r="F34" s="526" t="s">
        <v>9</v>
      </c>
      <c r="G34" s="526"/>
      <c r="H34" s="527"/>
      <c r="I34" s="528"/>
    </row>
    <row r="35" spans="1:9" x14ac:dyDescent="0.25">
      <c r="A35" s="523" t="s">
        <v>8</v>
      </c>
      <c r="B35" s="524"/>
      <c r="C35" s="525"/>
      <c r="D35" s="11">
        <v>1</v>
      </c>
      <c r="E35" s="11" t="s">
        <v>7</v>
      </c>
      <c r="F35" s="526" t="s">
        <v>6</v>
      </c>
      <c r="G35" s="526"/>
      <c r="H35" s="527"/>
      <c r="I35" s="528"/>
    </row>
    <row r="36" spans="1:9" x14ac:dyDescent="0.25">
      <c r="A36" s="523" t="s">
        <v>5</v>
      </c>
      <c r="B36" s="524"/>
      <c r="C36" s="525"/>
      <c r="D36" s="10">
        <v>785</v>
      </c>
      <c r="E36" s="9" t="s">
        <v>2</v>
      </c>
      <c r="F36" s="533" t="s">
        <v>4</v>
      </c>
      <c r="G36" s="533"/>
      <c r="H36" s="527"/>
      <c r="I36" s="528"/>
    </row>
    <row r="37" spans="1:9" ht="15.75" thickBot="1" x14ac:dyDescent="0.3">
      <c r="A37" s="534" t="s">
        <v>3</v>
      </c>
      <c r="B37" s="535"/>
      <c r="C37" s="536"/>
      <c r="D37" s="7">
        <v>0</v>
      </c>
      <c r="E37" s="6" t="s">
        <v>2</v>
      </c>
      <c r="F37" s="537"/>
      <c r="G37" s="537"/>
      <c r="H37" s="599"/>
      <c r="I37" s="600"/>
    </row>
    <row r="38" spans="1:9" ht="15.75" thickBot="1" x14ac:dyDescent="0.3">
      <c r="A38" s="592" t="s">
        <v>1</v>
      </c>
      <c r="B38" s="593"/>
      <c r="C38" s="593"/>
      <c r="D38" s="593"/>
      <c r="E38" s="593"/>
      <c r="F38" s="593"/>
      <c r="G38" s="593"/>
      <c r="H38" s="593"/>
      <c r="I38" s="594"/>
    </row>
    <row r="39" spans="1:9" x14ac:dyDescent="0.25">
      <c r="A39" s="595" t="s">
        <v>114</v>
      </c>
      <c r="B39" s="596"/>
      <c r="C39" s="597"/>
      <c r="D39" s="597"/>
      <c r="E39" s="597"/>
      <c r="F39" s="597"/>
      <c r="G39" s="597"/>
      <c r="H39" s="597"/>
      <c r="I39" s="598"/>
    </row>
    <row r="40" spans="1:9" x14ac:dyDescent="0.25">
      <c r="A40" s="529" t="s">
        <v>115</v>
      </c>
      <c r="B40" s="530"/>
      <c r="C40" s="531"/>
      <c r="D40" s="531"/>
      <c r="E40" s="531"/>
      <c r="F40" s="531"/>
      <c r="G40" s="531"/>
      <c r="H40" s="531"/>
      <c r="I40" s="532"/>
    </row>
    <row r="41" spans="1:9" x14ac:dyDescent="0.25">
      <c r="A41" s="542" t="s">
        <v>190</v>
      </c>
      <c r="B41" s="543"/>
      <c r="C41" s="544"/>
      <c r="D41" s="544"/>
      <c r="E41" s="544"/>
      <c r="F41" s="544"/>
      <c r="G41" s="544"/>
      <c r="H41" s="544"/>
      <c r="I41" s="545"/>
    </row>
    <row r="42" spans="1:9" x14ac:dyDescent="0.25">
      <c r="A42" s="574" t="s">
        <v>120</v>
      </c>
      <c r="B42" s="575"/>
      <c r="C42" s="575"/>
      <c r="D42" s="575"/>
      <c r="E42" s="575"/>
      <c r="F42" s="575"/>
      <c r="G42" s="575"/>
      <c r="H42" s="575"/>
      <c r="I42" s="576"/>
    </row>
    <row r="43" spans="1:9" x14ac:dyDescent="0.25">
      <c r="A43" s="577"/>
      <c r="B43" s="578"/>
      <c r="C43" s="579"/>
      <c r="D43" s="579"/>
      <c r="E43" s="579"/>
      <c r="F43" s="579"/>
      <c r="G43" s="579"/>
      <c r="H43" s="579"/>
      <c r="I43" s="580"/>
    </row>
    <row r="44" spans="1:9" ht="15.75" thickBot="1" x14ac:dyDescent="0.3">
      <c r="A44" s="581"/>
      <c r="B44" s="582"/>
      <c r="C44" s="583"/>
      <c r="D44" s="583"/>
      <c r="E44" s="583"/>
      <c r="F44" s="583"/>
      <c r="G44" s="583"/>
      <c r="H44" s="583"/>
      <c r="I44" s="584"/>
    </row>
    <row r="45" spans="1:9" x14ac:dyDescent="0.25">
      <c r="A45" s="585" t="s">
        <v>0</v>
      </c>
      <c r="B45" s="586"/>
      <c r="C45" s="586"/>
      <c r="D45" s="586"/>
      <c r="E45" s="586"/>
      <c r="F45" s="586"/>
      <c r="G45" s="586"/>
      <c r="H45" s="586"/>
      <c r="I45" s="587"/>
    </row>
    <row r="46" spans="1:9" ht="15.75" thickBot="1" x14ac:dyDescent="0.3">
      <c r="A46" s="588"/>
      <c r="B46" s="589"/>
      <c r="C46" s="590"/>
      <c r="D46" s="590"/>
      <c r="E46" s="590"/>
      <c r="F46" s="590"/>
      <c r="G46" s="590"/>
      <c r="H46" s="590"/>
      <c r="I46" s="591"/>
    </row>
    <row r="47" spans="1:9" ht="15.75" thickBot="1" x14ac:dyDescent="0.3">
      <c r="A47" s="538"/>
      <c r="B47" s="539"/>
      <c r="C47" s="540"/>
      <c r="D47" s="540"/>
      <c r="E47" s="540"/>
      <c r="F47" s="540"/>
      <c r="G47" s="540"/>
      <c r="H47" s="540"/>
      <c r="I47" s="541"/>
    </row>
    <row r="48" spans="1:9" ht="15.75" thickBot="1" x14ac:dyDescent="0.3">
      <c r="A48" s="538"/>
      <c r="B48" s="539"/>
      <c r="C48" s="540"/>
      <c r="D48" s="540"/>
      <c r="E48" s="540"/>
      <c r="F48" s="540"/>
      <c r="G48" s="540"/>
      <c r="H48" s="540"/>
      <c r="I48" s="541"/>
    </row>
    <row r="49" spans="1:9" ht="15.75" thickBot="1" x14ac:dyDescent="0.3">
      <c r="A49" s="538"/>
      <c r="B49" s="539"/>
      <c r="C49" s="540"/>
      <c r="D49" s="540"/>
      <c r="E49" s="540"/>
      <c r="F49" s="540"/>
      <c r="G49" s="540"/>
      <c r="H49" s="540"/>
      <c r="I49" s="541"/>
    </row>
    <row r="50" spans="1:9" ht="15.75" thickBot="1" x14ac:dyDescent="0.3">
      <c r="A50" s="538"/>
      <c r="B50" s="539"/>
      <c r="C50" s="540"/>
      <c r="D50" s="540"/>
      <c r="E50" s="540"/>
      <c r="F50" s="540"/>
      <c r="G50" s="540"/>
      <c r="H50" s="540"/>
      <c r="I50" s="541"/>
    </row>
    <row r="51" spans="1:9" ht="15.75" thickBot="1" x14ac:dyDescent="0.3">
      <c r="A51" s="538"/>
      <c r="B51" s="539"/>
      <c r="C51" s="540"/>
      <c r="D51" s="540"/>
      <c r="E51" s="540"/>
      <c r="F51" s="540"/>
      <c r="G51" s="540"/>
      <c r="H51" s="540"/>
      <c r="I51" s="541"/>
    </row>
    <row r="52" spans="1:9" ht="15.75" thickBot="1" x14ac:dyDescent="0.3">
      <c r="A52" s="538"/>
      <c r="B52" s="539"/>
      <c r="C52" s="540"/>
      <c r="D52" s="540"/>
      <c r="E52" s="540"/>
      <c r="F52" s="540"/>
      <c r="G52" s="540"/>
      <c r="H52" s="540"/>
      <c r="I52" s="541"/>
    </row>
    <row r="53" spans="1:9" ht="15.75" thickBot="1" x14ac:dyDescent="0.3">
      <c r="A53" s="538"/>
      <c r="B53" s="539"/>
      <c r="C53" s="540"/>
      <c r="D53" s="540"/>
      <c r="E53" s="540"/>
      <c r="F53" s="540"/>
      <c r="G53" s="540"/>
      <c r="H53" s="540"/>
      <c r="I53" s="541"/>
    </row>
    <row r="54" spans="1:9" ht="15.75" thickBot="1" x14ac:dyDescent="0.3">
      <c r="A54" s="513"/>
      <c r="B54" s="514"/>
      <c r="C54" s="515"/>
      <c r="D54" s="515"/>
      <c r="E54" s="515"/>
      <c r="F54" s="515"/>
      <c r="G54" s="515"/>
      <c r="H54" s="515"/>
      <c r="I54" s="516"/>
    </row>
  </sheetData>
  <mergeCells count="55">
    <mergeCell ref="A51:I51"/>
    <mergeCell ref="A52:I52"/>
    <mergeCell ref="A53:I53"/>
    <mergeCell ref="A54:I54"/>
    <mergeCell ref="A49:I49"/>
    <mergeCell ref="A38:I38"/>
    <mergeCell ref="A39:I39"/>
    <mergeCell ref="A40:I40"/>
    <mergeCell ref="A50:I50"/>
    <mergeCell ref="A34:C34"/>
    <mergeCell ref="F34:G34"/>
    <mergeCell ref="H34:I34"/>
    <mergeCell ref="A35:C35"/>
    <mergeCell ref="F35:G35"/>
    <mergeCell ref="A47:I47"/>
    <mergeCell ref="A48:I48"/>
    <mergeCell ref="H35:I35"/>
    <mergeCell ref="H3:H5"/>
    <mergeCell ref="G20:H20"/>
    <mergeCell ref="I3:I5"/>
    <mergeCell ref="G19:H19"/>
    <mergeCell ref="G21:H21"/>
    <mergeCell ref="D4:G4"/>
    <mergeCell ref="D5:G5"/>
    <mergeCell ref="A1:B5"/>
    <mergeCell ref="C1:G1"/>
    <mergeCell ref="C2:G2"/>
    <mergeCell ref="C3:G3"/>
    <mergeCell ref="A46:I46"/>
    <mergeCell ref="A36:C36"/>
    <mergeCell ref="F36:G36"/>
    <mergeCell ref="H36:I36"/>
    <mergeCell ref="A37:C37"/>
    <mergeCell ref="F37:G37"/>
    <mergeCell ref="H37:I37"/>
    <mergeCell ref="A41:I41"/>
    <mergeCell ref="A42:I42"/>
    <mergeCell ref="A43:I43"/>
    <mergeCell ref="A44:I44"/>
    <mergeCell ref="A45:I45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6:H16"/>
    <mergeCell ref="G17:H17"/>
    <mergeCell ref="G18:H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EB9A-6746-425B-A290-FEDC3E918A40}">
  <dimension ref="A1:N41"/>
  <sheetViews>
    <sheetView workbookViewId="0">
      <selection activeCell="D10" sqref="D10"/>
    </sheetView>
  </sheetViews>
  <sheetFormatPr baseColWidth="10" defaultColWidth="9.28515625" defaultRowHeight="13.5" x14ac:dyDescent="0.25"/>
  <cols>
    <col min="1" max="1" width="10" style="5" bestFit="1" customWidth="1"/>
    <col min="2" max="2" width="16.28515625" style="5" customWidth="1"/>
    <col min="3" max="3" width="16.42578125" style="5" customWidth="1"/>
    <col min="4" max="4" width="38.28515625" style="5" customWidth="1"/>
    <col min="5" max="5" width="15" style="5" bestFit="1" customWidth="1"/>
    <col min="6" max="6" width="9.7109375" style="5" bestFit="1" customWidth="1"/>
    <col min="7" max="8" width="11.7109375" style="5" customWidth="1"/>
    <col min="9" max="9" width="14.28515625" style="5" customWidth="1"/>
    <col min="10" max="10" width="22.28515625" style="5" customWidth="1"/>
    <col min="11" max="256" width="9.28515625" style="5"/>
    <col min="257" max="257" width="10" style="5" bestFit="1" customWidth="1"/>
    <col min="258" max="258" width="16.28515625" style="5" customWidth="1"/>
    <col min="259" max="259" width="16.42578125" style="5" customWidth="1"/>
    <col min="260" max="260" width="38.28515625" style="5" customWidth="1"/>
    <col min="261" max="261" width="15" style="5" bestFit="1" customWidth="1"/>
    <col min="262" max="262" width="9.7109375" style="5" bestFit="1" customWidth="1"/>
    <col min="263" max="264" width="11.7109375" style="5" customWidth="1"/>
    <col min="265" max="265" width="14.28515625" style="5" customWidth="1"/>
    <col min="266" max="266" width="22.28515625" style="5" customWidth="1"/>
    <col min="267" max="512" width="9.28515625" style="5"/>
    <col min="513" max="513" width="10" style="5" bestFit="1" customWidth="1"/>
    <col min="514" max="514" width="16.28515625" style="5" customWidth="1"/>
    <col min="515" max="515" width="16.42578125" style="5" customWidth="1"/>
    <col min="516" max="516" width="38.28515625" style="5" customWidth="1"/>
    <col min="517" max="517" width="15" style="5" bestFit="1" customWidth="1"/>
    <col min="518" max="518" width="9.7109375" style="5" bestFit="1" customWidth="1"/>
    <col min="519" max="520" width="11.7109375" style="5" customWidth="1"/>
    <col min="521" max="521" width="14.28515625" style="5" customWidth="1"/>
    <col min="522" max="522" width="22.28515625" style="5" customWidth="1"/>
    <col min="523" max="768" width="9.28515625" style="5"/>
    <col min="769" max="769" width="10" style="5" bestFit="1" customWidth="1"/>
    <col min="770" max="770" width="16.28515625" style="5" customWidth="1"/>
    <col min="771" max="771" width="16.42578125" style="5" customWidth="1"/>
    <col min="772" max="772" width="38.28515625" style="5" customWidth="1"/>
    <col min="773" max="773" width="15" style="5" bestFit="1" customWidth="1"/>
    <col min="774" max="774" width="9.7109375" style="5" bestFit="1" customWidth="1"/>
    <col min="775" max="776" width="11.7109375" style="5" customWidth="1"/>
    <col min="777" max="777" width="14.28515625" style="5" customWidth="1"/>
    <col min="778" max="778" width="22.28515625" style="5" customWidth="1"/>
    <col min="779" max="1024" width="9.28515625" style="5"/>
    <col min="1025" max="1025" width="10" style="5" bestFit="1" customWidth="1"/>
    <col min="1026" max="1026" width="16.28515625" style="5" customWidth="1"/>
    <col min="1027" max="1027" width="16.42578125" style="5" customWidth="1"/>
    <col min="1028" max="1028" width="38.28515625" style="5" customWidth="1"/>
    <col min="1029" max="1029" width="15" style="5" bestFit="1" customWidth="1"/>
    <col min="1030" max="1030" width="9.7109375" style="5" bestFit="1" customWidth="1"/>
    <col min="1031" max="1032" width="11.7109375" style="5" customWidth="1"/>
    <col min="1033" max="1033" width="14.28515625" style="5" customWidth="1"/>
    <col min="1034" max="1034" width="22.28515625" style="5" customWidth="1"/>
    <col min="1035" max="1280" width="9.28515625" style="5"/>
    <col min="1281" max="1281" width="10" style="5" bestFit="1" customWidth="1"/>
    <col min="1282" max="1282" width="16.28515625" style="5" customWidth="1"/>
    <col min="1283" max="1283" width="16.42578125" style="5" customWidth="1"/>
    <col min="1284" max="1284" width="38.28515625" style="5" customWidth="1"/>
    <col min="1285" max="1285" width="15" style="5" bestFit="1" customWidth="1"/>
    <col min="1286" max="1286" width="9.7109375" style="5" bestFit="1" customWidth="1"/>
    <col min="1287" max="1288" width="11.7109375" style="5" customWidth="1"/>
    <col min="1289" max="1289" width="14.28515625" style="5" customWidth="1"/>
    <col min="1290" max="1290" width="22.28515625" style="5" customWidth="1"/>
    <col min="1291" max="1536" width="9.28515625" style="5"/>
    <col min="1537" max="1537" width="10" style="5" bestFit="1" customWidth="1"/>
    <col min="1538" max="1538" width="16.28515625" style="5" customWidth="1"/>
    <col min="1539" max="1539" width="16.42578125" style="5" customWidth="1"/>
    <col min="1540" max="1540" width="38.28515625" style="5" customWidth="1"/>
    <col min="1541" max="1541" width="15" style="5" bestFit="1" customWidth="1"/>
    <col min="1542" max="1542" width="9.7109375" style="5" bestFit="1" customWidth="1"/>
    <col min="1543" max="1544" width="11.7109375" style="5" customWidth="1"/>
    <col min="1545" max="1545" width="14.28515625" style="5" customWidth="1"/>
    <col min="1546" max="1546" width="22.28515625" style="5" customWidth="1"/>
    <col min="1547" max="1792" width="9.28515625" style="5"/>
    <col min="1793" max="1793" width="10" style="5" bestFit="1" customWidth="1"/>
    <col min="1794" max="1794" width="16.28515625" style="5" customWidth="1"/>
    <col min="1795" max="1795" width="16.42578125" style="5" customWidth="1"/>
    <col min="1796" max="1796" width="38.28515625" style="5" customWidth="1"/>
    <col min="1797" max="1797" width="15" style="5" bestFit="1" customWidth="1"/>
    <col min="1798" max="1798" width="9.7109375" style="5" bestFit="1" customWidth="1"/>
    <col min="1799" max="1800" width="11.7109375" style="5" customWidth="1"/>
    <col min="1801" max="1801" width="14.28515625" style="5" customWidth="1"/>
    <col min="1802" max="1802" width="22.28515625" style="5" customWidth="1"/>
    <col min="1803" max="2048" width="9.28515625" style="5"/>
    <col min="2049" max="2049" width="10" style="5" bestFit="1" customWidth="1"/>
    <col min="2050" max="2050" width="16.28515625" style="5" customWidth="1"/>
    <col min="2051" max="2051" width="16.42578125" style="5" customWidth="1"/>
    <col min="2052" max="2052" width="38.28515625" style="5" customWidth="1"/>
    <col min="2053" max="2053" width="15" style="5" bestFit="1" customWidth="1"/>
    <col min="2054" max="2054" width="9.7109375" style="5" bestFit="1" customWidth="1"/>
    <col min="2055" max="2056" width="11.7109375" style="5" customWidth="1"/>
    <col min="2057" max="2057" width="14.28515625" style="5" customWidth="1"/>
    <col min="2058" max="2058" width="22.28515625" style="5" customWidth="1"/>
    <col min="2059" max="2304" width="9.28515625" style="5"/>
    <col min="2305" max="2305" width="10" style="5" bestFit="1" customWidth="1"/>
    <col min="2306" max="2306" width="16.28515625" style="5" customWidth="1"/>
    <col min="2307" max="2307" width="16.42578125" style="5" customWidth="1"/>
    <col min="2308" max="2308" width="38.28515625" style="5" customWidth="1"/>
    <col min="2309" max="2309" width="15" style="5" bestFit="1" customWidth="1"/>
    <col min="2310" max="2310" width="9.7109375" style="5" bestFit="1" customWidth="1"/>
    <col min="2311" max="2312" width="11.7109375" style="5" customWidth="1"/>
    <col min="2313" max="2313" width="14.28515625" style="5" customWidth="1"/>
    <col min="2314" max="2314" width="22.28515625" style="5" customWidth="1"/>
    <col min="2315" max="2560" width="9.28515625" style="5"/>
    <col min="2561" max="2561" width="10" style="5" bestFit="1" customWidth="1"/>
    <col min="2562" max="2562" width="16.28515625" style="5" customWidth="1"/>
    <col min="2563" max="2563" width="16.42578125" style="5" customWidth="1"/>
    <col min="2564" max="2564" width="38.28515625" style="5" customWidth="1"/>
    <col min="2565" max="2565" width="15" style="5" bestFit="1" customWidth="1"/>
    <col min="2566" max="2566" width="9.7109375" style="5" bestFit="1" customWidth="1"/>
    <col min="2567" max="2568" width="11.7109375" style="5" customWidth="1"/>
    <col min="2569" max="2569" width="14.28515625" style="5" customWidth="1"/>
    <col min="2570" max="2570" width="22.28515625" style="5" customWidth="1"/>
    <col min="2571" max="2816" width="9.28515625" style="5"/>
    <col min="2817" max="2817" width="10" style="5" bestFit="1" customWidth="1"/>
    <col min="2818" max="2818" width="16.28515625" style="5" customWidth="1"/>
    <col min="2819" max="2819" width="16.42578125" style="5" customWidth="1"/>
    <col min="2820" max="2820" width="38.28515625" style="5" customWidth="1"/>
    <col min="2821" max="2821" width="15" style="5" bestFit="1" customWidth="1"/>
    <col min="2822" max="2822" width="9.7109375" style="5" bestFit="1" customWidth="1"/>
    <col min="2823" max="2824" width="11.7109375" style="5" customWidth="1"/>
    <col min="2825" max="2825" width="14.28515625" style="5" customWidth="1"/>
    <col min="2826" max="2826" width="22.28515625" style="5" customWidth="1"/>
    <col min="2827" max="3072" width="9.28515625" style="5"/>
    <col min="3073" max="3073" width="10" style="5" bestFit="1" customWidth="1"/>
    <col min="3074" max="3074" width="16.28515625" style="5" customWidth="1"/>
    <col min="3075" max="3075" width="16.42578125" style="5" customWidth="1"/>
    <col min="3076" max="3076" width="38.28515625" style="5" customWidth="1"/>
    <col min="3077" max="3077" width="15" style="5" bestFit="1" customWidth="1"/>
    <col min="3078" max="3078" width="9.7109375" style="5" bestFit="1" customWidth="1"/>
    <col min="3079" max="3080" width="11.7109375" style="5" customWidth="1"/>
    <col min="3081" max="3081" width="14.28515625" style="5" customWidth="1"/>
    <col min="3082" max="3082" width="22.28515625" style="5" customWidth="1"/>
    <col min="3083" max="3328" width="9.28515625" style="5"/>
    <col min="3329" max="3329" width="10" style="5" bestFit="1" customWidth="1"/>
    <col min="3330" max="3330" width="16.28515625" style="5" customWidth="1"/>
    <col min="3331" max="3331" width="16.42578125" style="5" customWidth="1"/>
    <col min="3332" max="3332" width="38.28515625" style="5" customWidth="1"/>
    <col min="3333" max="3333" width="15" style="5" bestFit="1" customWidth="1"/>
    <col min="3334" max="3334" width="9.7109375" style="5" bestFit="1" customWidth="1"/>
    <col min="3335" max="3336" width="11.7109375" style="5" customWidth="1"/>
    <col min="3337" max="3337" width="14.28515625" style="5" customWidth="1"/>
    <col min="3338" max="3338" width="22.28515625" style="5" customWidth="1"/>
    <col min="3339" max="3584" width="9.28515625" style="5"/>
    <col min="3585" max="3585" width="10" style="5" bestFit="1" customWidth="1"/>
    <col min="3586" max="3586" width="16.28515625" style="5" customWidth="1"/>
    <col min="3587" max="3587" width="16.42578125" style="5" customWidth="1"/>
    <col min="3588" max="3588" width="38.28515625" style="5" customWidth="1"/>
    <col min="3589" max="3589" width="15" style="5" bestFit="1" customWidth="1"/>
    <col min="3590" max="3590" width="9.7109375" style="5" bestFit="1" customWidth="1"/>
    <col min="3591" max="3592" width="11.7109375" style="5" customWidth="1"/>
    <col min="3593" max="3593" width="14.28515625" style="5" customWidth="1"/>
    <col min="3594" max="3594" width="22.28515625" style="5" customWidth="1"/>
    <col min="3595" max="3840" width="9.28515625" style="5"/>
    <col min="3841" max="3841" width="10" style="5" bestFit="1" customWidth="1"/>
    <col min="3842" max="3842" width="16.28515625" style="5" customWidth="1"/>
    <col min="3843" max="3843" width="16.42578125" style="5" customWidth="1"/>
    <col min="3844" max="3844" width="38.28515625" style="5" customWidth="1"/>
    <col min="3845" max="3845" width="15" style="5" bestFit="1" customWidth="1"/>
    <col min="3846" max="3846" width="9.7109375" style="5" bestFit="1" customWidth="1"/>
    <col min="3847" max="3848" width="11.7109375" style="5" customWidth="1"/>
    <col min="3849" max="3849" width="14.28515625" style="5" customWidth="1"/>
    <col min="3850" max="3850" width="22.28515625" style="5" customWidth="1"/>
    <col min="3851" max="4096" width="9.28515625" style="5"/>
    <col min="4097" max="4097" width="10" style="5" bestFit="1" customWidth="1"/>
    <col min="4098" max="4098" width="16.28515625" style="5" customWidth="1"/>
    <col min="4099" max="4099" width="16.42578125" style="5" customWidth="1"/>
    <col min="4100" max="4100" width="38.28515625" style="5" customWidth="1"/>
    <col min="4101" max="4101" width="15" style="5" bestFit="1" customWidth="1"/>
    <col min="4102" max="4102" width="9.7109375" style="5" bestFit="1" customWidth="1"/>
    <col min="4103" max="4104" width="11.7109375" style="5" customWidth="1"/>
    <col min="4105" max="4105" width="14.28515625" style="5" customWidth="1"/>
    <col min="4106" max="4106" width="22.28515625" style="5" customWidth="1"/>
    <col min="4107" max="4352" width="9.28515625" style="5"/>
    <col min="4353" max="4353" width="10" style="5" bestFit="1" customWidth="1"/>
    <col min="4354" max="4354" width="16.28515625" style="5" customWidth="1"/>
    <col min="4355" max="4355" width="16.42578125" style="5" customWidth="1"/>
    <col min="4356" max="4356" width="38.28515625" style="5" customWidth="1"/>
    <col min="4357" max="4357" width="15" style="5" bestFit="1" customWidth="1"/>
    <col min="4358" max="4358" width="9.7109375" style="5" bestFit="1" customWidth="1"/>
    <col min="4359" max="4360" width="11.7109375" style="5" customWidth="1"/>
    <col min="4361" max="4361" width="14.28515625" style="5" customWidth="1"/>
    <col min="4362" max="4362" width="22.28515625" style="5" customWidth="1"/>
    <col min="4363" max="4608" width="9.28515625" style="5"/>
    <col min="4609" max="4609" width="10" style="5" bestFit="1" customWidth="1"/>
    <col min="4610" max="4610" width="16.28515625" style="5" customWidth="1"/>
    <col min="4611" max="4611" width="16.42578125" style="5" customWidth="1"/>
    <col min="4612" max="4612" width="38.28515625" style="5" customWidth="1"/>
    <col min="4613" max="4613" width="15" style="5" bestFit="1" customWidth="1"/>
    <col min="4614" max="4614" width="9.7109375" style="5" bestFit="1" customWidth="1"/>
    <col min="4615" max="4616" width="11.7109375" style="5" customWidth="1"/>
    <col min="4617" max="4617" width="14.28515625" style="5" customWidth="1"/>
    <col min="4618" max="4618" width="22.28515625" style="5" customWidth="1"/>
    <col min="4619" max="4864" width="9.28515625" style="5"/>
    <col min="4865" max="4865" width="10" style="5" bestFit="1" customWidth="1"/>
    <col min="4866" max="4866" width="16.28515625" style="5" customWidth="1"/>
    <col min="4867" max="4867" width="16.42578125" style="5" customWidth="1"/>
    <col min="4868" max="4868" width="38.28515625" style="5" customWidth="1"/>
    <col min="4869" max="4869" width="15" style="5" bestFit="1" customWidth="1"/>
    <col min="4870" max="4870" width="9.7109375" style="5" bestFit="1" customWidth="1"/>
    <col min="4871" max="4872" width="11.7109375" style="5" customWidth="1"/>
    <col min="4873" max="4873" width="14.28515625" style="5" customWidth="1"/>
    <col min="4874" max="4874" width="22.28515625" style="5" customWidth="1"/>
    <col min="4875" max="5120" width="9.28515625" style="5"/>
    <col min="5121" max="5121" width="10" style="5" bestFit="1" customWidth="1"/>
    <col min="5122" max="5122" width="16.28515625" style="5" customWidth="1"/>
    <col min="5123" max="5123" width="16.42578125" style="5" customWidth="1"/>
    <col min="5124" max="5124" width="38.28515625" style="5" customWidth="1"/>
    <col min="5125" max="5125" width="15" style="5" bestFit="1" customWidth="1"/>
    <col min="5126" max="5126" width="9.7109375" style="5" bestFit="1" customWidth="1"/>
    <col min="5127" max="5128" width="11.7109375" style="5" customWidth="1"/>
    <col min="5129" max="5129" width="14.28515625" style="5" customWidth="1"/>
    <col min="5130" max="5130" width="22.28515625" style="5" customWidth="1"/>
    <col min="5131" max="5376" width="9.28515625" style="5"/>
    <col min="5377" max="5377" width="10" style="5" bestFit="1" customWidth="1"/>
    <col min="5378" max="5378" width="16.28515625" style="5" customWidth="1"/>
    <col min="5379" max="5379" width="16.42578125" style="5" customWidth="1"/>
    <col min="5380" max="5380" width="38.28515625" style="5" customWidth="1"/>
    <col min="5381" max="5381" width="15" style="5" bestFit="1" customWidth="1"/>
    <col min="5382" max="5382" width="9.7109375" style="5" bestFit="1" customWidth="1"/>
    <col min="5383" max="5384" width="11.7109375" style="5" customWidth="1"/>
    <col min="5385" max="5385" width="14.28515625" style="5" customWidth="1"/>
    <col min="5386" max="5386" width="22.28515625" style="5" customWidth="1"/>
    <col min="5387" max="5632" width="9.28515625" style="5"/>
    <col min="5633" max="5633" width="10" style="5" bestFit="1" customWidth="1"/>
    <col min="5634" max="5634" width="16.28515625" style="5" customWidth="1"/>
    <col min="5635" max="5635" width="16.42578125" style="5" customWidth="1"/>
    <col min="5636" max="5636" width="38.28515625" style="5" customWidth="1"/>
    <col min="5637" max="5637" width="15" style="5" bestFit="1" customWidth="1"/>
    <col min="5638" max="5638" width="9.7109375" style="5" bestFit="1" customWidth="1"/>
    <col min="5639" max="5640" width="11.7109375" style="5" customWidth="1"/>
    <col min="5641" max="5641" width="14.28515625" style="5" customWidth="1"/>
    <col min="5642" max="5642" width="22.28515625" style="5" customWidth="1"/>
    <col min="5643" max="5888" width="9.28515625" style="5"/>
    <col min="5889" max="5889" width="10" style="5" bestFit="1" customWidth="1"/>
    <col min="5890" max="5890" width="16.28515625" style="5" customWidth="1"/>
    <col min="5891" max="5891" width="16.42578125" style="5" customWidth="1"/>
    <col min="5892" max="5892" width="38.28515625" style="5" customWidth="1"/>
    <col min="5893" max="5893" width="15" style="5" bestFit="1" customWidth="1"/>
    <col min="5894" max="5894" width="9.7109375" style="5" bestFit="1" customWidth="1"/>
    <col min="5895" max="5896" width="11.7109375" style="5" customWidth="1"/>
    <col min="5897" max="5897" width="14.28515625" style="5" customWidth="1"/>
    <col min="5898" max="5898" width="22.28515625" style="5" customWidth="1"/>
    <col min="5899" max="6144" width="9.28515625" style="5"/>
    <col min="6145" max="6145" width="10" style="5" bestFit="1" customWidth="1"/>
    <col min="6146" max="6146" width="16.28515625" style="5" customWidth="1"/>
    <col min="6147" max="6147" width="16.42578125" style="5" customWidth="1"/>
    <col min="6148" max="6148" width="38.28515625" style="5" customWidth="1"/>
    <col min="6149" max="6149" width="15" style="5" bestFit="1" customWidth="1"/>
    <col min="6150" max="6150" width="9.7109375" style="5" bestFit="1" customWidth="1"/>
    <col min="6151" max="6152" width="11.7109375" style="5" customWidth="1"/>
    <col min="6153" max="6153" width="14.28515625" style="5" customWidth="1"/>
    <col min="6154" max="6154" width="22.28515625" style="5" customWidth="1"/>
    <col min="6155" max="6400" width="9.28515625" style="5"/>
    <col min="6401" max="6401" width="10" style="5" bestFit="1" customWidth="1"/>
    <col min="6402" max="6402" width="16.28515625" style="5" customWidth="1"/>
    <col min="6403" max="6403" width="16.42578125" style="5" customWidth="1"/>
    <col min="6404" max="6404" width="38.28515625" style="5" customWidth="1"/>
    <col min="6405" max="6405" width="15" style="5" bestFit="1" customWidth="1"/>
    <col min="6406" max="6406" width="9.7109375" style="5" bestFit="1" customWidth="1"/>
    <col min="6407" max="6408" width="11.7109375" style="5" customWidth="1"/>
    <col min="6409" max="6409" width="14.28515625" style="5" customWidth="1"/>
    <col min="6410" max="6410" width="22.28515625" style="5" customWidth="1"/>
    <col min="6411" max="6656" width="9.28515625" style="5"/>
    <col min="6657" max="6657" width="10" style="5" bestFit="1" customWidth="1"/>
    <col min="6658" max="6658" width="16.28515625" style="5" customWidth="1"/>
    <col min="6659" max="6659" width="16.42578125" style="5" customWidth="1"/>
    <col min="6660" max="6660" width="38.28515625" style="5" customWidth="1"/>
    <col min="6661" max="6661" width="15" style="5" bestFit="1" customWidth="1"/>
    <col min="6662" max="6662" width="9.7109375" style="5" bestFit="1" customWidth="1"/>
    <col min="6663" max="6664" width="11.7109375" style="5" customWidth="1"/>
    <col min="6665" max="6665" width="14.28515625" style="5" customWidth="1"/>
    <col min="6666" max="6666" width="22.28515625" style="5" customWidth="1"/>
    <col min="6667" max="6912" width="9.28515625" style="5"/>
    <col min="6913" max="6913" width="10" style="5" bestFit="1" customWidth="1"/>
    <col min="6914" max="6914" width="16.28515625" style="5" customWidth="1"/>
    <col min="6915" max="6915" width="16.42578125" style="5" customWidth="1"/>
    <col min="6916" max="6916" width="38.28515625" style="5" customWidth="1"/>
    <col min="6917" max="6917" width="15" style="5" bestFit="1" customWidth="1"/>
    <col min="6918" max="6918" width="9.7109375" style="5" bestFit="1" customWidth="1"/>
    <col min="6919" max="6920" width="11.7109375" style="5" customWidth="1"/>
    <col min="6921" max="6921" width="14.28515625" style="5" customWidth="1"/>
    <col min="6922" max="6922" width="22.28515625" style="5" customWidth="1"/>
    <col min="6923" max="7168" width="9.28515625" style="5"/>
    <col min="7169" max="7169" width="10" style="5" bestFit="1" customWidth="1"/>
    <col min="7170" max="7170" width="16.28515625" style="5" customWidth="1"/>
    <col min="7171" max="7171" width="16.42578125" style="5" customWidth="1"/>
    <col min="7172" max="7172" width="38.28515625" style="5" customWidth="1"/>
    <col min="7173" max="7173" width="15" style="5" bestFit="1" customWidth="1"/>
    <col min="7174" max="7174" width="9.7109375" style="5" bestFit="1" customWidth="1"/>
    <col min="7175" max="7176" width="11.7109375" style="5" customWidth="1"/>
    <col min="7177" max="7177" width="14.28515625" style="5" customWidth="1"/>
    <col min="7178" max="7178" width="22.28515625" style="5" customWidth="1"/>
    <col min="7179" max="7424" width="9.28515625" style="5"/>
    <col min="7425" max="7425" width="10" style="5" bestFit="1" customWidth="1"/>
    <col min="7426" max="7426" width="16.28515625" style="5" customWidth="1"/>
    <col min="7427" max="7427" width="16.42578125" style="5" customWidth="1"/>
    <col min="7428" max="7428" width="38.28515625" style="5" customWidth="1"/>
    <col min="7429" max="7429" width="15" style="5" bestFit="1" customWidth="1"/>
    <col min="7430" max="7430" width="9.7109375" style="5" bestFit="1" customWidth="1"/>
    <col min="7431" max="7432" width="11.7109375" style="5" customWidth="1"/>
    <col min="7433" max="7433" width="14.28515625" style="5" customWidth="1"/>
    <col min="7434" max="7434" width="22.28515625" style="5" customWidth="1"/>
    <col min="7435" max="7680" width="9.28515625" style="5"/>
    <col min="7681" max="7681" width="10" style="5" bestFit="1" customWidth="1"/>
    <col min="7682" max="7682" width="16.28515625" style="5" customWidth="1"/>
    <col min="7683" max="7683" width="16.42578125" style="5" customWidth="1"/>
    <col min="7684" max="7684" width="38.28515625" style="5" customWidth="1"/>
    <col min="7685" max="7685" width="15" style="5" bestFit="1" customWidth="1"/>
    <col min="7686" max="7686" width="9.7109375" style="5" bestFit="1" customWidth="1"/>
    <col min="7687" max="7688" width="11.7109375" style="5" customWidth="1"/>
    <col min="7689" max="7689" width="14.28515625" style="5" customWidth="1"/>
    <col min="7690" max="7690" width="22.28515625" style="5" customWidth="1"/>
    <col min="7691" max="7936" width="9.28515625" style="5"/>
    <col min="7937" max="7937" width="10" style="5" bestFit="1" customWidth="1"/>
    <col min="7938" max="7938" width="16.28515625" style="5" customWidth="1"/>
    <col min="7939" max="7939" width="16.42578125" style="5" customWidth="1"/>
    <col min="7940" max="7940" width="38.28515625" style="5" customWidth="1"/>
    <col min="7941" max="7941" width="15" style="5" bestFit="1" customWidth="1"/>
    <col min="7942" max="7942" width="9.7109375" style="5" bestFit="1" customWidth="1"/>
    <col min="7943" max="7944" width="11.7109375" style="5" customWidth="1"/>
    <col min="7945" max="7945" width="14.28515625" style="5" customWidth="1"/>
    <col min="7946" max="7946" width="22.28515625" style="5" customWidth="1"/>
    <col min="7947" max="8192" width="9.28515625" style="5"/>
    <col min="8193" max="8193" width="10" style="5" bestFit="1" customWidth="1"/>
    <col min="8194" max="8194" width="16.28515625" style="5" customWidth="1"/>
    <col min="8195" max="8195" width="16.42578125" style="5" customWidth="1"/>
    <col min="8196" max="8196" width="38.28515625" style="5" customWidth="1"/>
    <col min="8197" max="8197" width="15" style="5" bestFit="1" customWidth="1"/>
    <col min="8198" max="8198" width="9.7109375" style="5" bestFit="1" customWidth="1"/>
    <col min="8199" max="8200" width="11.7109375" style="5" customWidth="1"/>
    <col min="8201" max="8201" width="14.28515625" style="5" customWidth="1"/>
    <col min="8202" max="8202" width="22.28515625" style="5" customWidth="1"/>
    <col min="8203" max="8448" width="9.28515625" style="5"/>
    <col min="8449" max="8449" width="10" style="5" bestFit="1" customWidth="1"/>
    <col min="8450" max="8450" width="16.28515625" style="5" customWidth="1"/>
    <col min="8451" max="8451" width="16.42578125" style="5" customWidth="1"/>
    <col min="8452" max="8452" width="38.28515625" style="5" customWidth="1"/>
    <col min="8453" max="8453" width="15" style="5" bestFit="1" customWidth="1"/>
    <col min="8454" max="8454" width="9.7109375" style="5" bestFit="1" customWidth="1"/>
    <col min="8455" max="8456" width="11.7109375" style="5" customWidth="1"/>
    <col min="8457" max="8457" width="14.28515625" style="5" customWidth="1"/>
    <col min="8458" max="8458" width="22.28515625" style="5" customWidth="1"/>
    <col min="8459" max="8704" width="9.28515625" style="5"/>
    <col min="8705" max="8705" width="10" style="5" bestFit="1" customWidth="1"/>
    <col min="8706" max="8706" width="16.28515625" style="5" customWidth="1"/>
    <col min="8707" max="8707" width="16.42578125" style="5" customWidth="1"/>
    <col min="8708" max="8708" width="38.28515625" style="5" customWidth="1"/>
    <col min="8709" max="8709" width="15" style="5" bestFit="1" customWidth="1"/>
    <col min="8710" max="8710" width="9.7109375" style="5" bestFit="1" customWidth="1"/>
    <col min="8711" max="8712" width="11.7109375" style="5" customWidth="1"/>
    <col min="8713" max="8713" width="14.28515625" style="5" customWidth="1"/>
    <col min="8714" max="8714" width="22.28515625" style="5" customWidth="1"/>
    <col min="8715" max="8960" width="9.28515625" style="5"/>
    <col min="8961" max="8961" width="10" style="5" bestFit="1" customWidth="1"/>
    <col min="8962" max="8962" width="16.28515625" style="5" customWidth="1"/>
    <col min="8963" max="8963" width="16.42578125" style="5" customWidth="1"/>
    <col min="8964" max="8964" width="38.28515625" style="5" customWidth="1"/>
    <col min="8965" max="8965" width="15" style="5" bestFit="1" customWidth="1"/>
    <col min="8966" max="8966" width="9.7109375" style="5" bestFit="1" customWidth="1"/>
    <col min="8967" max="8968" width="11.7109375" style="5" customWidth="1"/>
    <col min="8969" max="8969" width="14.28515625" style="5" customWidth="1"/>
    <col min="8970" max="8970" width="22.28515625" style="5" customWidth="1"/>
    <col min="8971" max="9216" width="9.28515625" style="5"/>
    <col min="9217" max="9217" width="10" style="5" bestFit="1" customWidth="1"/>
    <col min="9218" max="9218" width="16.28515625" style="5" customWidth="1"/>
    <col min="9219" max="9219" width="16.42578125" style="5" customWidth="1"/>
    <col min="9220" max="9220" width="38.28515625" style="5" customWidth="1"/>
    <col min="9221" max="9221" width="15" style="5" bestFit="1" customWidth="1"/>
    <col min="9222" max="9222" width="9.7109375" style="5" bestFit="1" customWidth="1"/>
    <col min="9223" max="9224" width="11.7109375" style="5" customWidth="1"/>
    <col min="9225" max="9225" width="14.28515625" style="5" customWidth="1"/>
    <col min="9226" max="9226" width="22.28515625" style="5" customWidth="1"/>
    <col min="9227" max="9472" width="9.28515625" style="5"/>
    <col min="9473" max="9473" width="10" style="5" bestFit="1" customWidth="1"/>
    <col min="9474" max="9474" width="16.28515625" style="5" customWidth="1"/>
    <col min="9475" max="9475" width="16.42578125" style="5" customWidth="1"/>
    <col min="9476" max="9476" width="38.28515625" style="5" customWidth="1"/>
    <col min="9477" max="9477" width="15" style="5" bestFit="1" customWidth="1"/>
    <col min="9478" max="9478" width="9.7109375" style="5" bestFit="1" customWidth="1"/>
    <col min="9479" max="9480" width="11.7109375" style="5" customWidth="1"/>
    <col min="9481" max="9481" width="14.28515625" style="5" customWidth="1"/>
    <col min="9482" max="9482" width="22.28515625" style="5" customWidth="1"/>
    <col min="9483" max="9728" width="9.28515625" style="5"/>
    <col min="9729" max="9729" width="10" style="5" bestFit="1" customWidth="1"/>
    <col min="9730" max="9730" width="16.28515625" style="5" customWidth="1"/>
    <col min="9731" max="9731" width="16.42578125" style="5" customWidth="1"/>
    <col min="9732" max="9732" width="38.28515625" style="5" customWidth="1"/>
    <col min="9733" max="9733" width="15" style="5" bestFit="1" customWidth="1"/>
    <col min="9734" max="9734" width="9.7109375" style="5" bestFit="1" customWidth="1"/>
    <col min="9735" max="9736" width="11.7109375" style="5" customWidth="1"/>
    <col min="9737" max="9737" width="14.28515625" style="5" customWidth="1"/>
    <col min="9738" max="9738" width="22.28515625" style="5" customWidth="1"/>
    <col min="9739" max="9984" width="9.28515625" style="5"/>
    <col min="9985" max="9985" width="10" style="5" bestFit="1" customWidth="1"/>
    <col min="9986" max="9986" width="16.28515625" style="5" customWidth="1"/>
    <col min="9987" max="9987" width="16.42578125" style="5" customWidth="1"/>
    <col min="9988" max="9988" width="38.28515625" style="5" customWidth="1"/>
    <col min="9989" max="9989" width="15" style="5" bestFit="1" customWidth="1"/>
    <col min="9990" max="9990" width="9.7109375" style="5" bestFit="1" customWidth="1"/>
    <col min="9991" max="9992" width="11.7109375" style="5" customWidth="1"/>
    <col min="9993" max="9993" width="14.28515625" style="5" customWidth="1"/>
    <col min="9994" max="9994" width="22.28515625" style="5" customWidth="1"/>
    <col min="9995" max="10240" width="9.28515625" style="5"/>
    <col min="10241" max="10241" width="10" style="5" bestFit="1" customWidth="1"/>
    <col min="10242" max="10242" width="16.28515625" style="5" customWidth="1"/>
    <col min="10243" max="10243" width="16.42578125" style="5" customWidth="1"/>
    <col min="10244" max="10244" width="38.28515625" style="5" customWidth="1"/>
    <col min="10245" max="10245" width="15" style="5" bestFit="1" customWidth="1"/>
    <col min="10246" max="10246" width="9.7109375" style="5" bestFit="1" customWidth="1"/>
    <col min="10247" max="10248" width="11.7109375" style="5" customWidth="1"/>
    <col min="10249" max="10249" width="14.28515625" style="5" customWidth="1"/>
    <col min="10250" max="10250" width="22.28515625" style="5" customWidth="1"/>
    <col min="10251" max="10496" width="9.28515625" style="5"/>
    <col min="10497" max="10497" width="10" style="5" bestFit="1" customWidth="1"/>
    <col min="10498" max="10498" width="16.28515625" style="5" customWidth="1"/>
    <col min="10499" max="10499" width="16.42578125" style="5" customWidth="1"/>
    <col min="10500" max="10500" width="38.28515625" style="5" customWidth="1"/>
    <col min="10501" max="10501" width="15" style="5" bestFit="1" customWidth="1"/>
    <col min="10502" max="10502" width="9.7109375" style="5" bestFit="1" customWidth="1"/>
    <col min="10503" max="10504" width="11.7109375" style="5" customWidth="1"/>
    <col min="10505" max="10505" width="14.28515625" style="5" customWidth="1"/>
    <col min="10506" max="10506" width="22.28515625" style="5" customWidth="1"/>
    <col min="10507" max="10752" width="9.28515625" style="5"/>
    <col min="10753" max="10753" width="10" style="5" bestFit="1" customWidth="1"/>
    <col min="10754" max="10754" width="16.28515625" style="5" customWidth="1"/>
    <col min="10755" max="10755" width="16.42578125" style="5" customWidth="1"/>
    <col min="10756" max="10756" width="38.28515625" style="5" customWidth="1"/>
    <col min="10757" max="10757" width="15" style="5" bestFit="1" customWidth="1"/>
    <col min="10758" max="10758" width="9.7109375" style="5" bestFit="1" customWidth="1"/>
    <col min="10759" max="10760" width="11.7109375" style="5" customWidth="1"/>
    <col min="10761" max="10761" width="14.28515625" style="5" customWidth="1"/>
    <col min="10762" max="10762" width="22.28515625" style="5" customWidth="1"/>
    <col min="10763" max="11008" width="9.28515625" style="5"/>
    <col min="11009" max="11009" width="10" style="5" bestFit="1" customWidth="1"/>
    <col min="11010" max="11010" width="16.28515625" style="5" customWidth="1"/>
    <col min="11011" max="11011" width="16.42578125" style="5" customWidth="1"/>
    <col min="11012" max="11012" width="38.28515625" style="5" customWidth="1"/>
    <col min="11013" max="11013" width="15" style="5" bestFit="1" customWidth="1"/>
    <col min="11014" max="11014" width="9.7109375" style="5" bestFit="1" customWidth="1"/>
    <col min="11015" max="11016" width="11.7109375" style="5" customWidth="1"/>
    <col min="11017" max="11017" width="14.28515625" style="5" customWidth="1"/>
    <col min="11018" max="11018" width="22.28515625" style="5" customWidth="1"/>
    <col min="11019" max="11264" width="9.28515625" style="5"/>
    <col min="11265" max="11265" width="10" style="5" bestFit="1" customWidth="1"/>
    <col min="11266" max="11266" width="16.28515625" style="5" customWidth="1"/>
    <col min="11267" max="11267" width="16.42578125" style="5" customWidth="1"/>
    <col min="11268" max="11268" width="38.28515625" style="5" customWidth="1"/>
    <col min="11269" max="11269" width="15" style="5" bestFit="1" customWidth="1"/>
    <col min="11270" max="11270" width="9.7109375" style="5" bestFit="1" customWidth="1"/>
    <col min="11271" max="11272" width="11.7109375" style="5" customWidth="1"/>
    <col min="11273" max="11273" width="14.28515625" style="5" customWidth="1"/>
    <col min="11274" max="11274" width="22.28515625" style="5" customWidth="1"/>
    <col min="11275" max="11520" width="9.28515625" style="5"/>
    <col min="11521" max="11521" width="10" style="5" bestFit="1" customWidth="1"/>
    <col min="11522" max="11522" width="16.28515625" style="5" customWidth="1"/>
    <col min="11523" max="11523" width="16.42578125" style="5" customWidth="1"/>
    <col min="11524" max="11524" width="38.28515625" style="5" customWidth="1"/>
    <col min="11525" max="11525" width="15" style="5" bestFit="1" customWidth="1"/>
    <col min="11526" max="11526" width="9.7109375" style="5" bestFit="1" customWidth="1"/>
    <col min="11527" max="11528" width="11.7109375" style="5" customWidth="1"/>
    <col min="11529" max="11529" width="14.28515625" style="5" customWidth="1"/>
    <col min="11530" max="11530" width="22.28515625" style="5" customWidth="1"/>
    <col min="11531" max="11776" width="9.28515625" style="5"/>
    <col min="11777" max="11777" width="10" style="5" bestFit="1" customWidth="1"/>
    <col min="11778" max="11778" width="16.28515625" style="5" customWidth="1"/>
    <col min="11779" max="11779" width="16.42578125" style="5" customWidth="1"/>
    <col min="11780" max="11780" width="38.28515625" style="5" customWidth="1"/>
    <col min="11781" max="11781" width="15" style="5" bestFit="1" customWidth="1"/>
    <col min="11782" max="11782" width="9.7109375" style="5" bestFit="1" customWidth="1"/>
    <col min="11783" max="11784" width="11.7109375" style="5" customWidth="1"/>
    <col min="11785" max="11785" width="14.28515625" style="5" customWidth="1"/>
    <col min="11786" max="11786" width="22.28515625" style="5" customWidth="1"/>
    <col min="11787" max="12032" width="9.28515625" style="5"/>
    <col min="12033" max="12033" width="10" style="5" bestFit="1" customWidth="1"/>
    <col min="12034" max="12034" width="16.28515625" style="5" customWidth="1"/>
    <col min="12035" max="12035" width="16.42578125" style="5" customWidth="1"/>
    <col min="12036" max="12036" width="38.28515625" style="5" customWidth="1"/>
    <col min="12037" max="12037" width="15" style="5" bestFit="1" customWidth="1"/>
    <col min="12038" max="12038" width="9.7109375" style="5" bestFit="1" customWidth="1"/>
    <col min="12039" max="12040" width="11.7109375" style="5" customWidth="1"/>
    <col min="12041" max="12041" width="14.28515625" style="5" customWidth="1"/>
    <col min="12042" max="12042" width="22.28515625" style="5" customWidth="1"/>
    <col min="12043" max="12288" width="9.28515625" style="5"/>
    <col min="12289" max="12289" width="10" style="5" bestFit="1" customWidth="1"/>
    <col min="12290" max="12290" width="16.28515625" style="5" customWidth="1"/>
    <col min="12291" max="12291" width="16.42578125" style="5" customWidth="1"/>
    <col min="12292" max="12292" width="38.28515625" style="5" customWidth="1"/>
    <col min="12293" max="12293" width="15" style="5" bestFit="1" customWidth="1"/>
    <col min="12294" max="12294" width="9.7109375" style="5" bestFit="1" customWidth="1"/>
    <col min="12295" max="12296" width="11.7109375" style="5" customWidth="1"/>
    <col min="12297" max="12297" width="14.28515625" style="5" customWidth="1"/>
    <col min="12298" max="12298" width="22.28515625" style="5" customWidth="1"/>
    <col min="12299" max="12544" width="9.28515625" style="5"/>
    <col min="12545" max="12545" width="10" style="5" bestFit="1" customWidth="1"/>
    <col min="12546" max="12546" width="16.28515625" style="5" customWidth="1"/>
    <col min="12547" max="12547" width="16.42578125" style="5" customWidth="1"/>
    <col min="12548" max="12548" width="38.28515625" style="5" customWidth="1"/>
    <col min="12549" max="12549" width="15" style="5" bestFit="1" customWidth="1"/>
    <col min="12550" max="12550" width="9.7109375" style="5" bestFit="1" customWidth="1"/>
    <col min="12551" max="12552" width="11.7109375" style="5" customWidth="1"/>
    <col min="12553" max="12553" width="14.28515625" style="5" customWidth="1"/>
    <col min="12554" max="12554" width="22.28515625" style="5" customWidth="1"/>
    <col min="12555" max="12800" width="9.28515625" style="5"/>
    <col min="12801" max="12801" width="10" style="5" bestFit="1" customWidth="1"/>
    <col min="12802" max="12802" width="16.28515625" style="5" customWidth="1"/>
    <col min="12803" max="12803" width="16.42578125" style="5" customWidth="1"/>
    <col min="12804" max="12804" width="38.28515625" style="5" customWidth="1"/>
    <col min="12805" max="12805" width="15" style="5" bestFit="1" customWidth="1"/>
    <col min="12806" max="12806" width="9.7109375" style="5" bestFit="1" customWidth="1"/>
    <col min="12807" max="12808" width="11.7109375" style="5" customWidth="1"/>
    <col min="12809" max="12809" width="14.28515625" style="5" customWidth="1"/>
    <col min="12810" max="12810" width="22.28515625" style="5" customWidth="1"/>
    <col min="12811" max="13056" width="9.28515625" style="5"/>
    <col min="13057" max="13057" width="10" style="5" bestFit="1" customWidth="1"/>
    <col min="13058" max="13058" width="16.28515625" style="5" customWidth="1"/>
    <col min="13059" max="13059" width="16.42578125" style="5" customWidth="1"/>
    <col min="13060" max="13060" width="38.28515625" style="5" customWidth="1"/>
    <col min="13061" max="13061" width="15" style="5" bestFit="1" customWidth="1"/>
    <col min="13062" max="13062" width="9.7109375" style="5" bestFit="1" customWidth="1"/>
    <col min="13063" max="13064" width="11.7109375" style="5" customWidth="1"/>
    <col min="13065" max="13065" width="14.28515625" style="5" customWidth="1"/>
    <col min="13066" max="13066" width="22.28515625" style="5" customWidth="1"/>
    <col min="13067" max="13312" width="9.28515625" style="5"/>
    <col min="13313" max="13313" width="10" style="5" bestFit="1" customWidth="1"/>
    <col min="13314" max="13314" width="16.28515625" style="5" customWidth="1"/>
    <col min="13315" max="13315" width="16.42578125" style="5" customWidth="1"/>
    <col min="13316" max="13316" width="38.28515625" style="5" customWidth="1"/>
    <col min="13317" max="13317" width="15" style="5" bestFit="1" customWidth="1"/>
    <col min="13318" max="13318" width="9.7109375" style="5" bestFit="1" customWidth="1"/>
    <col min="13319" max="13320" width="11.7109375" style="5" customWidth="1"/>
    <col min="13321" max="13321" width="14.28515625" style="5" customWidth="1"/>
    <col min="13322" max="13322" width="22.28515625" style="5" customWidth="1"/>
    <col min="13323" max="13568" width="9.28515625" style="5"/>
    <col min="13569" max="13569" width="10" style="5" bestFit="1" customWidth="1"/>
    <col min="13570" max="13570" width="16.28515625" style="5" customWidth="1"/>
    <col min="13571" max="13571" width="16.42578125" style="5" customWidth="1"/>
    <col min="13572" max="13572" width="38.28515625" style="5" customWidth="1"/>
    <col min="13573" max="13573" width="15" style="5" bestFit="1" customWidth="1"/>
    <col min="13574" max="13574" width="9.7109375" style="5" bestFit="1" customWidth="1"/>
    <col min="13575" max="13576" width="11.7109375" style="5" customWidth="1"/>
    <col min="13577" max="13577" width="14.28515625" style="5" customWidth="1"/>
    <col min="13578" max="13578" width="22.28515625" style="5" customWidth="1"/>
    <col min="13579" max="13824" width="9.28515625" style="5"/>
    <col min="13825" max="13825" width="10" style="5" bestFit="1" customWidth="1"/>
    <col min="13826" max="13826" width="16.28515625" style="5" customWidth="1"/>
    <col min="13827" max="13827" width="16.42578125" style="5" customWidth="1"/>
    <col min="13828" max="13828" width="38.28515625" style="5" customWidth="1"/>
    <col min="13829" max="13829" width="15" style="5" bestFit="1" customWidth="1"/>
    <col min="13830" max="13830" width="9.7109375" style="5" bestFit="1" customWidth="1"/>
    <col min="13831" max="13832" width="11.7109375" style="5" customWidth="1"/>
    <col min="13833" max="13833" width="14.28515625" style="5" customWidth="1"/>
    <col min="13834" max="13834" width="22.28515625" style="5" customWidth="1"/>
    <col min="13835" max="14080" width="9.28515625" style="5"/>
    <col min="14081" max="14081" width="10" style="5" bestFit="1" customWidth="1"/>
    <col min="14082" max="14082" width="16.28515625" style="5" customWidth="1"/>
    <col min="14083" max="14083" width="16.42578125" style="5" customWidth="1"/>
    <col min="14084" max="14084" width="38.28515625" style="5" customWidth="1"/>
    <col min="14085" max="14085" width="15" style="5" bestFit="1" customWidth="1"/>
    <col min="14086" max="14086" width="9.7109375" style="5" bestFit="1" customWidth="1"/>
    <col min="14087" max="14088" width="11.7109375" style="5" customWidth="1"/>
    <col min="14089" max="14089" width="14.28515625" style="5" customWidth="1"/>
    <col min="14090" max="14090" width="22.28515625" style="5" customWidth="1"/>
    <col min="14091" max="14336" width="9.28515625" style="5"/>
    <col min="14337" max="14337" width="10" style="5" bestFit="1" customWidth="1"/>
    <col min="14338" max="14338" width="16.28515625" style="5" customWidth="1"/>
    <col min="14339" max="14339" width="16.42578125" style="5" customWidth="1"/>
    <col min="14340" max="14340" width="38.28515625" style="5" customWidth="1"/>
    <col min="14341" max="14341" width="15" style="5" bestFit="1" customWidth="1"/>
    <col min="14342" max="14342" width="9.7109375" style="5" bestFit="1" customWidth="1"/>
    <col min="14343" max="14344" width="11.7109375" style="5" customWidth="1"/>
    <col min="14345" max="14345" width="14.28515625" style="5" customWidth="1"/>
    <col min="14346" max="14346" width="22.28515625" style="5" customWidth="1"/>
    <col min="14347" max="14592" width="9.28515625" style="5"/>
    <col min="14593" max="14593" width="10" style="5" bestFit="1" customWidth="1"/>
    <col min="14594" max="14594" width="16.28515625" style="5" customWidth="1"/>
    <col min="14595" max="14595" width="16.42578125" style="5" customWidth="1"/>
    <col min="14596" max="14596" width="38.28515625" style="5" customWidth="1"/>
    <col min="14597" max="14597" width="15" style="5" bestFit="1" customWidth="1"/>
    <col min="14598" max="14598" width="9.7109375" style="5" bestFit="1" customWidth="1"/>
    <col min="14599" max="14600" width="11.7109375" style="5" customWidth="1"/>
    <col min="14601" max="14601" width="14.28515625" style="5" customWidth="1"/>
    <col min="14602" max="14602" width="22.28515625" style="5" customWidth="1"/>
    <col min="14603" max="14848" width="9.28515625" style="5"/>
    <col min="14849" max="14849" width="10" style="5" bestFit="1" customWidth="1"/>
    <col min="14850" max="14850" width="16.28515625" style="5" customWidth="1"/>
    <col min="14851" max="14851" width="16.42578125" style="5" customWidth="1"/>
    <col min="14852" max="14852" width="38.28515625" style="5" customWidth="1"/>
    <col min="14853" max="14853" width="15" style="5" bestFit="1" customWidth="1"/>
    <col min="14854" max="14854" width="9.7109375" style="5" bestFit="1" customWidth="1"/>
    <col min="14855" max="14856" width="11.7109375" style="5" customWidth="1"/>
    <col min="14857" max="14857" width="14.28515625" style="5" customWidth="1"/>
    <col min="14858" max="14858" width="22.28515625" style="5" customWidth="1"/>
    <col min="14859" max="15104" width="9.28515625" style="5"/>
    <col min="15105" max="15105" width="10" style="5" bestFit="1" customWidth="1"/>
    <col min="15106" max="15106" width="16.28515625" style="5" customWidth="1"/>
    <col min="15107" max="15107" width="16.42578125" style="5" customWidth="1"/>
    <col min="15108" max="15108" width="38.28515625" style="5" customWidth="1"/>
    <col min="15109" max="15109" width="15" style="5" bestFit="1" customWidth="1"/>
    <col min="15110" max="15110" width="9.7109375" style="5" bestFit="1" customWidth="1"/>
    <col min="15111" max="15112" width="11.7109375" style="5" customWidth="1"/>
    <col min="15113" max="15113" width="14.28515625" style="5" customWidth="1"/>
    <col min="15114" max="15114" width="22.28515625" style="5" customWidth="1"/>
    <col min="15115" max="15360" width="9.28515625" style="5"/>
    <col min="15361" max="15361" width="10" style="5" bestFit="1" customWidth="1"/>
    <col min="15362" max="15362" width="16.28515625" style="5" customWidth="1"/>
    <col min="15363" max="15363" width="16.42578125" style="5" customWidth="1"/>
    <col min="15364" max="15364" width="38.28515625" style="5" customWidth="1"/>
    <col min="15365" max="15365" width="15" style="5" bestFit="1" customWidth="1"/>
    <col min="15366" max="15366" width="9.7109375" style="5" bestFit="1" customWidth="1"/>
    <col min="15367" max="15368" width="11.7109375" style="5" customWidth="1"/>
    <col min="15369" max="15369" width="14.28515625" style="5" customWidth="1"/>
    <col min="15370" max="15370" width="22.28515625" style="5" customWidth="1"/>
    <col min="15371" max="15616" width="9.28515625" style="5"/>
    <col min="15617" max="15617" width="10" style="5" bestFit="1" customWidth="1"/>
    <col min="15618" max="15618" width="16.28515625" style="5" customWidth="1"/>
    <col min="15619" max="15619" width="16.42578125" style="5" customWidth="1"/>
    <col min="15620" max="15620" width="38.28515625" style="5" customWidth="1"/>
    <col min="15621" max="15621" width="15" style="5" bestFit="1" customWidth="1"/>
    <col min="15622" max="15622" width="9.7109375" style="5" bestFit="1" customWidth="1"/>
    <col min="15623" max="15624" width="11.7109375" style="5" customWidth="1"/>
    <col min="15625" max="15625" width="14.28515625" style="5" customWidth="1"/>
    <col min="15626" max="15626" width="22.28515625" style="5" customWidth="1"/>
    <col min="15627" max="15872" width="9.28515625" style="5"/>
    <col min="15873" max="15873" width="10" style="5" bestFit="1" customWidth="1"/>
    <col min="15874" max="15874" width="16.28515625" style="5" customWidth="1"/>
    <col min="15875" max="15875" width="16.42578125" style="5" customWidth="1"/>
    <col min="15876" max="15876" width="38.28515625" style="5" customWidth="1"/>
    <col min="15877" max="15877" width="15" style="5" bestFit="1" customWidth="1"/>
    <col min="15878" max="15878" width="9.7109375" style="5" bestFit="1" customWidth="1"/>
    <col min="15879" max="15880" width="11.7109375" style="5" customWidth="1"/>
    <col min="15881" max="15881" width="14.28515625" style="5" customWidth="1"/>
    <col min="15882" max="15882" width="22.28515625" style="5" customWidth="1"/>
    <col min="15883" max="16128" width="9.28515625" style="5"/>
    <col min="16129" max="16129" width="10" style="5" bestFit="1" customWidth="1"/>
    <col min="16130" max="16130" width="16.28515625" style="5" customWidth="1"/>
    <col min="16131" max="16131" width="16.42578125" style="5" customWidth="1"/>
    <col min="16132" max="16132" width="38.28515625" style="5" customWidth="1"/>
    <col min="16133" max="16133" width="15" style="5" bestFit="1" customWidth="1"/>
    <col min="16134" max="16134" width="9.7109375" style="5" bestFit="1" customWidth="1"/>
    <col min="16135" max="16136" width="11.7109375" style="5" customWidth="1"/>
    <col min="16137" max="16137" width="14.28515625" style="5" customWidth="1"/>
    <col min="16138" max="16138" width="22.28515625" style="5" customWidth="1"/>
    <col min="16139" max="16384" width="9.28515625" style="5"/>
  </cols>
  <sheetData>
    <row r="1" spans="1:10" ht="15.75" x14ac:dyDescent="0.25">
      <c r="B1" s="557"/>
      <c r="C1" s="558"/>
      <c r="D1" s="761" t="s">
        <v>35</v>
      </c>
      <c r="E1" s="762"/>
      <c r="F1" s="762"/>
      <c r="G1" s="762"/>
      <c r="H1" s="763"/>
      <c r="I1" s="209" t="s">
        <v>34</v>
      </c>
      <c r="J1" s="344" t="s">
        <v>272</v>
      </c>
    </row>
    <row r="2" spans="1:10" ht="16.5" thickBot="1" x14ac:dyDescent="0.3">
      <c r="B2" s="559"/>
      <c r="C2" s="560"/>
      <c r="D2" s="764" t="s">
        <v>33</v>
      </c>
      <c r="E2" s="765"/>
      <c r="F2" s="765"/>
      <c r="G2" s="765"/>
      <c r="H2" s="766"/>
      <c r="I2" s="214" t="s">
        <v>32</v>
      </c>
      <c r="J2" s="345" t="s">
        <v>273</v>
      </c>
    </row>
    <row r="3" spans="1:10" ht="50.1" customHeight="1" thickBot="1" x14ac:dyDescent="0.3">
      <c r="B3" s="559"/>
      <c r="C3" s="560"/>
      <c r="D3" s="767" t="s">
        <v>274</v>
      </c>
      <c r="E3" s="768"/>
      <c r="F3" s="768"/>
      <c r="G3" s="768"/>
      <c r="H3" s="769"/>
      <c r="I3" s="569" t="s">
        <v>31</v>
      </c>
      <c r="J3" s="754">
        <v>44091</v>
      </c>
    </row>
    <row r="4" spans="1:10" x14ac:dyDescent="0.25">
      <c r="B4" s="559"/>
      <c r="C4" s="560"/>
      <c r="D4" s="216" t="s">
        <v>30</v>
      </c>
      <c r="E4" s="632" t="s">
        <v>199</v>
      </c>
      <c r="F4" s="633"/>
      <c r="G4" s="633"/>
      <c r="H4" s="634"/>
      <c r="I4" s="570"/>
      <c r="J4" s="755"/>
    </row>
    <row r="5" spans="1:10" ht="15" customHeight="1" thickBot="1" x14ac:dyDescent="0.3">
      <c r="B5" s="561"/>
      <c r="C5" s="562"/>
      <c r="D5" s="217" t="s">
        <v>29</v>
      </c>
      <c r="E5" s="757" t="s">
        <v>275</v>
      </c>
      <c r="F5" s="758"/>
      <c r="G5" s="758"/>
      <c r="H5" s="759"/>
      <c r="I5" s="571"/>
      <c r="J5" s="756"/>
    </row>
    <row r="6" spans="1:10" x14ac:dyDescent="0.25">
      <c r="A6" s="346"/>
      <c r="B6" s="770" t="s">
        <v>23</v>
      </c>
      <c r="C6" s="772" t="s">
        <v>36</v>
      </c>
      <c r="D6" s="555" t="s">
        <v>22</v>
      </c>
      <c r="E6" s="555" t="s">
        <v>21</v>
      </c>
      <c r="F6" s="760" t="s">
        <v>20</v>
      </c>
      <c r="G6" s="643"/>
      <c r="H6" s="760" t="s">
        <v>19</v>
      </c>
      <c r="I6" s="643"/>
      <c r="J6" s="218" t="s">
        <v>18</v>
      </c>
    </row>
    <row r="7" spans="1:10" ht="27" thickBot="1" x14ac:dyDescent="0.3">
      <c r="A7" s="346"/>
      <c r="B7" s="771"/>
      <c r="C7" s="773"/>
      <c r="D7" s="774"/>
      <c r="E7" s="774"/>
      <c r="F7" s="219" t="s">
        <v>15</v>
      </c>
      <c r="G7" s="220" t="s">
        <v>17</v>
      </c>
      <c r="H7" s="221" t="s">
        <v>15</v>
      </c>
      <c r="I7" s="222" t="s">
        <v>17</v>
      </c>
      <c r="J7" s="223" t="s">
        <v>16</v>
      </c>
    </row>
    <row r="8" spans="1:10" x14ac:dyDescent="0.25">
      <c r="A8" s="346"/>
      <c r="B8" s="11"/>
      <c r="C8" s="11"/>
      <c r="D8" s="347"/>
      <c r="E8" s="348"/>
      <c r="F8" s="29"/>
      <c r="G8" s="28"/>
      <c r="H8" s="37"/>
      <c r="I8" s="81"/>
      <c r="J8" s="226"/>
    </row>
    <row r="9" spans="1:10" ht="15" x14ac:dyDescent="0.25">
      <c r="A9" s="346"/>
      <c r="B9" s="77" t="s">
        <v>57</v>
      </c>
      <c r="C9" s="77"/>
      <c r="D9" s="78" t="s">
        <v>58</v>
      </c>
      <c r="E9" s="74" t="s">
        <v>78</v>
      </c>
      <c r="F9" s="229">
        <v>21400</v>
      </c>
      <c r="G9" s="76" t="s">
        <v>2</v>
      </c>
      <c r="H9" s="37"/>
      <c r="I9" s="349"/>
      <c r="J9" s="226"/>
    </row>
    <row r="10" spans="1:10" ht="15" x14ac:dyDescent="0.25">
      <c r="A10" s="346"/>
      <c r="B10" s="77">
        <v>90100131</v>
      </c>
      <c r="C10" s="77" t="s">
        <v>276</v>
      </c>
      <c r="D10" s="78" t="s">
        <v>277</v>
      </c>
      <c r="E10" s="74" t="s">
        <v>78</v>
      </c>
      <c r="F10" s="229">
        <v>8000</v>
      </c>
      <c r="G10" s="76" t="s">
        <v>2</v>
      </c>
      <c r="H10" s="37"/>
      <c r="I10" s="349"/>
      <c r="J10" s="226"/>
    </row>
    <row r="11" spans="1:10" ht="15" x14ac:dyDescent="0.25">
      <c r="A11" s="346"/>
      <c r="B11" s="77" t="s">
        <v>278</v>
      </c>
      <c r="C11" s="77" t="s">
        <v>279</v>
      </c>
      <c r="D11" s="78" t="s">
        <v>280</v>
      </c>
      <c r="E11" s="74" t="s">
        <v>281</v>
      </c>
      <c r="F11" s="229">
        <v>5</v>
      </c>
      <c r="G11" s="76" t="s">
        <v>2</v>
      </c>
      <c r="H11" s="37"/>
      <c r="I11" s="349"/>
      <c r="J11" s="226"/>
    </row>
    <row r="12" spans="1:10" ht="15" x14ac:dyDescent="0.25">
      <c r="A12" s="346"/>
      <c r="B12" s="77" t="s">
        <v>282</v>
      </c>
      <c r="C12" s="77" t="s">
        <v>283</v>
      </c>
      <c r="D12" s="350" t="s">
        <v>284</v>
      </c>
      <c r="E12" s="74" t="s">
        <v>258</v>
      </c>
      <c r="F12" s="229">
        <v>2000</v>
      </c>
      <c r="G12" s="76" t="s">
        <v>2</v>
      </c>
      <c r="H12" s="37"/>
      <c r="I12" s="349"/>
      <c r="J12" s="226"/>
    </row>
    <row r="13" spans="1:10" ht="15" x14ac:dyDescent="0.25">
      <c r="A13" s="346"/>
      <c r="B13" s="77" t="s">
        <v>64</v>
      </c>
      <c r="C13" s="77" t="s">
        <v>65</v>
      </c>
      <c r="D13" s="78" t="s">
        <v>252</v>
      </c>
      <c r="E13" s="74" t="s">
        <v>49</v>
      </c>
      <c r="F13" s="229">
        <v>66</v>
      </c>
      <c r="G13" s="76" t="s">
        <v>2</v>
      </c>
      <c r="H13" s="37"/>
      <c r="I13" s="349"/>
      <c r="J13" s="226"/>
    </row>
    <row r="14" spans="1:10" ht="15" x14ac:dyDescent="0.25">
      <c r="B14" s="227"/>
      <c r="C14" s="227"/>
      <c r="D14" s="228"/>
      <c r="E14" s="74"/>
      <c r="F14" s="229"/>
      <c r="G14" s="76"/>
      <c r="H14" s="37"/>
      <c r="I14" s="81"/>
      <c r="J14" s="226"/>
    </row>
    <row r="15" spans="1:10" ht="15" x14ac:dyDescent="0.25">
      <c r="B15" s="77" t="s">
        <v>285</v>
      </c>
      <c r="C15" s="77" t="s">
        <v>286</v>
      </c>
      <c r="D15" s="78" t="s">
        <v>287</v>
      </c>
      <c r="E15" s="74"/>
      <c r="F15" s="229">
        <v>400</v>
      </c>
      <c r="G15" s="76" t="s">
        <v>113</v>
      </c>
      <c r="H15" s="37"/>
      <c r="I15" s="81"/>
      <c r="J15" s="226"/>
    </row>
    <row r="16" spans="1:10" ht="15" x14ac:dyDescent="0.25">
      <c r="B16" s="77" t="s">
        <v>66</v>
      </c>
      <c r="C16" s="77" t="s">
        <v>67</v>
      </c>
      <c r="D16" s="78" t="s">
        <v>265</v>
      </c>
      <c r="E16" s="74"/>
      <c r="F16" s="229">
        <v>2</v>
      </c>
      <c r="G16" s="76" t="s">
        <v>7</v>
      </c>
      <c r="H16" s="37"/>
      <c r="I16" s="81"/>
      <c r="J16" s="226"/>
    </row>
    <row r="17" spans="2:14" x14ac:dyDescent="0.25">
      <c r="B17" s="351"/>
      <c r="C17" s="351"/>
      <c r="D17" s="245"/>
      <c r="E17" s="348"/>
      <c r="F17" s="29"/>
      <c r="G17" s="28"/>
      <c r="H17" s="37"/>
      <c r="I17" s="81"/>
      <c r="J17" s="226"/>
    </row>
    <row r="18" spans="2:14" x14ac:dyDescent="0.25">
      <c r="B18" s="11"/>
      <c r="C18" s="11"/>
      <c r="D18" s="352"/>
      <c r="E18" s="348"/>
      <c r="F18" s="29"/>
      <c r="G18" s="28"/>
      <c r="H18" s="37"/>
      <c r="I18" s="81"/>
      <c r="J18" s="226"/>
    </row>
    <row r="19" spans="2:14" x14ac:dyDescent="0.25">
      <c r="B19" s="351"/>
      <c r="C19" s="351"/>
      <c r="D19" s="245"/>
      <c r="E19" s="348"/>
      <c r="F19" s="29"/>
      <c r="G19" s="28"/>
      <c r="H19" s="37"/>
      <c r="I19" s="81"/>
      <c r="J19" s="226"/>
    </row>
    <row r="20" spans="2:14" x14ac:dyDescent="0.25">
      <c r="B20" s="351"/>
      <c r="C20" s="351"/>
      <c r="D20" s="245"/>
      <c r="E20" s="348"/>
      <c r="F20" s="29"/>
      <c r="G20" s="28"/>
      <c r="H20" s="37"/>
      <c r="I20" s="81"/>
      <c r="J20" s="226"/>
    </row>
    <row r="21" spans="2:14" x14ac:dyDescent="0.25">
      <c r="B21" s="351"/>
      <c r="C21" s="351"/>
      <c r="D21" s="245"/>
      <c r="E21" s="348"/>
      <c r="F21" s="29"/>
      <c r="G21" s="28"/>
      <c r="H21" s="37"/>
      <c r="I21" s="81"/>
      <c r="J21" s="226"/>
    </row>
    <row r="22" spans="2:14" x14ac:dyDescent="0.25">
      <c r="B22" s="351"/>
      <c r="C22" s="351"/>
      <c r="D22" s="245"/>
      <c r="E22" s="348"/>
      <c r="F22" s="29"/>
      <c r="G22" s="28"/>
      <c r="H22" s="37"/>
      <c r="I22" s="81"/>
      <c r="J22" s="226"/>
    </row>
    <row r="23" spans="2:14" x14ac:dyDescent="0.25">
      <c r="B23" s="351"/>
      <c r="C23" s="351"/>
      <c r="D23" s="245"/>
      <c r="E23" s="348"/>
      <c r="F23" s="29"/>
      <c r="G23" s="28"/>
      <c r="H23" s="37"/>
      <c r="I23" s="81"/>
      <c r="J23" s="226"/>
    </row>
    <row r="24" spans="2:14" x14ac:dyDescent="0.25">
      <c r="B24" s="353"/>
      <c r="C24" s="353"/>
      <c r="D24" s="354"/>
      <c r="E24" s="348"/>
      <c r="F24" s="29"/>
      <c r="G24" s="28"/>
      <c r="H24" s="37"/>
      <c r="I24" s="81"/>
      <c r="J24" s="226"/>
    </row>
    <row r="25" spans="2:14" x14ac:dyDescent="0.25">
      <c r="B25" s="351"/>
      <c r="C25" s="351"/>
      <c r="D25" s="245"/>
      <c r="E25" s="348"/>
      <c r="F25" s="29"/>
      <c r="G25" s="28"/>
      <c r="H25" s="37"/>
      <c r="I25" s="81"/>
      <c r="J25" s="226"/>
    </row>
    <row r="26" spans="2:14" ht="14.25" thickBot="1" x14ac:dyDescent="0.3">
      <c r="B26" s="355"/>
      <c r="C26" s="355"/>
      <c r="D26" s="356"/>
      <c r="E26" s="357"/>
      <c r="F26" s="358"/>
      <c r="G26" s="359"/>
      <c r="H26" s="358"/>
      <c r="I26" s="360"/>
      <c r="J26" s="361"/>
    </row>
    <row r="27" spans="2:14" ht="14.25" thickBot="1" x14ac:dyDescent="0.3">
      <c r="B27" s="252"/>
      <c r="C27" s="253"/>
      <c r="D27" s="254"/>
      <c r="E27" s="255"/>
      <c r="F27" s="256"/>
      <c r="G27" s="257"/>
      <c r="H27" s="254"/>
      <c r="I27" s="254"/>
      <c r="J27" s="258"/>
      <c r="M27" s="8"/>
    </row>
    <row r="28" spans="2:14" x14ac:dyDescent="0.25">
      <c r="B28" s="517" t="s">
        <v>13</v>
      </c>
      <c r="C28" s="518"/>
      <c r="D28" s="519"/>
      <c r="E28" s="37">
        <v>31300</v>
      </c>
      <c r="F28" s="260" t="s">
        <v>2</v>
      </c>
      <c r="G28" s="775" t="s">
        <v>12</v>
      </c>
      <c r="H28" s="776"/>
      <c r="I28" s="521"/>
      <c r="J28" s="522"/>
      <c r="M28" s="8"/>
    </row>
    <row r="29" spans="2:14" x14ac:dyDescent="0.25">
      <c r="B29" s="523" t="s">
        <v>11</v>
      </c>
      <c r="C29" s="524"/>
      <c r="D29" s="525"/>
      <c r="E29" s="11">
        <v>15</v>
      </c>
      <c r="F29" s="11" t="s">
        <v>10</v>
      </c>
      <c r="G29" s="777" t="s">
        <v>9</v>
      </c>
      <c r="H29" s="778"/>
      <c r="I29" s="527"/>
      <c r="J29" s="528"/>
      <c r="M29" s="8"/>
    </row>
    <row r="30" spans="2:14" x14ac:dyDescent="0.25">
      <c r="B30" s="523" t="s">
        <v>8</v>
      </c>
      <c r="C30" s="524"/>
      <c r="D30" s="525"/>
      <c r="E30" s="11">
        <f>+E28/E31</f>
        <v>1</v>
      </c>
      <c r="F30" s="11" t="s">
        <v>288</v>
      </c>
      <c r="G30" s="777" t="s">
        <v>6</v>
      </c>
      <c r="H30" s="778"/>
      <c r="I30" s="527"/>
      <c r="J30" s="528"/>
      <c r="M30" s="8"/>
    </row>
    <row r="31" spans="2:14" x14ac:dyDescent="0.25">
      <c r="B31" s="523" t="s">
        <v>5</v>
      </c>
      <c r="C31" s="524"/>
      <c r="D31" s="525"/>
      <c r="E31" s="11">
        <v>31300</v>
      </c>
      <c r="F31" s="11" t="s">
        <v>2</v>
      </c>
      <c r="G31" s="654" t="s">
        <v>4</v>
      </c>
      <c r="H31" s="655"/>
      <c r="I31" s="527"/>
      <c r="J31" s="528"/>
      <c r="M31" s="8"/>
      <c r="N31" s="362"/>
    </row>
    <row r="32" spans="2:14" ht="14.25" thickBot="1" x14ac:dyDescent="0.3">
      <c r="B32" s="780" t="s">
        <v>3</v>
      </c>
      <c r="C32" s="781"/>
      <c r="D32" s="535"/>
      <c r="E32" s="83">
        <f>(SUM(F9:F13))-E28</f>
        <v>171</v>
      </c>
      <c r="F32" s="263" t="s">
        <v>2</v>
      </c>
      <c r="G32" s="782"/>
      <c r="H32" s="783"/>
      <c r="I32" s="599"/>
      <c r="J32" s="600"/>
      <c r="M32" s="8"/>
    </row>
    <row r="33" spans="2:10" x14ac:dyDescent="0.25">
      <c r="B33" s="784" t="s">
        <v>1</v>
      </c>
      <c r="C33" s="785"/>
      <c r="D33" s="785"/>
      <c r="E33" s="785"/>
      <c r="F33" s="785"/>
      <c r="G33" s="785"/>
      <c r="H33" s="785"/>
      <c r="I33" s="785"/>
      <c r="J33" s="786"/>
    </row>
    <row r="34" spans="2:10" ht="16.5" customHeight="1" x14ac:dyDescent="0.25">
      <c r="B34" s="779" t="s">
        <v>289</v>
      </c>
      <c r="C34" s="779"/>
      <c r="D34" s="779"/>
      <c r="E34" s="779"/>
      <c r="F34" s="779"/>
      <c r="G34" s="779"/>
      <c r="H34" s="779"/>
      <c r="I34" s="779"/>
      <c r="J34" s="779"/>
    </row>
    <row r="35" spans="2:10" ht="33" customHeight="1" x14ac:dyDescent="0.25">
      <c r="B35" s="779" t="s">
        <v>290</v>
      </c>
      <c r="C35" s="779"/>
      <c r="D35" s="779"/>
      <c r="E35" s="779"/>
      <c r="F35" s="779"/>
      <c r="G35" s="779"/>
      <c r="H35" s="779"/>
      <c r="I35" s="779"/>
      <c r="J35" s="779"/>
    </row>
    <row r="36" spans="2:10" ht="27.75" customHeight="1" x14ac:dyDescent="0.25">
      <c r="B36" s="787" t="s">
        <v>291</v>
      </c>
      <c r="C36" s="787"/>
      <c r="D36" s="787"/>
      <c r="E36" s="787"/>
      <c r="F36" s="787"/>
      <c r="G36" s="787"/>
      <c r="H36" s="787"/>
      <c r="I36" s="787"/>
      <c r="J36" s="787"/>
    </row>
    <row r="37" spans="2:10" x14ac:dyDescent="0.25">
      <c r="B37" s="788"/>
      <c r="C37" s="789"/>
      <c r="D37" s="789"/>
      <c r="E37" s="789"/>
      <c r="F37" s="789"/>
      <c r="G37" s="789"/>
      <c r="H37" s="789"/>
      <c r="I37" s="789"/>
      <c r="J37" s="790"/>
    </row>
    <row r="38" spans="2:10" x14ac:dyDescent="0.25">
      <c r="B38" s="585" t="s">
        <v>216</v>
      </c>
      <c r="C38" s="586"/>
      <c r="D38" s="586"/>
      <c r="E38" s="586"/>
      <c r="F38" s="586"/>
      <c r="G38" s="586"/>
      <c r="H38" s="586"/>
      <c r="I38" s="586"/>
      <c r="J38" s="587"/>
    </row>
    <row r="39" spans="2:10" ht="14.25" thickBot="1" x14ac:dyDescent="0.3">
      <c r="B39" s="791" t="s">
        <v>292</v>
      </c>
      <c r="C39" s="792"/>
      <c r="D39" s="792"/>
      <c r="E39" s="792"/>
      <c r="F39" s="792"/>
      <c r="G39" s="792"/>
      <c r="H39" s="792"/>
      <c r="I39" s="792"/>
      <c r="J39" s="793"/>
    </row>
    <row r="40" spans="2:10" ht="14.25" thickBot="1" x14ac:dyDescent="0.3">
      <c r="B40" s="791" t="s">
        <v>293</v>
      </c>
      <c r="C40" s="792"/>
      <c r="D40" s="792"/>
      <c r="E40" s="792"/>
      <c r="F40" s="792"/>
      <c r="G40" s="792"/>
      <c r="H40" s="792"/>
      <c r="I40" s="792"/>
      <c r="J40" s="793"/>
    </row>
    <row r="41" spans="2:10" x14ac:dyDescent="0.25">
      <c r="B41" s="264"/>
      <c r="C41" s="264"/>
      <c r="D41" s="264"/>
    </row>
  </sheetData>
  <mergeCells count="37">
    <mergeCell ref="B36:J36"/>
    <mergeCell ref="B37:J37"/>
    <mergeCell ref="B38:J38"/>
    <mergeCell ref="B39:J39"/>
    <mergeCell ref="B40:J40"/>
    <mergeCell ref="B35:J35"/>
    <mergeCell ref="B30:D30"/>
    <mergeCell ref="G30:H30"/>
    <mergeCell ref="I30:J30"/>
    <mergeCell ref="B31:D31"/>
    <mergeCell ref="G31:H31"/>
    <mergeCell ref="I31:J31"/>
    <mergeCell ref="B32:D32"/>
    <mergeCell ref="G32:H32"/>
    <mergeCell ref="I32:J32"/>
    <mergeCell ref="B33:J33"/>
    <mergeCell ref="B34:J34"/>
    <mergeCell ref="B28:D28"/>
    <mergeCell ref="G28:H28"/>
    <mergeCell ref="I28:J28"/>
    <mergeCell ref="B29:D29"/>
    <mergeCell ref="G29:H29"/>
    <mergeCell ref="I29:J29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8ADE-5360-4831-8B19-523915FC9A3A}">
  <dimension ref="A1:M41"/>
  <sheetViews>
    <sheetView workbookViewId="0">
      <selection activeCell="C9" sqref="C9"/>
    </sheetView>
  </sheetViews>
  <sheetFormatPr baseColWidth="10" defaultRowHeight="13.5" x14ac:dyDescent="0.25"/>
  <cols>
    <col min="1" max="1" width="16.28515625" style="5" customWidth="1"/>
    <col min="2" max="2" width="16.5703125" style="5" customWidth="1"/>
    <col min="3" max="3" width="46.28515625" style="5" bestFit="1" customWidth="1"/>
    <col min="4" max="4" width="15.5703125" style="5" customWidth="1"/>
    <col min="5" max="5" width="11.42578125" style="5"/>
    <col min="6" max="6" width="13.28515625" style="5" customWidth="1"/>
    <col min="7" max="7" width="12.5703125" style="5" customWidth="1"/>
    <col min="8" max="8" width="14.7109375" style="5" customWidth="1"/>
    <col min="9" max="9" width="16" style="5" customWidth="1"/>
    <col min="10" max="256" width="11.42578125" style="5"/>
    <col min="257" max="257" width="16.28515625" style="5" customWidth="1"/>
    <col min="258" max="258" width="16.5703125" style="5" customWidth="1"/>
    <col min="259" max="259" width="46.28515625" style="5" bestFit="1" customWidth="1"/>
    <col min="260" max="260" width="15.5703125" style="5" customWidth="1"/>
    <col min="261" max="261" width="11.42578125" style="5"/>
    <col min="262" max="262" width="13.28515625" style="5" customWidth="1"/>
    <col min="263" max="263" width="12.5703125" style="5" customWidth="1"/>
    <col min="264" max="264" width="14.7109375" style="5" customWidth="1"/>
    <col min="265" max="265" width="16" style="5" customWidth="1"/>
    <col min="266" max="512" width="11.42578125" style="5"/>
    <col min="513" max="513" width="16.28515625" style="5" customWidth="1"/>
    <col min="514" max="514" width="16.5703125" style="5" customWidth="1"/>
    <col min="515" max="515" width="46.28515625" style="5" bestFit="1" customWidth="1"/>
    <col min="516" max="516" width="15.5703125" style="5" customWidth="1"/>
    <col min="517" max="517" width="11.42578125" style="5"/>
    <col min="518" max="518" width="13.28515625" style="5" customWidth="1"/>
    <col min="519" max="519" width="12.5703125" style="5" customWidth="1"/>
    <col min="520" max="520" width="14.7109375" style="5" customWidth="1"/>
    <col min="521" max="521" width="16" style="5" customWidth="1"/>
    <col min="522" max="768" width="11.42578125" style="5"/>
    <col min="769" max="769" width="16.28515625" style="5" customWidth="1"/>
    <col min="770" max="770" width="16.5703125" style="5" customWidth="1"/>
    <col min="771" max="771" width="46.28515625" style="5" bestFit="1" customWidth="1"/>
    <col min="772" max="772" width="15.5703125" style="5" customWidth="1"/>
    <col min="773" max="773" width="11.42578125" style="5"/>
    <col min="774" max="774" width="13.28515625" style="5" customWidth="1"/>
    <col min="775" max="775" width="12.5703125" style="5" customWidth="1"/>
    <col min="776" max="776" width="14.7109375" style="5" customWidth="1"/>
    <col min="777" max="777" width="16" style="5" customWidth="1"/>
    <col min="778" max="1024" width="11.42578125" style="5"/>
    <col min="1025" max="1025" width="16.28515625" style="5" customWidth="1"/>
    <col min="1026" max="1026" width="16.5703125" style="5" customWidth="1"/>
    <col min="1027" max="1027" width="46.28515625" style="5" bestFit="1" customWidth="1"/>
    <col min="1028" max="1028" width="15.5703125" style="5" customWidth="1"/>
    <col min="1029" max="1029" width="11.42578125" style="5"/>
    <col min="1030" max="1030" width="13.28515625" style="5" customWidth="1"/>
    <col min="1031" max="1031" width="12.5703125" style="5" customWidth="1"/>
    <col min="1032" max="1032" width="14.7109375" style="5" customWidth="1"/>
    <col min="1033" max="1033" width="16" style="5" customWidth="1"/>
    <col min="1034" max="1280" width="11.42578125" style="5"/>
    <col min="1281" max="1281" width="16.28515625" style="5" customWidth="1"/>
    <col min="1282" max="1282" width="16.5703125" style="5" customWidth="1"/>
    <col min="1283" max="1283" width="46.28515625" style="5" bestFit="1" customWidth="1"/>
    <col min="1284" max="1284" width="15.5703125" style="5" customWidth="1"/>
    <col min="1285" max="1285" width="11.42578125" style="5"/>
    <col min="1286" max="1286" width="13.28515625" style="5" customWidth="1"/>
    <col min="1287" max="1287" width="12.5703125" style="5" customWidth="1"/>
    <col min="1288" max="1288" width="14.7109375" style="5" customWidth="1"/>
    <col min="1289" max="1289" width="16" style="5" customWidth="1"/>
    <col min="1290" max="1536" width="11.42578125" style="5"/>
    <col min="1537" max="1537" width="16.28515625" style="5" customWidth="1"/>
    <col min="1538" max="1538" width="16.5703125" style="5" customWidth="1"/>
    <col min="1539" max="1539" width="46.28515625" style="5" bestFit="1" customWidth="1"/>
    <col min="1540" max="1540" width="15.5703125" style="5" customWidth="1"/>
    <col min="1541" max="1541" width="11.42578125" style="5"/>
    <col min="1542" max="1542" width="13.28515625" style="5" customWidth="1"/>
    <col min="1543" max="1543" width="12.5703125" style="5" customWidth="1"/>
    <col min="1544" max="1544" width="14.7109375" style="5" customWidth="1"/>
    <col min="1545" max="1545" width="16" style="5" customWidth="1"/>
    <col min="1546" max="1792" width="11.42578125" style="5"/>
    <col min="1793" max="1793" width="16.28515625" style="5" customWidth="1"/>
    <col min="1794" max="1794" width="16.5703125" style="5" customWidth="1"/>
    <col min="1795" max="1795" width="46.28515625" style="5" bestFit="1" customWidth="1"/>
    <col min="1796" max="1796" width="15.5703125" style="5" customWidth="1"/>
    <col min="1797" max="1797" width="11.42578125" style="5"/>
    <col min="1798" max="1798" width="13.28515625" style="5" customWidth="1"/>
    <col min="1799" max="1799" width="12.5703125" style="5" customWidth="1"/>
    <col min="1800" max="1800" width="14.7109375" style="5" customWidth="1"/>
    <col min="1801" max="1801" width="16" style="5" customWidth="1"/>
    <col min="1802" max="2048" width="11.42578125" style="5"/>
    <col min="2049" max="2049" width="16.28515625" style="5" customWidth="1"/>
    <col min="2050" max="2050" width="16.5703125" style="5" customWidth="1"/>
    <col min="2051" max="2051" width="46.28515625" style="5" bestFit="1" customWidth="1"/>
    <col min="2052" max="2052" width="15.5703125" style="5" customWidth="1"/>
    <col min="2053" max="2053" width="11.42578125" style="5"/>
    <col min="2054" max="2054" width="13.28515625" style="5" customWidth="1"/>
    <col min="2055" max="2055" width="12.5703125" style="5" customWidth="1"/>
    <col min="2056" max="2056" width="14.7109375" style="5" customWidth="1"/>
    <col min="2057" max="2057" width="16" style="5" customWidth="1"/>
    <col min="2058" max="2304" width="11.42578125" style="5"/>
    <col min="2305" max="2305" width="16.28515625" style="5" customWidth="1"/>
    <col min="2306" max="2306" width="16.5703125" style="5" customWidth="1"/>
    <col min="2307" max="2307" width="46.28515625" style="5" bestFit="1" customWidth="1"/>
    <col min="2308" max="2308" width="15.5703125" style="5" customWidth="1"/>
    <col min="2309" max="2309" width="11.42578125" style="5"/>
    <col min="2310" max="2310" width="13.28515625" style="5" customWidth="1"/>
    <col min="2311" max="2311" width="12.5703125" style="5" customWidth="1"/>
    <col min="2312" max="2312" width="14.7109375" style="5" customWidth="1"/>
    <col min="2313" max="2313" width="16" style="5" customWidth="1"/>
    <col min="2314" max="2560" width="11.42578125" style="5"/>
    <col min="2561" max="2561" width="16.28515625" style="5" customWidth="1"/>
    <col min="2562" max="2562" width="16.5703125" style="5" customWidth="1"/>
    <col min="2563" max="2563" width="46.28515625" style="5" bestFit="1" customWidth="1"/>
    <col min="2564" max="2564" width="15.5703125" style="5" customWidth="1"/>
    <col min="2565" max="2565" width="11.42578125" style="5"/>
    <col min="2566" max="2566" width="13.28515625" style="5" customWidth="1"/>
    <col min="2567" max="2567" width="12.5703125" style="5" customWidth="1"/>
    <col min="2568" max="2568" width="14.7109375" style="5" customWidth="1"/>
    <col min="2569" max="2569" width="16" style="5" customWidth="1"/>
    <col min="2570" max="2816" width="11.42578125" style="5"/>
    <col min="2817" max="2817" width="16.28515625" style="5" customWidth="1"/>
    <col min="2818" max="2818" width="16.5703125" style="5" customWidth="1"/>
    <col min="2819" max="2819" width="46.28515625" style="5" bestFit="1" customWidth="1"/>
    <col min="2820" max="2820" width="15.5703125" style="5" customWidth="1"/>
    <col min="2821" max="2821" width="11.42578125" style="5"/>
    <col min="2822" max="2822" width="13.28515625" style="5" customWidth="1"/>
    <col min="2823" max="2823" width="12.5703125" style="5" customWidth="1"/>
    <col min="2824" max="2824" width="14.7109375" style="5" customWidth="1"/>
    <col min="2825" max="2825" width="16" style="5" customWidth="1"/>
    <col min="2826" max="3072" width="11.42578125" style="5"/>
    <col min="3073" max="3073" width="16.28515625" style="5" customWidth="1"/>
    <col min="3074" max="3074" width="16.5703125" style="5" customWidth="1"/>
    <col min="3075" max="3075" width="46.28515625" style="5" bestFit="1" customWidth="1"/>
    <col min="3076" max="3076" width="15.5703125" style="5" customWidth="1"/>
    <col min="3077" max="3077" width="11.42578125" style="5"/>
    <col min="3078" max="3078" width="13.28515625" style="5" customWidth="1"/>
    <col min="3079" max="3079" width="12.5703125" style="5" customWidth="1"/>
    <col min="3080" max="3080" width="14.7109375" style="5" customWidth="1"/>
    <col min="3081" max="3081" width="16" style="5" customWidth="1"/>
    <col min="3082" max="3328" width="11.42578125" style="5"/>
    <col min="3329" max="3329" width="16.28515625" style="5" customWidth="1"/>
    <col min="3330" max="3330" width="16.5703125" style="5" customWidth="1"/>
    <col min="3331" max="3331" width="46.28515625" style="5" bestFit="1" customWidth="1"/>
    <col min="3332" max="3332" width="15.5703125" style="5" customWidth="1"/>
    <col min="3333" max="3333" width="11.42578125" style="5"/>
    <col min="3334" max="3334" width="13.28515625" style="5" customWidth="1"/>
    <col min="3335" max="3335" width="12.5703125" style="5" customWidth="1"/>
    <col min="3336" max="3336" width="14.7109375" style="5" customWidth="1"/>
    <col min="3337" max="3337" width="16" style="5" customWidth="1"/>
    <col min="3338" max="3584" width="11.42578125" style="5"/>
    <col min="3585" max="3585" width="16.28515625" style="5" customWidth="1"/>
    <col min="3586" max="3586" width="16.5703125" style="5" customWidth="1"/>
    <col min="3587" max="3587" width="46.28515625" style="5" bestFit="1" customWidth="1"/>
    <col min="3588" max="3588" width="15.5703125" style="5" customWidth="1"/>
    <col min="3589" max="3589" width="11.42578125" style="5"/>
    <col min="3590" max="3590" width="13.28515625" style="5" customWidth="1"/>
    <col min="3591" max="3591" width="12.5703125" style="5" customWidth="1"/>
    <col min="3592" max="3592" width="14.7109375" style="5" customWidth="1"/>
    <col min="3593" max="3593" width="16" style="5" customWidth="1"/>
    <col min="3594" max="3840" width="11.42578125" style="5"/>
    <col min="3841" max="3841" width="16.28515625" style="5" customWidth="1"/>
    <col min="3842" max="3842" width="16.5703125" style="5" customWidth="1"/>
    <col min="3843" max="3843" width="46.28515625" style="5" bestFit="1" customWidth="1"/>
    <col min="3844" max="3844" width="15.5703125" style="5" customWidth="1"/>
    <col min="3845" max="3845" width="11.42578125" style="5"/>
    <col min="3846" max="3846" width="13.28515625" style="5" customWidth="1"/>
    <col min="3847" max="3847" width="12.5703125" style="5" customWidth="1"/>
    <col min="3848" max="3848" width="14.7109375" style="5" customWidth="1"/>
    <col min="3849" max="3849" width="16" style="5" customWidth="1"/>
    <col min="3850" max="4096" width="11.42578125" style="5"/>
    <col min="4097" max="4097" width="16.28515625" style="5" customWidth="1"/>
    <col min="4098" max="4098" width="16.5703125" style="5" customWidth="1"/>
    <col min="4099" max="4099" width="46.28515625" style="5" bestFit="1" customWidth="1"/>
    <col min="4100" max="4100" width="15.5703125" style="5" customWidth="1"/>
    <col min="4101" max="4101" width="11.42578125" style="5"/>
    <col min="4102" max="4102" width="13.28515625" style="5" customWidth="1"/>
    <col min="4103" max="4103" width="12.5703125" style="5" customWidth="1"/>
    <col min="4104" max="4104" width="14.7109375" style="5" customWidth="1"/>
    <col min="4105" max="4105" width="16" style="5" customWidth="1"/>
    <col min="4106" max="4352" width="11.42578125" style="5"/>
    <col min="4353" max="4353" width="16.28515625" style="5" customWidth="1"/>
    <col min="4354" max="4354" width="16.5703125" style="5" customWidth="1"/>
    <col min="4355" max="4355" width="46.28515625" style="5" bestFit="1" customWidth="1"/>
    <col min="4356" max="4356" width="15.5703125" style="5" customWidth="1"/>
    <col min="4357" max="4357" width="11.42578125" style="5"/>
    <col min="4358" max="4358" width="13.28515625" style="5" customWidth="1"/>
    <col min="4359" max="4359" width="12.5703125" style="5" customWidth="1"/>
    <col min="4360" max="4360" width="14.7109375" style="5" customWidth="1"/>
    <col min="4361" max="4361" width="16" style="5" customWidth="1"/>
    <col min="4362" max="4608" width="11.42578125" style="5"/>
    <col min="4609" max="4609" width="16.28515625" style="5" customWidth="1"/>
    <col min="4610" max="4610" width="16.5703125" style="5" customWidth="1"/>
    <col min="4611" max="4611" width="46.28515625" style="5" bestFit="1" customWidth="1"/>
    <col min="4612" max="4612" width="15.5703125" style="5" customWidth="1"/>
    <col min="4613" max="4613" width="11.42578125" style="5"/>
    <col min="4614" max="4614" width="13.28515625" style="5" customWidth="1"/>
    <col min="4615" max="4615" width="12.5703125" style="5" customWidth="1"/>
    <col min="4616" max="4616" width="14.7109375" style="5" customWidth="1"/>
    <col min="4617" max="4617" width="16" style="5" customWidth="1"/>
    <col min="4618" max="4864" width="11.42578125" style="5"/>
    <col min="4865" max="4865" width="16.28515625" style="5" customWidth="1"/>
    <col min="4866" max="4866" width="16.5703125" style="5" customWidth="1"/>
    <col min="4867" max="4867" width="46.28515625" style="5" bestFit="1" customWidth="1"/>
    <col min="4868" max="4868" width="15.5703125" style="5" customWidth="1"/>
    <col min="4869" max="4869" width="11.42578125" style="5"/>
    <col min="4870" max="4870" width="13.28515625" style="5" customWidth="1"/>
    <col min="4871" max="4871" width="12.5703125" style="5" customWidth="1"/>
    <col min="4872" max="4872" width="14.7109375" style="5" customWidth="1"/>
    <col min="4873" max="4873" width="16" style="5" customWidth="1"/>
    <col min="4874" max="5120" width="11.42578125" style="5"/>
    <col min="5121" max="5121" width="16.28515625" style="5" customWidth="1"/>
    <col min="5122" max="5122" width="16.5703125" style="5" customWidth="1"/>
    <col min="5123" max="5123" width="46.28515625" style="5" bestFit="1" customWidth="1"/>
    <col min="5124" max="5124" width="15.5703125" style="5" customWidth="1"/>
    <col min="5125" max="5125" width="11.42578125" style="5"/>
    <col min="5126" max="5126" width="13.28515625" style="5" customWidth="1"/>
    <col min="5127" max="5127" width="12.5703125" style="5" customWidth="1"/>
    <col min="5128" max="5128" width="14.7109375" style="5" customWidth="1"/>
    <col min="5129" max="5129" width="16" style="5" customWidth="1"/>
    <col min="5130" max="5376" width="11.42578125" style="5"/>
    <col min="5377" max="5377" width="16.28515625" style="5" customWidth="1"/>
    <col min="5378" max="5378" width="16.5703125" style="5" customWidth="1"/>
    <col min="5379" max="5379" width="46.28515625" style="5" bestFit="1" customWidth="1"/>
    <col min="5380" max="5380" width="15.5703125" style="5" customWidth="1"/>
    <col min="5381" max="5381" width="11.42578125" style="5"/>
    <col min="5382" max="5382" width="13.28515625" style="5" customWidth="1"/>
    <col min="5383" max="5383" width="12.5703125" style="5" customWidth="1"/>
    <col min="5384" max="5384" width="14.7109375" style="5" customWidth="1"/>
    <col min="5385" max="5385" width="16" style="5" customWidth="1"/>
    <col min="5386" max="5632" width="11.42578125" style="5"/>
    <col min="5633" max="5633" width="16.28515625" style="5" customWidth="1"/>
    <col min="5634" max="5634" width="16.5703125" style="5" customWidth="1"/>
    <col min="5635" max="5635" width="46.28515625" style="5" bestFit="1" customWidth="1"/>
    <col min="5636" max="5636" width="15.5703125" style="5" customWidth="1"/>
    <col min="5637" max="5637" width="11.42578125" style="5"/>
    <col min="5638" max="5638" width="13.28515625" style="5" customWidth="1"/>
    <col min="5639" max="5639" width="12.5703125" style="5" customWidth="1"/>
    <col min="5640" max="5640" width="14.7109375" style="5" customWidth="1"/>
    <col min="5641" max="5641" width="16" style="5" customWidth="1"/>
    <col min="5642" max="5888" width="11.42578125" style="5"/>
    <col min="5889" max="5889" width="16.28515625" style="5" customWidth="1"/>
    <col min="5890" max="5890" width="16.5703125" style="5" customWidth="1"/>
    <col min="5891" max="5891" width="46.28515625" style="5" bestFit="1" customWidth="1"/>
    <col min="5892" max="5892" width="15.5703125" style="5" customWidth="1"/>
    <col min="5893" max="5893" width="11.42578125" style="5"/>
    <col min="5894" max="5894" width="13.28515625" style="5" customWidth="1"/>
    <col min="5895" max="5895" width="12.5703125" style="5" customWidth="1"/>
    <col min="5896" max="5896" width="14.7109375" style="5" customWidth="1"/>
    <col min="5897" max="5897" width="16" style="5" customWidth="1"/>
    <col min="5898" max="6144" width="11.42578125" style="5"/>
    <col min="6145" max="6145" width="16.28515625" style="5" customWidth="1"/>
    <col min="6146" max="6146" width="16.5703125" style="5" customWidth="1"/>
    <col min="6147" max="6147" width="46.28515625" style="5" bestFit="1" customWidth="1"/>
    <col min="6148" max="6148" width="15.5703125" style="5" customWidth="1"/>
    <col min="6149" max="6149" width="11.42578125" style="5"/>
    <col min="6150" max="6150" width="13.28515625" style="5" customWidth="1"/>
    <col min="6151" max="6151" width="12.5703125" style="5" customWidth="1"/>
    <col min="6152" max="6152" width="14.7109375" style="5" customWidth="1"/>
    <col min="6153" max="6153" width="16" style="5" customWidth="1"/>
    <col min="6154" max="6400" width="11.42578125" style="5"/>
    <col min="6401" max="6401" width="16.28515625" style="5" customWidth="1"/>
    <col min="6402" max="6402" width="16.5703125" style="5" customWidth="1"/>
    <col min="6403" max="6403" width="46.28515625" style="5" bestFit="1" customWidth="1"/>
    <col min="6404" max="6404" width="15.5703125" style="5" customWidth="1"/>
    <col min="6405" max="6405" width="11.42578125" style="5"/>
    <col min="6406" max="6406" width="13.28515625" style="5" customWidth="1"/>
    <col min="6407" max="6407" width="12.5703125" style="5" customWidth="1"/>
    <col min="6408" max="6408" width="14.7109375" style="5" customWidth="1"/>
    <col min="6409" max="6409" width="16" style="5" customWidth="1"/>
    <col min="6410" max="6656" width="11.42578125" style="5"/>
    <col min="6657" max="6657" width="16.28515625" style="5" customWidth="1"/>
    <col min="6658" max="6658" width="16.5703125" style="5" customWidth="1"/>
    <col min="6659" max="6659" width="46.28515625" style="5" bestFit="1" customWidth="1"/>
    <col min="6660" max="6660" width="15.5703125" style="5" customWidth="1"/>
    <col min="6661" max="6661" width="11.42578125" style="5"/>
    <col min="6662" max="6662" width="13.28515625" style="5" customWidth="1"/>
    <col min="6663" max="6663" width="12.5703125" style="5" customWidth="1"/>
    <col min="6664" max="6664" width="14.7109375" style="5" customWidth="1"/>
    <col min="6665" max="6665" width="16" style="5" customWidth="1"/>
    <col min="6666" max="6912" width="11.42578125" style="5"/>
    <col min="6913" max="6913" width="16.28515625" style="5" customWidth="1"/>
    <col min="6914" max="6914" width="16.5703125" style="5" customWidth="1"/>
    <col min="6915" max="6915" width="46.28515625" style="5" bestFit="1" customWidth="1"/>
    <col min="6916" max="6916" width="15.5703125" style="5" customWidth="1"/>
    <col min="6917" max="6917" width="11.42578125" style="5"/>
    <col min="6918" max="6918" width="13.28515625" style="5" customWidth="1"/>
    <col min="6919" max="6919" width="12.5703125" style="5" customWidth="1"/>
    <col min="6920" max="6920" width="14.7109375" style="5" customWidth="1"/>
    <col min="6921" max="6921" width="16" style="5" customWidth="1"/>
    <col min="6922" max="7168" width="11.42578125" style="5"/>
    <col min="7169" max="7169" width="16.28515625" style="5" customWidth="1"/>
    <col min="7170" max="7170" width="16.5703125" style="5" customWidth="1"/>
    <col min="7171" max="7171" width="46.28515625" style="5" bestFit="1" customWidth="1"/>
    <col min="7172" max="7172" width="15.5703125" style="5" customWidth="1"/>
    <col min="7173" max="7173" width="11.42578125" style="5"/>
    <col min="7174" max="7174" width="13.28515625" style="5" customWidth="1"/>
    <col min="7175" max="7175" width="12.5703125" style="5" customWidth="1"/>
    <col min="7176" max="7176" width="14.7109375" style="5" customWidth="1"/>
    <col min="7177" max="7177" width="16" style="5" customWidth="1"/>
    <col min="7178" max="7424" width="11.42578125" style="5"/>
    <col min="7425" max="7425" width="16.28515625" style="5" customWidth="1"/>
    <col min="7426" max="7426" width="16.5703125" style="5" customWidth="1"/>
    <col min="7427" max="7427" width="46.28515625" style="5" bestFit="1" customWidth="1"/>
    <col min="7428" max="7428" width="15.5703125" style="5" customWidth="1"/>
    <col min="7429" max="7429" width="11.42578125" style="5"/>
    <col min="7430" max="7430" width="13.28515625" style="5" customWidth="1"/>
    <col min="7431" max="7431" width="12.5703125" style="5" customWidth="1"/>
    <col min="7432" max="7432" width="14.7109375" style="5" customWidth="1"/>
    <col min="7433" max="7433" width="16" style="5" customWidth="1"/>
    <col min="7434" max="7680" width="11.42578125" style="5"/>
    <col min="7681" max="7681" width="16.28515625" style="5" customWidth="1"/>
    <col min="7682" max="7682" width="16.5703125" style="5" customWidth="1"/>
    <col min="7683" max="7683" width="46.28515625" style="5" bestFit="1" customWidth="1"/>
    <col min="7684" max="7684" width="15.5703125" style="5" customWidth="1"/>
    <col min="7685" max="7685" width="11.42578125" style="5"/>
    <col min="7686" max="7686" width="13.28515625" style="5" customWidth="1"/>
    <col min="7687" max="7687" width="12.5703125" style="5" customWidth="1"/>
    <col min="7688" max="7688" width="14.7109375" style="5" customWidth="1"/>
    <col min="7689" max="7689" width="16" style="5" customWidth="1"/>
    <col min="7690" max="7936" width="11.42578125" style="5"/>
    <col min="7937" max="7937" width="16.28515625" style="5" customWidth="1"/>
    <col min="7938" max="7938" width="16.5703125" style="5" customWidth="1"/>
    <col min="7939" max="7939" width="46.28515625" style="5" bestFit="1" customWidth="1"/>
    <col min="7940" max="7940" width="15.5703125" style="5" customWidth="1"/>
    <col min="7941" max="7941" width="11.42578125" style="5"/>
    <col min="7942" max="7942" width="13.28515625" style="5" customWidth="1"/>
    <col min="7943" max="7943" width="12.5703125" style="5" customWidth="1"/>
    <col min="7944" max="7944" width="14.7109375" style="5" customWidth="1"/>
    <col min="7945" max="7945" width="16" style="5" customWidth="1"/>
    <col min="7946" max="8192" width="11.42578125" style="5"/>
    <col min="8193" max="8193" width="16.28515625" style="5" customWidth="1"/>
    <col min="8194" max="8194" width="16.5703125" style="5" customWidth="1"/>
    <col min="8195" max="8195" width="46.28515625" style="5" bestFit="1" customWidth="1"/>
    <col min="8196" max="8196" width="15.5703125" style="5" customWidth="1"/>
    <col min="8197" max="8197" width="11.42578125" style="5"/>
    <col min="8198" max="8198" width="13.28515625" style="5" customWidth="1"/>
    <col min="8199" max="8199" width="12.5703125" style="5" customWidth="1"/>
    <col min="8200" max="8200" width="14.7109375" style="5" customWidth="1"/>
    <col min="8201" max="8201" width="16" style="5" customWidth="1"/>
    <col min="8202" max="8448" width="11.42578125" style="5"/>
    <col min="8449" max="8449" width="16.28515625" style="5" customWidth="1"/>
    <col min="8450" max="8450" width="16.5703125" style="5" customWidth="1"/>
    <col min="8451" max="8451" width="46.28515625" style="5" bestFit="1" customWidth="1"/>
    <col min="8452" max="8452" width="15.5703125" style="5" customWidth="1"/>
    <col min="8453" max="8453" width="11.42578125" style="5"/>
    <col min="8454" max="8454" width="13.28515625" style="5" customWidth="1"/>
    <col min="8455" max="8455" width="12.5703125" style="5" customWidth="1"/>
    <col min="8456" max="8456" width="14.7109375" style="5" customWidth="1"/>
    <col min="8457" max="8457" width="16" style="5" customWidth="1"/>
    <col min="8458" max="8704" width="11.42578125" style="5"/>
    <col min="8705" max="8705" width="16.28515625" style="5" customWidth="1"/>
    <col min="8706" max="8706" width="16.5703125" style="5" customWidth="1"/>
    <col min="8707" max="8707" width="46.28515625" style="5" bestFit="1" customWidth="1"/>
    <col min="8708" max="8708" width="15.5703125" style="5" customWidth="1"/>
    <col min="8709" max="8709" width="11.42578125" style="5"/>
    <col min="8710" max="8710" width="13.28515625" style="5" customWidth="1"/>
    <col min="8711" max="8711" width="12.5703125" style="5" customWidth="1"/>
    <col min="8712" max="8712" width="14.7109375" style="5" customWidth="1"/>
    <col min="8713" max="8713" width="16" style="5" customWidth="1"/>
    <col min="8714" max="8960" width="11.42578125" style="5"/>
    <col min="8961" max="8961" width="16.28515625" style="5" customWidth="1"/>
    <col min="8962" max="8962" width="16.5703125" style="5" customWidth="1"/>
    <col min="8963" max="8963" width="46.28515625" style="5" bestFit="1" customWidth="1"/>
    <col min="8964" max="8964" width="15.5703125" style="5" customWidth="1"/>
    <col min="8965" max="8965" width="11.42578125" style="5"/>
    <col min="8966" max="8966" width="13.28515625" style="5" customWidth="1"/>
    <col min="8967" max="8967" width="12.5703125" style="5" customWidth="1"/>
    <col min="8968" max="8968" width="14.7109375" style="5" customWidth="1"/>
    <col min="8969" max="8969" width="16" style="5" customWidth="1"/>
    <col min="8970" max="9216" width="11.42578125" style="5"/>
    <col min="9217" max="9217" width="16.28515625" style="5" customWidth="1"/>
    <col min="9218" max="9218" width="16.5703125" style="5" customWidth="1"/>
    <col min="9219" max="9219" width="46.28515625" style="5" bestFit="1" customWidth="1"/>
    <col min="9220" max="9220" width="15.5703125" style="5" customWidth="1"/>
    <col min="9221" max="9221" width="11.42578125" style="5"/>
    <col min="9222" max="9222" width="13.28515625" style="5" customWidth="1"/>
    <col min="9223" max="9223" width="12.5703125" style="5" customWidth="1"/>
    <col min="9224" max="9224" width="14.7109375" style="5" customWidth="1"/>
    <col min="9225" max="9225" width="16" style="5" customWidth="1"/>
    <col min="9226" max="9472" width="11.42578125" style="5"/>
    <col min="9473" max="9473" width="16.28515625" style="5" customWidth="1"/>
    <col min="9474" max="9474" width="16.5703125" style="5" customWidth="1"/>
    <col min="9475" max="9475" width="46.28515625" style="5" bestFit="1" customWidth="1"/>
    <col min="9476" max="9476" width="15.5703125" style="5" customWidth="1"/>
    <col min="9477" max="9477" width="11.42578125" style="5"/>
    <col min="9478" max="9478" width="13.28515625" style="5" customWidth="1"/>
    <col min="9479" max="9479" width="12.5703125" style="5" customWidth="1"/>
    <col min="9480" max="9480" width="14.7109375" style="5" customWidth="1"/>
    <col min="9481" max="9481" width="16" style="5" customWidth="1"/>
    <col min="9482" max="9728" width="11.42578125" style="5"/>
    <col min="9729" max="9729" width="16.28515625" style="5" customWidth="1"/>
    <col min="9730" max="9730" width="16.5703125" style="5" customWidth="1"/>
    <col min="9731" max="9731" width="46.28515625" style="5" bestFit="1" customWidth="1"/>
    <col min="9732" max="9732" width="15.5703125" style="5" customWidth="1"/>
    <col min="9733" max="9733" width="11.42578125" style="5"/>
    <col min="9734" max="9734" width="13.28515625" style="5" customWidth="1"/>
    <col min="9735" max="9735" width="12.5703125" style="5" customWidth="1"/>
    <col min="9736" max="9736" width="14.7109375" style="5" customWidth="1"/>
    <col min="9737" max="9737" width="16" style="5" customWidth="1"/>
    <col min="9738" max="9984" width="11.42578125" style="5"/>
    <col min="9985" max="9985" width="16.28515625" style="5" customWidth="1"/>
    <col min="9986" max="9986" width="16.5703125" style="5" customWidth="1"/>
    <col min="9987" max="9987" width="46.28515625" style="5" bestFit="1" customWidth="1"/>
    <col min="9988" max="9988" width="15.5703125" style="5" customWidth="1"/>
    <col min="9989" max="9989" width="11.42578125" style="5"/>
    <col min="9990" max="9990" width="13.28515625" style="5" customWidth="1"/>
    <col min="9991" max="9991" width="12.5703125" style="5" customWidth="1"/>
    <col min="9992" max="9992" width="14.7109375" style="5" customWidth="1"/>
    <col min="9993" max="9993" width="16" style="5" customWidth="1"/>
    <col min="9994" max="10240" width="11.42578125" style="5"/>
    <col min="10241" max="10241" width="16.28515625" style="5" customWidth="1"/>
    <col min="10242" max="10242" width="16.5703125" style="5" customWidth="1"/>
    <col min="10243" max="10243" width="46.28515625" style="5" bestFit="1" customWidth="1"/>
    <col min="10244" max="10244" width="15.5703125" style="5" customWidth="1"/>
    <col min="10245" max="10245" width="11.42578125" style="5"/>
    <col min="10246" max="10246" width="13.28515625" style="5" customWidth="1"/>
    <col min="10247" max="10247" width="12.5703125" style="5" customWidth="1"/>
    <col min="10248" max="10248" width="14.7109375" style="5" customWidth="1"/>
    <col min="10249" max="10249" width="16" style="5" customWidth="1"/>
    <col min="10250" max="10496" width="11.42578125" style="5"/>
    <col min="10497" max="10497" width="16.28515625" style="5" customWidth="1"/>
    <col min="10498" max="10498" width="16.5703125" style="5" customWidth="1"/>
    <col min="10499" max="10499" width="46.28515625" style="5" bestFit="1" customWidth="1"/>
    <col min="10500" max="10500" width="15.5703125" style="5" customWidth="1"/>
    <col min="10501" max="10501" width="11.42578125" style="5"/>
    <col min="10502" max="10502" width="13.28515625" style="5" customWidth="1"/>
    <col min="10503" max="10503" width="12.5703125" style="5" customWidth="1"/>
    <col min="10504" max="10504" width="14.7109375" style="5" customWidth="1"/>
    <col min="10505" max="10505" width="16" style="5" customWidth="1"/>
    <col min="10506" max="10752" width="11.42578125" style="5"/>
    <col min="10753" max="10753" width="16.28515625" style="5" customWidth="1"/>
    <col min="10754" max="10754" width="16.5703125" style="5" customWidth="1"/>
    <col min="10755" max="10755" width="46.28515625" style="5" bestFit="1" customWidth="1"/>
    <col min="10756" max="10756" width="15.5703125" style="5" customWidth="1"/>
    <col min="10757" max="10757" width="11.42578125" style="5"/>
    <col min="10758" max="10758" width="13.28515625" style="5" customWidth="1"/>
    <col min="10759" max="10759" width="12.5703125" style="5" customWidth="1"/>
    <col min="10760" max="10760" width="14.7109375" style="5" customWidth="1"/>
    <col min="10761" max="10761" width="16" style="5" customWidth="1"/>
    <col min="10762" max="11008" width="11.42578125" style="5"/>
    <col min="11009" max="11009" width="16.28515625" style="5" customWidth="1"/>
    <col min="11010" max="11010" width="16.5703125" style="5" customWidth="1"/>
    <col min="11011" max="11011" width="46.28515625" style="5" bestFit="1" customWidth="1"/>
    <col min="11012" max="11012" width="15.5703125" style="5" customWidth="1"/>
    <col min="11013" max="11013" width="11.42578125" style="5"/>
    <col min="11014" max="11014" width="13.28515625" style="5" customWidth="1"/>
    <col min="11015" max="11015" width="12.5703125" style="5" customWidth="1"/>
    <col min="11016" max="11016" width="14.7109375" style="5" customWidth="1"/>
    <col min="11017" max="11017" width="16" style="5" customWidth="1"/>
    <col min="11018" max="11264" width="11.42578125" style="5"/>
    <col min="11265" max="11265" width="16.28515625" style="5" customWidth="1"/>
    <col min="11266" max="11266" width="16.5703125" style="5" customWidth="1"/>
    <col min="11267" max="11267" width="46.28515625" style="5" bestFit="1" customWidth="1"/>
    <col min="11268" max="11268" width="15.5703125" style="5" customWidth="1"/>
    <col min="11269" max="11269" width="11.42578125" style="5"/>
    <col min="11270" max="11270" width="13.28515625" style="5" customWidth="1"/>
    <col min="11271" max="11271" width="12.5703125" style="5" customWidth="1"/>
    <col min="11272" max="11272" width="14.7109375" style="5" customWidth="1"/>
    <col min="11273" max="11273" width="16" style="5" customWidth="1"/>
    <col min="11274" max="11520" width="11.42578125" style="5"/>
    <col min="11521" max="11521" width="16.28515625" style="5" customWidth="1"/>
    <col min="11522" max="11522" width="16.5703125" style="5" customWidth="1"/>
    <col min="11523" max="11523" width="46.28515625" style="5" bestFit="1" customWidth="1"/>
    <col min="11524" max="11524" width="15.5703125" style="5" customWidth="1"/>
    <col min="11525" max="11525" width="11.42578125" style="5"/>
    <col min="11526" max="11526" width="13.28515625" style="5" customWidth="1"/>
    <col min="11527" max="11527" width="12.5703125" style="5" customWidth="1"/>
    <col min="11528" max="11528" width="14.7109375" style="5" customWidth="1"/>
    <col min="11529" max="11529" width="16" style="5" customWidth="1"/>
    <col min="11530" max="11776" width="11.42578125" style="5"/>
    <col min="11777" max="11777" width="16.28515625" style="5" customWidth="1"/>
    <col min="11778" max="11778" width="16.5703125" style="5" customWidth="1"/>
    <col min="11779" max="11779" width="46.28515625" style="5" bestFit="1" customWidth="1"/>
    <col min="11780" max="11780" width="15.5703125" style="5" customWidth="1"/>
    <col min="11781" max="11781" width="11.42578125" style="5"/>
    <col min="11782" max="11782" width="13.28515625" style="5" customWidth="1"/>
    <col min="11783" max="11783" width="12.5703125" style="5" customWidth="1"/>
    <col min="11784" max="11784" width="14.7109375" style="5" customWidth="1"/>
    <col min="11785" max="11785" width="16" style="5" customWidth="1"/>
    <col min="11786" max="12032" width="11.42578125" style="5"/>
    <col min="12033" max="12033" width="16.28515625" style="5" customWidth="1"/>
    <col min="12034" max="12034" width="16.5703125" style="5" customWidth="1"/>
    <col min="12035" max="12035" width="46.28515625" style="5" bestFit="1" customWidth="1"/>
    <col min="12036" max="12036" width="15.5703125" style="5" customWidth="1"/>
    <col min="12037" max="12037" width="11.42578125" style="5"/>
    <col min="12038" max="12038" width="13.28515625" style="5" customWidth="1"/>
    <col min="12039" max="12039" width="12.5703125" style="5" customWidth="1"/>
    <col min="12040" max="12040" width="14.7109375" style="5" customWidth="1"/>
    <col min="12041" max="12041" width="16" style="5" customWidth="1"/>
    <col min="12042" max="12288" width="11.42578125" style="5"/>
    <col min="12289" max="12289" width="16.28515625" style="5" customWidth="1"/>
    <col min="12290" max="12290" width="16.5703125" style="5" customWidth="1"/>
    <col min="12291" max="12291" width="46.28515625" style="5" bestFit="1" customWidth="1"/>
    <col min="12292" max="12292" width="15.5703125" style="5" customWidth="1"/>
    <col min="12293" max="12293" width="11.42578125" style="5"/>
    <col min="12294" max="12294" width="13.28515625" style="5" customWidth="1"/>
    <col min="12295" max="12295" width="12.5703125" style="5" customWidth="1"/>
    <col min="12296" max="12296" width="14.7109375" style="5" customWidth="1"/>
    <col min="12297" max="12297" width="16" style="5" customWidth="1"/>
    <col min="12298" max="12544" width="11.42578125" style="5"/>
    <col min="12545" max="12545" width="16.28515625" style="5" customWidth="1"/>
    <col min="12546" max="12546" width="16.5703125" style="5" customWidth="1"/>
    <col min="12547" max="12547" width="46.28515625" style="5" bestFit="1" customWidth="1"/>
    <col min="12548" max="12548" width="15.5703125" style="5" customWidth="1"/>
    <col min="12549" max="12549" width="11.42578125" style="5"/>
    <col min="12550" max="12550" width="13.28515625" style="5" customWidth="1"/>
    <col min="12551" max="12551" width="12.5703125" style="5" customWidth="1"/>
    <col min="12552" max="12552" width="14.7109375" style="5" customWidth="1"/>
    <col min="12553" max="12553" width="16" style="5" customWidth="1"/>
    <col min="12554" max="12800" width="11.42578125" style="5"/>
    <col min="12801" max="12801" width="16.28515625" style="5" customWidth="1"/>
    <col min="12802" max="12802" width="16.5703125" style="5" customWidth="1"/>
    <col min="12803" max="12803" width="46.28515625" style="5" bestFit="1" customWidth="1"/>
    <col min="12804" max="12804" width="15.5703125" style="5" customWidth="1"/>
    <col min="12805" max="12805" width="11.42578125" style="5"/>
    <col min="12806" max="12806" width="13.28515625" style="5" customWidth="1"/>
    <col min="12807" max="12807" width="12.5703125" style="5" customWidth="1"/>
    <col min="12808" max="12808" width="14.7109375" style="5" customWidth="1"/>
    <col min="12809" max="12809" width="16" style="5" customWidth="1"/>
    <col min="12810" max="13056" width="11.42578125" style="5"/>
    <col min="13057" max="13057" width="16.28515625" style="5" customWidth="1"/>
    <col min="13058" max="13058" width="16.5703125" style="5" customWidth="1"/>
    <col min="13059" max="13059" width="46.28515625" style="5" bestFit="1" customWidth="1"/>
    <col min="13060" max="13060" width="15.5703125" style="5" customWidth="1"/>
    <col min="13061" max="13061" width="11.42578125" style="5"/>
    <col min="13062" max="13062" width="13.28515625" style="5" customWidth="1"/>
    <col min="13063" max="13063" width="12.5703125" style="5" customWidth="1"/>
    <col min="13064" max="13064" width="14.7109375" style="5" customWidth="1"/>
    <col min="13065" max="13065" width="16" style="5" customWidth="1"/>
    <col min="13066" max="13312" width="11.42578125" style="5"/>
    <col min="13313" max="13313" width="16.28515625" style="5" customWidth="1"/>
    <col min="13314" max="13314" width="16.5703125" style="5" customWidth="1"/>
    <col min="13315" max="13315" width="46.28515625" style="5" bestFit="1" customWidth="1"/>
    <col min="13316" max="13316" width="15.5703125" style="5" customWidth="1"/>
    <col min="13317" max="13317" width="11.42578125" style="5"/>
    <col min="13318" max="13318" width="13.28515625" style="5" customWidth="1"/>
    <col min="13319" max="13319" width="12.5703125" style="5" customWidth="1"/>
    <col min="13320" max="13320" width="14.7109375" style="5" customWidth="1"/>
    <col min="13321" max="13321" width="16" style="5" customWidth="1"/>
    <col min="13322" max="13568" width="11.42578125" style="5"/>
    <col min="13569" max="13569" width="16.28515625" style="5" customWidth="1"/>
    <col min="13570" max="13570" width="16.5703125" style="5" customWidth="1"/>
    <col min="13571" max="13571" width="46.28515625" style="5" bestFit="1" customWidth="1"/>
    <col min="13572" max="13572" width="15.5703125" style="5" customWidth="1"/>
    <col min="13573" max="13573" width="11.42578125" style="5"/>
    <col min="13574" max="13574" width="13.28515625" style="5" customWidth="1"/>
    <col min="13575" max="13575" width="12.5703125" style="5" customWidth="1"/>
    <col min="13576" max="13576" width="14.7109375" style="5" customWidth="1"/>
    <col min="13577" max="13577" width="16" style="5" customWidth="1"/>
    <col min="13578" max="13824" width="11.42578125" style="5"/>
    <col min="13825" max="13825" width="16.28515625" style="5" customWidth="1"/>
    <col min="13826" max="13826" width="16.5703125" style="5" customWidth="1"/>
    <col min="13827" max="13827" width="46.28515625" style="5" bestFit="1" customWidth="1"/>
    <col min="13828" max="13828" width="15.5703125" style="5" customWidth="1"/>
    <col min="13829" max="13829" width="11.42578125" style="5"/>
    <col min="13830" max="13830" width="13.28515625" style="5" customWidth="1"/>
    <col min="13831" max="13831" width="12.5703125" style="5" customWidth="1"/>
    <col min="13832" max="13832" width="14.7109375" style="5" customWidth="1"/>
    <col min="13833" max="13833" width="16" style="5" customWidth="1"/>
    <col min="13834" max="14080" width="11.42578125" style="5"/>
    <col min="14081" max="14081" width="16.28515625" style="5" customWidth="1"/>
    <col min="14082" max="14082" width="16.5703125" style="5" customWidth="1"/>
    <col min="14083" max="14083" width="46.28515625" style="5" bestFit="1" customWidth="1"/>
    <col min="14084" max="14084" width="15.5703125" style="5" customWidth="1"/>
    <col min="14085" max="14085" width="11.42578125" style="5"/>
    <col min="14086" max="14086" width="13.28515625" style="5" customWidth="1"/>
    <col min="14087" max="14087" width="12.5703125" style="5" customWidth="1"/>
    <col min="14088" max="14088" width="14.7109375" style="5" customWidth="1"/>
    <col min="14089" max="14089" width="16" style="5" customWidth="1"/>
    <col min="14090" max="14336" width="11.42578125" style="5"/>
    <col min="14337" max="14337" width="16.28515625" style="5" customWidth="1"/>
    <col min="14338" max="14338" width="16.5703125" style="5" customWidth="1"/>
    <col min="14339" max="14339" width="46.28515625" style="5" bestFit="1" customWidth="1"/>
    <col min="14340" max="14340" width="15.5703125" style="5" customWidth="1"/>
    <col min="14341" max="14341" width="11.42578125" style="5"/>
    <col min="14342" max="14342" width="13.28515625" style="5" customWidth="1"/>
    <col min="14343" max="14343" width="12.5703125" style="5" customWidth="1"/>
    <col min="14344" max="14344" width="14.7109375" style="5" customWidth="1"/>
    <col min="14345" max="14345" width="16" style="5" customWidth="1"/>
    <col min="14346" max="14592" width="11.42578125" style="5"/>
    <col min="14593" max="14593" width="16.28515625" style="5" customWidth="1"/>
    <col min="14594" max="14594" width="16.5703125" style="5" customWidth="1"/>
    <col min="14595" max="14595" width="46.28515625" style="5" bestFit="1" customWidth="1"/>
    <col min="14596" max="14596" width="15.5703125" style="5" customWidth="1"/>
    <col min="14597" max="14597" width="11.42578125" style="5"/>
    <col min="14598" max="14598" width="13.28515625" style="5" customWidth="1"/>
    <col min="14599" max="14599" width="12.5703125" style="5" customWidth="1"/>
    <col min="14600" max="14600" width="14.7109375" style="5" customWidth="1"/>
    <col min="14601" max="14601" width="16" style="5" customWidth="1"/>
    <col min="14602" max="14848" width="11.42578125" style="5"/>
    <col min="14849" max="14849" width="16.28515625" style="5" customWidth="1"/>
    <col min="14850" max="14850" width="16.5703125" style="5" customWidth="1"/>
    <col min="14851" max="14851" width="46.28515625" style="5" bestFit="1" customWidth="1"/>
    <col min="14852" max="14852" width="15.5703125" style="5" customWidth="1"/>
    <col min="14853" max="14853" width="11.42578125" style="5"/>
    <col min="14854" max="14854" width="13.28515625" style="5" customWidth="1"/>
    <col min="14855" max="14855" width="12.5703125" style="5" customWidth="1"/>
    <col min="14856" max="14856" width="14.7109375" style="5" customWidth="1"/>
    <col min="14857" max="14857" width="16" style="5" customWidth="1"/>
    <col min="14858" max="15104" width="11.42578125" style="5"/>
    <col min="15105" max="15105" width="16.28515625" style="5" customWidth="1"/>
    <col min="15106" max="15106" width="16.5703125" style="5" customWidth="1"/>
    <col min="15107" max="15107" width="46.28515625" style="5" bestFit="1" customWidth="1"/>
    <col min="15108" max="15108" width="15.5703125" style="5" customWidth="1"/>
    <col min="15109" max="15109" width="11.42578125" style="5"/>
    <col min="15110" max="15110" width="13.28515625" style="5" customWidth="1"/>
    <col min="15111" max="15111" width="12.5703125" style="5" customWidth="1"/>
    <col min="15112" max="15112" width="14.7109375" style="5" customWidth="1"/>
    <col min="15113" max="15113" width="16" style="5" customWidth="1"/>
    <col min="15114" max="15360" width="11.42578125" style="5"/>
    <col min="15361" max="15361" width="16.28515625" style="5" customWidth="1"/>
    <col min="15362" max="15362" width="16.5703125" style="5" customWidth="1"/>
    <col min="15363" max="15363" width="46.28515625" style="5" bestFit="1" customWidth="1"/>
    <col min="15364" max="15364" width="15.5703125" style="5" customWidth="1"/>
    <col min="15365" max="15365" width="11.42578125" style="5"/>
    <col min="15366" max="15366" width="13.28515625" style="5" customWidth="1"/>
    <col min="15367" max="15367" width="12.5703125" style="5" customWidth="1"/>
    <col min="15368" max="15368" width="14.7109375" style="5" customWidth="1"/>
    <col min="15369" max="15369" width="16" style="5" customWidth="1"/>
    <col min="15370" max="15616" width="11.42578125" style="5"/>
    <col min="15617" max="15617" width="16.28515625" style="5" customWidth="1"/>
    <col min="15618" max="15618" width="16.5703125" style="5" customWidth="1"/>
    <col min="15619" max="15619" width="46.28515625" style="5" bestFit="1" customWidth="1"/>
    <col min="15620" max="15620" width="15.5703125" style="5" customWidth="1"/>
    <col min="15621" max="15621" width="11.42578125" style="5"/>
    <col min="15622" max="15622" width="13.28515625" style="5" customWidth="1"/>
    <col min="15623" max="15623" width="12.5703125" style="5" customWidth="1"/>
    <col min="15624" max="15624" width="14.7109375" style="5" customWidth="1"/>
    <col min="15625" max="15625" width="16" style="5" customWidth="1"/>
    <col min="15626" max="15872" width="11.42578125" style="5"/>
    <col min="15873" max="15873" width="16.28515625" style="5" customWidth="1"/>
    <col min="15874" max="15874" width="16.5703125" style="5" customWidth="1"/>
    <col min="15875" max="15875" width="46.28515625" style="5" bestFit="1" customWidth="1"/>
    <col min="15876" max="15876" width="15.5703125" style="5" customWidth="1"/>
    <col min="15877" max="15877" width="11.42578125" style="5"/>
    <col min="15878" max="15878" width="13.28515625" style="5" customWidth="1"/>
    <col min="15879" max="15879" width="12.5703125" style="5" customWidth="1"/>
    <col min="15880" max="15880" width="14.7109375" style="5" customWidth="1"/>
    <col min="15881" max="15881" width="16" style="5" customWidth="1"/>
    <col min="15882" max="16128" width="11.42578125" style="5"/>
    <col min="16129" max="16129" width="16.28515625" style="5" customWidth="1"/>
    <col min="16130" max="16130" width="16.5703125" style="5" customWidth="1"/>
    <col min="16131" max="16131" width="46.28515625" style="5" bestFit="1" customWidth="1"/>
    <col min="16132" max="16132" width="15.5703125" style="5" customWidth="1"/>
    <col min="16133" max="16133" width="11.42578125" style="5"/>
    <col min="16134" max="16134" width="13.28515625" style="5" customWidth="1"/>
    <col min="16135" max="16135" width="12.5703125" style="5" customWidth="1"/>
    <col min="16136" max="16136" width="14.7109375" style="5" customWidth="1"/>
    <col min="16137" max="16137" width="16" style="5" customWidth="1"/>
    <col min="16138" max="16384" width="11.42578125" style="5"/>
  </cols>
  <sheetData>
    <row r="1" spans="1:9" ht="15.75" x14ac:dyDescent="0.25">
      <c r="A1" s="557"/>
      <c r="B1" s="558"/>
      <c r="C1" s="564" t="s">
        <v>35</v>
      </c>
      <c r="D1" s="564"/>
      <c r="E1" s="564"/>
      <c r="F1" s="564"/>
      <c r="G1" s="564"/>
      <c r="H1" s="209" t="s">
        <v>34</v>
      </c>
      <c r="I1" s="208" t="s">
        <v>300</v>
      </c>
    </row>
    <row r="2" spans="1:9" ht="16.5" thickBot="1" x14ac:dyDescent="0.3">
      <c r="A2" s="559"/>
      <c r="B2" s="560"/>
      <c r="C2" s="565" t="s">
        <v>33</v>
      </c>
      <c r="D2" s="565"/>
      <c r="E2" s="565"/>
      <c r="F2" s="565"/>
      <c r="G2" s="565"/>
      <c r="H2" s="214" t="s">
        <v>32</v>
      </c>
      <c r="I2" s="215" t="s">
        <v>301</v>
      </c>
    </row>
    <row r="3" spans="1:9" ht="50.1" customHeight="1" thickBot="1" x14ac:dyDescent="0.3">
      <c r="A3" s="559"/>
      <c r="B3" s="560"/>
      <c r="C3" s="767" t="s">
        <v>302</v>
      </c>
      <c r="D3" s="768"/>
      <c r="E3" s="768"/>
      <c r="F3" s="768"/>
      <c r="G3" s="769"/>
      <c r="H3" s="569" t="s">
        <v>31</v>
      </c>
      <c r="I3" s="546">
        <v>44096</v>
      </c>
    </row>
    <row r="4" spans="1:9" x14ac:dyDescent="0.25">
      <c r="A4" s="559"/>
      <c r="B4" s="560"/>
      <c r="C4" s="216" t="s">
        <v>30</v>
      </c>
      <c r="D4" s="632" t="s">
        <v>199</v>
      </c>
      <c r="E4" s="633"/>
      <c r="F4" s="633"/>
      <c r="G4" s="634"/>
      <c r="H4" s="570"/>
      <c r="I4" s="547"/>
    </row>
    <row r="5" spans="1:9" ht="15" customHeight="1" thickBot="1" x14ac:dyDescent="0.3">
      <c r="A5" s="561"/>
      <c r="B5" s="562"/>
      <c r="C5" s="217" t="s">
        <v>29</v>
      </c>
      <c r="D5" s="635" t="s">
        <v>303</v>
      </c>
      <c r="E5" s="636"/>
      <c r="F5" s="636"/>
      <c r="G5" s="637"/>
      <c r="H5" s="571"/>
      <c r="I5" s="547"/>
    </row>
    <row r="6" spans="1:9" ht="25.5" x14ac:dyDescent="0.25">
      <c r="A6" s="794" t="s">
        <v>23</v>
      </c>
      <c r="B6" s="772" t="s">
        <v>36</v>
      </c>
      <c r="C6" s="645" t="s">
        <v>22</v>
      </c>
      <c r="D6" s="645" t="s">
        <v>21</v>
      </c>
      <c r="E6" s="645" t="s">
        <v>20</v>
      </c>
      <c r="F6" s="645"/>
      <c r="G6" s="645" t="s">
        <v>19</v>
      </c>
      <c r="H6" s="645"/>
      <c r="I6" s="218" t="s">
        <v>18</v>
      </c>
    </row>
    <row r="7" spans="1:9" ht="27" thickBot="1" x14ac:dyDescent="0.3">
      <c r="A7" s="552"/>
      <c r="B7" s="773"/>
      <c r="C7" s="554"/>
      <c r="D7" s="646"/>
      <c r="E7" s="221" t="s">
        <v>15</v>
      </c>
      <c r="F7" s="222" t="s">
        <v>17</v>
      </c>
      <c r="G7" s="221" t="s">
        <v>15</v>
      </c>
      <c r="H7" s="222" t="s">
        <v>17</v>
      </c>
      <c r="I7" s="364" t="s">
        <v>16</v>
      </c>
    </row>
    <row r="8" spans="1:9" ht="15.75" x14ac:dyDescent="0.25">
      <c r="A8" s="236">
        <v>11400031</v>
      </c>
      <c r="B8" s="236" t="s">
        <v>40</v>
      </c>
      <c r="C8" s="237" t="s">
        <v>297</v>
      </c>
      <c r="D8" s="374" t="s">
        <v>304</v>
      </c>
      <c r="E8" s="375">
        <v>4000</v>
      </c>
      <c r="F8" s="80" t="s">
        <v>2</v>
      </c>
      <c r="G8" s="75">
        <v>1</v>
      </c>
      <c r="H8" s="79" t="s">
        <v>305</v>
      </c>
      <c r="I8" s="368"/>
    </row>
    <row r="9" spans="1:9" ht="15.75" x14ac:dyDescent="0.25">
      <c r="A9" s="236">
        <v>310148</v>
      </c>
      <c r="B9" s="236" t="s">
        <v>63</v>
      </c>
      <c r="C9" s="237" t="s">
        <v>296</v>
      </c>
      <c r="D9" s="376" t="s">
        <v>54</v>
      </c>
      <c r="E9" s="375">
        <v>4000</v>
      </c>
      <c r="F9" s="80" t="s">
        <v>2</v>
      </c>
      <c r="G9" s="75">
        <v>1</v>
      </c>
      <c r="H9" s="79" t="s">
        <v>305</v>
      </c>
      <c r="I9" s="377"/>
    </row>
    <row r="10" spans="1:9" ht="15.75" x14ac:dyDescent="0.25">
      <c r="A10" s="77" t="s">
        <v>57</v>
      </c>
      <c r="B10" s="77"/>
      <c r="C10" s="78" t="s">
        <v>58</v>
      </c>
      <c r="D10" s="374" t="s">
        <v>78</v>
      </c>
      <c r="E10" s="75">
        <v>100</v>
      </c>
      <c r="F10" s="80" t="s">
        <v>2</v>
      </c>
      <c r="G10" s="75"/>
      <c r="H10" s="79"/>
      <c r="I10" s="226"/>
    </row>
    <row r="11" spans="1:9" ht="15.75" x14ac:dyDescent="0.25">
      <c r="A11" s="236">
        <v>11400027</v>
      </c>
      <c r="B11" s="236" t="s">
        <v>86</v>
      </c>
      <c r="C11" s="237" t="s">
        <v>306</v>
      </c>
      <c r="D11" s="374" t="s">
        <v>304</v>
      </c>
      <c r="E11" s="375">
        <v>16000</v>
      </c>
      <c r="F11" s="80" t="s">
        <v>2</v>
      </c>
      <c r="G11" s="75">
        <v>4</v>
      </c>
      <c r="H11" s="80" t="s">
        <v>305</v>
      </c>
      <c r="I11" s="226"/>
    </row>
    <row r="12" spans="1:9" ht="15.75" x14ac:dyDescent="0.25">
      <c r="A12" s="378">
        <v>1212410</v>
      </c>
      <c r="B12" s="379" t="s">
        <v>65</v>
      </c>
      <c r="C12" s="380" t="s">
        <v>252</v>
      </c>
      <c r="D12" s="374" t="s">
        <v>60</v>
      </c>
      <c r="E12" s="75">
        <v>15</v>
      </c>
      <c r="F12" s="80" t="s">
        <v>2</v>
      </c>
      <c r="G12" s="75"/>
      <c r="H12" s="79"/>
      <c r="I12" s="226"/>
    </row>
    <row r="13" spans="1:9" ht="16.5" thickBot="1" x14ac:dyDescent="0.3">
      <c r="A13" s="282">
        <v>702123</v>
      </c>
      <c r="B13" s="283" t="s">
        <v>67</v>
      </c>
      <c r="C13" s="339" t="s">
        <v>265</v>
      </c>
      <c r="D13" s="381" t="s">
        <v>105</v>
      </c>
      <c r="E13" s="372">
        <v>1</v>
      </c>
      <c r="F13" s="382" t="s">
        <v>7</v>
      </c>
      <c r="G13" s="372"/>
      <c r="H13" s="383"/>
      <c r="I13" s="226"/>
    </row>
    <row r="14" spans="1:9" ht="15.75" x14ac:dyDescent="0.25">
      <c r="A14" s="384"/>
      <c r="B14" s="385"/>
      <c r="C14" s="386"/>
      <c r="D14" s="387"/>
      <c r="E14" s="388"/>
      <c r="F14" s="389"/>
      <c r="G14" s="388"/>
      <c r="H14" s="390"/>
      <c r="I14" s="391"/>
    </row>
    <row r="15" spans="1:9" ht="15.75" x14ac:dyDescent="0.25">
      <c r="A15" s="392"/>
      <c r="B15" s="393"/>
      <c r="C15" s="394"/>
      <c r="D15" s="395"/>
      <c r="E15" s="396"/>
      <c r="F15" s="397"/>
      <c r="G15" s="396"/>
      <c r="H15" s="398"/>
      <c r="I15" s="399"/>
    </row>
    <row r="16" spans="1:9" ht="15.75" x14ac:dyDescent="0.25">
      <c r="A16" s="392"/>
      <c r="B16" s="393"/>
      <c r="C16" s="394"/>
      <c r="D16" s="395"/>
      <c r="E16" s="396"/>
      <c r="F16" s="397"/>
      <c r="G16" s="396"/>
      <c r="H16" s="398"/>
      <c r="I16" s="399"/>
    </row>
    <row r="17" spans="1:13" ht="15.75" x14ac:dyDescent="0.25">
      <c r="A17" s="392"/>
      <c r="B17" s="393"/>
      <c r="C17" s="394"/>
      <c r="D17" s="395"/>
      <c r="E17" s="396"/>
      <c r="F17" s="397"/>
      <c r="G17" s="396"/>
      <c r="H17" s="398"/>
      <c r="I17" s="399"/>
    </row>
    <row r="18" spans="1:13" ht="15.75" x14ac:dyDescent="0.25">
      <c r="A18" s="392"/>
      <c r="B18" s="393"/>
      <c r="C18" s="394"/>
      <c r="D18" s="395"/>
      <c r="E18" s="396"/>
      <c r="F18" s="397"/>
      <c r="G18" s="396"/>
      <c r="H18" s="398"/>
      <c r="I18" s="399"/>
    </row>
    <row r="19" spans="1:13" ht="15.75" x14ac:dyDescent="0.25">
      <c r="A19" s="392"/>
      <c r="B19" s="393"/>
      <c r="C19" s="394"/>
      <c r="D19" s="395"/>
      <c r="E19" s="396"/>
      <c r="F19" s="397"/>
      <c r="G19" s="396"/>
      <c r="H19" s="398"/>
      <c r="I19" s="399"/>
    </row>
    <row r="20" spans="1:13" ht="15.75" x14ac:dyDescent="0.25">
      <c r="A20" s="392"/>
      <c r="B20" s="393"/>
      <c r="C20" s="394"/>
      <c r="D20" s="395"/>
      <c r="E20" s="396"/>
      <c r="F20" s="397"/>
      <c r="G20" s="396"/>
      <c r="H20" s="398"/>
      <c r="I20" s="399"/>
    </row>
    <row r="21" spans="1:13" ht="15.75" x14ac:dyDescent="0.25">
      <c r="A21" s="392"/>
      <c r="B21" s="393"/>
      <c r="C21" s="394"/>
      <c r="D21" s="395"/>
      <c r="E21" s="396"/>
      <c r="F21" s="397"/>
      <c r="G21" s="396"/>
      <c r="H21" s="398"/>
      <c r="I21" s="399"/>
    </row>
    <row r="22" spans="1:13" ht="15.75" x14ac:dyDescent="0.25">
      <c r="A22" s="392"/>
      <c r="B22" s="393"/>
      <c r="C22" s="394"/>
      <c r="D22" s="395"/>
      <c r="E22" s="396"/>
      <c r="F22" s="397"/>
      <c r="G22" s="396"/>
      <c r="H22" s="398"/>
      <c r="I22" s="399"/>
    </row>
    <row r="23" spans="1:13" ht="15.75" x14ac:dyDescent="0.25">
      <c r="A23" s="392"/>
      <c r="B23" s="393"/>
      <c r="C23" s="394"/>
      <c r="D23" s="395"/>
      <c r="E23" s="396"/>
      <c r="F23" s="397"/>
      <c r="G23" s="396"/>
      <c r="H23" s="398"/>
      <c r="I23" s="399"/>
    </row>
    <row r="24" spans="1:13" ht="15.75" x14ac:dyDescent="0.25">
      <c r="A24" s="392"/>
      <c r="B24" s="393"/>
      <c r="C24" s="394"/>
      <c r="D24" s="395"/>
      <c r="E24" s="396"/>
      <c r="F24" s="397"/>
      <c r="G24" s="396"/>
      <c r="H24" s="398"/>
      <c r="I24" s="399"/>
    </row>
    <row r="25" spans="1:13" ht="15.75" thickBot="1" x14ac:dyDescent="0.3">
      <c r="A25" s="400"/>
      <c r="B25" s="401"/>
      <c r="C25" s="402"/>
      <c r="D25" s="403"/>
      <c r="E25" s="404"/>
      <c r="F25" s="404"/>
      <c r="G25" s="404"/>
      <c r="H25" s="404"/>
      <c r="I25" s="405"/>
    </row>
    <row r="26" spans="1:13" ht="14.25" thickBot="1" x14ac:dyDescent="0.3">
      <c r="A26" s="247"/>
      <c r="B26" s="248"/>
      <c r="E26" s="249"/>
      <c r="F26" s="250"/>
      <c r="I26" s="251"/>
      <c r="L26" s="8"/>
    </row>
    <row r="27" spans="1:13" ht="14.25" thickBot="1" x14ac:dyDescent="0.3">
      <c r="A27" s="252"/>
      <c r="B27" s="253"/>
      <c r="C27" s="254"/>
      <c r="D27" s="255" t="s">
        <v>15</v>
      </c>
      <c r="E27" s="256" t="s">
        <v>14</v>
      </c>
      <c r="F27" s="257"/>
      <c r="G27" s="254"/>
      <c r="H27" s="254"/>
      <c r="I27" s="258"/>
      <c r="L27" s="8"/>
    </row>
    <row r="28" spans="1:13" x14ac:dyDescent="0.25">
      <c r="A28" s="649" t="s">
        <v>13</v>
      </c>
      <c r="B28" s="795"/>
      <c r="C28" s="650"/>
      <c r="D28" s="37">
        <v>23875</v>
      </c>
      <c r="E28" s="260" t="s">
        <v>2</v>
      </c>
      <c r="F28" s="651" t="s">
        <v>12</v>
      </c>
      <c r="G28" s="651"/>
      <c r="H28" s="652"/>
      <c r="I28" s="653"/>
      <c r="L28" s="8"/>
    </row>
    <row r="29" spans="1:13" x14ac:dyDescent="0.25">
      <c r="A29" s="523" t="s">
        <v>11</v>
      </c>
      <c r="B29" s="524"/>
      <c r="C29" s="525"/>
      <c r="D29" s="82">
        <v>6</v>
      </c>
      <c r="E29" s="11" t="s">
        <v>307</v>
      </c>
      <c r="F29" s="526" t="s">
        <v>9</v>
      </c>
      <c r="G29" s="526"/>
      <c r="H29" s="527"/>
      <c r="I29" s="528"/>
      <c r="L29" s="8"/>
    </row>
    <row r="30" spans="1:13" x14ac:dyDescent="0.25">
      <c r="A30" s="523" t="s">
        <v>8</v>
      </c>
      <c r="B30" s="524"/>
      <c r="C30" s="525"/>
      <c r="D30" s="11">
        <v>1</v>
      </c>
      <c r="E30" s="11" t="s">
        <v>308</v>
      </c>
      <c r="F30" s="526" t="s">
        <v>6</v>
      </c>
      <c r="G30" s="526"/>
      <c r="H30" s="527"/>
      <c r="I30" s="528"/>
      <c r="L30" s="8"/>
    </row>
    <row r="31" spans="1:13" x14ac:dyDescent="0.25">
      <c r="A31" s="523" t="s">
        <v>5</v>
      </c>
      <c r="B31" s="524"/>
      <c r="C31" s="525"/>
      <c r="D31" s="29">
        <f>D28</f>
        <v>23875</v>
      </c>
      <c r="E31" s="11" t="s">
        <v>2</v>
      </c>
      <c r="F31" s="654" t="s">
        <v>4</v>
      </c>
      <c r="G31" s="655"/>
      <c r="H31" s="527"/>
      <c r="I31" s="528"/>
      <c r="L31" s="8"/>
      <c r="M31" s="4"/>
    </row>
    <row r="32" spans="1:13" ht="14.25" thickBot="1" x14ac:dyDescent="0.3">
      <c r="A32" s="534" t="s">
        <v>3</v>
      </c>
      <c r="B32" s="535"/>
      <c r="C32" s="536"/>
      <c r="D32" s="83">
        <f>SUM(E8:E12)-D28</f>
        <v>240</v>
      </c>
      <c r="E32" s="263" t="s">
        <v>2</v>
      </c>
      <c r="F32" s="537"/>
      <c r="G32" s="537"/>
      <c r="H32" s="599"/>
      <c r="I32" s="600"/>
      <c r="L32" s="8"/>
    </row>
    <row r="33" spans="1:9" ht="16.5" customHeight="1" thickBot="1" x14ac:dyDescent="0.3">
      <c r="A33" s="659" t="s">
        <v>1</v>
      </c>
      <c r="B33" s="660"/>
      <c r="C33" s="660"/>
      <c r="D33" s="660"/>
      <c r="E33" s="660"/>
      <c r="F33" s="660"/>
      <c r="G33" s="660"/>
      <c r="H33" s="660"/>
      <c r="I33" s="661"/>
    </row>
    <row r="34" spans="1:9" ht="16.5" customHeight="1" x14ac:dyDescent="0.25">
      <c r="A34" s="796" t="s">
        <v>309</v>
      </c>
      <c r="B34" s="797"/>
      <c r="C34" s="797"/>
      <c r="D34" s="797"/>
      <c r="E34" s="797"/>
      <c r="F34" s="797"/>
      <c r="G34" s="797"/>
      <c r="H34" s="797"/>
      <c r="I34" s="798"/>
    </row>
    <row r="35" spans="1:9" ht="16.5" customHeight="1" x14ac:dyDescent="0.25">
      <c r="A35" s="796" t="s">
        <v>310</v>
      </c>
      <c r="B35" s="797"/>
      <c r="C35" s="797"/>
      <c r="D35" s="797"/>
      <c r="E35" s="797"/>
      <c r="F35" s="797"/>
      <c r="G35" s="797"/>
      <c r="H35" s="797"/>
      <c r="I35" s="798"/>
    </row>
    <row r="36" spans="1:9" ht="16.5" customHeight="1" x14ac:dyDescent="0.25">
      <c r="A36" s="796" t="s">
        <v>311</v>
      </c>
      <c r="B36" s="797"/>
      <c r="C36" s="797"/>
      <c r="D36" s="797"/>
      <c r="E36" s="797"/>
      <c r="F36" s="797"/>
      <c r="G36" s="797"/>
      <c r="H36" s="797"/>
      <c r="I36" s="798"/>
    </row>
    <row r="37" spans="1:9" ht="16.5" customHeight="1" x14ac:dyDescent="0.25">
      <c r="A37" s="796" t="s">
        <v>312</v>
      </c>
      <c r="B37" s="797"/>
      <c r="C37" s="797"/>
      <c r="D37" s="797"/>
      <c r="E37" s="797"/>
      <c r="F37" s="797"/>
      <c r="G37" s="797"/>
      <c r="H37" s="797"/>
      <c r="I37" s="798"/>
    </row>
    <row r="38" spans="1:9" ht="16.5" customHeight="1" x14ac:dyDescent="0.25">
      <c r="A38" s="796" t="s">
        <v>313</v>
      </c>
      <c r="B38" s="797"/>
      <c r="C38" s="797"/>
      <c r="D38" s="797"/>
      <c r="E38" s="797"/>
      <c r="F38" s="797"/>
      <c r="G38" s="797"/>
      <c r="H38" s="797"/>
      <c r="I38" s="798"/>
    </row>
    <row r="39" spans="1:9" ht="16.5" customHeight="1" thickBot="1" x14ac:dyDescent="0.3">
      <c r="A39" s="799" t="s">
        <v>314</v>
      </c>
      <c r="B39" s="800"/>
      <c r="C39" s="800"/>
      <c r="D39" s="800"/>
      <c r="E39" s="800"/>
      <c r="F39" s="800"/>
      <c r="G39" s="800"/>
      <c r="H39" s="800"/>
      <c r="I39" s="801"/>
    </row>
    <row r="40" spans="1:9" ht="14.25" thickBot="1" x14ac:dyDescent="0.3">
      <c r="A40" s="659" t="s">
        <v>216</v>
      </c>
      <c r="B40" s="660"/>
      <c r="C40" s="660"/>
      <c r="D40" s="660"/>
      <c r="E40" s="660"/>
      <c r="F40" s="660"/>
      <c r="G40" s="660"/>
      <c r="H40" s="660"/>
      <c r="I40" s="661"/>
    </row>
    <row r="41" spans="1:9" x14ac:dyDescent="0.25">
      <c r="A41" s="264" t="s">
        <v>315</v>
      </c>
      <c r="B41" s="264"/>
      <c r="C41" s="264"/>
    </row>
  </sheetData>
  <mergeCells count="37">
    <mergeCell ref="A36:I36"/>
    <mergeCell ref="A37:I37"/>
    <mergeCell ref="A38:I38"/>
    <mergeCell ref="A39:I39"/>
    <mergeCell ref="A40:I40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24D-945B-4144-BE89-2852D94386F4}">
  <dimension ref="A1:M45"/>
  <sheetViews>
    <sheetView topLeftCell="A5" workbookViewId="0">
      <selection activeCell="C8" sqref="C8:C9"/>
    </sheetView>
  </sheetViews>
  <sheetFormatPr baseColWidth="10" defaultColWidth="11.42578125" defaultRowHeight="12.75" x14ac:dyDescent="0.2"/>
  <cols>
    <col min="1" max="1" width="16.28515625" style="267" customWidth="1"/>
    <col min="2" max="2" width="12.42578125" style="267" customWidth="1"/>
    <col min="3" max="3" width="40.5703125" style="267" customWidth="1"/>
    <col min="4" max="4" width="30.28515625" style="267" customWidth="1"/>
    <col min="5" max="5" width="11.42578125" style="267"/>
    <col min="6" max="6" width="13.28515625" style="267" customWidth="1"/>
    <col min="7" max="7" width="12.5703125" style="267" customWidth="1"/>
    <col min="8" max="8" width="15.5703125" style="267" customWidth="1"/>
    <col min="9" max="9" width="18" style="267" customWidth="1"/>
    <col min="10" max="16384" width="11.42578125" style="267"/>
  </cols>
  <sheetData>
    <row r="1" spans="1:9" ht="18" x14ac:dyDescent="0.25">
      <c r="A1" s="808"/>
      <c r="B1" s="809"/>
      <c r="C1" s="814" t="s">
        <v>35</v>
      </c>
      <c r="D1" s="814"/>
      <c r="E1" s="814"/>
      <c r="F1" s="814"/>
      <c r="G1" s="814"/>
      <c r="H1" s="265" t="s">
        <v>34</v>
      </c>
      <c r="I1" s="266" t="s">
        <v>237</v>
      </c>
    </row>
    <row r="2" spans="1:9" ht="18" x14ac:dyDescent="0.25">
      <c r="A2" s="810"/>
      <c r="B2" s="811"/>
      <c r="C2" s="815" t="s">
        <v>33</v>
      </c>
      <c r="D2" s="815"/>
      <c r="E2" s="815"/>
      <c r="F2" s="815"/>
      <c r="G2" s="815"/>
      <c r="H2" s="268" t="s">
        <v>32</v>
      </c>
      <c r="I2" s="336" t="s">
        <v>196</v>
      </c>
    </row>
    <row r="3" spans="1:9" ht="50.1" customHeight="1" x14ac:dyDescent="0.2">
      <c r="A3" s="810"/>
      <c r="B3" s="811"/>
      <c r="C3" s="816" t="s">
        <v>238</v>
      </c>
      <c r="D3" s="817"/>
      <c r="E3" s="817"/>
      <c r="F3" s="817"/>
      <c r="G3" s="818"/>
      <c r="H3" s="819" t="s">
        <v>31</v>
      </c>
      <c r="I3" s="802">
        <v>45187</v>
      </c>
    </row>
    <row r="4" spans="1:9" ht="15" x14ac:dyDescent="0.25">
      <c r="A4" s="810"/>
      <c r="B4" s="811"/>
      <c r="C4" s="270" t="s">
        <v>30</v>
      </c>
      <c r="D4" s="805" t="s">
        <v>221</v>
      </c>
      <c r="E4" s="806"/>
      <c r="F4" s="806"/>
      <c r="G4" s="806"/>
      <c r="H4" s="819"/>
      <c r="I4" s="803"/>
    </row>
    <row r="5" spans="1:9" ht="15" customHeight="1" thickBot="1" x14ac:dyDescent="0.25">
      <c r="A5" s="812"/>
      <c r="B5" s="813"/>
      <c r="C5" s="271" t="s">
        <v>29</v>
      </c>
      <c r="D5" s="807" t="s">
        <v>28</v>
      </c>
      <c r="E5" s="807"/>
      <c r="F5" s="807"/>
      <c r="G5" s="807"/>
      <c r="H5" s="820"/>
      <c r="I5" s="804"/>
    </row>
    <row r="6" spans="1:9" ht="15" customHeight="1" x14ac:dyDescent="0.2">
      <c r="A6" s="272"/>
      <c r="B6" s="272"/>
      <c r="C6" s="273"/>
      <c r="D6" s="274"/>
      <c r="E6" s="274"/>
      <c r="F6" s="274"/>
      <c r="G6" s="274"/>
      <c r="H6" s="275"/>
      <c r="I6" s="276"/>
    </row>
    <row r="7" spans="1:9" ht="21" customHeight="1" thickBot="1" x14ac:dyDescent="0.3">
      <c r="A7" s="684" t="s">
        <v>27</v>
      </c>
      <c r="B7" s="684"/>
      <c r="C7" s="684"/>
      <c r="D7" s="821" t="s">
        <v>239</v>
      </c>
      <c r="E7" s="821"/>
      <c r="F7" s="821"/>
      <c r="G7" s="686" t="s">
        <v>25</v>
      </c>
      <c r="H7" s="686"/>
      <c r="I7" s="277" t="s">
        <v>239</v>
      </c>
    </row>
    <row r="8" spans="1:9" x14ac:dyDescent="0.2">
      <c r="A8" s="822" t="s">
        <v>23</v>
      </c>
      <c r="B8" s="824" t="s">
        <v>36</v>
      </c>
      <c r="C8" s="826" t="s">
        <v>22</v>
      </c>
      <c r="D8" s="826" t="s">
        <v>21</v>
      </c>
      <c r="E8" s="826" t="s">
        <v>20</v>
      </c>
      <c r="F8" s="826"/>
      <c r="G8" s="826" t="s">
        <v>19</v>
      </c>
      <c r="H8" s="826"/>
      <c r="I8" s="278" t="s">
        <v>18</v>
      </c>
    </row>
    <row r="9" spans="1:9" ht="26.25" thickBot="1" x14ac:dyDescent="0.25">
      <c r="A9" s="823"/>
      <c r="B9" s="825"/>
      <c r="C9" s="827"/>
      <c r="D9" s="828"/>
      <c r="E9" s="279" t="s">
        <v>15</v>
      </c>
      <c r="F9" s="280" t="s">
        <v>17</v>
      </c>
      <c r="G9" s="279" t="s">
        <v>15</v>
      </c>
      <c r="H9" s="280" t="s">
        <v>17</v>
      </c>
      <c r="I9" s="281" t="s">
        <v>16</v>
      </c>
    </row>
    <row r="10" spans="1:9" ht="15" x14ac:dyDescent="0.2">
      <c r="A10" s="236">
        <v>510301</v>
      </c>
      <c r="B10" s="236" t="s">
        <v>240</v>
      </c>
      <c r="C10" s="237" t="s">
        <v>241</v>
      </c>
      <c r="D10" s="285" t="s">
        <v>242</v>
      </c>
      <c r="E10" s="285">
        <v>5820</v>
      </c>
      <c r="F10" s="285" t="s">
        <v>2</v>
      </c>
      <c r="G10" s="337">
        <f>E10/13.547</f>
        <v>429.61541300656972</v>
      </c>
      <c r="H10" s="288"/>
      <c r="I10" s="289"/>
    </row>
    <row r="11" spans="1:9" ht="15" x14ac:dyDescent="0.2">
      <c r="A11" s="338">
        <v>11200072</v>
      </c>
      <c r="B11" s="338" t="s">
        <v>243</v>
      </c>
      <c r="C11" s="291" t="s">
        <v>244</v>
      </c>
      <c r="D11" s="286" t="s">
        <v>245</v>
      </c>
      <c r="E11" s="286">
        <v>3622</v>
      </c>
      <c r="F11" s="286" t="s">
        <v>2</v>
      </c>
      <c r="G11" s="337">
        <f t="shared" ref="G11:G22" si="0">E11/13.547</f>
        <v>267.36546836938066</v>
      </c>
      <c r="H11" s="288"/>
      <c r="I11" s="289"/>
    </row>
    <row r="12" spans="1:9" ht="15" x14ac:dyDescent="0.2">
      <c r="A12" s="292">
        <v>11200087</v>
      </c>
      <c r="B12" s="293" t="s">
        <v>246</v>
      </c>
      <c r="C12" s="237" t="s">
        <v>247</v>
      </c>
      <c r="D12" s="286" t="s">
        <v>248</v>
      </c>
      <c r="E12" s="286">
        <v>3492</v>
      </c>
      <c r="F12" s="286" t="s">
        <v>2</v>
      </c>
      <c r="G12" s="337">
        <f t="shared" si="0"/>
        <v>257.76924780394182</v>
      </c>
      <c r="H12" s="288"/>
      <c r="I12" s="289"/>
    </row>
    <row r="13" spans="1:9" ht="15" x14ac:dyDescent="0.2">
      <c r="A13" s="292">
        <v>1160001</v>
      </c>
      <c r="B13" s="293" t="s">
        <v>249</v>
      </c>
      <c r="C13" s="291" t="s">
        <v>250</v>
      </c>
      <c r="D13" s="286" t="s">
        <v>251</v>
      </c>
      <c r="E13" s="286">
        <v>60</v>
      </c>
      <c r="F13" s="286" t="s">
        <v>2</v>
      </c>
      <c r="G13" s="337">
        <f t="shared" si="0"/>
        <v>4.4290248763563884</v>
      </c>
      <c r="H13" s="288"/>
      <c r="I13" s="289"/>
    </row>
    <row r="14" spans="1:9" ht="15" x14ac:dyDescent="0.2">
      <c r="A14" s="236">
        <v>1212410</v>
      </c>
      <c r="B14" s="236" t="s">
        <v>65</v>
      </c>
      <c r="C14" s="291" t="s">
        <v>252</v>
      </c>
      <c r="D14" s="290" t="s">
        <v>49</v>
      </c>
      <c r="E14" s="286">
        <v>38</v>
      </c>
      <c r="F14" s="286" t="s">
        <v>2</v>
      </c>
      <c r="G14" s="337">
        <f t="shared" si="0"/>
        <v>2.8050490883590462</v>
      </c>
      <c r="H14" s="288"/>
      <c r="I14" s="289"/>
    </row>
    <row r="15" spans="1:9" ht="15" x14ac:dyDescent="0.2">
      <c r="A15" s="236">
        <v>10100337</v>
      </c>
      <c r="B15" s="236" t="s">
        <v>253</v>
      </c>
      <c r="C15" s="237" t="s">
        <v>254</v>
      </c>
      <c r="D15" s="290" t="s">
        <v>255</v>
      </c>
      <c r="E15" s="286">
        <v>30</v>
      </c>
      <c r="F15" s="286" t="s">
        <v>2</v>
      </c>
      <c r="G15" s="337">
        <f t="shared" si="0"/>
        <v>2.2145124381781942</v>
      </c>
      <c r="H15" s="288"/>
      <c r="I15" s="289"/>
    </row>
    <row r="16" spans="1:9" ht="15" x14ac:dyDescent="0.2">
      <c r="A16" s="282">
        <v>310145</v>
      </c>
      <c r="B16" s="283" t="s">
        <v>256</v>
      </c>
      <c r="C16" s="339" t="s">
        <v>257</v>
      </c>
      <c r="D16" s="340" t="s">
        <v>258</v>
      </c>
      <c r="E16" s="340">
        <v>518</v>
      </c>
      <c r="F16" s="340" t="s">
        <v>2</v>
      </c>
      <c r="G16" s="337">
        <f t="shared" si="0"/>
        <v>38.237248099210156</v>
      </c>
      <c r="H16" s="288"/>
      <c r="I16" s="289"/>
    </row>
    <row r="17" spans="1:13" ht="15" x14ac:dyDescent="0.2">
      <c r="A17" s="236">
        <v>503000036</v>
      </c>
      <c r="B17" s="236" t="s">
        <v>259</v>
      </c>
      <c r="C17" s="237" t="s">
        <v>260</v>
      </c>
      <c r="D17" s="341"/>
      <c r="E17" s="290">
        <v>65</v>
      </c>
      <c r="F17" s="342" t="s">
        <v>2</v>
      </c>
      <c r="G17" s="337">
        <f t="shared" si="0"/>
        <v>4.7981102827194206</v>
      </c>
      <c r="H17" s="288"/>
      <c r="I17" s="289"/>
    </row>
    <row r="18" spans="1:13" ht="15.75" x14ac:dyDescent="0.25">
      <c r="A18" s="293"/>
      <c r="B18" s="293"/>
      <c r="C18" s="294"/>
      <c r="D18" s="286"/>
      <c r="E18" s="286"/>
      <c r="F18" s="286"/>
      <c r="G18" s="337">
        <f t="shared" si="0"/>
        <v>0</v>
      </c>
      <c r="H18" s="288"/>
      <c r="I18" s="289"/>
    </row>
    <row r="19" spans="1:13" ht="15" x14ac:dyDescent="0.2">
      <c r="A19" s="236">
        <v>1950708</v>
      </c>
      <c r="B19" s="236" t="s">
        <v>261</v>
      </c>
      <c r="C19" s="237" t="s">
        <v>262</v>
      </c>
      <c r="D19" s="286"/>
      <c r="E19" s="286">
        <v>2</v>
      </c>
      <c r="F19" s="286" t="s">
        <v>7</v>
      </c>
      <c r="G19" s="337">
        <f t="shared" si="0"/>
        <v>0.14763416254521294</v>
      </c>
      <c r="H19" s="288"/>
      <c r="I19" s="289"/>
    </row>
    <row r="20" spans="1:13" ht="15" x14ac:dyDescent="0.2">
      <c r="A20" s="236">
        <v>60100010</v>
      </c>
      <c r="B20" s="236" t="s">
        <v>263</v>
      </c>
      <c r="C20" s="237" t="s">
        <v>264</v>
      </c>
      <c r="D20" s="286"/>
      <c r="E20" s="286">
        <v>2</v>
      </c>
      <c r="F20" s="286" t="s">
        <v>7</v>
      </c>
      <c r="G20" s="337">
        <f t="shared" si="0"/>
        <v>0.14763416254521294</v>
      </c>
      <c r="H20" s="288"/>
      <c r="I20" s="289"/>
    </row>
    <row r="21" spans="1:13" ht="13.5" customHeight="1" x14ac:dyDescent="0.2">
      <c r="A21" s="236">
        <v>702123</v>
      </c>
      <c r="B21" s="236" t="s">
        <v>67</v>
      </c>
      <c r="C21" s="237" t="s">
        <v>265</v>
      </c>
      <c r="D21" s="304"/>
      <c r="E21" s="296">
        <v>2</v>
      </c>
      <c r="F21" s="297" t="s">
        <v>7</v>
      </c>
      <c r="G21" s="337">
        <f t="shared" si="0"/>
        <v>0.14763416254521294</v>
      </c>
      <c r="H21" s="299"/>
      <c r="I21" s="300"/>
    </row>
    <row r="22" spans="1:13" ht="15" x14ac:dyDescent="0.2">
      <c r="A22" s="282">
        <v>1950705</v>
      </c>
      <c r="B22" s="283" t="s">
        <v>266</v>
      </c>
      <c r="C22" s="339" t="s">
        <v>267</v>
      </c>
      <c r="D22" s="304"/>
      <c r="E22" s="296">
        <v>1</v>
      </c>
      <c r="F22" s="297" t="s">
        <v>7</v>
      </c>
      <c r="G22" s="337">
        <f t="shared" si="0"/>
        <v>7.3817081272606472E-2</v>
      </c>
      <c r="H22" s="299"/>
      <c r="I22" s="300"/>
    </row>
    <row r="23" spans="1:13" ht="14.25" x14ac:dyDescent="0.2">
      <c r="A23" s="301"/>
      <c r="B23" s="302"/>
      <c r="C23" s="305"/>
      <c r="D23" s="304"/>
      <c r="E23" s="296"/>
      <c r="F23" s="297"/>
      <c r="G23" s="298"/>
      <c r="H23" s="299"/>
      <c r="I23" s="300"/>
    </row>
    <row r="24" spans="1:13" ht="15" x14ac:dyDescent="0.2">
      <c r="A24" s="306"/>
      <c r="B24" s="307"/>
      <c r="C24" s="308"/>
      <c r="D24" s="309"/>
      <c r="E24" s="290"/>
      <c r="F24" s="290"/>
      <c r="G24" s="298"/>
      <c r="H24" s="299"/>
      <c r="I24" s="310"/>
    </row>
    <row r="25" spans="1:13" ht="14.25" x14ac:dyDescent="0.2">
      <c r="A25" s="311"/>
      <c r="B25" s="312"/>
      <c r="C25" s="313"/>
      <c r="D25" s="314"/>
      <c r="E25" s="315"/>
      <c r="F25" s="315"/>
      <c r="G25" s="287">
        <v>24000</v>
      </c>
      <c r="H25" s="343">
        <f>+E12/G25</f>
        <v>0.14549999999999999</v>
      </c>
      <c r="I25" s="310"/>
    </row>
    <row r="26" spans="1:13" ht="13.5" thickBot="1" x14ac:dyDescent="0.25">
      <c r="A26" s="316"/>
      <c r="B26" s="317"/>
      <c r="E26" s="318"/>
      <c r="F26" s="319"/>
      <c r="I26" s="320"/>
      <c r="L26" s="321"/>
    </row>
    <row r="27" spans="1:13" ht="13.5" thickBot="1" x14ac:dyDescent="0.25">
      <c r="A27" s="322"/>
      <c r="B27" s="323"/>
      <c r="C27" s="324"/>
      <c r="D27" s="325" t="s">
        <v>15</v>
      </c>
      <c r="E27" s="326" t="s">
        <v>14</v>
      </c>
      <c r="F27" s="327"/>
      <c r="G27" s="324"/>
      <c r="H27" s="324"/>
      <c r="I27" s="328"/>
      <c r="L27" s="321"/>
    </row>
    <row r="28" spans="1:13" x14ac:dyDescent="0.2">
      <c r="A28" s="829" t="s">
        <v>13</v>
      </c>
      <c r="B28" s="830"/>
      <c r="C28" s="831"/>
      <c r="D28" s="287">
        <f>SUM(E10:E16)</f>
        <v>13580</v>
      </c>
      <c r="E28" s="329" t="s">
        <v>2</v>
      </c>
      <c r="F28" s="832"/>
      <c r="G28" s="832"/>
      <c r="H28" s="833"/>
      <c r="I28" s="834"/>
      <c r="L28" s="321"/>
    </row>
    <row r="29" spans="1:13" x14ac:dyDescent="0.2">
      <c r="A29" s="835" t="s">
        <v>11</v>
      </c>
      <c r="B29" s="836"/>
      <c r="C29" s="837"/>
      <c r="D29" s="330">
        <v>3</v>
      </c>
      <c r="E29" s="299" t="s">
        <v>10</v>
      </c>
      <c r="F29" s="838"/>
      <c r="G29" s="838"/>
      <c r="H29" s="839"/>
      <c r="I29" s="840"/>
      <c r="L29" s="321"/>
    </row>
    <row r="30" spans="1:13" x14ac:dyDescent="0.2">
      <c r="A30" s="835" t="s">
        <v>8</v>
      </c>
      <c r="B30" s="836"/>
      <c r="C30" s="837"/>
      <c r="D30" s="299">
        <v>1</v>
      </c>
      <c r="E30" s="299" t="s">
        <v>7</v>
      </c>
      <c r="F30" s="838"/>
      <c r="G30" s="838"/>
      <c r="H30" s="839"/>
      <c r="I30" s="840"/>
      <c r="L30" s="321"/>
    </row>
    <row r="31" spans="1:13" x14ac:dyDescent="0.2">
      <c r="A31" s="835" t="s">
        <v>5</v>
      </c>
      <c r="B31" s="836"/>
      <c r="C31" s="837"/>
      <c r="D31" s="298">
        <f>+D28</f>
        <v>13580</v>
      </c>
      <c r="E31" s="299" t="s">
        <v>2</v>
      </c>
      <c r="F31" s="844"/>
      <c r="G31" s="845"/>
      <c r="H31" s="839"/>
      <c r="I31" s="840"/>
      <c r="L31" s="321"/>
      <c r="M31" s="331"/>
    </row>
    <row r="32" spans="1:13" ht="13.5" thickBot="1" x14ac:dyDescent="0.25">
      <c r="A32" s="846" t="s">
        <v>3</v>
      </c>
      <c r="B32" s="847"/>
      <c r="C32" s="848"/>
      <c r="D32" s="332">
        <v>0</v>
      </c>
      <c r="E32" s="333" t="s">
        <v>2</v>
      </c>
      <c r="F32" s="849"/>
      <c r="G32" s="849"/>
      <c r="H32" s="850"/>
      <c r="I32" s="851"/>
      <c r="L32" s="321"/>
    </row>
    <row r="33" spans="1:9" ht="13.5" thickBot="1" x14ac:dyDescent="0.25">
      <c r="A33" s="852" t="s">
        <v>1</v>
      </c>
      <c r="B33" s="853"/>
      <c r="C33" s="853"/>
      <c r="D33" s="853"/>
      <c r="E33" s="853"/>
      <c r="F33" s="853"/>
      <c r="G33" s="853"/>
      <c r="H33" s="853"/>
      <c r="I33" s="854"/>
    </row>
    <row r="34" spans="1:9" ht="15" x14ac:dyDescent="0.25">
      <c r="A34" s="841" t="s">
        <v>268</v>
      </c>
      <c r="B34" s="842"/>
      <c r="C34" s="842"/>
      <c r="D34" s="842"/>
      <c r="E34" s="842"/>
      <c r="F34" s="842"/>
      <c r="G34" s="842"/>
      <c r="H34" s="842"/>
      <c r="I34" s="843"/>
    </row>
    <row r="35" spans="1:9" ht="15" x14ac:dyDescent="0.25">
      <c r="A35" s="841" t="s">
        <v>269</v>
      </c>
      <c r="B35" s="842"/>
      <c r="C35" s="842"/>
      <c r="D35" s="842"/>
      <c r="E35" s="842"/>
      <c r="F35" s="842"/>
      <c r="G35" s="842"/>
      <c r="H35" s="842"/>
      <c r="I35" s="843"/>
    </row>
    <row r="36" spans="1:9" ht="15" x14ac:dyDescent="0.25">
      <c r="A36" s="841" t="s">
        <v>270</v>
      </c>
      <c r="B36" s="842"/>
      <c r="C36" s="842"/>
      <c r="D36" s="842"/>
      <c r="E36" s="842"/>
      <c r="F36" s="842"/>
      <c r="G36" s="842"/>
      <c r="H36" s="842"/>
      <c r="I36" s="843"/>
    </row>
    <row r="37" spans="1:9" ht="15" x14ac:dyDescent="0.25">
      <c r="A37" s="841"/>
      <c r="B37" s="842"/>
      <c r="C37" s="842"/>
      <c r="D37" s="842"/>
      <c r="E37" s="842"/>
      <c r="F37" s="842"/>
      <c r="G37" s="842"/>
      <c r="H37" s="842"/>
      <c r="I37" s="843"/>
    </row>
    <row r="38" spans="1:9" ht="15" x14ac:dyDescent="0.25">
      <c r="A38" s="841"/>
      <c r="B38" s="842"/>
      <c r="C38" s="842"/>
      <c r="D38" s="842"/>
      <c r="E38" s="842"/>
      <c r="F38" s="842"/>
      <c r="G38" s="842"/>
      <c r="H38" s="842"/>
      <c r="I38" s="843"/>
    </row>
    <row r="39" spans="1:9" ht="15" x14ac:dyDescent="0.25">
      <c r="A39" s="841"/>
      <c r="B39" s="842"/>
      <c r="C39" s="842"/>
      <c r="D39" s="842"/>
      <c r="E39" s="842"/>
      <c r="F39" s="842"/>
      <c r="G39" s="842"/>
      <c r="H39" s="842"/>
      <c r="I39" s="843"/>
    </row>
    <row r="40" spans="1:9" ht="16.5" customHeight="1" x14ac:dyDescent="0.2">
      <c r="A40" s="858"/>
      <c r="B40" s="859"/>
      <c r="C40" s="859"/>
      <c r="D40" s="859"/>
      <c r="E40" s="859"/>
      <c r="F40" s="859"/>
      <c r="G40" s="859"/>
      <c r="H40" s="859"/>
      <c r="I40" s="860"/>
    </row>
    <row r="41" spans="1:9" ht="16.5" customHeight="1" x14ac:dyDescent="0.2">
      <c r="A41" s="858"/>
      <c r="B41" s="859"/>
      <c r="C41" s="859"/>
      <c r="D41" s="859"/>
      <c r="E41" s="859"/>
      <c r="F41" s="859"/>
      <c r="G41" s="859"/>
      <c r="H41" s="859"/>
      <c r="I41" s="860"/>
    </row>
    <row r="42" spans="1:9" ht="16.5" customHeight="1" thickBot="1" x14ac:dyDescent="0.25">
      <c r="A42" s="855"/>
      <c r="B42" s="856"/>
      <c r="C42" s="856"/>
      <c r="D42" s="856"/>
      <c r="E42" s="856"/>
      <c r="F42" s="856"/>
      <c r="G42" s="856"/>
      <c r="H42" s="856"/>
      <c r="I42" s="857"/>
    </row>
    <row r="43" spans="1:9" ht="13.5" thickBot="1" x14ac:dyDescent="0.25">
      <c r="A43" s="852" t="s">
        <v>216</v>
      </c>
      <c r="B43" s="853"/>
      <c r="C43" s="853"/>
      <c r="D43" s="853"/>
      <c r="E43" s="853"/>
      <c r="F43" s="853"/>
      <c r="G43" s="853"/>
      <c r="H43" s="853"/>
      <c r="I43" s="854"/>
    </row>
    <row r="44" spans="1:9" x14ac:dyDescent="0.2">
      <c r="A44" s="335" t="s">
        <v>271</v>
      </c>
      <c r="B44" s="335"/>
      <c r="C44" s="335"/>
    </row>
    <row r="45" spans="1:9" ht="15" x14ac:dyDescent="0.25">
      <c r="A45" s="334"/>
      <c r="B45" s="334"/>
    </row>
  </sheetData>
  <mergeCells count="43">
    <mergeCell ref="A42:I42"/>
    <mergeCell ref="A43:I43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076A-0611-4656-99E2-3A30D5D39238}">
  <dimension ref="A1:M43"/>
  <sheetViews>
    <sheetView topLeftCell="A3" workbookViewId="0">
      <selection activeCell="C11" sqref="C11"/>
    </sheetView>
  </sheetViews>
  <sheetFormatPr baseColWidth="10" defaultColWidth="11.42578125" defaultRowHeight="12.75" x14ac:dyDescent="0.2"/>
  <cols>
    <col min="1" max="1" width="16.28515625" style="267" customWidth="1"/>
    <col min="2" max="2" width="12.5703125" style="267" customWidth="1"/>
    <col min="3" max="3" width="46.7109375" style="267" customWidth="1"/>
    <col min="4" max="4" width="18.5703125" style="267" customWidth="1"/>
    <col min="5" max="5" width="11.42578125" style="267"/>
    <col min="6" max="6" width="13.28515625" style="267" customWidth="1"/>
    <col min="7" max="7" width="12.5703125" style="267" customWidth="1"/>
    <col min="8" max="8" width="15.5703125" style="267" customWidth="1"/>
    <col min="9" max="9" width="17.42578125" style="267" customWidth="1"/>
    <col min="10" max="16384" width="11.42578125" style="267"/>
  </cols>
  <sheetData>
    <row r="1" spans="1:9" ht="18" x14ac:dyDescent="0.25">
      <c r="A1" s="808"/>
      <c r="B1" s="809"/>
      <c r="C1" s="814" t="s">
        <v>35</v>
      </c>
      <c r="D1" s="814"/>
      <c r="E1" s="814"/>
      <c r="F1" s="814"/>
      <c r="G1" s="814"/>
      <c r="H1" s="265" t="s">
        <v>34</v>
      </c>
      <c r="I1" s="266" t="s">
        <v>218</v>
      </c>
    </row>
    <row r="2" spans="1:9" ht="18" x14ac:dyDescent="0.25">
      <c r="A2" s="810"/>
      <c r="B2" s="811"/>
      <c r="C2" s="815" t="s">
        <v>33</v>
      </c>
      <c r="D2" s="815"/>
      <c r="E2" s="815"/>
      <c r="F2" s="815"/>
      <c r="G2" s="815"/>
      <c r="H2" s="268" t="s">
        <v>32</v>
      </c>
      <c r="I2" s="269" t="s">
        <v>196</v>
      </c>
    </row>
    <row r="3" spans="1:9" ht="50.1" customHeight="1" x14ac:dyDescent="0.2">
      <c r="A3" s="810"/>
      <c r="B3" s="811"/>
      <c r="C3" s="816" t="s">
        <v>219</v>
      </c>
      <c r="D3" s="817"/>
      <c r="E3" s="817"/>
      <c r="F3" s="817"/>
      <c r="G3" s="818"/>
      <c r="H3" s="819" t="s">
        <v>31</v>
      </c>
      <c r="I3" s="803" t="s">
        <v>220</v>
      </c>
    </row>
    <row r="4" spans="1:9" ht="15" x14ac:dyDescent="0.25">
      <c r="A4" s="810"/>
      <c r="B4" s="811"/>
      <c r="C4" s="270" t="s">
        <v>30</v>
      </c>
      <c r="D4" s="805" t="s">
        <v>221</v>
      </c>
      <c r="E4" s="806"/>
      <c r="F4" s="806"/>
      <c r="G4" s="806"/>
      <c r="H4" s="819"/>
      <c r="I4" s="803"/>
    </row>
    <row r="5" spans="1:9" ht="13.5" thickBot="1" x14ac:dyDescent="0.25">
      <c r="A5" s="812"/>
      <c r="B5" s="813"/>
      <c r="C5" s="271" t="s">
        <v>29</v>
      </c>
      <c r="D5" s="807" t="s">
        <v>28</v>
      </c>
      <c r="E5" s="807"/>
      <c r="F5" s="807"/>
      <c r="G5" s="807"/>
      <c r="H5" s="820"/>
      <c r="I5" s="804"/>
    </row>
    <row r="6" spans="1:9" x14ac:dyDescent="0.2">
      <c r="A6" s="272"/>
      <c r="B6" s="272"/>
      <c r="C6" s="273"/>
      <c r="D6" s="274"/>
      <c r="E6" s="274"/>
      <c r="F6" s="274"/>
      <c r="G6" s="274"/>
      <c r="H6" s="275"/>
      <c r="I6" s="276"/>
    </row>
    <row r="7" spans="1:9" ht="18.75" thickBot="1" x14ac:dyDescent="0.3">
      <c r="A7" s="684" t="s">
        <v>27</v>
      </c>
      <c r="B7" s="684"/>
      <c r="C7" s="684"/>
      <c r="D7" s="821" t="s">
        <v>222</v>
      </c>
      <c r="E7" s="821"/>
      <c r="F7" s="821"/>
      <c r="G7" s="686" t="s">
        <v>25</v>
      </c>
      <c r="H7" s="686"/>
      <c r="I7" s="277" t="s">
        <v>222</v>
      </c>
    </row>
    <row r="8" spans="1:9" ht="25.5" x14ac:dyDescent="0.2">
      <c r="A8" s="822" t="s">
        <v>23</v>
      </c>
      <c r="B8" s="824" t="s">
        <v>36</v>
      </c>
      <c r="C8" s="826" t="s">
        <v>22</v>
      </c>
      <c r="D8" s="826" t="s">
        <v>21</v>
      </c>
      <c r="E8" s="826" t="s">
        <v>20</v>
      </c>
      <c r="F8" s="826"/>
      <c r="G8" s="826" t="s">
        <v>19</v>
      </c>
      <c r="H8" s="826"/>
      <c r="I8" s="278" t="s">
        <v>18</v>
      </c>
    </row>
    <row r="9" spans="1:9" ht="26.25" thickBot="1" x14ac:dyDescent="0.25">
      <c r="A9" s="861"/>
      <c r="B9" s="862"/>
      <c r="C9" s="828"/>
      <c r="D9" s="828"/>
      <c r="E9" s="279" t="s">
        <v>15</v>
      </c>
      <c r="F9" s="280" t="s">
        <v>17</v>
      </c>
      <c r="G9" s="279"/>
      <c r="H9" s="280" t="s">
        <v>17</v>
      </c>
      <c r="I9" s="281" t="s">
        <v>16</v>
      </c>
    </row>
    <row r="10" spans="1:9" ht="15" x14ac:dyDescent="0.2">
      <c r="A10" s="282">
        <v>906000138</v>
      </c>
      <c r="B10" s="283" t="s">
        <v>223</v>
      </c>
      <c r="C10" s="284" t="s">
        <v>224</v>
      </c>
      <c r="D10" s="285" t="s">
        <v>78</v>
      </c>
      <c r="E10" s="286">
        <v>13547</v>
      </c>
      <c r="F10" s="285" t="s">
        <v>2</v>
      </c>
      <c r="G10" s="287">
        <f>E10/24</f>
        <v>564.45833333333337</v>
      </c>
      <c r="H10" s="288">
        <f>E10/24</f>
        <v>564.45833333333337</v>
      </c>
      <c r="I10" s="289"/>
    </row>
    <row r="11" spans="1:9" ht="15" x14ac:dyDescent="0.2">
      <c r="A11" s="236">
        <v>1210482</v>
      </c>
      <c r="B11" s="236" t="s">
        <v>225</v>
      </c>
      <c r="C11" s="237" t="s">
        <v>226</v>
      </c>
      <c r="D11" s="290" t="s">
        <v>227</v>
      </c>
      <c r="E11" s="290">
        <v>9055</v>
      </c>
      <c r="F11" s="290" t="s">
        <v>2</v>
      </c>
      <c r="G11" s="287">
        <f t="shared" ref="G11:G14" si="0">E11/24</f>
        <v>377.29166666666669</v>
      </c>
      <c r="H11" s="288">
        <f t="shared" ref="H11:H14" si="1">E11/24</f>
        <v>377.29166666666669</v>
      </c>
      <c r="I11" s="289"/>
    </row>
    <row r="12" spans="1:9" ht="15.75" x14ac:dyDescent="0.25">
      <c r="A12" s="77" t="s">
        <v>57</v>
      </c>
      <c r="B12" s="77"/>
      <c r="C12" s="78" t="s">
        <v>58</v>
      </c>
      <c r="D12" s="290" t="s">
        <v>78</v>
      </c>
      <c r="E12" s="290">
        <v>1940</v>
      </c>
      <c r="F12" s="290" t="s">
        <v>2</v>
      </c>
      <c r="G12" s="287">
        <f t="shared" si="0"/>
        <v>80.833333333333329</v>
      </c>
      <c r="H12" s="288">
        <f t="shared" si="1"/>
        <v>80.833333333333329</v>
      </c>
      <c r="I12" s="289"/>
    </row>
    <row r="13" spans="1:9" ht="15" x14ac:dyDescent="0.2">
      <c r="A13" s="236">
        <v>1212437</v>
      </c>
      <c r="B13" s="236" t="s">
        <v>228</v>
      </c>
      <c r="C13" s="237" t="s">
        <v>229</v>
      </c>
      <c r="D13" s="290" t="s">
        <v>230</v>
      </c>
      <c r="E13" s="290">
        <v>855</v>
      </c>
      <c r="F13" s="290" t="s">
        <v>2</v>
      </c>
      <c r="G13" s="287">
        <f t="shared" si="0"/>
        <v>35.625</v>
      </c>
      <c r="H13" s="288">
        <f t="shared" si="1"/>
        <v>35.625</v>
      </c>
      <c r="I13" s="289"/>
    </row>
    <row r="14" spans="1:9" ht="15" x14ac:dyDescent="0.2">
      <c r="A14" s="236"/>
      <c r="B14" s="236"/>
      <c r="C14" s="291"/>
      <c r="D14" s="290"/>
      <c r="E14" s="290"/>
      <c r="F14" s="290"/>
      <c r="G14" s="287">
        <f t="shared" si="0"/>
        <v>0</v>
      </c>
      <c r="H14" s="288">
        <f t="shared" si="1"/>
        <v>0</v>
      </c>
      <c r="I14" s="289"/>
    </row>
    <row r="15" spans="1:9" ht="15" x14ac:dyDescent="0.2">
      <c r="A15" s="292"/>
      <c r="B15" s="293"/>
      <c r="C15" s="291"/>
      <c r="D15" s="286"/>
      <c r="E15" s="286"/>
      <c r="F15" s="286"/>
      <c r="G15" s="287"/>
      <c r="H15" s="288"/>
      <c r="I15" s="289"/>
    </row>
    <row r="16" spans="1:9" ht="15.75" x14ac:dyDescent="0.25">
      <c r="A16" s="292"/>
      <c r="B16" s="293"/>
      <c r="C16" s="294"/>
      <c r="D16" s="286"/>
      <c r="E16" s="286"/>
      <c r="F16" s="286"/>
      <c r="G16" s="287"/>
      <c r="H16" s="288"/>
      <c r="I16" s="289"/>
    </row>
    <row r="17" spans="1:13" ht="15" x14ac:dyDescent="0.2">
      <c r="A17" s="236"/>
      <c r="B17" s="236"/>
      <c r="C17" s="237"/>
      <c r="D17" s="286"/>
      <c r="E17" s="286"/>
      <c r="F17" s="286"/>
      <c r="G17" s="287"/>
      <c r="H17" s="288"/>
      <c r="I17" s="289"/>
    </row>
    <row r="18" spans="1:13" ht="15" x14ac:dyDescent="0.2">
      <c r="A18" s="236"/>
      <c r="B18" s="236"/>
      <c r="C18" s="295"/>
      <c r="D18" s="286"/>
      <c r="E18" s="286"/>
      <c r="F18" s="286"/>
      <c r="G18" s="287"/>
      <c r="H18" s="288"/>
      <c r="I18" s="289"/>
    </row>
    <row r="19" spans="1:13" ht="15" x14ac:dyDescent="0.2">
      <c r="A19" s="236"/>
      <c r="B19" s="236"/>
      <c r="C19" s="237"/>
      <c r="D19" s="286"/>
      <c r="E19" s="296"/>
      <c r="F19" s="297"/>
      <c r="G19" s="298"/>
      <c r="H19" s="299"/>
      <c r="I19" s="300"/>
    </row>
    <row r="20" spans="1:13" ht="14.25" x14ac:dyDescent="0.2">
      <c r="A20" s="301"/>
      <c r="B20" s="302"/>
      <c r="C20" s="303"/>
      <c r="D20" s="304"/>
      <c r="E20" s="296"/>
      <c r="F20" s="297"/>
      <c r="G20" s="298"/>
      <c r="H20" s="299"/>
      <c r="I20" s="300"/>
    </row>
    <row r="21" spans="1:13" ht="14.25" x14ac:dyDescent="0.2">
      <c r="A21" s="301"/>
      <c r="B21" s="302"/>
      <c r="C21" s="305"/>
      <c r="D21" s="304"/>
      <c r="E21" s="296"/>
      <c r="F21" s="297"/>
      <c r="G21" s="298"/>
      <c r="H21" s="299"/>
      <c r="I21" s="300"/>
    </row>
    <row r="22" spans="1:13" ht="15" x14ac:dyDescent="0.2">
      <c r="A22" s="306"/>
      <c r="B22" s="307"/>
      <c r="C22" s="308"/>
      <c r="D22" s="309"/>
      <c r="E22" s="290"/>
      <c r="F22" s="290"/>
      <c r="G22" s="298"/>
      <c r="H22" s="299"/>
      <c r="I22" s="310"/>
    </row>
    <row r="23" spans="1:13" ht="14.25" x14ac:dyDescent="0.2">
      <c r="A23" s="311"/>
      <c r="B23" s="312"/>
      <c r="C23" s="313"/>
      <c r="D23" s="314"/>
      <c r="E23" s="315"/>
      <c r="F23" s="315"/>
      <c r="G23" s="315"/>
      <c r="H23" s="315"/>
      <c r="I23" s="310"/>
    </row>
    <row r="24" spans="1:13" ht="13.5" thickBot="1" x14ac:dyDescent="0.25">
      <c r="A24" s="316"/>
      <c r="B24" s="317"/>
      <c r="E24" s="318"/>
      <c r="F24" s="319"/>
      <c r="I24" s="320"/>
      <c r="L24" s="321"/>
    </row>
    <row r="25" spans="1:13" ht="13.5" thickBot="1" x14ac:dyDescent="0.25">
      <c r="A25" s="322"/>
      <c r="B25" s="323"/>
      <c r="C25" s="324"/>
      <c r="D25" s="325" t="s">
        <v>15</v>
      </c>
      <c r="E25" s="326" t="s">
        <v>14</v>
      </c>
      <c r="F25" s="327"/>
      <c r="G25" s="324"/>
      <c r="H25" s="324"/>
      <c r="I25" s="328"/>
      <c r="L25" s="321"/>
    </row>
    <row r="26" spans="1:13" x14ac:dyDescent="0.2">
      <c r="A26" s="829" t="s">
        <v>13</v>
      </c>
      <c r="B26" s="830"/>
      <c r="C26" s="831"/>
      <c r="D26" s="287">
        <v>24000</v>
      </c>
      <c r="E26" s="329" t="s">
        <v>2</v>
      </c>
      <c r="F26" s="832"/>
      <c r="G26" s="832"/>
      <c r="H26" s="833"/>
      <c r="I26" s="834"/>
      <c r="L26" s="321"/>
    </row>
    <row r="27" spans="1:13" x14ac:dyDescent="0.2">
      <c r="A27" s="835" t="s">
        <v>11</v>
      </c>
      <c r="B27" s="836"/>
      <c r="C27" s="837"/>
      <c r="D27" s="330">
        <v>10</v>
      </c>
      <c r="E27" s="299" t="s">
        <v>10</v>
      </c>
      <c r="F27" s="838"/>
      <c r="G27" s="838"/>
      <c r="H27" s="839"/>
      <c r="I27" s="840"/>
      <c r="L27" s="321"/>
    </row>
    <row r="28" spans="1:13" x14ac:dyDescent="0.2">
      <c r="A28" s="835" t="s">
        <v>8</v>
      </c>
      <c r="B28" s="836"/>
      <c r="C28" s="837"/>
      <c r="D28" s="299">
        <v>1</v>
      </c>
      <c r="E28" s="299" t="s">
        <v>231</v>
      </c>
      <c r="F28" s="838"/>
      <c r="G28" s="838"/>
      <c r="H28" s="839"/>
      <c r="I28" s="840"/>
      <c r="L28" s="321"/>
    </row>
    <row r="29" spans="1:13" x14ac:dyDescent="0.2">
      <c r="A29" s="835" t="s">
        <v>5</v>
      </c>
      <c r="B29" s="836"/>
      <c r="C29" s="837"/>
      <c r="D29" s="298">
        <f>+D26</f>
        <v>24000</v>
      </c>
      <c r="E29" s="299" t="s">
        <v>2</v>
      </c>
      <c r="F29" s="844"/>
      <c r="G29" s="845"/>
      <c r="H29" s="839"/>
      <c r="I29" s="840"/>
      <c r="L29" s="321"/>
      <c r="M29" s="331"/>
    </row>
    <row r="30" spans="1:13" ht="13.5" thickBot="1" x14ac:dyDescent="0.25">
      <c r="A30" s="846" t="s">
        <v>3</v>
      </c>
      <c r="B30" s="847"/>
      <c r="C30" s="848"/>
      <c r="D30" s="332">
        <f>SUM(E10:E13)-D26</f>
        <v>1397</v>
      </c>
      <c r="E30" s="333" t="s">
        <v>2</v>
      </c>
      <c r="F30" s="849"/>
      <c r="G30" s="849"/>
      <c r="H30" s="850"/>
      <c r="I30" s="851"/>
      <c r="L30" s="321"/>
    </row>
    <row r="31" spans="1:13" ht="13.5" thickBot="1" x14ac:dyDescent="0.25">
      <c r="A31" s="852" t="s">
        <v>1</v>
      </c>
      <c r="B31" s="853"/>
      <c r="C31" s="853"/>
      <c r="D31" s="853"/>
      <c r="E31" s="853"/>
      <c r="F31" s="853"/>
      <c r="G31" s="853"/>
      <c r="H31" s="853"/>
      <c r="I31" s="854"/>
    </row>
    <row r="32" spans="1:13" ht="15" x14ac:dyDescent="0.25">
      <c r="A32" s="841" t="s">
        <v>232</v>
      </c>
      <c r="B32" s="842"/>
      <c r="C32" s="842"/>
      <c r="D32" s="842"/>
      <c r="E32" s="842"/>
      <c r="F32" s="842"/>
      <c r="G32" s="842"/>
      <c r="H32" s="842"/>
      <c r="I32" s="843"/>
    </row>
    <row r="33" spans="1:9" ht="15" x14ac:dyDescent="0.25">
      <c r="A33" s="841" t="s">
        <v>233</v>
      </c>
      <c r="B33" s="842"/>
      <c r="C33" s="842"/>
      <c r="D33" s="842"/>
      <c r="E33" s="842"/>
      <c r="F33" s="842"/>
      <c r="G33" s="842"/>
      <c r="H33" s="842"/>
      <c r="I33" s="843"/>
    </row>
    <row r="34" spans="1:9" ht="15" x14ac:dyDescent="0.25">
      <c r="A34" s="841" t="s">
        <v>234</v>
      </c>
      <c r="B34" s="842"/>
      <c r="C34" s="842"/>
      <c r="D34" s="842"/>
      <c r="E34" s="842"/>
      <c r="F34" s="842"/>
      <c r="G34" s="842"/>
      <c r="H34" s="842"/>
      <c r="I34" s="843"/>
    </row>
    <row r="35" spans="1:9" ht="15" x14ac:dyDescent="0.25">
      <c r="A35" s="841" t="s">
        <v>235</v>
      </c>
      <c r="B35" s="842"/>
      <c r="C35" s="842"/>
      <c r="D35" s="842"/>
      <c r="E35" s="842"/>
      <c r="F35" s="842"/>
      <c r="G35" s="842"/>
      <c r="H35" s="842"/>
      <c r="I35" s="843"/>
    </row>
    <row r="36" spans="1:9" ht="15" x14ac:dyDescent="0.25">
      <c r="A36" s="841"/>
      <c r="B36" s="842"/>
      <c r="C36" s="842"/>
      <c r="D36" s="842"/>
      <c r="E36" s="842"/>
      <c r="F36" s="842"/>
      <c r="G36" s="842"/>
      <c r="H36" s="842"/>
      <c r="I36" s="843"/>
    </row>
    <row r="37" spans="1:9" ht="15" x14ac:dyDescent="0.25">
      <c r="A37" s="841"/>
      <c r="B37" s="842"/>
      <c r="C37" s="842"/>
      <c r="D37" s="842"/>
      <c r="E37" s="842"/>
      <c r="F37" s="842"/>
      <c r="G37" s="842"/>
      <c r="H37" s="842"/>
      <c r="I37" s="843"/>
    </row>
    <row r="38" spans="1:9" ht="15" x14ac:dyDescent="0.25">
      <c r="A38" s="841"/>
      <c r="B38" s="842"/>
      <c r="C38" s="842"/>
      <c r="D38" s="842"/>
      <c r="E38" s="842"/>
      <c r="F38" s="842"/>
      <c r="G38" s="842"/>
      <c r="H38" s="842"/>
      <c r="I38" s="843"/>
    </row>
    <row r="39" spans="1:9" ht="14.25" x14ac:dyDescent="0.2">
      <c r="A39" s="858"/>
      <c r="B39" s="859"/>
      <c r="C39" s="859"/>
      <c r="D39" s="859"/>
      <c r="E39" s="859"/>
      <c r="F39" s="859"/>
      <c r="G39" s="859"/>
      <c r="H39" s="859"/>
      <c r="I39" s="860"/>
    </row>
    <row r="40" spans="1:9" ht="15" thickBot="1" x14ac:dyDescent="0.25">
      <c r="A40" s="858"/>
      <c r="B40" s="859"/>
      <c r="C40" s="859"/>
      <c r="D40" s="859"/>
      <c r="E40" s="859"/>
      <c r="F40" s="859"/>
      <c r="G40" s="859"/>
      <c r="H40" s="859"/>
      <c r="I40" s="860"/>
    </row>
    <row r="41" spans="1:9" ht="13.5" thickBot="1" x14ac:dyDescent="0.25">
      <c r="A41" s="852" t="s">
        <v>216</v>
      </c>
      <c r="B41" s="853"/>
      <c r="C41" s="853"/>
      <c r="D41" s="853"/>
      <c r="E41" s="853"/>
      <c r="F41" s="853"/>
      <c r="G41" s="853"/>
      <c r="H41" s="853"/>
      <c r="I41" s="854"/>
    </row>
    <row r="42" spans="1:9" ht="15" x14ac:dyDescent="0.25">
      <c r="A42" s="334" t="s">
        <v>236</v>
      </c>
      <c r="B42" s="334"/>
    </row>
    <row r="43" spans="1:9" x14ac:dyDescent="0.2">
      <c r="A43" s="335"/>
      <c r="B43" s="335"/>
      <c r="C43" s="335"/>
    </row>
  </sheetData>
  <mergeCells count="43">
    <mergeCell ref="A40:I40"/>
    <mergeCell ref="A41:I41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03AE-C5D4-4C3B-A45B-AE98D68CF289}">
  <dimension ref="A1:M31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6.28515625" style="5" customWidth="1"/>
    <col min="2" max="2" width="11.28515625" style="5" customWidth="1"/>
    <col min="3" max="3" width="45.5703125" style="5" customWidth="1"/>
    <col min="4" max="4" width="14.28515625" style="5" customWidth="1"/>
    <col min="5" max="5" width="11.42578125" style="5"/>
    <col min="6" max="6" width="12.28515625" style="5" customWidth="1"/>
    <col min="7" max="7" width="11.42578125" style="5"/>
    <col min="8" max="8" width="14.28515625" style="5" customWidth="1"/>
    <col min="9" max="9" width="16" style="5" customWidth="1"/>
    <col min="10" max="16384" width="11.42578125" style="5"/>
  </cols>
  <sheetData>
    <row r="1" spans="1:9" ht="15.75" x14ac:dyDescent="0.25">
      <c r="A1" s="557"/>
      <c r="B1" s="558"/>
      <c r="C1" s="564" t="s">
        <v>35</v>
      </c>
      <c r="D1" s="564"/>
      <c r="E1" s="564"/>
      <c r="F1" s="564"/>
      <c r="G1" s="564"/>
      <c r="H1" s="209" t="s">
        <v>34</v>
      </c>
      <c r="I1" s="208" t="s">
        <v>195</v>
      </c>
    </row>
    <row r="2" spans="1:9" ht="16.5" thickBot="1" x14ac:dyDescent="0.3">
      <c r="A2" s="559"/>
      <c r="B2" s="560"/>
      <c r="C2" s="565" t="s">
        <v>33</v>
      </c>
      <c r="D2" s="565"/>
      <c r="E2" s="565"/>
      <c r="F2" s="565"/>
      <c r="G2" s="565"/>
      <c r="H2" s="214" t="s">
        <v>32</v>
      </c>
      <c r="I2" s="215" t="s">
        <v>196</v>
      </c>
    </row>
    <row r="3" spans="1:9" ht="18.75" thickBot="1" x14ac:dyDescent="0.3">
      <c r="A3" s="559"/>
      <c r="B3" s="560"/>
      <c r="C3" s="767" t="s">
        <v>197</v>
      </c>
      <c r="D3" s="768"/>
      <c r="E3" s="768"/>
      <c r="F3" s="768"/>
      <c r="G3" s="769"/>
      <c r="H3" s="569" t="s">
        <v>31</v>
      </c>
      <c r="I3" s="546" t="s">
        <v>198</v>
      </c>
    </row>
    <row r="4" spans="1:9" x14ac:dyDescent="0.25">
      <c r="A4" s="559"/>
      <c r="B4" s="560"/>
      <c r="C4" s="216" t="s">
        <v>30</v>
      </c>
      <c r="D4" s="632" t="s">
        <v>199</v>
      </c>
      <c r="E4" s="633"/>
      <c r="F4" s="633"/>
      <c r="G4" s="634"/>
      <c r="H4" s="570"/>
      <c r="I4" s="547"/>
    </row>
    <row r="5" spans="1:9" ht="14.25" thickBot="1" x14ac:dyDescent="0.3">
      <c r="A5" s="561"/>
      <c r="B5" s="562"/>
      <c r="C5" s="217" t="s">
        <v>29</v>
      </c>
      <c r="D5" s="635" t="s">
        <v>200</v>
      </c>
      <c r="E5" s="636"/>
      <c r="F5" s="636"/>
      <c r="G5" s="637"/>
      <c r="H5" s="571"/>
      <c r="I5" s="547"/>
    </row>
    <row r="6" spans="1:9" ht="25.5" x14ac:dyDescent="0.25">
      <c r="A6" s="794" t="s">
        <v>23</v>
      </c>
      <c r="B6" s="772" t="s">
        <v>36</v>
      </c>
      <c r="C6" s="645" t="s">
        <v>22</v>
      </c>
      <c r="D6" s="645" t="s">
        <v>21</v>
      </c>
      <c r="E6" s="645" t="s">
        <v>20</v>
      </c>
      <c r="F6" s="645"/>
      <c r="G6" s="645" t="s">
        <v>19</v>
      </c>
      <c r="H6" s="645"/>
      <c r="I6" s="218" t="s">
        <v>18</v>
      </c>
    </row>
    <row r="7" spans="1:9" ht="27" thickBot="1" x14ac:dyDescent="0.3">
      <c r="A7" s="552"/>
      <c r="B7" s="773"/>
      <c r="C7" s="554"/>
      <c r="D7" s="554"/>
      <c r="E7" s="219" t="s">
        <v>15</v>
      </c>
      <c r="F7" s="220" t="s">
        <v>17</v>
      </c>
      <c r="G7" s="221" t="s">
        <v>15</v>
      </c>
      <c r="H7" s="222" t="s">
        <v>17</v>
      </c>
      <c r="I7" s="223" t="s">
        <v>16</v>
      </c>
    </row>
    <row r="8" spans="1:9" ht="15" x14ac:dyDescent="0.25">
      <c r="A8" s="77">
        <v>907000306</v>
      </c>
      <c r="B8" s="77" t="s">
        <v>201</v>
      </c>
      <c r="C8" s="78" t="s">
        <v>202</v>
      </c>
      <c r="D8" s="224" t="s">
        <v>78</v>
      </c>
      <c r="E8" s="225">
        <v>24000</v>
      </c>
      <c r="F8" s="76" t="s">
        <v>2</v>
      </c>
      <c r="G8" s="37"/>
      <c r="H8" s="81"/>
      <c r="I8" s="226"/>
    </row>
    <row r="9" spans="1:9" ht="15" x14ac:dyDescent="0.25">
      <c r="A9" s="227"/>
      <c r="B9" s="227"/>
      <c r="C9" s="228"/>
      <c r="D9" s="224"/>
      <c r="E9" s="229"/>
      <c r="F9" s="76"/>
      <c r="G9" s="37"/>
      <c r="H9" s="81"/>
      <c r="I9" s="226"/>
    </row>
    <row r="10" spans="1:9" ht="15" x14ac:dyDescent="0.25">
      <c r="A10" s="230"/>
      <c r="B10" s="231"/>
      <c r="C10" s="232" t="s">
        <v>94</v>
      </c>
      <c r="D10" s="233"/>
      <c r="E10" s="234"/>
      <c r="F10" s="235"/>
      <c r="G10" s="37"/>
      <c r="H10" s="81"/>
      <c r="I10" s="226"/>
    </row>
    <row r="11" spans="1:9" ht="15" x14ac:dyDescent="0.25">
      <c r="A11" s="77" t="s">
        <v>203</v>
      </c>
      <c r="B11" s="77"/>
      <c r="C11" s="78" t="s">
        <v>204</v>
      </c>
      <c r="D11" s="97" t="s">
        <v>78</v>
      </c>
      <c r="E11" s="234">
        <f>10*D21</f>
        <v>780</v>
      </c>
      <c r="F11" s="235" t="s">
        <v>2</v>
      </c>
      <c r="G11" s="37"/>
      <c r="H11" s="81"/>
      <c r="I11" s="25"/>
    </row>
    <row r="12" spans="1:9" ht="15" x14ac:dyDescent="0.25">
      <c r="A12" s="236">
        <v>1950928</v>
      </c>
      <c r="B12" s="236" t="s">
        <v>205</v>
      </c>
      <c r="C12" s="237" t="s">
        <v>206</v>
      </c>
      <c r="D12" s="97" t="s">
        <v>207</v>
      </c>
      <c r="E12" s="234">
        <v>7</v>
      </c>
      <c r="F12" s="37" t="s">
        <v>7</v>
      </c>
      <c r="G12" s="37"/>
      <c r="H12" s="81"/>
      <c r="I12" s="25"/>
    </row>
    <row r="13" spans="1:9" ht="15" x14ac:dyDescent="0.25">
      <c r="A13" s="77" t="s">
        <v>208</v>
      </c>
      <c r="B13" s="77" t="s">
        <v>209</v>
      </c>
      <c r="C13" s="78" t="s">
        <v>210</v>
      </c>
      <c r="D13" s="97" t="s">
        <v>105</v>
      </c>
      <c r="E13" s="234">
        <v>7</v>
      </c>
      <c r="F13" s="37" t="s">
        <v>7</v>
      </c>
      <c r="G13" s="29"/>
      <c r="H13" s="11"/>
      <c r="I13" s="25"/>
    </row>
    <row r="14" spans="1:9" ht="15" x14ac:dyDescent="0.25">
      <c r="A14" s="77" t="s">
        <v>182</v>
      </c>
      <c r="B14" s="77" t="s">
        <v>106</v>
      </c>
      <c r="C14" s="78" t="s">
        <v>211</v>
      </c>
      <c r="D14" s="97" t="s">
        <v>108</v>
      </c>
      <c r="E14" s="234">
        <v>7</v>
      </c>
      <c r="F14" s="37" t="s">
        <v>7</v>
      </c>
      <c r="G14" s="29"/>
      <c r="H14" s="11"/>
      <c r="I14" s="25"/>
    </row>
    <row r="15" spans="1:9" ht="15" x14ac:dyDescent="0.25">
      <c r="A15" s="238"/>
      <c r="B15" s="238"/>
      <c r="C15" s="239"/>
      <c r="D15" s="240"/>
      <c r="E15" s="37"/>
      <c r="F15" s="81"/>
      <c r="G15" s="241"/>
      <c r="H15" s="241"/>
      <c r="I15" s="242"/>
    </row>
    <row r="16" spans="1:9" ht="15" x14ac:dyDescent="0.25">
      <c r="A16" s="243"/>
      <c r="B16" s="244"/>
      <c r="C16" s="245"/>
      <c r="D16" s="246"/>
      <c r="E16" s="28"/>
      <c r="F16" s="28"/>
      <c r="G16" s="28"/>
      <c r="H16" s="28"/>
      <c r="I16" s="25"/>
    </row>
    <row r="17" spans="1:13" ht="14.25" thickBot="1" x14ac:dyDescent="0.3">
      <c r="A17" s="247"/>
      <c r="B17" s="248"/>
      <c r="E17" s="249"/>
      <c r="F17" s="250"/>
      <c r="I17" s="251"/>
      <c r="L17" s="8"/>
    </row>
    <row r="18" spans="1:13" ht="14.25" thickBot="1" x14ac:dyDescent="0.3">
      <c r="A18" s="252"/>
      <c r="B18" s="253"/>
      <c r="C18" s="254"/>
      <c r="D18" s="255" t="s">
        <v>15</v>
      </c>
      <c r="E18" s="256" t="s">
        <v>14</v>
      </c>
      <c r="F18" s="257"/>
      <c r="G18" s="254"/>
      <c r="H18" s="254"/>
      <c r="I18" s="258"/>
      <c r="L18" s="8"/>
    </row>
    <row r="19" spans="1:13" x14ac:dyDescent="0.25">
      <c r="A19" s="649" t="s">
        <v>13</v>
      </c>
      <c r="B19" s="795"/>
      <c r="C19" s="650"/>
      <c r="D19" s="259">
        <f>78*300</f>
        <v>23400</v>
      </c>
      <c r="E19" s="260" t="s">
        <v>2</v>
      </c>
      <c r="F19" s="651" t="s">
        <v>12</v>
      </c>
      <c r="G19" s="651"/>
      <c r="H19" s="652"/>
      <c r="I19" s="653"/>
      <c r="L19" s="8"/>
    </row>
    <row r="20" spans="1:13" x14ac:dyDescent="0.25">
      <c r="A20" s="523" t="s">
        <v>11</v>
      </c>
      <c r="B20" s="524"/>
      <c r="C20" s="525"/>
      <c r="D20" s="11">
        <v>25</v>
      </c>
      <c r="E20" s="11" t="s">
        <v>212</v>
      </c>
      <c r="F20" s="526" t="s">
        <v>9</v>
      </c>
      <c r="G20" s="526"/>
      <c r="H20" s="527"/>
      <c r="I20" s="528"/>
      <c r="L20" s="8"/>
    </row>
    <row r="21" spans="1:13" x14ac:dyDescent="0.25">
      <c r="A21" s="523" t="s">
        <v>8</v>
      </c>
      <c r="B21" s="524"/>
      <c r="C21" s="525"/>
      <c r="D21" s="261">
        <f>+D19/D22</f>
        <v>78</v>
      </c>
      <c r="E21" s="82" t="s">
        <v>7</v>
      </c>
      <c r="F21" s="526" t="s">
        <v>6</v>
      </c>
      <c r="G21" s="526"/>
      <c r="H21" s="527"/>
      <c r="I21" s="528"/>
      <c r="L21" s="8"/>
    </row>
    <row r="22" spans="1:13" x14ac:dyDescent="0.25">
      <c r="A22" s="523" t="s">
        <v>5</v>
      </c>
      <c r="B22" s="524"/>
      <c r="C22" s="525"/>
      <c r="D22" s="11">
        <v>300</v>
      </c>
      <c r="E22" s="11" t="s">
        <v>2</v>
      </c>
      <c r="F22" s="654" t="s">
        <v>4</v>
      </c>
      <c r="G22" s="655"/>
      <c r="H22" s="527"/>
      <c r="I22" s="528"/>
      <c r="L22" s="8"/>
      <c r="M22" s="4"/>
    </row>
    <row r="23" spans="1:13" ht="14.25" thickBot="1" x14ac:dyDescent="0.3">
      <c r="A23" s="534" t="s">
        <v>3</v>
      </c>
      <c r="B23" s="535"/>
      <c r="C23" s="536"/>
      <c r="D23" s="262">
        <f>+E8-D19</f>
        <v>600</v>
      </c>
      <c r="E23" s="263" t="s">
        <v>2</v>
      </c>
      <c r="F23" s="537"/>
      <c r="G23" s="537"/>
      <c r="H23" s="599"/>
      <c r="I23" s="600"/>
      <c r="L23" s="8"/>
    </row>
    <row r="24" spans="1:13" ht="14.25" thickBot="1" x14ac:dyDescent="0.3">
      <c r="A24" s="659" t="s">
        <v>1</v>
      </c>
      <c r="B24" s="660"/>
      <c r="C24" s="660"/>
      <c r="D24" s="660"/>
      <c r="E24" s="660"/>
      <c r="F24" s="660"/>
      <c r="G24" s="660"/>
      <c r="H24" s="660"/>
      <c r="I24" s="661"/>
    </row>
    <row r="25" spans="1:13" x14ac:dyDescent="0.25">
      <c r="A25" s="863" t="s">
        <v>213</v>
      </c>
      <c r="B25" s="864"/>
      <c r="C25" s="865"/>
      <c r="D25" s="865"/>
      <c r="E25" s="865"/>
      <c r="F25" s="865"/>
      <c r="G25" s="865"/>
      <c r="H25" s="865"/>
      <c r="I25" s="866"/>
    </row>
    <row r="26" spans="1:13" x14ac:dyDescent="0.25">
      <c r="A26" s="577" t="s">
        <v>214</v>
      </c>
      <c r="B26" s="578"/>
      <c r="C26" s="579"/>
      <c r="D26" s="579"/>
      <c r="E26" s="579"/>
      <c r="F26" s="579"/>
      <c r="G26" s="579"/>
      <c r="H26" s="579"/>
      <c r="I26" s="580"/>
    </row>
    <row r="27" spans="1:13" x14ac:dyDescent="0.25">
      <c r="A27" s="788" t="s">
        <v>215</v>
      </c>
      <c r="B27" s="789"/>
      <c r="C27" s="789"/>
      <c r="D27" s="789"/>
      <c r="E27" s="789"/>
      <c r="F27" s="789"/>
      <c r="G27" s="789"/>
      <c r="H27" s="789"/>
      <c r="I27" s="790"/>
    </row>
    <row r="28" spans="1:13" ht="14.25" thickBot="1" x14ac:dyDescent="0.3">
      <c r="A28" s="581"/>
      <c r="B28" s="582"/>
      <c r="C28" s="583"/>
      <c r="D28" s="583"/>
      <c r="E28" s="583"/>
      <c r="F28" s="583"/>
      <c r="G28" s="583"/>
      <c r="H28" s="583"/>
      <c r="I28" s="584"/>
    </row>
    <row r="29" spans="1:13" ht="14.25" thickBot="1" x14ac:dyDescent="0.3">
      <c r="A29" s="659" t="s">
        <v>216</v>
      </c>
      <c r="B29" s="660"/>
      <c r="C29" s="660"/>
      <c r="D29" s="660"/>
      <c r="E29" s="660"/>
      <c r="F29" s="660"/>
      <c r="G29" s="660"/>
      <c r="H29" s="660"/>
      <c r="I29" s="661"/>
    </row>
    <row r="30" spans="1:13" x14ac:dyDescent="0.25">
      <c r="A30" s="264" t="s">
        <v>217</v>
      </c>
      <c r="B30" s="264"/>
      <c r="C30" s="264"/>
    </row>
    <row r="31" spans="1:13" x14ac:dyDescent="0.25">
      <c r="A31" s="264"/>
      <c r="B31" s="264"/>
    </row>
  </sheetData>
  <mergeCells count="35"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923A-0F44-40C0-873C-BC19C108753E}">
  <dimension ref="A1:I55"/>
  <sheetViews>
    <sheetView topLeftCell="A4" workbookViewId="0">
      <selection activeCell="C12" sqref="C12"/>
    </sheetView>
  </sheetViews>
  <sheetFormatPr baseColWidth="10" defaultRowHeight="15" x14ac:dyDescent="0.25"/>
  <cols>
    <col min="2" max="2" width="13.28515625" customWidth="1"/>
    <col min="3" max="3" width="41.28515625" customWidth="1"/>
  </cols>
  <sheetData>
    <row r="1" spans="1:9" ht="16.5" x14ac:dyDescent="0.3">
      <c r="A1" s="557"/>
      <c r="B1" s="558"/>
      <c r="C1" s="564" t="s">
        <v>35</v>
      </c>
      <c r="D1" s="564"/>
      <c r="E1" s="564"/>
      <c r="F1" s="564"/>
      <c r="G1" s="564"/>
      <c r="H1" s="66" t="s">
        <v>34</v>
      </c>
      <c r="I1" s="65"/>
    </row>
    <row r="2" spans="1:9" ht="17.25" thickBot="1" x14ac:dyDescent="0.35">
      <c r="A2" s="559"/>
      <c r="B2" s="560"/>
      <c r="C2" s="565" t="s">
        <v>33</v>
      </c>
      <c r="D2" s="565"/>
      <c r="E2" s="565"/>
      <c r="F2" s="565"/>
      <c r="G2" s="565"/>
      <c r="H2" s="63" t="s">
        <v>32</v>
      </c>
      <c r="I2" s="64"/>
    </row>
    <row r="3" spans="1:9" ht="18" x14ac:dyDescent="0.25">
      <c r="A3" s="559"/>
      <c r="B3" s="560"/>
      <c r="C3" s="566" t="s">
        <v>74</v>
      </c>
      <c r="D3" s="567"/>
      <c r="E3" s="567"/>
      <c r="F3" s="567"/>
      <c r="G3" s="568"/>
      <c r="H3" s="569" t="s">
        <v>31</v>
      </c>
      <c r="I3" s="546"/>
    </row>
    <row r="4" spans="1:9" ht="16.5" x14ac:dyDescent="0.3">
      <c r="A4" s="559"/>
      <c r="B4" s="560"/>
      <c r="C4" s="63" t="s">
        <v>30</v>
      </c>
      <c r="D4" s="549" t="s">
        <v>37</v>
      </c>
      <c r="E4" s="549"/>
      <c r="F4" s="549"/>
      <c r="G4" s="549"/>
      <c r="H4" s="570"/>
      <c r="I4" s="547"/>
    </row>
    <row r="5" spans="1:9" ht="17.25" thickBot="1" x14ac:dyDescent="0.35">
      <c r="A5" s="561"/>
      <c r="B5" s="562"/>
      <c r="C5" s="62" t="s">
        <v>29</v>
      </c>
      <c r="D5" s="550" t="s">
        <v>28</v>
      </c>
      <c r="E5" s="550"/>
      <c r="F5" s="550"/>
      <c r="G5" s="550"/>
      <c r="H5" s="571"/>
      <c r="I5" s="548"/>
    </row>
    <row r="6" spans="1:9" ht="26.25" thickBot="1" x14ac:dyDescent="0.3">
      <c r="A6" s="572" t="s">
        <v>27</v>
      </c>
      <c r="B6" s="573"/>
      <c r="C6" s="573"/>
      <c r="D6" s="512" t="s">
        <v>26</v>
      </c>
      <c r="E6" s="512"/>
      <c r="F6" s="512"/>
      <c r="G6" s="563" t="s">
        <v>25</v>
      </c>
      <c r="H6" s="563"/>
      <c r="I6" s="61" t="s">
        <v>24</v>
      </c>
    </row>
    <row r="7" spans="1:9" ht="25.5" x14ac:dyDescent="0.25">
      <c r="A7" s="551" t="s">
        <v>23</v>
      </c>
      <c r="B7" s="555" t="s">
        <v>36</v>
      </c>
      <c r="C7" s="553" t="s">
        <v>22</v>
      </c>
      <c r="D7" s="553" t="s">
        <v>21</v>
      </c>
      <c r="E7" s="553" t="s">
        <v>20</v>
      </c>
      <c r="F7" s="553"/>
      <c r="G7" s="553" t="s">
        <v>19</v>
      </c>
      <c r="H7" s="553"/>
      <c r="I7" s="60" t="s">
        <v>18</v>
      </c>
    </row>
    <row r="8" spans="1:9" ht="26.25" thickBot="1" x14ac:dyDescent="0.3">
      <c r="A8" s="552"/>
      <c r="B8" s="556"/>
      <c r="C8" s="554"/>
      <c r="D8" s="554"/>
      <c r="E8" s="59" t="s">
        <v>15</v>
      </c>
      <c r="F8" s="58" t="s">
        <v>17</v>
      </c>
      <c r="G8" s="59" t="s">
        <v>15</v>
      </c>
      <c r="H8" s="58" t="s">
        <v>17</v>
      </c>
      <c r="I8" s="57" t="s">
        <v>16</v>
      </c>
    </row>
    <row r="9" spans="1:9" x14ac:dyDescent="0.25">
      <c r="A9" s="71" t="s">
        <v>75</v>
      </c>
      <c r="B9" s="71" t="s">
        <v>76</v>
      </c>
      <c r="C9" t="s">
        <v>77</v>
      </c>
      <c r="D9" s="56" t="s">
        <v>78</v>
      </c>
      <c r="E9" s="13">
        <v>375</v>
      </c>
      <c r="F9" s="55" t="s">
        <v>2</v>
      </c>
      <c r="G9" s="13" t="s">
        <v>79</v>
      </c>
      <c r="H9" s="54"/>
      <c r="I9" s="53"/>
    </row>
    <row r="10" spans="1:9" x14ac:dyDescent="0.25">
      <c r="A10" s="71" t="s">
        <v>191</v>
      </c>
      <c r="B10" s="71" t="s">
        <v>192</v>
      </c>
      <c r="C10" t="s">
        <v>193</v>
      </c>
      <c r="D10" s="210" t="s">
        <v>78</v>
      </c>
      <c r="E10" s="37">
        <v>150</v>
      </c>
      <c r="F10" s="211" t="s">
        <v>2</v>
      </c>
      <c r="G10" s="37" t="s">
        <v>194</v>
      </c>
      <c r="H10" s="212"/>
      <c r="I10" s="213"/>
    </row>
    <row r="11" spans="1:9" x14ac:dyDescent="0.25">
      <c r="A11" s="72" t="s">
        <v>42</v>
      </c>
      <c r="B11" s="73" t="s">
        <v>42</v>
      </c>
      <c r="C11" s="100" t="s">
        <v>80</v>
      </c>
      <c r="D11" s="40" t="s">
        <v>78</v>
      </c>
      <c r="E11" s="35">
        <v>70</v>
      </c>
      <c r="F11" s="52" t="s">
        <v>2</v>
      </c>
      <c r="G11" s="35" t="s">
        <v>189</v>
      </c>
      <c r="H11" s="49"/>
      <c r="I11" s="48"/>
    </row>
    <row r="12" spans="1:9" x14ac:dyDescent="0.25">
      <c r="A12" s="72" t="s">
        <v>42</v>
      </c>
      <c r="B12" s="101" t="s">
        <v>42</v>
      </c>
      <c r="C12" s="102" t="s">
        <v>81</v>
      </c>
      <c r="D12" s="40" t="s">
        <v>78</v>
      </c>
      <c r="E12" s="46">
        <v>80</v>
      </c>
      <c r="F12" s="45" t="s">
        <v>2</v>
      </c>
      <c r="G12" s="51" t="s">
        <v>189</v>
      </c>
      <c r="H12" s="49"/>
      <c r="I12" s="48"/>
    </row>
    <row r="13" spans="1:9" x14ac:dyDescent="0.25">
      <c r="A13" s="42"/>
      <c r="B13" s="67"/>
      <c r="C13" s="41"/>
      <c r="D13" s="40"/>
      <c r="E13" s="46"/>
      <c r="F13" s="45"/>
      <c r="G13" s="51"/>
      <c r="H13" s="49"/>
      <c r="I13" s="48"/>
    </row>
    <row r="14" spans="1:9" x14ac:dyDescent="0.25">
      <c r="A14" s="42"/>
      <c r="B14" s="67"/>
      <c r="C14" s="41" t="s">
        <v>83</v>
      </c>
      <c r="D14" s="40"/>
      <c r="E14" s="46"/>
      <c r="F14" s="45"/>
      <c r="G14" s="35"/>
      <c r="H14" s="49"/>
      <c r="I14" s="48"/>
    </row>
    <row r="15" spans="1:9" x14ac:dyDescent="0.25">
      <c r="A15" s="72" t="s">
        <v>42</v>
      </c>
      <c r="B15" s="103" t="s">
        <v>42</v>
      </c>
      <c r="C15" s="104" t="s">
        <v>84</v>
      </c>
      <c r="D15" s="40" t="s">
        <v>78</v>
      </c>
      <c r="E15" s="50">
        <v>120</v>
      </c>
      <c r="F15" s="45" t="s">
        <v>2</v>
      </c>
      <c r="G15" s="35"/>
      <c r="H15" s="49"/>
      <c r="I15" s="48"/>
    </row>
    <row r="16" spans="1:9" x14ac:dyDescent="0.25">
      <c r="A16" s="71" t="s">
        <v>85</v>
      </c>
      <c r="B16" s="71" t="s">
        <v>86</v>
      </c>
      <c r="C16" t="s">
        <v>87</v>
      </c>
      <c r="D16" s="40" t="s">
        <v>78</v>
      </c>
      <c r="E16" s="50">
        <v>10</v>
      </c>
      <c r="F16" s="45" t="s">
        <v>2</v>
      </c>
      <c r="G16" s="35"/>
      <c r="H16" s="49"/>
      <c r="I16" s="48"/>
    </row>
    <row r="17" spans="1:9" x14ac:dyDescent="0.25">
      <c r="A17" s="72" t="s">
        <v>42</v>
      </c>
      <c r="B17" s="73" t="s">
        <v>42</v>
      </c>
      <c r="C17" s="100" t="s">
        <v>88</v>
      </c>
      <c r="D17" s="40" t="s">
        <v>78</v>
      </c>
      <c r="E17" s="46">
        <v>10</v>
      </c>
      <c r="F17" s="45" t="s">
        <v>2</v>
      </c>
      <c r="G17" s="751"/>
      <c r="H17" s="751"/>
      <c r="I17" s="44"/>
    </row>
    <row r="18" spans="1:9" x14ac:dyDescent="0.25">
      <c r="A18" s="72" t="s">
        <v>42</v>
      </c>
      <c r="B18" s="73" t="s">
        <v>42</v>
      </c>
      <c r="C18" s="100" t="s">
        <v>89</v>
      </c>
      <c r="D18" s="40" t="s">
        <v>78</v>
      </c>
      <c r="E18" s="46">
        <v>50</v>
      </c>
      <c r="F18" s="45" t="s">
        <v>2</v>
      </c>
      <c r="G18" s="751" t="s">
        <v>90</v>
      </c>
      <c r="H18" s="751"/>
      <c r="I18" s="44"/>
    </row>
    <row r="19" spans="1:9" x14ac:dyDescent="0.25">
      <c r="A19" s="84">
        <v>95718</v>
      </c>
      <c r="B19" s="85" t="s">
        <v>91</v>
      </c>
      <c r="C19" s="86" t="s">
        <v>92</v>
      </c>
      <c r="D19" s="40" t="s">
        <v>78</v>
      </c>
      <c r="E19" s="46">
        <v>40</v>
      </c>
      <c r="F19" s="45" t="s">
        <v>2</v>
      </c>
      <c r="G19" s="751" t="s">
        <v>93</v>
      </c>
      <c r="H19" s="751"/>
      <c r="I19" s="44"/>
    </row>
    <row r="20" spans="1:9" x14ac:dyDescent="0.25">
      <c r="A20" s="72" t="s">
        <v>42</v>
      </c>
      <c r="B20" s="103" t="s">
        <v>42</v>
      </c>
      <c r="C20" s="104" t="s">
        <v>84</v>
      </c>
      <c r="D20" s="40" t="s">
        <v>78</v>
      </c>
      <c r="E20" s="46">
        <v>30</v>
      </c>
      <c r="F20" s="45" t="s">
        <v>2</v>
      </c>
      <c r="G20" s="751" t="s">
        <v>93</v>
      </c>
      <c r="H20" s="751"/>
      <c r="I20" s="44"/>
    </row>
    <row r="21" spans="1:9" x14ac:dyDescent="0.25">
      <c r="A21" s="42"/>
      <c r="B21" s="67"/>
      <c r="C21" s="41"/>
      <c r="D21" s="40"/>
      <c r="E21" s="43"/>
      <c r="F21" s="39"/>
      <c r="G21" s="752"/>
      <c r="H21" s="753"/>
      <c r="I21" s="38"/>
    </row>
    <row r="22" spans="1:9" x14ac:dyDescent="0.25">
      <c r="A22" s="87"/>
      <c r="B22" s="87"/>
      <c r="C22" s="88" t="s">
        <v>94</v>
      </c>
      <c r="D22" s="89"/>
      <c r="E22" s="90"/>
      <c r="F22" s="81"/>
      <c r="G22" s="749"/>
      <c r="H22" s="750"/>
      <c r="I22" s="38"/>
    </row>
    <row r="23" spans="1:9" x14ac:dyDescent="0.25">
      <c r="A23" s="91">
        <v>121603</v>
      </c>
      <c r="B23" s="91" t="s">
        <v>95</v>
      </c>
      <c r="C23" s="92" t="s">
        <v>96</v>
      </c>
      <c r="D23" s="93" t="s">
        <v>97</v>
      </c>
      <c r="E23" s="90">
        <v>1</v>
      </c>
      <c r="F23" s="81" t="s">
        <v>7</v>
      </c>
      <c r="G23" s="29"/>
      <c r="H23" s="36"/>
      <c r="I23" s="33"/>
    </row>
    <row r="24" spans="1:9" x14ac:dyDescent="0.25">
      <c r="A24" s="91">
        <v>1952875</v>
      </c>
      <c r="B24" s="91" t="s">
        <v>98</v>
      </c>
      <c r="C24" s="92" t="s">
        <v>99</v>
      </c>
      <c r="D24" s="93"/>
      <c r="E24" s="90">
        <v>1</v>
      </c>
      <c r="F24" s="81">
        <v>1952875</v>
      </c>
      <c r="G24" s="29"/>
      <c r="H24" s="36"/>
      <c r="I24" s="33"/>
    </row>
    <row r="25" spans="1:9" x14ac:dyDescent="0.25">
      <c r="A25" s="94">
        <v>2172411</v>
      </c>
      <c r="B25" s="94" t="s">
        <v>100</v>
      </c>
      <c r="C25" s="95" t="s">
        <v>101</v>
      </c>
      <c r="D25" s="93" t="s">
        <v>102</v>
      </c>
      <c r="E25" s="90">
        <v>1</v>
      </c>
      <c r="F25" s="81" t="s">
        <v>7</v>
      </c>
      <c r="G25" s="29"/>
      <c r="H25" s="36"/>
      <c r="I25" s="34"/>
    </row>
    <row r="26" spans="1:9" x14ac:dyDescent="0.25">
      <c r="A26" s="94">
        <v>702012</v>
      </c>
      <c r="B26" s="94" t="s">
        <v>103</v>
      </c>
      <c r="C26" s="95" t="s">
        <v>104</v>
      </c>
      <c r="D26" s="93" t="s">
        <v>105</v>
      </c>
      <c r="E26" s="90">
        <v>1</v>
      </c>
      <c r="F26" s="81" t="s">
        <v>7</v>
      </c>
      <c r="G26" s="11"/>
      <c r="H26" s="26"/>
      <c r="I26" s="34"/>
    </row>
    <row r="27" spans="1:9" x14ac:dyDescent="0.25">
      <c r="A27" s="94">
        <v>702069</v>
      </c>
      <c r="B27" s="94" t="s">
        <v>106</v>
      </c>
      <c r="C27" s="95" t="s">
        <v>107</v>
      </c>
      <c r="D27" s="93" t="s">
        <v>108</v>
      </c>
      <c r="E27" s="90">
        <v>1</v>
      </c>
      <c r="F27" s="81" t="s">
        <v>7</v>
      </c>
      <c r="G27" s="11"/>
      <c r="H27" s="26"/>
      <c r="I27" s="34"/>
    </row>
    <row r="28" spans="1:9" ht="15.75" x14ac:dyDescent="0.25">
      <c r="A28" s="96">
        <v>702123</v>
      </c>
      <c r="B28" s="97" t="s">
        <v>67</v>
      </c>
      <c r="C28" s="95" t="s">
        <v>109</v>
      </c>
      <c r="D28" s="93" t="s">
        <v>105</v>
      </c>
      <c r="E28" s="93">
        <v>1</v>
      </c>
      <c r="F28" s="98" t="s">
        <v>7</v>
      </c>
      <c r="G28" s="11"/>
      <c r="H28" s="26"/>
      <c r="I28" s="34"/>
    </row>
    <row r="29" spans="1:9" ht="15.75" x14ac:dyDescent="0.25">
      <c r="A29" s="96">
        <v>703020</v>
      </c>
      <c r="B29" s="91" t="s">
        <v>110</v>
      </c>
      <c r="C29" s="95" t="s">
        <v>111</v>
      </c>
      <c r="D29" s="93" t="s">
        <v>112</v>
      </c>
      <c r="E29" s="93">
        <v>60</v>
      </c>
      <c r="F29" s="98" t="s">
        <v>113</v>
      </c>
      <c r="G29" s="11"/>
      <c r="H29" s="26"/>
      <c r="I29" s="33"/>
    </row>
    <row r="30" spans="1:9" x14ac:dyDescent="0.25">
      <c r="A30" s="32"/>
      <c r="B30" s="68"/>
      <c r="C30" s="31"/>
      <c r="D30" s="30"/>
      <c r="E30" s="29"/>
      <c r="F30" s="28"/>
      <c r="G30" s="11"/>
      <c r="H30" s="26"/>
      <c r="I30" s="33"/>
    </row>
    <row r="31" spans="1:9" x14ac:dyDescent="0.25">
      <c r="A31" s="32"/>
      <c r="B31" s="68"/>
      <c r="C31" s="31"/>
      <c r="D31" s="30"/>
      <c r="E31" s="29"/>
      <c r="F31" s="28"/>
      <c r="G31" s="27"/>
      <c r="H31" s="26"/>
      <c r="I31" s="25"/>
    </row>
    <row r="32" spans="1:9" ht="15.75" thickBot="1" x14ac:dyDescent="0.3">
      <c r="A32" s="24"/>
      <c r="B32" s="69"/>
      <c r="C32" s="21"/>
      <c r="D32" s="21"/>
      <c r="E32" s="23"/>
      <c r="F32" s="22"/>
      <c r="G32" s="21"/>
      <c r="H32" s="21"/>
      <c r="I32" s="20"/>
    </row>
    <row r="33" spans="1:9" ht="15.75" thickBot="1" x14ac:dyDescent="0.3">
      <c r="A33" s="19"/>
      <c r="B33" s="70"/>
      <c r="C33" s="15"/>
      <c r="D33" s="18" t="s">
        <v>15</v>
      </c>
      <c r="E33" s="17" t="s">
        <v>14</v>
      </c>
      <c r="F33" s="16"/>
      <c r="G33" s="15"/>
      <c r="H33" s="15"/>
      <c r="I33" s="14"/>
    </row>
    <row r="34" spans="1:9" x14ac:dyDescent="0.25">
      <c r="A34" s="517" t="s">
        <v>13</v>
      </c>
      <c r="B34" s="518"/>
      <c r="C34" s="519"/>
      <c r="D34" s="13">
        <v>930</v>
      </c>
      <c r="E34" s="12" t="s">
        <v>2</v>
      </c>
      <c r="F34" s="520" t="s">
        <v>12</v>
      </c>
      <c r="G34" s="520"/>
      <c r="H34" s="521"/>
      <c r="I34" s="522"/>
    </row>
    <row r="35" spans="1:9" x14ac:dyDescent="0.25">
      <c r="A35" s="523" t="s">
        <v>11</v>
      </c>
      <c r="B35" s="524"/>
      <c r="C35" s="525"/>
      <c r="D35" s="11">
        <v>6</v>
      </c>
      <c r="E35" s="11" t="s">
        <v>10</v>
      </c>
      <c r="F35" s="526" t="s">
        <v>9</v>
      </c>
      <c r="G35" s="526"/>
      <c r="H35" s="527"/>
      <c r="I35" s="528"/>
    </row>
    <row r="36" spans="1:9" x14ac:dyDescent="0.25">
      <c r="A36" s="523" t="s">
        <v>8</v>
      </c>
      <c r="B36" s="524"/>
      <c r="C36" s="525"/>
      <c r="D36" s="11">
        <v>1</v>
      </c>
      <c r="E36" s="11" t="s">
        <v>7</v>
      </c>
      <c r="F36" s="526" t="s">
        <v>6</v>
      </c>
      <c r="G36" s="526"/>
      <c r="H36" s="527"/>
      <c r="I36" s="528"/>
    </row>
    <row r="37" spans="1:9" x14ac:dyDescent="0.25">
      <c r="A37" s="523" t="s">
        <v>5</v>
      </c>
      <c r="B37" s="524"/>
      <c r="C37" s="525"/>
      <c r="D37" s="10">
        <v>930</v>
      </c>
      <c r="E37" s="9" t="s">
        <v>2</v>
      </c>
      <c r="F37" s="533" t="s">
        <v>4</v>
      </c>
      <c r="G37" s="533"/>
      <c r="H37" s="527"/>
      <c r="I37" s="528"/>
    </row>
    <row r="38" spans="1:9" ht="15.75" thickBot="1" x14ac:dyDescent="0.3">
      <c r="A38" s="534" t="s">
        <v>3</v>
      </c>
      <c r="B38" s="535"/>
      <c r="C38" s="536"/>
      <c r="D38" s="7">
        <v>5</v>
      </c>
      <c r="E38" s="6" t="s">
        <v>2</v>
      </c>
      <c r="F38" s="537"/>
      <c r="G38" s="537"/>
      <c r="H38" s="599"/>
      <c r="I38" s="600"/>
    </row>
    <row r="39" spans="1:9" ht="15.75" thickBot="1" x14ac:dyDescent="0.3">
      <c r="A39" s="592" t="s">
        <v>1</v>
      </c>
      <c r="B39" s="593"/>
      <c r="C39" s="593"/>
      <c r="D39" s="593"/>
      <c r="E39" s="593"/>
      <c r="F39" s="593"/>
      <c r="G39" s="593"/>
      <c r="H39" s="593"/>
      <c r="I39" s="594"/>
    </row>
    <row r="40" spans="1:9" x14ac:dyDescent="0.25">
      <c r="A40" s="595" t="s">
        <v>114</v>
      </c>
      <c r="B40" s="596"/>
      <c r="C40" s="597"/>
      <c r="D40" s="597"/>
      <c r="E40" s="597"/>
      <c r="F40" s="597"/>
      <c r="G40" s="597"/>
      <c r="H40" s="597"/>
      <c r="I40" s="598"/>
    </row>
    <row r="41" spans="1:9" x14ac:dyDescent="0.25">
      <c r="A41" s="529" t="s">
        <v>115</v>
      </c>
      <c r="B41" s="530"/>
      <c r="C41" s="531"/>
      <c r="D41" s="531"/>
      <c r="E41" s="531"/>
      <c r="F41" s="531"/>
      <c r="G41" s="531"/>
      <c r="H41" s="531"/>
      <c r="I41" s="532"/>
    </row>
    <row r="42" spans="1:9" x14ac:dyDescent="0.25">
      <c r="A42" s="542" t="s">
        <v>190</v>
      </c>
      <c r="B42" s="543"/>
      <c r="C42" s="544"/>
      <c r="D42" s="544"/>
      <c r="E42" s="544"/>
      <c r="F42" s="544"/>
      <c r="G42" s="544"/>
      <c r="H42" s="544"/>
      <c r="I42" s="545"/>
    </row>
    <row r="43" spans="1:9" x14ac:dyDescent="0.25">
      <c r="A43" s="574" t="s">
        <v>120</v>
      </c>
      <c r="B43" s="575"/>
      <c r="C43" s="575"/>
      <c r="D43" s="575"/>
      <c r="E43" s="575"/>
      <c r="F43" s="575"/>
      <c r="G43" s="575"/>
      <c r="H43" s="575"/>
      <c r="I43" s="576"/>
    </row>
    <row r="44" spans="1:9" x14ac:dyDescent="0.25">
      <c r="A44" s="577"/>
      <c r="B44" s="578"/>
      <c r="C44" s="579"/>
      <c r="D44" s="579"/>
      <c r="E44" s="579"/>
      <c r="F44" s="579"/>
      <c r="G44" s="579"/>
      <c r="H44" s="579"/>
      <c r="I44" s="580"/>
    </row>
    <row r="45" spans="1:9" ht="15.75" thickBot="1" x14ac:dyDescent="0.3">
      <c r="A45" s="581"/>
      <c r="B45" s="582"/>
      <c r="C45" s="583"/>
      <c r="D45" s="583"/>
      <c r="E45" s="583"/>
      <c r="F45" s="583"/>
      <c r="G45" s="583"/>
      <c r="H45" s="583"/>
      <c r="I45" s="584"/>
    </row>
    <row r="46" spans="1:9" x14ac:dyDescent="0.25">
      <c r="A46" s="585" t="s">
        <v>0</v>
      </c>
      <c r="B46" s="586"/>
      <c r="C46" s="586"/>
      <c r="D46" s="586"/>
      <c r="E46" s="586"/>
      <c r="F46" s="586"/>
      <c r="G46" s="586"/>
      <c r="H46" s="586"/>
      <c r="I46" s="587"/>
    </row>
    <row r="47" spans="1:9" ht="15.75" thickBot="1" x14ac:dyDescent="0.3">
      <c r="A47" s="588"/>
      <c r="B47" s="589"/>
      <c r="C47" s="590"/>
      <c r="D47" s="590"/>
      <c r="E47" s="590"/>
      <c r="F47" s="590"/>
      <c r="G47" s="590"/>
      <c r="H47" s="590"/>
      <c r="I47" s="591"/>
    </row>
    <row r="48" spans="1:9" ht="15.75" thickBot="1" x14ac:dyDescent="0.3">
      <c r="A48" s="538"/>
      <c r="B48" s="539"/>
      <c r="C48" s="540"/>
      <c r="D48" s="540"/>
      <c r="E48" s="540"/>
      <c r="F48" s="540"/>
      <c r="G48" s="540"/>
      <c r="H48" s="540"/>
      <c r="I48" s="541"/>
    </row>
    <row r="49" spans="1:9" ht="15.75" thickBot="1" x14ac:dyDescent="0.3">
      <c r="A49" s="538"/>
      <c r="B49" s="539"/>
      <c r="C49" s="540"/>
      <c r="D49" s="540"/>
      <c r="E49" s="540"/>
      <c r="F49" s="540"/>
      <c r="G49" s="540"/>
      <c r="H49" s="540"/>
      <c r="I49" s="541"/>
    </row>
    <row r="50" spans="1:9" ht="15.75" thickBot="1" x14ac:dyDescent="0.3">
      <c r="A50" s="538"/>
      <c r="B50" s="539"/>
      <c r="C50" s="540"/>
      <c r="D50" s="540"/>
      <c r="E50" s="540"/>
      <c r="F50" s="540"/>
      <c r="G50" s="540"/>
      <c r="H50" s="540"/>
      <c r="I50" s="541"/>
    </row>
    <row r="51" spans="1:9" ht="15.75" thickBot="1" x14ac:dyDescent="0.3">
      <c r="A51" s="538"/>
      <c r="B51" s="539"/>
      <c r="C51" s="540"/>
      <c r="D51" s="540"/>
      <c r="E51" s="540"/>
      <c r="F51" s="540"/>
      <c r="G51" s="540"/>
      <c r="H51" s="540"/>
      <c r="I51" s="541"/>
    </row>
    <row r="52" spans="1:9" ht="15.75" thickBot="1" x14ac:dyDescent="0.3">
      <c r="A52" s="538"/>
      <c r="B52" s="539"/>
      <c r="C52" s="540"/>
      <c r="D52" s="540"/>
      <c r="E52" s="540"/>
      <c r="F52" s="540"/>
      <c r="G52" s="540"/>
      <c r="H52" s="540"/>
      <c r="I52" s="541"/>
    </row>
    <row r="53" spans="1:9" ht="15.75" thickBot="1" x14ac:dyDescent="0.3">
      <c r="A53" s="538"/>
      <c r="B53" s="539"/>
      <c r="C53" s="540"/>
      <c r="D53" s="540"/>
      <c r="E53" s="540"/>
      <c r="F53" s="540"/>
      <c r="G53" s="540"/>
      <c r="H53" s="540"/>
      <c r="I53" s="541"/>
    </row>
    <row r="54" spans="1:9" ht="15.75" thickBot="1" x14ac:dyDescent="0.3">
      <c r="A54" s="538"/>
      <c r="B54" s="539"/>
      <c r="C54" s="540"/>
      <c r="D54" s="540"/>
      <c r="E54" s="540"/>
      <c r="F54" s="540"/>
      <c r="G54" s="540"/>
      <c r="H54" s="540"/>
      <c r="I54" s="541"/>
    </row>
    <row r="55" spans="1:9" ht="15.75" thickBot="1" x14ac:dyDescent="0.3">
      <c r="A55" s="513"/>
      <c r="B55" s="514"/>
      <c r="C55" s="515"/>
      <c r="D55" s="515"/>
      <c r="E55" s="515"/>
      <c r="F55" s="515"/>
      <c r="G55" s="515"/>
      <c r="H55" s="515"/>
      <c r="I55" s="516"/>
    </row>
  </sheetData>
  <mergeCells count="55">
    <mergeCell ref="A52:I52"/>
    <mergeCell ref="G7:H7"/>
    <mergeCell ref="H36:I36"/>
    <mergeCell ref="A34:C34"/>
    <mergeCell ref="F34:G34"/>
    <mergeCell ref="H34:I34"/>
    <mergeCell ref="A7:A8"/>
    <mergeCell ref="B7:B8"/>
    <mergeCell ref="C7:C8"/>
    <mergeCell ref="D7:D8"/>
    <mergeCell ref="E7:F7"/>
    <mergeCell ref="A38:C38"/>
    <mergeCell ref="F38:G38"/>
    <mergeCell ref="H38:I38"/>
    <mergeCell ref="G22:H22"/>
    <mergeCell ref="A35:C35"/>
    <mergeCell ref="A53:I53"/>
    <mergeCell ref="A54:I54"/>
    <mergeCell ref="A55:I55"/>
    <mergeCell ref="A50:I50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1:I51"/>
    <mergeCell ref="F35:G35"/>
    <mergeCell ref="H35:I35"/>
    <mergeCell ref="A36:C36"/>
    <mergeCell ref="F36:G36"/>
    <mergeCell ref="A37:C37"/>
    <mergeCell ref="F37:G37"/>
    <mergeCell ref="H37:I37"/>
    <mergeCell ref="G21:H21"/>
    <mergeCell ref="I3:I5"/>
    <mergeCell ref="D4:G4"/>
    <mergeCell ref="A1:B5"/>
    <mergeCell ref="C1:G1"/>
    <mergeCell ref="C2:G2"/>
    <mergeCell ref="D5:G5"/>
    <mergeCell ref="C3:G3"/>
    <mergeCell ref="H3:H5"/>
    <mergeCell ref="G17:H17"/>
    <mergeCell ref="G18:H18"/>
    <mergeCell ref="G19:H19"/>
    <mergeCell ref="G20:H20"/>
    <mergeCell ref="A6:C6"/>
    <mergeCell ref="D6:F6"/>
    <mergeCell ref="G6:H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9AC-A024-4823-9520-A03A33CE7356}">
  <dimension ref="A1:Q97"/>
  <sheetViews>
    <sheetView topLeftCell="A4" workbookViewId="0">
      <selection activeCell="E20" sqref="E20"/>
    </sheetView>
  </sheetViews>
  <sheetFormatPr baseColWidth="10" defaultColWidth="8.42578125" defaultRowHeight="12.75" x14ac:dyDescent="0.25"/>
  <cols>
    <col min="1" max="1" width="10" style="110" bestFit="1" customWidth="1"/>
    <col min="2" max="2" width="44.28515625" style="110" bestFit="1" customWidth="1"/>
    <col min="3" max="3" width="10.42578125" style="110" bestFit="1" customWidth="1"/>
    <col min="4" max="4" width="10.42578125" style="110" customWidth="1"/>
    <col min="5" max="5" width="9.7109375" style="110" bestFit="1" customWidth="1"/>
    <col min="6" max="6" width="9.5703125" style="110" bestFit="1" customWidth="1"/>
    <col min="7" max="7" width="9.5703125" style="192" bestFit="1" customWidth="1"/>
    <col min="8" max="8" width="10.42578125" style="183" bestFit="1" customWidth="1"/>
    <col min="9" max="9" width="4.5703125" style="183" customWidth="1"/>
    <col min="10" max="10" width="1.7109375" style="109" customWidth="1"/>
    <col min="11" max="11" width="7" style="110" bestFit="1" customWidth="1"/>
    <col min="12" max="12" width="6.28515625" style="110" customWidth="1"/>
    <col min="13" max="13" width="20.42578125" style="110" customWidth="1"/>
    <col min="14" max="14" width="6.42578125" style="110" bestFit="1" customWidth="1"/>
    <col min="15" max="15" width="9" style="110" bestFit="1" customWidth="1"/>
    <col min="16" max="16" width="8.42578125" style="110"/>
    <col min="17" max="17" width="3.28515625" style="110" customWidth="1"/>
    <col min="18" max="256" width="8.42578125" style="110"/>
    <col min="257" max="257" width="10" style="110" bestFit="1" customWidth="1"/>
    <col min="258" max="258" width="44.28515625" style="110" bestFit="1" customWidth="1"/>
    <col min="259" max="259" width="10.42578125" style="110" bestFit="1" customWidth="1"/>
    <col min="260" max="260" width="10.42578125" style="110" customWidth="1"/>
    <col min="261" max="261" width="9.7109375" style="110" bestFit="1" customWidth="1"/>
    <col min="262" max="263" width="9.5703125" style="110" bestFit="1" customWidth="1"/>
    <col min="264" max="264" width="10.42578125" style="110" bestFit="1" customWidth="1"/>
    <col min="265" max="265" width="4.5703125" style="110" customWidth="1"/>
    <col min="266" max="266" width="1.7109375" style="110" customWidth="1"/>
    <col min="267" max="267" width="7" style="110" bestFit="1" customWidth="1"/>
    <col min="268" max="268" width="6.28515625" style="110" customWidth="1"/>
    <col min="269" max="269" width="20.42578125" style="110" customWidth="1"/>
    <col min="270" max="270" width="6.42578125" style="110" bestFit="1" customWidth="1"/>
    <col min="271" max="272" width="8.42578125" style="110"/>
    <col min="273" max="273" width="3.28515625" style="110" customWidth="1"/>
    <col min="274" max="512" width="8.42578125" style="110"/>
    <col min="513" max="513" width="10" style="110" bestFit="1" customWidth="1"/>
    <col min="514" max="514" width="44.28515625" style="110" bestFit="1" customWidth="1"/>
    <col min="515" max="515" width="10.42578125" style="110" bestFit="1" customWidth="1"/>
    <col min="516" max="516" width="10.42578125" style="110" customWidth="1"/>
    <col min="517" max="517" width="9.7109375" style="110" bestFit="1" customWidth="1"/>
    <col min="518" max="519" width="9.5703125" style="110" bestFit="1" customWidth="1"/>
    <col min="520" max="520" width="10.42578125" style="110" bestFit="1" customWidth="1"/>
    <col min="521" max="521" width="4.5703125" style="110" customWidth="1"/>
    <col min="522" max="522" width="1.7109375" style="110" customWidth="1"/>
    <col min="523" max="523" width="7" style="110" bestFit="1" customWidth="1"/>
    <col min="524" max="524" width="6.28515625" style="110" customWidth="1"/>
    <col min="525" max="525" width="20.42578125" style="110" customWidth="1"/>
    <col min="526" max="526" width="6.42578125" style="110" bestFit="1" customWidth="1"/>
    <col min="527" max="528" width="8.42578125" style="110"/>
    <col min="529" max="529" width="3.28515625" style="110" customWidth="1"/>
    <col min="530" max="768" width="8.42578125" style="110"/>
    <col min="769" max="769" width="10" style="110" bestFit="1" customWidth="1"/>
    <col min="770" max="770" width="44.28515625" style="110" bestFit="1" customWidth="1"/>
    <col min="771" max="771" width="10.42578125" style="110" bestFit="1" customWidth="1"/>
    <col min="772" max="772" width="10.42578125" style="110" customWidth="1"/>
    <col min="773" max="773" width="9.7109375" style="110" bestFit="1" customWidth="1"/>
    <col min="774" max="775" width="9.5703125" style="110" bestFit="1" customWidth="1"/>
    <col min="776" max="776" width="10.42578125" style="110" bestFit="1" customWidth="1"/>
    <col min="777" max="777" width="4.5703125" style="110" customWidth="1"/>
    <col min="778" max="778" width="1.7109375" style="110" customWidth="1"/>
    <col min="779" max="779" width="7" style="110" bestFit="1" customWidth="1"/>
    <col min="780" max="780" width="6.28515625" style="110" customWidth="1"/>
    <col min="781" max="781" width="20.42578125" style="110" customWidth="1"/>
    <col min="782" max="782" width="6.42578125" style="110" bestFit="1" customWidth="1"/>
    <col min="783" max="784" width="8.42578125" style="110"/>
    <col min="785" max="785" width="3.28515625" style="110" customWidth="1"/>
    <col min="786" max="1024" width="8.42578125" style="110"/>
    <col min="1025" max="1025" width="10" style="110" bestFit="1" customWidth="1"/>
    <col min="1026" max="1026" width="44.28515625" style="110" bestFit="1" customWidth="1"/>
    <col min="1027" max="1027" width="10.42578125" style="110" bestFit="1" customWidth="1"/>
    <col min="1028" max="1028" width="10.42578125" style="110" customWidth="1"/>
    <col min="1029" max="1029" width="9.7109375" style="110" bestFit="1" customWidth="1"/>
    <col min="1030" max="1031" width="9.5703125" style="110" bestFit="1" customWidth="1"/>
    <col min="1032" max="1032" width="10.42578125" style="110" bestFit="1" customWidth="1"/>
    <col min="1033" max="1033" width="4.5703125" style="110" customWidth="1"/>
    <col min="1034" max="1034" width="1.7109375" style="110" customWidth="1"/>
    <col min="1035" max="1035" width="7" style="110" bestFit="1" customWidth="1"/>
    <col min="1036" max="1036" width="6.28515625" style="110" customWidth="1"/>
    <col min="1037" max="1037" width="20.42578125" style="110" customWidth="1"/>
    <col min="1038" max="1038" width="6.42578125" style="110" bestFit="1" customWidth="1"/>
    <col min="1039" max="1040" width="8.42578125" style="110"/>
    <col min="1041" max="1041" width="3.28515625" style="110" customWidth="1"/>
    <col min="1042" max="1280" width="8.42578125" style="110"/>
    <col min="1281" max="1281" width="10" style="110" bestFit="1" customWidth="1"/>
    <col min="1282" max="1282" width="44.28515625" style="110" bestFit="1" customWidth="1"/>
    <col min="1283" max="1283" width="10.42578125" style="110" bestFit="1" customWidth="1"/>
    <col min="1284" max="1284" width="10.42578125" style="110" customWidth="1"/>
    <col min="1285" max="1285" width="9.7109375" style="110" bestFit="1" customWidth="1"/>
    <col min="1286" max="1287" width="9.5703125" style="110" bestFit="1" customWidth="1"/>
    <col min="1288" max="1288" width="10.42578125" style="110" bestFit="1" customWidth="1"/>
    <col min="1289" max="1289" width="4.5703125" style="110" customWidth="1"/>
    <col min="1290" max="1290" width="1.7109375" style="110" customWidth="1"/>
    <col min="1291" max="1291" width="7" style="110" bestFit="1" customWidth="1"/>
    <col min="1292" max="1292" width="6.28515625" style="110" customWidth="1"/>
    <col min="1293" max="1293" width="20.42578125" style="110" customWidth="1"/>
    <col min="1294" max="1294" width="6.42578125" style="110" bestFit="1" customWidth="1"/>
    <col min="1295" max="1296" width="8.42578125" style="110"/>
    <col min="1297" max="1297" width="3.28515625" style="110" customWidth="1"/>
    <col min="1298" max="1536" width="8.42578125" style="110"/>
    <col min="1537" max="1537" width="10" style="110" bestFit="1" customWidth="1"/>
    <col min="1538" max="1538" width="44.28515625" style="110" bestFit="1" customWidth="1"/>
    <col min="1539" max="1539" width="10.42578125" style="110" bestFit="1" customWidth="1"/>
    <col min="1540" max="1540" width="10.42578125" style="110" customWidth="1"/>
    <col min="1541" max="1541" width="9.7109375" style="110" bestFit="1" customWidth="1"/>
    <col min="1542" max="1543" width="9.5703125" style="110" bestFit="1" customWidth="1"/>
    <col min="1544" max="1544" width="10.42578125" style="110" bestFit="1" customWidth="1"/>
    <col min="1545" max="1545" width="4.5703125" style="110" customWidth="1"/>
    <col min="1546" max="1546" width="1.7109375" style="110" customWidth="1"/>
    <col min="1547" max="1547" width="7" style="110" bestFit="1" customWidth="1"/>
    <col min="1548" max="1548" width="6.28515625" style="110" customWidth="1"/>
    <col min="1549" max="1549" width="20.42578125" style="110" customWidth="1"/>
    <col min="1550" max="1550" width="6.42578125" style="110" bestFit="1" customWidth="1"/>
    <col min="1551" max="1552" width="8.42578125" style="110"/>
    <col min="1553" max="1553" width="3.28515625" style="110" customWidth="1"/>
    <col min="1554" max="1792" width="8.42578125" style="110"/>
    <col min="1793" max="1793" width="10" style="110" bestFit="1" customWidth="1"/>
    <col min="1794" max="1794" width="44.28515625" style="110" bestFit="1" customWidth="1"/>
    <col min="1795" max="1795" width="10.42578125" style="110" bestFit="1" customWidth="1"/>
    <col min="1796" max="1796" width="10.42578125" style="110" customWidth="1"/>
    <col min="1797" max="1797" width="9.7109375" style="110" bestFit="1" customWidth="1"/>
    <col min="1798" max="1799" width="9.5703125" style="110" bestFit="1" customWidth="1"/>
    <col min="1800" max="1800" width="10.42578125" style="110" bestFit="1" customWidth="1"/>
    <col min="1801" max="1801" width="4.5703125" style="110" customWidth="1"/>
    <col min="1802" max="1802" width="1.7109375" style="110" customWidth="1"/>
    <col min="1803" max="1803" width="7" style="110" bestFit="1" customWidth="1"/>
    <col min="1804" max="1804" width="6.28515625" style="110" customWidth="1"/>
    <col min="1805" max="1805" width="20.42578125" style="110" customWidth="1"/>
    <col min="1806" max="1806" width="6.42578125" style="110" bestFit="1" customWidth="1"/>
    <col min="1807" max="1808" width="8.42578125" style="110"/>
    <col min="1809" max="1809" width="3.28515625" style="110" customWidth="1"/>
    <col min="1810" max="2048" width="8.42578125" style="110"/>
    <col min="2049" max="2049" width="10" style="110" bestFit="1" customWidth="1"/>
    <col min="2050" max="2050" width="44.28515625" style="110" bestFit="1" customWidth="1"/>
    <col min="2051" max="2051" width="10.42578125" style="110" bestFit="1" customWidth="1"/>
    <col min="2052" max="2052" width="10.42578125" style="110" customWidth="1"/>
    <col min="2053" max="2053" width="9.7109375" style="110" bestFit="1" customWidth="1"/>
    <col min="2054" max="2055" width="9.5703125" style="110" bestFit="1" customWidth="1"/>
    <col min="2056" max="2056" width="10.42578125" style="110" bestFit="1" customWidth="1"/>
    <col min="2057" max="2057" width="4.5703125" style="110" customWidth="1"/>
    <col min="2058" max="2058" width="1.7109375" style="110" customWidth="1"/>
    <col min="2059" max="2059" width="7" style="110" bestFit="1" customWidth="1"/>
    <col min="2060" max="2060" width="6.28515625" style="110" customWidth="1"/>
    <col min="2061" max="2061" width="20.42578125" style="110" customWidth="1"/>
    <col min="2062" max="2062" width="6.42578125" style="110" bestFit="1" customWidth="1"/>
    <col min="2063" max="2064" width="8.42578125" style="110"/>
    <col min="2065" max="2065" width="3.28515625" style="110" customWidth="1"/>
    <col min="2066" max="2304" width="8.42578125" style="110"/>
    <col min="2305" max="2305" width="10" style="110" bestFit="1" customWidth="1"/>
    <col min="2306" max="2306" width="44.28515625" style="110" bestFit="1" customWidth="1"/>
    <col min="2307" max="2307" width="10.42578125" style="110" bestFit="1" customWidth="1"/>
    <col min="2308" max="2308" width="10.42578125" style="110" customWidth="1"/>
    <col min="2309" max="2309" width="9.7109375" style="110" bestFit="1" customWidth="1"/>
    <col min="2310" max="2311" width="9.5703125" style="110" bestFit="1" customWidth="1"/>
    <col min="2312" max="2312" width="10.42578125" style="110" bestFit="1" customWidth="1"/>
    <col min="2313" max="2313" width="4.5703125" style="110" customWidth="1"/>
    <col min="2314" max="2314" width="1.7109375" style="110" customWidth="1"/>
    <col min="2315" max="2315" width="7" style="110" bestFit="1" customWidth="1"/>
    <col min="2316" max="2316" width="6.28515625" style="110" customWidth="1"/>
    <col min="2317" max="2317" width="20.42578125" style="110" customWidth="1"/>
    <col min="2318" max="2318" width="6.42578125" style="110" bestFit="1" customWidth="1"/>
    <col min="2319" max="2320" width="8.42578125" style="110"/>
    <col min="2321" max="2321" width="3.28515625" style="110" customWidth="1"/>
    <col min="2322" max="2560" width="8.42578125" style="110"/>
    <col min="2561" max="2561" width="10" style="110" bestFit="1" customWidth="1"/>
    <col min="2562" max="2562" width="44.28515625" style="110" bestFit="1" customWidth="1"/>
    <col min="2563" max="2563" width="10.42578125" style="110" bestFit="1" customWidth="1"/>
    <col min="2564" max="2564" width="10.42578125" style="110" customWidth="1"/>
    <col min="2565" max="2565" width="9.7109375" style="110" bestFit="1" customWidth="1"/>
    <col min="2566" max="2567" width="9.5703125" style="110" bestFit="1" customWidth="1"/>
    <col min="2568" max="2568" width="10.42578125" style="110" bestFit="1" customWidth="1"/>
    <col min="2569" max="2569" width="4.5703125" style="110" customWidth="1"/>
    <col min="2570" max="2570" width="1.7109375" style="110" customWidth="1"/>
    <col min="2571" max="2571" width="7" style="110" bestFit="1" customWidth="1"/>
    <col min="2572" max="2572" width="6.28515625" style="110" customWidth="1"/>
    <col min="2573" max="2573" width="20.42578125" style="110" customWidth="1"/>
    <col min="2574" max="2574" width="6.42578125" style="110" bestFit="1" customWidth="1"/>
    <col min="2575" max="2576" width="8.42578125" style="110"/>
    <col min="2577" max="2577" width="3.28515625" style="110" customWidth="1"/>
    <col min="2578" max="2816" width="8.42578125" style="110"/>
    <col min="2817" max="2817" width="10" style="110" bestFit="1" customWidth="1"/>
    <col min="2818" max="2818" width="44.28515625" style="110" bestFit="1" customWidth="1"/>
    <col min="2819" max="2819" width="10.42578125" style="110" bestFit="1" customWidth="1"/>
    <col min="2820" max="2820" width="10.42578125" style="110" customWidth="1"/>
    <col min="2821" max="2821" width="9.7109375" style="110" bestFit="1" customWidth="1"/>
    <col min="2822" max="2823" width="9.5703125" style="110" bestFit="1" customWidth="1"/>
    <col min="2824" max="2824" width="10.42578125" style="110" bestFit="1" customWidth="1"/>
    <col min="2825" max="2825" width="4.5703125" style="110" customWidth="1"/>
    <col min="2826" max="2826" width="1.7109375" style="110" customWidth="1"/>
    <col min="2827" max="2827" width="7" style="110" bestFit="1" customWidth="1"/>
    <col min="2828" max="2828" width="6.28515625" style="110" customWidth="1"/>
    <col min="2829" max="2829" width="20.42578125" style="110" customWidth="1"/>
    <col min="2830" max="2830" width="6.42578125" style="110" bestFit="1" customWidth="1"/>
    <col min="2831" max="2832" width="8.42578125" style="110"/>
    <col min="2833" max="2833" width="3.28515625" style="110" customWidth="1"/>
    <col min="2834" max="3072" width="8.42578125" style="110"/>
    <col min="3073" max="3073" width="10" style="110" bestFit="1" customWidth="1"/>
    <col min="3074" max="3074" width="44.28515625" style="110" bestFit="1" customWidth="1"/>
    <col min="3075" max="3075" width="10.42578125" style="110" bestFit="1" customWidth="1"/>
    <col min="3076" max="3076" width="10.42578125" style="110" customWidth="1"/>
    <col min="3077" max="3077" width="9.7109375" style="110" bestFit="1" customWidth="1"/>
    <col min="3078" max="3079" width="9.5703125" style="110" bestFit="1" customWidth="1"/>
    <col min="3080" max="3080" width="10.42578125" style="110" bestFit="1" customWidth="1"/>
    <col min="3081" max="3081" width="4.5703125" style="110" customWidth="1"/>
    <col min="3082" max="3082" width="1.7109375" style="110" customWidth="1"/>
    <col min="3083" max="3083" width="7" style="110" bestFit="1" customWidth="1"/>
    <col min="3084" max="3084" width="6.28515625" style="110" customWidth="1"/>
    <col min="3085" max="3085" width="20.42578125" style="110" customWidth="1"/>
    <col min="3086" max="3086" width="6.42578125" style="110" bestFit="1" customWidth="1"/>
    <col min="3087" max="3088" width="8.42578125" style="110"/>
    <col min="3089" max="3089" width="3.28515625" style="110" customWidth="1"/>
    <col min="3090" max="3328" width="8.42578125" style="110"/>
    <col min="3329" max="3329" width="10" style="110" bestFit="1" customWidth="1"/>
    <col min="3330" max="3330" width="44.28515625" style="110" bestFit="1" customWidth="1"/>
    <col min="3331" max="3331" width="10.42578125" style="110" bestFit="1" customWidth="1"/>
    <col min="3332" max="3332" width="10.42578125" style="110" customWidth="1"/>
    <col min="3333" max="3333" width="9.7109375" style="110" bestFit="1" customWidth="1"/>
    <col min="3334" max="3335" width="9.5703125" style="110" bestFit="1" customWidth="1"/>
    <col min="3336" max="3336" width="10.42578125" style="110" bestFit="1" customWidth="1"/>
    <col min="3337" max="3337" width="4.5703125" style="110" customWidth="1"/>
    <col min="3338" max="3338" width="1.7109375" style="110" customWidth="1"/>
    <col min="3339" max="3339" width="7" style="110" bestFit="1" customWidth="1"/>
    <col min="3340" max="3340" width="6.28515625" style="110" customWidth="1"/>
    <col min="3341" max="3341" width="20.42578125" style="110" customWidth="1"/>
    <col min="3342" max="3342" width="6.42578125" style="110" bestFit="1" customWidth="1"/>
    <col min="3343" max="3344" width="8.42578125" style="110"/>
    <col min="3345" max="3345" width="3.28515625" style="110" customWidth="1"/>
    <col min="3346" max="3584" width="8.42578125" style="110"/>
    <col min="3585" max="3585" width="10" style="110" bestFit="1" customWidth="1"/>
    <col min="3586" max="3586" width="44.28515625" style="110" bestFit="1" customWidth="1"/>
    <col min="3587" max="3587" width="10.42578125" style="110" bestFit="1" customWidth="1"/>
    <col min="3588" max="3588" width="10.42578125" style="110" customWidth="1"/>
    <col min="3589" max="3589" width="9.7109375" style="110" bestFit="1" customWidth="1"/>
    <col min="3590" max="3591" width="9.5703125" style="110" bestFit="1" customWidth="1"/>
    <col min="3592" max="3592" width="10.42578125" style="110" bestFit="1" customWidth="1"/>
    <col min="3593" max="3593" width="4.5703125" style="110" customWidth="1"/>
    <col min="3594" max="3594" width="1.7109375" style="110" customWidth="1"/>
    <col min="3595" max="3595" width="7" style="110" bestFit="1" customWidth="1"/>
    <col min="3596" max="3596" width="6.28515625" style="110" customWidth="1"/>
    <col min="3597" max="3597" width="20.42578125" style="110" customWidth="1"/>
    <col min="3598" max="3598" width="6.42578125" style="110" bestFit="1" customWidth="1"/>
    <col min="3599" max="3600" width="8.42578125" style="110"/>
    <col min="3601" max="3601" width="3.28515625" style="110" customWidth="1"/>
    <col min="3602" max="3840" width="8.42578125" style="110"/>
    <col min="3841" max="3841" width="10" style="110" bestFit="1" customWidth="1"/>
    <col min="3842" max="3842" width="44.28515625" style="110" bestFit="1" customWidth="1"/>
    <col min="3843" max="3843" width="10.42578125" style="110" bestFit="1" customWidth="1"/>
    <col min="3844" max="3844" width="10.42578125" style="110" customWidth="1"/>
    <col min="3845" max="3845" width="9.7109375" style="110" bestFit="1" customWidth="1"/>
    <col min="3846" max="3847" width="9.5703125" style="110" bestFit="1" customWidth="1"/>
    <col min="3848" max="3848" width="10.42578125" style="110" bestFit="1" customWidth="1"/>
    <col min="3849" max="3849" width="4.5703125" style="110" customWidth="1"/>
    <col min="3850" max="3850" width="1.7109375" style="110" customWidth="1"/>
    <col min="3851" max="3851" width="7" style="110" bestFit="1" customWidth="1"/>
    <col min="3852" max="3852" width="6.28515625" style="110" customWidth="1"/>
    <col min="3853" max="3853" width="20.42578125" style="110" customWidth="1"/>
    <col min="3854" max="3854" width="6.42578125" style="110" bestFit="1" customWidth="1"/>
    <col min="3855" max="3856" width="8.42578125" style="110"/>
    <col min="3857" max="3857" width="3.28515625" style="110" customWidth="1"/>
    <col min="3858" max="4096" width="8.42578125" style="110"/>
    <col min="4097" max="4097" width="10" style="110" bestFit="1" customWidth="1"/>
    <col min="4098" max="4098" width="44.28515625" style="110" bestFit="1" customWidth="1"/>
    <col min="4099" max="4099" width="10.42578125" style="110" bestFit="1" customWidth="1"/>
    <col min="4100" max="4100" width="10.42578125" style="110" customWidth="1"/>
    <col min="4101" max="4101" width="9.7109375" style="110" bestFit="1" customWidth="1"/>
    <col min="4102" max="4103" width="9.5703125" style="110" bestFit="1" customWidth="1"/>
    <col min="4104" max="4104" width="10.42578125" style="110" bestFit="1" customWidth="1"/>
    <col min="4105" max="4105" width="4.5703125" style="110" customWidth="1"/>
    <col min="4106" max="4106" width="1.7109375" style="110" customWidth="1"/>
    <col min="4107" max="4107" width="7" style="110" bestFit="1" customWidth="1"/>
    <col min="4108" max="4108" width="6.28515625" style="110" customWidth="1"/>
    <col min="4109" max="4109" width="20.42578125" style="110" customWidth="1"/>
    <col min="4110" max="4110" width="6.42578125" style="110" bestFit="1" customWidth="1"/>
    <col min="4111" max="4112" width="8.42578125" style="110"/>
    <col min="4113" max="4113" width="3.28515625" style="110" customWidth="1"/>
    <col min="4114" max="4352" width="8.42578125" style="110"/>
    <col min="4353" max="4353" width="10" style="110" bestFit="1" customWidth="1"/>
    <col min="4354" max="4354" width="44.28515625" style="110" bestFit="1" customWidth="1"/>
    <col min="4355" max="4355" width="10.42578125" style="110" bestFit="1" customWidth="1"/>
    <col min="4356" max="4356" width="10.42578125" style="110" customWidth="1"/>
    <col min="4357" max="4357" width="9.7109375" style="110" bestFit="1" customWidth="1"/>
    <col min="4358" max="4359" width="9.5703125" style="110" bestFit="1" customWidth="1"/>
    <col min="4360" max="4360" width="10.42578125" style="110" bestFit="1" customWidth="1"/>
    <col min="4361" max="4361" width="4.5703125" style="110" customWidth="1"/>
    <col min="4362" max="4362" width="1.7109375" style="110" customWidth="1"/>
    <col min="4363" max="4363" width="7" style="110" bestFit="1" customWidth="1"/>
    <col min="4364" max="4364" width="6.28515625" style="110" customWidth="1"/>
    <col min="4365" max="4365" width="20.42578125" style="110" customWidth="1"/>
    <col min="4366" max="4366" width="6.42578125" style="110" bestFit="1" customWidth="1"/>
    <col min="4367" max="4368" width="8.42578125" style="110"/>
    <col min="4369" max="4369" width="3.28515625" style="110" customWidth="1"/>
    <col min="4370" max="4608" width="8.42578125" style="110"/>
    <col min="4609" max="4609" width="10" style="110" bestFit="1" customWidth="1"/>
    <col min="4610" max="4610" width="44.28515625" style="110" bestFit="1" customWidth="1"/>
    <col min="4611" max="4611" width="10.42578125" style="110" bestFit="1" customWidth="1"/>
    <col min="4612" max="4612" width="10.42578125" style="110" customWidth="1"/>
    <col min="4613" max="4613" width="9.7109375" style="110" bestFit="1" customWidth="1"/>
    <col min="4614" max="4615" width="9.5703125" style="110" bestFit="1" customWidth="1"/>
    <col min="4616" max="4616" width="10.42578125" style="110" bestFit="1" customWidth="1"/>
    <col min="4617" max="4617" width="4.5703125" style="110" customWidth="1"/>
    <col min="4618" max="4618" width="1.7109375" style="110" customWidth="1"/>
    <col min="4619" max="4619" width="7" style="110" bestFit="1" customWidth="1"/>
    <col min="4620" max="4620" width="6.28515625" style="110" customWidth="1"/>
    <col min="4621" max="4621" width="20.42578125" style="110" customWidth="1"/>
    <col min="4622" max="4622" width="6.42578125" style="110" bestFit="1" customWidth="1"/>
    <col min="4623" max="4624" width="8.42578125" style="110"/>
    <col min="4625" max="4625" width="3.28515625" style="110" customWidth="1"/>
    <col min="4626" max="4864" width="8.42578125" style="110"/>
    <col min="4865" max="4865" width="10" style="110" bestFit="1" customWidth="1"/>
    <col min="4866" max="4866" width="44.28515625" style="110" bestFit="1" customWidth="1"/>
    <col min="4867" max="4867" width="10.42578125" style="110" bestFit="1" customWidth="1"/>
    <col min="4868" max="4868" width="10.42578125" style="110" customWidth="1"/>
    <col min="4869" max="4869" width="9.7109375" style="110" bestFit="1" customWidth="1"/>
    <col min="4870" max="4871" width="9.5703125" style="110" bestFit="1" customWidth="1"/>
    <col min="4872" max="4872" width="10.42578125" style="110" bestFit="1" customWidth="1"/>
    <col min="4873" max="4873" width="4.5703125" style="110" customWidth="1"/>
    <col min="4874" max="4874" width="1.7109375" style="110" customWidth="1"/>
    <col min="4875" max="4875" width="7" style="110" bestFit="1" customWidth="1"/>
    <col min="4876" max="4876" width="6.28515625" style="110" customWidth="1"/>
    <col min="4877" max="4877" width="20.42578125" style="110" customWidth="1"/>
    <col min="4878" max="4878" width="6.42578125" style="110" bestFit="1" customWidth="1"/>
    <col min="4879" max="4880" width="8.42578125" style="110"/>
    <col min="4881" max="4881" width="3.28515625" style="110" customWidth="1"/>
    <col min="4882" max="5120" width="8.42578125" style="110"/>
    <col min="5121" max="5121" width="10" style="110" bestFit="1" customWidth="1"/>
    <col min="5122" max="5122" width="44.28515625" style="110" bestFit="1" customWidth="1"/>
    <col min="5123" max="5123" width="10.42578125" style="110" bestFit="1" customWidth="1"/>
    <col min="5124" max="5124" width="10.42578125" style="110" customWidth="1"/>
    <col min="5125" max="5125" width="9.7109375" style="110" bestFit="1" customWidth="1"/>
    <col min="5126" max="5127" width="9.5703125" style="110" bestFit="1" customWidth="1"/>
    <col min="5128" max="5128" width="10.42578125" style="110" bestFit="1" customWidth="1"/>
    <col min="5129" max="5129" width="4.5703125" style="110" customWidth="1"/>
    <col min="5130" max="5130" width="1.7109375" style="110" customWidth="1"/>
    <col min="5131" max="5131" width="7" style="110" bestFit="1" customWidth="1"/>
    <col min="5132" max="5132" width="6.28515625" style="110" customWidth="1"/>
    <col min="5133" max="5133" width="20.42578125" style="110" customWidth="1"/>
    <col min="5134" max="5134" width="6.42578125" style="110" bestFit="1" customWidth="1"/>
    <col min="5135" max="5136" width="8.42578125" style="110"/>
    <col min="5137" max="5137" width="3.28515625" style="110" customWidth="1"/>
    <col min="5138" max="5376" width="8.42578125" style="110"/>
    <col min="5377" max="5377" width="10" style="110" bestFit="1" customWidth="1"/>
    <col min="5378" max="5378" width="44.28515625" style="110" bestFit="1" customWidth="1"/>
    <col min="5379" max="5379" width="10.42578125" style="110" bestFit="1" customWidth="1"/>
    <col min="5380" max="5380" width="10.42578125" style="110" customWidth="1"/>
    <col min="5381" max="5381" width="9.7109375" style="110" bestFit="1" customWidth="1"/>
    <col min="5382" max="5383" width="9.5703125" style="110" bestFit="1" customWidth="1"/>
    <col min="5384" max="5384" width="10.42578125" style="110" bestFit="1" customWidth="1"/>
    <col min="5385" max="5385" width="4.5703125" style="110" customWidth="1"/>
    <col min="5386" max="5386" width="1.7109375" style="110" customWidth="1"/>
    <col min="5387" max="5387" width="7" style="110" bestFit="1" customWidth="1"/>
    <col min="5388" max="5388" width="6.28515625" style="110" customWidth="1"/>
    <col min="5389" max="5389" width="20.42578125" style="110" customWidth="1"/>
    <col min="5390" max="5390" width="6.42578125" style="110" bestFit="1" customWidth="1"/>
    <col min="5391" max="5392" width="8.42578125" style="110"/>
    <col min="5393" max="5393" width="3.28515625" style="110" customWidth="1"/>
    <col min="5394" max="5632" width="8.42578125" style="110"/>
    <col min="5633" max="5633" width="10" style="110" bestFit="1" customWidth="1"/>
    <col min="5634" max="5634" width="44.28515625" style="110" bestFit="1" customWidth="1"/>
    <col min="5635" max="5635" width="10.42578125" style="110" bestFit="1" customWidth="1"/>
    <col min="5636" max="5636" width="10.42578125" style="110" customWidth="1"/>
    <col min="5637" max="5637" width="9.7109375" style="110" bestFit="1" customWidth="1"/>
    <col min="5638" max="5639" width="9.5703125" style="110" bestFit="1" customWidth="1"/>
    <col min="5640" max="5640" width="10.42578125" style="110" bestFit="1" customWidth="1"/>
    <col min="5641" max="5641" width="4.5703125" style="110" customWidth="1"/>
    <col min="5642" max="5642" width="1.7109375" style="110" customWidth="1"/>
    <col min="5643" max="5643" width="7" style="110" bestFit="1" customWidth="1"/>
    <col min="5644" max="5644" width="6.28515625" style="110" customWidth="1"/>
    <col min="5645" max="5645" width="20.42578125" style="110" customWidth="1"/>
    <col min="5646" max="5646" width="6.42578125" style="110" bestFit="1" customWidth="1"/>
    <col min="5647" max="5648" width="8.42578125" style="110"/>
    <col min="5649" max="5649" width="3.28515625" style="110" customWidth="1"/>
    <col min="5650" max="5888" width="8.42578125" style="110"/>
    <col min="5889" max="5889" width="10" style="110" bestFit="1" customWidth="1"/>
    <col min="5890" max="5890" width="44.28515625" style="110" bestFit="1" customWidth="1"/>
    <col min="5891" max="5891" width="10.42578125" style="110" bestFit="1" customWidth="1"/>
    <col min="5892" max="5892" width="10.42578125" style="110" customWidth="1"/>
    <col min="5893" max="5893" width="9.7109375" style="110" bestFit="1" customWidth="1"/>
    <col min="5894" max="5895" width="9.5703125" style="110" bestFit="1" customWidth="1"/>
    <col min="5896" max="5896" width="10.42578125" style="110" bestFit="1" customWidth="1"/>
    <col min="5897" max="5897" width="4.5703125" style="110" customWidth="1"/>
    <col min="5898" max="5898" width="1.7109375" style="110" customWidth="1"/>
    <col min="5899" max="5899" width="7" style="110" bestFit="1" customWidth="1"/>
    <col min="5900" max="5900" width="6.28515625" style="110" customWidth="1"/>
    <col min="5901" max="5901" width="20.42578125" style="110" customWidth="1"/>
    <col min="5902" max="5902" width="6.42578125" style="110" bestFit="1" customWidth="1"/>
    <col min="5903" max="5904" width="8.42578125" style="110"/>
    <col min="5905" max="5905" width="3.28515625" style="110" customWidth="1"/>
    <col min="5906" max="6144" width="8.42578125" style="110"/>
    <col min="6145" max="6145" width="10" style="110" bestFit="1" customWidth="1"/>
    <col min="6146" max="6146" width="44.28515625" style="110" bestFit="1" customWidth="1"/>
    <col min="6147" max="6147" width="10.42578125" style="110" bestFit="1" customWidth="1"/>
    <col min="6148" max="6148" width="10.42578125" style="110" customWidth="1"/>
    <col min="6149" max="6149" width="9.7109375" style="110" bestFit="1" customWidth="1"/>
    <col min="6150" max="6151" width="9.5703125" style="110" bestFit="1" customWidth="1"/>
    <col min="6152" max="6152" width="10.42578125" style="110" bestFit="1" customWidth="1"/>
    <col min="6153" max="6153" width="4.5703125" style="110" customWidth="1"/>
    <col min="6154" max="6154" width="1.7109375" style="110" customWidth="1"/>
    <col min="6155" max="6155" width="7" style="110" bestFit="1" customWidth="1"/>
    <col min="6156" max="6156" width="6.28515625" style="110" customWidth="1"/>
    <col min="6157" max="6157" width="20.42578125" style="110" customWidth="1"/>
    <col min="6158" max="6158" width="6.42578125" style="110" bestFit="1" customWidth="1"/>
    <col min="6159" max="6160" width="8.42578125" style="110"/>
    <col min="6161" max="6161" width="3.28515625" style="110" customWidth="1"/>
    <col min="6162" max="6400" width="8.42578125" style="110"/>
    <col min="6401" max="6401" width="10" style="110" bestFit="1" customWidth="1"/>
    <col min="6402" max="6402" width="44.28515625" style="110" bestFit="1" customWidth="1"/>
    <col min="6403" max="6403" width="10.42578125" style="110" bestFit="1" customWidth="1"/>
    <col min="6404" max="6404" width="10.42578125" style="110" customWidth="1"/>
    <col min="6405" max="6405" width="9.7109375" style="110" bestFit="1" customWidth="1"/>
    <col min="6406" max="6407" width="9.5703125" style="110" bestFit="1" customWidth="1"/>
    <col min="6408" max="6408" width="10.42578125" style="110" bestFit="1" customWidth="1"/>
    <col min="6409" max="6409" width="4.5703125" style="110" customWidth="1"/>
    <col min="6410" max="6410" width="1.7109375" style="110" customWidth="1"/>
    <col min="6411" max="6411" width="7" style="110" bestFit="1" customWidth="1"/>
    <col min="6412" max="6412" width="6.28515625" style="110" customWidth="1"/>
    <col min="6413" max="6413" width="20.42578125" style="110" customWidth="1"/>
    <col min="6414" max="6414" width="6.42578125" style="110" bestFit="1" customWidth="1"/>
    <col min="6415" max="6416" width="8.42578125" style="110"/>
    <col min="6417" max="6417" width="3.28515625" style="110" customWidth="1"/>
    <col min="6418" max="6656" width="8.42578125" style="110"/>
    <col min="6657" max="6657" width="10" style="110" bestFit="1" customWidth="1"/>
    <col min="6658" max="6658" width="44.28515625" style="110" bestFit="1" customWidth="1"/>
    <col min="6659" max="6659" width="10.42578125" style="110" bestFit="1" customWidth="1"/>
    <col min="6660" max="6660" width="10.42578125" style="110" customWidth="1"/>
    <col min="6661" max="6661" width="9.7109375" style="110" bestFit="1" customWidth="1"/>
    <col min="6662" max="6663" width="9.5703125" style="110" bestFit="1" customWidth="1"/>
    <col min="6664" max="6664" width="10.42578125" style="110" bestFit="1" customWidth="1"/>
    <col min="6665" max="6665" width="4.5703125" style="110" customWidth="1"/>
    <col min="6666" max="6666" width="1.7109375" style="110" customWidth="1"/>
    <col min="6667" max="6667" width="7" style="110" bestFit="1" customWidth="1"/>
    <col min="6668" max="6668" width="6.28515625" style="110" customWidth="1"/>
    <col min="6669" max="6669" width="20.42578125" style="110" customWidth="1"/>
    <col min="6670" max="6670" width="6.42578125" style="110" bestFit="1" customWidth="1"/>
    <col min="6671" max="6672" width="8.42578125" style="110"/>
    <col min="6673" max="6673" width="3.28515625" style="110" customWidth="1"/>
    <col min="6674" max="6912" width="8.42578125" style="110"/>
    <col min="6913" max="6913" width="10" style="110" bestFit="1" customWidth="1"/>
    <col min="6914" max="6914" width="44.28515625" style="110" bestFit="1" customWidth="1"/>
    <col min="6915" max="6915" width="10.42578125" style="110" bestFit="1" customWidth="1"/>
    <col min="6916" max="6916" width="10.42578125" style="110" customWidth="1"/>
    <col min="6917" max="6917" width="9.7109375" style="110" bestFit="1" customWidth="1"/>
    <col min="6918" max="6919" width="9.5703125" style="110" bestFit="1" customWidth="1"/>
    <col min="6920" max="6920" width="10.42578125" style="110" bestFit="1" customWidth="1"/>
    <col min="6921" max="6921" width="4.5703125" style="110" customWidth="1"/>
    <col min="6922" max="6922" width="1.7109375" style="110" customWidth="1"/>
    <col min="6923" max="6923" width="7" style="110" bestFit="1" customWidth="1"/>
    <col min="6924" max="6924" width="6.28515625" style="110" customWidth="1"/>
    <col min="6925" max="6925" width="20.42578125" style="110" customWidth="1"/>
    <col min="6926" max="6926" width="6.42578125" style="110" bestFit="1" customWidth="1"/>
    <col min="6927" max="6928" width="8.42578125" style="110"/>
    <col min="6929" max="6929" width="3.28515625" style="110" customWidth="1"/>
    <col min="6930" max="7168" width="8.42578125" style="110"/>
    <col min="7169" max="7169" width="10" style="110" bestFit="1" customWidth="1"/>
    <col min="7170" max="7170" width="44.28515625" style="110" bestFit="1" customWidth="1"/>
    <col min="7171" max="7171" width="10.42578125" style="110" bestFit="1" customWidth="1"/>
    <col min="7172" max="7172" width="10.42578125" style="110" customWidth="1"/>
    <col min="7173" max="7173" width="9.7109375" style="110" bestFit="1" customWidth="1"/>
    <col min="7174" max="7175" width="9.5703125" style="110" bestFit="1" customWidth="1"/>
    <col min="7176" max="7176" width="10.42578125" style="110" bestFit="1" customWidth="1"/>
    <col min="7177" max="7177" width="4.5703125" style="110" customWidth="1"/>
    <col min="7178" max="7178" width="1.7109375" style="110" customWidth="1"/>
    <col min="7179" max="7179" width="7" style="110" bestFit="1" customWidth="1"/>
    <col min="7180" max="7180" width="6.28515625" style="110" customWidth="1"/>
    <col min="7181" max="7181" width="20.42578125" style="110" customWidth="1"/>
    <col min="7182" max="7182" width="6.42578125" style="110" bestFit="1" customWidth="1"/>
    <col min="7183" max="7184" width="8.42578125" style="110"/>
    <col min="7185" max="7185" width="3.28515625" style="110" customWidth="1"/>
    <col min="7186" max="7424" width="8.42578125" style="110"/>
    <col min="7425" max="7425" width="10" style="110" bestFit="1" customWidth="1"/>
    <col min="7426" max="7426" width="44.28515625" style="110" bestFit="1" customWidth="1"/>
    <col min="7427" max="7427" width="10.42578125" style="110" bestFit="1" customWidth="1"/>
    <col min="7428" max="7428" width="10.42578125" style="110" customWidth="1"/>
    <col min="7429" max="7429" width="9.7109375" style="110" bestFit="1" customWidth="1"/>
    <col min="7430" max="7431" width="9.5703125" style="110" bestFit="1" customWidth="1"/>
    <col min="7432" max="7432" width="10.42578125" style="110" bestFit="1" customWidth="1"/>
    <col min="7433" max="7433" width="4.5703125" style="110" customWidth="1"/>
    <col min="7434" max="7434" width="1.7109375" style="110" customWidth="1"/>
    <col min="7435" max="7435" width="7" style="110" bestFit="1" customWidth="1"/>
    <col min="7436" max="7436" width="6.28515625" style="110" customWidth="1"/>
    <col min="7437" max="7437" width="20.42578125" style="110" customWidth="1"/>
    <col min="7438" max="7438" width="6.42578125" style="110" bestFit="1" customWidth="1"/>
    <col min="7439" max="7440" width="8.42578125" style="110"/>
    <col min="7441" max="7441" width="3.28515625" style="110" customWidth="1"/>
    <col min="7442" max="7680" width="8.42578125" style="110"/>
    <col min="7681" max="7681" width="10" style="110" bestFit="1" customWidth="1"/>
    <col min="7682" max="7682" width="44.28515625" style="110" bestFit="1" customWidth="1"/>
    <col min="7683" max="7683" width="10.42578125" style="110" bestFit="1" customWidth="1"/>
    <col min="7684" max="7684" width="10.42578125" style="110" customWidth="1"/>
    <col min="7685" max="7685" width="9.7109375" style="110" bestFit="1" customWidth="1"/>
    <col min="7686" max="7687" width="9.5703125" style="110" bestFit="1" customWidth="1"/>
    <col min="7688" max="7688" width="10.42578125" style="110" bestFit="1" customWidth="1"/>
    <col min="7689" max="7689" width="4.5703125" style="110" customWidth="1"/>
    <col min="7690" max="7690" width="1.7109375" style="110" customWidth="1"/>
    <col min="7691" max="7691" width="7" style="110" bestFit="1" customWidth="1"/>
    <col min="7692" max="7692" width="6.28515625" style="110" customWidth="1"/>
    <col min="7693" max="7693" width="20.42578125" style="110" customWidth="1"/>
    <col min="7694" max="7694" width="6.42578125" style="110" bestFit="1" customWidth="1"/>
    <col min="7695" max="7696" width="8.42578125" style="110"/>
    <col min="7697" max="7697" width="3.28515625" style="110" customWidth="1"/>
    <col min="7698" max="7936" width="8.42578125" style="110"/>
    <col min="7937" max="7937" width="10" style="110" bestFit="1" customWidth="1"/>
    <col min="7938" max="7938" width="44.28515625" style="110" bestFit="1" customWidth="1"/>
    <col min="7939" max="7939" width="10.42578125" style="110" bestFit="1" customWidth="1"/>
    <col min="7940" max="7940" width="10.42578125" style="110" customWidth="1"/>
    <col min="7941" max="7941" width="9.7109375" style="110" bestFit="1" customWidth="1"/>
    <col min="7942" max="7943" width="9.5703125" style="110" bestFit="1" customWidth="1"/>
    <col min="7944" max="7944" width="10.42578125" style="110" bestFit="1" customWidth="1"/>
    <col min="7945" max="7945" width="4.5703125" style="110" customWidth="1"/>
    <col min="7946" max="7946" width="1.7109375" style="110" customWidth="1"/>
    <col min="7947" max="7947" width="7" style="110" bestFit="1" customWidth="1"/>
    <col min="7948" max="7948" width="6.28515625" style="110" customWidth="1"/>
    <col min="7949" max="7949" width="20.42578125" style="110" customWidth="1"/>
    <col min="7950" max="7950" width="6.42578125" style="110" bestFit="1" customWidth="1"/>
    <col min="7951" max="7952" width="8.42578125" style="110"/>
    <col min="7953" max="7953" width="3.28515625" style="110" customWidth="1"/>
    <col min="7954" max="8192" width="8.42578125" style="110"/>
    <col min="8193" max="8193" width="10" style="110" bestFit="1" customWidth="1"/>
    <col min="8194" max="8194" width="44.28515625" style="110" bestFit="1" customWidth="1"/>
    <col min="8195" max="8195" width="10.42578125" style="110" bestFit="1" customWidth="1"/>
    <col min="8196" max="8196" width="10.42578125" style="110" customWidth="1"/>
    <col min="8197" max="8197" width="9.7109375" style="110" bestFit="1" customWidth="1"/>
    <col min="8198" max="8199" width="9.5703125" style="110" bestFit="1" customWidth="1"/>
    <col min="8200" max="8200" width="10.42578125" style="110" bestFit="1" customWidth="1"/>
    <col min="8201" max="8201" width="4.5703125" style="110" customWidth="1"/>
    <col min="8202" max="8202" width="1.7109375" style="110" customWidth="1"/>
    <col min="8203" max="8203" width="7" style="110" bestFit="1" customWidth="1"/>
    <col min="8204" max="8204" width="6.28515625" style="110" customWidth="1"/>
    <col min="8205" max="8205" width="20.42578125" style="110" customWidth="1"/>
    <col min="8206" max="8206" width="6.42578125" style="110" bestFit="1" customWidth="1"/>
    <col min="8207" max="8208" width="8.42578125" style="110"/>
    <col min="8209" max="8209" width="3.28515625" style="110" customWidth="1"/>
    <col min="8210" max="8448" width="8.42578125" style="110"/>
    <col min="8449" max="8449" width="10" style="110" bestFit="1" customWidth="1"/>
    <col min="8450" max="8450" width="44.28515625" style="110" bestFit="1" customWidth="1"/>
    <col min="8451" max="8451" width="10.42578125" style="110" bestFit="1" customWidth="1"/>
    <col min="8452" max="8452" width="10.42578125" style="110" customWidth="1"/>
    <col min="8453" max="8453" width="9.7109375" style="110" bestFit="1" customWidth="1"/>
    <col min="8454" max="8455" width="9.5703125" style="110" bestFit="1" customWidth="1"/>
    <col min="8456" max="8456" width="10.42578125" style="110" bestFit="1" customWidth="1"/>
    <col min="8457" max="8457" width="4.5703125" style="110" customWidth="1"/>
    <col min="8458" max="8458" width="1.7109375" style="110" customWidth="1"/>
    <col min="8459" max="8459" width="7" style="110" bestFit="1" customWidth="1"/>
    <col min="8460" max="8460" width="6.28515625" style="110" customWidth="1"/>
    <col min="8461" max="8461" width="20.42578125" style="110" customWidth="1"/>
    <col min="8462" max="8462" width="6.42578125" style="110" bestFit="1" customWidth="1"/>
    <col min="8463" max="8464" width="8.42578125" style="110"/>
    <col min="8465" max="8465" width="3.28515625" style="110" customWidth="1"/>
    <col min="8466" max="8704" width="8.42578125" style="110"/>
    <col min="8705" max="8705" width="10" style="110" bestFit="1" customWidth="1"/>
    <col min="8706" max="8706" width="44.28515625" style="110" bestFit="1" customWidth="1"/>
    <col min="8707" max="8707" width="10.42578125" style="110" bestFit="1" customWidth="1"/>
    <col min="8708" max="8708" width="10.42578125" style="110" customWidth="1"/>
    <col min="8709" max="8709" width="9.7109375" style="110" bestFit="1" customWidth="1"/>
    <col min="8710" max="8711" width="9.5703125" style="110" bestFit="1" customWidth="1"/>
    <col min="8712" max="8712" width="10.42578125" style="110" bestFit="1" customWidth="1"/>
    <col min="8713" max="8713" width="4.5703125" style="110" customWidth="1"/>
    <col min="8714" max="8714" width="1.7109375" style="110" customWidth="1"/>
    <col min="8715" max="8715" width="7" style="110" bestFit="1" customWidth="1"/>
    <col min="8716" max="8716" width="6.28515625" style="110" customWidth="1"/>
    <col min="8717" max="8717" width="20.42578125" style="110" customWidth="1"/>
    <col min="8718" max="8718" width="6.42578125" style="110" bestFit="1" customWidth="1"/>
    <col min="8719" max="8720" width="8.42578125" style="110"/>
    <col min="8721" max="8721" width="3.28515625" style="110" customWidth="1"/>
    <col min="8722" max="8960" width="8.42578125" style="110"/>
    <col min="8961" max="8961" width="10" style="110" bestFit="1" customWidth="1"/>
    <col min="8962" max="8962" width="44.28515625" style="110" bestFit="1" customWidth="1"/>
    <col min="8963" max="8963" width="10.42578125" style="110" bestFit="1" customWidth="1"/>
    <col min="8964" max="8964" width="10.42578125" style="110" customWidth="1"/>
    <col min="8965" max="8965" width="9.7109375" style="110" bestFit="1" customWidth="1"/>
    <col min="8966" max="8967" width="9.5703125" style="110" bestFit="1" customWidth="1"/>
    <col min="8968" max="8968" width="10.42578125" style="110" bestFit="1" customWidth="1"/>
    <col min="8969" max="8969" width="4.5703125" style="110" customWidth="1"/>
    <col min="8970" max="8970" width="1.7109375" style="110" customWidth="1"/>
    <col min="8971" max="8971" width="7" style="110" bestFit="1" customWidth="1"/>
    <col min="8972" max="8972" width="6.28515625" style="110" customWidth="1"/>
    <col min="8973" max="8973" width="20.42578125" style="110" customWidth="1"/>
    <col min="8974" max="8974" width="6.42578125" style="110" bestFit="1" customWidth="1"/>
    <col min="8975" max="8976" width="8.42578125" style="110"/>
    <col min="8977" max="8977" width="3.28515625" style="110" customWidth="1"/>
    <col min="8978" max="9216" width="8.42578125" style="110"/>
    <col min="9217" max="9217" width="10" style="110" bestFit="1" customWidth="1"/>
    <col min="9218" max="9218" width="44.28515625" style="110" bestFit="1" customWidth="1"/>
    <col min="9219" max="9219" width="10.42578125" style="110" bestFit="1" customWidth="1"/>
    <col min="9220" max="9220" width="10.42578125" style="110" customWidth="1"/>
    <col min="9221" max="9221" width="9.7109375" style="110" bestFit="1" customWidth="1"/>
    <col min="9222" max="9223" width="9.5703125" style="110" bestFit="1" customWidth="1"/>
    <col min="9224" max="9224" width="10.42578125" style="110" bestFit="1" customWidth="1"/>
    <col min="9225" max="9225" width="4.5703125" style="110" customWidth="1"/>
    <col min="9226" max="9226" width="1.7109375" style="110" customWidth="1"/>
    <col min="9227" max="9227" width="7" style="110" bestFit="1" customWidth="1"/>
    <col min="9228" max="9228" width="6.28515625" style="110" customWidth="1"/>
    <col min="9229" max="9229" width="20.42578125" style="110" customWidth="1"/>
    <col min="9230" max="9230" width="6.42578125" style="110" bestFit="1" customWidth="1"/>
    <col min="9231" max="9232" width="8.42578125" style="110"/>
    <col min="9233" max="9233" width="3.28515625" style="110" customWidth="1"/>
    <col min="9234" max="9472" width="8.42578125" style="110"/>
    <col min="9473" max="9473" width="10" style="110" bestFit="1" customWidth="1"/>
    <col min="9474" max="9474" width="44.28515625" style="110" bestFit="1" customWidth="1"/>
    <col min="9475" max="9475" width="10.42578125" style="110" bestFit="1" customWidth="1"/>
    <col min="9476" max="9476" width="10.42578125" style="110" customWidth="1"/>
    <col min="9477" max="9477" width="9.7109375" style="110" bestFit="1" customWidth="1"/>
    <col min="9478" max="9479" width="9.5703125" style="110" bestFit="1" customWidth="1"/>
    <col min="9480" max="9480" width="10.42578125" style="110" bestFit="1" customWidth="1"/>
    <col min="9481" max="9481" width="4.5703125" style="110" customWidth="1"/>
    <col min="9482" max="9482" width="1.7109375" style="110" customWidth="1"/>
    <col min="9483" max="9483" width="7" style="110" bestFit="1" customWidth="1"/>
    <col min="9484" max="9484" width="6.28515625" style="110" customWidth="1"/>
    <col min="9485" max="9485" width="20.42578125" style="110" customWidth="1"/>
    <col min="9486" max="9486" width="6.42578125" style="110" bestFit="1" customWidth="1"/>
    <col min="9487" max="9488" width="8.42578125" style="110"/>
    <col min="9489" max="9489" width="3.28515625" style="110" customWidth="1"/>
    <col min="9490" max="9728" width="8.42578125" style="110"/>
    <col min="9729" max="9729" width="10" style="110" bestFit="1" customWidth="1"/>
    <col min="9730" max="9730" width="44.28515625" style="110" bestFit="1" customWidth="1"/>
    <col min="9731" max="9731" width="10.42578125" style="110" bestFit="1" customWidth="1"/>
    <col min="9732" max="9732" width="10.42578125" style="110" customWidth="1"/>
    <col min="9733" max="9733" width="9.7109375" style="110" bestFit="1" customWidth="1"/>
    <col min="9734" max="9735" width="9.5703125" style="110" bestFit="1" customWidth="1"/>
    <col min="9736" max="9736" width="10.42578125" style="110" bestFit="1" customWidth="1"/>
    <col min="9737" max="9737" width="4.5703125" style="110" customWidth="1"/>
    <col min="9738" max="9738" width="1.7109375" style="110" customWidth="1"/>
    <col min="9739" max="9739" width="7" style="110" bestFit="1" customWidth="1"/>
    <col min="9740" max="9740" width="6.28515625" style="110" customWidth="1"/>
    <col min="9741" max="9741" width="20.42578125" style="110" customWidth="1"/>
    <col min="9742" max="9742" width="6.42578125" style="110" bestFit="1" customWidth="1"/>
    <col min="9743" max="9744" width="8.42578125" style="110"/>
    <col min="9745" max="9745" width="3.28515625" style="110" customWidth="1"/>
    <col min="9746" max="9984" width="8.42578125" style="110"/>
    <col min="9985" max="9985" width="10" style="110" bestFit="1" customWidth="1"/>
    <col min="9986" max="9986" width="44.28515625" style="110" bestFit="1" customWidth="1"/>
    <col min="9987" max="9987" width="10.42578125" style="110" bestFit="1" customWidth="1"/>
    <col min="9988" max="9988" width="10.42578125" style="110" customWidth="1"/>
    <col min="9989" max="9989" width="9.7109375" style="110" bestFit="1" customWidth="1"/>
    <col min="9990" max="9991" width="9.5703125" style="110" bestFit="1" customWidth="1"/>
    <col min="9992" max="9992" width="10.42578125" style="110" bestFit="1" customWidth="1"/>
    <col min="9993" max="9993" width="4.5703125" style="110" customWidth="1"/>
    <col min="9994" max="9994" width="1.7109375" style="110" customWidth="1"/>
    <col min="9995" max="9995" width="7" style="110" bestFit="1" customWidth="1"/>
    <col min="9996" max="9996" width="6.28515625" style="110" customWidth="1"/>
    <col min="9997" max="9997" width="20.42578125" style="110" customWidth="1"/>
    <col min="9998" max="9998" width="6.42578125" style="110" bestFit="1" customWidth="1"/>
    <col min="9999" max="10000" width="8.42578125" style="110"/>
    <col min="10001" max="10001" width="3.28515625" style="110" customWidth="1"/>
    <col min="10002" max="10240" width="8.42578125" style="110"/>
    <col min="10241" max="10241" width="10" style="110" bestFit="1" customWidth="1"/>
    <col min="10242" max="10242" width="44.28515625" style="110" bestFit="1" customWidth="1"/>
    <col min="10243" max="10243" width="10.42578125" style="110" bestFit="1" customWidth="1"/>
    <col min="10244" max="10244" width="10.42578125" style="110" customWidth="1"/>
    <col min="10245" max="10245" width="9.7109375" style="110" bestFit="1" customWidth="1"/>
    <col min="10246" max="10247" width="9.5703125" style="110" bestFit="1" customWidth="1"/>
    <col min="10248" max="10248" width="10.42578125" style="110" bestFit="1" customWidth="1"/>
    <col min="10249" max="10249" width="4.5703125" style="110" customWidth="1"/>
    <col min="10250" max="10250" width="1.7109375" style="110" customWidth="1"/>
    <col min="10251" max="10251" width="7" style="110" bestFit="1" customWidth="1"/>
    <col min="10252" max="10252" width="6.28515625" style="110" customWidth="1"/>
    <col min="10253" max="10253" width="20.42578125" style="110" customWidth="1"/>
    <col min="10254" max="10254" width="6.42578125" style="110" bestFit="1" customWidth="1"/>
    <col min="10255" max="10256" width="8.42578125" style="110"/>
    <col min="10257" max="10257" width="3.28515625" style="110" customWidth="1"/>
    <col min="10258" max="10496" width="8.42578125" style="110"/>
    <col min="10497" max="10497" width="10" style="110" bestFit="1" customWidth="1"/>
    <col min="10498" max="10498" width="44.28515625" style="110" bestFit="1" customWidth="1"/>
    <col min="10499" max="10499" width="10.42578125" style="110" bestFit="1" customWidth="1"/>
    <col min="10500" max="10500" width="10.42578125" style="110" customWidth="1"/>
    <col min="10501" max="10501" width="9.7109375" style="110" bestFit="1" customWidth="1"/>
    <col min="10502" max="10503" width="9.5703125" style="110" bestFit="1" customWidth="1"/>
    <col min="10504" max="10504" width="10.42578125" style="110" bestFit="1" customWidth="1"/>
    <col min="10505" max="10505" width="4.5703125" style="110" customWidth="1"/>
    <col min="10506" max="10506" width="1.7109375" style="110" customWidth="1"/>
    <col min="10507" max="10507" width="7" style="110" bestFit="1" customWidth="1"/>
    <col min="10508" max="10508" width="6.28515625" style="110" customWidth="1"/>
    <col min="10509" max="10509" width="20.42578125" style="110" customWidth="1"/>
    <col min="10510" max="10510" width="6.42578125" style="110" bestFit="1" customWidth="1"/>
    <col min="10511" max="10512" width="8.42578125" style="110"/>
    <col min="10513" max="10513" width="3.28515625" style="110" customWidth="1"/>
    <col min="10514" max="10752" width="8.42578125" style="110"/>
    <col min="10753" max="10753" width="10" style="110" bestFit="1" customWidth="1"/>
    <col min="10754" max="10754" width="44.28515625" style="110" bestFit="1" customWidth="1"/>
    <col min="10755" max="10755" width="10.42578125" style="110" bestFit="1" customWidth="1"/>
    <col min="10756" max="10756" width="10.42578125" style="110" customWidth="1"/>
    <col min="10757" max="10757" width="9.7109375" style="110" bestFit="1" customWidth="1"/>
    <col min="10758" max="10759" width="9.5703125" style="110" bestFit="1" customWidth="1"/>
    <col min="10760" max="10760" width="10.42578125" style="110" bestFit="1" customWidth="1"/>
    <col min="10761" max="10761" width="4.5703125" style="110" customWidth="1"/>
    <col min="10762" max="10762" width="1.7109375" style="110" customWidth="1"/>
    <col min="10763" max="10763" width="7" style="110" bestFit="1" customWidth="1"/>
    <col min="10764" max="10764" width="6.28515625" style="110" customWidth="1"/>
    <col min="10765" max="10765" width="20.42578125" style="110" customWidth="1"/>
    <col min="10766" max="10766" width="6.42578125" style="110" bestFit="1" customWidth="1"/>
    <col min="10767" max="10768" width="8.42578125" style="110"/>
    <col min="10769" max="10769" width="3.28515625" style="110" customWidth="1"/>
    <col min="10770" max="11008" width="8.42578125" style="110"/>
    <col min="11009" max="11009" width="10" style="110" bestFit="1" customWidth="1"/>
    <col min="11010" max="11010" width="44.28515625" style="110" bestFit="1" customWidth="1"/>
    <col min="11011" max="11011" width="10.42578125" style="110" bestFit="1" customWidth="1"/>
    <col min="11012" max="11012" width="10.42578125" style="110" customWidth="1"/>
    <col min="11013" max="11013" width="9.7109375" style="110" bestFit="1" customWidth="1"/>
    <col min="11014" max="11015" width="9.5703125" style="110" bestFit="1" customWidth="1"/>
    <col min="11016" max="11016" width="10.42578125" style="110" bestFit="1" customWidth="1"/>
    <col min="11017" max="11017" width="4.5703125" style="110" customWidth="1"/>
    <col min="11018" max="11018" width="1.7109375" style="110" customWidth="1"/>
    <col min="11019" max="11019" width="7" style="110" bestFit="1" customWidth="1"/>
    <col min="11020" max="11020" width="6.28515625" style="110" customWidth="1"/>
    <col min="11021" max="11021" width="20.42578125" style="110" customWidth="1"/>
    <col min="11022" max="11022" width="6.42578125" style="110" bestFit="1" customWidth="1"/>
    <col min="11023" max="11024" width="8.42578125" style="110"/>
    <col min="11025" max="11025" width="3.28515625" style="110" customWidth="1"/>
    <col min="11026" max="11264" width="8.42578125" style="110"/>
    <col min="11265" max="11265" width="10" style="110" bestFit="1" customWidth="1"/>
    <col min="11266" max="11266" width="44.28515625" style="110" bestFit="1" customWidth="1"/>
    <col min="11267" max="11267" width="10.42578125" style="110" bestFit="1" customWidth="1"/>
    <col min="11268" max="11268" width="10.42578125" style="110" customWidth="1"/>
    <col min="11269" max="11269" width="9.7109375" style="110" bestFit="1" customWidth="1"/>
    <col min="11270" max="11271" width="9.5703125" style="110" bestFit="1" customWidth="1"/>
    <col min="11272" max="11272" width="10.42578125" style="110" bestFit="1" customWidth="1"/>
    <col min="11273" max="11273" width="4.5703125" style="110" customWidth="1"/>
    <col min="11274" max="11274" width="1.7109375" style="110" customWidth="1"/>
    <col min="11275" max="11275" width="7" style="110" bestFit="1" customWidth="1"/>
    <col min="11276" max="11276" width="6.28515625" style="110" customWidth="1"/>
    <col min="11277" max="11277" width="20.42578125" style="110" customWidth="1"/>
    <col min="11278" max="11278" width="6.42578125" style="110" bestFit="1" customWidth="1"/>
    <col min="11279" max="11280" width="8.42578125" style="110"/>
    <col min="11281" max="11281" width="3.28515625" style="110" customWidth="1"/>
    <col min="11282" max="11520" width="8.42578125" style="110"/>
    <col min="11521" max="11521" width="10" style="110" bestFit="1" customWidth="1"/>
    <col min="11522" max="11522" width="44.28515625" style="110" bestFit="1" customWidth="1"/>
    <col min="11523" max="11523" width="10.42578125" style="110" bestFit="1" customWidth="1"/>
    <col min="11524" max="11524" width="10.42578125" style="110" customWidth="1"/>
    <col min="11525" max="11525" width="9.7109375" style="110" bestFit="1" customWidth="1"/>
    <col min="11526" max="11527" width="9.5703125" style="110" bestFit="1" customWidth="1"/>
    <col min="11528" max="11528" width="10.42578125" style="110" bestFit="1" customWidth="1"/>
    <col min="11529" max="11529" width="4.5703125" style="110" customWidth="1"/>
    <col min="11530" max="11530" width="1.7109375" style="110" customWidth="1"/>
    <col min="11531" max="11531" width="7" style="110" bestFit="1" customWidth="1"/>
    <col min="11532" max="11532" width="6.28515625" style="110" customWidth="1"/>
    <col min="11533" max="11533" width="20.42578125" style="110" customWidth="1"/>
    <col min="11534" max="11534" width="6.42578125" style="110" bestFit="1" customWidth="1"/>
    <col min="11535" max="11536" width="8.42578125" style="110"/>
    <col min="11537" max="11537" width="3.28515625" style="110" customWidth="1"/>
    <col min="11538" max="11776" width="8.42578125" style="110"/>
    <col min="11777" max="11777" width="10" style="110" bestFit="1" customWidth="1"/>
    <col min="11778" max="11778" width="44.28515625" style="110" bestFit="1" customWidth="1"/>
    <col min="11779" max="11779" width="10.42578125" style="110" bestFit="1" customWidth="1"/>
    <col min="11780" max="11780" width="10.42578125" style="110" customWidth="1"/>
    <col min="11781" max="11781" width="9.7109375" style="110" bestFit="1" customWidth="1"/>
    <col min="11782" max="11783" width="9.5703125" style="110" bestFit="1" customWidth="1"/>
    <col min="11784" max="11784" width="10.42578125" style="110" bestFit="1" customWidth="1"/>
    <col min="11785" max="11785" width="4.5703125" style="110" customWidth="1"/>
    <col min="11786" max="11786" width="1.7109375" style="110" customWidth="1"/>
    <col min="11787" max="11787" width="7" style="110" bestFit="1" customWidth="1"/>
    <col min="11788" max="11788" width="6.28515625" style="110" customWidth="1"/>
    <col min="11789" max="11789" width="20.42578125" style="110" customWidth="1"/>
    <col min="11790" max="11790" width="6.42578125" style="110" bestFit="1" customWidth="1"/>
    <col min="11791" max="11792" width="8.42578125" style="110"/>
    <col min="11793" max="11793" width="3.28515625" style="110" customWidth="1"/>
    <col min="11794" max="12032" width="8.42578125" style="110"/>
    <col min="12033" max="12033" width="10" style="110" bestFit="1" customWidth="1"/>
    <col min="12034" max="12034" width="44.28515625" style="110" bestFit="1" customWidth="1"/>
    <col min="12035" max="12035" width="10.42578125" style="110" bestFit="1" customWidth="1"/>
    <col min="12036" max="12036" width="10.42578125" style="110" customWidth="1"/>
    <col min="12037" max="12037" width="9.7109375" style="110" bestFit="1" customWidth="1"/>
    <col min="12038" max="12039" width="9.5703125" style="110" bestFit="1" customWidth="1"/>
    <col min="12040" max="12040" width="10.42578125" style="110" bestFit="1" customWidth="1"/>
    <col min="12041" max="12041" width="4.5703125" style="110" customWidth="1"/>
    <col min="12042" max="12042" width="1.7109375" style="110" customWidth="1"/>
    <col min="12043" max="12043" width="7" style="110" bestFit="1" customWidth="1"/>
    <col min="12044" max="12044" width="6.28515625" style="110" customWidth="1"/>
    <col min="12045" max="12045" width="20.42578125" style="110" customWidth="1"/>
    <col min="12046" max="12046" width="6.42578125" style="110" bestFit="1" customWidth="1"/>
    <col min="12047" max="12048" width="8.42578125" style="110"/>
    <col min="12049" max="12049" width="3.28515625" style="110" customWidth="1"/>
    <col min="12050" max="12288" width="8.42578125" style="110"/>
    <col min="12289" max="12289" width="10" style="110" bestFit="1" customWidth="1"/>
    <col min="12290" max="12290" width="44.28515625" style="110" bestFit="1" customWidth="1"/>
    <col min="12291" max="12291" width="10.42578125" style="110" bestFit="1" customWidth="1"/>
    <col min="12292" max="12292" width="10.42578125" style="110" customWidth="1"/>
    <col min="12293" max="12293" width="9.7109375" style="110" bestFit="1" customWidth="1"/>
    <col min="12294" max="12295" width="9.5703125" style="110" bestFit="1" customWidth="1"/>
    <col min="12296" max="12296" width="10.42578125" style="110" bestFit="1" customWidth="1"/>
    <col min="12297" max="12297" width="4.5703125" style="110" customWidth="1"/>
    <col min="12298" max="12298" width="1.7109375" style="110" customWidth="1"/>
    <col min="12299" max="12299" width="7" style="110" bestFit="1" customWidth="1"/>
    <col min="12300" max="12300" width="6.28515625" style="110" customWidth="1"/>
    <col min="12301" max="12301" width="20.42578125" style="110" customWidth="1"/>
    <col min="12302" max="12302" width="6.42578125" style="110" bestFit="1" customWidth="1"/>
    <col min="12303" max="12304" width="8.42578125" style="110"/>
    <col min="12305" max="12305" width="3.28515625" style="110" customWidth="1"/>
    <col min="12306" max="12544" width="8.42578125" style="110"/>
    <col min="12545" max="12545" width="10" style="110" bestFit="1" customWidth="1"/>
    <col min="12546" max="12546" width="44.28515625" style="110" bestFit="1" customWidth="1"/>
    <col min="12547" max="12547" width="10.42578125" style="110" bestFit="1" customWidth="1"/>
    <col min="12548" max="12548" width="10.42578125" style="110" customWidth="1"/>
    <col min="12549" max="12549" width="9.7109375" style="110" bestFit="1" customWidth="1"/>
    <col min="12550" max="12551" width="9.5703125" style="110" bestFit="1" customWidth="1"/>
    <col min="12552" max="12552" width="10.42578125" style="110" bestFit="1" customWidth="1"/>
    <col min="12553" max="12553" width="4.5703125" style="110" customWidth="1"/>
    <col min="12554" max="12554" width="1.7109375" style="110" customWidth="1"/>
    <col min="12555" max="12555" width="7" style="110" bestFit="1" customWidth="1"/>
    <col min="12556" max="12556" width="6.28515625" style="110" customWidth="1"/>
    <col min="12557" max="12557" width="20.42578125" style="110" customWidth="1"/>
    <col min="12558" max="12558" width="6.42578125" style="110" bestFit="1" customWidth="1"/>
    <col min="12559" max="12560" width="8.42578125" style="110"/>
    <col min="12561" max="12561" width="3.28515625" style="110" customWidth="1"/>
    <col min="12562" max="12800" width="8.42578125" style="110"/>
    <col min="12801" max="12801" width="10" style="110" bestFit="1" customWidth="1"/>
    <col min="12802" max="12802" width="44.28515625" style="110" bestFit="1" customWidth="1"/>
    <col min="12803" max="12803" width="10.42578125" style="110" bestFit="1" customWidth="1"/>
    <col min="12804" max="12804" width="10.42578125" style="110" customWidth="1"/>
    <col min="12805" max="12805" width="9.7109375" style="110" bestFit="1" customWidth="1"/>
    <col min="12806" max="12807" width="9.5703125" style="110" bestFit="1" customWidth="1"/>
    <col min="12808" max="12808" width="10.42578125" style="110" bestFit="1" customWidth="1"/>
    <col min="12809" max="12809" width="4.5703125" style="110" customWidth="1"/>
    <col min="12810" max="12810" width="1.7109375" style="110" customWidth="1"/>
    <col min="12811" max="12811" width="7" style="110" bestFit="1" customWidth="1"/>
    <col min="12812" max="12812" width="6.28515625" style="110" customWidth="1"/>
    <col min="12813" max="12813" width="20.42578125" style="110" customWidth="1"/>
    <col min="12814" max="12814" width="6.42578125" style="110" bestFit="1" customWidth="1"/>
    <col min="12815" max="12816" width="8.42578125" style="110"/>
    <col min="12817" max="12817" width="3.28515625" style="110" customWidth="1"/>
    <col min="12818" max="13056" width="8.42578125" style="110"/>
    <col min="13057" max="13057" width="10" style="110" bestFit="1" customWidth="1"/>
    <col min="13058" max="13058" width="44.28515625" style="110" bestFit="1" customWidth="1"/>
    <col min="13059" max="13059" width="10.42578125" style="110" bestFit="1" customWidth="1"/>
    <col min="13060" max="13060" width="10.42578125" style="110" customWidth="1"/>
    <col min="13061" max="13061" width="9.7109375" style="110" bestFit="1" customWidth="1"/>
    <col min="13062" max="13063" width="9.5703125" style="110" bestFit="1" customWidth="1"/>
    <col min="13064" max="13064" width="10.42578125" style="110" bestFit="1" customWidth="1"/>
    <col min="13065" max="13065" width="4.5703125" style="110" customWidth="1"/>
    <col min="13066" max="13066" width="1.7109375" style="110" customWidth="1"/>
    <col min="13067" max="13067" width="7" style="110" bestFit="1" customWidth="1"/>
    <col min="13068" max="13068" width="6.28515625" style="110" customWidth="1"/>
    <col min="13069" max="13069" width="20.42578125" style="110" customWidth="1"/>
    <col min="13070" max="13070" width="6.42578125" style="110" bestFit="1" customWidth="1"/>
    <col min="13071" max="13072" width="8.42578125" style="110"/>
    <col min="13073" max="13073" width="3.28515625" style="110" customWidth="1"/>
    <col min="13074" max="13312" width="8.42578125" style="110"/>
    <col min="13313" max="13313" width="10" style="110" bestFit="1" customWidth="1"/>
    <col min="13314" max="13314" width="44.28515625" style="110" bestFit="1" customWidth="1"/>
    <col min="13315" max="13315" width="10.42578125" style="110" bestFit="1" customWidth="1"/>
    <col min="13316" max="13316" width="10.42578125" style="110" customWidth="1"/>
    <col min="13317" max="13317" width="9.7109375" style="110" bestFit="1" customWidth="1"/>
    <col min="13318" max="13319" width="9.5703125" style="110" bestFit="1" customWidth="1"/>
    <col min="13320" max="13320" width="10.42578125" style="110" bestFit="1" customWidth="1"/>
    <col min="13321" max="13321" width="4.5703125" style="110" customWidth="1"/>
    <col min="13322" max="13322" width="1.7109375" style="110" customWidth="1"/>
    <col min="13323" max="13323" width="7" style="110" bestFit="1" customWidth="1"/>
    <col min="13324" max="13324" width="6.28515625" style="110" customWidth="1"/>
    <col min="13325" max="13325" width="20.42578125" style="110" customWidth="1"/>
    <col min="13326" max="13326" width="6.42578125" style="110" bestFit="1" customWidth="1"/>
    <col min="13327" max="13328" width="8.42578125" style="110"/>
    <col min="13329" max="13329" width="3.28515625" style="110" customWidth="1"/>
    <col min="13330" max="13568" width="8.42578125" style="110"/>
    <col min="13569" max="13569" width="10" style="110" bestFit="1" customWidth="1"/>
    <col min="13570" max="13570" width="44.28515625" style="110" bestFit="1" customWidth="1"/>
    <col min="13571" max="13571" width="10.42578125" style="110" bestFit="1" customWidth="1"/>
    <col min="13572" max="13572" width="10.42578125" style="110" customWidth="1"/>
    <col min="13573" max="13573" width="9.7109375" style="110" bestFit="1" customWidth="1"/>
    <col min="13574" max="13575" width="9.5703125" style="110" bestFit="1" customWidth="1"/>
    <col min="13576" max="13576" width="10.42578125" style="110" bestFit="1" customWidth="1"/>
    <col min="13577" max="13577" width="4.5703125" style="110" customWidth="1"/>
    <col min="13578" max="13578" width="1.7109375" style="110" customWidth="1"/>
    <col min="13579" max="13579" width="7" style="110" bestFit="1" customWidth="1"/>
    <col min="13580" max="13580" width="6.28515625" style="110" customWidth="1"/>
    <col min="13581" max="13581" width="20.42578125" style="110" customWidth="1"/>
    <col min="13582" max="13582" width="6.42578125" style="110" bestFit="1" customWidth="1"/>
    <col min="13583" max="13584" width="8.42578125" style="110"/>
    <col min="13585" max="13585" width="3.28515625" style="110" customWidth="1"/>
    <col min="13586" max="13824" width="8.42578125" style="110"/>
    <col min="13825" max="13825" width="10" style="110" bestFit="1" customWidth="1"/>
    <col min="13826" max="13826" width="44.28515625" style="110" bestFit="1" customWidth="1"/>
    <col min="13827" max="13827" width="10.42578125" style="110" bestFit="1" customWidth="1"/>
    <col min="13828" max="13828" width="10.42578125" style="110" customWidth="1"/>
    <col min="13829" max="13829" width="9.7109375" style="110" bestFit="1" customWidth="1"/>
    <col min="13830" max="13831" width="9.5703125" style="110" bestFit="1" customWidth="1"/>
    <col min="13832" max="13832" width="10.42578125" style="110" bestFit="1" customWidth="1"/>
    <col min="13833" max="13833" width="4.5703125" style="110" customWidth="1"/>
    <col min="13834" max="13834" width="1.7109375" style="110" customWidth="1"/>
    <col min="13835" max="13835" width="7" style="110" bestFit="1" customWidth="1"/>
    <col min="13836" max="13836" width="6.28515625" style="110" customWidth="1"/>
    <col min="13837" max="13837" width="20.42578125" style="110" customWidth="1"/>
    <col min="13838" max="13838" width="6.42578125" style="110" bestFit="1" customWidth="1"/>
    <col min="13839" max="13840" width="8.42578125" style="110"/>
    <col min="13841" max="13841" width="3.28515625" style="110" customWidth="1"/>
    <col min="13842" max="14080" width="8.42578125" style="110"/>
    <col min="14081" max="14081" width="10" style="110" bestFit="1" customWidth="1"/>
    <col min="14082" max="14082" width="44.28515625" style="110" bestFit="1" customWidth="1"/>
    <col min="14083" max="14083" width="10.42578125" style="110" bestFit="1" customWidth="1"/>
    <col min="14084" max="14084" width="10.42578125" style="110" customWidth="1"/>
    <col min="14085" max="14085" width="9.7109375" style="110" bestFit="1" customWidth="1"/>
    <col min="14086" max="14087" width="9.5703125" style="110" bestFit="1" customWidth="1"/>
    <col min="14088" max="14088" width="10.42578125" style="110" bestFit="1" customWidth="1"/>
    <col min="14089" max="14089" width="4.5703125" style="110" customWidth="1"/>
    <col min="14090" max="14090" width="1.7109375" style="110" customWidth="1"/>
    <col min="14091" max="14091" width="7" style="110" bestFit="1" customWidth="1"/>
    <col min="14092" max="14092" width="6.28515625" style="110" customWidth="1"/>
    <col min="14093" max="14093" width="20.42578125" style="110" customWidth="1"/>
    <col min="14094" max="14094" width="6.42578125" style="110" bestFit="1" customWidth="1"/>
    <col min="14095" max="14096" width="8.42578125" style="110"/>
    <col min="14097" max="14097" width="3.28515625" style="110" customWidth="1"/>
    <col min="14098" max="14336" width="8.42578125" style="110"/>
    <col min="14337" max="14337" width="10" style="110" bestFit="1" customWidth="1"/>
    <col min="14338" max="14338" width="44.28515625" style="110" bestFit="1" customWidth="1"/>
    <col min="14339" max="14339" width="10.42578125" style="110" bestFit="1" customWidth="1"/>
    <col min="14340" max="14340" width="10.42578125" style="110" customWidth="1"/>
    <col min="14341" max="14341" width="9.7109375" style="110" bestFit="1" customWidth="1"/>
    <col min="14342" max="14343" width="9.5703125" style="110" bestFit="1" customWidth="1"/>
    <col min="14344" max="14344" width="10.42578125" style="110" bestFit="1" customWidth="1"/>
    <col min="14345" max="14345" width="4.5703125" style="110" customWidth="1"/>
    <col min="14346" max="14346" width="1.7109375" style="110" customWidth="1"/>
    <col min="14347" max="14347" width="7" style="110" bestFit="1" customWidth="1"/>
    <col min="14348" max="14348" width="6.28515625" style="110" customWidth="1"/>
    <col min="14349" max="14349" width="20.42578125" style="110" customWidth="1"/>
    <col min="14350" max="14350" width="6.42578125" style="110" bestFit="1" customWidth="1"/>
    <col min="14351" max="14352" width="8.42578125" style="110"/>
    <col min="14353" max="14353" width="3.28515625" style="110" customWidth="1"/>
    <col min="14354" max="14592" width="8.42578125" style="110"/>
    <col min="14593" max="14593" width="10" style="110" bestFit="1" customWidth="1"/>
    <col min="14594" max="14594" width="44.28515625" style="110" bestFit="1" customWidth="1"/>
    <col min="14595" max="14595" width="10.42578125" style="110" bestFit="1" customWidth="1"/>
    <col min="14596" max="14596" width="10.42578125" style="110" customWidth="1"/>
    <col min="14597" max="14597" width="9.7109375" style="110" bestFit="1" customWidth="1"/>
    <col min="14598" max="14599" width="9.5703125" style="110" bestFit="1" customWidth="1"/>
    <col min="14600" max="14600" width="10.42578125" style="110" bestFit="1" customWidth="1"/>
    <col min="14601" max="14601" width="4.5703125" style="110" customWidth="1"/>
    <col min="14602" max="14602" width="1.7109375" style="110" customWidth="1"/>
    <col min="14603" max="14603" width="7" style="110" bestFit="1" customWidth="1"/>
    <col min="14604" max="14604" width="6.28515625" style="110" customWidth="1"/>
    <col min="14605" max="14605" width="20.42578125" style="110" customWidth="1"/>
    <col min="14606" max="14606" width="6.42578125" style="110" bestFit="1" customWidth="1"/>
    <col min="14607" max="14608" width="8.42578125" style="110"/>
    <col min="14609" max="14609" width="3.28515625" style="110" customWidth="1"/>
    <col min="14610" max="14848" width="8.42578125" style="110"/>
    <col min="14849" max="14849" width="10" style="110" bestFit="1" customWidth="1"/>
    <col min="14850" max="14850" width="44.28515625" style="110" bestFit="1" customWidth="1"/>
    <col min="14851" max="14851" width="10.42578125" style="110" bestFit="1" customWidth="1"/>
    <col min="14852" max="14852" width="10.42578125" style="110" customWidth="1"/>
    <col min="14853" max="14853" width="9.7109375" style="110" bestFit="1" customWidth="1"/>
    <col min="14854" max="14855" width="9.5703125" style="110" bestFit="1" customWidth="1"/>
    <col min="14856" max="14856" width="10.42578125" style="110" bestFit="1" customWidth="1"/>
    <col min="14857" max="14857" width="4.5703125" style="110" customWidth="1"/>
    <col min="14858" max="14858" width="1.7109375" style="110" customWidth="1"/>
    <col min="14859" max="14859" width="7" style="110" bestFit="1" customWidth="1"/>
    <col min="14860" max="14860" width="6.28515625" style="110" customWidth="1"/>
    <col min="14861" max="14861" width="20.42578125" style="110" customWidth="1"/>
    <col min="14862" max="14862" width="6.42578125" style="110" bestFit="1" customWidth="1"/>
    <col min="14863" max="14864" width="8.42578125" style="110"/>
    <col min="14865" max="14865" width="3.28515625" style="110" customWidth="1"/>
    <col min="14866" max="15104" width="8.42578125" style="110"/>
    <col min="15105" max="15105" width="10" style="110" bestFit="1" customWidth="1"/>
    <col min="15106" max="15106" width="44.28515625" style="110" bestFit="1" customWidth="1"/>
    <col min="15107" max="15107" width="10.42578125" style="110" bestFit="1" customWidth="1"/>
    <col min="15108" max="15108" width="10.42578125" style="110" customWidth="1"/>
    <col min="15109" max="15109" width="9.7109375" style="110" bestFit="1" customWidth="1"/>
    <col min="15110" max="15111" width="9.5703125" style="110" bestFit="1" customWidth="1"/>
    <col min="15112" max="15112" width="10.42578125" style="110" bestFit="1" customWidth="1"/>
    <col min="15113" max="15113" width="4.5703125" style="110" customWidth="1"/>
    <col min="15114" max="15114" width="1.7109375" style="110" customWidth="1"/>
    <col min="15115" max="15115" width="7" style="110" bestFit="1" customWidth="1"/>
    <col min="15116" max="15116" width="6.28515625" style="110" customWidth="1"/>
    <col min="15117" max="15117" width="20.42578125" style="110" customWidth="1"/>
    <col min="15118" max="15118" width="6.42578125" style="110" bestFit="1" customWidth="1"/>
    <col min="15119" max="15120" width="8.42578125" style="110"/>
    <col min="15121" max="15121" width="3.28515625" style="110" customWidth="1"/>
    <col min="15122" max="15360" width="8.42578125" style="110"/>
    <col min="15361" max="15361" width="10" style="110" bestFit="1" customWidth="1"/>
    <col min="15362" max="15362" width="44.28515625" style="110" bestFit="1" customWidth="1"/>
    <col min="15363" max="15363" width="10.42578125" style="110" bestFit="1" customWidth="1"/>
    <col min="15364" max="15364" width="10.42578125" style="110" customWidth="1"/>
    <col min="15365" max="15365" width="9.7109375" style="110" bestFit="1" customWidth="1"/>
    <col min="15366" max="15367" width="9.5703125" style="110" bestFit="1" customWidth="1"/>
    <col min="15368" max="15368" width="10.42578125" style="110" bestFit="1" customWidth="1"/>
    <col min="15369" max="15369" width="4.5703125" style="110" customWidth="1"/>
    <col min="15370" max="15370" width="1.7109375" style="110" customWidth="1"/>
    <col min="15371" max="15371" width="7" style="110" bestFit="1" customWidth="1"/>
    <col min="15372" max="15372" width="6.28515625" style="110" customWidth="1"/>
    <col min="15373" max="15373" width="20.42578125" style="110" customWidth="1"/>
    <col min="15374" max="15374" width="6.42578125" style="110" bestFit="1" customWidth="1"/>
    <col min="15375" max="15376" width="8.42578125" style="110"/>
    <col min="15377" max="15377" width="3.28515625" style="110" customWidth="1"/>
    <col min="15378" max="15616" width="8.42578125" style="110"/>
    <col min="15617" max="15617" width="10" style="110" bestFit="1" customWidth="1"/>
    <col min="15618" max="15618" width="44.28515625" style="110" bestFit="1" customWidth="1"/>
    <col min="15619" max="15619" width="10.42578125" style="110" bestFit="1" customWidth="1"/>
    <col min="15620" max="15620" width="10.42578125" style="110" customWidth="1"/>
    <col min="15621" max="15621" width="9.7109375" style="110" bestFit="1" customWidth="1"/>
    <col min="15622" max="15623" width="9.5703125" style="110" bestFit="1" customWidth="1"/>
    <col min="15624" max="15624" width="10.42578125" style="110" bestFit="1" customWidth="1"/>
    <col min="15625" max="15625" width="4.5703125" style="110" customWidth="1"/>
    <col min="15626" max="15626" width="1.7109375" style="110" customWidth="1"/>
    <col min="15627" max="15627" width="7" style="110" bestFit="1" customWidth="1"/>
    <col min="15628" max="15628" width="6.28515625" style="110" customWidth="1"/>
    <col min="15629" max="15629" width="20.42578125" style="110" customWidth="1"/>
    <col min="15630" max="15630" width="6.42578125" style="110" bestFit="1" customWidth="1"/>
    <col min="15631" max="15632" width="8.42578125" style="110"/>
    <col min="15633" max="15633" width="3.28515625" style="110" customWidth="1"/>
    <col min="15634" max="15872" width="8.42578125" style="110"/>
    <col min="15873" max="15873" width="10" style="110" bestFit="1" customWidth="1"/>
    <col min="15874" max="15874" width="44.28515625" style="110" bestFit="1" customWidth="1"/>
    <col min="15875" max="15875" width="10.42578125" style="110" bestFit="1" customWidth="1"/>
    <col min="15876" max="15876" width="10.42578125" style="110" customWidth="1"/>
    <col min="15877" max="15877" width="9.7109375" style="110" bestFit="1" customWidth="1"/>
    <col min="15878" max="15879" width="9.5703125" style="110" bestFit="1" customWidth="1"/>
    <col min="15880" max="15880" width="10.42578125" style="110" bestFit="1" customWidth="1"/>
    <col min="15881" max="15881" width="4.5703125" style="110" customWidth="1"/>
    <col min="15882" max="15882" width="1.7109375" style="110" customWidth="1"/>
    <col min="15883" max="15883" width="7" style="110" bestFit="1" customWidth="1"/>
    <col min="15884" max="15884" width="6.28515625" style="110" customWidth="1"/>
    <col min="15885" max="15885" width="20.42578125" style="110" customWidth="1"/>
    <col min="15886" max="15886" width="6.42578125" style="110" bestFit="1" customWidth="1"/>
    <col min="15887" max="15888" width="8.42578125" style="110"/>
    <col min="15889" max="15889" width="3.28515625" style="110" customWidth="1"/>
    <col min="15890" max="16128" width="8.42578125" style="110"/>
    <col min="16129" max="16129" width="10" style="110" bestFit="1" customWidth="1"/>
    <col min="16130" max="16130" width="44.28515625" style="110" bestFit="1" customWidth="1"/>
    <col min="16131" max="16131" width="10.42578125" style="110" bestFit="1" customWidth="1"/>
    <col min="16132" max="16132" width="10.42578125" style="110" customWidth="1"/>
    <col min="16133" max="16133" width="9.7109375" style="110" bestFit="1" customWidth="1"/>
    <col min="16134" max="16135" width="9.5703125" style="110" bestFit="1" customWidth="1"/>
    <col min="16136" max="16136" width="10.42578125" style="110" bestFit="1" customWidth="1"/>
    <col min="16137" max="16137" width="4.5703125" style="110" customWidth="1"/>
    <col min="16138" max="16138" width="1.7109375" style="110" customWidth="1"/>
    <col min="16139" max="16139" width="7" style="110" bestFit="1" customWidth="1"/>
    <col min="16140" max="16140" width="6.28515625" style="110" customWidth="1"/>
    <col min="16141" max="16141" width="20.42578125" style="110" customWidth="1"/>
    <col min="16142" max="16142" width="6.42578125" style="110" bestFit="1" customWidth="1"/>
    <col min="16143" max="16144" width="8.42578125" style="110"/>
    <col min="16145" max="16145" width="3.28515625" style="110" customWidth="1"/>
    <col min="16146" max="16384" width="8.42578125" style="110"/>
  </cols>
  <sheetData>
    <row r="1" spans="1:10" ht="27.75" customHeight="1" x14ac:dyDescent="0.25">
      <c r="A1" s="105"/>
      <c r="B1" s="105"/>
      <c r="C1" s="105"/>
      <c r="D1" s="105"/>
      <c r="E1" s="106" t="s">
        <v>121</v>
      </c>
      <c r="F1" s="107" t="s">
        <v>122</v>
      </c>
      <c r="G1" s="107" t="s">
        <v>123</v>
      </c>
      <c r="H1" s="107" t="s">
        <v>124</v>
      </c>
      <c r="I1" s="108"/>
    </row>
    <row r="2" spans="1:10" ht="30.75" customHeight="1" x14ac:dyDescent="0.25">
      <c r="A2" s="105"/>
      <c r="B2" s="105"/>
      <c r="C2" s="105"/>
      <c r="D2" s="105"/>
      <c r="E2" s="111">
        <f>IFERROR(O68,"")</f>
        <v>4126.8329450129659</v>
      </c>
      <c r="F2" s="111">
        <f>IFERROR(H59,"")</f>
        <v>2467.1123216845881</v>
      </c>
      <c r="G2" s="111">
        <f>IFERROR(H60,"")</f>
        <v>607.62968479999995</v>
      </c>
      <c r="H2" s="111">
        <f>IFERROR(H62,"")</f>
        <v>539.30711974984047</v>
      </c>
      <c r="I2" s="112"/>
    </row>
    <row r="3" spans="1:10" ht="15" customHeight="1" x14ac:dyDescent="0.25">
      <c r="A3" s="105"/>
      <c r="B3" s="105"/>
      <c r="C3" s="105"/>
      <c r="D3" s="105"/>
      <c r="E3" s="105"/>
      <c r="F3" s="113"/>
      <c r="G3" s="113"/>
      <c r="H3" s="113"/>
      <c r="I3" s="113"/>
    </row>
    <row r="4" spans="1:10" ht="24.75" customHeight="1" thickBot="1" x14ac:dyDescent="0.3">
      <c r="A4" s="602"/>
      <c r="B4" s="602"/>
      <c r="C4" s="602"/>
      <c r="D4" s="602"/>
      <c r="E4" s="602"/>
      <c r="F4" s="602"/>
      <c r="G4" s="602"/>
      <c r="H4" s="602"/>
      <c r="I4" s="114"/>
    </row>
    <row r="5" spans="1:10" ht="19.5" customHeight="1" thickBot="1" x14ac:dyDescent="0.3">
      <c r="A5" s="603" t="s">
        <v>125</v>
      </c>
      <c r="B5" s="604"/>
      <c r="C5" s="604"/>
      <c r="D5" s="604"/>
      <c r="E5" s="604"/>
      <c r="F5" s="604"/>
      <c r="G5" s="604"/>
      <c r="H5" s="605"/>
      <c r="I5" s="115"/>
    </row>
    <row r="6" spans="1:10" ht="19.5" thickBot="1" x14ac:dyDescent="0.3">
      <c r="A6" s="115"/>
      <c r="B6" s="115"/>
      <c r="C6" s="115"/>
      <c r="D6" s="115"/>
      <c r="E6" s="115"/>
      <c r="F6" s="606" t="s">
        <v>126</v>
      </c>
      <c r="G6" s="606"/>
      <c r="H6" s="116">
        <f ca="1">TODAY()</f>
        <v>45761</v>
      </c>
      <c r="I6" s="116"/>
    </row>
    <row r="7" spans="1:10" ht="26.25" thickBot="1" x14ac:dyDescent="0.3">
      <c r="A7" s="117" t="s">
        <v>127</v>
      </c>
      <c r="B7" s="118" t="s">
        <v>128</v>
      </c>
      <c r="C7" s="118" t="s">
        <v>127</v>
      </c>
      <c r="D7" s="119" t="s">
        <v>129</v>
      </c>
      <c r="E7" s="119" t="s">
        <v>130</v>
      </c>
      <c r="F7" s="119" t="s">
        <v>131</v>
      </c>
      <c r="G7" s="119" t="s">
        <v>132</v>
      </c>
      <c r="H7" s="120" t="s">
        <v>133</v>
      </c>
      <c r="I7" s="121"/>
    </row>
    <row r="8" spans="1:10" ht="13.5" x14ac:dyDescent="0.25">
      <c r="A8" s="203">
        <v>10</v>
      </c>
      <c r="B8" s="202" t="str">
        <f>IFERROR(VLOOKUP(H8,'[1]Consolidado MP Planta'!$A$2:$M$823,3,0),"")</f>
        <v>CREMA BETTERCREAM DOBLE CHOCO (UND:4 K)</v>
      </c>
      <c r="C8" s="123">
        <f>+A8</f>
        <v>10</v>
      </c>
      <c r="D8" s="124" t="str">
        <f>IFERROR(VLOOKUP(H8,'[1]Consolidado MP Planta'!$A$2:$M$823,13,0),"")</f>
        <v>Gramos</v>
      </c>
      <c r="E8" s="124">
        <v>2.63</v>
      </c>
      <c r="F8" s="124">
        <f>IFERROR(C8*E8,"")</f>
        <v>26.299999999999997</v>
      </c>
      <c r="G8" s="125">
        <f t="shared" ref="G8:G14" si="0">IFERROR(F8/$F$72,"")</f>
        <v>7.406188681213819E-3</v>
      </c>
      <c r="H8" s="126" t="s">
        <v>85</v>
      </c>
      <c r="I8" s="126"/>
      <c r="J8" s="127"/>
    </row>
    <row r="9" spans="1:10" ht="13.5" hidden="1" x14ac:dyDescent="0.25">
      <c r="A9" s="122"/>
      <c r="B9" s="110" t="str">
        <f>IFERROR(VLOOKUP(H9,'[1]Consolidado MP Planta'!$A$2:$M$823,3,0),"")</f>
        <v/>
      </c>
      <c r="C9" s="123">
        <f t="shared" ref="C9:C14" si="1">+A9</f>
        <v>0</v>
      </c>
      <c r="D9" s="124" t="str">
        <f>IFERROR(VLOOKUP(H9,'[1]Consolidado MP Planta'!$A$2:$M$823,13,0),"")</f>
        <v/>
      </c>
      <c r="E9" s="124" t="str">
        <f>IFERROR(VLOOKUP(H9,'[1]Consolidado MP Planta'!$A$2:$M$823,12,0),"")</f>
        <v/>
      </c>
      <c r="F9" s="124" t="str">
        <f t="shared" ref="F9:F14" si="2">IFERROR(C9*E9,"")</f>
        <v/>
      </c>
      <c r="G9" s="125" t="str">
        <f t="shared" si="0"/>
        <v/>
      </c>
      <c r="H9" s="126"/>
      <c r="I9" s="126"/>
      <c r="J9" s="127"/>
    </row>
    <row r="10" spans="1:10" ht="13.5" hidden="1" x14ac:dyDescent="0.25">
      <c r="A10" s="122"/>
      <c r="B10" s="110" t="str">
        <f>IFERROR(VLOOKUP(H10,'[1]Consolidado MP Planta'!$A$2:$M$823,3,0),"")</f>
        <v/>
      </c>
      <c r="C10" s="123">
        <f t="shared" si="1"/>
        <v>0</v>
      </c>
      <c r="D10" s="124" t="str">
        <f>IFERROR(VLOOKUP(H10,'[1]Consolidado MP Planta'!$A$2:$M$823,13,0),"")</f>
        <v/>
      </c>
      <c r="E10" s="124" t="str">
        <f>IFERROR(VLOOKUP(H10,'[1]Consolidado MP Planta'!$A$2:$M$823,12,0),"")</f>
        <v/>
      </c>
      <c r="F10" s="124" t="str">
        <f t="shared" si="2"/>
        <v/>
      </c>
      <c r="G10" s="125" t="str">
        <f t="shared" si="0"/>
        <v/>
      </c>
      <c r="H10" s="126"/>
      <c r="I10" s="126"/>
      <c r="J10" s="127"/>
    </row>
    <row r="11" spans="1:10" ht="13.5" hidden="1" x14ac:dyDescent="0.25">
      <c r="A11" s="122"/>
      <c r="B11" s="110" t="str">
        <f>IFERROR(VLOOKUP(H11,'[1]Consolidado MP Planta'!$A$2:$M$823,3,0),"")</f>
        <v/>
      </c>
      <c r="C11" s="123">
        <f t="shared" si="1"/>
        <v>0</v>
      </c>
      <c r="D11" s="124" t="str">
        <f>IFERROR(VLOOKUP(H11,'[1]Consolidado MP Planta'!$A$2:$M$823,13,0),"")</f>
        <v/>
      </c>
      <c r="E11" s="124" t="str">
        <f>IFERROR(VLOOKUP(H11,'[1]Consolidado MP Planta'!$A$2:$M$823,12,0),"")</f>
        <v/>
      </c>
      <c r="F11" s="124" t="str">
        <f t="shared" si="2"/>
        <v/>
      </c>
      <c r="G11" s="125" t="str">
        <f t="shared" si="0"/>
        <v/>
      </c>
      <c r="H11" s="126"/>
      <c r="I11" s="126"/>
      <c r="J11" s="127"/>
    </row>
    <row r="12" spans="1:10" ht="13.5" hidden="1" x14ac:dyDescent="0.25">
      <c r="A12" s="122"/>
      <c r="B12" s="110" t="str">
        <f>IFERROR(VLOOKUP(H12,'[1]Consolidado MP Planta'!$A$2:$M$823,3,0),"")</f>
        <v/>
      </c>
      <c r="C12" s="123">
        <f t="shared" si="1"/>
        <v>0</v>
      </c>
      <c r="D12" s="124" t="str">
        <f>IFERROR(VLOOKUP(H12,'[1]Consolidado MP Planta'!$A$2:$M$823,13,0),"")</f>
        <v/>
      </c>
      <c r="E12" s="124" t="str">
        <f>IFERROR(VLOOKUP(H12,'[1]Consolidado MP Planta'!$A$2:$M$823,12,0),"")</f>
        <v/>
      </c>
      <c r="F12" s="124" t="str">
        <f t="shared" si="2"/>
        <v/>
      </c>
      <c r="G12" s="125" t="str">
        <f t="shared" si="0"/>
        <v/>
      </c>
      <c r="H12" s="126"/>
      <c r="I12" s="126"/>
      <c r="J12" s="127"/>
    </row>
    <row r="13" spans="1:10" ht="13.5" hidden="1" x14ac:dyDescent="0.25">
      <c r="A13" s="122"/>
      <c r="B13" s="110" t="str">
        <f>IFERROR(VLOOKUP(H13,'[1]Consolidado MP Planta'!$A$2:$M$823,3,0),"")</f>
        <v/>
      </c>
      <c r="C13" s="123">
        <f t="shared" si="1"/>
        <v>0</v>
      </c>
      <c r="D13" s="124" t="str">
        <f>IFERROR(VLOOKUP(H13,'[1]Consolidado MP Planta'!$A$2:$M$823,13,0),"")</f>
        <v/>
      </c>
      <c r="E13" s="124" t="str">
        <f>IFERROR(VLOOKUP(H13,'[1]Consolidado MP Planta'!$A$2:$M$823,12,0),"")</f>
        <v/>
      </c>
      <c r="F13" s="124" t="str">
        <f t="shared" si="2"/>
        <v/>
      </c>
      <c r="G13" s="125" t="str">
        <f t="shared" si="0"/>
        <v/>
      </c>
      <c r="H13" s="126"/>
      <c r="I13" s="126"/>
      <c r="J13" s="127"/>
    </row>
    <row r="14" spans="1:10" ht="13.5" hidden="1" x14ac:dyDescent="0.25">
      <c r="A14" s="122"/>
      <c r="B14" s="110" t="str">
        <f>IFERROR(VLOOKUP(H14,'[1]Consolidado MP Planta'!$A$2:$M$823,3,0),"")</f>
        <v/>
      </c>
      <c r="C14" s="123">
        <f t="shared" si="1"/>
        <v>0</v>
      </c>
      <c r="D14" s="124" t="str">
        <f>IFERROR(VLOOKUP(H14,'[1]Consolidado MP Planta'!$A$2:$M$823,13,0),"")</f>
        <v/>
      </c>
      <c r="E14" s="124" t="str">
        <f>IFERROR(VLOOKUP(H14,'[1]Consolidado MP Planta'!$A$2:$M$823,12,0),"")</f>
        <v/>
      </c>
      <c r="F14" s="124" t="str">
        <f t="shared" si="2"/>
        <v/>
      </c>
      <c r="G14" s="125" t="str">
        <f t="shared" si="0"/>
        <v/>
      </c>
      <c r="H14" s="126"/>
      <c r="I14" s="126"/>
      <c r="J14" s="127"/>
    </row>
    <row r="15" spans="1:10" ht="14.25" thickBot="1" x14ac:dyDescent="0.3">
      <c r="A15" s="122"/>
      <c r="B15" s="110" t="str">
        <f>IFERROR(VLOOKUP(H15,'[2]ARTICULOS MP PLANTA'!$A$2:$G$589,2,0),"")</f>
        <v/>
      </c>
      <c r="C15" s="123"/>
      <c r="D15" s="124"/>
      <c r="E15" s="124"/>
      <c r="F15" s="124"/>
      <c r="G15" s="125"/>
      <c r="H15" s="126"/>
      <c r="I15" s="126"/>
      <c r="J15" s="127"/>
    </row>
    <row r="16" spans="1:10" ht="26.25" thickBot="1" x14ac:dyDescent="0.3">
      <c r="A16" s="117" t="s">
        <v>127</v>
      </c>
      <c r="B16" s="118" t="s">
        <v>134</v>
      </c>
      <c r="C16" s="118" t="s">
        <v>127</v>
      </c>
      <c r="D16" s="119" t="s">
        <v>129</v>
      </c>
      <c r="E16" s="119" t="s">
        <v>130</v>
      </c>
      <c r="F16" s="119" t="s">
        <v>131</v>
      </c>
      <c r="G16" s="119" t="s">
        <v>132</v>
      </c>
      <c r="H16" s="120" t="s">
        <v>133</v>
      </c>
      <c r="I16" s="121"/>
      <c r="J16" s="127"/>
    </row>
    <row r="17" spans="1:12" ht="13.5" x14ac:dyDescent="0.25">
      <c r="A17" s="203">
        <v>1.5</v>
      </c>
      <c r="B17" s="202" t="s">
        <v>77</v>
      </c>
      <c r="C17" s="123">
        <f>+A17</f>
        <v>1.5</v>
      </c>
      <c r="D17" s="123" t="s">
        <v>174</v>
      </c>
      <c r="E17" s="124">
        <v>545</v>
      </c>
      <c r="F17" s="124">
        <f>IFERROR(E17*C17,"")</f>
        <v>817.5</v>
      </c>
      <c r="G17" s="125">
        <f t="shared" ref="G17:G24" si="3">IFERROR(F17/$F$72,"")</f>
        <v>0.23021137820883261</v>
      </c>
      <c r="H17" s="126" t="s">
        <v>75</v>
      </c>
      <c r="I17" s="126"/>
      <c r="J17" s="127"/>
    </row>
    <row r="18" spans="1:12" ht="13.5" x14ac:dyDescent="0.25">
      <c r="A18" s="203">
        <v>100</v>
      </c>
      <c r="B18" s="202" t="s">
        <v>80</v>
      </c>
      <c r="C18" s="123">
        <f t="shared" ref="C18:C24" si="4">+A18</f>
        <v>100</v>
      </c>
      <c r="D18" s="123" t="s">
        <v>172</v>
      </c>
      <c r="E18" s="124">
        <f>+'Costo relleno de Fresa'!E69</f>
        <v>4.1859784946236562</v>
      </c>
      <c r="F18" s="124">
        <f t="shared" ref="F18:F24" si="5">IFERROR(E18*C18,"")</f>
        <v>418.59784946236562</v>
      </c>
      <c r="G18" s="125">
        <f t="shared" si="3"/>
        <v>0.11787888420793227</v>
      </c>
      <c r="H18" s="126" t="s">
        <v>42</v>
      </c>
      <c r="I18" s="126"/>
      <c r="J18" s="127"/>
    </row>
    <row r="19" spans="1:12" ht="13.5" x14ac:dyDescent="0.25">
      <c r="A19" s="203">
        <v>120</v>
      </c>
      <c r="B19" s="202" t="s">
        <v>81</v>
      </c>
      <c r="C19" s="123">
        <f>+A19</f>
        <v>120</v>
      </c>
      <c r="D19" s="123" t="s">
        <v>172</v>
      </c>
      <c r="E19" s="124">
        <f>+'Costo Relleno Chocolate '!E69</f>
        <v>4.9585185185185185</v>
      </c>
      <c r="F19" s="124">
        <f>IFERROR(E19*C19,"")</f>
        <v>595.02222222222224</v>
      </c>
      <c r="G19" s="125">
        <f t="shared" si="3"/>
        <v>0.16756071662710709</v>
      </c>
      <c r="H19" s="126" t="s">
        <v>42</v>
      </c>
      <c r="I19" s="126"/>
      <c r="J19" s="127"/>
    </row>
    <row r="20" spans="1:12" ht="13.5" x14ac:dyDescent="0.25">
      <c r="A20" s="203">
        <v>150</v>
      </c>
      <c r="B20" s="202" t="s">
        <v>84</v>
      </c>
      <c r="C20" s="123">
        <f>+A20</f>
        <v>150</v>
      </c>
      <c r="D20" s="123" t="s">
        <v>172</v>
      </c>
      <c r="E20" s="124">
        <f>+[3]Hoja2!$E$69</f>
        <v>2.2968500000000001</v>
      </c>
      <c r="F20" s="124">
        <f>IFERROR(E20*C20,"")</f>
        <v>344.52750000000003</v>
      </c>
      <c r="G20" s="125">
        <f t="shared" si="3"/>
        <v>9.7020367713570144E-2</v>
      </c>
      <c r="H20" s="126" t="s">
        <v>42</v>
      </c>
      <c r="I20" s="126"/>
      <c r="J20" s="127"/>
    </row>
    <row r="21" spans="1:12" ht="13.5" x14ac:dyDescent="0.25">
      <c r="A21" s="203">
        <v>10</v>
      </c>
      <c r="B21" s="202" t="s">
        <v>88</v>
      </c>
      <c r="C21" s="123">
        <f>+A21</f>
        <v>10</v>
      </c>
      <c r="D21" s="123" t="s">
        <v>172</v>
      </c>
      <c r="E21" s="124">
        <f>+'Costo sirope rojo'!E69</f>
        <v>2.2946</v>
      </c>
      <c r="F21" s="124">
        <f>IFERROR(E21*C21,"")</f>
        <v>22.945999999999998</v>
      </c>
      <c r="G21" s="125">
        <f t="shared" si="3"/>
        <v>6.4616884212597833E-3</v>
      </c>
      <c r="H21" s="126" t="s">
        <v>42</v>
      </c>
      <c r="I21" s="126"/>
      <c r="J21" s="127"/>
    </row>
    <row r="22" spans="1:12" ht="13.5" x14ac:dyDescent="0.25">
      <c r="A22" s="203">
        <v>50</v>
      </c>
      <c r="B22" s="202" t="s">
        <v>89</v>
      </c>
      <c r="C22" s="123">
        <f t="shared" si="4"/>
        <v>50</v>
      </c>
      <c r="D22" s="123" t="s">
        <v>172</v>
      </c>
      <c r="E22" s="124">
        <f>+'Costo Crema Fresa'!E69</f>
        <v>2.3023750000000001</v>
      </c>
      <c r="F22" s="124">
        <f t="shared" si="5"/>
        <v>115.11875000000001</v>
      </c>
      <c r="G22" s="125">
        <f t="shared" si="3"/>
        <v>3.2417915712756026E-2</v>
      </c>
      <c r="H22" s="126" t="s">
        <v>42</v>
      </c>
      <c r="I22" s="126"/>
      <c r="J22" s="127"/>
    </row>
    <row r="23" spans="1:12" ht="13.5" x14ac:dyDescent="0.25">
      <c r="A23" s="203">
        <v>40</v>
      </c>
      <c r="B23" s="202" t="str">
        <f>IFERROR(VLOOKUP(H23,[1]SEMIELABORADOS!$A$2:$M$6000,2,0),"")</f>
        <v>CREMA CHANTILLY CHOCO SPOON KILO</v>
      </c>
      <c r="C23" s="123">
        <f t="shared" si="4"/>
        <v>40</v>
      </c>
      <c r="D23" s="123" t="str">
        <f>IFERROR(VLOOKUP(H23,[1]SEMIELABORADOS!$A$2:$M$6000,6,0),"")</f>
        <v>Gramo</v>
      </c>
      <c r="E23" s="124">
        <v>2.54</v>
      </c>
      <c r="F23" s="124">
        <f t="shared" si="5"/>
        <v>101.6</v>
      </c>
      <c r="G23" s="125">
        <f t="shared" si="3"/>
        <v>2.8610979848339317E-2</v>
      </c>
      <c r="H23" s="126" t="s">
        <v>177</v>
      </c>
      <c r="I23" s="126"/>
      <c r="J23" s="127"/>
    </row>
    <row r="24" spans="1:12" ht="15" x14ac:dyDescent="0.25">
      <c r="A24" s="203">
        <v>150</v>
      </c>
      <c r="B24" s="202" t="str">
        <f>IFERROR(VLOOKUP(H24,[1]SEMIELABORADOS!$A$2:$M$6000,2,0),"")</f>
        <v>ALMIBAR KILO</v>
      </c>
      <c r="C24" s="123">
        <f t="shared" si="4"/>
        <v>150</v>
      </c>
      <c r="D24" s="123" t="str">
        <f>IFERROR(VLOOKUP(H24,[1]SEMIELABORADOS!$A$2:$M$6000,6,0),"")</f>
        <v>Gramo</v>
      </c>
      <c r="E24" s="124">
        <v>0.17</v>
      </c>
      <c r="F24" s="124">
        <f t="shared" si="5"/>
        <v>25.500000000000004</v>
      </c>
      <c r="G24" s="125">
        <f t="shared" si="3"/>
        <v>7.1809053753213855E-3</v>
      </c>
      <c r="H24" s="71" t="s">
        <v>191</v>
      </c>
      <c r="I24" s="126"/>
      <c r="J24" s="127"/>
    </row>
    <row r="25" spans="1:12" ht="14.25" thickBot="1" x14ac:dyDescent="0.3">
      <c r="A25" s="122"/>
      <c r="C25" s="123"/>
      <c r="D25" s="123"/>
      <c r="E25" s="124"/>
      <c r="F25" s="124"/>
      <c r="G25" s="125"/>
      <c r="H25" s="126"/>
      <c r="I25" s="126"/>
      <c r="J25" s="127"/>
    </row>
    <row r="26" spans="1:12" ht="26.25" thickBot="1" x14ac:dyDescent="0.3">
      <c r="A26" s="117" t="s">
        <v>127</v>
      </c>
      <c r="B26" s="118" t="s">
        <v>94</v>
      </c>
      <c r="C26" s="118" t="s">
        <v>127</v>
      </c>
      <c r="D26" s="119" t="s">
        <v>129</v>
      </c>
      <c r="E26" s="119" t="s">
        <v>130</v>
      </c>
      <c r="F26" s="119" t="s">
        <v>131</v>
      </c>
      <c r="G26" s="119" t="s">
        <v>132</v>
      </c>
      <c r="H26" s="120" t="s">
        <v>133</v>
      </c>
      <c r="I26" s="121"/>
    </row>
    <row r="27" spans="1:12" ht="13.5" x14ac:dyDescent="0.25">
      <c r="A27" s="122">
        <v>1</v>
      </c>
      <c r="B27" s="128" t="str">
        <f>IFERROR(VLOOKUP(H27,'[1]Consolidado MP Planta'!$A$2:$M$823,3,0),"")</f>
        <v>QUEQUERA RED  BASE/DOMO 10 (CAJA:50)</v>
      </c>
      <c r="C27" s="123">
        <f t="shared" ref="C27:C36" si="6">+A27</f>
        <v>1</v>
      </c>
      <c r="D27" s="124" t="str">
        <f>IFERROR(VLOOKUP(H27,'[1]Consolidado MP Planta'!$A$2:$M$823,13,0),"")</f>
        <v>UND</v>
      </c>
      <c r="E27" s="124">
        <v>420.9</v>
      </c>
      <c r="F27" s="124">
        <f t="shared" ref="F27:F36" si="7">IFERROR(C27*E27,"")</f>
        <v>420.9</v>
      </c>
      <c r="G27" s="125">
        <f>IFERROR(F27/$F$72,"")</f>
        <v>0.11852717931265767</v>
      </c>
      <c r="H27" s="129" t="s">
        <v>178</v>
      </c>
      <c r="I27" s="129"/>
      <c r="J27" s="127"/>
      <c r="K27" s="601"/>
      <c r="L27" s="601"/>
    </row>
    <row r="28" spans="1:12" ht="13.5" x14ac:dyDescent="0.25">
      <c r="A28" s="122">
        <v>1</v>
      </c>
      <c r="B28" s="128" t="str">
        <f>IFERROR(VLOOKUP(H28,'[1]Consolidado MP Planta'!$A$2:$M$823,3,0),"")</f>
        <v>ORLA # 10 BUCCA (UND)</v>
      </c>
      <c r="C28" s="123">
        <f t="shared" si="6"/>
        <v>1</v>
      </c>
      <c r="D28" s="124" t="s">
        <v>175</v>
      </c>
      <c r="E28" s="124">
        <v>137</v>
      </c>
      <c r="F28" s="124">
        <f t="shared" si="7"/>
        <v>137</v>
      </c>
      <c r="G28" s="125">
        <f>IFERROR(F28/$F$72,"")</f>
        <v>3.8579766134079596E-2</v>
      </c>
      <c r="H28" s="129" t="s">
        <v>179</v>
      </c>
      <c r="I28" s="129"/>
      <c r="J28" s="127"/>
      <c r="K28" s="601"/>
      <c r="L28" s="601"/>
    </row>
    <row r="29" spans="1:12" ht="13.5" x14ac:dyDescent="0.25">
      <c r="A29" s="122">
        <v>1</v>
      </c>
      <c r="B29" s="128" t="str">
        <f>IFERROR(VLOOKUP(H29,'[1]Consolidado MP Planta'!$A$2:$M$823,3,0),"")</f>
        <v>ET. TORTA BUCCA GENERICA PEQUEÑA (UND)</v>
      </c>
      <c r="C29" s="123">
        <f t="shared" si="6"/>
        <v>1</v>
      </c>
      <c r="D29" s="124" t="str">
        <f>IFERROR(VLOOKUP(H29,'[1]Consolidado MP Planta'!$A$2:$M$823,13,0),"")</f>
        <v>Und</v>
      </c>
      <c r="E29" s="124">
        <v>25.8</v>
      </c>
      <c r="F29" s="124">
        <f t="shared" si="7"/>
        <v>25.8</v>
      </c>
      <c r="G29" s="125">
        <f>IFERROR(F29/$F$72,"")</f>
        <v>7.2653866150310482E-3</v>
      </c>
      <c r="H29" s="129" t="s">
        <v>180</v>
      </c>
      <c r="I29" s="129"/>
      <c r="J29" s="127"/>
      <c r="K29" s="601"/>
      <c r="L29" s="601"/>
    </row>
    <row r="30" spans="1:12" ht="13.5" x14ac:dyDescent="0.25">
      <c r="A30" s="122">
        <v>1</v>
      </c>
      <c r="B30" s="128" t="str">
        <f>IFERROR(VLOOKUP(H30,'[1]Consolidado MP Planta'!$A$2:$M$823,3,0),"")</f>
        <v>ETIQ.FECHA VENCIMIENTO VERDE (ROLLO)</v>
      </c>
      <c r="C30" s="123">
        <f t="shared" si="6"/>
        <v>1</v>
      </c>
      <c r="D30" s="124" t="str">
        <f>IFERROR(VLOOKUP(H30,'[1]Consolidado MP Planta'!$A$2:$M$823,13,0),"")</f>
        <v>Und</v>
      </c>
      <c r="E30" s="124">
        <v>0.33</v>
      </c>
      <c r="F30" s="124">
        <f t="shared" si="7"/>
        <v>0.33</v>
      </c>
      <c r="G30" s="125">
        <f>IFERROR(F30/$F$72,"")</f>
        <v>9.2929363680629683E-5</v>
      </c>
      <c r="H30" s="129" t="s">
        <v>181</v>
      </c>
      <c r="I30" s="129"/>
      <c r="J30" s="127"/>
      <c r="K30" s="601"/>
      <c r="L30" s="601"/>
    </row>
    <row r="31" spans="1:12" ht="13.5" x14ac:dyDescent="0.25">
      <c r="A31" s="122">
        <v>1</v>
      </c>
      <c r="B31" s="128" t="str">
        <f>IFERROR(VLOOKUP(H31,'[1]Consolidado MP Planta'!$A$2:$M$823,3,0),"")</f>
        <v>ETIQ.BLANCA 1 1/4 * 3/4 (UND)</v>
      </c>
      <c r="C31" s="123">
        <f t="shared" ref="C31:C34" si="8">+A31</f>
        <v>1</v>
      </c>
      <c r="D31" s="124" t="str">
        <f>IFERROR(VLOOKUP(H31,'[1]Consolidado MP Planta'!$A$2:$M$823,13,0),"")</f>
        <v>Und</v>
      </c>
      <c r="E31" s="124">
        <v>0.57999999999999996</v>
      </c>
      <c r="F31" s="124">
        <f t="shared" ref="F31:F34" si="9">IFERROR(C31*E31,"")</f>
        <v>0.57999999999999996</v>
      </c>
      <c r="G31" s="125">
        <f t="shared" ref="G31:G34" si="10">IFERROR(F31/$F$72,"")</f>
        <v>1.6333039677201579E-4</v>
      </c>
      <c r="H31" s="129" t="s">
        <v>182</v>
      </c>
      <c r="I31" s="129"/>
      <c r="J31" s="127"/>
      <c r="K31" s="108"/>
      <c r="L31" s="108"/>
    </row>
    <row r="32" spans="1:12" ht="13.5" x14ac:dyDescent="0.25">
      <c r="A32" s="122">
        <v>1</v>
      </c>
      <c r="B32" s="128" t="str">
        <f>IFERROR(VLOOKUP(H32,'[1]Consolidado MP Planta'!$A$2:$M$823,3,0),"")</f>
        <v>ETIQUETA BLANCA 2 5/8X1 15/16 (UND)</v>
      </c>
      <c r="C32" s="123">
        <f t="shared" si="8"/>
        <v>1</v>
      </c>
      <c r="D32" s="124" t="str">
        <f>IFERROR(VLOOKUP(H32,'[1]Consolidado MP Planta'!$A$2:$M$823,13,0),"")</f>
        <v>Und</v>
      </c>
      <c r="E32" s="124">
        <v>2.13</v>
      </c>
      <c r="F32" s="124">
        <f t="shared" si="9"/>
        <v>2.13</v>
      </c>
      <c r="G32" s="125">
        <f t="shared" si="10"/>
        <v>5.9981680193860968E-4</v>
      </c>
      <c r="H32" s="129" t="s">
        <v>66</v>
      </c>
      <c r="I32" s="129"/>
      <c r="J32" s="127"/>
      <c r="K32" s="108"/>
      <c r="L32" s="108"/>
    </row>
    <row r="33" spans="1:12" ht="13.5" x14ac:dyDescent="0.25">
      <c r="A33" s="122">
        <v>60</v>
      </c>
      <c r="B33" s="128" t="str">
        <f>IFERROR(VLOOKUP(H33,'[1]Consolidado MP Planta'!$A$2:$M$823,3,0),"")</f>
        <v>CINTA ADHESIVA TRANSPARENT 2*100 M (UND)</v>
      </c>
      <c r="C33" s="123">
        <f t="shared" si="8"/>
        <v>60</v>
      </c>
      <c r="D33" s="124" t="str">
        <f>IFERROR(VLOOKUP(H33,'[1]Consolidado MP Planta'!$A$2:$M$823,13,0),"")</f>
        <v>Cm</v>
      </c>
      <c r="E33" s="124">
        <v>0.18</v>
      </c>
      <c r="F33" s="124">
        <f t="shared" si="9"/>
        <v>10.799999999999999</v>
      </c>
      <c r="G33" s="125">
        <f t="shared" si="10"/>
        <v>3.0413246295478802E-3</v>
      </c>
      <c r="H33" s="129" t="s">
        <v>183</v>
      </c>
      <c r="I33" s="129"/>
      <c r="J33" s="127"/>
      <c r="K33" s="108"/>
      <c r="L33" s="108"/>
    </row>
    <row r="34" spans="1:12" ht="13.5" hidden="1" x14ac:dyDescent="0.25">
      <c r="A34" s="122"/>
      <c r="B34" s="128" t="str">
        <f>IFERROR(VLOOKUP(H34,'[1]Consolidado MP Planta'!$A$2:$M$823,3,0),"")</f>
        <v/>
      </c>
      <c r="C34" s="123">
        <f t="shared" si="8"/>
        <v>0</v>
      </c>
      <c r="D34" s="124" t="str">
        <f>IFERROR(VLOOKUP(H34,'[1]Consolidado MP Planta'!$A$2:$M$823,13,0),"")</f>
        <v/>
      </c>
      <c r="E34" s="124" t="str">
        <f>IFERROR(VLOOKUP(H34,'[1]Consolidado MP Planta'!$A$2:$M$823,12,0),"")</f>
        <v/>
      </c>
      <c r="F34" s="124" t="str">
        <f t="shared" si="9"/>
        <v/>
      </c>
      <c r="G34" s="125" t="str">
        <f t="shared" si="10"/>
        <v/>
      </c>
      <c r="H34" s="129"/>
      <c r="I34" s="129"/>
      <c r="J34" s="127"/>
      <c r="K34" s="108"/>
      <c r="L34" s="108"/>
    </row>
    <row r="35" spans="1:12" ht="13.5" hidden="1" x14ac:dyDescent="0.25">
      <c r="A35" s="122"/>
      <c r="B35" s="128" t="str">
        <f>IFERROR(VLOOKUP(H35,'[1]Consolidado MP Planta'!$A$2:$M$823,3,0),"")</f>
        <v/>
      </c>
      <c r="C35" s="123">
        <f t="shared" si="6"/>
        <v>0</v>
      </c>
      <c r="D35" s="124" t="str">
        <f>IFERROR(VLOOKUP(H35,'[1]Consolidado MP Planta'!$A$2:$M$823,13,0),"")</f>
        <v/>
      </c>
      <c r="E35" s="124" t="str">
        <f>IFERROR(VLOOKUP(H35,'[1]Consolidado MP Planta'!$A$2:$M$823,12,0),"")</f>
        <v/>
      </c>
      <c r="F35" s="124" t="str">
        <f t="shared" si="7"/>
        <v/>
      </c>
      <c r="G35" s="125" t="str">
        <f>IFERROR(F35/$F$72,"")</f>
        <v/>
      </c>
      <c r="H35" s="129"/>
      <c r="I35" s="129"/>
      <c r="J35" s="127"/>
      <c r="K35" s="130"/>
      <c r="L35" s="131"/>
    </row>
    <row r="36" spans="1:12" ht="13.5" hidden="1" x14ac:dyDescent="0.25">
      <c r="A36" s="122"/>
      <c r="B36" s="128" t="str">
        <f>IFERROR(VLOOKUP(H36,'[1]Consolidado MP Planta'!$A$2:$M$823,3,0),"")</f>
        <v/>
      </c>
      <c r="C36" s="123">
        <f t="shared" si="6"/>
        <v>0</v>
      </c>
      <c r="D36" s="124" t="str">
        <f>IFERROR(VLOOKUP(H36,'[1]Consolidado MP Planta'!$A$2:$M$823,13,0),"")</f>
        <v/>
      </c>
      <c r="E36" s="124" t="str">
        <f>IFERROR(VLOOKUP(H36,'[1]Consolidado MP Planta'!$A$2:$M$823,12,0),"")</f>
        <v/>
      </c>
      <c r="F36" s="124" t="str">
        <f t="shared" si="7"/>
        <v/>
      </c>
      <c r="G36" s="125" t="str">
        <f>IFERROR(F36/$F$72,"")</f>
        <v/>
      </c>
      <c r="H36" s="129"/>
      <c r="I36" s="129"/>
      <c r="J36" s="127"/>
    </row>
    <row r="37" spans="1:12" ht="14.25" thickBot="1" x14ac:dyDescent="0.3">
      <c r="A37" s="122"/>
      <c r="B37" s="128"/>
      <c r="C37" s="123"/>
      <c r="D37" s="124"/>
      <c r="E37" s="124"/>
      <c r="F37" s="124"/>
      <c r="G37" s="125"/>
      <c r="H37" s="129"/>
      <c r="I37" s="129"/>
      <c r="J37" s="127"/>
    </row>
    <row r="38" spans="1:12" ht="26.25" thickBot="1" x14ac:dyDescent="0.25">
      <c r="A38" s="117" t="s">
        <v>127</v>
      </c>
      <c r="B38" s="118" t="s">
        <v>135</v>
      </c>
      <c r="C38" s="118" t="s">
        <v>127</v>
      </c>
      <c r="D38" s="119" t="s">
        <v>129</v>
      </c>
      <c r="E38" s="119" t="s">
        <v>130</v>
      </c>
      <c r="F38" s="119" t="s">
        <v>131</v>
      </c>
      <c r="G38" s="119" t="s">
        <v>132</v>
      </c>
      <c r="H38" s="120" t="s">
        <v>133</v>
      </c>
      <c r="I38" s="129"/>
      <c r="J38" s="127"/>
    </row>
    <row r="39" spans="1:12" ht="13.5" x14ac:dyDescent="0.25">
      <c r="A39" s="122">
        <f t="shared" ref="A39:A46" si="11">+A17</f>
        <v>1.5</v>
      </c>
      <c r="B39" s="110" t="s">
        <v>77</v>
      </c>
      <c r="C39" s="123">
        <f>+A39</f>
        <v>1.5</v>
      </c>
      <c r="D39" s="124" t="s">
        <v>175</v>
      </c>
      <c r="E39" s="124">
        <v>6.71</v>
      </c>
      <c r="F39" s="124">
        <f>IFERROR(E39*C39,"")</f>
        <v>10.065</v>
      </c>
      <c r="G39" s="125">
        <f t="shared" ref="G39:G46" si="12">IFERROR(F39/$F$72,"")</f>
        <v>2.8343455922592051E-3</v>
      </c>
      <c r="H39" s="129" t="s">
        <v>75</v>
      </c>
      <c r="I39" s="129"/>
      <c r="J39" s="127"/>
    </row>
    <row r="40" spans="1:12" ht="13.5" x14ac:dyDescent="0.25">
      <c r="A40" s="122">
        <f t="shared" si="11"/>
        <v>100</v>
      </c>
      <c r="B40" s="110" t="s">
        <v>80</v>
      </c>
      <c r="C40" s="123">
        <f t="shared" ref="C40:C46" si="13">+A40</f>
        <v>100</v>
      </c>
      <c r="D40" s="124" t="s">
        <v>172</v>
      </c>
      <c r="E40" s="124">
        <f>+'Costo relleno de Fresa'!E76</f>
        <v>0</v>
      </c>
      <c r="F40" s="124">
        <f t="shared" ref="F40:F46" si="14">IFERROR(E40*C40,"")</f>
        <v>0</v>
      </c>
      <c r="G40" s="125">
        <f t="shared" si="12"/>
        <v>0</v>
      </c>
      <c r="H40" s="129" t="s">
        <v>42</v>
      </c>
      <c r="I40" s="129"/>
      <c r="J40" s="127"/>
    </row>
    <row r="41" spans="1:12" ht="13.5" x14ac:dyDescent="0.25">
      <c r="A41" s="122">
        <f t="shared" si="11"/>
        <v>120</v>
      </c>
      <c r="B41" s="110" t="s">
        <v>81</v>
      </c>
      <c r="C41" s="123">
        <f t="shared" si="13"/>
        <v>120</v>
      </c>
      <c r="D41" s="124" t="s">
        <v>176</v>
      </c>
      <c r="E41" s="124">
        <f>+'Costo Relleno Chocolate '!E76</f>
        <v>0</v>
      </c>
      <c r="F41" s="124">
        <f t="shared" si="14"/>
        <v>0</v>
      </c>
      <c r="G41" s="125">
        <f t="shared" si="12"/>
        <v>0</v>
      </c>
      <c r="H41" s="129" t="s">
        <v>42</v>
      </c>
      <c r="I41" s="129"/>
      <c r="J41" s="127"/>
    </row>
    <row r="42" spans="1:12" ht="13.5" x14ac:dyDescent="0.25">
      <c r="A42" s="122">
        <f t="shared" si="11"/>
        <v>150</v>
      </c>
      <c r="B42" s="128" t="s">
        <v>84</v>
      </c>
      <c r="C42" s="123">
        <f>+A42</f>
        <v>150</v>
      </c>
      <c r="D42" s="124" t="s">
        <v>172</v>
      </c>
      <c r="E42" s="124">
        <f>+[3]Hoja2!$E$76</f>
        <v>1.0640000000000001E-4</v>
      </c>
      <c r="F42" s="124">
        <f>IFERROR(E42*C42,"")</f>
        <v>1.5960000000000002E-2</v>
      </c>
      <c r="G42" s="125">
        <f t="shared" si="12"/>
        <v>4.4944019525540908E-6</v>
      </c>
      <c r="H42" s="129" t="s">
        <v>42</v>
      </c>
      <c r="I42" s="129"/>
      <c r="J42" s="127"/>
    </row>
    <row r="43" spans="1:12" ht="13.5" x14ac:dyDescent="0.25">
      <c r="A43" s="122">
        <f t="shared" si="11"/>
        <v>10</v>
      </c>
      <c r="B43" s="110" t="s">
        <v>88</v>
      </c>
      <c r="C43" s="123">
        <f>+A43</f>
        <v>10</v>
      </c>
      <c r="D43" s="124" t="s">
        <v>172</v>
      </c>
      <c r="E43" s="124">
        <f>+'Costo sirope rojo'!E76</f>
        <v>0</v>
      </c>
      <c r="F43" s="124">
        <f>IFERROR(E43*C43,"")</f>
        <v>0</v>
      </c>
      <c r="G43" s="125">
        <f t="shared" si="12"/>
        <v>0</v>
      </c>
      <c r="H43" s="129" t="s">
        <v>42</v>
      </c>
      <c r="I43" s="129"/>
      <c r="J43" s="127"/>
    </row>
    <row r="44" spans="1:12" ht="13.5" x14ac:dyDescent="0.25">
      <c r="A44" s="122">
        <f t="shared" si="11"/>
        <v>50</v>
      </c>
      <c r="B44" s="128" t="s">
        <v>89</v>
      </c>
      <c r="C44" s="123">
        <f t="shared" si="13"/>
        <v>50</v>
      </c>
      <c r="D44" s="124" t="s">
        <v>172</v>
      </c>
      <c r="E44" s="124">
        <f>+'Costo Crema Fresa'!E76</f>
        <v>1.0640000000000001E-4</v>
      </c>
      <c r="F44" s="124">
        <f t="shared" si="14"/>
        <v>5.3200000000000009E-3</v>
      </c>
      <c r="G44" s="125">
        <f t="shared" si="12"/>
        <v>1.4981339841846969E-6</v>
      </c>
      <c r="H44" s="129" t="s">
        <v>42</v>
      </c>
      <c r="I44" s="129"/>
      <c r="J44" s="127"/>
    </row>
    <row r="45" spans="1:12" ht="13.5" x14ac:dyDescent="0.25">
      <c r="A45" s="122">
        <f t="shared" si="11"/>
        <v>40</v>
      </c>
      <c r="B45" s="128" t="str">
        <f>IFERROR(VLOOKUP(H45,[1]SEMIELABORADOS!$A$2:$M$6000,2,0),"")</f>
        <v>CREMA CHANTILLY CHOCO SPOON KILO</v>
      </c>
      <c r="C45" s="123">
        <f t="shared" ref="C45" si="15">+A45</f>
        <v>40</v>
      </c>
      <c r="D45" s="124" t="str">
        <f>IFERROR(VLOOKUP(H45,[1]SEMIELABORADOS!$A$2:$M$6000,6,0),"")</f>
        <v>Gramo</v>
      </c>
      <c r="E45" s="124">
        <f>IFERROR(VLOOKUP(H45,[1]SEMIELABORADOS!$A$2:$M$65536,10,0),"")</f>
        <v>8.5119999999999998E-5</v>
      </c>
      <c r="F45" s="124">
        <f t="shared" ref="F45" si="16">IFERROR(E45*C45,"")</f>
        <v>3.4047999999999999E-3</v>
      </c>
      <c r="G45" s="125">
        <f t="shared" si="12"/>
        <v>9.5880574987820591E-7</v>
      </c>
      <c r="H45" s="129" t="s">
        <v>177</v>
      </c>
      <c r="I45" s="129"/>
      <c r="J45" s="127"/>
    </row>
    <row r="46" spans="1:12" ht="13.5" x14ac:dyDescent="0.25">
      <c r="A46" s="122">
        <f t="shared" si="11"/>
        <v>150</v>
      </c>
      <c r="B46" s="128" t="str">
        <f>IFERROR(VLOOKUP(H46,[1]SEMIELABORADOS!$A$2:$M$6000,2,0),"")</f>
        <v/>
      </c>
      <c r="C46" s="123">
        <f t="shared" si="13"/>
        <v>150</v>
      </c>
      <c r="D46" s="124" t="str">
        <f>IFERROR(VLOOKUP(H46,[1]SEMIELABORADOS!$A$2:$M$6000,6,0),"")</f>
        <v/>
      </c>
      <c r="E46" s="124" t="str">
        <f>IFERROR(VLOOKUP(H46,[1]SEMIELABORADOS!$A$2:$M$65536,10,0),"")</f>
        <v/>
      </c>
      <c r="F46" s="124" t="str">
        <f t="shared" si="14"/>
        <v/>
      </c>
      <c r="G46" s="125" t="str">
        <f t="shared" si="12"/>
        <v/>
      </c>
      <c r="H46" s="129"/>
      <c r="I46" s="129"/>
      <c r="J46" s="127"/>
    </row>
    <row r="47" spans="1:12" ht="14.25" thickBot="1" x14ac:dyDescent="0.3">
      <c r="A47" s="122"/>
      <c r="B47" s="128"/>
      <c r="C47" s="123"/>
      <c r="D47" s="124"/>
      <c r="E47" s="124"/>
      <c r="F47" s="124"/>
      <c r="G47" s="125"/>
      <c r="H47" s="129"/>
      <c r="I47" s="129"/>
      <c r="J47" s="127"/>
    </row>
    <row r="48" spans="1:12" ht="26.25" thickBot="1" x14ac:dyDescent="0.3">
      <c r="A48" s="117" t="s">
        <v>127</v>
      </c>
      <c r="B48" s="118" t="s">
        <v>136</v>
      </c>
      <c r="C48" s="118" t="s">
        <v>127</v>
      </c>
      <c r="D48" s="119" t="s">
        <v>129</v>
      </c>
      <c r="E48" s="119" t="s">
        <v>130</v>
      </c>
      <c r="F48" s="119" t="s">
        <v>131</v>
      </c>
      <c r="G48" s="119" t="s">
        <v>132</v>
      </c>
      <c r="H48" s="120" t="s">
        <v>133</v>
      </c>
      <c r="I48" s="121"/>
      <c r="J48" s="127"/>
    </row>
    <row r="49" spans="1:17" ht="13.5" x14ac:dyDescent="0.25">
      <c r="A49" s="122">
        <f t="shared" ref="A49:A55" si="17">+A39</f>
        <v>1.5</v>
      </c>
      <c r="B49" s="110" t="s">
        <v>77</v>
      </c>
      <c r="C49" s="123">
        <f>+A49</f>
        <v>1.5</v>
      </c>
      <c r="D49" s="124" t="s">
        <v>175</v>
      </c>
      <c r="E49" s="124">
        <v>29.75</v>
      </c>
      <c r="F49" s="124">
        <f>IFERROR(E49*C49,"")</f>
        <v>44.625</v>
      </c>
      <c r="G49" s="125">
        <f>IFERROR(F49/$F$72,"")</f>
        <v>1.2566584406812423E-2</v>
      </c>
      <c r="H49" s="129" t="s">
        <v>75</v>
      </c>
      <c r="I49" s="121"/>
      <c r="J49" s="127"/>
    </row>
    <row r="50" spans="1:17" ht="13.5" x14ac:dyDescent="0.25">
      <c r="A50" s="122">
        <f t="shared" si="17"/>
        <v>100</v>
      </c>
      <c r="B50" s="110" t="s">
        <v>80</v>
      </c>
      <c r="C50" s="123">
        <f t="shared" ref="C50:C56" si="18">+A50</f>
        <v>100</v>
      </c>
      <c r="D50" s="124" t="s">
        <v>172</v>
      </c>
      <c r="E50" s="124">
        <f>+'Costo relleno de Fresa'!E74</f>
        <v>0.1967741935483871</v>
      </c>
      <c r="F50" s="124">
        <f t="shared" ref="F50:F56" si="19">IFERROR(E50*C50,"")</f>
        <v>19.677419354838712</v>
      </c>
      <c r="G50" s="125">
        <f t="shared" ref="G50:G56" si="20">IFERROR(F50/$F$72,"")</f>
        <v>5.5412426046123273E-3</v>
      </c>
      <c r="H50" s="129" t="s">
        <v>42</v>
      </c>
      <c r="I50" s="121"/>
      <c r="J50" s="127"/>
      <c r="M50" s="132"/>
    </row>
    <row r="51" spans="1:17" ht="13.5" x14ac:dyDescent="0.25">
      <c r="A51" s="122">
        <f t="shared" si="17"/>
        <v>120</v>
      </c>
      <c r="B51" s="110" t="s">
        <v>81</v>
      </c>
      <c r="C51" s="123">
        <f t="shared" si="18"/>
        <v>120</v>
      </c>
      <c r="D51" s="124" t="s">
        <v>172</v>
      </c>
      <c r="E51" s="124">
        <f>+'Costo Relleno Chocolate '!E74</f>
        <v>0.13555555555555557</v>
      </c>
      <c r="F51" s="124">
        <f t="shared" si="19"/>
        <v>16.266666666666669</v>
      </c>
      <c r="G51" s="125">
        <f t="shared" si="20"/>
        <v>4.5807605531461909E-3</v>
      </c>
      <c r="H51" s="129" t="s">
        <v>42</v>
      </c>
      <c r="I51" s="121"/>
      <c r="J51" s="127"/>
    </row>
    <row r="52" spans="1:17" ht="13.5" x14ac:dyDescent="0.25">
      <c r="A52" s="122">
        <f t="shared" si="17"/>
        <v>150</v>
      </c>
      <c r="B52" s="128" t="s">
        <v>84</v>
      </c>
      <c r="C52" s="123">
        <f t="shared" si="18"/>
        <v>150</v>
      </c>
      <c r="D52" s="124" t="s">
        <v>172</v>
      </c>
      <c r="E52" s="124">
        <f>+[3]Hoja2!$E$74</f>
        <v>3.0499999999999999E-2</v>
      </c>
      <c r="F52" s="124">
        <f t="shared" si="19"/>
        <v>4.5750000000000002</v>
      </c>
      <c r="G52" s="125">
        <f t="shared" si="20"/>
        <v>1.288338905572366E-3</v>
      </c>
      <c r="H52" s="129" t="s">
        <v>42</v>
      </c>
      <c r="I52" s="121"/>
      <c r="J52" s="127"/>
    </row>
    <row r="53" spans="1:17" ht="13.5" x14ac:dyDescent="0.25">
      <c r="A53" s="122">
        <f t="shared" si="17"/>
        <v>10</v>
      </c>
      <c r="B53" s="110" t="s">
        <v>88</v>
      </c>
      <c r="C53" s="123">
        <f t="shared" si="18"/>
        <v>10</v>
      </c>
      <c r="D53" s="124" t="s">
        <v>172</v>
      </c>
      <c r="E53" s="124">
        <f>+'Costo sirope rojo'!E74</f>
        <v>0.61</v>
      </c>
      <c r="F53" s="124">
        <f t="shared" si="19"/>
        <v>6.1</v>
      </c>
      <c r="G53" s="125">
        <f t="shared" si="20"/>
        <v>1.7177852074298213E-3</v>
      </c>
      <c r="H53" s="129" t="s">
        <v>42</v>
      </c>
      <c r="I53" s="121"/>
      <c r="J53" s="127"/>
    </row>
    <row r="54" spans="1:17" ht="13.5" x14ac:dyDescent="0.25">
      <c r="A54" s="122">
        <f t="shared" si="17"/>
        <v>50</v>
      </c>
      <c r="B54" s="128" t="s">
        <v>89</v>
      </c>
      <c r="C54" s="123">
        <f t="shared" si="18"/>
        <v>50</v>
      </c>
      <c r="D54" s="124" t="s">
        <v>172</v>
      </c>
      <c r="E54" s="124">
        <f>+'Costo Crema Fresa'!E74</f>
        <v>3.0499999999999999E-2</v>
      </c>
      <c r="F54" s="124">
        <f t="shared" si="19"/>
        <v>1.5249999999999999</v>
      </c>
      <c r="G54" s="125">
        <f t="shared" si="20"/>
        <v>4.2944630185745531E-4</v>
      </c>
      <c r="H54" s="129" t="s">
        <v>42</v>
      </c>
      <c r="I54" s="121"/>
      <c r="J54" s="127"/>
    </row>
    <row r="55" spans="1:17" ht="13.5" x14ac:dyDescent="0.25">
      <c r="A55" s="122">
        <f t="shared" si="17"/>
        <v>40</v>
      </c>
      <c r="B55" s="128" t="str">
        <f>IFERROR(VLOOKUP(H55,[1]SEMIELABORADOS!$A$2:$M$6000,2,0),"")</f>
        <v>CREMA CHANTILLY CHOCO SPOON KILO</v>
      </c>
      <c r="C55" s="123">
        <f t="shared" ref="C55" si="21">+A55</f>
        <v>40</v>
      </c>
      <c r="D55" s="124" t="str">
        <f>IFERROR(VLOOKUP(H55,[1]SEMIELABORADOS!$A$2:$M$6000,6,0),"")</f>
        <v>Gramo</v>
      </c>
      <c r="E55" s="124">
        <f>IFERROR(VLOOKUP(H55,[1]SEMIELABORADOS!$A$2:$M$65536,12,0),"")</f>
        <v>0.48845084320837695</v>
      </c>
      <c r="F55" s="124">
        <f t="shared" ref="F55" si="22">IFERROR(E55*C55,"")</f>
        <v>19.53803372833508</v>
      </c>
      <c r="G55" s="125">
        <f t="shared" ref="G55" si="23">IFERROR(F55/$F$72,"")</f>
        <v>5.5019910361965444E-3</v>
      </c>
      <c r="H55" s="129" t="s">
        <v>177</v>
      </c>
      <c r="I55" s="121"/>
      <c r="J55" s="127"/>
    </row>
    <row r="56" spans="1:17" ht="13.5" x14ac:dyDescent="0.25">
      <c r="A56" s="122">
        <f t="shared" ref="A56" si="24">+A46</f>
        <v>150</v>
      </c>
      <c r="B56" s="128" t="str">
        <f>IFERROR(VLOOKUP(H56,[1]SEMIELABORADOS!$A$2:$M$6000,2,0),"")</f>
        <v/>
      </c>
      <c r="C56" s="123">
        <f t="shared" si="18"/>
        <v>150</v>
      </c>
      <c r="D56" s="124" t="str">
        <f>IFERROR(VLOOKUP(H56,[1]SEMIELABORADOS!$A$2:$M$6000,6,0),"")</f>
        <v/>
      </c>
      <c r="E56" s="124" t="str">
        <f>IFERROR(VLOOKUP(H56,[1]SEMIELABORADOS!$A$2:$M$65536,12,0),"")</f>
        <v/>
      </c>
      <c r="F56" s="124" t="str">
        <f t="shared" si="19"/>
        <v/>
      </c>
      <c r="G56" s="125" t="str">
        <f t="shared" si="20"/>
        <v/>
      </c>
      <c r="H56" s="128"/>
      <c r="I56" s="121"/>
      <c r="J56" s="127"/>
    </row>
    <row r="57" spans="1:17" ht="13.5" x14ac:dyDescent="0.25">
      <c r="A57" s="122">
        <v>1</v>
      </c>
      <c r="B57" s="128" t="s">
        <v>137</v>
      </c>
      <c r="C57" s="123">
        <f>+A57</f>
        <v>1</v>
      </c>
      <c r="D57" s="123" t="s">
        <v>138</v>
      </c>
      <c r="E57" s="124">
        <f>+F71</f>
        <v>427</v>
      </c>
      <c r="F57" s="124">
        <f>IFERROR(C57*E57,"")</f>
        <v>427</v>
      </c>
      <c r="G57" s="125">
        <f>IFERROR(F57/$F$72,"")</f>
        <v>0.1202449645200875</v>
      </c>
      <c r="H57" s="133"/>
      <c r="I57" s="133"/>
      <c r="J57" s="127"/>
    </row>
    <row r="58" spans="1:17" ht="14.25" thickBot="1" x14ac:dyDescent="0.3">
      <c r="A58" s="122"/>
      <c r="B58" s="128"/>
      <c r="C58" s="123"/>
      <c r="D58" s="123"/>
      <c r="E58" s="124"/>
      <c r="F58" s="124"/>
      <c r="G58" s="125"/>
      <c r="H58" s="133"/>
      <c r="I58" s="133"/>
      <c r="J58" s="127"/>
    </row>
    <row r="59" spans="1:17" ht="13.5" thickBot="1" x14ac:dyDescent="0.3">
      <c r="A59" s="134"/>
      <c r="B59" s="611" t="s">
        <v>139</v>
      </c>
      <c r="C59" s="611"/>
      <c r="D59" s="611"/>
      <c r="E59" s="611"/>
      <c r="F59" s="136">
        <f>SUM(F8:F14,F17:F24)</f>
        <v>2467.1123216845881</v>
      </c>
      <c r="G59" s="125">
        <f>+F59/$F$72</f>
        <v>0.69474902479633249</v>
      </c>
      <c r="H59" s="137">
        <f>+F59/$D$66</f>
        <v>2467.1123216845881</v>
      </c>
      <c r="I59" s="137"/>
      <c r="J59" s="138"/>
      <c r="K59" s="139"/>
      <c r="L59" s="139"/>
      <c r="M59" s="139"/>
      <c r="N59" s="139"/>
      <c r="O59" s="139"/>
      <c r="P59" s="139"/>
      <c r="Q59" s="140"/>
    </row>
    <row r="60" spans="1:17" x14ac:dyDescent="0.2">
      <c r="A60" s="134"/>
      <c r="B60" s="611" t="s">
        <v>140</v>
      </c>
      <c r="C60" s="611"/>
      <c r="D60" s="611"/>
      <c r="E60" s="611"/>
      <c r="F60" s="136">
        <f>SUM(F27:F36,F39:F46)</f>
        <v>607.62968479999995</v>
      </c>
      <c r="G60" s="125">
        <f>+F60/$F$72</f>
        <v>0.17111103018765325</v>
      </c>
      <c r="H60" s="137">
        <f>+F60/$D$66</f>
        <v>607.62968479999995</v>
      </c>
      <c r="I60" s="137"/>
      <c r="J60" s="141"/>
      <c r="K60" s="612" t="s">
        <v>141</v>
      </c>
      <c r="L60" s="613"/>
      <c r="M60" s="613"/>
      <c r="N60" s="613"/>
      <c r="O60" s="142">
        <f>+F61</f>
        <v>3074.7420064845883</v>
      </c>
      <c r="P60" s="142"/>
      <c r="Q60" s="143"/>
    </row>
    <row r="61" spans="1:17" x14ac:dyDescent="0.2">
      <c r="A61" s="134"/>
      <c r="B61" s="611" t="s">
        <v>142</v>
      </c>
      <c r="C61" s="611"/>
      <c r="D61" s="611"/>
      <c r="E61" s="611"/>
      <c r="F61" s="136">
        <f>+F59+F60</f>
        <v>3074.7420064845883</v>
      </c>
      <c r="G61" s="125">
        <f>+F61/$F$72</f>
        <v>0.86586005498398588</v>
      </c>
      <c r="H61" s="137">
        <f>+F61/$D$66</f>
        <v>3074.7420064845883</v>
      </c>
      <c r="I61" s="137"/>
      <c r="J61" s="144"/>
      <c r="K61" s="145"/>
      <c r="M61" s="146" t="s">
        <v>143</v>
      </c>
      <c r="N61" s="147"/>
      <c r="O61" s="142">
        <f>+H62</f>
        <v>539.30711974984047</v>
      </c>
      <c r="P61" s="142"/>
      <c r="Q61" s="143"/>
    </row>
    <row r="62" spans="1:17" ht="13.5" thickBot="1" x14ac:dyDescent="0.25">
      <c r="A62" s="134"/>
      <c r="B62" s="135"/>
      <c r="C62" s="611" t="s">
        <v>144</v>
      </c>
      <c r="D62" s="611"/>
      <c r="E62" s="611"/>
      <c r="F62" s="136">
        <f>SUM(F49:F57)</f>
        <v>539.30711974984047</v>
      </c>
      <c r="G62" s="125">
        <f>+F62/$F$72</f>
        <v>0.15187111353571461</v>
      </c>
      <c r="H62" s="137">
        <f>+F62/$D$66</f>
        <v>539.30711974984047</v>
      </c>
      <c r="I62" s="137"/>
      <c r="J62" s="144"/>
      <c r="K62" s="145"/>
      <c r="L62" s="145"/>
      <c r="M62" s="145" t="s">
        <v>145</v>
      </c>
      <c r="N62" s="148"/>
      <c r="O62" s="142">
        <f>O60*N62</f>
        <v>0</v>
      </c>
      <c r="P62" s="142"/>
      <c r="Q62" s="143"/>
    </row>
    <row r="63" spans="1:17" ht="13.5" thickBot="1" x14ac:dyDescent="0.25">
      <c r="A63" s="134"/>
      <c r="B63" s="149"/>
      <c r="C63" s="149"/>
      <c r="D63" s="149"/>
      <c r="E63" s="149"/>
      <c r="F63" s="150"/>
      <c r="G63" s="125"/>
      <c r="H63" s="151"/>
      <c r="I63" s="137"/>
      <c r="J63" s="144"/>
      <c r="K63" s="152"/>
      <c r="M63" s="153" t="s">
        <v>146</v>
      </c>
      <c r="N63" s="154"/>
      <c r="O63" s="155">
        <f>SUM(O60:O62)</f>
        <v>3614.0491262344285</v>
      </c>
      <c r="P63" s="156"/>
      <c r="Q63" s="143"/>
    </row>
    <row r="64" spans="1:17" x14ac:dyDescent="0.2">
      <c r="B64" s="614" t="s">
        <v>147</v>
      </c>
      <c r="C64" s="614"/>
      <c r="D64" s="157">
        <v>1000</v>
      </c>
      <c r="E64" s="158"/>
      <c r="G64" s="125"/>
      <c r="H64" s="151">
        <f>+H62/61</f>
        <v>8.8411003237678774</v>
      </c>
      <c r="I64" s="159"/>
      <c r="J64" s="144"/>
      <c r="K64" s="152"/>
      <c r="L64" s="145"/>
      <c r="M64" s="145" t="s">
        <v>148</v>
      </c>
      <c r="N64" s="160"/>
      <c r="O64" s="142">
        <f>+H65</f>
        <v>512.7838187785369</v>
      </c>
      <c r="P64" s="142"/>
      <c r="Q64" s="143"/>
    </row>
    <row r="65" spans="2:17" x14ac:dyDescent="0.2">
      <c r="B65" s="614" t="s">
        <v>149</v>
      </c>
      <c r="C65" s="614"/>
      <c r="D65" s="161">
        <v>1000</v>
      </c>
      <c r="E65" s="158"/>
      <c r="G65" s="125"/>
      <c r="H65" s="151">
        <f>+H64*58</f>
        <v>512.7838187785369</v>
      </c>
      <c r="I65" s="159"/>
      <c r="J65" s="144"/>
      <c r="K65" s="152"/>
      <c r="L65" s="145"/>
      <c r="M65" s="615" t="s">
        <v>146</v>
      </c>
      <c r="N65" s="615"/>
      <c r="O65" s="142">
        <f>SUM(O63:O64)</f>
        <v>4126.8329450129659</v>
      </c>
      <c r="P65" s="142"/>
      <c r="Q65" s="143"/>
    </row>
    <row r="66" spans="2:17" ht="13.5" thickBot="1" x14ac:dyDescent="0.25">
      <c r="B66" s="607" t="s">
        <v>150</v>
      </c>
      <c r="C66" s="607"/>
      <c r="D66" s="157">
        <f>+D64/D65</f>
        <v>1</v>
      </c>
      <c r="E66" s="158"/>
      <c r="F66" s="162"/>
      <c r="G66" s="125"/>
      <c r="H66" s="151"/>
      <c r="I66" s="159"/>
      <c r="J66" s="144"/>
      <c r="K66" s="152"/>
      <c r="L66" s="615"/>
      <c r="M66" s="615"/>
      <c r="N66" s="160"/>
      <c r="O66" s="142">
        <f>+O65*N66</f>
        <v>0</v>
      </c>
      <c r="P66" s="142"/>
      <c r="Q66" s="143"/>
    </row>
    <row r="67" spans="2:17" ht="13.5" thickBot="1" x14ac:dyDescent="0.25">
      <c r="B67" s="607" t="s">
        <v>151</v>
      </c>
      <c r="C67" s="607"/>
      <c r="D67" s="163"/>
      <c r="E67" s="158"/>
      <c r="F67" s="162"/>
      <c r="G67" s="125"/>
      <c r="H67" s="151"/>
      <c r="I67" s="159"/>
      <c r="J67" s="144"/>
      <c r="K67" s="608" t="s">
        <v>152</v>
      </c>
      <c r="L67" s="609"/>
      <c r="M67" s="609"/>
      <c r="N67" s="610"/>
      <c r="O67" s="155">
        <f>SUM(O65:O66)</f>
        <v>4126.8329450129659</v>
      </c>
      <c r="P67" s="164" t="s">
        <v>153</v>
      </c>
      <c r="Q67" s="143"/>
    </row>
    <row r="68" spans="2:17" ht="13.5" thickBot="1" x14ac:dyDescent="0.25">
      <c r="C68" s="134" t="s">
        <v>154</v>
      </c>
      <c r="D68" s="165"/>
      <c r="E68" s="108" t="s">
        <v>155</v>
      </c>
      <c r="F68" s="166" t="s">
        <v>156</v>
      </c>
      <c r="G68" s="125"/>
      <c r="H68" s="151"/>
      <c r="I68" s="159"/>
      <c r="J68" s="167"/>
      <c r="K68" s="168"/>
      <c r="L68" s="621" t="s">
        <v>157</v>
      </c>
      <c r="M68" s="621"/>
      <c r="N68" s="621"/>
      <c r="O68" s="169">
        <f>+O67/D66</f>
        <v>4126.8329450129659</v>
      </c>
      <c r="P68" s="170">
        <f>+O68/D65</f>
        <v>4.1268329450129659</v>
      </c>
      <c r="Q68" s="171"/>
    </row>
    <row r="69" spans="2:17" ht="13.5" thickBot="1" x14ac:dyDescent="0.25">
      <c r="B69" s="622" t="s">
        <v>142</v>
      </c>
      <c r="C69" s="622"/>
      <c r="D69" s="622"/>
      <c r="E69" s="172">
        <f>+F69/F69</f>
        <v>1</v>
      </c>
      <c r="F69" s="173">
        <f>SUM(F61)</f>
        <v>3074.7420064845883</v>
      </c>
      <c r="G69" s="125">
        <f>+F69/$F$72</f>
        <v>0.86586005498398588</v>
      </c>
      <c r="H69" s="151"/>
      <c r="I69" s="159"/>
      <c r="K69" s="623"/>
      <c r="L69" s="624"/>
      <c r="M69" s="624"/>
      <c r="N69" s="624"/>
      <c r="O69" s="174"/>
      <c r="P69" s="175"/>
    </row>
    <row r="70" spans="2:17" ht="13.5" thickBot="1" x14ac:dyDescent="0.3">
      <c r="B70" s="625" t="s">
        <v>158</v>
      </c>
      <c r="C70" s="625"/>
      <c r="D70" s="625"/>
      <c r="E70" s="176">
        <v>0.02</v>
      </c>
      <c r="F70" s="173">
        <f>+F59*E70</f>
        <v>49.342246433691763</v>
      </c>
      <c r="G70" s="125">
        <f>+F70/$F$72</f>
        <v>1.389498049592665E-2</v>
      </c>
      <c r="H70" s="137"/>
      <c r="I70" s="159"/>
      <c r="J70" s="177"/>
      <c r="O70" s="178">
        <v>3716.21</v>
      </c>
      <c r="P70" s="135"/>
    </row>
    <row r="71" spans="2:17" ht="13.5" thickBot="1" x14ac:dyDescent="0.3">
      <c r="B71" s="626" t="s">
        <v>159</v>
      </c>
      <c r="C71" s="627"/>
      <c r="D71" s="179">
        <v>7</v>
      </c>
      <c r="E71" s="180">
        <v>61</v>
      </c>
      <c r="F71" s="173">
        <f>+E71*D71</f>
        <v>427</v>
      </c>
      <c r="G71" s="125">
        <f>+F71/$F$72</f>
        <v>0.1202449645200875</v>
      </c>
      <c r="H71" s="137"/>
      <c r="I71" s="137"/>
      <c r="J71" s="127"/>
    </row>
    <row r="72" spans="2:17" ht="13.5" thickBot="1" x14ac:dyDescent="0.3">
      <c r="B72" s="628" t="s">
        <v>160</v>
      </c>
      <c r="C72" s="629"/>
      <c r="D72" s="629"/>
      <c r="E72" s="630"/>
      <c r="F72" s="150">
        <f>SUM(F69:F71)</f>
        <v>3551.0842529182801</v>
      </c>
      <c r="G72" s="125">
        <f>+F72/$F$72</f>
        <v>1</v>
      </c>
      <c r="H72" s="631"/>
      <c r="I72" s="137"/>
      <c r="J72" s="127"/>
      <c r="M72" s="110" t="s">
        <v>161</v>
      </c>
    </row>
    <row r="73" spans="2:17" x14ac:dyDescent="0.25">
      <c r="C73" s="132"/>
      <c r="D73" s="132"/>
      <c r="E73" s="182"/>
      <c r="F73" s="173"/>
      <c r="G73" s="125"/>
      <c r="H73" s="631"/>
      <c r="I73" s="181"/>
      <c r="J73" s="110"/>
      <c r="M73" s="110" t="s">
        <v>162</v>
      </c>
    </row>
    <row r="74" spans="2:17" ht="13.5" thickBot="1" x14ac:dyDescent="0.3">
      <c r="B74" s="616" t="s">
        <v>163</v>
      </c>
      <c r="C74" s="616"/>
      <c r="D74" s="616"/>
      <c r="E74" s="616"/>
      <c r="F74" s="616"/>
      <c r="G74" s="125"/>
      <c r="H74" s="184"/>
      <c r="I74" s="181"/>
      <c r="J74" s="110"/>
      <c r="M74" s="110" t="s">
        <v>164</v>
      </c>
    </row>
    <row r="75" spans="2:17" ht="13.5" thickBot="1" x14ac:dyDescent="0.3">
      <c r="B75" s="185" t="s">
        <v>165</v>
      </c>
      <c r="C75" s="186">
        <f>+F59</f>
        <v>2467.1123216845881</v>
      </c>
      <c r="D75" s="186">
        <f>+D64</f>
        <v>1000</v>
      </c>
      <c r="E75" s="187">
        <f>+C75/D75</f>
        <v>2.467112321684588</v>
      </c>
      <c r="F75" s="125"/>
      <c r="G75" s="184"/>
      <c r="H75" s="127"/>
      <c r="I75" s="184"/>
      <c r="J75" s="110"/>
    </row>
    <row r="76" spans="2:17" x14ac:dyDescent="0.25">
      <c r="B76" s="188"/>
      <c r="C76" s="189"/>
      <c r="D76" s="190"/>
      <c r="E76" s="173"/>
      <c r="F76" s="125"/>
      <c r="G76" s="184"/>
      <c r="H76" s="127"/>
      <c r="I76" s="127"/>
      <c r="J76" s="110"/>
    </row>
    <row r="77" spans="2:17" x14ac:dyDescent="0.25">
      <c r="B77" s="185" t="s">
        <v>166</v>
      </c>
      <c r="C77" s="186">
        <f>SUM(F69:F70)</f>
        <v>3124.0842529182801</v>
      </c>
      <c r="D77" s="186">
        <f>+D64</f>
        <v>1000</v>
      </c>
      <c r="E77" s="191">
        <f>+C77/D77</f>
        <v>3.12408425291828</v>
      </c>
      <c r="F77" s="125"/>
      <c r="G77" s="184"/>
      <c r="H77" s="127"/>
      <c r="I77" s="127"/>
      <c r="J77" s="110"/>
    </row>
    <row r="78" spans="2:17" x14ac:dyDescent="0.25">
      <c r="B78" s="185"/>
      <c r="C78" s="186"/>
      <c r="D78" s="186"/>
      <c r="E78" s="191"/>
      <c r="F78" s="125"/>
      <c r="G78" s="184"/>
      <c r="H78" s="127"/>
      <c r="I78" s="127"/>
      <c r="J78" s="110"/>
    </row>
    <row r="79" spans="2:17" ht="13.5" thickBot="1" x14ac:dyDescent="0.3">
      <c r="B79" s="185" t="s">
        <v>167</v>
      </c>
      <c r="C79" s="186">
        <f>+F71</f>
        <v>427</v>
      </c>
      <c r="D79" s="186">
        <f>+D64</f>
        <v>1000</v>
      </c>
      <c r="E79" s="191">
        <f>+C79/D79</f>
        <v>0.42699999999999999</v>
      </c>
      <c r="F79" s="125"/>
      <c r="G79" s="184"/>
      <c r="H79" s="127"/>
      <c r="I79" s="127"/>
      <c r="J79" s="110"/>
    </row>
    <row r="80" spans="2:17" ht="13.5" thickBot="1" x14ac:dyDescent="0.3">
      <c r="B80" s="185" t="s">
        <v>168</v>
      </c>
      <c r="C80" s="186">
        <f>+F62</f>
        <v>539.30711974984047</v>
      </c>
      <c r="D80" s="186">
        <f>+D79</f>
        <v>1000</v>
      </c>
      <c r="E80" s="187">
        <f>+C80/D80</f>
        <v>0.53930711974984047</v>
      </c>
      <c r="F80" s="125"/>
      <c r="G80" s="184"/>
      <c r="H80" s="127"/>
      <c r="I80" s="127"/>
      <c r="J80" s="110"/>
    </row>
    <row r="81" spans="1:10" ht="13.5" thickBot="1" x14ac:dyDescent="0.3">
      <c r="B81" s="149"/>
      <c r="C81" s="150"/>
      <c r="D81" s="150"/>
      <c r="E81" s="191"/>
      <c r="F81" s="125"/>
      <c r="G81" s="184"/>
      <c r="H81" s="127"/>
      <c r="I81" s="127"/>
      <c r="J81" s="110"/>
    </row>
    <row r="82" spans="1:10" ht="13.5" thickBot="1" x14ac:dyDescent="0.3">
      <c r="B82" s="185" t="s">
        <v>169</v>
      </c>
      <c r="C82" s="186">
        <f>+F60</f>
        <v>607.62968479999995</v>
      </c>
      <c r="D82" s="186">
        <f>+D80</f>
        <v>1000</v>
      </c>
      <c r="E82" s="187">
        <f>+C82/D82</f>
        <v>0.6076296847999999</v>
      </c>
      <c r="F82" s="125"/>
      <c r="G82" s="184"/>
      <c r="H82" s="127"/>
      <c r="I82" s="127"/>
      <c r="J82" s="127"/>
    </row>
    <row r="83" spans="1:10" ht="13.5" thickBot="1" x14ac:dyDescent="0.3">
      <c r="B83" s="149"/>
      <c r="C83" s="150"/>
      <c r="D83" s="150"/>
      <c r="E83" s="191"/>
      <c r="F83" s="125"/>
      <c r="G83" s="184"/>
      <c r="H83" s="127"/>
      <c r="I83" s="127"/>
    </row>
    <row r="84" spans="1:10" ht="13.5" thickBot="1" x14ac:dyDescent="0.3">
      <c r="B84" s="617" t="s">
        <v>170</v>
      </c>
      <c r="C84" s="618"/>
      <c r="D84" s="619"/>
      <c r="E84" s="187">
        <f>+E75+E80</f>
        <v>3.0064194414344287</v>
      </c>
      <c r="G84" s="125"/>
      <c r="H84" s="184"/>
      <c r="I84" s="127"/>
      <c r="J84" s="191"/>
    </row>
    <row r="85" spans="1:10" x14ac:dyDescent="0.25">
      <c r="I85" s="184"/>
      <c r="J85" s="110"/>
    </row>
    <row r="86" spans="1:10" ht="13.5" thickBot="1" x14ac:dyDescent="0.3">
      <c r="B86" s="616" t="s">
        <v>171</v>
      </c>
      <c r="C86" s="616"/>
      <c r="D86" s="616"/>
      <c r="E86" s="616"/>
      <c r="F86" s="616"/>
      <c r="G86" s="125"/>
      <c r="H86" s="184"/>
      <c r="J86" s="110"/>
    </row>
    <row r="87" spans="1:10" ht="13.5" thickBot="1" x14ac:dyDescent="0.3">
      <c r="B87" s="185" t="s">
        <v>165</v>
      </c>
      <c r="C87" s="186">
        <f>+C75</f>
        <v>2467.1123216845881</v>
      </c>
      <c r="D87" s="186">
        <f>+D66</f>
        <v>1</v>
      </c>
      <c r="E87" s="187">
        <f>+C87/D87</f>
        <v>2467.1123216845881</v>
      </c>
      <c r="F87" s="125"/>
      <c r="G87" s="184"/>
      <c r="H87" s="127"/>
      <c r="I87" s="184"/>
      <c r="J87" s="110"/>
    </row>
    <row r="88" spans="1:10" x14ac:dyDescent="0.25">
      <c r="B88" s="188"/>
      <c r="C88" s="189"/>
      <c r="D88" s="190"/>
      <c r="E88" s="173"/>
      <c r="F88" s="125"/>
      <c r="G88" s="184"/>
      <c r="H88" s="127"/>
      <c r="I88" s="127"/>
      <c r="J88" s="110"/>
    </row>
    <row r="89" spans="1:10" x14ac:dyDescent="0.25">
      <c r="B89" s="185" t="s">
        <v>166</v>
      </c>
      <c r="C89" s="186">
        <f>+C77</f>
        <v>3124.0842529182801</v>
      </c>
      <c r="D89" s="186">
        <f>+D66</f>
        <v>1</v>
      </c>
      <c r="E89" s="191">
        <f>+C89/D89</f>
        <v>3124.0842529182801</v>
      </c>
      <c r="F89" s="125"/>
      <c r="G89" s="184"/>
      <c r="H89" s="127"/>
      <c r="I89" s="127"/>
      <c r="J89" s="110"/>
    </row>
    <row r="90" spans="1:10" x14ac:dyDescent="0.25">
      <c r="B90" s="185"/>
      <c r="C90" s="186"/>
      <c r="D90" s="186"/>
      <c r="E90" s="191"/>
      <c r="F90" s="125"/>
      <c r="G90" s="184"/>
      <c r="H90" s="127"/>
      <c r="I90" s="127"/>
      <c r="J90" s="110"/>
    </row>
    <row r="91" spans="1:10" ht="13.5" thickBot="1" x14ac:dyDescent="0.3">
      <c r="B91" s="185" t="s">
        <v>168</v>
      </c>
      <c r="C91" s="186">
        <f>+C79</f>
        <v>427</v>
      </c>
      <c r="D91" s="186">
        <f>+D66</f>
        <v>1</v>
      </c>
      <c r="E91" s="191">
        <f>+C91/D91</f>
        <v>427</v>
      </c>
      <c r="F91" s="193"/>
      <c r="G91" s="183"/>
      <c r="H91" s="109"/>
      <c r="I91" s="127"/>
    </row>
    <row r="92" spans="1:10" ht="13.5" thickBot="1" x14ac:dyDescent="0.3">
      <c r="B92" s="185" t="s">
        <v>168</v>
      </c>
      <c r="C92" s="186">
        <f>+C80</f>
        <v>539.30711974984047</v>
      </c>
      <c r="D92" s="186">
        <f>+D91</f>
        <v>1</v>
      </c>
      <c r="E92" s="187">
        <f>+C92/D92</f>
        <v>539.30711974984047</v>
      </c>
      <c r="F92" s="192"/>
      <c r="G92" s="183"/>
      <c r="H92" s="109"/>
      <c r="I92" s="109"/>
    </row>
    <row r="93" spans="1:10" x14ac:dyDescent="0.25">
      <c r="I93" s="109"/>
    </row>
    <row r="94" spans="1:10" x14ac:dyDescent="0.2">
      <c r="A94" s="620"/>
      <c r="B94" s="620"/>
      <c r="C94" s="194"/>
      <c r="D94" s="194"/>
      <c r="E94" s="195"/>
      <c r="G94" s="196"/>
    </row>
    <row r="95" spans="1:10" x14ac:dyDescent="0.2">
      <c r="A95" s="128"/>
      <c r="B95" s="197"/>
      <c r="C95" s="198"/>
      <c r="D95" s="198"/>
      <c r="E95" s="199"/>
      <c r="G95" s="196"/>
    </row>
    <row r="96" spans="1:10" x14ac:dyDescent="0.2">
      <c r="A96" s="128"/>
      <c r="B96" s="197"/>
      <c r="C96" s="200"/>
      <c r="D96" s="200"/>
      <c r="E96" s="128"/>
      <c r="G96" s="196"/>
    </row>
    <row r="97" spans="1:7" x14ac:dyDescent="0.2">
      <c r="A97" s="128"/>
      <c r="B97" s="197"/>
      <c r="C97" s="201"/>
      <c r="D97" s="201"/>
      <c r="E97" s="128"/>
      <c r="G97" s="196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0:L30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6791E30-CC43-45EB-90DF-D792822BE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</vt:i4>
      </vt:variant>
    </vt:vector>
  </HeadingPairs>
  <TitlesOfParts>
    <vt:vector size="22" baseType="lpstr">
      <vt:lpstr>Relleno fresa</vt:lpstr>
      <vt:lpstr>Relleno de Fresa 2</vt:lpstr>
      <vt:lpstr>Relleno de fresa 3</vt:lpstr>
      <vt:lpstr>Costo relleno de Fresa</vt:lpstr>
      <vt:lpstr>Relleno chocolate</vt:lpstr>
      <vt:lpstr>Relleno de chocolate 2</vt:lpstr>
      <vt:lpstr>Relleno de Chocolate 3</vt:lpstr>
      <vt:lpstr>Costo Relleno Chocolate </vt:lpstr>
      <vt:lpstr>Crema Blanca Bucca 1</vt:lpstr>
      <vt:lpstr>Costo Crema Fresa</vt:lpstr>
      <vt:lpstr>Hoja1</vt:lpstr>
      <vt:lpstr>Costo sirope rojo</vt:lpstr>
      <vt:lpstr>Ensamble torta nucita</vt:lpstr>
      <vt:lpstr>Ensamble 2</vt:lpstr>
      <vt:lpstr>Almibar </vt:lpstr>
      <vt:lpstr>Crema Chantilly Choco</vt:lpstr>
      <vt:lpstr>Premezcla Vainilla Dawn</vt:lpstr>
      <vt:lpstr>Batido Nucleo Vainilla Dawn</vt:lpstr>
      <vt:lpstr>Rosquete Vainilla Dawn 300 g</vt:lpstr>
      <vt:lpstr>Ensamble 3</vt:lpstr>
      <vt:lpstr>costo Ensamble </vt:lpstr>
      <vt:lpstr>'Relleno fresa'!Área_de_impresión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2025-04-04T19:45:40Z</cp:lastPrinted>
  <dcterms:created xsi:type="dcterms:W3CDTF">2023-07-28T19:10:29Z</dcterms:created>
  <dcterms:modified xsi:type="dcterms:W3CDTF">2025-04-14T19:29:40Z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
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3" documentId="8_{22814356-986B-4935-9CE0-96BE5D75687B}" xr6:coauthVersionLast="47" xr6:coauthVersionMax="47" xr10:uidLastSave="{5889ED28-7604-429F-93AE-A11A39861FB4}"/>
  <bookViews>
    <workbookView xWindow="-120" yWindow="-120" windowWidth="20730" windowHeight="11040" xr2:uid="{86A95AF8-34C1-4DB7-AE30-E3F9DEB6557E}"/>
  </bookViews>
  <sheets>
    <sheet name="Degustación Torta Cacique " sheetId="2" r:id="rId1"/>
  </sheets>
  <definedNames>
    <definedName name="_xlnm.Print_Area" localSheetId="0">'Degustación Torta Cacique 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J12" i="2"/>
  <c r="D36" i="2"/>
</calcChain>
</file>

<file path=xl/sharedStrings.xml><?xml version="1.0" encoding="utf-8"?>
<sst xmlns="http://schemas.openxmlformats.org/spreadsheetml/2006/main" count="121" uniqueCount="93">
  <si>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</si>
  <si>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</si>
  <si>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</si>
  <si>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</si>
  <si>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</si>
  <si>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</si>
  <si>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</si>
  <si>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</si>
  <si>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</si>
  <si>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</si>
  <si>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</si>
  <si>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</si>
  <si>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</si>
  <si>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</si>
  <si>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</si>
  <si>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</si>
  <si>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</si>
  <si>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</si>
  <si>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</si>
  <si>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</si>
  <si>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</si>
  <si>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</si>
  <si>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</si>
  <si>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</si>
  <si>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</si>
  <si>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</si>
  <si>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</si>
  <si>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</si>
  <si>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</si>
  <si>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</si>
  <si>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</si>
  <si>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</si>
  <si>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</si>
  <si>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</si>
  <si>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</si>
  <si>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</si>
  <si>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</si>
  <si>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Decoración</t>
  </si>
  <si>
    <t>EM10004</t>
  </si>
  <si>
    <t>ETIPLAST</t>
  </si>
  <si>
    <t>EM10248</t>
  </si>
  <si>
    <t>cm</t>
  </si>
  <si>
    <t>EM10011</t>
  </si>
  <si>
    <t>Cemusa</t>
  </si>
  <si>
    <t>EM10124</t>
  </si>
  <si>
    <t>Mariela Barrantes Sánchez, Chef</t>
  </si>
  <si>
    <t>Figuras</t>
  </si>
  <si>
    <t>907000287</t>
  </si>
  <si>
    <t>SE00454</t>
  </si>
  <si>
    <t>Etiplast</t>
  </si>
  <si>
    <t>Cinta Adhesiva transp. 1/ 2*100 mts</t>
  </si>
  <si>
    <t>10g x ud</t>
  </si>
  <si>
    <t>EM10264</t>
  </si>
  <si>
    <t>CONTEDENOR 4 ONZAS (118 ML)</t>
  </si>
  <si>
    <t>Estuardo</t>
  </si>
  <si>
    <t>EM10266</t>
  </si>
  <si>
    <t>TAPA CONTEDENOR 4 ONZAS (118 ML)</t>
  </si>
  <si>
    <t>Exp pmt</t>
  </si>
  <si>
    <t>Etiq.Fecha Vencimiento Blanco</t>
  </si>
  <si>
    <t>juliano, cada uno y la caja</t>
  </si>
  <si>
    <t>mercadeo, cada uno y la caja</t>
  </si>
  <si>
    <t>Etiqueta Blanca R-153</t>
  </si>
  <si>
    <t>fecha de vencimiento en la caja</t>
  </si>
  <si>
    <t>Etiqueta Blanca 2 5/8X1 15/16</t>
  </si>
  <si>
    <t xml:space="preserve">1 por caja </t>
  </si>
  <si>
    <t>EM10066</t>
  </si>
  <si>
    <t>Caja Six Pack Musmanni</t>
  </si>
  <si>
    <t xml:space="preserve">1. Colocar en cada vasito, primero el rosquete, despues el almibar y majarlo un poco. </t>
  </si>
  <si>
    <t>4. Tapar, guardar 18 unidades, sellar la caja y etiquetar la planta.</t>
  </si>
  <si>
    <t>Sebastian Díaz, Gte Manufactura</t>
  </si>
  <si>
    <t>ROSQUETE EASY VAINILLA BC 310 G</t>
  </si>
  <si>
    <t>SE00024</t>
  </si>
  <si>
    <t>Crema Chocolate Spoon</t>
  </si>
  <si>
    <t>SE00392</t>
  </si>
  <si>
    <t>Procesado Chocolate Rallado Oscuro</t>
  </si>
  <si>
    <t>SE00010</t>
  </si>
  <si>
    <t>Crema Chantilly Blanca (Spoon-Ind)</t>
  </si>
  <si>
    <t>SE00001</t>
  </si>
  <si>
    <t>Ganache Chocolate Oscuro</t>
  </si>
  <si>
    <t>Boquilla #5FT</t>
  </si>
  <si>
    <t>EM10337</t>
  </si>
  <si>
    <t>Etiqueta Regalia Bucca</t>
  </si>
  <si>
    <t>2g x ud</t>
  </si>
  <si>
    <t>1g x ud</t>
  </si>
  <si>
    <t xml:space="preserve">10g x ud </t>
  </si>
  <si>
    <t>20g x ud</t>
  </si>
  <si>
    <t>2. Agregar con ayuda de una manga agregar la crema de chocolate, el procesado de chocolate</t>
  </si>
  <si>
    <t xml:space="preserve">3. Realizar con una manga y la boquilla 5FT el colocho y realizar hilos con el ganache oscuro. </t>
  </si>
  <si>
    <t xml:space="preserve">Almibar de Ron Centenario </t>
  </si>
  <si>
    <t>SE00588</t>
  </si>
  <si>
    <t xml:space="preserve">PTI00290  Degustación Torta Ron Centenerio Chocolate Bucca </t>
  </si>
  <si>
    <t>01</t>
  </si>
  <si>
    <t>ESP-RE-FIS-045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</si>
</sst>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b/>
      <sz val="12"/>
      <name val="Century Gothic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20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34">
    <xf numFmtId="0" fontId="0" fillId="0" borderId="0" xfId="0"/>
    <xf numFmtId="0" fontId="4" fillId="3" borderId="17" xfId="2" applyFont="1" applyFill="1" applyBorder="1" applyAlignment="1">
      <alignment horizontal="right"/>
    </xf>
    <xf numFmtId="0" fontId="6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right"/>
    </xf>
    <xf numFmtId="49" fontId="6" fillId="3" borderId="13" xfId="2" applyNumberFormat="1" applyFont="1" applyFill="1" applyBorder="1" applyAlignment="1">
      <alignment horizontal="center"/>
    </xf>
    <xf numFmtId="0" fontId="6" fillId="3" borderId="11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0" fontId="4" fillId="2" borderId="16" xfId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0" fontId="7" fillId="0" borderId="1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0" fontId="10" fillId="0" borderId="14" xfId="0" applyFont="1" applyBorder="1"/>
    <xf numFmtId="16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49" fontId="9" fillId="4" borderId="14" xfId="0" applyNumberFormat="1" applyFont="1" applyFill="1" applyBorder="1"/>
    <xf numFmtId="1" fontId="9" fillId="4" borderId="14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/>
    </xf>
    <xf numFmtId="49" fontId="7" fillId="4" borderId="14" xfId="0" applyNumberFormat="1" applyFont="1" applyFill="1" applyBorder="1"/>
    <xf numFmtId="16" fontId="9" fillId="4" borderId="14" xfId="0" applyNumberFormat="1" applyFont="1" applyFill="1" applyBorder="1" applyAlignment="1">
      <alignment horizontal="center"/>
    </xf>
    <xf numFmtId="12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left"/>
    </xf>
    <xf numFmtId="0" fontId="9" fillId="0" borderId="14" xfId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7" fillId="0" borderId="14" xfId="1" applyNumberFormat="1" applyFont="1" applyBorder="1" applyAlignment="1">
      <alignment horizontal="center"/>
    </xf>
    <xf numFmtId="49" fontId="9" fillId="4" borderId="14" xfId="0" applyNumberFormat="1" applyFont="1" applyFill="1" applyBorder="1" applyAlignment="1">
      <alignment horizontal="center" vertical="center"/>
    </xf>
    <xf numFmtId="49" fontId="9" fillId="0" borderId="15" xfId="1" applyNumberFormat="1" applyFont="1" applyBorder="1" applyAlignment="1">
      <alignment horizontal="center"/>
    </xf>
    <xf numFmtId="49" fontId="9" fillId="0" borderId="8" xfId="1" applyNumberFormat="1" applyFont="1" applyBorder="1" applyAlignment="1">
      <alignment horizontal="center"/>
    </xf>
    <xf numFmtId="49" fontId="9" fillId="0" borderId="14" xfId="1" applyNumberFormat="1" applyFont="1" applyBorder="1"/>
    <xf numFmtId="1" fontId="9" fillId="0" borderId="14" xfId="1" applyNumberFormat="1" applyFont="1" applyBorder="1" applyAlignment="1">
      <alignment horizontal="center" wrapText="1"/>
    </xf>
    <xf numFmtId="49" fontId="11" fillId="3" borderId="20" xfId="1" applyNumberFormat="1" applyFont="1" applyFill="1" applyBorder="1" applyAlignment="1">
      <alignment horizontal="center" vertical="center"/>
    </xf>
    <xf numFmtId="49" fontId="11" fillId="3" borderId="0" xfId="1" applyNumberFormat="1" applyFont="1" applyFill="1" applyAlignment="1">
      <alignment horizontal="center" vertical="center"/>
    </xf>
    <xf numFmtId="0" fontId="9" fillId="3" borderId="0" xfId="1" applyFont="1" applyFill="1"/>
    <xf numFmtId="1" fontId="9" fillId="3" borderId="0" xfId="1" applyNumberFormat="1" applyFont="1" applyFill="1" applyAlignment="1">
      <alignment horizontal="center"/>
    </xf>
    <xf numFmtId="164" fontId="9" fillId="3" borderId="0" xfId="1" applyNumberFormat="1" applyFont="1" applyFill="1" applyAlignment="1">
      <alignment horizontal="center" wrapText="1"/>
    </xf>
    <xf numFmtId="0" fontId="9" fillId="3" borderId="19" xfId="1" applyFont="1" applyFill="1" applyBorder="1" applyAlignment="1">
      <alignment horizontal="center"/>
    </xf>
    <xf numFmtId="0" fontId="9" fillId="2" borderId="40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9" fillId="2" borderId="35" xfId="1" applyFont="1" applyFill="1" applyBorder="1"/>
    <xf numFmtId="0" fontId="7" fillId="2" borderId="35" xfId="1" applyFont="1" applyFill="1" applyBorder="1" applyAlignment="1">
      <alignment horizontal="center"/>
    </xf>
    <xf numFmtId="1" fontId="7" fillId="2" borderId="35" xfId="1" applyNumberFormat="1" applyFont="1" applyFill="1" applyBorder="1" applyAlignment="1">
      <alignment horizontal="center"/>
    </xf>
    <xf numFmtId="164" fontId="9" fillId="2" borderId="35" xfId="1" applyNumberFormat="1" applyFont="1" applyFill="1" applyBorder="1" applyAlignment="1">
      <alignment horizontal="center" wrapText="1"/>
    </xf>
    <xf numFmtId="0" fontId="9" fillId="2" borderId="36" xfId="1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14" fontId="6" fillId="3" borderId="31" xfId="2" applyNumberFormat="1" applyFont="1" applyFill="1" applyBorder="1" applyAlignment="1">
      <alignment horizontal="center" vertical="center" wrapText="1"/>
    </xf>
    <xf numFmtId="14" fontId="6" fillId="3" borderId="29" xfId="2" applyNumberFormat="1" applyFont="1" applyFill="1" applyBorder="1" applyAlignment="1">
      <alignment horizontal="center" vertical="center" wrapText="1"/>
    </xf>
    <xf numFmtId="14" fontId="6" fillId="3" borderId="10" xfId="2" applyNumberFormat="1" applyFont="1" applyFill="1" applyBorder="1" applyAlignment="1">
      <alignment horizontal="center" vertical="center" wrapText="1"/>
    </xf>
    <xf numFmtId="0" fontId="6" fillId="3" borderId="23" xfId="2" applyFont="1" applyFill="1" applyBorder="1" applyAlignment="1">
      <alignment horizontal="left"/>
    </xf>
    <xf numFmtId="0" fontId="6" fillId="3" borderId="24" xfId="2" applyFont="1" applyFill="1" applyBorder="1" applyAlignment="1">
      <alignment horizontal="left"/>
    </xf>
    <xf numFmtId="0" fontId="6" fillId="3" borderId="18" xfId="2" applyFont="1" applyFill="1" applyBorder="1" applyAlignment="1">
      <alignment horizontal="left"/>
    </xf>
    <xf numFmtId="0" fontId="6" fillId="3" borderId="9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8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37" xfId="2" applyFont="1" applyFill="1" applyBorder="1" applyAlignment="1">
      <alignment horizontal="center"/>
    </xf>
    <xf numFmtId="0" fontId="6" fillId="3" borderId="38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center"/>
    </xf>
    <xf numFmtId="0" fontId="4" fillId="3" borderId="26" xfId="2" applyFont="1" applyFill="1" applyBorder="1" applyAlignment="1">
      <alignment horizontal="center"/>
    </xf>
    <xf numFmtId="0" fontId="12" fillId="5" borderId="14" xfId="2" applyFont="1" applyFill="1" applyBorder="1" applyAlignment="1">
      <alignment horizontal="center" vertical="center" wrapText="1"/>
    </xf>
    <xf numFmtId="0" fontId="4" fillId="3" borderId="32" xfId="2" applyFont="1" applyFill="1" applyBorder="1" applyAlignment="1">
      <alignment horizontal="right" vertical="top" wrapText="1"/>
    </xf>
    <xf numFmtId="0" fontId="4" fillId="3" borderId="30" xfId="2" applyFont="1" applyFill="1" applyBorder="1" applyAlignment="1">
      <alignment horizontal="right" vertical="top" wrapText="1"/>
    </xf>
    <xf numFmtId="0" fontId="4" fillId="3" borderId="27" xfId="2" applyFont="1" applyFill="1" applyBorder="1" applyAlignment="1">
      <alignment horizontal="right" vertical="top" wrapText="1"/>
    </xf>
    <xf numFmtId="164" fontId="9" fillId="0" borderId="9" xfId="1" applyNumberFormat="1" applyFont="1" applyBorder="1" applyAlignment="1">
      <alignment horizontal="center"/>
    </xf>
    <xf numFmtId="164" fontId="9" fillId="0" borderId="5" xfId="1" applyNumberFormat="1" applyFont="1" applyBorder="1" applyAlignment="1">
      <alignment horizontal="center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164" fontId="9" fillId="0" borderId="9" xfId="1" applyNumberFormat="1" applyFont="1" applyBorder="1" applyAlignment="1">
      <alignment horizontal="right" wrapText="1"/>
    </xf>
    <xf numFmtId="164" fontId="9" fillId="0" borderId="8" xfId="1" applyNumberFormat="1" applyFont="1" applyBorder="1" applyAlignment="1">
      <alignment horizontal="right" wrapText="1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164" fontId="9" fillId="0" borderId="22" xfId="1" applyNumberFormat="1" applyFont="1" applyBorder="1" applyAlignment="1">
      <alignment horizontal="center"/>
    </xf>
    <xf numFmtId="164" fontId="9" fillId="0" borderId="21" xfId="1" applyNumberFormat="1" applyFont="1" applyBorder="1" applyAlignment="1">
      <alignment horizontal="center"/>
    </xf>
    <xf numFmtId="0" fontId="9" fillId="0" borderId="14" xfId="1" applyFont="1" applyBorder="1" applyAlignment="1">
      <alignment horizontal="left" wrapText="1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4" fillId="2" borderId="39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7" fillId="0" borderId="37" xfId="1" applyFont="1" applyBorder="1" applyAlignment="1">
      <alignment horizontal="right"/>
    </xf>
    <xf numFmtId="0" fontId="7" fillId="0" borderId="38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9" fillId="0" borderId="11" xfId="1" applyNumberFormat="1" applyFont="1" applyBorder="1" applyAlignment="1">
      <alignment horizontal="right"/>
    </xf>
    <xf numFmtId="0" fontId="9" fillId="3" borderId="25" xfId="1" applyFont="1" applyFill="1" applyBorder="1" applyAlignment="1">
      <alignment horizontal="center"/>
    </xf>
    <xf numFmtId="0" fontId="9" fillId="3" borderId="41" xfId="1" applyFont="1" applyFill="1" applyBorder="1" applyAlignment="1">
      <alignment horizontal="center"/>
    </xf>
    <xf numFmtId="0" fontId="9" fillId="3" borderId="14" xfId="2" applyFont="1" applyFill="1" applyBorder="1" applyAlignment="1">
      <alignment horizontal="left"/>
    </xf>
    <xf numFmtId="16" fontId="9" fillId="0" borderId="14" xfId="1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10" fillId="0" borderId="0" xfId="0" applyFont="1"/>
    <xf numFmtId="0" fontId="9" fillId="0" borderId="14" xfId="0" applyFont="1" applyBorder="1" applyAlignment="1">
      <alignment horizontal="center" vertical="center"/>
    </xf>
    <xf numFmtId="0" fontId="10" fillId="4" borderId="14" xfId="0" applyFont="1" applyFill="1" applyBorder="1" applyAlignment="1">
      <alignment horizontal="center"/>
    </xf>
    <xf numFmtId="0" fontId="10" fillId="0" borderId="14" xfId="3" applyFont="1" applyBorder="1" applyAlignment="1">
      <alignment horizontal="center"/>
    </xf>
    <xf numFmtId="0" fontId="10" fillId="0" borderId="14" xfId="3" applyFont="1" applyBorder="1" applyAlignment="1">
      <alignment horizontal="left"/>
    </xf>
    <xf numFmtId="1" fontId="9" fillId="0" borderId="14" xfId="1" applyNumberFormat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 vertical="center" wrapText="1"/>
    </xf>
    <xf numFmtId="12" fontId="13" fillId="0" borderId="14" xfId="1" applyNumberFormat="1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9" fillId="0" borderId="14" xfId="8" applyFont="1" applyBorder="1" applyAlignment="1">
      <alignment horizontal="center" vertical="center"/>
    </xf>
    <xf numFmtId="1" fontId="9" fillId="0" borderId="14" xfId="8" applyNumberFormat="1" applyFont="1" applyBorder="1" applyAlignment="1">
      <alignment horizontal="center" vertical="center"/>
    </xf>
    <xf numFmtId="1" fontId="9" fillId="0" borderId="14" xfId="8" applyNumberFormat="1" applyFont="1" applyBorder="1" applyAlignment="1">
      <alignment horizontal="center" vertical="center" wrapText="1"/>
    </xf>
    <xf numFmtId="12" fontId="14" fillId="0" borderId="14" xfId="1" applyNumberFormat="1" applyFont="1" applyBorder="1" applyAlignment="1">
      <alignment horizontal="left"/>
    </xf>
    <xf numFmtId="0" fontId="7" fillId="2" borderId="34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center"/>
    </xf>
    <xf numFmtId="0" fontId="7" fillId="6" borderId="43" xfId="2" applyFont="1" applyFill="1" applyBorder="1" applyAlignment="1">
      <alignment horizontal="center"/>
    </xf>
    <xf numFmtId="0" fontId="7" fillId="6" borderId="0" xfId="2" applyFont="1" applyFill="1" applyBorder="1" applyAlignment="1">
      <alignment horizontal="center"/>
    </xf>
    <xf numFmtId="0" fontId="9" fillId="0" borderId="14" xfId="1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/>
    </xf>
    <xf numFmtId="0" fontId="9" fillId="0" borderId="14" xfId="1" applyFont="1" applyBorder="1" applyAlignment="1">
      <alignment horizontal="left"/>
    </xf>
    <xf numFmtId="0" fontId="15" fillId="3" borderId="28" xfId="2" applyFont="1" applyFill="1" applyBorder="1" applyAlignment="1">
      <alignment horizontal="center"/>
    </xf>
    <xf numFmtId="14" fontId="15" fillId="3" borderId="0" xfId="2" applyNumberFormat="1" applyFont="1" applyFill="1" applyAlignment="1">
      <alignment horizontal="center" vertical="center" wrapText="1"/>
    </xf>
  </cellXfs>
  <cellStyles count="9"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94759</xdr:colOff>
      <xdr:row>0</xdr:row>
      <xdr:rowOff>126672</xdr:rowOff>
    </xdr:from>
    <xdr:to>
      <xdr:col>1</xdr:col>
      <xdr:colOff>1119187</xdr:colOff>
      <xdr:row>4</xdr:row>
      <xdr:rowOff>78746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CF22C-AA3D-40AA-9FD2-E209553E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59" y="126672"/>
          <a:ext cx="2143616" cy="1011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sheetPr>
    <pageSetUpPr fitToPage="1"/>
  </sheetPr>
  <dimension ref="A1:J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" customWidth="1"/>
    <col min="3" max="3" width="56.7109375" customWidth="1"/>
    <col min="4" max="4" width="16.42578125" customWidth="1"/>
    <col min="5" max="5" width="15" customWidth="1"/>
    <col min="6" max="6" width="13" customWidth="1"/>
    <col min="7" max="7" width="21.85546875" customWidth="1"/>
    <col min="8" max="8" width="20.140625" customWidth="1"/>
    <col min="9" max="9" width="20.7109375" customWidth="1"/>
  </cols>
  <sheetData>
    <row r="1" spans="1:10" ht="17.25" x14ac:dyDescent="0.3">
      <c r="A1" s="68"/>
      <c r="B1" s="69"/>
      <c r="C1" s="74" t="s">
        <v>32</v>
      </c>
      <c r="D1" s="74"/>
      <c r="E1" s="74"/>
      <c r="F1" s="74"/>
      <c r="G1" s="74"/>
      <c r="H1" s="1" t="s">
        <v>31</v>
      </c>
      <c r="I1" s="2" t="s">
        <v>92</v>
      </c>
    </row>
    <row r="2" spans="1:10" ht="17.25" x14ac:dyDescent="0.3">
      <c r="A2" s="70"/>
      <c r="B2" s="71"/>
      <c r="C2" s="75" t="s">
        <v>30</v>
      </c>
      <c r="D2" s="75"/>
      <c r="E2" s="75"/>
      <c r="F2" s="75"/>
      <c r="G2" s="75"/>
      <c r="H2" s="3" t="s">
        <v>29</v>
      </c>
      <c r="I2" s="4" t="s">
        <v>91</v>
      </c>
    </row>
    <row r="3" spans="1:10" ht="33" customHeight="1" thickBot="1" x14ac:dyDescent="0.3">
      <c r="A3" s="70"/>
      <c r="B3" s="71"/>
      <c r="C3" s="76" t="s">
        <v>90</v>
      </c>
      <c r="D3" s="76"/>
      <c r="E3" s="76"/>
      <c r="F3" s="76"/>
      <c r="G3" s="76"/>
      <c r="H3" s="77" t="s">
        <v>28</v>
      </c>
      <c r="I3" s="59">
        <v>46069</v>
      </c>
    </row>
    <row r="4" spans="1:10" ht="17.25" x14ac:dyDescent="0.3">
      <c r="A4" s="70"/>
      <c r="B4" s="71"/>
      <c r="C4" s="5" t="s">
        <v>27</v>
      </c>
      <c r="D4" s="62" t="s">
        <v>45</v>
      </c>
      <c r="E4" s="63"/>
      <c r="F4" s="63"/>
      <c r="G4" s="64"/>
      <c r="H4" s="78"/>
      <c r="I4" s="60"/>
    </row>
    <row r="5" spans="1:10" ht="18" thickBot="1" x14ac:dyDescent="0.35">
      <c r="A5" s="72"/>
      <c r="B5" s="73"/>
      <c r="C5" s="6" t="s">
        <v>26</v>
      </c>
      <c r="D5" s="65" t="s">
        <v>69</v>
      </c>
      <c r="E5" s="66"/>
      <c r="F5" s="66"/>
      <c r="G5" s="67"/>
      <c r="H5" s="79"/>
      <c r="I5" s="61"/>
    </row>
    <row r="6" spans="1:10" ht="16.5" thickBot="1" x14ac:dyDescent="0.3">
      <c r="A6" s="95" t="s">
        <v>25</v>
      </c>
      <c r="B6" s="95"/>
      <c r="C6" s="95"/>
      <c r="D6" s="132" t="s">
        <v>46</v>
      </c>
      <c r="E6" s="132"/>
      <c r="F6" s="132"/>
      <c r="G6" s="96" t="s">
        <v>24</v>
      </c>
      <c r="H6" s="96"/>
      <c r="I6" s="133" t="s">
        <v>46</v>
      </c>
    </row>
    <row r="7" spans="1:10" ht="35.25" customHeight="1" x14ac:dyDescent="0.25">
      <c r="A7" s="97" t="s">
        <v>23</v>
      </c>
      <c r="B7" s="99" t="s">
        <v>33</v>
      </c>
      <c r="C7" s="58" t="s">
        <v>22</v>
      </c>
      <c r="D7" s="58" t="s">
        <v>21</v>
      </c>
      <c r="E7" s="58" t="s">
        <v>20</v>
      </c>
      <c r="F7" s="58"/>
      <c r="G7" s="58" t="s">
        <v>19</v>
      </c>
      <c r="H7" s="58"/>
      <c r="I7" s="7" t="s">
        <v>18</v>
      </c>
    </row>
    <row r="8" spans="1:10" ht="36.75" customHeight="1" thickBot="1" x14ac:dyDescent="0.3">
      <c r="A8" s="98"/>
      <c r="B8" s="100"/>
      <c r="C8" s="101"/>
      <c r="D8" s="101"/>
      <c r="E8" s="8" t="s">
        <v>14</v>
      </c>
      <c r="F8" s="9" t="s">
        <v>17</v>
      </c>
      <c r="G8" s="8" t="s">
        <v>14</v>
      </c>
      <c r="H8" s="9" t="s">
        <v>17</v>
      </c>
      <c r="I8" s="10" t="s">
        <v>16</v>
      </c>
    </row>
    <row r="9" spans="1:10" ht="20.25" x14ac:dyDescent="0.3">
      <c r="A9" s="11"/>
      <c r="B9" s="12"/>
      <c r="C9" s="13" t="s">
        <v>34</v>
      </c>
      <c r="D9" s="14"/>
      <c r="E9" s="15"/>
      <c r="F9" s="16"/>
      <c r="G9" s="15"/>
      <c r="H9" s="16"/>
      <c r="I9" s="17"/>
    </row>
    <row r="10" spans="1:10" ht="20.25" x14ac:dyDescent="0.3">
      <c r="A10" s="32" t="s">
        <v>47</v>
      </c>
      <c r="B10" s="32" t="s">
        <v>48</v>
      </c>
      <c r="C10" s="18" t="s">
        <v>70</v>
      </c>
      <c r="D10" s="19" t="s">
        <v>15</v>
      </c>
      <c r="E10" s="20">
        <v>180</v>
      </c>
      <c r="F10" s="21" t="s">
        <v>1</v>
      </c>
      <c r="G10" s="20" t="s">
        <v>51</v>
      </c>
      <c r="H10" s="22"/>
      <c r="I10" s="17"/>
    </row>
    <row r="11" spans="1:10" ht="20.25" x14ac:dyDescent="0.3">
      <c r="A11" s="32"/>
      <c r="B11" s="32" t="s">
        <v>89</v>
      </c>
      <c r="C11" s="18" t="s">
        <v>88</v>
      </c>
      <c r="D11" s="19" t="s">
        <v>15</v>
      </c>
      <c r="E11" s="20">
        <v>180</v>
      </c>
      <c r="F11" s="21" t="s">
        <v>1</v>
      </c>
      <c r="G11" s="20" t="s">
        <v>51</v>
      </c>
      <c r="H11" s="22"/>
      <c r="I11" s="17"/>
    </row>
    <row r="12" spans="1:10" ht="20.25" x14ac:dyDescent="0.3">
      <c r="A12" s="32"/>
      <c r="B12" s="32" t="s">
        <v>71</v>
      </c>
      <c r="C12" s="18" t="s">
        <v>72</v>
      </c>
      <c r="D12" s="19" t="s">
        <v>15</v>
      </c>
      <c r="E12" s="20">
        <v>260</v>
      </c>
      <c r="F12" s="21" t="s">
        <v>1</v>
      </c>
      <c r="G12" s="20" t="s">
        <v>85</v>
      </c>
      <c r="H12" s="22"/>
      <c r="I12" s="17"/>
      <c r="J12">
        <f>20*18</f>
        <v>360</v>
      </c>
    </row>
    <row r="13" spans="1:10" ht="20.25" x14ac:dyDescent="0.3">
      <c r="A13" s="32"/>
      <c r="B13" s="32" t="s">
        <v>73</v>
      </c>
      <c r="C13" s="18" t="s">
        <v>74</v>
      </c>
      <c r="D13" s="19" t="s">
        <v>15</v>
      </c>
      <c r="E13" s="25">
        <v>36</v>
      </c>
      <c r="F13" s="21" t="s">
        <v>1</v>
      </c>
      <c r="G13" s="20" t="s">
        <v>82</v>
      </c>
      <c r="H13" s="20"/>
      <c r="I13" s="17"/>
    </row>
    <row r="14" spans="1:10" ht="20.25" x14ac:dyDescent="0.3">
      <c r="A14" s="31"/>
      <c r="B14" s="32"/>
      <c r="C14" s="18"/>
      <c r="D14" s="109"/>
      <c r="E14" s="25"/>
      <c r="F14" s="21"/>
      <c r="G14" s="25"/>
      <c r="H14" s="20"/>
      <c r="I14" s="17"/>
    </row>
    <row r="15" spans="1:10" ht="20.25" x14ac:dyDescent="0.3">
      <c r="A15" s="57"/>
      <c r="B15" s="57"/>
      <c r="C15" s="23"/>
      <c r="D15" s="24"/>
      <c r="E15" s="25"/>
      <c r="F15" s="21"/>
      <c r="G15" s="25"/>
      <c r="H15" s="20"/>
      <c r="I15" s="17"/>
    </row>
    <row r="16" spans="1:10" ht="20.25" x14ac:dyDescent="0.3">
      <c r="A16" s="34"/>
      <c r="B16" s="34"/>
      <c r="C16" s="26" t="s">
        <v>37</v>
      </c>
      <c r="D16" s="27"/>
      <c r="E16" s="25"/>
      <c r="F16" s="21"/>
      <c r="G16" s="25"/>
      <c r="H16" s="20"/>
      <c r="I16" s="17"/>
    </row>
    <row r="17" spans="1:10" ht="20.25" x14ac:dyDescent="0.3">
      <c r="A17" s="57"/>
      <c r="B17" s="32" t="s">
        <v>75</v>
      </c>
      <c r="C17" s="18" t="s">
        <v>76</v>
      </c>
      <c r="D17" s="32" t="s">
        <v>15</v>
      </c>
      <c r="E17" s="32">
        <v>180</v>
      </c>
      <c r="F17" s="21" t="s">
        <v>1</v>
      </c>
      <c r="G17" s="25" t="s">
        <v>84</v>
      </c>
      <c r="H17" s="110" t="s">
        <v>79</v>
      </c>
      <c r="I17" s="17"/>
    </row>
    <row r="18" spans="1:10" ht="20.25" x14ac:dyDescent="0.3">
      <c r="A18" s="18"/>
      <c r="B18" s="32" t="s">
        <v>77</v>
      </c>
      <c r="C18" s="111" t="s">
        <v>78</v>
      </c>
      <c r="D18" s="112" t="s">
        <v>15</v>
      </c>
      <c r="E18" s="113">
        <v>18</v>
      </c>
      <c r="F18" s="21" t="s">
        <v>1</v>
      </c>
      <c r="G18" s="28" t="s">
        <v>83</v>
      </c>
      <c r="H18" s="28"/>
      <c r="I18" s="17"/>
    </row>
    <row r="19" spans="1:10" ht="20.25" x14ac:dyDescent="0.3">
      <c r="A19" s="29"/>
      <c r="B19" s="18"/>
      <c r="C19" s="18"/>
      <c r="D19" s="112"/>
      <c r="E19" s="113"/>
      <c r="F19" s="21"/>
      <c r="G19" s="20"/>
      <c r="H19" s="22"/>
      <c r="I19" s="17"/>
    </row>
    <row r="20" spans="1:10" ht="20.25" x14ac:dyDescent="0.3">
      <c r="A20" s="29"/>
      <c r="B20" s="29"/>
      <c r="C20" s="30" t="s">
        <v>36</v>
      </c>
      <c r="D20" s="19"/>
      <c r="E20" s="20"/>
      <c r="F20" s="22"/>
      <c r="G20" s="20"/>
      <c r="H20" s="22"/>
      <c r="I20" s="17"/>
    </row>
    <row r="21" spans="1:10" ht="20.25" x14ac:dyDescent="0.3">
      <c r="A21" s="18"/>
      <c r="B21" s="114" t="s">
        <v>52</v>
      </c>
      <c r="C21" s="115" t="s">
        <v>53</v>
      </c>
      <c r="D21" s="114" t="s">
        <v>54</v>
      </c>
      <c r="E21" s="116">
        <v>18</v>
      </c>
      <c r="F21" s="117" t="s">
        <v>6</v>
      </c>
      <c r="G21" s="18"/>
      <c r="H21" s="118"/>
      <c r="I21" s="17"/>
    </row>
    <row r="22" spans="1:10" ht="20.25" x14ac:dyDescent="0.3">
      <c r="A22" s="18"/>
      <c r="B22" s="114" t="s">
        <v>55</v>
      </c>
      <c r="C22" s="115" t="s">
        <v>56</v>
      </c>
      <c r="D22" s="114" t="s">
        <v>57</v>
      </c>
      <c r="E22" s="116">
        <v>18</v>
      </c>
      <c r="F22" s="117" t="s">
        <v>6</v>
      </c>
      <c r="G22" s="18"/>
      <c r="H22" s="118"/>
      <c r="I22" s="17"/>
    </row>
    <row r="23" spans="1:10" ht="20.25" x14ac:dyDescent="0.3">
      <c r="A23" s="18"/>
      <c r="B23" s="32" t="s">
        <v>38</v>
      </c>
      <c r="C23" s="119" t="s">
        <v>58</v>
      </c>
      <c r="D23" s="114" t="s">
        <v>49</v>
      </c>
      <c r="E23" s="116">
        <v>19</v>
      </c>
      <c r="F23" s="117" t="s">
        <v>6</v>
      </c>
      <c r="G23" s="18"/>
      <c r="H23" s="31" t="s">
        <v>59</v>
      </c>
      <c r="I23" s="17"/>
    </row>
    <row r="24" spans="1:10" ht="20.25" x14ac:dyDescent="0.3">
      <c r="A24" s="18"/>
      <c r="B24" s="32" t="s">
        <v>80</v>
      </c>
      <c r="C24" s="18" t="s">
        <v>81</v>
      </c>
      <c r="D24" s="114" t="s">
        <v>49</v>
      </c>
      <c r="E24" s="116">
        <v>19</v>
      </c>
      <c r="F24" s="117" t="s">
        <v>6</v>
      </c>
      <c r="G24" s="18"/>
      <c r="H24" s="31" t="s">
        <v>60</v>
      </c>
      <c r="I24" s="17"/>
    </row>
    <row r="25" spans="1:10" ht="20.25" x14ac:dyDescent="0.3">
      <c r="A25" s="18"/>
      <c r="B25" s="32" t="s">
        <v>44</v>
      </c>
      <c r="C25" s="119" t="s">
        <v>61</v>
      </c>
      <c r="D25" s="114" t="s">
        <v>43</v>
      </c>
      <c r="E25" s="116">
        <v>18</v>
      </c>
      <c r="F25" s="117" t="s">
        <v>6</v>
      </c>
      <c r="G25" s="18"/>
      <c r="H25" s="31" t="s">
        <v>62</v>
      </c>
      <c r="I25" s="17"/>
    </row>
    <row r="26" spans="1:10" ht="20.25" x14ac:dyDescent="0.3">
      <c r="A26" s="18"/>
      <c r="B26" s="32" t="s">
        <v>42</v>
      </c>
      <c r="C26" s="119" t="s">
        <v>63</v>
      </c>
      <c r="D26" s="120" t="s">
        <v>39</v>
      </c>
      <c r="E26" s="121">
        <v>1</v>
      </c>
      <c r="F26" s="122" t="s">
        <v>6</v>
      </c>
      <c r="G26" s="18"/>
      <c r="H26" s="31" t="s">
        <v>64</v>
      </c>
      <c r="I26" s="17"/>
    </row>
    <row r="27" spans="1:10" ht="20.25" x14ac:dyDescent="0.3">
      <c r="A27" s="18"/>
      <c r="B27" s="32" t="s">
        <v>40</v>
      </c>
      <c r="C27" s="119" t="s">
        <v>50</v>
      </c>
      <c r="D27" s="114" t="s">
        <v>49</v>
      </c>
      <c r="E27" s="116">
        <v>50</v>
      </c>
      <c r="F27" s="117" t="s">
        <v>41</v>
      </c>
      <c r="G27" s="18"/>
      <c r="H27" s="123"/>
      <c r="I27" s="17"/>
    </row>
    <row r="28" spans="1:10" ht="20.25" x14ac:dyDescent="0.3">
      <c r="A28" s="33"/>
      <c r="B28" s="32" t="s">
        <v>65</v>
      </c>
      <c r="C28" s="119" t="s">
        <v>66</v>
      </c>
      <c r="D28" s="114" t="s">
        <v>15</v>
      </c>
      <c r="E28" s="116">
        <v>1</v>
      </c>
      <c r="F28" s="117" t="s">
        <v>6</v>
      </c>
      <c r="G28" s="18"/>
      <c r="H28" s="123"/>
      <c r="I28" s="17"/>
    </row>
    <row r="29" spans="1:10" ht="20.25" x14ac:dyDescent="0.3">
      <c r="A29" s="35"/>
      <c r="B29" s="36"/>
      <c r="C29" s="37"/>
      <c r="D29" s="31"/>
      <c r="E29" s="31"/>
      <c r="F29" s="38"/>
      <c r="G29" s="31"/>
      <c r="H29" s="31"/>
      <c r="I29" s="17"/>
    </row>
    <row r="30" spans="1:10" ht="21" thickBot="1" x14ac:dyDescent="0.35">
      <c r="A30" s="39"/>
      <c r="B30" s="40"/>
      <c r="C30" s="41"/>
      <c r="D30" s="41"/>
      <c r="E30" s="42"/>
      <c r="F30" s="43"/>
      <c r="G30" s="41"/>
      <c r="H30" s="41"/>
      <c r="I30" s="44"/>
    </row>
    <row r="31" spans="1:10" ht="21" thickBot="1" x14ac:dyDescent="0.35">
      <c r="A31" s="45"/>
      <c r="B31" s="46"/>
      <c r="C31" s="47"/>
      <c r="D31" s="48" t="s">
        <v>14</v>
      </c>
      <c r="E31" s="49" t="s">
        <v>13</v>
      </c>
      <c r="F31" s="50"/>
      <c r="G31" s="47"/>
      <c r="H31" s="47"/>
      <c r="I31" s="51"/>
    </row>
    <row r="32" spans="1:10" ht="20.25" x14ac:dyDescent="0.3">
      <c r="A32" s="102" t="s">
        <v>12</v>
      </c>
      <c r="B32" s="103"/>
      <c r="C32" s="104"/>
      <c r="D32" s="52">
        <v>810</v>
      </c>
      <c r="E32" s="53" t="s">
        <v>1</v>
      </c>
      <c r="F32" s="105" t="s">
        <v>11</v>
      </c>
      <c r="G32" s="105"/>
      <c r="H32" s="106"/>
      <c r="I32" s="107"/>
      <c r="J32">
        <f>45*18</f>
        <v>810</v>
      </c>
    </row>
    <row r="33" spans="1:9" ht="20.25" x14ac:dyDescent="0.3">
      <c r="A33" s="82" t="s">
        <v>10</v>
      </c>
      <c r="B33" s="83"/>
      <c r="C33" s="84"/>
      <c r="D33" s="54">
        <v>18</v>
      </c>
      <c r="E33" s="22" t="s">
        <v>9</v>
      </c>
      <c r="F33" s="85" t="s">
        <v>8</v>
      </c>
      <c r="G33" s="85"/>
      <c r="H33" s="80"/>
      <c r="I33" s="81"/>
    </row>
    <row r="34" spans="1:9" ht="20.25" x14ac:dyDescent="0.3">
      <c r="A34" s="82" t="s">
        <v>7</v>
      </c>
      <c r="B34" s="83"/>
      <c r="C34" s="84"/>
      <c r="D34" s="22">
        <v>1</v>
      </c>
      <c r="E34" s="22" t="s">
        <v>6</v>
      </c>
      <c r="F34" s="85" t="s">
        <v>5</v>
      </c>
      <c r="G34" s="85"/>
      <c r="H34" s="80"/>
      <c r="I34" s="81"/>
    </row>
    <row r="35" spans="1:9" ht="20.25" x14ac:dyDescent="0.3">
      <c r="A35" s="82" t="s">
        <v>4</v>
      </c>
      <c r="B35" s="83"/>
      <c r="C35" s="84"/>
      <c r="D35" s="22">
        <v>810</v>
      </c>
      <c r="E35" s="22" t="s">
        <v>1</v>
      </c>
      <c r="F35" s="86" t="s">
        <v>3</v>
      </c>
      <c r="G35" s="87"/>
      <c r="H35" s="80"/>
      <c r="I35" s="81"/>
    </row>
    <row r="36" spans="1:9" ht="21" thickBot="1" x14ac:dyDescent="0.35">
      <c r="A36" s="88" t="s">
        <v>2</v>
      </c>
      <c r="B36" s="89"/>
      <c r="C36" s="90"/>
      <c r="D36" s="55">
        <f>SUM(E10:E18)-D32</f>
        <v>44</v>
      </c>
      <c r="E36" s="56" t="s">
        <v>1</v>
      </c>
      <c r="F36" s="91"/>
      <c r="G36" s="91"/>
      <c r="H36" s="92"/>
      <c r="I36" s="93"/>
    </row>
    <row r="37" spans="1:9" ht="20.25" x14ac:dyDescent="0.3">
      <c r="A37" s="124" t="s">
        <v>0</v>
      </c>
      <c r="B37" s="125"/>
      <c r="C37" s="125"/>
      <c r="D37" s="125"/>
      <c r="E37" s="125"/>
      <c r="F37" s="125"/>
      <c r="G37" s="125"/>
      <c r="H37" s="125"/>
      <c r="I37" s="126"/>
    </row>
    <row r="38" spans="1:9" ht="20.25" x14ac:dyDescent="0.25">
      <c r="A38" s="129" t="s">
        <v>67</v>
      </c>
      <c r="B38" s="129"/>
      <c r="C38" s="129"/>
      <c r="D38" s="129"/>
      <c r="E38" s="129"/>
      <c r="F38" s="129"/>
      <c r="G38" s="129"/>
      <c r="H38" s="129"/>
      <c r="I38" s="129"/>
    </row>
    <row r="39" spans="1:9" ht="20.25" x14ac:dyDescent="0.25">
      <c r="A39" s="129" t="s">
        <v>86</v>
      </c>
      <c r="B39" s="129"/>
      <c r="C39" s="129"/>
      <c r="D39" s="129"/>
      <c r="E39" s="129"/>
      <c r="F39" s="129"/>
      <c r="G39" s="129"/>
      <c r="H39" s="129"/>
      <c r="I39" s="129"/>
    </row>
    <row r="40" spans="1:9" ht="20.25" x14ac:dyDescent="0.25">
      <c r="A40" s="129" t="s">
        <v>87</v>
      </c>
      <c r="B40" s="129"/>
      <c r="C40" s="129"/>
      <c r="D40" s="129"/>
      <c r="E40" s="129"/>
      <c r="F40" s="129"/>
      <c r="G40" s="129"/>
      <c r="H40" s="129"/>
      <c r="I40" s="129"/>
    </row>
    <row r="41" spans="1:9" ht="20.25" x14ac:dyDescent="0.25">
      <c r="A41" s="129" t="s">
        <v>68</v>
      </c>
      <c r="B41" s="129"/>
      <c r="C41" s="129"/>
      <c r="D41" s="129"/>
      <c r="E41" s="129"/>
      <c r="F41" s="129"/>
      <c r="G41" s="129"/>
      <c r="H41" s="129"/>
      <c r="I41" s="129"/>
    </row>
    <row r="42" spans="1:9" ht="14.45" customHeight="1" x14ac:dyDescent="0.3">
      <c r="A42" s="94"/>
      <c r="B42" s="94"/>
      <c r="C42" s="94"/>
      <c r="D42" s="94"/>
      <c r="E42" s="94"/>
      <c r="F42" s="94"/>
      <c r="G42" s="94"/>
      <c r="H42" s="94"/>
      <c r="I42" s="94"/>
    </row>
    <row r="43" spans="1:9" ht="20.25" x14ac:dyDescent="0.3">
      <c r="A43" s="130"/>
      <c r="B43" s="130"/>
      <c r="C43" s="130"/>
      <c r="D43" s="130"/>
      <c r="E43" s="130"/>
      <c r="F43" s="130"/>
      <c r="G43" s="130"/>
      <c r="H43" s="130"/>
      <c r="I43" s="130"/>
    </row>
    <row r="44" spans="1:9" ht="20.25" x14ac:dyDescent="0.3">
      <c r="A44" s="131"/>
      <c r="B44" s="131"/>
      <c r="C44" s="131"/>
      <c r="D44" s="131"/>
      <c r="E44" s="131"/>
      <c r="F44" s="131"/>
      <c r="G44" s="131"/>
      <c r="H44" s="131"/>
      <c r="I44" s="131"/>
    </row>
    <row r="45" spans="1:9" ht="20.25" x14ac:dyDescent="0.3">
      <c r="A45" s="127" t="s">
        <v>35</v>
      </c>
      <c r="B45" s="128"/>
      <c r="C45" s="128"/>
      <c r="D45" s="128"/>
      <c r="E45" s="128"/>
      <c r="F45" s="128"/>
      <c r="G45" s="128"/>
      <c r="H45" s="128"/>
      <c r="I45" s="128"/>
    </row>
    <row r="46" spans="1:9" ht="20.25" x14ac:dyDescent="0.3">
      <c r="A46" s="108"/>
      <c r="B46" s="108"/>
      <c r="C46" s="108"/>
      <c r="D46" s="108"/>
      <c r="E46" s="108"/>
      <c r="F46" s="108"/>
      <c r="G46" s="108"/>
      <c r="H46" s="108"/>
      <c r="I46" s="108"/>
    </row>
    <row r="47" spans="1:9" ht="20.25" x14ac:dyDescent="0.3">
      <c r="A47" s="108"/>
      <c r="B47" s="108"/>
      <c r="C47" s="108"/>
      <c r="D47" s="108"/>
      <c r="E47" s="108"/>
      <c r="F47" s="108"/>
      <c r="G47" s="108"/>
      <c r="H47" s="108"/>
      <c r="I47" s="108"/>
    </row>
  </sheetData>
  <mergeCells count="43">
    <mergeCell ref="A47:I47"/>
    <mergeCell ref="A43:I43"/>
    <mergeCell ref="A44:I44"/>
    <mergeCell ref="A45:I45"/>
    <mergeCell ref="A46:I46"/>
    <mergeCell ref="A41:I41"/>
    <mergeCell ref="A42:I42"/>
    <mergeCell ref="A40:I40"/>
    <mergeCell ref="A6:C6"/>
    <mergeCell ref="D6:F6"/>
    <mergeCell ref="G6:H6"/>
    <mergeCell ref="A7:A8"/>
    <mergeCell ref="B7:B8"/>
    <mergeCell ref="C7:C8"/>
    <mergeCell ref="D7:D8"/>
    <mergeCell ref="E7:F7"/>
    <mergeCell ref="A32:C32"/>
    <mergeCell ref="F32:G32"/>
    <mergeCell ref="H32:I32"/>
    <mergeCell ref="A33:C33"/>
    <mergeCell ref="F33:G33"/>
    <mergeCell ref="H33:I33"/>
    <mergeCell ref="A34:C34"/>
    <mergeCell ref="A39:I39"/>
    <mergeCell ref="A37:I37"/>
    <mergeCell ref="A38:I38"/>
    <mergeCell ref="F34:G34"/>
    <mergeCell ref="H34:I34"/>
    <mergeCell ref="A35:C35"/>
    <mergeCell ref="F35:G35"/>
    <mergeCell ref="H35:I35"/>
    <mergeCell ref="A36:C36"/>
    <mergeCell ref="F36:G36"/>
    <mergeCell ref="H36:I36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32C784-DA9D-4F75-A031-32E276EE9592}"/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Degustación Torta Cacique </vt:lpstr>
      <vt:lpstr>'Degustación Torta Cacique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2026-02-16T17:31:19Z</cp:lastPrinted>
  <dcterms:created xsi:type="dcterms:W3CDTF">2025-01-06T20:55:42Z</dcterms:created>
  <dcterms:modified xsi:type="dcterms:W3CDTF">2026-02-16T17:34:39Z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
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" documentId="8_{7D846E08-22BE-4EF7-AF2C-A9DA36B20EE3}" xr6:coauthVersionLast="47" xr6:coauthVersionMax="47" xr10:uidLastSave="{56AE8E39-3D58-4244-A1F5-31EBBFF5F365}"/>
  <bookViews>
    <workbookView xWindow="-120" yWindow="-120" windowWidth="29040" windowHeight="15840" tabRatio="838" firstSheet="8" activeTab="8" xr2:uid="{253120F4-6255-46B8-BC83-928B19C829BC}"/>
  </bookViews>
  <sheets>
    <sheet name="Enmsable LOCALES" sheetId="10" state="hidden" r:id="rId1"/>
    <sheet name="Ensamble locales 2" sheetId="22" state="hidden" r:id="rId2"/>
    <sheet name="Ensamble 3" sheetId="24" state="hidden" r:id="rId3"/>
    <sheet name="Costo Ensamble locales" sheetId="20" state="hidden" r:id="rId4"/>
    <sheet name="Emsamble IND" sheetId="1" state="hidden" r:id="rId5"/>
    <sheet name="Ensamble Industria 2" sheetId="23" state="hidden" r:id="rId6"/>
    <sheet name="Costo Ensamble Industria " sheetId="21" state="hidden" r:id="rId7"/>
    <sheet name="costo semillas Cadbury" sheetId="19" state="hidden" r:id="rId8"/>
    <sheet name="Hoja1" sheetId="25" r:id="rId9"/>
    <sheet name="costo relleno arandanos" sheetId="18" state="hidden" r:id="rId10"/>
    <sheet name="Costo Empaque Relleno Arand" sheetId="17" state="hidden" r:id="rId11"/>
    <sheet name="Mousse Chocolate Interno" sheetId="6" state="hidden" r:id="rId12"/>
    <sheet name="Costo Mousse choco" sheetId="16" state="hidden" r:id="rId13"/>
    <sheet name="Disco" sheetId="9" state="hidden" r:id="rId14"/>
    <sheet name="Costo disco" sheetId="15" state="hidden" r:id="rId15"/>
    <sheet name="Costo Mousse pastelera" sheetId="14" state="hidden" r:id="rId16"/>
    <sheet name="Costo Crema Past Peruana" sheetId="13" state="hidden" r:id="rId17"/>
  </sheets>
  <externalReferences>
    <externalReference r:id="rId18"/>
    <externalReference r:id="rId19"/>
  </externalReferences>
  <definedNames>
    <definedName name="_xlnm.Print_Area" localSheetId="4">'Emsamble IND'!$A$1:$I$49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" i="21" l="1"/>
  <c r="D79" i="21"/>
  <c r="D80" i="21"/>
  <c r="D82" i="21"/>
  <c r="D77" i="21"/>
  <c r="D75" i="21"/>
  <c r="F71" i="21"/>
  <c r="E57" i="21"/>
  <c r="F57" i="21"/>
  <c r="D66" i="21"/>
  <c r="D91" i="21"/>
  <c r="D92" i="21"/>
  <c r="C57" i="21"/>
  <c r="D56" i="21"/>
  <c r="D55" i="21"/>
  <c r="D54" i="21"/>
  <c r="D53" i="21"/>
  <c r="D52" i="21"/>
  <c r="D51" i="21"/>
  <c r="D50" i="21"/>
  <c r="D49" i="21"/>
  <c r="D46" i="21"/>
  <c r="A46" i="21"/>
  <c r="C46" i="21"/>
  <c r="F46" i="21"/>
  <c r="D45" i="21"/>
  <c r="C45" i="21"/>
  <c r="A45" i="21"/>
  <c r="A55" i="21"/>
  <c r="C55" i="21"/>
  <c r="D44" i="21"/>
  <c r="C44" i="21"/>
  <c r="F44" i="21"/>
  <c r="A44" i="21"/>
  <c r="A54" i="21"/>
  <c r="C54" i="21"/>
  <c r="F54" i="21"/>
  <c r="D43" i="21"/>
  <c r="A43" i="21"/>
  <c r="C43" i="21"/>
  <c r="F43" i="21"/>
  <c r="D42" i="21"/>
  <c r="C42" i="21"/>
  <c r="A42" i="21"/>
  <c r="A52" i="21"/>
  <c r="C52" i="21"/>
  <c r="D41" i="21"/>
  <c r="A41" i="21"/>
  <c r="C41" i="21"/>
  <c r="D40" i="21"/>
  <c r="C40" i="21"/>
  <c r="A40" i="21"/>
  <c r="A50" i="21"/>
  <c r="C50" i="21"/>
  <c r="F39" i="21"/>
  <c r="D39" i="21"/>
  <c r="C39" i="21"/>
  <c r="A39" i="21"/>
  <c r="A49" i="21"/>
  <c r="C49" i="21"/>
  <c r="F49" i="21"/>
  <c r="E36" i="21"/>
  <c r="D36" i="21"/>
  <c r="C36" i="21"/>
  <c r="B36" i="21"/>
  <c r="E35" i="21"/>
  <c r="F35" i="21" s="1"/>
  <c r="D35" i="21"/>
  <c r="C35" i="21"/>
  <c r="B35" i="21"/>
  <c r="E34" i="21"/>
  <c r="F34" i="21" s="1"/>
  <c r="D34" i="21"/>
  <c r="C34" i="21"/>
  <c r="B34" i="21"/>
  <c r="E33" i="21"/>
  <c r="D33" i="21"/>
  <c r="C33" i="21"/>
  <c r="B33" i="21"/>
  <c r="C32" i="21"/>
  <c r="E31" i="21"/>
  <c r="F31" i="21" s="1"/>
  <c r="D31" i="21"/>
  <c r="C31" i="21"/>
  <c r="B31" i="21"/>
  <c r="E30" i="21"/>
  <c r="F30" i="21" s="1"/>
  <c r="D30" i="21"/>
  <c r="C30" i="21"/>
  <c r="B30" i="21"/>
  <c r="E29" i="21"/>
  <c r="F29" i="21"/>
  <c r="D29" i="21"/>
  <c r="C29" i="21"/>
  <c r="B29" i="21"/>
  <c r="E28" i="21"/>
  <c r="F28" i="21"/>
  <c r="D28" i="21"/>
  <c r="C28" i="21"/>
  <c r="B28" i="21"/>
  <c r="D27" i="21"/>
  <c r="C27" i="21"/>
  <c r="F27" i="21"/>
  <c r="B27" i="21"/>
  <c r="D24" i="21"/>
  <c r="C24" i="21"/>
  <c r="F24" i="21"/>
  <c r="D23" i="21"/>
  <c r="C23" i="21"/>
  <c r="F22" i="21"/>
  <c r="D22" i="21"/>
  <c r="C22" i="21"/>
  <c r="D21" i="21"/>
  <c r="C21" i="21"/>
  <c r="F21" i="21"/>
  <c r="P20" i="21"/>
  <c r="P21" i="21"/>
  <c r="O20" i="21"/>
  <c r="M20" i="21"/>
  <c r="N20" i="21"/>
  <c r="N21" i="21"/>
  <c r="D20" i="21"/>
  <c r="C20" i="21"/>
  <c r="D19" i="21"/>
  <c r="C19" i="21"/>
  <c r="D18" i="21"/>
  <c r="C18" i="21"/>
  <c r="F17" i="21"/>
  <c r="C17" i="21"/>
  <c r="B15" i="21"/>
  <c r="E14" i="21"/>
  <c r="D14" i="21"/>
  <c r="C14" i="21"/>
  <c r="B14" i="21"/>
  <c r="E13" i="21"/>
  <c r="F13" i="21"/>
  <c r="D13" i="21"/>
  <c r="C13" i="21"/>
  <c r="B13" i="21"/>
  <c r="E12" i="21"/>
  <c r="D12" i="21"/>
  <c r="C12" i="21"/>
  <c r="B12" i="21"/>
  <c r="E11" i="21"/>
  <c r="F11" i="21"/>
  <c r="D11" i="21"/>
  <c r="C11" i="21"/>
  <c r="B11" i="21"/>
  <c r="D10" i="21"/>
  <c r="C10" i="21"/>
  <c r="F10" i="21"/>
  <c r="D9" i="21"/>
  <c r="C9" i="21"/>
  <c r="F9" i="21"/>
  <c r="D8" i="21"/>
  <c r="C8" i="21"/>
  <c r="F8" i="21"/>
  <c r="H6" i="21"/>
  <c r="N21" i="20"/>
  <c r="A56" i="20"/>
  <c r="C56" i="20"/>
  <c r="D56" i="20"/>
  <c r="F56" i="20"/>
  <c r="A46" i="20"/>
  <c r="C46" i="20"/>
  <c r="F46" i="20"/>
  <c r="D46" i="20"/>
  <c r="D79" i="20"/>
  <c r="D80" i="20"/>
  <c r="D82" i="20"/>
  <c r="D77" i="20"/>
  <c r="D75" i="20"/>
  <c r="F71" i="20"/>
  <c r="E57" i="20"/>
  <c r="F57" i="20"/>
  <c r="D66" i="20"/>
  <c r="D87" i="20"/>
  <c r="C57" i="20"/>
  <c r="D55" i="20"/>
  <c r="D54" i="20"/>
  <c r="D53" i="20"/>
  <c r="D52" i="20"/>
  <c r="D51" i="20"/>
  <c r="D50" i="20"/>
  <c r="D49" i="20"/>
  <c r="D45" i="20"/>
  <c r="A45" i="20"/>
  <c r="A55" i="20"/>
  <c r="C55" i="20"/>
  <c r="D44" i="20"/>
  <c r="A44" i="20"/>
  <c r="A54" i="20"/>
  <c r="C54" i="20"/>
  <c r="F54" i="20"/>
  <c r="D43" i="20"/>
  <c r="A43" i="20"/>
  <c r="A53" i="20"/>
  <c r="C53" i="20"/>
  <c r="F53" i="20"/>
  <c r="D42" i="20"/>
  <c r="A42" i="20"/>
  <c r="A52" i="20"/>
  <c r="C52" i="20"/>
  <c r="D41" i="20"/>
  <c r="A41" i="20"/>
  <c r="A51" i="20"/>
  <c r="C51" i="20"/>
  <c r="D40" i="20"/>
  <c r="C40" i="20"/>
  <c r="A40" i="20"/>
  <c r="A50" i="20"/>
  <c r="C50" i="20"/>
  <c r="D39" i="20"/>
  <c r="A39" i="20"/>
  <c r="A49" i="20"/>
  <c r="C49" i="20"/>
  <c r="F49" i="20"/>
  <c r="E36" i="20"/>
  <c r="F36" i="20" s="1"/>
  <c r="D36" i="20"/>
  <c r="C36" i="20"/>
  <c r="B36" i="20"/>
  <c r="E35" i="20"/>
  <c r="F35" i="20" s="1"/>
  <c r="D35" i="20"/>
  <c r="C35" i="20"/>
  <c r="B35" i="20"/>
  <c r="E34" i="20"/>
  <c r="D34" i="20"/>
  <c r="C34" i="20"/>
  <c r="B34" i="20"/>
  <c r="E33" i="20"/>
  <c r="F33" i="20"/>
  <c r="D33" i="20"/>
  <c r="C33" i="20"/>
  <c r="B33" i="20"/>
  <c r="E32" i="20"/>
  <c r="D32" i="20"/>
  <c r="C32" i="20"/>
  <c r="B32" i="20"/>
  <c r="E31" i="20"/>
  <c r="F31" i="20" s="1"/>
  <c r="D31" i="20"/>
  <c r="C31" i="20"/>
  <c r="B31" i="20"/>
  <c r="E30" i="20"/>
  <c r="F30" i="20" s="1"/>
  <c r="D30" i="20"/>
  <c r="C30" i="20"/>
  <c r="B30" i="20"/>
  <c r="E29" i="20"/>
  <c r="F29" i="20"/>
  <c r="D29" i="20"/>
  <c r="C29" i="20"/>
  <c r="B29" i="20"/>
  <c r="E28" i="20"/>
  <c r="F28" i="20" s="1"/>
  <c r="D28" i="20"/>
  <c r="C28" i="20"/>
  <c r="B28" i="20"/>
  <c r="D27" i="20"/>
  <c r="C27" i="20"/>
  <c r="F27" i="20"/>
  <c r="B27" i="20"/>
  <c r="D24" i="20"/>
  <c r="C24" i="20"/>
  <c r="D23" i="20"/>
  <c r="C23" i="20"/>
  <c r="D22" i="20"/>
  <c r="C22" i="20"/>
  <c r="F22" i="20"/>
  <c r="D21" i="20"/>
  <c r="C21" i="20"/>
  <c r="F21" i="20"/>
  <c r="O20" i="20"/>
  <c r="P20" i="20"/>
  <c r="P21" i="20"/>
  <c r="M20" i="20"/>
  <c r="N20" i="20"/>
  <c r="D20" i="20"/>
  <c r="C20" i="20"/>
  <c r="D19" i="20"/>
  <c r="C19" i="20"/>
  <c r="D18" i="20"/>
  <c r="C18" i="20"/>
  <c r="C17" i="20"/>
  <c r="F17" i="20"/>
  <c r="B15" i="20"/>
  <c r="E14" i="20"/>
  <c r="F14" i="20" s="1"/>
  <c r="D14" i="20"/>
  <c r="C14" i="20"/>
  <c r="B14" i="20"/>
  <c r="E13" i="20"/>
  <c r="D13" i="20"/>
  <c r="C13" i="20"/>
  <c r="B13" i="20"/>
  <c r="E12" i="20"/>
  <c r="D12" i="20"/>
  <c r="C12" i="20"/>
  <c r="B12" i="20"/>
  <c r="E11" i="20"/>
  <c r="D11" i="20"/>
  <c r="C11" i="20"/>
  <c r="B11" i="20"/>
  <c r="D10" i="20"/>
  <c r="C10" i="20"/>
  <c r="F10" i="20"/>
  <c r="D9" i="20"/>
  <c r="C9" i="20"/>
  <c r="F9" i="20"/>
  <c r="D8" i="20"/>
  <c r="C8" i="20"/>
  <c r="F8" i="20"/>
  <c r="H6" i="20"/>
  <c r="F12" i="21"/>
  <c r="F14" i="21"/>
  <c r="F36" i="21"/>
  <c r="F33" i="21"/>
  <c r="F32" i="21"/>
  <c r="A51" i="21"/>
  <c r="C51" i="21"/>
  <c r="A53" i="21"/>
  <c r="C53" i="21"/>
  <c r="F53" i="21"/>
  <c r="A56" i="21"/>
  <c r="C56" i="21"/>
  <c r="F56" i="21"/>
  <c r="D87" i="21"/>
  <c r="C79" i="21"/>
  <c r="F12" i="20"/>
  <c r="F11" i="20"/>
  <c r="F13" i="20"/>
  <c r="F32" i="20"/>
  <c r="F34" i="20"/>
  <c r="C42" i="20"/>
  <c r="C45" i="20"/>
  <c r="F24" i="20"/>
  <c r="D89" i="20"/>
  <c r="D91" i="20"/>
  <c r="D92" i="20"/>
  <c r="C41" i="20"/>
  <c r="C43" i="20"/>
  <c r="F43" i="20"/>
  <c r="C39" i="20"/>
  <c r="F39" i="20"/>
  <c r="C44" i="20"/>
  <c r="F44" i="20"/>
  <c r="C79" i="20"/>
  <c r="C91" i="21"/>
  <c r="E91" i="21"/>
  <c r="E79" i="21"/>
  <c r="C91" i="20"/>
  <c r="E91" i="20"/>
  <c r="E79" i="20"/>
  <c r="B41" i="15"/>
  <c r="D73" i="19"/>
  <c r="D74" i="19"/>
  <c r="D76" i="19"/>
  <c r="D71" i="19"/>
  <c r="D69" i="19"/>
  <c r="F65" i="19"/>
  <c r="E51" i="19"/>
  <c r="F51" i="19"/>
  <c r="D60" i="19"/>
  <c r="D85" i="19"/>
  <c r="D86" i="19"/>
  <c r="C51" i="19"/>
  <c r="E50" i="19"/>
  <c r="F50" i="19" s="1"/>
  <c r="D50" i="19"/>
  <c r="B50" i="19"/>
  <c r="E49" i="19"/>
  <c r="D49" i="19"/>
  <c r="B49" i="19"/>
  <c r="E48" i="19"/>
  <c r="D48" i="19"/>
  <c r="B48" i="19"/>
  <c r="E47" i="19"/>
  <c r="D47" i="19"/>
  <c r="B47" i="19"/>
  <c r="E46" i="19"/>
  <c r="F46" i="19" s="1"/>
  <c r="D46" i="19"/>
  <c r="B46" i="19"/>
  <c r="E45" i="19"/>
  <c r="D45" i="19"/>
  <c r="B45" i="19"/>
  <c r="E44" i="19"/>
  <c r="D44" i="19"/>
  <c r="B44" i="19"/>
  <c r="E41" i="19"/>
  <c r="D41" i="19"/>
  <c r="C41" i="19"/>
  <c r="B41" i="19"/>
  <c r="A41" i="19"/>
  <c r="A50" i="19"/>
  <c r="C50" i="19"/>
  <c r="E40" i="19"/>
  <c r="D40" i="19"/>
  <c r="B40" i="19"/>
  <c r="A40" i="19"/>
  <c r="A49" i="19"/>
  <c r="C49" i="19"/>
  <c r="E39" i="19"/>
  <c r="D39" i="19"/>
  <c r="B39" i="19"/>
  <c r="A39" i="19"/>
  <c r="C39" i="19"/>
  <c r="E38" i="19"/>
  <c r="D38" i="19"/>
  <c r="B38" i="19"/>
  <c r="A38" i="19"/>
  <c r="C38" i="19"/>
  <c r="E37" i="19"/>
  <c r="D37" i="19"/>
  <c r="C37" i="19"/>
  <c r="B37" i="19"/>
  <c r="A37" i="19"/>
  <c r="A46" i="19"/>
  <c r="C46" i="19"/>
  <c r="E36" i="19"/>
  <c r="D36" i="19"/>
  <c r="B36" i="19"/>
  <c r="A36" i="19"/>
  <c r="C36" i="19"/>
  <c r="E35" i="19"/>
  <c r="D35" i="19"/>
  <c r="B35" i="19"/>
  <c r="A35" i="19"/>
  <c r="C35" i="19"/>
  <c r="E32" i="19"/>
  <c r="F32" i="19" s="1"/>
  <c r="D32" i="19"/>
  <c r="C32" i="19"/>
  <c r="B32" i="19"/>
  <c r="E31" i="19"/>
  <c r="D31" i="19"/>
  <c r="C31" i="19"/>
  <c r="B31" i="19"/>
  <c r="E30" i="19"/>
  <c r="D30" i="19"/>
  <c r="C30" i="19"/>
  <c r="B30" i="19"/>
  <c r="E29" i="19"/>
  <c r="F29" i="19"/>
  <c r="D29" i="19"/>
  <c r="C29" i="19"/>
  <c r="B29" i="19"/>
  <c r="E28" i="19"/>
  <c r="D28" i="19"/>
  <c r="C28" i="19"/>
  <c r="B28" i="19"/>
  <c r="E27" i="19"/>
  <c r="F27" i="19" s="1"/>
  <c r="D27" i="19"/>
  <c r="C27" i="19"/>
  <c r="B27" i="19"/>
  <c r="E24" i="19"/>
  <c r="D24" i="19"/>
  <c r="C24" i="19"/>
  <c r="B24" i="19"/>
  <c r="E23" i="19"/>
  <c r="F23" i="19" s="1"/>
  <c r="D23" i="19"/>
  <c r="C23" i="19"/>
  <c r="B23" i="19"/>
  <c r="E22" i="19"/>
  <c r="F22" i="19"/>
  <c r="D22" i="19"/>
  <c r="C22" i="19"/>
  <c r="B22" i="19"/>
  <c r="E21" i="19"/>
  <c r="F21" i="19" s="1"/>
  <c r="D21" i="19"/>
  <c r="C21" i="19"/>
  <c r="B21" i="19"/>
  <c r="E20" i="19"/>
  <c r="F20" i="19"/>
  <c r="D20" i="19"/>
  <c r="C20" i="19"/>
  <c r="B20" i="19"/>
  <c r="E19" i="19"/>
  <c r="F19" i="19" s="1"/>
  <c r="D19" i="19"/>
  <c r="C19" i="19"/>
  <c r="B19" i="19"/>
  <c r="E18" i="19"/>
  <c r="D18" i="19"/>
  <c r="C18" i="19"/>
  <c r="B18" i="19"/>
  <c r="E17" i="19"/>
  <c r="F17" i="19"/>
  <c r="D17" i="19"/>
  <c r="C17" i="19"/>
  <c r="B17" i="19"/>
  <c r="B15" i="19"/>
  <c r="E14" i="19"/>
  <c r="F14" i="19"/>
  <c r="D14" i="19"/>
  <c r="C14" i="19"/>
  <c r="B14" i="19"/>
  <c r="E13" i="19"/>
  <c r="D13" i="19"/>
  <c r="C13" i="19"/>
  <c r="B13" i="19"/>
  <c r="E12" i="19"/>
  <c r="F12" i="19" s="1"/>
  <c r="D12" i="19"/>
  <c r="C12" i="19"/>
  <c r="B12" i="19"/>
  <c r="C11" i="19"/>
  <c r="F11" i="19"/>
  <c r="C10" i="19"/>
  <c r="C9" i="19"/>
  <c r="F9" i="19"/>
  <c r="F8" i="19"/>
  <c r="D8" i="19"/>
  <c r="C8" i="19"/>
  <c r="H6" i="19"/>
  <c r="D73" i="18"/>
  <c r="D74" i="18"/>
  <c r="D76" i="18"/>
  <c r="D71" i="18"/>
  <c r="D69" i="18"/>
  <c r="F65" i="18"/>
  <c r="E51" i="18"/>
  <c r="F51" i="18"/>
  <c r="D60" i="18"/>
  <c r="D85" i="18"/>
  <c r="D86" i="18"/>
  <c r="C51" i="18"/>
  <c r="E50" i="18"/>
  <c r="D50" i="18"/>
  <c r="B50" i="18"/>
  <c r="E49" i="18"/>
  <c r="D49" i="18"/>
  <c r="B49" i="18"/>
  <c r="E48" i="18"/>
  <c r="F48" i="18" s="1"/>
  <c r="D48" i="18"/>
  <c r="B48" i="18"/>
  <c r="E47" i="18"/>
  <c r="F47" i="18" s="1"/>
  <c r="D47" i="18"/>
  <c r="B47" i="18"/>
  <c r="E46" i="18"/>
  <c r="D46" i="18"/>
  <c r="B46" i="18"/>
  <c r="D45" i="18"/>
  <c r="B45" i="18"/>
  <c r="E44" i="18"/>
  <c r="D44" i="18"/>
  <c r="B44" i="18"/>
  <c r="E41" i="18"/>
  <c r="D41" i="18"/>
  <c r="C41" i="18"/>
  <c r="B41" i="18"/>
  <c r="A41" i="18"/>
  <c r="A50" i="18"/>
  <c r="C50" i="18"/>
  <c r="E40" i="18"/>
  <c r="D40" i="18"/>
  <c r="B40" i="18"/>
  <c r="A40" i="18"/>
  <c r="C40" i="18"/>
  <c r="E39" i="18"/>
  <c r="D39" i="18"/>
  <c r="B39" i="18"/>
  <c r="A39" i="18"/>
  <c r="C39" i="18"/>
  <c r="E38" i="18"/>
  <c r="F38" i="18"/>
  <c r="D38" i="18"/>
  <c r="B38" i="18"/>
  <c r="A38" i="18"/>
  <c r="C38" i="18"/>
  <c r="E37" i="18"/>
  <c r="D37" i="18"/>
  <c r="B37" i="18"/>
  <c r="A37" i="18"/>
  <c r="A46" i="18"/>
  <c r="C46" i="18"/>
  <c r="E36" i="18"/>
  <c r="D36" i="18"/>
  <c r="B36" i="18"/>
  <c r="A36" i="18"/>
  <c r="C36" i="18"/>
  <c r="E35" i="18"/>
  <c r="D35" i="18"/>
  <c r="B35" i="18"/>
  <c r="A35" i="18"/>
  <c r="C35" i="18"/>
  <c r="E32" i="18"/>
  <c r="D32" i="18"/>
  <c r="C32" i="18"/>
  <c r="B32" i="18"/>
  <c r="E31" i="18"/>
  <c r="D31" i="18"/>
  <c r="C31" i="18"/>
  <c r="B31" i="18"/>
  <c r="E30" i="18"/>
  <c r="D30" i="18"/>
  <c r="C30" i="18"/>
  <c r="B30" i="18"/>
  <c r="E29" i="18"/>
  <c r="F29" i="18" s="1"/>
  <c r="D29" i="18"/>
  <c r="C29" i="18"/>
  <c r="B29" i="18"/>
  <c r="E28" i="18"/>
  <c r="D28" i="18"/>
  <c r="C28" i="18"/>
  <c r="B28" i="18"/>
  <c r="E27" i="18"/>
  <c r="F27" i="18"/>
  <c r="D27" i="18"/>
  <c r="C27" i="18"/>
  <c r="B27" i="18"/>
  <c r="E24" i="18"/>
  <c r="F24" i="18"/>
  <c r="D24" i="18"/>
  <c r="C24" i="18"/>
  <c r="B24" i="18"/>
  <c r="E23" i="18"/>
  <c r="F23" i="18" s="1"/>
  <c r="D23" i="18"/>
  <c r="C23" i="18"/>
  <c r="B23" i="18"/>
  <c r="E22" i="18"/>
  <c r="F22" i="18" s="1"/>
  <c r="D22" i="18"/>
  <c r="C22" i="18"/>
  <c r="B22" i="18"/>
  <c r="E21" i="18"/>
  <c r="F21" i="18"/>
  <c r="D21" i="18"/>
  <c r="C21" i="18"/>
  <c r="B21" i="18"/>
  <c r="E20" i="18"/>
  <c r="F20" i="18" s="1"/>
  <c r="D20" i="18"/>
  <c r="C20" i="18"/>
  <c r="B20" i="18"/>
  <c r="E19" i="18"/>
  <c r="F19" i="18" s="1"/>
  <c r="D19" i="18"/>
  <c r="C19" i="18"/>
  <c r="B19" i="18"/>
  <c r="F18" i="18"/>
  <c r="D18" i="18"/>
  <c r="C18" i="18"/>
  <c r="B18" i="18"/>
  <c r="E17" i="18"/>
  <c r="D17" i="18"/>
  <c r="C17" i="18"/>
  <c r="B17" i="18"/>
  <c r="B15" i="18"/>
  <c r="E14" i="18"/>
  <c r="F14" i="18"/>
  <c r="D14" i="18"/>
  <c r="C14" i="18"/>
  <c r="B14" i="18"/>
  <c r="E13" i="18"/>
  <c r="F13" i="18" s="1"/>
  <c r="D13" i="18"/>
  <c r="C13" i="18"/>
  <c r="B13" i="18"/>
  <c r="E12" i="18"/>
  <c r="F12" i="18"/>
  <c r="D12" i="18"/>
  <c r="C12" i="18"/>
  <c r="B12" i="18"/>
  <c r="E11" i="18"/>
  <c r="D11" i="18"/>
  <c r="C11" i="18"/>
  <c r="B11" i="18"/>
  <c r="F10" i="18"/>
  <c r="C10" i="18"/>
  <c r="C9" i="18"/>
  <c r="F9" i="18"/>
  <c r="F8" i="18"/>
  <c r="C8" i="18"/>
  <c r="H6" i="18"/>
  <c r="D73" i="17"/>
  <c r="D74" i="17"/>
  <c r="D76" i="17"/>
  <c r="D71" i="17"/>
  <c r="D69" i="17"/>
  <c r="F65" i="17"/>
  <c r="E51" i="17"/>
  <c r="F51" i="17"/>
  <c r="D60" i="17"/>
  <c r="D85" i="17"/>
  <c r="D86" i="17"/>
  <c r="C51" i="17"/>
  <c r="E50" i="17"/>
  <c r="D50" i="17"/>
  <c r="B50" i="17"/>
  <c r="E49" i="17"/>
  <c r="D49" i="17"/>
  <c r="B49" i="17"/>
  <c r="E48" i="17"/>
  <c r="D48" i="17"/>
  <c r="B48" i="17"/>
  <c r="E47" i="17"/>
  <c r="D47" i="17"/>
  <c r="B47" i="17"/>
  <c r="E46" i="17"/>
  <c r="D46" i="17"/>
  <c r="B46" i="17"/>
  <c r="E45" i="17"/>
  <c r="D45" i="17"/>
  <c r="B45" i="17"/>
  <c r="A45" i="17"/>
  <c r="C45" i="17"/>
  <c r="D44" i="17"/>
  <c r="E41" i="17"/>
  <c r="F41" i="17" s="1"/>
  <c r="D41" i="17"/>
  <c r="B41" i="17"/>
  <c r="A41" i="17"/>
  <c r="A50" i="17"/>
  <c r="C50" i="17"/>
  <c r="E40" i="17"/>
  <c r="D40" i="17"/>
  <c r="C40" i="17"/>
  <c r="B40" i="17"/>
  <c r="A40" i="17"/>
  <c r="A49" i="17"/>
  <c r="C49" i="17"/>
  <c r="E39" i="17"/>
  <c r="F39" i="17"/>
  <c r="D39" i="17"/>
  <c r="B39" i="17"/>
  <c r="A39" i="17"/>
  <c r="C39" i="17"/>
  <c r="E38" i="17"/>
  <c r="F38" i="17"/>
  <c r="D38" i="17"/>
  <c r="B38" i="17"/>
  <c r="A38" i="17"/>
  <c r="C38" i="17"/>
  <c r="E37" i="17"/>
  <c r="D37" i="17"/>
  <c r="B37" i="17"/>
  <c r="A37" i="17"/>
  <c r="A46" i="17"/>
  <c r="C46" i="17"/>
  <c r="E36" i="17"/>
  <c r="F36" i="17"/>
  <c r="D36" i="17"/>
  <c r="C36" i="17"/>
  <c r="B36" i="17"/>
  <c r="A36" i="17"/>
  <c r="D35" i="17"/>
  <c r="A35" i="17"/>
  <c r="C35" i="17"/>
  <c r="E32" i="17"/>
  <c r="D32" i="17"/>
  <c r="C32" i="17"/>
  <c r="B32" i="17"/>
  <c r="E31" i="17"/>
  <c r="F31" i="17" s="1"/>
  <c r="D31" i="17"/>
  <c r="C31" i="17"/>
  <c r="B31" i="17"/>
  <c r="E30" i="17"/>
  <c r="F30" i="17" s="1"/>
  <c r="D30" i="17"/>
  <c r="C30" i="17"/>
  <c r="B30" i="17"/>
  <c r="E29" i="17"/>
  <c r="F29" i="17" s="1"/>
  <c r="D29" i="17"/>
  <c r="C29" i="17"/>
  <c r="B29" i="17"/>
  <c r="E28" i="17"/>
  <c r="D28" i="17"/>
  <c r="C28" i="17"/>
  <c r="B28" i="17"/>
  <c r="E27" i="17"/>
  <c r="D27" i="17"/>
  <c r="C27" i="17"/>
  <c r="B27" i="17"/>
  <c r="E24" i="17"/>
  <c r="F24" i="17" s="1"/>
  <c r="D24" i="17"/>
  <c r="C24" i="17"/>
  <c r="B24" i="17"/>
  <c r="E23" i="17"/>
  <c r="F23" i="17" s="1"/>
  <c r="D23" i="17"/>
  <c r="C23" i="17"/>
  <c r="B23" i="17"/>
  <c r="E22" i="17"/>
  <c r="D22" i="17"/>
  <c r="C22" i="17"/>
  <c r="B22" i="17"/>
  <c r="E21" i="17"/>
  <c r="F21" i="17" s="1"/>
  <c r="D21" i="17"/>
  <c r="C21" i="17"/>
  <c r="B21" i="17"/>
  <c r="E20" i="17"/>
  <c r="F20" i="17"/>
  <c r="D20" i="17"/>
  <c r="C20" i="17"/>
  <c r="B20" i="17"/>
  <c r="E19" i="17"/>
  <c r="F19" i="17"/>
  <c r="D19" i="17"/>
  <c r="C19" i="17"/>
  <c r="B19" i="17"/>
  <c r="E18" i="17"/>
  <c r="F18" i="17" s="1"/>
  <c r="D18" i="17"/>
  <c r="C18" i="17"/>
  <c r="B18" i="17"/>
  <c r="D17" i="17"/>
  <c r="C17" i="17"/>
  <c r="B15" i="17"/>
  <c r="E14" i="17"/>
  <c r="F14" i="17"/>
  <c r="D14" i="17"/>
  <c r="C14" i="17"/>
  <c r="B14" i="17"/>
  <c r="E13" i="17"/>
  <c r="D13" i="17"/>
  <c r="C13" i="17"/>
  <c r="B13" i="17"/>
  <c r="E12" i="17"/>
  <c r="F12" i="17"/>
  <c r="D12" i="17"/>
  <c r="C12" i="17"/>
  <c r="B12" i="17"/>
  <c r="E11" i="17"/>
  <c r="F11" i="17" s="1"/>
  <c r="D11" i="17"/>
  <c r="C11" i="17"/>
  <c r="B11" i="17"/>
  <c r="E10" i="17"/>
  <c r="F10" i="17"/>
  <c r="D10" i="17"/>
  <c r="C10" i="17"/>
  <c r="B10" i="17"/>
  <c r="E9" i="17"/>
  <c r="F9" i="17" s="1"/>
  <c r="D9" i="17"/>
  <c r="C9" i="17"/>
  <c r="B9" i="17"/>
  <c r="E8" i="17"/>
  <c r="F8" i="17"/>
  <c r="D8" i="17"/>
  <c r="C8" i="17"/>
  <c r="B8" i="17"/>
  <c r="H6" i="17"/>
  <c r="D73" i="16"/>
  <c r="D74" i="16"/>
  <c r="D76" i="16"/>
  <c r="D71" i="16"/>
  <c r="D69" i="16"/>
  <c r="F65" i="16"/>
  <c r="E51" i="16"/>
  <c r="F51" i="16"/>
  <c r="D60" i="16"/>
  <c r="D85" i="16"/>
  <c r="D86" i="16"/>
  <c r="C51" i="16"/>
  <c r="E50" i="16"/>
  <c r="F50" i="16" s="1"/>
  <c r="D50" i="16"/>
  <c r="B50" i="16"/>
  <c r="E49" i="16"/>
  <c r="D49" i="16"/>
  <c r="B49" i="16"/>
  <c r="A49" i="16"/>
  <c r="C49" i="16"/>
  <c r="E48" i="16"/>
  <c r="D48" i="16"/>
  <c r="B48" i="16"/>
  <c r="E47" i="16"/>
  <c r="F47" i="16" s="1"/>
  <c r="D47" i="16"/>
  <c r="B47" i="16"/>
  <c r="E46" i="16"/>
  <c r="F46" i="16" s="1"/>
  <c r="D46" i="16"/>
  <c r="B46" i="16"/>
  <c r="E45" i="16"/>
  <c r="D45" i="16"/>
  <c r="B45" i="16"/>
  <c r="E44" i="16"/>
  <c r="F44" i="16" s="1"/>
  <c r="D44" i="16"/>
  <c r="B44" i="16"/>
  <c r="E41" i="16"/>
  <c r="F41" i="16" s="1"/>
  <c r="D41" i="16"/>
  <c r="B41" i="16"/>
  <c r="A41" i="16"/>
  <c r="A50" i="16"/>
  <c r="C50" i="16"/>
  <c r="E40" i="16"/>
  <c r="F40" i="16" s="1"/>
  <c r="D40" i="16"/>
  <c r="B40" i="16"/>
  <c r="A40" i="16"/>
  <c r="C40" i="16"/>
  <c r="E39" i="16"/>
  <c r="D39" i="16"/>
  <c r="B39" i="16"/>
  <c r="A39" i="16"/>
  <c r="C39" i="16"/>
  <c r="E38" i="16"/>
  <c r="F38" i="16" s="1"/>
  <c r="D38" i="16"/>
  <c r="B38" i="16"/>
  <c r="A38" i="16"/>
  <c r="C38" i="16"/>
  <c r="E37" i="16"/>
  <c r="D37" i="16"/>
  <c r="B37" i="16"/>
  <c r="A37" i="16"/>
  <c r="A46" i="16"/>
  <c r="C46" i="16"/>
  <c r="E36" i="16"/>
  <c r="D36" i="16"/>
  <c r="C36" i="16"/>
  <c r="B36" i="16"/>
  <c r="A36" i="16"/>
  <c r="A45" i="16"/>
  <c r="C45" i="16"/>
  <c r="E35" i="16"/>
  <c r="F35" i="16" s="1"/>
  <c r="D35" i="16"/>
  <c r="B35" i="16"/>
  <c r="A35" i="16"/>
  <c r="C35" i="16"/>
  <c r="E32" i="16"/>
  <c r="F32" i="16" s="1"/>
  <c r="D32" i="16"/>
  <c r="C32" i="16"/>
  <c r="B32" i="16"/>
  <c r="E31" i="16"/>
  <c r="F31" i="16"/>
  <c r="D31" i="16"/>
  <c r="C31" i="16"/>
  <c r="B31" i="16"/>
  <c r="E30" i="16"/>
  <c r="F30" i="16" s="1"/>
  <c r="D30" i="16"/>
  <c r="C30" i="16"/>
  <c r="B30" i="16"/>
  <c r="E29" i="16"/>
  <c r="F29" i="16"/>
  <c r="D29" i="16"/>
  <c r="C29" i="16"/>
  <c r="B29" i="16"/>
  <c r="E28" i="16"/>
  <c r="D28" i="16"/>
  <c r="C28" i="16"/>
  <c r="B28" i="16"/>
  <c r="E27" i="16"/>
  <c r="F27" i="16" s="1"/>
  <c r="D27" i="16"/>
  <c r="C27" i="16"/>
  <c r="B27" i="16"/>
  <c r="E24" i="16"/>
  <c r="F24" i="16" s="1"/>
  <c r="D24" i="16"/>
  <c r="C24" i="16"/>
  <c r="B24" i="16"/>
  <c r="E23" i="16"/>
  <c r="F23" i="16"/>
  <c r="D23" i="16"/>
  <c r="C23" i="16"/>
  <c r="B23" i="16"/>
  <c r="E22" i="16"/>
  <c r="F22" i="16"/>
  <c r="D22" i="16"/>
  <c r="C22" i="16"/>
  <c r="B22" i="16"/>
  <c r="E21" i="16"/>
  <c r="F21" i="16"/>
  <c r="D21" i="16"/>
  <c r="C21" i="16"/>
  <c r="B21" i="16"/>
  <c r="E20" i="16"/>
  <c r="F20" i="16" s="1"/>
  <c r="D20" i="16"/>
  <c r="C20" i="16"/>
  <c r="B20" i="16"/>
  <c r="E19" i="16"/>
  <c r="F19" i="16"/>
  <c r="D19" i="16"/>
  <c r="C19" i="16"/>
  <c r="B19" i="16"/>
  <c r="E18" i="16"/>
  <c r="F18" i="16"/>
  <c r="D18" i="16"/>
  <c r="C18" i="16"/>
  <c r="B18" i="16"/>
  <c r="E17" i="16"/>
  <c r="F17" i="16" s="1"/>
  <c r="D17" i="16"/>
  <c r="C17" i="16"/>
  <c r="B17" i="16"/>
  <c r="B15" i="16"/>
  <c r="E14" i="16"/>
  <c r="F14" i="16"/>
  <c r="D14" i="16"/>
  <c r="C14" i="16"/>
  <c r="B14" i="16"/>
  <c r="E13" i="16"/>
  <c r="F13" i="16"/>
  <c r="D13" i="16"/>
  <c r="C13" i="16"/>
  <c r="B13" i="16"/>
  <c r="E11" i="16"/>
  <c r="D11" i="16"/>
  <c r="C11" i="16"/>
  <c r="B11" i="16"/>
  <c r="E10" i="16"/>
  <c r="F10" i="16" s="1"/>
  <c r="D10" i="16"/>
  <c r="C10" i="16"/>
  <c r="B10" i="16"/>
  <c r="C9" i="16"/>
  <c r="E8" i="16"/>
  <c r="D8" i="16"/>
  <c r="C8" i="16"/>
  <c r="B8" i="16"/>
  <c r="H6" i="16"/>
  <c r="D73" i="15"/>
  <c r="D74" i="15"/>
  <c r="D76" i="15"/>
  <c r="D71" i="15"/>
  <c r="D69" i="15"/>
  <c r="F65" i="15"/>
  <c r="E51" i="15"/>
  <c r="F51" i="15"/>
  <c r="D60" i="15"/>
  <c r="D85" i="15"/>
  <c r="D86" i="15"/>
  <c r="C51" i="15"/>
  <c r="E50" i="15"/>
  <c r="D50" i="15"/>
  <c r="B50" i="15"/>
  <c r="E49" i="15"/>
  <c r="F49" i="15" s="1"/>
  <c r="D49" i="15"/>
  <c r="B49" i="15"/>
  <c r="E48" i="15"/>
  <c r="D48" i="15"/>
  <c r="B48" i="15"/>
  <c r="E47" i="15"/>
  <c r="F47" i="15" s="1"/>
  <c r="D47" i="15"/>
  <c r="B47" i="15"/>
  <c r="D46" i="15"/>
  <c r="D45" i="15"/>
  <c r="A45" i="15"/>
  <c r="C45" i="15"/>
  <c r="D44" i="15"/>
  <c r="E41" i="15"/>
  <c r="D41" i="15"/>
  <c r="A41" i="15"/>
  <c r="A50" i="15"/>
  <c r="C50" i="15"/>
  <c r="E40" i="15"/>
  <c r="D40" i="15"/>
  <c r="C40" i="15"/>
  <c r="B40" i="15"/>
  <c r="A40" i="15"/>
  <c r="A49" i="15"/>
  <c r="C49" i="15"/>
  <c r="E39" i="15"/>
  <c r="F39" i="15"/>
  <c r="D39" i="15"/>
  <c r="B39" i="15"/>
  <c r="A39" i="15"/>
  <c r="C39" i="15"/>
  <c r="E38" i="15"/>
  <c r="F38" i="15"/>
  <c r="D38" i="15"/>
  <c r="B38" i="15"/>
  <c r="A38" i="15"/>
  <c r="C38" i="15"/>
  <c r="D37" i="15"/>
  <c r="A37" i="15"/>
  <c r="A46" i="15"/>
  <c r="C46" i="15"/>
  <c r="D36" i="15"/>
  <c r="C36" i="15"/>
  <c r="A36" i="15"/>
  <c r="D35" i="15"/>
  <c r="A35" i="15"/>
  <c r="C35" i="15"/>
  <c r="E32" i="15"/>
  <c r="F32" i="15" s="1"/>
  <c r="D32" i="15"/>
  <c r="C32" i="15"/>
  <c r="B32" i="15"/>
  <c r="E31" i="15"/>
  <c r="F31" i="15"/>
  <c r="D31" i="15"/>
  <c r="C31" i="15"/>
  <c r="B31" i="15"/>
  <c r="E30" i="15"/>
  <c r="D30" i="15"/>
  <c r="C30" i="15"/>
  <c r="B30" i="15"/>
  <c r="E29" i="15"/>
  <c r="D29" i="15"/>
  <c r="C29" i="15"/>
  <c r="B29" i="15"/>
  <c r="E28" i="15"/>
  <c r="F28" i="15" s="1"/>
  <c r="D28" i="15"/>
  <c r="C28" i="15"/>
  <c r="B28" i="15"/>
  <c r="E27" i="15"/>
  <c r="F27" i="15" s="1"/>
  <c r="D27" i="15"/>
  <c r="C27" i="15"/>
  <c r="B27" i="15"/>
  <c r="E24" i="15"/>
  <c r="D24" i="15"/>
  <c r="C24" i="15"/>
  <c r="B24" i="15"/>
  <c r="E23" i="15"/>
  <c r="F23" i="15" s="1"/>
  <c r="D23" i="15"/>
  <c r="C23" i="15"/>
  <c r="B23" i="15"/>
  <c r="E22" i="15"/>
  <c r="F22" i="15"/>
  <c r="D22" i="15"/>
  <c r="C22" i="15"/>
  <c r="B22" i="15"/>
  <c r="E21" i="15"/>
  <c r="F21" i="15" s="1"/>
  <c r="D21" i="15"/>
  <c r="C21" i="15"/>
  <c r="B21" i="15"/>
  <c r="E20" i="15"/>
  <c r="F20" i="15"/>
  <c r="D20" i="15"/>
  <c r="C20" i="15"/>
  <c r="B20" i="15"/>
  <c r="C19" i="15"/>
  <c r="C18" i="15"/>
  <c r="C17" i="15"/>
  <c r="B15" i="15"/>
  <c r="E14" i="15"/>
  <c r="F14" i="15" s="1"/>
  <c r="D14" i="15"/>
  <c r="C14" i="15"/>
  <c r="B14" i="15"/>
  <c r="E13" i="15"/>
  <c r="F13" i="15" s="1"/>
  <c r="D13" i="15"/>
  <c r="C13" i="15"/>
  <c r="B13" i="15"/>
  <c r="E12" i="15"/>
  <c r="D12" i="15"/>
  <c r="C12" i="15"/>
  <c r="B12" i="15"/>
  <c r="E11" i="15"/>
  <c r="D11" i="15"/>
  <c r="C11" i="15"/>
  <c r="B11" i="15"/>
  <c r="E10" i="15"/>
  <c r="F10" i="15" s="1"/>
  <c r="D10" i="15"/>
  <c r="C10" i="15"/>
  <c r="B10" i="15"/>
  <c r="E9" i="15"/>
  <c r="D9" i="15"/>
  <c r="C9" i="15"/>
  <c r="B9" i="15"/>
  <c r="E8" i="15"/>
  <c r="F8" i="15"/>
  <c r="D8" i="15"/>
  <c r="C8" i="15"/>
  <c r="B8" i="15"/>
  <c r="H6" i="15"/>
  <c r="D73" i="14"/>
  <c r="D74" i="14"/>
  <c r="D76" i="14"/>
  <c r="D71" i="14"/>
  <c r="D69" i="14"/>
  <c r="F65" i="14"/>
  <c r="E51" i="14"/>
  <c r="F51" i="14"/>
  <c r="D60" i="14"/>
  <c r="D85" i="14"/>
  <c r="D86" i="14"/>
  <c r="C51" i="14"/>
  <c r="E50" i="14"/>
  <c r="F50" i="14" s="1"/>
  <c r="D50" i="14"/>
  <c r="B50" i="14"/>
  <c r="E49" i="14"/>
  <c r="F49" i="14" s="1"/>
  <c r="D49" i="14"/>
  <c r="B49" i="14"/>
  <c r="A49" i="14"/>
  <c r="C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D44" i="14"/>
  <c r="E41" i="14"/>
  <c r="D41" i="14"/>
  <c r="B41" i="14"/>
  <c r="A41" i="14"/>
  <c r="A50" i="14"/>
  <c r="C50" i="14"/>
  <c r="E40" i="14"/>
  <c r="D40" i="14"/>
  <c r="B40" i="14"/>
  <c r="A40" i="14"/>
  <c r="C40" i="14"/>
  <c r="E39" i="14"/>
  <c r="F39" i="14"/>
  <c r="D39" i="14"/>
  <c r="B39" i="14"/>
  <c r="A39" i="14"/>
  <c r="C39" i="14"/>
  <c r="E38" i="14"/>
  <c r="F38" i="14"/>
  <c r="D38" i="14"/>
  <c r="B38" i="14"/>
  <c r="A38" i="14"/>
  <c r="C38" i="14"/>
  <c r="E37" i="14"/>
  <c r="D37" i="14"/>
  <c r="B37" i="14"/>
  <c r="A37" i="14"/>
  <c r="A46" i="14"/>
  <c r="C46" i="14"/>
  <c r="E36" i="14"/>
  <c r="F36" i="14" s="1"/>
  <c r="D36" i="14"/>
  <c r="B36" i="14"/>
  <c r="A36" i="14"/>
  <c r="C36" i="14"/>
  <c r="D35" i="14"/>
  <c r="A35" i="14"/>
  <c r="C35" i="14"/>
  <c r="E32" i="14"/>
  <c r="F32" i="14" s="1"/>
  <c r="D32" i="14"/>
  <c r="C32" i="14"/>
  <c r="B32" i="14"/>
  <c r="E31" i="14"/>
  <c r="F31" i="14"/>
  <c r="D31" i="14"/>
  <c r="C31" i="14"/>
  <c r="B31" i="14"/>
  <c r="E30" i="14"/>
  <c r="D30" i="14"/>
  <c r="C30" i="14"/>
  <c r="B30" i="14"/>
  <c r="E29" i="14"/>
  <c r="D29" i="14"/>
  <c r="C29" i="14"/>
  <c r="B29" i="14"/>
  <c r="E28" i="14"/>
  <c r="D28" i="14"/>
  <c r="C28" i="14"/>
  <c r="B28" i="14"/>
  <c r="E27" i="14"/>
  <c r="F27" i="14" s="1"/>
  <c r="D27" i="14"/>
  <c r="C27" i="14"/>
  <c r="B27" i="14"/>
  <c r="E24" i="14"/>
  <c r="D24" i="14"/>
  <c r="C24" i="14"/>
  <c r="B24" i="14"/>
  <c r="E23" i="14"/>
  <c r="F23" i="14"/>
  <c r="D23" i="14"/>
  <c r="C23" i="14"/>
  <c r="B23" i="14"/>
  <c r="E22" i="14"/>
  <c r="F22" i="14"/>
  <c r="D22" i="14"/>
  <c r="C22" i="14"/>
  <c r="B22" i="14"/>
  <c r="E21" i="14"/>
  <c r="F21" i="14" s="1"/>
  <c r="D21" i="14"/>
  <c r="C21" i="14"/>
  <c r="B21" i="14"/>
  <c r="E20" i="14"/>
  <c r="F20" i="14"/>
  <c r="D20" i="14"/>
  <c r="C20" i="14"/>
  <c r="B20" i="14"/>
  <c r="E19" i="14"/>
  <c r="F19" i="14" s="1"/>
  <c r="D19" i="14"/>
  <c r="C19" i="14"/>
  <c r="B19" i="14"/>
  <c r="E18" i="14"/>
  <c r="F18" i="14" s="1"/>
  <c r="D18" i="14"/>
  <c r="C18" i="14"/>
  <c r="B18" i="14"/>
  <c r="C17" i="14"/>
  <c r="B15" i="14"/>
  <c r="E14" i="14"/>
  <c r="F14" i="14"/>
  <c r="D14" i="14"/>
  <c r="C14" i="14"/>
  <c r="B14" i="14"/>
  <c r="E13" i="14"/>
  <c r="D13" i="14"/>
  <c r="C13" i="14"/>
  <c r="B13" i="14"/>
  <c r="E12" i="14"/>
  <c r="F12" i="14"/>
  <c r="D12" i="14"/>
  <c r="C12" i="14"/>
  <c r="B12" i="14"/>
  <c r="E11" i="14"/>
  <c r="D11" i="14"/>
  <c r="C11" i="14"/>
  <c r="B11" i="14"/>
  <c r="E10" i="14"/>
  <c r="F10" i="14" s="1"/>
  <c r="D10" i="14"/>
  <c r="C10" i="14"/>
  <c r="B10" i="14"/>
  <c r="C9" i="14"/>
  <c r="E8" i="14"/>
  <c r="D8" i="14"/>
  <c r="C8" i="14"/>
  <c r="B8" i="14"/>
  <c r="H6" i="14"/>
  <c r="D73" i="13"/>
  <c r="D74" i="13"/>
  <c r="D76" i="13"/>
  <c r="D71" i="13"/>
  <c r="D69" i="13"/>
  <c r="F65" i="13"/>
  <c r="E51" i="13"/>
  <c r="D60" i="13"/>
  <c r="D85" i="13"/>
  <c r="D86" i="13"/>
  <c r="C51" i="13"/>
  <c r="E50" i="13"/>
  <c r="D50" i="13"/>
  <c r="B50" i="13"/>
  <c r="E49" i="13"/>
  <c r="F49" i="13" s="1"/>
  <c r="D49" i="13"/>
  <c r="B49" i="13"/>
  <c r="E48" i="13"/>
  <c r="D48" i="13"/>
  <c r="B48" i="13"/>
  <c r="E47" i="13"/>
  <c r="F47" i="13" s="1"/>
  <c r="D47" i="13"/>
  <c r="B47" i="13"/>
  <c r="E46" i="13"/>
  <c r="D46" i="13"/>
  <c r="B46" i="13"/>
  <c r="E45" i="13"/>
  <c r="F45" i="13" s="1"/>
  <c r="D45" i="13"/>
  <c r="B45" i="13"/>
  <c r="E44" i="13"/>
  <c r="D44" i="13"/>
  <c r="B44" i="13"/>
  <c r="E41" i="13"/>
  <c r="F41" i="13" s="1"/>
  <c r="D41" i="13"/>
  <c r="B41" i="13"/>
  <c r="A41" i="13"/>
  <c r="A50" i="13"/>
  <c r="C50" i="13"/>
  <c r="E40" i="13"/>
  <c r="D40" i="13"/>
  <c r="B40" i="13"/>
  <c r="A40" i="13"/>
  <c r="C40" i="13"/>
  <c r="E39" i="13"/>
  <c r="F39" i="13" s="1"/>
  <c r="D39" i="13"/>
  <c r="C39" i="13"/>
  <c r="B39" i="13"/>
  <c r="A39" i="13"/>
  <c r="A48" i="13"/>
  <c r="C48" i="13"/>
  <c r="E38" i="13"/>
  <c r="D38" i="13"/>
  <c r="B38" i="13"/>
  <c r="A38" i="13"/>
  <c r="A47" i="13"/>
  <c r="C47" i="13"/>
  <c r="E37" i="13"/>
  <c r="F37" i="13" s="1"/>
  <c r="D37" i="13"/>
  <c r="B37" i="13"/>
  <c r="A37" i="13"/>
  <c r="A46" i="13"/>
  <c r="C46" i="13"/>
  <c r="E36" i="13"/>
  <c r="F36" i="13" s="1"/>
  <c r="D36" i="13"/>
  <c r="B36" i="13"/>
  <c r="A36" i="13"/>
  <c r="C36" i="13"/>
  <c r="E35" i="13"/>
  <c r="F35" i="13" s="1"/>
  <c r="D35" i="13"/>
  <c r="B35" i="13"/>
  <c r="A35" i="13"/>
  <c r="A44" i="13"/>
  <c r="C44" i="13"/>
  <c r="E32" i="13"/>
  <c r="F32" i="13" s="1"/>
  <c r="D32" i="13"/>
  <c r="C32" i="13"/>
  <c r="B32" i="13"/>
  <c r="E31" i="13"/>
  <c r="D31" i="13"/>
  <c r="C31" i="13"/>
  <c r="B31" i="13"/>
  <c r="E30" i="13"/>
  <c r="F30" i="13" s="1"/>
  <c r="D30" i="13"/>
  <c r="C30" i="13"/>
  <c r="B30" i="13"/>
  <c r="E29" i="13"/>
  <c r="F29" i="13" s="1"/>
  <c r="D29" i="13"/>
  <c r="C29" i="13"/>
  <c r="B29" i="13"/>
  <c r="E28" i="13"/>
  <c r="D28" i="13"/>
  <c r="C28" i="13"/>
  <c r="B28" i="13"/>
  <c r="E27" i="13"/>
  <c r="F27" i="13" s="1"/>
  <c r="D27" i="13"/>
  <c r="C27" i="13"/>
  <c r="B27" i="13"/>
  <c r="E24" i="13"/>
  <c r="F24" i="13"/>
  <c r="D24" i="13"/>
  <c r="C24" i="13"/>
  <c r="B24" i="13"/>
  <c r="E23" i="13"/>
  <c r="D23" i="13"/>
  <c r="C23" i="13"/>
  <c r="B23" i="13"/>
  <c r="E22" i="13"/>
  <c r="F22" i="13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/>
  <c r="D19" i="13"/>
  <c r="C19" i="13"/>
  <c r="B19" i="13"/>
  <c r="E18" i="13"/>
  <c r="F18" i="13"/>
  <c r="D18" i="13"/>
  <c r="C18" i="13"/>
  <c r="B18" i="13"/>
  <c r="E17" i="13"/>
  <c r="F17" i="13" s="1"/>
  <c r="D17" i="13"/>
  <c r="C17" i="13"/>
  <c r="B17" i="13"/>
  <c r="B15" i="13"/>
  <c r="E14" i="13"/>
  <c r="F14" i="13" s="1"/>
  <c r="D14" i="13"/>
  <c r="C14" i="13"/>
  <c r="B14" i="13"/>
  <c r="D13" i="13"/>
  <c r="C13" i="13"/>
  <c r="B13" i="13"/>
  <c r="D12" i="13"/>
  <c r="C12" i="13"/>
  <c r="B12" i="13"/>
  <c r="D11" i="13"/>
  <c r="C11" i="13"/>
  <c r="B11" i="13"/>
  <c r="C10" i="13"/>
  <c r="B10" i="13"/>
  <c r="D9" i="13"/>
  <c r="C9" i="13"/>
  <c r="B9" i="13"/>
  <c r="D8" i="13"/>
  <c r="C8" i="13"/>
  <c r="B8" i="13"/>
  <c r="H6" i="13"/>
  <c r="D21" i="9"/>
  <c r="D25" i="6"/>
  <c r="D38" i="10"/>
  <c r="D37" i="10"/>
  <c r="D20" i="9"/>
  <c r="D24" i="6"/>
  <c r="D38" i="1"/>
  <c r="D37" i="1"/>
  <c r="F8" i="16"/>
  <c r="F36" i="19"/>
  <c r="F31" i="19"/>
  <c r="F28" i="13"/>
  <c r="F40" i="18"/>
  <c r="F30" i="18"/>
  <c r="F31" i="18"/>
  <c r="F32" i="18"/>
  <c r="F11" i="15"/>
  <c r="F28" i="16"/>
  <c r="F44" i="13"/>
  <c r="F46" i="13"/>
  <c r="F48" i="13"/>
  <c r="F31" i="13"/>
  <c r="F40" i="13"/>
  <c r="F29" i="15"/>
  <c r="F30" i="15"/>
  <c r="F28" i="14"/>
  <c r="F29" i="14"/>
  <c r="F30" i="14"/>
  <c r="F36" i="16"/>
  <c r="F50" i="15"/>
  <c r="F40" i="15"/>
  <c r="F24" i="15"/>
  <c r="C41" i="15"/>
  <c r="F41" i="15"/>
  <c r="F9" i="15"/>
  <c r="F12" i="15"/>
  <c r="F37" i="19"/>
  <c r="F41" i="19"/>
  <c r="F30" i="19"/>
  <c r="F24" i="19"/>
  <c r="C40" i="19"/>
  <c r="F40" i="19"/>
  <c r="A45" i="19"/>
  <c r="C45" i="19"/>
  <c r="F45" i="19"/>
  <c r="F49" i="19"/>
  <c r="F18" i="19"/>
  <c r="F38" i="19"/>
  <c r="F39" i="19"/>
  <c r="F13" i="19"/>
  <c r="D81" i="19"/>
  <c r="D83" i="19"/>
  <c r="F28" i="19"/>
  <c r="F10" i="19"/>
  <c r="D81" i="15"/>
  <c r="D83" i="15"/>
  <c r="C37" i="15"/>
  <c r="D81" i="17"/>
  <c r="D83" i="17"/>
  <c r="F46" i="17"/>
  <c r="F50" i="17"/>
  <c r="F40" i="17"/>
  <c r="F32" i="17"/>
  <c r="F22" i="17"/>
  <c r="C41" i="17"/>
  <c r="F49" i="17"/>
  <c r="C37" i="17"/>
  <c r="F37" i="17"/>
  <c r="F13" i="17"/>
  <c r="F28" i="17"/>
  <c r="F27" i="17"/>
  <c r="D83" i="18"/>
  <c r="D81" i="18"/>
  <c r="F46" i="18"/>
  <c r="F50" i="18"/>
  <c r="F41" i="18"/>
  <c r="F39" i="18"/>
  <c r="F28" i="18"/>
  <c r="C37" i="18"/>
  <c r="F37" i="18"/>
  <c r="A49" i="18"/>
  <c r="C49" i="18"/>
  <c r="F49" i="18"/>
  <c r="F11" i="18"/>
  <c r="F36" i="18"/>
  <c r="A45" i="18"/>
  <c r="C45" i="18"/>
  <c r="F17" i="18"/>
  <c r="F35" i="18"/>
  <c r="D83" i="16"/>
  <c r="D81" i="16"/>
  <c r="C41" i="16"/>
  <c r="C37" i="16"/>
  <c r="F37" i="16"/>
  <c r="F45" i="16"/>
  <c r="F49" i="16"/>
  <c r="F9" i="16"/>
  <c r="F11" i="16"/>
  <c r="F17" i="15"/>
  <c r="F35" i="15"/>
  <c r="D83" i="14"/>
  <c r="F46" i="14"/>
  <c r="F40" i="14"/>
  <c r="F24" i="14"/>
  <c r="C37" i="14"/>
  <c r="F37" i="14"/>
  <c r="F45" i="14"/>
  <c r="C41" i="14"/>
  <c r="F41" i="14"/>
  <c r="A45" i="14"/>
  <c r="C45" i="14"/>
  <c r="F11" i="14"/>
  <c r="F13" i="14"/>
  <c r="F9" i="14"/>
  <c r="F8" i="14"/>
  <c r="F50" i="13"/>
  <c r="F23" i="13"/>
  <c r="C35" i="13"/>
  <c r="A49" i="13"/>
  <c r="C49" i="13"/>
  <c r="C38" i="13"/>
  <c r="F38" i="13"/>
  <c r="A45" i="13"/>
  <c r="C45" i="13"/>
  <c r="F13" i="13"/>
  <c r="F12" i="13"/>
  <c r="F8" i="13"/>
  <c r="F9" i="13"/>
  <c r="F10" i="13"/>
  <c r="F11" i="13"/>
  <c r="F35" i="19"/>
  <c r="A44" i="19"/>
  <c r="C44" i="19"/>
  <c r="F44" i="19"/>
  <c r="A48" i="19"/>
  <c r="C48" i="19"/>
  <c r="F48" i="19"/>
  <c r="A47" i="19"/>
  <c r="C47" i="19"/>
  <c r="F47" i="19"/>
  <c r="C73" i="19"/>
  <c r="F45" i="18"/>
  <c r="A44" i="18"/>
  <c r="C44" i="18"/>
  <c r="F44" i="18"/>
  <c r="A48" i="18"/>
  <c r="C48" i="18"/>
  <c r="A47" i="18"/>
  <c r="C47" i="18"/>
  <c r="C73" i="18"/>
  <c r="F45" i="17"/>
  <c r="A44" i="17"/>
  <c r="C44" i="17"/>
  <c r="A48" i="17"/>
  <c r="C48" i="17"/>
  <c r="F48" i="17"/>
  <c r="A47" i="17"/>
  <c r="C47" i="17"/>
  <c r="F47" i="17"/>
  <c r="C73" i="17"/>
  <c r="F39" i="16"/>
  <c r="A44" i="16"/>
  <c r="C44" i="16"/>
  <c r="A48" i="16"/>
  <c r="C48" i="16"/>
  <c r="F48" i="16"/>
  <c r="A47" i="16"/>
  <c r="C47" i="16"/>
  <c r="C73" i="16"/>
  <c r="A44" i="15"/>
  <c r="C44" i="15"/>
  <c r="F44" i="15"/>
  <c r="A48" i="15"/>
  <c r="C48" i="15"/>
  <c r="F48" i="15"/>
  <c r="A47" i="15"/>
  <c r="C47" i="15"/>
  <c r="C73" i="15"/>
  <c r="A44" i="14"/>
  <c r="C44" i="14"/>
  <c r="A48" i="14"/>
  <c r="C48" i="14"/>
  <c r="F48" i="14"/>
  <c r="D81" i="14"/>
  <c r="A47" i="14"/>
  <c r="C47" i="14"/>
  <c r="F47" i="14"/>
  <c r="C73" i="14"/>
  <c r="F51" i="13"/>
  <c r="C37" i="13"/>
  <c r="C41" i="13"/>
  <c r="D83" i="13"/>
  <c r="D81" i="13"/>
  <c r="C73" i="13"/>
  <c r="E73" i="19"/>
  <c r="C85" i="19"/>
  <c r="E85" i="19"/>
  <c r="E73" i="18"/>
  <c r="C85" i="18"/>
  <c r="E85" i="18"/>
  <c r="E73" i="17"/>
  <c r="C85" i="17"/>
  <c r="E85" i="17"/>
  <c r="C85" i="16"/>
  <c r="E85" i="16"/>
  <c r="E73" i="16"/>
  <c r="E73" i="15"/>
  <c r="C85" i="15"/>
  <c r="E85" i="15"/>
  <c r="E73" i="14"/>
  <c r="C85" i="14"/>
  <c r="E85" i="14"/>
  <c r="C85" i="13"/>
  <c r="E85" i="13"/>
  <c r="E73" i="13"/>
  <c r="F56" i="13" l="1"/>
  <c r="F54" i="16"/>
  <c r="F53" i="19"/>
  <c r="F54" i="19"/>
  <c r="F53" i="18"/>
  <c r="F53" i="16"/>
  <c r="F53" i="13"/>
  <c r="F56" i="16"/>
  <c r="F56" i="19"/>
  <c r="F56" i="18"/>
  <c r="F54" i="13"/>
  <c r="F54" i="18"/>
  <c r="F55" i="19" l="1"/>
  <c r="C69" i="19"/>
  <c r="F64" i="19"/>
  <c r="H53" i="19"/>
  <c r="F2" i="19" s="1"/>
  <c r="H54" i="19"/>
  <c r="G2" i="19" s="1"/>
  <c r="C76" i="19"/>
  <c r="E76" i="19" s="1"/>
  <c r="C74" i="19"/>
  <c r="H56" i="19"/>
  <c r="F64" i="16"/>
  <c r="C69" i="16"/>
  <c r="H53" i="16"/>
  <c r="F2" i="16" s="1"/>
  <c r="F55" i="16"/>
  <c r="C74" i="13"/>
  <c r="H56" i="13"/>
  <c r="H53" i="13"/>
  <c r="F2" i="13" s="1"/>
  <c r="F55" i="13"/>
  <c r="F64" i="13"/>
  <c r="C69" i="13"/>
  <c r="H56" i="18"/>
  <c r="C74" i="18"/>
  <c r="H54" i="18"/>
  <c r="G2" i="18" s="1"/>
  <c r="C76" i="18"/>
  <c r="E76" i="18" s="1"/>
  <c r="E35" i="17" s="1"/>
  <c r="F35" i="17" s="1"/>
  <c r="C74" i="16"/>
  <c r="H56" i="16"/>
  <c r="F64" i="18"/>
  <c r="H53" i="18"/>
  <c r="F2" i="18" s="1"/>
  <c r="F55" i="18"/>
  <c r="C69" i="18"/>
  <c r="H54" i="13"/>
  <c r="G2" i="13" s="1"/>
  <c r="C76" i="13"/>
  <c r="E76" i="13" s="1"/>
  <c r="E35" i="14" s="1"/>
  <c r="F35" i="14" s="1"/>
  <c r="H54" i="16"/>
  <c r="G2" i="16" s="1"/>
  <c r="C76" i="16"/>
  <c r="E76" i="16" s="1"/>
  <c r="C81" i="13" l="1"/>
  <c r="E81" i="13" s="1"/>
  <c r="E69" i="13"/>
  <c r="H2" i="19"/>
  <c r="H58" i="19"/>
  <c r="H59" i="19" s="1"/>
  <c r="O58" i="19" s="1"/>
  <c r="O55" i="19"/>
  <c r="H55" i="13"/>
  <c r="O54" i="13"/>
  <c r="F63" i="13"/>
  <c r="H2" i="13"/>
  <c r="O55" i="13"/>
  <c r="H58" i="13"/>
  <c r="H59" i="13" s="1"/>
  <c r="O58" i="13" s="1"/>
  <c r="F54" i="14"/>
  <c r="E74" i="13"/>
  <c r="E44" i="14" s="1"/>
  <c r="F44" i="14" s="1"/>
  <c r="C86" i="13"/>
  <c r="E86" i="13" s="1"/>
  <c r="H55" i="18"/>
  <c r="O54" i="18"/>
  <c r="F63" i="18"/>
  <c r="O55" i="16"/>
  <c r="H58" i="16"/>
  <c r="H59" i="16" s="1"/>
  <c r="O58" i="16" s="1"/>
  <c r="H2" i="16"/>
  <c r="F63" i="16"/>
  <c r="O54" i="16"/>
  <c r="H55" i="16"/>
  <c r="E74" i="16"/>
  <c r="C86" i="16"/>
  <c r="E86" i="16" s="1"/>
  <c r="E69" i="19"/>
  <c r="C81" i="19"/>
  <c r="E81" i="19" s="1"/>
  <c r="E41" i="20"/>
  <c r="F41" i="20" s="1"/>
  <c r="E41" i="21"/>
  <c r="F41" i="21" s="1"/>
  <c r="F54" i="17"/>
  <c r="E74" i="18"/>
  <c r="E44" i="17" s="1"/>
  <c r="F44" i="17" s="1"/>
  <c r="C86" i="18"/>
  <c r="E86" i="18" s="1"/>
  <c r="C81" i="18"/>
  <c r="E81" i="18" s="1"/>
  <c r="E69" i="18"/>
  <c r="H2" i="18"/>
  <c r="O55" i="18"/>
  <c r="H58" i="18"/>
  <c r="H59" i="18" s="1"/>
  <c r="O58" i="18" s="1"/>
  <c r="C86" i="19"/>
  <c r="E86" i="19" s="1"/>
  <c r="E74" i="19"/>
  <c r="C81" i="16"/>
  <c r="E81" i="16" s="1"/>
  <c r="E69" i="16"/>
  <c r="H55" i="19"/>
  <c r="F63" i="19"/>
  <c r="O54" i="19"/>
  <c r="O56" i="13" l="1"/>
  <c r="O57" i="13" s="1"/>
  <c r="O59" i="13" s="1"/>
  <c r="F66" i="19"/>
  <c r="E63" i="19"/>
  <c r="G63" i="19"/>
  <c r="C71" i="19"/>
  <c r="O57" i="16"/>
  <c r="O59" i="16" s="1"/>
  <c r="O56" i="16"/>
  <c r="F56" i="14"/>
  <c r="E51" i="21"/>
  <c r="F51" i="21" s="1"/>
  <c r="E51" i="20"/>
  <c r="F51" i="20" s="1"/>
  <c r="E63" i="13"/>
  <c r="F66" i="13"/>
  <c r="C71" i="13"/>
  <c r="G63" i="13"/>
  <c r="E17" i="17"/>
  <c r="F17" i="17" s="1"/>
  <c r="E78" i="18"/>
  <c r="E18" i="15"/>
  <c r="F18" i="15" s="1"/>
  <c r="E78" i="16"/>
  <c r="C76" i="14"/>
  <c r="E76" i="14" s="1"/>
  <c r="H54" i="14"/>
  <c r="G2" i="14" s="1"/>
  <c r="O56" i="19"/>
  <c r="O57" i="19" s="1"/>
  <c r="O59" i="19" s="1"/>
  <c r="C71" i="16"/>
  <c r="F66" i="16"/>
  <c r="E63" i="16"/>
  <c r="G63" i="16"/>
  <c r="C76" i="17"/>
  <c r="E76" i="17" s="1"/>
  <c r="H54" i="17"/>
  <c r="G2" i="17" s="1"/>
  <c r="E78" i="13"/>
  <c r="E17" i="14"/>
  <c r="F17" i="14" s="1"/>
  <c r="E19" i="20"/>
  <c r="F19" i="20" s="1"/>
  <c r="E19" i="21"/>
  <c r="F19" i="21" s="1"/>
  <c r="E78" i="19"/>
  <c r="C71" i="18"/>
  <c r="F66" i="18"/>
  <c r="G63" i="18"/>
  <c r="E63" i="18"/>
  <c r="O56" i="18"/>
  <c r="O57" i="18"/>
  <c r="O59" i="18" s="1"/>
  <c r="F56" i="17"/>
  <c r="O60" i="19" l="1"/>
  <c r="O61" i="19"/>
  <c r="O62" i="19" s="1"/>
  <c r="O60" i="13"/>
  <c r="O61" i="13" s="1"/>
  <c r="O62" i="13" s="1"/>
  <c r="O60" i="16"/>
  <c r="O61" i="16"/>
  <c r="O62" i="16" s="1"/>
  <c r="G51" i="18"/>
  <c r="G65" i="18"/>
  <c r="G18" i="18"/>
  <c r="G32" i="18"/>
  <c r="G66" i="18"/>
  <c r="G24" i="18"/>
  <c r="G28" i="18"/>
  <c r="G39" i="18"/>
  <c r="G10" i="18"/>
  <c r="G20" i="18"/>
  <c r="G27" i="18"/>
  <c r="G13" i="18"/>
  <c r="G41" i="18"/>
  <c r="G14" i="18"/>
  <c r="G23" i="18"/>
  <c r="G8" i="18"/>
  <c r="G36" i="18"/>
  <c r="G45" i="18"/>
  <c r="G38" i="18"/>
  <c r="G9" i="18"/>
  <c r="G21" i="18"/>
  <c r="G17" i="18"/>
  <c r="G50" i="18"/>
  <c r="G12" i="18"/>
  <c r="G22" i="18"/>
  <c r="G29" i="18"/>
  <c r="G47" i="18"/>
  <c r="G40" i="18"/>
  <c r="G46" i="18"/>
  <c r="G30" i="18"/>
  <c r="G19" i="18"/>
  <c r="G48" i="18"/>
  <c r="G37" i="18"/>
  <c r="G44" i="18"/>
  <c r="G31" i="18"/>
  <c r="G35" i="18"/>
  <c r="G11" i="18"/>
  <c r="G49" i="18"/>
  <c r="G56" i="18"/>
  <c r="G53" i="18"/>
  <c r="G54" i="18"/>
  <c r="G64" i="18"/>
  <c r="G55" i="18"/>
  <c r="E71" i="19"/>
  <c r="C83" i="19"/>
  <c r="E83" i="19" s="1"/>
  <c r="C83" i="18"/>
  <c r="E83" i="18" s="1"/>
  <c r="E71" i="18"/>
  <c r="E71" i="13"/>
  <c r="C83" i="13"/>
  <c r="E83" i="13" s="1"/>
  <c r="H56" i="17"/>
  <c r="C74" i="17"/>
  <c r="G66" i="16"/>
  <c r="G9" i="16"/>
  <c r="G37" i="16"/>
  <c r="G29" i="16"/>
  <c r="G31" i="16"/>
  <c r="G27" i="16"/>
  <c r="G23" i="16"/>
  <c r="G65" i="16"/>
  <c r="G14" i="16"/>
  <c r="G51" i="16"/>
  <c r="G11" i="16"/>
  <c r="G21" i="16"/>
  <c r="G35" i="16"/>
  <c r="G44" i="16"/>
  <c r="G30" i="16"/>
  <c r="G41" i="16"/>
  <c r="G45" i="16"/>
  <c r="G24" i="16"/>
  <c r="G10" i="16"/>
  <c r="G22" i="16"/>
  <c r="G39" i="16"/>
  <c r="G46" i="16"/>
  <c r="G36" i="16"/>
  <c r="G20" i="16"/>
  <c r="G19" i="16"/>
  <c r="G28" i="16"/>
  <c r="G32" i="16"/>
  <c r="G8" i="16"/>
  <c r="G17" i="16"/>
  <c r="G48" i="16"/>
  <c r="G47" i="16"/>
  <c r="G49" i="16"/>
  <c r="G38" i="16"/>
  <c r="G50" i="16"/>
  <c r="G13" i="16"/>
  <c r="G18" i="16"/>
  <c r="G40" i="16"/>
  <c r="G53" i="16"/>
  <c r="G54" i="16"/>
  <c r="G56" i="16"/>
  <c r="G55" i="16"/>
  <c r="G64" i="16"/>
  <c r="C83" i="16"/>
  <c r="E83" i="16" s="1"/>
  <c r="E71" i="16"/>
  <c r="G12" i="13"/>
  <c r="G11" i="13"/>
  <c r="G13" i="13"/>
  <c r="G46" i="13"/>
  <c r="G66" i="13"/>
  <c r="G22" i="13"/>
  <c r="G31" i="13"/>
  <c r="G45" i="13"/>
  <c r="G51" i="13"/>
  <c r="G8" i="13"/>
  <c r="G27" i="13"/>
  <c r="G18" i="13"/>
  <c r="G44" i="13"/>
  <c r="G49" i="13"/>
  <c r="G28" i="13"/>
  <c r="G38" i="13"/>
  <c r="G48" i="13"/>
  <c r="G14" i="13"/>
  <c r="G50" i="13"/>
  <c r="G29" i="13"/>
  <c r="G65" i="13"/>
  <c r="G9" i="13"/>
  <c r="G10" i="13"/>
  <c r="G36" i="13"/>
  <c r="G17" i="13"/>
  <c r="G40" i="13"/>
  <c r="G47" i="13"/>
  <c r="G37" i="13"/>
  <c r="G30" i="13"/>
  <c r="G20" i="13"/>
  <c r="G39" i="13"/>
  <c r="G32" i="13"/>
  <c r="G21" i="13"/>
  <c r="G19" i="13"/>
  <c r="G35" i="13"/>
  <c r="G23" i="13"/>
  <c r="G41" i="13"/>
  <c r="G24" i="13"/>
  <c r="G54" i="13"/>
  <c r="G53" i="13"/>
  <c r="G56" i="13"/>
  <c r="G64" i="13"/>
  <c r="G55" i="13"/>
  <c r="E36" i="15"/>
  <c r="F36" i="15" s="1"/>
  <c r="E42" i="20"/>
  <c r="F42" i="20" s="1"/>
  <c r="E42" i="21"/>
  <c r="F42" i="21" s="1"/>
  <c r="E37" i="15"/>
  <c r="F37" i="15" s="1"/>
  <c r="E45" i="21"/>
  <c r="F45" i="21" s="1"/>
  <c r="E45" i="20"/>
  <c r="F45" i="20" s="1"/>
  <c r="F53" i="17"/>
  <c r="G65" i="19"/>
  <c r="G8" i="19"/>
  <c r="G41" i="19"/>
  <c r="G14" i="19"/>
  <c r="G13" i="19"/>
  <c r="G48" i="19"/>
  <c r="G23" i="19"/>
  <c r="G9" i="19"/>
  <c r="G51" i="19"/>
  <c r="G45" i="19"/>
  <c r="G18" i="19"/>
  <c r="G10" i="19"/>
  <c r="G36" i="19"/>
  <c r="G22" i="19"/>
  <c r="G66" i="19"/>
  <c r="G28" i="19"/>
  <c r="G11" i="19"/>
  <c r="G31" i="19"/>
  <c r="G32" i="19"/>
  <c r="G44" i="19"/>
  <c r="G12" i="19"/>
  <c r="G38" i="19"/>
  <c r="G37" i="19"/>
  <c r="G24" i="19"/>
  <c r="G40" i="19"/>
  <c r="G17" i="19"/>
  <c r="G35" i="19"/>
  <c r="G29" i="19"/>
  <c r="G30" i="19"/>
  <c r="G46" i="19"/>
  <c r="G20" i="19"/>
  <c r="G27" i="19"/>
  <c r="G47" i="19"/>
  <c r="G21" i="19"/>
  <c r="G19" i="19"/>
  <c r="G49" i="19"/>
  <c r="G50" i="19"/>
  <c r="G39" i="19"/>
  <c r="G53" i="19"/>
  <c r="G56" i="19"/>
  <c r="G54" i="19"/>
  <c r="G55" i="19"/>
  <c r="G64" i="19"/>
  <c r="O60" i="18"/>
  <c r="O61" i="18" s="1"/>
  <c r="O62" i="18" s="1"/>
  <c r="C74" i="14"/>
  <c r="H56" i="14"/>
  <c r="F53" i="14"/>
  <c r="E2" i="13" l="1"/>
  <c r="P62" i="13"/>
  <c r="E2" i="18"/>
  <c r="P62" i="18"/>
  <c r="E74" i="17"/>
  <c r="C86" i="17"/>
  <c r="E86" i="17" s="1"/>
  <c r="H58" i="17"/>
  <c r="H59" i="17" s="1"/>
  <c r="O58" i="17" s="1"/>
  <c r="H2" i="17"/>
  <c r="O55" i="17"/>
  <c r="E2" i="16"/>
  <c r="P62" i="16"/>
  <c r="F54" i="15"/>
  <c r="F55" i="17"/>
  <c r="F64" i="17"/>
  <c r="H53" i="17"/>
  <c r="F2" i="17" s="1"/>
  <c r="C69" i="17"/>
  <c r="H53" i="14"/>
  <c r="F2" i="14" s="1"/>
  <c r="C69" i="14"/>
  <c r="F55" i="14"/>
  <c r="F64" i="14"/>
  <c r="O55" i="14"/>
  <c r="H58" i="14"/>
  <c r="H59" i="14" s="1"/>
  <c r="O58" i="14" s="1"/>
  <c r="H2" i="14"/>
  <c r="P62" i="19"/>
  <c r="E2" i="19"/>
  <c r="E74" i="14"/>
  <c r="C86" i="14"/>
  <c r="E86" i="14" s="1"/>
  <c r="E69" i="14" l="1"/>
  <c r="C81" i="14"/>
  <c r="E81" i="14" s="1"/>
  <c r="C81" i="17"/>
  <c r="E81" i="17" s="1"/>
  <c r="E69" i="17"/>
  <c r="E46" i="15"/>
  <c r="F46" i="15" s="1"/>
  <c r="E55" i="20"/>
  <c r="F55" i="20" s="1"/>
  <c r="E55" i="21"/>
  <c r="F55" i="21" s="1"/>
  <c r="H55" i="17"/>
  <c r="O54" i="17"/>
  <c r="F63" i="17"/>
  <c r="C76" i="15"/>
  <c r="E76" i="15" s="1"/>
  <c r="H54" i="15"/>
  <c r="E52" i="20"/>
  <c r="F52" i="20" s="1"/>
  <c r="E52" i="21"/>
  <c r="F52" i="21" s="1"/>
  <c r="E45" i="15"/>
  <c r="F45" i="15" s="1"/>
  <c r="O54" i="14"/>
  <c r="F63" i="14"/>
  <c r="H55" i="14"/>
  <c r="C71" i="14" l="1"/>
  <c r="F66" i="14"/>
  <c r="E63" i="14"/>
  <c r="G63" i="14"/>
  <c r="F56" i="15"/>
  <c r="E23" i="20"/>
  <c r="F23" i="20" s="1"/>
  <c r="E78" i="17"/>
  <c r="E23" i="21"/>
  <c r="F23" i="21" s="1"/>
  <c r="E19" i="15"/>
  <c r="F19" i="15" s="1"/>
  <c r="O57" i="14"/>
  <c r="O59" i="14" s="1"/>
  <c r="O56" i="14"/>
  <c r="E40" i="20"/>
  <c r="F40" i="20" s="1"/>
  <c r="G2" i="15"/>
  <c r="E40" i="21"/>
  <c r="F40" i="21" s="1"/>
  <c r="O56" i="17"/>
  <c r="O57" i="17" s="1"/>
  <c r="O59" i="17" s="1"/>
  <c r="F66" i="17"/>
  <c r="C71" i="17"/>
  <c r="E63" i="17"/>
  <c r="E78" i="14"/>
  <c r="E20" i="21"/>
  <c r="F20" i="21" s="1"/>
  <c r="E20" i="20"/>
  <c r="F20" i="20" s="1"/>
  <c r="O60" i="17" l="1"/>
  <c r="O61" i="17" s="1"/>
  <c r="O62" i="17" s="1"/>
  <c r="H56" i="15"/>
  <c r="C74" i="15"/>
  <c r="F60" i="21"/>
  <c r="C83" i="17"/>
  <c r="E83" i="17" s="1"/>
  <c r="E71" i="17"/>
  <c r="F60" i="20"/>
  <c r="G36" i="14"/>
  <c r="G9" i="14"/>
  <c r="G30" i="14"/>
  <c r="G51" i="14"/>
  <c r="G37" i="14"/>
  <c r="G65" i="14"/>
  <c r="G38" i="14"/>
  <c r="G10" i="14"/>
  <c r="G12" i="14"/>
  <c r="G20" i="14"/>
  <c r="G39" i="14"/>
  <c r="G23" i="14"/>
  <c r="G14" i="14"/>
  <c r="G28" i="14"/>
  <c r="G66" i="14"/>
  <c r="G31" i="14"/>
  <c r="G11" i="14"/>
  <c r="G47" i="14"/>
  <c r="G27" i="14"/>
  <c r="G46" i="14"/>
  <c r="G19" i="14"/>
  <c r="G32" i="14"/>
  <c r="G8" i="14"/>
  <c r="G50" i="14"/>
  <c r="G21" i="14"/>
  <c r="G24" i="14"/>
  <c r="G48" i="14"/>
  <c r="G18" i="14"/>
  <c r="G41" i="14"/>
  <c r="G13" i="14"/>
  <c r="G22" i="14"/>
  <c r="G40" i="14"/>
  <c r="G45" i="14"/>
  <c r="G29" i="14"/>
  <c r="G49" i="14"/>
  <c r="G35" i="14"/>
  <c r="G54" i="14"/>
  <c r="G44" i="14"/>
  <c r="G17" i="14"/>
  <c r="G56" i="14"/>
  <c r="G53" i="14"/>
  <c r="G64" i="14"/>
  <c r="G55" i="14"/>
  <c r="O60" i="14"/>
  <c r="O61" i="14"/>
  <c r="O62" i="14" s="1"/>
  <c r="G20" i="17"/>
  <c r="G10" i="17"/>
  <c r="G51" i="17"/>
  <c r="G40" i="17"/>
  <c r="G22" i="17"/>
  <c r="G47" i="17"/>
  <c r="G65" i="17"/>
  <c r="G14" i="17"/>
  <c r="G39" i="17"/>
  <c r="G66" i="17"/>
  <c r="G36" i="17"/>
  <c r="G46" i="17"/>
  <c r="G23" i="17"/>
  <c r="G21" i="17"/>
  <c r="G28" i="17"/>
  <c r="G48" i="17"/>
  <c r="G29" i="17"/>
  <c r="G8" i="17"/>
  <c r="G31" i="17"/>
  <c r="G50" i="17"/>
  <c r="G49" i="17"/>
  <c r="G11" i="17"/>
  <c r="G32" i="17"/>
  <c r="G37" i="17"/>
  <c r="G38" i="17"/>
  <c r="G45" i="17"/>
  <c r="G13" i="17"/>
  <c r="G18" i="17"/>
  <c r="G19" i="17"/>
  <c r="G9" i="17"/>
  <c r="G30" i="17"/>
  <c r="G41" i="17"/>
  <c r="G12" i="17"/>
  <c r="G24" i="17"/>
  <c r="G27" i="17"/>
  <c r="G35" i="17"/>
  <c r="G54" i="17"/>
  <c r="G44" i="17"/>
  <c r="G17" i="17"/>
  <c r="G56" i="17"/>
  <c r="G53" i="17"/>
  <c r="G55" i="17"/>
  <c r="G64" i="17"/>
  <c r="G63" i="17"/>
  <c r="C83" i="14"/>
  <c r="E83" i="14" s="1"/>
  <c r="E71" i="14"/>
  <c r="F53" i="15"/>
  <c r="P62" i="17" l="1"/>
  <c r="E2" i="17"/>
  <c r="P62" i="14"/>
  <c r="E2" i="14"/>
  <c r="C86" i="15"/>
  <c r="E86" i="15" s="1"/>
  <c r="E74" i="15"/>
  <c r="C82" i="21"/>
  <c r="E82" i="21" s="1"/>
  <c r="H60" i="21"/>
  <c r="G2" i="21" s="1"/>
  <c r="O55" i="15"/>
  <c r="E50" i="20"/>
  <c r="F50" i="20" s="1"/>
  <c r="H2" i="15"/>
  <c r="E50" i="21"/>
  <c r="F50" i="21" s="1"/>
  <c r="H58" i="15"/>
  <c r="H59" i="15" s="1"/>
  <c r="O58" i="15" s="1"/>
  <c r="H53" i="15"/>
  <c r="C69" i="15"/>
  <c r="F64" i="15"/>
  <c r="F55" i="15"/>
  <c r="C82" i="20"/>
  <c r="E82" i="20" s="1"/>
  <c r="H60" i="20"/>
  <c r="G2" i="20" s="1"/>
  <c r="E69" i="15" l="1"/>
  <c r="E78" i="15" s="1"/>
  <c r="C81" i="15"/>
  <c r="E81" i="15" s="1"/>
  <c r="E18" i="21"/>
  <c r="F18" i="21" s="1"/>
  <c r="F2" i="15"/>
  <c r="E18" i="20"/>
  <c r="F18" i="20" s="1"/>
  <c r="O54" i="15"/>
  <c r="H55" i="15"/>
  <c r="F63" i="15"/>
  <c r="F62" i="20"/>
  <c r="F62" i="21"/>
  <c r="F59" i="20" l="1"/>
  <c r="C80" i="20"/>
  <c r="H62" i="20"/>
  <c r="F59" i="21"/>
  <c r="O56" i="15"/>
  <c r="O57" i="15"/>
  <c r="O59" i="15" s="1"/>
  <c r="H62" i="21"/>
  <c r="C80" i="21"/>
  <c r="C71" i="15"/>
  <c r="E63" i="15"/>
  <c r="F66" i="15"/>
  <c r="F70" i="21" l="1"/>
  <c r="C75" i="21"/>
  <c r="F61" i="21"/>
  <c r="H59" i="21"/>
  <c r="F2" i="21" s="1"/>
  <c r="C92" i="21"/>
  <c r="E92" i="21" s="1"/>
  <c r="E80" i="21"/>
  <c r="G35" i="15"/>
  <c r="G44" i="15"/>
  <c r="G8" i="15"/>
  <c r="G17" i="15"/>
  <c r="G66" i="15"/>
  <c r="G51" i="15"/>
  <c r="G38" i="15"/>
  <c r="G24" i="15"/>
  <c r="G32" i="15"/>
  <c r="G41" i="15"/>
  <c r="G65" i="15"/>
  <c r="G22" i="15"/>
  <c r="G49" i="15"/>
  <c r="G9" i="15"/>
  <c r="G30" i="15"/>
  <c r="G28" i="15"/>
  <c r="G31" i="15"/>
  <c r="G40" i="15"/>
  <c r="G11" i="15"/>
  <c r="G48" i="15"/>
  <c r="G29" i="15"/>
  <c r="G47" i="15"/>
  <c r="G13" i="15"/>
  <c r="G10" i="15"/>
  <c r="G21" i="15"/>
  <c r="G27" i="15"/>
  <c r="G20" i="15"/>
  <c r="G14" i="15"/>
  <c r="G12" i="15"/>
  <c r="G50" i="15"/>
  <c r="G39" i="15"/>
  <c r="G23" i="15"/>
  <c r="G18" i="15"/>
  <c r="G37" i="15"/>
  <c r="G36" i="15"/>
  <c r="G54" i="15"/>
  <c r="G46" i="15"/>
  <c r="G45" i="15"/>
  <c r="G56" i="15"/>
  <c r="G19" i="15"/>
  <c r="G53" i="15"/>
  <c r="G64" i="15"/>
  <c r="G55" i="15"/>
  <c r="H2" i="20"/>
  <c r="H64" i="20"/>
  <c r="H65" i="20" s="1"/>
  <c r="O64" i="20" s="1"/>
  <c r="O61" i="20"/>
  <c r="O60" i="15"/>
  <c r="O61" i="15"/>
  <c r="O62" i="15" s="1"/>
  <c r="E80" i="20"/>
  <c r="C92" i="20"/>
  <c r="E92" i="20" s="1"/>
  <c r="O61" i="21"/>
  <c r="H64" i="21"/>
  <c r="H65" i="21" s="1"/>
  <c r="O64" i="21" s="1"/>
  <c r="H2" i="21"/>
  <c r="F70" i="20"/>
  <c r="H59" i="20"/>
  <c r="F2" i="20" s="1"/>
  <c r="C75" i="20"/>
  <c r="F61" i="20"/>
  <c r="G63" i="15"/>
  <c r="C83" i="15"/>
  <c r="E83" i="15" s="1"/>
  <c r="E71" i="15"/>
  <c r="O60" i="20" l="1"/>
  <c r="H61" i="20"/>
  <c r="F69" i="20"/>
  <c r="C87" i="20"/>
  <c r="E87" i="20" s="1"/>
  <c r="E75" i="20"/>
  <c r="E84" i="20" s="1"/>
  <c r="H61" i="21"/>
  <c r="F69" i="21"/>
  <c r="O60" i="21"/>
  <c r="E2" i="15"/>
  <c r="P62" i="15"/>
  <c r="C87" i="21"/>
  <c r="E87" i="21" s="1"/>
  <c r="E75" i="21"/>
  <c r="E84" i="21" s="1"/>
  <c r="F72" i="21" l="1"/>
  <c r="G69" i="21"/>
  <c r="C77" i="21"/>
  <c r="E69" i="21"/>
  <c r="C77" i="20"/>
  <c r="E69" i="20"/>
  <c r="F72" i="20"/>
  <c r="G69" i="20" s="1"/>
  <c r="O62" i="21"/>
  <c r="O63" i="21" s="1"/>
  <c r="O65" i="21" s="1"/>
  <c r="O62" i="20"/>
  <c r="O63" i="20" s="1"/>
  <c r="O65" i="20" s="1"/>
  <c r="O66" i="20" l="1"/>
  <c r="O67" i="20" s="1"/>
  <c r="O68" i="20" s="1"/>
  <c r="O66" i="21"/>
  <c r="O67" i="21" s="1"/>
  <c r="O68" i="21" s="1"/>
  <c r="G56" i="20"/>
  <c r="G10" i="20"/>
  <c r="G33" i="20"/>
  <c r="G11" i="20"/>
  <c r="G28" i="20"/>
  <c r="G8" i="20"/>
  <c r="G29" i="20"/>
  <c r="G46" i="20"/>
  <c r="G53" i="20"/>
  <c r="G43" i="20"/>
  <c r="G12" i="20"/>
  <c r="G71" i="20"/>
  <c r="G44" i="20"/>
  <c r="G34" i="20"/>
  <c r="G17" i="20"/>
  <c r="G39" i="20"/>
  <c r="G72" i="20"/>
  <c r="G27" i="20"/>
  <c r="G21" i="20"/>
  <c r="G35" i="20"/>
  <c r="G30" i="20"/>
  <c r="G9" i="20"/>
  <c r="G14" i="20"/>
  <c r="G22" i="20"/>
  <c r="G24" i="20"/>
  <c r="G49" i="20"/>
  <c r="G54" i="20"/>
  <c r="G57" i="20"/>
  <c r="G13" i="20"/>
  <c r="G32" i="20"/>
  <c r="G36" i="20"/>
  <c r="G31" i="20"/>
  <c r="G41" i="20"/>
  <c r="G19" i="20"/>
  <c r="G51" i="20"/>
  <c r="G42" i="20"/>
  <c r="G45" i="20"/>
  <c r="G55" i="20"/>
  <c r="G52" i="20"/>
  <c r="G40" i="20"/>
  <c r="G23" i="20"/>
  <c r="G20" i="20"/>
  <c r="G60" i="20"/>
  <c r="G50" i="20"/>
  <c r="G18" i="20"/>
  <c r="G62" i="20"/>
  <c r="G59" i="20"/>
  <c r="G61" i="20"/>
  <c r="G70" i="20"/>
  <c r="C89" i="21"/>
  <c r="E89" i="21" s="1"/>
  <c r="E77" i="21"/>
  <c r="C89" i="20"/>
  <c r="E89" i="20" s="1"/>
  <c r="E77" i="20"/>
  <c r="G36" i="21"/>
  <c r="G33" i="21"/>
  <c r="G56" i="21"/>
  <c r="G46" i="21"/>
  <c r="G17" i="21"/>
  <c r="G72" i="21"/>
  <c r="G39" i="21"/>
  <c r="G43" i="21"/>
  <c r="G54" i="21"/>
  <c r="G29" i="21"/>
  <c r="G22" i="21"/>
  <c r="G31" i="21"/>
  <c r="G44" i="21"/>
  <c r="G13" i="21"/>
  <c r="G28" i="21"/>
  <c r="G27" i="21"/>
  <c r="G53" i="21"/>
  <c r="G8" i="21"/>
  <c r="G24" i="21"/>
  <c r="G14" i="21"/>
  <c r="G32" i="21"/>
  <c r="G57" i="21"/>
  <c r="G49" i="21"/>
  <c r="G9" i="21"/>
  <c r="G30" i="21"/>
  <c r="G11" i="21"/>
  <c r="G35" i="21"/>
  <c r="G71" i="21"/>
  <c r="G21" i="21"/>
  <c r="G10" i="21"/>
  <c r="G34" i="21"/>
  <c r="G12" i="21"/>
  <c r="G41" i="21"/>
  <c r="G51" i="21"/>
  <c r="G19" i="21"/>
  <c r="G45" i="21"/>
  <c r="G42" i="21"/>
  <c r="G52" i="21"/>
  <c r="G55" i="21"/>
  <c r="G40" i="21"/>
  <c r="G20" i="21"/>
  <c r="G23" i="21"/>
  <c r="G60" i="21"/>
  <c r="G50" i="21"/>
  <c r="G18" i="21"/>
  <c r="G62" i="21"/>
  <c r="G59" i="21"/>
  <c r="G70" i="21"/>
  <c r="G61" i="21"/>
  <c r="E2" i="21" l="1"/>
  <c r="P68" i="21"/>
  <c r="E2" i="20"/>
  <c r="P68" i="20"/>
</calcChain>
</file>

<file path=xl/sharedStrings.xml><?xml version="1.0" encoding="utf-8"?>
<sst xmlns="http://schemas.openxmlformats.org/spreadsheetml/2006/main" count="1715" uniqueCount="241">
  <si>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</si>
  <si>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</si>
  <si>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</si>
  <si>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</si>
  <si>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</si>
  <si>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</si>
  <si>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</si>
  <si>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</si>
  <si>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</si>
  <si>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</si>
  <si>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</si>
  <si>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</si>
  <si>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</si>
  <si>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</si>
  <si>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</si>
  <si>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</si>
  <si>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</si>
  <si>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</si>
  <si>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</si>
  <si>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</si>
  <si>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EMPAQUE</t>
  </si>
  <si>
    <t>Etiplast</t>
  </si>
  <si>
    <t>ETIQUETA BLANCA R-153 (UND)</t>
  </si>
  <si>
    <t>Cemusa</t>
  </si>
  <si>
    <t>ETIQUETA BLANCA 2 5/8X1 15/16 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</si>
  <si>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</si>
  <si>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</si>
  <si>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</si>
  <si>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</si>
  <si>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</si>
  <si>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</si>
  <si>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</si>
  <si>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</si>
  <si>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</si>
  <si>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</si>
  <si>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</si>
  <si>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</si>
  <si>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 xml:space="preserve">CONTROL DE CAMBIOS </t>
  </si>
  <si>
    <t>FAS</t>
  </si>
  <si>
    <t># Codigo Netsuite</t>
  </si>
  <si>
    <t>EM10124</t>
  </si>
  <si>
    <t>EM10011</t>
  </si>
  <si>
    <t>Jose Brizuela Lopez , chef</t>
  </si>
  <si>
    <t xml:space="preserve"> </t>
  </si>
  <si>
    <t>Rendimiento :</t>
  </si>
  <si>
    <t>¿¿</t>
  </si>
  <si>
    <t xml:space="preserve">Semillas de Cadbury </t>
  </si>
  <si>
    <t>ROSQUETE CHOCOLATE DAWN 220g</t>
  </si>
  <si>
    <t>Emsamble</t>
  </si>
  <si>
    <t>1/4 Taza</t>
  </si>
  <si>
    <t xml:space="preserve"># 3  Dejar que Corte y Desmolde para usar </t>
  </si>
  <si>
    <t>EM10021</t>
  </si>
  <si>
    <t>Quequera Red C/Base Alta 9"</t>
  </si>
  <si>
    <t>EM10020</t>
  </si>
  <si>
    <t>Orla #9  Dorada</t>
  </si>
  <si>
    <t xml:space="preserve">Mousse Chocolate Interno </t>
  </si>
  <si>
    <t>Decoracion</t>
  </si>
  <si>
    <t>Pasas</t>
  </si>
  <si>
    <t>Almendra Entera</t>
  </si>
  <si>
    <t>MP10048</t>
  </si>
  <si>
    <t>Crema Prestige Grand</t>
  </si>
  <si>
    <t>MP10043</t>
  </si>
  <si>
    <t>Gelatina Pura</t>
  </si>
  <si>
    <t>11400046</t>
  </si>
  <si>
    <t>510215</t>
  </si>
  <si>
    <t>MP10384</t>
  </si>
  <si>
    <t>Trozos Chocolate Oscuro</t>
  </si>
  <si>
    <t>Cuadros de Cadbury</t>
  </si>
  <si>
    <t>Postres</t>
  </si>
  <si>
    <t>SE00463</t>
  </si>
  <si>
    <t xml:space="preserve">0,5 unidad </t>
  </si>
  <si>
    <t>m</t>
  </si>
  <si>
    <t>Disco Mousse Chocolate</t>
  </si>
  <si>
    <t># 1 Agregar el Rosquete  pequeño en un molde desarmable pequeño de 15 cm por 9 altura.</t>
  </si>
  <si>
    <t>907000268</t>
  </si>
  <si>
    <t>SE00345</t>
  </si>
  <si>
    <t>Rosquete Chocolate 400 grs Spoon</t>
  </si>
  <si>
    <t>Mousse de pastelera</t>
  </si>
  <si>
    <t>DISCO MOUSSE CHOCOLATE</t>
  </si>
  <si>
    <t>UNIDAD</t>
  </si>
  <si>
    <t>20100163</t>
  </si>
  <si>
    <t>SE00337</t>
  </si>
  <si>
    <t>Empaque Fudge De Chocolate</t>
  </si>
  <si>
    <t>COLOCHO BOQUILLA 103</t>
  </si>
  <si>
    <t>Fudge Liquido</t>
  </si>
  <si>
    <t>6 ud</t>
  </si>
  <si>
    <t>1/2 barra (6 pares)</t>
  </si>
  <si>
    <t>60100120</t>
  </si>
  <si>
    <t>EM10314</t>
  </si>
  <si>
    <t>Etiqueta Edicion Especial</t>
  </si>
  <si>
    <t>0702069</t>
  </si>
  <si>
    <t>EM10002</t>
  </si>
  <si>
    <t>Etiq.Blanca 1 1/4 * 3/4</t>
  </si>
  <si>
    <t xml:space="preserve">2, Agregar las semillas toceadas, Agregar el disco de mousse de chocolate y colocarla en el Centro del Rosquete Grande </t>
  </si>
  <si>
    <t>4, Decorar con la Boquilla # 103  a los Borde con el Fudge Cholate Fas, Agregar el Fudge Liquido en el centro y Agregar los Trozos de Chocolate intercalando con los pares de chocolate cadbury</t>
  </si>
  <si>
    <t>5, Tapar y etiquetar</t>
  </si>
  <si>
    <t>1, Agregar medio Rosquete de Chocolate Dawn de 400 g en un molde 22 cm Desmoldable.</t>
  </si>
  <si>
    <t>3, Agregar la mousse de crema pastelera dejar que corte al menos por 6 horas en refrigeraicon y dezmoldar  y pegar con manjar a la orla.</t>
  </si>
  <si>
    <t>11400066</t>
  </si>
  <si>
    <t>MP10007</t>
  </si>
  <si>
    <t>Manjar Leche Condensada</t>
  </si>
  <si>
    <t>Postre de chocolate Cadbury LOCALES</t>
  </si>
  <si>
    <t>Postre de chocolate Cadbury INDUSTRIA</t>
  </si>
  <si>
    <t>1210386</t>
  </si>
  <si>
    <t>MP10001</t>
  </si>
  <si>
    <t>Cobertura Chocolate Leche</t>
  </si>
  <si>
    <t>1950708</t>
  </si>
  <si>
    <t>0702123</t>
  </si>
  <si>
    <t>10100331</t>
  </si>
  <si>
    <t>MP10492</t>
  </si>
  <si>
    <t>Chocolate Semi Amargo 54%</t>
  </si>
  <si>
    <t>Para Ganache</t>
  </si>
  <si>
    <t>Para batir</t>
  </si>
  <si>
    <t># 1 Derretir chocolate leche y chocolate amargo, junto al prestige en microndas o a baños maria.</t>
  </si>
  <si>
    <t xml:space="preserve"># 3 Agregar la mezcla de chocolate y emzclar en veolicadd media por 3 min aprox, hasta homogeneo. </t>
  </si>
  <si>
    <t># 2 Montar la crema hasta punto Chantilly en la batidroa con ayuda del globo</t>
  </si>
  <si>
    <t># 4 Utilizar de inmeadito</t>
  </si>
  <si>
    <t xml:space="preserve">Crema Pastelera peruana </t>
  </si>
  <si>
    <t>11300011</t>
  </si>
  <si>
    <t xml:space="preserve">RELLENO ARANDANOS ROJOS </t>
  </si>
  <si>
    <t>Unidad Internacional</t>
  </si>
  <si>
    <t xml:space="preserve">Arandanos Congelados Rojos </t>
  </si>
  <si>
    <t>SYSCO</t>
  </si>
  <si>
    <t>Arandanos Deshidratados MFS</t>
  </si>
  <si>
    <t>MFS</t>
  </si>
  <si>
    <t>EM10252</t>
  </si>
  <si>
    <t xml:space="preserve">4.- Una Vez que el relleno hirvio agregar la gelatina Hidratada </t>
  </si>
  <si>
    <t>CONTROL DE CAMBIOS</t>
  </si>
  <si>
    <t xml:space="preserve">Empaque Relleno Arandanos Rojos </t>
  </si>
  <si>
    <t xml:space="preserve"># 2 Agregar el Mousse Chocolate Interno , emparejar o alisar y agregar el relleno de arandanos rojos </t>
  </si>
  <si>
    <t>SE00016</t>
  </si>
  <si>
    <t>SE00014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</si>
  <si>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</si>
  <si>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</si>
  <si>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</si>
  <si>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</si>
  <si>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</si>
  <si>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</si>
  <si>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</si>
  <si>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</si>
  <si>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</si>
  <si>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</si>
  <si>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</si>
  <si>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</si>
  <si>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</si>
  <si>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</si>
  <si>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</si>
  <si>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</si>
  <si>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</si>
  <si>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</si>
  <si>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</si>
  <si>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</si>
  <si>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</si>
  <si>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</si>
  <si>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</si>
  <si>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</si>
  <si>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</si>
  <si>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</si>
  <si>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</si>
  <si>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</si>
  <si>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</si>
  <si>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</si>
  <si>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</si>
  <si>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</si>
  <si>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</si>
  <si>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>S/ COSTO</t>
  </si>
  <si>
    <t>TOTAL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</si>
  <si>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</si>
  <si>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</si>
  <si>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</si>
  <si>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</si>
  <si>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</si>
  <si>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</si>
  <si>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</si>
  <si>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</si>
  <si>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</si>
  <si>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</si>
  <si>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</si>
  <si>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</si>
  <si>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</si>
  <si>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</si>
  <si>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1110414</t>
  </si>
  <si>
    <t>118000004</t>
  </si>
  <si>
    <t>0310107</t>
  </si>
  <si>
    <t>Gramos</t>
  </si>
  <si>
    <t>11400031</t>
  </si>
  <si>
    <t>gramos</t>
  </si>
  <si>
    <t>1100022</t>
  </si>
  <si>
    <t xml:space="preserve">Gramos </t>
  </si>
  <si>
    <t>907000317</t>
  </si>
  <si>
    <t xml:space="preserve">UND </t>
  </si>
  <si>
    <t>90100131</t>
  </si>
  <si>
    <t>90100129</t>
  </si>
  <si>
    <t>0702007</t>
  </si>
  <si>
    <t>5105009</t>
  </si>
  <si>
    <t>11900029</t>
  </si>
  <si>
    <t xml:space="preserve">und </t>
  </si>
  <si>
    <t xml:space="preserve">No hay receta </t>
  </si>
  <si>
    <t>1210398</t>
  </si>
  <si>
    <t xml:space="preserve">Precio cadbury estimado mas x menos </t>
  </si>
  <si>
    <t>51400021</t>
  </si>
  <si>
    <t>1950693</t>
  </si>
  <si>
    <t>701096</t>
  </si>
  <si>
    <t>Postre de chocolate Cadbury y arandanos rojos LOCALES</t>
  </si>
  <si>
    <t>Espejo en el centro</t>
  </si>
  <si>
    <t>4, Decorar con la Boquilla # 103  a los Borde con el Fudge Cholate Fas, Agregar relleno de arandanos en el centro y hace run espejo, Agregar el Fudge Liquido en el borde y Agregar los Trozos de Chocolate intercalando con los pares de chocolate cadbury</t>
  </si>
  <si>
    <t>Postre de chocolate Cadbury y arandanos rojos INDUSTRIA</t>
  </si>
  <si>
    <t>1/4 barra (3 pares)</t>
  </si>
  <si>
    <t>4, Decorar con la Boquilla # 103  a los Borde con el Fudge Cholate Fas, Agregar relleno de arandanos en el centro y hace run espejo, Agregar el Fudge Liquido en el borde y Agregar los pares de chocolate cadbury</t>
  </si>
  <si>
    <t>902000176</t>
  </si>
  <si>
    <t>Galleta Oreo Bañada Chocolate Blanco</t>
  </si>
  <si>
    <t>Und</t>
  </si>
  <si>
    <t>cadbury</t>
  </si>
  <si>
    <t/>
  </si>
  <si>
    <t>MP10688</t>
  </si>
  <si>
    <t>MP10689</t>
  </si>
  <si>
    <t>MP10008</t>
  </si>
  <si>
    <t xml:space="preserve"> SE00601 RELLENO ARANDANOS ROJOS </t>
  </si>
  <si>
    <t>1.- Colocar el Arandano deshidratado y Azucar y 1000 gramos de agua</t>
  </si>
  <si>
    <t>2.-Cocinar a fuego medio y agregar 500 gramos de arandanos congelados, mover cada 5 minutos, para evitar que el relleno se pegue en el fondo de la olla.</t>
  </si>
  <si>
    <t>3.- Una vez que el relleno este hirviendo  agregar el restante de arandanos congelados, agregar el almidon disuelto en el agua</t>
  </si>
  <si>
    <t>5.-Hervir hasta que el relleno este bien espeso y con la textura deseada.</t>
  </si>
  <si>
    <t>6.-Enfriar, cubir con plastico y rotular.</t>
  </si>
  <si>
    <t xml:space="preserve">7-No mover mucho para que no se desbarate los arandanos </t>
  </si>
  <si>
    <t>10415</t>
  </si>
  <si>
    <t>AGUA POTABLE (PLANTA)</t>
  </si>
  <si>
    <t>01</t>
  </si>
  <si>
    <t>Javier Tong, Chef</t>
  </si>
  <si>
    <t>Cocina</t>
  </si>
  <si>
    <t># Código Netsuite</t>
  </si>
  <si>
    <t>Ensamble</t>
  </si>
  <si>
    <t xml:space="preserve">ARANDANOS CONGELADOS ROJOS </t>
  </si>
  <si>
    <t>ARANDANOS DESHIDRATADOS MFS</t>
  </si>
  <si>
    <t>EMPAQUE AZUCAR  INDUSTRIAL</t>
  </si>
  <si>
    <t>GELATINA PURA</t>
  </si>
  <si>
    <t>EMPAQUE ALMIDON MODIFICADO</t>
  </si>
  <si>
    <t>PRESERVANTE 1047S</t>
  </si>
  <si>
    <t>Decoración</t>
  </si>
  <si>
    <t>Empaque</t>
  </si>
  <si>
    <t>PLÁSTICO AUTOADERIBLE 1/ 12*2000</t>
  </si>
  <si>
    <t>ESP-RE-COCS-082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</si>
</sst>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0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5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theme="1"/>
      <name val="Century Gothic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20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452">
    <xf numFmtId="0" fontId="0" fillId="0" borderId="0" xfId="0"/>
    <xf numFmtId="0" fontId="4" fillId="2" borderId="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49" fontId="2" fillId="2" borderId="1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2" fillId="2" borderId="22" xfId="1" applyFont="1" applyFill="1" applyBorder="1" applyAlignment="1">
      <alignment horizontal="right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left"/>
    </xf>
    <xf numFmtId="0" fontId="4" fillId="2" borderId="0" xfId="1" applyFont="1" applyFill="1" applyAlignment="1">
      <alignment horizontal="right" vertical="top" wrapText="1"/>
    </xf>
    <xf numFmtId="14" fontId="2" fillId="2" borderId="0" xfId="1" applyNumberFormat="1" applyFont="1" applyFill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1" fontId="4" fillId="4" borderId="22" xfId="2" applyNumberFormat="1" applyFont="1" applyFill="1" applyBorder="1" applyAlignment="1">
      <alignment horizontal="center"/>
    </xf>
    <xf numFmtId="1" fontId="4" fillId="4" borderId="22" xfId="2" applyNumberFormat="1" applyFont="1" applyFill="1" applyBorder="1" applyAlignment="1">
      <alignment horizontal="center" wrapText="1"/>
    </xf>
    <xf numFmtId="0" fontId="4" fillId="4" borderId="29" xfId="2" applyFont="1" applyFill="1" applyBorder="1" applyAlignment="1">
      <alignment horizontal="center"/>
    </xf>
    <xf numFmtId="0" fontId="4" fillId="5" borderId="19" xfId="2" applyFont="1" applyFill="1" applyBorder="1" applyAlignment="1">
      <alignment horizontal="left" vertical="center"/>
    </xf>
    <xf numFmtId="0" fontId="4" fillId="5" borderId="30" xfId="2" applyFont="1" applyFill="1" applyBorder="1" applyAlignment="1">
      <alignment horizontal="center" vertical="center"/>
    </xf>
    <xf numFmtId="1" fontId="4" fillId="5" borderId="30" xfId="2" applyNumberFormat="1" applyFont="1" applyFill="1" applyBorder="1" applyAlignment="1">
      <alignment horizontal="center"/>
    </xf>
    <xf numFmtId="1" fontId="4" fillId="5" borderId="30" xfId="2" applyNumberFormat="1" applyFont="1" applyFill="1" applyBorder="1" applyAlignment="1">
      <alignment horizontal="center" wrapText="1"/>
    </xf>
    <xf numFmtId="0" fontId="4" fillId="5" borderId="20" xfId="2" applyFont="1" applyFill="1" applyBorder="1" applyAlignment="1">
      <alignment horizontal="center"/>
    </xf>
    <xf numFmtId="1" fontId="2" fillId="0" borderId="11" xfId="2" applyNumberFormat="1" applyFont="1" applyBorder="1" applyAlignment="1">
      <alignment horizontal="center" wrapText="1"/>
    </xf>
    <xf numFmtId="0" fontId="2" fillId="0" borderId="12" xfId="2" applyFont="1" applyBorder="1" applyAlignment="1">
      <alignment horizontal="center"/>
    </xf>
    <xf numFmtId="49" fontId="7" fillId="0" borderId="7" xfId="2" applyNumberFormat="1" applyFont="1" applyBorder="1" applyAlignment="1">
      <alignment horizontal="center" vertical="center"/>
    </xf>
    <xf numFmtId="0" fontId="6" fillId="0" borderId="0" xfId="2"/>
    <xf numFmtId="0" fontId="2" fillId="2" borderId="34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4" borderId="14" xfId="2" applyFont="1" applyFill="1" applyBorder="1"/>
    <xf numFmtId="0" fontId="4" fillId="4" borderId="14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/>
    </xf>
    <xf numFmtId="165" fontId="2" fillId="4" borderId="14" xfId="2" applyNumberFormat="1" applyFont="1" applyFill="1" applyBorder="1" applyAlignment="1">
      <alignment horizontal="center" wrapText="1"/>
    </xf>
    <xf numFmtId="0" fontId="2" fillId="4" borderId="15" xfId="2" applyFont="1" applyFill="1" applyBorder="1" applyAlignment="1">
      <alignment horizontal="center"/>
    </xf>
    <xf numFmtId="1" fontId="2" fillId="0" borderId="18" xfId="2" applyNumberFormat="1" applyFont="1" applyBorder="1" applyAlignment="1">
      <alignment horizontal="center"/>
    </xf>
    <xf numFmtId="0" fontId="2" fillId="0" borderId="36" xfId="2" applyFont="1" applyBorder="1" applyAlignment="1">
      <alignment horizontal="center"/>
    </xf>
    <xf numFmtId="0" fontId="2" fillId="0" borderId="11" xfId="2" applyFont="1" applyBorder="1" applyAlignment="1">
      <alignment horizontal="center"/>
    </xf>
    <xf numFmtId="1" fontId="2" fillId="0" borderId="11" xfId="2" applyNumberFormat="1" applyFont="1" applyBorder="1" applyAlignment="1">
      <alignment horizontal="center"/>
    </xf>
    <xf numFmtId="9" fontId="2" fillId="2" borderId="0" xfId="3" applyFont="1" applyFill="1"/>
    <xf numFmtId="1" fontId="2" fillId="0" borderId="22" xfId="2" applyNumberFormat="1" applyFont="1" applyBorder="1" applyAlignment="1">
      <alignment horizontal="center"/>
    </xf>
    <xf numFmtId="0" fontId="2" fillId="0" borderId="22" xfId="2" applyFont="1" applyBorder="1" applyAlignment="1">
      <alignment horizontal="center"/>
    </xf>
    <xf numFmtId="0" fontId="8" fillId="5" borderId="18" xfId="0" applyFont="1" applyFill="1" applyBorder="1"/>
    <xf numFmtId="14" fontId="9" fillId="2" borderId="0" xfId="1" applyNumberFormat="1" applyFont="1" applyFill="1" applyAlignment="1">
      <alignment horizontal="center" vertical="center" wrapText="1"/>
    </xf>
    <xf numFmtId="49" fontId="2" fillId="0" borderId="11" xfId="2" applyNumberFormat="1" applyFont="1" applyBorder="1"/>
    <xf numFmtId="49" fontId="2" fillId="0" borderId="32" xfId="2" applyNumberFormat="1" applyFont="1" applyBorder="1"/>
    <xf numFmtId="0" fontId="2" fillId="0" borderId="31" xfId="2" applyFont="1" applyBorder="1" applyAlignment="1">
      <alignment horizontal="left" vertical="center"/>
    </xf>
    <xf numFmtId="12" fontId="2" fillId="0" borderId="11" xfId="2" applyNumberFormat="1" applyFont="1" applyBorder="1" applyAlignment="1">
      <alignment horizontal="center"/>
    </xf>
    <xf numFmtId="164" fontId="2" fillId="0" borderId="11" xfId="2" applyNumberFormat="1" applyFont="1" applyBorder="1" applyAlignment="1">
      <alignment horizontal="center"/>
    </xf>
    <xf numFmtId="49" fontId="2" fillId="0" borderId="33" xfId="2" applyNumberFormat="1" applyFont="1" applyBorder="1" applyAlignment="1">
      <alignment horizontal="center"/>
    </xf>
    <xf numFmtId="0" fontId="2" fillId="0" borderId="33" xfId="2" applyFont="1" applyBorder="1" applyAlignment="1">
      <alignment horizontal="center" vertical="center"/>
    </xf>
    <xf numFmtId="0" fontId="2" fillId="0" borderId="0" xfId="2" applyFont="1"/>
    <xf numFmtId="1" fontId="2" fillId="0" borderId="0" xfId="2" applyNumberFormat="1" applyFont="1" applyAlignment="1">
      <alignment horizontal="center"/>
    </xf>
    <xf numFmtId="165" fontId="2" fillId="0" borderId="0" xfId="2" applyNumberFormat="1" applyFont="1" applyAlignment="1">
      <alignment horizontal="center" wrapText="1"/>
    </xf>
    <xf numFmtId="0" fontId="8" fillId="5" borderId="11" xfId="0" applyFont="1" applyFill="1" applyBorder="1" applyAlignment="1">
      <alignment horizontal="left"/>
    </xf>
    <xf numFmtId="0" fontId="8" fillId="5" borderId="11" xfId="0" applyFont="1" applyFill="1" applyBorder="1"/>
    <xf numFmtId="0" fontId="8" fillId="5" borderId="43" xfId="0" applyFont="1" applyFill="1" applyBorder="1" applyAlignment="1">
      <alignment horizontal="center"/>
    </xf>
    <xf numFmtId="0" fontId="4" fillId="5" borderId="19" xfId="2" applyFont="1" applyFill="1" applyBorder="1" applyAlignment="1">
      <alignment horizontal="center" vertical="center"/>
    </xf>
    <xf numFmtId="49" fontId="2" fillId="0" borderId="32" xfId="2" applyNumberFormat="1" applyFont="1" applyBorder="1" applyAlignment="1">
      <alignment horizontal="center"/>
    </xf>
    <xf numFmtId="0" fontId="2" fillId="0" borderId="0" xfId="2" applyFont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0" fontId="2" fillId="4" borderId="14" xfId="2" applyFont="1" applyFill="1" applyBorder="1" applyAlignment="1">
      <alignment horizontal="center"/>
    </xf>
    <xf numFmtId="0" fontId="4" fillId="5" borderId="50" xfId="2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/>
    </xf>
    <xf numFmtId="12" fontId="2" fillId="0" borderId="39" xfId="2" applyNumberFormat="1" applyFont="1" applyBorder="1" applyAlignment="1">
      <alignment horizontal="center"/>
    </xf>
    <xf numFmtId="12" fontId="2" fillId="0" borderId="32" xfId="2" applyNumberFormat="1" applyFont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49" fontId="2" fillId="0" borderId="11" xfId="2" applyNumberFormat="1" applyFont="1" applyBorder="1" applyAlignment="1">
      <alignment horizontal="center"/>
    </xf>
    <xf numFmtId="0" fontId="10" fillId="5" borderId="11" xfId="0" applyFont="1" applyFill="1" applyBorder="1"/>
    <xf numFmtId="0" fontId="2" fillId="0" borderId="33" xfId="2" applyFont="1" applyBorder="1" applyAlignment="1">
      <alignment horizontal="left"/>
    </xf>
    <xf numFmtId="0" fontId="2" fillId="0" borderId="32" xfId="2" applyFont="1" applyBorder="1" applyAlignment="1">
      <alignment horizontal="left"/>
    </xf>
    <xf numFmtId="0" fontId="2" fillId="0" borderId="11" xfId="2" applyFont="1" applyBorder="1" applyAlignment="1">
      <alignment horizontal="left"/>
    </xf>
    <xf numFmtId="0" fontId="2" fillId="0" borderId="12" xfId="2" applyFont="1" applyBorder="1" applyAlignment="1">
      <alignment horizontal="left"/>
    </xf>
    <xf numFmtId="1" fontId="2" fillId="5" borderId="30" xfId="2" applyNumberFormat="1" applyFont="1" applyFill="1" applyBorder="1" applyAlignment="1">
      <alignment horizontal="center"/>
    </xf>
    <xf numFmtId="1" fontId="2" fillId="5" borderId="30" xfId="2" applyNumberFormat="1" applyFont="1" applyFill="1" applyBorder="1" applyAlignment="1">
      <alignment horizontal="center" wrapText="1"/>
    </xf>
    <xf numFmtId="0" fontId="2" fillId="0" borderId="18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2" fillId="0" borderId="53" xfId="2" applyFont="1" applyBorder="1" applyAlignment="1">
      <alignment horizontal="left"/>
    </xf>
    <xf numFmtId="1" fontId="0" fillId="0" borderId="0" xfId="0" applyNumberFormat="1"/>
    <xf numFmtId="49" fontId="4" fillId="0" borderId="11" xfId="2" applyNumberFormat="1" applyFont="1" applyBorder="1"/>
    <xf numFmtId="164" fontId="2" fillId="0" borderId="39" xfId="0" applyNumberFormat="1" applyFont="1" applyBorder="1" applyAlignment="1">
      <alignment horizontal="center"/>
    </xf>
    <xf numFmtId="164" fontId="2" fillId="0" borderId="39" xfId="0" applyNumberFormat="1" applyFont="1" applyBorder="1" applyAlignment="1">
      <alignment horizontal="left"/>
    </xf>
    <xf numFmtId="164" fontId="2" fillId="0" borderId="43" xfId="0" applyNumberFormat="1" applyFont="1" applyBorder="1" applyAlignment="1">
      <alignment horizontal="left"/>
    </xf>
    <xf numFmtId="0" fontId="2" fillId="0" borderId="51" xfId="2" applyFont="1" applyBorder="1" applyAlignment="1">
      <alignment horizontal="center" vertical="center"/>
    </xf>
    <xf numFmtId="0" fontId="2" fillId="0" borderId="0" xfId="2" applyFont="1" applyAlignment="1">
      <alignment horizontal="left" vertical="center"/>
    </xf>
    <xf numFmtId="0" fontId="2" fillId="5" borderId="11" xfId="2" applyFon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0" fontId="4" fillId="5" borderId="11" xfId="2" applyFont="1" applyFill="1" applyBorder="1" applyAlignment="1">
      <alignment horizontal="center" vertical="center"/>
    </xf>
    <xf numFmtId="1" fontId="2" fillId="5" borderId="11" xfId="2" applyNumberFormat="1" applyFont="1" applyFill="1" applyBorder="1" applyAlignment="1">
      <alignment horizontal="center"/>
    </xf>
    <xf numFmtId="1" fontId="2" fillId="5" borderId="11" xfId="2" applyNumberFormat="1" applyFont="1" applyFill="1" applyBorder="1" applyAlignment="1">
      <alignment horizontal="center" wrapText="1"/>
    </xf>
    <xf numFmtId="0" fontId="16" fillId="5" borderId="0" xfId="0" applyFont="1" applyFill="1" applyAlignment="1">
      <alignment vertical="center"/>
    </xf>
    <xf numFmtId="0" fontId="17" fillId="7" borderId="11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3" fontId="17" fillId="0" borderId="11" xfId="4" applyFont="1" applyFill="1" applyBorder="1" applyAlignment="1">
      <alignment horizontal="center" vertical="center"/>
    </xf>
    <xf numFmtId="43" fontId="17" fillId="0" borderId="0" xfId="4" applyFont="1" applyFill="1" applyBorder="1" applyAlignment="1">
      <alignment horizontal="center" vertical="center"/>
    </xf>
    <xf numFmtId="43" fontId="19" fillId="0" borderId="0" xfId="4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0" fontId="17" fillId="8" borderId="58" xfId="0" applyFont="1" applyFill="1" applyBorder="1" applyAlignment="1">
      <alignment horizontal="center" vertical="center"/>
    </xf>
    <xf numFmtId="0" fontId="17" fillId="8" borderId="59" xfId="0" applyFont="1" applyFill="1" applyBorder="1" applyAlignment="1">
      <alignment horizontal="center" vertical="center"/>
    </xf>
    <xf numFmtId="0" fontId="17" fillId="8" borderId="59" xfId="0" applyFont="1" applyFill="1" applyBorder="1" applyAlignment="1">
      <alignment horizontal="center" vertical="center" wrapText="1"/>
    </xf>
    <xf numFmtId="0" fontId="17" fillId="8" borderId="6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4" fontId="23" fillId="0" borderId="0" xfId="5" applyNumberFormat="1" applyFont="1" applyFill="1" applyAlignment="1">
      <alignment horizontal="center" vertical="center"/>
    </xf>
    <xf numFmtId="4" fontId="17" fillId="0" borderId="0" xfId="5" applyNumberFormat="1" applyFont="1" applyFill="1" applyAlignment="1">
      <alignment horizontal="center" vertical="center"/>
    </xf>
    <xf numFmtId="10" fontId="17" fillId="0" borderId="0" xfId="3" applyNumberFormat="1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10" fontId="18" fillId="0" borderId="0" xfId="3" applyNumberFormat="1" applyFont="1" applyFill="1" applyAlignment="1">
      <alignment vertical="center"/>
    </xf>
    <xf numFmtId="0" fontId="16" fillId="0" borderId="0" xfId="0" applyFont="1"/>
    <xf numFmtId="49" fontId="17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43" fontId="16" fillId="0" borderId="0" xfId="4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4" fontId="17" fillId="0" borderId="0" xfId="4" applyNumberFormat="1" applyFont="1" applyFill="1" applyAlignment="1">
      <alignment vertical="center"/>
    </xf>
    <xf numFmtId="43" fontId="25" fillId="0" borderId="0" xfId="4" applyFont="1" applyFill="1" applyAlignment="1">
      <alignment horizontal="center" vertical="center"/>
    </xf>
    <xf numFmtId="10" fontId="18" fillId="8" borderId="61" xfId="3" applyNumberFormat="1" applyFont="1" applyFill="1" applyBorder="1" applyAlignment="1">
      <alignment vertical="center"/>
    </xf>
    <xf numFmtId="0" fontId="16" fillId="8" borderId="14" xfId="0" applyFont="1" applyFill="1" applyBorder="1" applyAlignment="1">
      <alignment vertical="center"/>
    </xf>
    <xf numFmtId="0" fontId="16" fillId="8" borderId="61" xfId="0" applyFont="1" applyFill="1" applyBorder="1" applyAlignment="1">
      <alignment vertical="center"/>
    </xf>
    <xf numFmtId="43" fontId="25" fillId="8" borderId="62" xfId="4" applyFont="1" applyFill="1" applyBorder="1" applyAlignment="1">
      <alignment horizontal="center" vertical="center"/>
    </xf>
    <xf numFmtId="43" fontId="27" fillId="0" borderId="0" xfId="4" applyFont="1" applyFill="1" applyBorder="1" applyAlignment="1">
      <alignment horizontal="right"/>
    </xf>
    <xf numFmtId="0" fontId="16" fillId="8" borderId="62" xfId="0" applyFont="1" applyFill="1" applyBorder="1" applyAlignment="1">
      <alignment vertical="center"/>
    </xf>
    <xf numFmtId="10" fontId="18" fillId="8" borderId="62" xfId="3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9" fontId="28" fillId="0" borderId="0" xfId="3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4" applyNumberFormat="1" applyFont="1" applyFill="1" applyAlignment="1">
      <alignment vertical="center"/>
    </xf>
    <xf numFmtId="4" fontId="25" fillId="0" borderId="0" xfId="5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34" xfId="0" applyFont="1" applyBorder="1" applyAlignment="1">
      <alignment horizontal="right"/>
    </xf>
    <xf numFmtId="43" fontId="31" fillId="3" borderId="63" xfId="4" applyFont="1" applyFill="1" applyBorder="1" applyAlignment="1">
      <alignment horizontal="right"/>
    </xf>
    <xf numFmtId="43" fontId="31" fillId="0" borderId="0" xfId="4" applyFont="1" applyFill="1" applyBorder="1" applyAlignment="1">
      <alignment horizontal="right"/>
    </xf>
    <xf numFmtId="43" fontId="17" fillId="0" borderId="11" xfId="4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5" applyNumberFormat="1" applyFont="1" applyFill="1" applyAlignment="1">
      <alignment horizontal="center" vertical="center"/>
    </xf>
    <xf numFmtId="10" fontId="33" fillId="0" borderId="0" xfId="3" applyNumberFormat="1" applyFont="1" applyFill="1" applyAlignment="1">
      <alignment horizontal="right"/>
    </xf>
    <xf numFmtId="169" fontId="17" fillId="8" borderId="11" xfId="4" applyNumberFormat="1" applyFont="1" applyFill="1" applyBorder="1" applyAlignment="1">
      <alignment vertical="center"/>
    </xf>
    <xf numFmtId="4" fontId="16" fillId="0" borderId="0" xfId="0" applyNumberFormat="1" applyFont="1" applyAlignment="1">
      <alignment horizontal="center" vertical="center"/>
    </xf>
    <xf numFmtId="43" fontId="17" fillId="9" borderId="11" xfId="4" applyFont="1" applyFill="1" applyBorder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8" fillId="8" borderId="64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4" applyNumberFormat="1" applyFont="1" applyFill="1" applyBorder="1" applyAlignment="1">
      <alignment horizontal="center"/>
    </xf>
    <xf numFmtId="2" fontId="30" fillId="0" borderId="0" xfId="4" applyNumberFormat="1" applyFont="1" applyFill="1" applyBorder="1" applyAlignment="1">
      <alignment horizontal="center"/>
    </xf>
    <xf numFmtId="0" fontId="16" fillId="8" borderId="64" xfId="0" applyFont="1" applyFill="1" applyBorder="1" applyAlignment="1">
      <alignment vertical="center"/>
    </xf>
    <xf numFmtId="10" fontId="16" fillId="0" borderId="0" xfId="3" applyNumberFormat="1" applyFont="1" applyFill="1" applyAlignment="1">
      <alignment vertical="center"/>
    </xf>
    <xf numFmtId="4" fontId="16" fillId="0" borderId="0" xfId="4" applyNumberFormat="1" applyFont="1" applyFill="1" applyAlignment="1">
      <alignment vertical="center"/>
    </xf>
    <xf numFmtId="43" fontId="31" fillId="8" borderId="14" xfId="4" applyFont="1" applyFill="1" applyBorder="1" applyAlignment="1">
      <alignment horizontal="right"/>
    </xf>
    <xf numFmtId="0" fontId="17" fillId="8" borderId="15" xfId="0" applyFont="1" applyFill="1" applyBorder="1" applyAlignment="1">
      <alignment horizontal="right" vertical="center"/>
    </xf>
    <xf numFmtId="10" fontId="37" fillId="0" borderId="0" xfId="4" applyNumberFormat="1" applyFont="1" applyFill="1" applyAlignment="1">
      <alignment vertical="center"/>
    </xf>
    <xf numFmtId="10" fontId="18" fillId="0" borderId="0" xfId="3" applyNumberFormat="1" applyFont="1" applyFill="1" applyBorder="1" applyAlignment="1">
      <alignment vertical="center"/>
    </xf>
    <xf numFmtId="166" fontId="38" fillId="0" borderId="0" xfId="0" applyNumberFormat="1" applyFont="1" applyAlignment="1">
      <alignment horizontal="center" vertical="center"/>
    </xf>
    <xf numFmtId="0" fontId="16" fillId="5" borderId="63" xfId="0" applyFont="1" applyFill="1" applyBorder="1" applyAlignment="1">
      <alignment horizontal="center" vertical="center"/>
    </xf>
    <xf numFmtId="43" fontId="39" fillId="0" borderId="0" xfId="4" applyFont="1" applyFill="1" applyAlignment="1">
      <alignment vertical="center"/>
    </xf>
    <xf numFmtId="4" fontId="40" fillId="0" borderId="0" xfId="5" applyNumberFormat="1" applyFont="1" applyFill="1" applyAlignment="1">
      <alignment horizontal="center" vertical="center" wrapText="1"/>
    </xf>
    <xf numFmtId="9" fontId="16" fillId="0" borderId="0" xfId="4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4" applyNumberFormat="1" applyFont="1" applyFill="1" applyAlignment="1">
      <alignment vertical="center"/>
    </xf>
    <xf numFmtId="4" fontId="17" fillId="11" borderId="63" xfId="4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43" fontId="41" fillId="0" borderId="0" xfId="4" applyFont="1" applyFill="1" applyAlignment="1">
      <alignment vertical="center"/>
    </xf>
    <xf numFmtId="9" fontId="41" fillId="0" borderId="0" xfId="4" applyNumberFormat="1" applyFont="1" applyFill="1" applyAlignment="1">
      <alignment vertical="center"/>
    </xf>
    <xf numFmtId="4" fontId="17" fillId="0" borderId="0" xfId="4" applyNumberFormat="1" applyFont="1" applyFill="1" applyAlignment="1">
      <alignment horizontal="center" vertical="center"/>
    </xf>
    <xf numFmtId="10" fontId="34" fillId="0" borderId="0" xfId="3" applyNumberFormat="1" applyFont="1" applyFill="1" applyAlignment="1">
      <alignment vertical="center"/>
    </xf>
    <xf numFmtId="43" fontId="34" fillId="0" borderId="0" xfId="4" applyFont="1" applyFill="1" applyBorder="1" applyAlignment="1">
      <alignment vertical="center"/>
    </xf>
    <xf numFmtId="4" fontId="16" fillId="0" borderId="0" xfId="0" applyNumberFormat="1" applyFont="1" applyAlignment="1">
      <alignment horizontal="center"/>
    </xf>
    <xf numFmtId="43" fontId="16" fillId="0" borderId="0" xfId="4" applyFont="1" applyFill="1" applyBorder="1"/>
    <xf numFmtId="10" fontId="34" fillId="0" borderId="0" xfId="3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6" fillId="0" borderId="0" xfId="4" applyFont="1" applyFill="1" applyBorder="1" applyAlignment="1">
      <alignment horizontal="center"/>
    </xf>
    <xf numFmtId="9" fontId="44" fillId="0" borderId="0" xfId="0" applyNumberFormat="1" applyFont="1" applyAlignment="1">
      <alignment horizontal="left"/>
    </xf>
    <xf numFmtId="4" fontId="17" fillId="0" borderId="0" xfId="0" applyNumberFormat="1" applyFont="1" applyAlignment="1">
      <alignment horizontal="center"/>
    </xf>
    <xf numFmtId="166" fontId="17" fillId="0" borderId="0" xfId="0" applyNumberFormat="1" applyFont="1"/>
    <xf numFmtId="1" fontId="0" fillId="12" borderId="11" xfId="0" applyNumberFormat="1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1" xfId="0" applyFill="1" applyBorder="1"/>
    <xf numFmtId="0" fontId="2" fillId="12" borderId="11" xfId="2" applyFont="1" applyFill="1" applyBorder="1" applyAlignment="1">
      <alignment horizontal="center" vertical="center"/>
    </xf>
    <xf numFmtId="1" fontId="2" fillId="12" borderId="11" xfId="2" applyNumberFormat="1" applyFont="1" applyFill="1" applyBorder="1" applyAlignment="1">
      <alignment horizontal="center"/>
    </xf>
    <xf numFmtId="1" fontId="2" fillId="12" borderId="11" xfId="2" applyNumberFormat="1" applyFont="1" applyFill="1" applyBorder="1" applyAlignment="1">
      <alignment horizontal="center" wrapText="1"/>
    </xf>
    <xf numFmtId="0" fontId="2" fillId="2" borderId="11" xfId="1" applyFont="1" applyFill="1" applyBorder="1" applyAlignment="1">
      <alignment horizontal="right"/>
    </xf>
    <xf numFmtId="14" fontId="13" fillId="2" borderId="0" xfId="1" applyNumberFormat="1" applyFont="1" applyFill="1" applyAlignment="1">
      <alignment horizontal="center" vertical="center" wrapText="1"/>
    </xf>
    <xf numFmtId="0" fontId="45" fillId="0" borderId="33" xfId="2" applyFont="1" applyBorder="1" applyAlignment="1">
      <alignment horizontal="center" vertical="center"/>
    </xf>
    <xf numFmtId="0" fontId="45" fillId="0" borderId="32" xfId="2" applyFont="1" applyBorder="1" applyAlignment="1">
      <alignment horizontal="center" vertical="center"/>
    </xf>
    <xf numFmtId="0" fontId="46" fillId="0" borderId="11" xfId="2" applyFont="1" applyBorder="1" applyAlignment="1">
      <alignment vertical="center"/>
    </xf>
    <xf numFmtId="0" fontId="45" fillId="0" borderId="11" xfId="2" applyFont="1" applyBorder="1" applyAlignment="1">
      <alignment horizontal="center" vertical="center"/>
    </xf>
    <xf numFmtId="1" fontId="45" fillId="0" borderId="11" xfId="2" applyNumberFormat="1" applyFont="1" applyBorder="1" applyAlignment="1">
      <alignment horizontal="center"/>
    </xf>
    <xf numFmtId="1" fontId="45" fillId="0" borderId="11" xfId="2" applyNumberFormat="1" applyFont="1" applyBorder="1" applyAlignment="1">
      <alignment horizontal="center" wrapText="1"/>
    </xf>
    <xf numFmtId="0" fontId="47" fillId="0" borderId="12" xfId="2" applyFont="1" applyBorder="1" applyAlignment="1">
      <alignment horizontal="center"/>
    </xf>
    <xf numFmtId="0" fontId="6" fillId="0" borderId="66" xfId="2" applyBorder="1" applyAlignment="1">
      <alignment horizontal="center" vertical="center"/>
    </xf>
    <xf numFmtId="0" fontId="6" fillId="0" borderId="11" xfId="2" applyBorder="1" applyAlignment="1">
      <alignment horizontal="center" vertical="center"/>
    </xf>
    <xf numFmtId="0" fontId="6" fillId="0" borderId="31" xfId="2" applyBorder="1" applyAlignment="1">
      <alignment horizontal="left" vertical="center"/>
    </xf>
    <xf numFmtId="0" fontId="2" fillId="0" borderId="18" xfId="0" applyFont="1" applyBorder="1" applyAlignment="1">
      <alignment horizontal="center" wrapText="1"/>
    </xf>
    <xf numFmtId="12" fontId="2" fillId="0" borderId="18" xfId="0" applyNumberFormat="1" applyFont="1" applyBorder="1" applyAlignment="1">
      <alignment horizontal="center"/>
    </xf>
    <xf numFmtId="0" fontId="2" fillId="0" borderId="39" xfId="2" quotePrefix="1" applyFont="1" applyBorder="1" applyAlignment="1">
      <alignment horizontal="center"/>
    </xf>
    <xf numFmtId="0" fontId="2" fillId="0" borderId="11" xfId="2" quotePrefix="1" applyFont="1" applyBorder="1" applyAlignment="1">
      <alignment horizontal="center"/>
    </xf>
    <xf numFmtId="0" fontId="2" fillId="0" borderId="32" xfId="2" quotePrefix="1" applyFont="1" applyBorder="1"/>
    <xf numFmtId="0" fontId="2" fillId="0" borderId="11" xfId="0" applyFont="1" applyBorder="1" applyAlignment="1">
      <alignment horizontal="center"/>
    </xf>
    <xf numFmtId="0" fontId="48" fillId="0" borderId="11" xfId="0" applyFont="1" applyBorder="1" applyAlignment="1">
      <alignment horizontal="center"/>
    </xf>
    <xf numFmtId="0" fontId="49" fillId="0" borderId="11" xfId="0" applyFont="1" applyBorder="1" applyAlignment="1">
      <alignment horizontal="center" vertical="center"/>
    </xf>
    <xf numFmtId="0" fontId="50" fillId="0" borderId="11" xfId="0" applyFont="1" applyBorder="1"/>
    <xf numFmtId="49" fontId="47" fillId="0" borderId="33" xfId="2" applyNumberFormat="1" applyFont="1" applyBorder="1" applyAlignment="1">
      <alignment horizontal="center"/>
    </xf>
    <xf numFmtId="49" fontId="47" fillId="0" borderId="32" xfId="2" applyNumberFormat="1" applyFont="1" applyBorder="1" applyAlignment="1">
      <alignment horizontal="center"/>
    </xf>
    <xf numFmtId="0" fontId="50" fillId="5" borderId="11" xfId="2" applyFont="1" applyFill="1" applyBorder="1" applyAlignment="1">
      <alignment horizontal="left"/>
    </xf>
    <xf numFmtId="1" fontId="0" fillId="0" borderId="11" xfId="0" applyNumberFormat="1" applyBorder="1"/>
    <xf numFmtId="0" fontId="2" fillId="5" borderId="11" xfId="2" applyFont="1" applyFill="1" applyBorder="1" applyAlignment="1">
      <alignment horizontal="center"/>
    </xf>
    <xf numFmtId="0" fontId="47" fillId="0" borderId="11" xfId="2" applyFont="1" applyBorder="1" applyAlignment="1">
      <alignment horizontal="center"/>
    </xf>
    <xf numFmtId="164" fontId="47" fillId="0" borderId="11" xfId="2" applyNumberFormat="1" applyFont="1" applyBorder="1" applyAlignment="1">
      <alignment horizontal="center"/>
    </xf>
    <xf numFmtId="1" fontId="47" fillId="0" borderId="11" xfId="2" applyNumberFormat="1" applyFont="1" applyBorder="1" applyAlignment="1">
      <alignment horizontal="center" wrapText="1"/>
    </xf>
    <xf numFmtId="0" fontId="8" fillId="5" borderId="33" xfId="0" applyFont="1" applyFill="1" applyBorder="1" applyAlignment="1">
      <alignment horizontal="center"/>
    </xf>
    <xf numFmtId="0" fontId="8" fillId="5" borderId="49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 wrapText="1"/>
    </xf>
    <xf numFmtId="49" fontId="2" fillId="5" borderId="18" xfId="0" applyNumberFormat="1" applyFont="1" applyFill="1" applyBorder="1" applyAlignment="1">
      <alignment horizontal="center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49" fontId="45" fillId="0" borderId="38" xfId="2" applyNumberFormat="1" applyFont="1" applyBorder="1" applyAlignment="1">
      <alignment horizontal="center"/>
    </xf>
    <xf numFmtId="49" fontId="45" fillId="0" borderId="43" xfId="2" applyNumberFormat="1" applyFont="1" applyBorder="1" applyAlignment="1">
      <alignment horizontal="center"/>
    </xf>
    <xf numFmtId="0" fontId="51" fillId="5" borderId="11" xfId="2" applyFont="1" applyFill="1" applyBorder="1" applyAlignment="1">
      <alignment vertical="center"/>
    </xf>
    <xf numFmtId="0" fontId="45" fillId="0" borderId="32" xfId="2" applyFont="1" applyBorder="1" applyAlignment="1">
      <alignment horizontal="center"/>
    </xf>
    <xf numFmtId="164" fontId="45" fillId="0" borderId="11" xfId="2" applyNumberFormat="1" applyFont="1" applyBorder="1" applyAlignment="1">
      <alignment horizontal="center"/>
    </xf>
    <xf numFmtId="49" fontId="47" fillId="0" borderId="33" xfId="0" applyNumberFormat="1" applyFont="1" applyBorder="1" applyAlignment="1">
      <alignment horizontal="center"/>
    </xf>
    <xf numFmtId="49" fontId="47" fillId="0" borderId="32" xfId="0" applyNumberFormat="1" applyFont="1" applyBorder="1" applyAlignment="1">
      <alignment horizontal="center"/>
    </xf>
    <xf numFmtId="49" fontId="17" fillId="0" borderId="11" xfId="0" applyNumberFormat="1" applyFont="1" applyBorder="1"/>
    <xf numFmtId="0" fontId="47" fillId="0" borderId="11" xfId="0" applyFont="1" applyBorder="1" applyAlignment="1">
      <alignment horizontal="center"/>
    </xf>
    <xf numFmtId="1" fontId="47" fillId="0" borderId="11" xfId="0" applyNumberFormat="1" applyFont="1" applyBorder="1" applyAlignment="1">
      <alignment horizontal="center"/>
    </xf>
    <xf numFmtId="1" fontId="47" fillId="0" borderId="11" xfId="0" applyNumberFormat="1" applyFont="1" applyBorder="1" applyAlignment="1">
      <alignment horizontal="center" wrapText="1"/>
    </xf>
    <xf numFmtId="170" fontId="4" fillId="5" borderId="11" xfId="4" applyNumberFormat="1" applyFont="1" applyFill="1" applyBorder="1" applyAlignment="1">
      <alignment horizontal="center"/>
    </xf>
    <xf numFmtId="0" fontId="52" fillId="0" borderId="33" xfId="0" applyFont="1" applyBorder="1" applyAlignment="1">
      <alignment horizontal="center"/>
    </xf>
    <xf numFmtId="0" fontId="52" fillId="0" borderId="32" xfId="0" applyFont="1" applyBorder="1" applyAlignment="1">
      <alignment horizontal="center"/>
    </xf>
    <xf numFmtId="0" fontId="41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47" fillId="0" borderId="11" xfId="2" applyNumberFormat="1" applyFont="1" applyBorder="1" applyAlignment="1">
      <alignment horizontal="center"/>
    </xf>
    <xf numFmtId="1" fontId="47" fillId="0" borderId="11" xfId="2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47" fillId="0" borderId="11" xfId="0" applyNumberFormat="1" applyFont="1" applyBorder="1" applyAlignment="1">
      <alignment horizontal="center"/>
    </xf>
    <xf numFmtId="49" fontId="16" fillId="0" borderId="11" xfId="0" applyNumberFormat="1" applyFont="1" applyBorder="1"/>
    <xf numFmtId="16" fontId="47" fillId="0" borderId="11" xfId="0" applyNumberFormat="1" applyFont="1" applyBorder="1" applyAlignment="1">
      <alignment horizontal="center"/>
    </xf>
    <xf numFmtId="1" fontId="48" fillId="0" borderId="11" xfId="2" applyNumberFormat="1" applyFont="1" applyBorder="1" applyAlignment="1">
      <alignment horizontal="center"/>
    </xf>
    <xf numFmtId="49" fontId="16" fillId="0" borderId="11" xfId="2" applyNumberFormat="1" applyFont="1" applyBorder="1"/>
    <xf numFmtId="0" fontId="48" fillId="0" borderId="11" xfId="2" applyFont="1" applyBorder="1" applyAlignment="1">
      <alignment horizontal="center"/>
    </xf>
    <xf numFmtId="49" fontId="7" fillId="2" borderId="7" xfId="2" applyNumberFormat="1" applyFont="1" applyFill="1" applyBorder="1" applyAlignment="1">
      <alignment horizontal="center" vertical="center"/>
    </xf>
    <xf numFmtId="49" fontId="7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5" fontId="2" fillId="2" borderId="0" xfId="2" applyNumberFormat="1" applyFont="1" applyFill="1" applyAlignment="1">
      <alignment horizontal="center" wrapText="1"/>
    </xf>
    <xf numFmtId="1" fontId="2" fillId="0" borderId="18" xfId="0" applyNumberFormat="1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4" fontId="2" fillId="2" borderId="17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4" fontId="2" fillId="2" borderId="24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45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48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3" xfId="1" applyFont="1" applyFill="1" applyBorder="1" applyAlignment="1">
      <alignment horizontal="right" vertical="top" wrapText="1"/>
    </xf>
    <xf numFmtId="0" fontId="4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/>
    </xf>
    <xf numFmtId="0" fontId="4" fillId="2" borderId="0" xfId="1" applyFont="1" applyFill="1"/>
    <xf numFmtId="0" fontId="4" fillId="4" borderId="25" xfId="2" applyFont="1" applyFill="1" applyBorder="1" applyAlignment="1">
      <alignment horizontal="center" vertical="center"/>
    </xf>
    <xf numFmtId="0" fontId="4" fillId="4" borderId="27" xfId="2" applyFont="1" applyFill="1" applyBorder="1" applyAlignment="1">
      <alignment horizontal="center" vertical="center"/>
    </xf>
    <xf numFmtId="0" fontId="4" fillId="4" borderId="26" xfId="2" applyFont="1" applyFill="1" applyBorder="1" applyAlignment="1">
      <alignment horizontal="center" vertical="center" wrapText="1"/>
    </xf>
    <xf numFmtId="0" fontId="4" fillId="4" borderId="28" xfId="2" applyFont="1" applyFill="1" applyBorder="1" applyAlignment="1">
      <alignment horizontal="center" vertical="center" wrapText="1"/>
    </xf>
    <xf numFmtId="0" fontId="4" fillId="4" borderId="26" xfId="2" applyFont="1" applyFill="1" applyBorder="1" applyAlignment="1">
      <alignment horizontal="center" vertical="center"/>
    </xf>
    <xf numFmtId="0" fontId="4" fillId="4" borderId="28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/>
    </xf>
    <xf numFmtId="0" fontId="8" fillId="5" borderId="43" xfId="0" applyFont="1" applyFill="1" applyBorder="1" applyAlignment="1">
      <alignment horizontal="center"/>
    </xf>
    <xf numFmtId="164" fontId="2" fillId="12" borderId="39" xfId="0" applyNumberFormat="1" applyFont="1" applyFill="1" applyBorder="1" applyAlignment="1">
      <alignment horizontal="center"/>
    </xf>
    <xf numFmtId="164" fontId="2" fillId="12" borderId="32" xfId="0" applyNumberFormat="1" applyFont="1" applyFill="1" applyBorder="1" applyAlignment="1">
      <alignment horizontal="center"/>
    </xf>
    <xf numFmtId="164" fontId="2" fillId="0" borderId="39" xfId="0" applyNumberFormat="1" applyFont="1" applyBorder="1" applyAlignment="1">
      <alignment horizontal="center"/>
    </xf>
    <xf numFmtId="164" fontId="2" fillId="0" borderId="32" xfId="0" applyNumberFormat="1" applyFont="1" applyBorder="1" applyAlignment="1">
      <alignment horizontal="center"/>
    </xf>
    <xf numFmtId="164" fontId="2" fillId="0" borderId="43" xfId="0" applyNumberFormat="1" applyFont="1" applyBorder="1" applyAlignment="1">
      <alignment horizontal="center"/>
    </xf>
    <xf numFmtId="0" fontId="4" fillId="0" borderId="35" xfId="2" applyFont="1" applyBorder="1" applyAlignment="1">
      <alignment horizontal="right"/>
    </xf>
    <xf numFmtId="0" fontId="4" fillId="0" borderId="3" xfId="2" applyFont="1" applyBorder="1" applyAlignment="1">
      <alignment horizontal="right"/>
    </xf>
    <xf numFmtId="0" fontId="4" fillId="0" borderId="4" xfId="2" applyFont="1" applyBorder="1" applyAlignment="1">
      <alignment horizontal="right"/>
    </xf>
    <xf numFmtId="165" fontId="2" fillId="0" borderId="2" xfId="2" applyNumberFormat="1" applyFont="1" applyBorder="1" applyAlignment="1">
      <alignment horizontal="right"/>
    </xf>
    <xf numFmtId="165" fontId="2" fillId="0" borderId="4" xfId="2" applyNumberFormat="1" applyFont="1" applyBorder="1" applyAlignment="1">
      <alignment horizontal="right"/>
    </xf>
    <xf numFmtId="0" fontId="2" fillId="2" borderId="2" xfId="2" applyFont="1" applyFill="1" applyBorder="1" applyAlignment="1">
      <alignment horizontal="center"/>
    </xf>
    <xf numFmtId="0" fontId="2" fillId="2" borderId="37" xfId="2" applyFont="1" applyFill="1" applyBorder="1" applyAlignment="1">
      <alignment horizontal="center"/>
    </xf>
    <xf numFmtId="0" fontId="4" fillId="0" borderId="38" xfId="2" applyFont="1" applyBorder="1" applyAlignment="1">
      <alignment horizontal="right"/>
    </xf>
    <xf numFmtId="0" fontId="4" fillId="0" borderId="43" xfId="2" applyFont="1" applyBorder="1" applyAlignment="1">
      <alignment horizontal="right"/>
    </xf>
    <xf numFmtId="0" fontId="4" fillId="0" borderId="32" xfId="2" applyFont="1" applyBorder="1" applyAlignment="1">
      <alignment horizontal="right"/>
    </xf>
    <xf numFmtId="0" fontId="2" fillId="0" borderId="39" xfId="2" applyFont="1" applyBorder="1" applyAlignment="1">
      <alignment horizontal="right"/>
    </xf>
    <xf numFmtId="0" fontId="2" fillId="0" borderId="32" xfId="2" applyFont="1" applyBorder="1" applyAlignment="1">
      <alignment horizontal="right"/>
    </xf>
    <xf numFmtId="165" fontId="2" fillId="0" borderId="39" xfId="2" applyNumberFormat="1" applyFont="1" applyBorder="1" applyAlignment="1">
      <alignment horizontal="center"/>
    </xf>
    <xf numFmtId="165" fontId="2" fillId="0" borderId="40" xfId="2" applyNumberFormat="1" applyFont="1" applyBorder="1" applyAlignment="1">
      <alignment horizontal="center"/>
    </xf>
    <xf numFmtId="0" fontId="2" fillId="0" borderId="33" xfId="2" applyFont="1" applyBorder="1" applyAlignment="1">
      <alignment horizontal="left"/>
    </xf>
    <xf numFmtId="0" fontId="2" fillId="0" borderId="32" xfId="2" applyFont="1" applyBorder="1" applyAlignment="1">
      <alignment horizontal="left"/>
    </xf>
    <xf numFmtId="0" fontId="2" fillId="0" borderId="11" xfId="2" applyFont="1" applyBorder="1" applyAlignment="1">
      <alignment horizontal="left"/>
    </xf>
    <xf numFmtId="0" fontId="2" fillId="0" borderId="12" xfId="2" applyFont="1" applyBorder="1" applyAlignment="1">
      <alignment horizontal="left"/>
    </xf>
    <xf numFmtId="165" fontId="2" fillId="0" borderId="39" xfId="2" applyNumberFormat="1" applyFont="1" applyBorder="1" applyAlignment="1">
      <alignment horizontal="right" wrapText="1"/>
    </xf>
    <xf numFmtId="165" fontId="2" fillId="0" borderId="32" xfId="2" applyNumberFormat="1" applyFont="1" applyBorder="1" applyAlignment="1">
      <alignment horizontal="right" wrapText="1"/>
    </xf>
    <xf numFmtId="0" fontId="4" fillId="0" borderId="41" xfId="2" applyFont="1" applyBorder="1" applyAlignment="1">
      <alignment horizontal="right"/>
    </xf>
    <xf numFmtId="0" fontId="4" fillId="0" borderId="9" xfId="2" applyFont="1" applyBorder="1" applyAlignment="1">
      <alignment horizontal="right"/>
    </xf>
    <xf numFmtId="0" fontId="4" fillId="0" borderId="10" xfId="2" applyFont="1" applyBorder="1" applyAlignment="1">
      <alignment horizontal="right"/>
    </xf>
    <xf numFmtId="0" fontId="2" fillId="0" borderId="8" xfId="2" applyFont="1" applyBorder="1" applyAlignment="1">
      <alignment horizontal="right"/>
    </xf>
    <xf numFmtId="0" fontId="2" fillId="0" borderId="10" xfId="2" applyFont="1" applyBorder="1" applyAlignment="1">
      <alignment horizontal="right"/>
    </xf>
    <xf numFmtId="165" fontId="2" fillId="0" borderId="8" xfId="2" applyNumberFormat="1" applyFont="1" applyBorder="1" applyAlignment="1">
      <alignment horizontal="center"/>
    </xf>
    <xf numFmtId="165" fontId="2" fillId="0" borderId="42" xfId="2" applyNumberFormat="1" applyFont="1" applyBorder="1" applyAlignment="1">
      <alignment horizontal="center"/>
    </xf>
    <xf numFmtId="0" fontId="4" fillId="4" borderId="1" xfId="2" applyFont="1" applyFill="1" applyBorder="1" applyAlignment="1">
      <alignment horizontal="left"/>
    </xf>
    <xf numFmtId="0" fontId="4" fillId="4" borderId="45" xfId="2" applyFont="1" applyFill="1" applyBorder="1" applyAlignment="1">
      <alignment horizontal="left"/>
    </xf>
    <xf numFmtId="0" fontId="4" fillId="4" borderId="46" xfId="2" applyFont="1" applyFill="1" applyBorder="1" applyAlignment="1">
      <alignment horizontal="left"/>
    </xf>
    <xf numFmtId="0" fontId="2" fillId="0" borderId="33" xfId="2" applyFont="1" applyBorder="1" applyAlignment="1">
      <alignment horizontal="left" wrapText="1"/>
    </xf>
    <xf numFmtId="0" fontId="2" fillId="0" borderId="32" xfId="2" applyFont="1" applyBorder="1" applyAlignment="1">
      <alignment horizontal="left" wrapText="1"/>
    </xf>
    <xf numFmtId="0" fontId="2" fillId="0" borderId="11" xfId="2" applyFont="1" applyBorder="1" applyAlignment="1">
      <alignment horizontal="left" wrapText="1"/>
    </xf>
    <xf numFmtId="0" fontId="2" fillId="0" borderId="12" xfId="2" applyFont="1" applyBorder="1" applyAlignment="1">
      <alignment horizontal="left" wrapText="1"/>
    </xf>
    <xf numFmtId="0" fontId="2" fillId="6" borderId="7" xfId="2" applyFont="1" applyFill="1" applyBorder="1" applyAlignment="1">
      <alignment horizontal="center"/>
    </xf>
    <xf numFmtId="0" fontId="2" fillId="6" borderId="0" xfId="2" applyFont="1" applyFill="1" applyAlignment="1">
      <alignment horizontal="center"/>
    </xf>
    <xf numFmtId="0" fontId="2" fillId="6" borderId="34" xfId="2" applyFont="1" applyFill="1" applyBorder="1" applyAlignment="1">
      <alignment horizontal="center"/>
    </xf>
    <xf numFmtId="0" fontId="2" fillId="0" borderId="47" xfId="2" applyFont="1" applyBorder="1" applyAlignment="1">
      <alignment horizontal="left" wrapText="1"/>
    </xf>
    <xf numFmtId="0" fontId="2" fillId="0" borderId="4" xfId="2" applyFont="1" applyBorder="1" applyAlignment="1">
      <alignment horizontal="left" wrapText="1"/>
    </xf>
    <xf numFmtId="0" fontId="2" fillId="0" borderId="5" xfId="2" applyFont="1" applyBorder="1" applyAlignment="1">
      <alignment horizontal="left" wrapText="1"/>
    </xf>
    <xf numFmtId="0" fontId="2" fillId="0" borderId="6" xfId="2" applyFont="1" applyBorder="1" applyAlignment="1">
      <alignment horizontal="left" wrapText="1"/>
    </xf>
    <xf numFmtId="0" fontId="8" fillId="0" borderId="44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8" fillId="0" borderId="29" xfId="0" applyFont="1" applyBorder="1" applyAlignment="1">
      <alignment horizontal="left"/>
    </xf>
    <xf numFmtId="0" fontId="17" fillId="0" borderId="0" xfId="0" applyFont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right" vertical="center" wrapText="1"/>
    </xf>
    <xf numFmtId="0" fontId="34" fillId="0" borderId="11" xfId="0" applyFont="1" applyBorder="1" applyAlignment="1">
      <alignment horizontal="right" vertical="center"/>
    </xf>
    <xf numFmtId="0" fontId="35" fillId="0" borderId="7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34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6" fillId="0" borderId="1" xfId="0" applyFont="1" applyBorder="1" applyAlignment="1">
      <alignment horizontal="right"/>
    </xf>
    <xf numFmtId="0" fontId="26" fillId="0" borderId="45" xfId="0" applyFont="1" applyBorder="1" applyAlignment="1">
      <alignment horizontal="right"/>
    </xf>
    <xf numFmtId="0" fontId="16" fillId="0" borderId="11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5" fillId="0" borderId="0" xfId="0" applyFont="1" applyAlignment="1">
      <alignment horizontal="center" vertical="center"/>
    </xf>
    <xf numFmtId="0" fontId="42" fillId="0" borderId="13" xfId="0" applyFont="1" applyBorder="1" applyAlignment="1">
      <alignment horizontal="right" vertical="center"/>
    </xf>
    <xf numFmtId="0" fontId="42" fillId="0" borderId="14" xfId="0" applyFont="1" applyBorder="1" applyAlignment="1">
      <alignment horizontal="right" vertical="center"/>
    </xf>
    <xf numFmtId="0" fontId="42" fillId="0" borderId="15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33" fillId="0" borderId="48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8" borderId="13" xfId="0" applyFont="1" applyFill="1" applyBorder="1" applyAlignment="1">
      <alignment horizontal="right"/>
    </xf>
    <xf numFmtId="0" fontId="31" fillId="8" borderId="14" xfId="0" applyFont="1" applyFill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17" fillId="0" borderId="48" xfId="0" applyFont="1" applyBorder="1" applyAlignment="1">
      <alignment horizontal="right" vertical="center"/>
    </xf>
    <xf numFmtId="0" fontId="17" fillId="0" borderId="65" xfId="0" applyFont="1" applyBorder="1" applyAlignment="1">
      <alignment horizontal="right" vertical="center"/>
    </xf>
    <xf numFmtId="0" fontId="17" fillId="10" borderId="13" xfId="0" applyFont="1" applyFill="1" applyBorder="1" applyAlignment="1">
      <alignment horizontal="right" vertical="center"/>
    </xf>
    <xf numFmtId="0" fontId="17" fillId="10" borderId="14" xfId="0" applyFont="1" applyFill="1" applyBorder="1" applyAlignment="1">
      <alignment horizontal="right" vertical="center"/>
    </xf>
    <xf numFmtId="0" fontId="17" fillId="10" borderId="15" xfId="0" applyFont="1" applyFill="1" applyBorder="1" applyAlignment="1">
      <alignment horizontal="right" vertical="center"/>
    </xf>
    <xf numFmtId="4" fontId="40" fillId="0" borderId="0" xfId="5" applyNumberFormat="1" applyFont="1" applyFill="1" applyAlignment="1">
      <alignment horizontal="center" vertical="center" wrapText="1"/>
    </xf>
    <xf numFmtId="14" fontId="2" fillId="2" borderId="52" xfId="1" applyNumberFormat="1" applyFont="1" applyFill="1" applyBorder="1" applyAlignment="1">
      <alignment horizontal="center" vertical="center" wrapText="1"/>
    </xf>
    <xf numFmtId="0" fontId="2" fillId="2" borderId="39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left"/>
    </xf>
    <xf numFmtId="0" fontId="2" fillId="2" borderId="57" xfId="1" applyFont="1" applyFill="1" applyBorder="1" applyAlignment="1">
      <alignment horizontal="center"/>
    </xf>
    <xf numFmtId="0" fontId="2" fillId="2" borderId="53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12" fillId="3" borderId="11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right"/>
    </xf>
    <xf numFmtId="0" fontId="13" fillId="2" borderId="48" xfId="1" applyFont="1" applyFill="1" applyBorder="1" applyAlignment="1">
      <alignment horizontal="center"/>
    </xf>
    <xf numFmtId="0" fontId="11" fillId="2" borderId="0" xfId="1" applyFont="1" applyFill="1"/>
    <xf numFmtId="0" fontId="4" fillId="4" borderId="47" xfId="2" applyFont="1" applyFill="1" applyBorder="1" applyAlignment="1">
      <alignment horizontal="center" vertical="center"/>
    </xf>
    <xf numFmtId="0" fontId="4" fillId="4" borderId="44" xfId="2" applyFont="1" applyFill="1" applyBorder="1" applyAlignment="1">
      <alignment horizontal="center" vertical="center"/>
    </xf>
    <xf numFmtId="0" fontId="4" fillId="4" borderId="47" xfId="2" applyFont="1" applyFill="1" applyBorder="1" applyAlignment="1">
      <alignment horizontal="center" vertical="center" wrapText="1"/>
    </xf>
    <xf numFmtId="0" fontId="4" fillId="4" borderId="44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horizontal="center" vertical="center"/>
    </xf>
    <xf numFmtId="0" fontId="4" fillId="0" borderId="57" xfId="2" applyFont="1" applyBorder="1" applyAlignment="1">
      <alignment horizontal="right"/>
    </xf>
    <xf numFmtId="0" fontId="4" fillId="0" borderId="53" xfId="2" applyFont="1" applyBorder="1" applyAlignment="1">
      <alignment horizontal="right"/>
    </xf>
    <xf numFmtId="0" fontId="4" fillId="0" borderId="49" xfId="2" applyFont="1" applyBorder="1" applyAlignment="1">
      <alignment horizontal="right"/>
    </xf>
    <xf numFmtId="165" fontId="2" fillId="0" borderId="18" xfId="2" applyNumberFormat="1" applyFont="1" applyBorder="1" applyAlignment="1">
      <alignment horizontal="right"/>
    </xf>
    <xf numFmtId="0" fontId="2" fillId="2" borderId="36" xfId="2" applyFont="1" applyFill="1" applyBorder="1" applyAlignment="1">
      <alignment horizontal="center"/>
    </xf>
    <xf numFmtId="0" fontId="2" fillId="2" borderId="54" xfId="2" applyFont="1" applyFill="1" applyBorder="1" applyAlignment="1">
      <alignment horizontal="center"/>
    </xf>
    <xf numFmtId="0" fontId="2" fillId="0" borderId="11" xfId="2" applyFont="1" applyBorder="1" applyAlignment="1">
      <alignment horizontal="right"/>
    </xf>
    <xf numFmtId="0" fontId="14" fillId="0" borderId="11" xfId="2" applyFont="1" applyBorder="1" applyAlignment="1">
      <alignment horizontal="left" wrapText="1"/>
    </xf>
    <xf numFmtId="165" fontId="2" fillId="0" borderId="39" xfId="0" applyNumberFormat="1" applyFont="1" applyBorder="1" applyAlignment="1">
      <alignment horizontal="center" wrapText="1"/>
    </xf>
    <xf numFmtId="165" fontId="2" fillId="0" borderId="40" xfId="0" applyNumberFormat="1" applyFont="1" applyBorder="1" applyAlignment="1">
      <alignment horizontal="center" wrapText="1"/>
    </xf>
    <xf numFmtId="0" fontId="4" fillId="0" borderId="44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0" fontId="2" fillId="0" borderId="22" xfId="2" applyFont="1" applyBorder="1" applyAlignment="1">
      <alignment horizontal="right"/>
    </xf>
    <xf numFmtId="0" fontId="4" fillId="4" borderId="13" xfId="2" applyFont="1" applyFill="1" applyBorder="1" applyAlignment="1">
      <alignment horizontal="left"/>
    </xf>
    <xf numFmtId="0" fontId="4" fillId="4" borderId="14" xfId="2" applyFont="1" applyFill="1" applyBorder="1" applyAlignment="1">
      <alignment horizontal="left"/>
    </xf>
    <xf numFmtId="0" fontId="4" fillId="4" borderId="15" xfId="2" applyFont="1" applyFill="1" applyBorder="1" applyAlignment="1">
      <alignment horizontal="left"/>
    </xf>
    <xf numFmtId="0" fontId="4" fillId="13" borderId="55" xfId="1" applyFont="1" applyFill="1" applyBorder="1" applyAlignment="1">
      <alignment horizontal="center"/>
    </xf>
    <xf numFmtId="0" fontId="4" fillId="13" borderId="45" xfId="1" applyFont="1" applyFill="1" applyBorder="1" applyAlignment="1">
      <alignment horizontal="center"/>
    </xf>
    <xf numFmtId="0" fontId="2" fillId="2" borderId="56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14" fillId="0" borderId="11" xfId="2" applyFont="1" applyBorder="1" applyAlignment="1">
      <alignment wrapText="1"/>
    </xf>
    <xf numFmtId="0" fontId="14" fillId="0" borderId="57" xfId="2" applyFont="1" applyBorder="1" applyAlignment="1">
      <alignment horizontal="left" wrapText="1"/>
    </xf>
    <xf numFmtId="0" fontId="14" fillId="0" borderId="53" xfId="2" applyFont="1" applyBorder="1" applyAlignment="1">
      <alignment horizontal="left" wrapText="1"/>
    </xf>
    <xf numFmtId="0" fontId="14" fillId="0" borderId="54" xfId="2" applyFont="1" applyBorder="1" applyAlignment="1">
      <alignment horizontal="left" wrapText="1"/>
    </xf>
    <xf numFmtId="0" fontId="14" fillId="0" borderId="57" xfId="2" applyFont="1" applyBorder="1" applyAlignment="1">
      <alignment horizontal="left"/>
    </xf>
    <xf numFmtId="0" fontId="14" fillId="0" borderId="53" xfId="2" applyFont="1" applyBorder="1" applyAlignment="1">
      <alignment horizontal="left"/>
    </xf>
    <xf numFmtId="0" fontId="14" fillId="0" borderId="54" xfId="2" applyFont="1" applyBorder="1" applyAlignment="1">
      <alignment horizontal="left"/>
    </xf>
    <xf numFmtId="12" fontId="2" fillId="0" borderId="39" xfId="2" applyNumberFormat="1" applyFont="1" applyBorder="1" applyAlignment="1">
      <alignment horizontal="center"/>
    </xf>
    <xf numFmtId="12" fontId="2" fillId="0" borderId="32" xfId="2" applyNumberFormat="1" applyFont="1" applyBorder="1" applyAlignment="1">
      <alignment horizontal="center"/>
    </xf>
    <xf numFmtId="1" fontId="4" fillId="5" borderId="55" xfId="2" applyNumberFormat="1" applyFont="1" applyFill="1" applyBorder="1" applyAlignment="1">
      <alignment horizontal="center"/>
    </xf>
    <xf numFmtId="1" fontId="4" fillId="5" borderId="45" xfId="2" applyNumberFormat="1" applyFont="1" applyFill="1" applyBorder="1" applyAlignment="1">
      <alignment horizontal="center"/>
    </xf>
    <xf numFmtId="1" fontId="4" fillId="5" borderId="46" xfId="2" applyNumberFormat="1" applyFont="1" applyFill="1" applyBorder="1" applyAlignment="1">
      <alignment horizontal="center"/>
    </xf>
    <xf numFmtId="1" fontId="4" fillId="5" borderId="56" xfId="2" applyNumberFormat="1" applyFont="1" applyFill="1" applyBorder="1" applyAlignment="1">
      <alignment horizontal="center"/>
    </xf>
    <xf numFmtId="1" fontId="4" fillId="5" borderId="0" xfId="2" applyNumberFormat="1" applyFont="1" applyFill="1" applyAlignment="1">
      <alignment horizontal="center"/>
    </xf>
    <xf numFmtId="1" fontId="4" fillId="5" borderId="34" xfId="2" applyNumberFormat="1" applyFont="1" applyFill="1" applyBorder="1" applyAlignment="1">
      <alignment horizontal="center"/>
    </xf>
    <xf numFmtId="1" fontId="4" fillId="5" borderId="36" xfId="2" applyNumberFormat="1" applyFont="1" applyFill="1" applyBorder="1" applyAlignment="1">
      <alignment horizontal="center"/>
    </xf>
    <xf numFmtId="1" fontId="4" fillId="5" borderId="53" xfId="2" applyNumberFormat="1" applyFont="1" applyFill="1" applyBorder="1" applyAlignment="1">
      <alignment horizontal="center"/>
    </xf>
    <xf numFmtId="1" fontId="4" fillId="5" borderId="54" xfId="2" applyNumberFormat="1" applyFont="1" applyFill="1" applyBorder="1" applyAlignment="1">
      <alignment horizontal="center"/>
    </xf>
    <xf numFmtId="12" fontId="2" fillId="0" borderId="43" xfId="2" applyNumberFormat="1" applyFont="1" applyBorder="1" applyAlignment="1">
      <alignment horizontal="center"/>
    </xf>
    <xf numFmtId="12" fontId="2" fillId="0" borderId="40" xfId="2" applyNumberFormat="1" applyFont="1" applyBorder="1" applyAlignment="1">
      <alignment horizontal="center"/>
    </xf>
    <xf numFmtId="0" fontId="8" fillId="0" borderId="33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2" fillId="0" borderId="51" xfId="2" applyFont="1" applyBorder="1" applyAlignment="1">
      <alignment horizontal="left"/>
    </xf>
    <xf numFmtId="0" fontId="2" fillId="0" borderId="49" xfId="2" applyFont="1" applyBorder="1" applyAlignment="1">
      <alignment horizontal="left"/>
    </xf>
    <xf numFmtId="0" fontId="2" fillId="0" borderId="18" xfId="2" applyFont="1" applyBorder="1" applyAlignment="1">
      <alignment horizontal="left"/>
    </xf>
    <xf numFmtId="0" fontId="2" fillId="0" borderId="52" xfId="2" applyFont="1" applyBorder="1" applyAlignment="1">
      <alignment horizontal="left"/>
    </xf>
  </cellXfs>
  <cellStyles count="20">
    <cellStyle name="Millares" xfId="4" builtinId="3"/>
    <cellStyle name="Millares [0]" xfId="5" builtinId="6"/>
    <cellStyle name="Millares [0] 2" xfId="7" xr:uid="{B3103961-C01D-4298-9C04-86ACD85902DF}"/>
    <cellStyle name="Millares [0] 2 2" xfId="14" xr:uid="{7B7F2C34-C2A8-4D34-8610-2E93ECBDD94A}"/>
    <cellStyle name="Millares [0] 3" xfId="12" xr:uid="{C0CA19B1-9F49-4B3C-B7B4-FAA391284186}"/>
    <cellStyle name="Millares 2" xfId="6" xr:uid="{D6BDC3A0-2334-42E3-A271-4A1E12933875}"/>
    <cellStyle name="Millares 2 2" xfId="13" xr:uid="{2093A95E-541D-4BF1-BE26-8CB96ECE8EEF}"/>
    <cellStyle name="Millares 3" xfId="8" xr:uid="{F7D0EC7A-ECEC-4D17-998D-578D5C8ED823}"/>
    <cellStyle name="Millares 3 2" xfId="15" xr:uid="{4500E39A-3A09-408F-8029-F6967C3CC927}"/>
    <cellStyle name="Millares 4" xfId="9" xr:uid="{0ADEFCEB-D963-4090-B164-738FB09AF9AC}"/>
    <cellStyle name="Millares 4 2" xfId="16" xr:uid="{F0C4BA20-17E2-4E9C-A2FA-138FD947F497}"/>
    <cellStyle name="Millares 5" xfId="10" xr:uid="{86EA0CF7-0BD3-4391-999E-ADDCC4D8210C}"/>
    <cellStyle name="Millares 5 2" xfId="17" xr:uid="{B389A556-C581-4C5C-AE98-92C77F5FC993}"/>
    <cellStyle name="Millares 6" xfId="18" xr:uid="{AF15D7D6-8EFA-44D9-9A4F-B0D0FC2B5392}"/>
    <cellStyle name="Millares 7" xfId="11" xr:uid="{3160F9D6-A438-4E98-8322-D61482A7EDD1}"/>
    <cellStyle name="Millares 8" xfId="19" xr:uid="{F63E8F49-4E4E-48F7-B2FB-93FD3802B2EE}"/>
    <cellStyle name="Normal" xfId="0" builtinId="0"/>
    <cellStyle name="Normal 2" xfId="2" xr:uid="{DB65036D-B358-4B74-9F42-E5271DA599AF}"/>
    <cellStyle name="Normal_CRITERIOS DE EVALUACION PT DE GB 2" xfId="1" xr:uid="{AEC2DBEA-9AD8-4DBA-BDD0-4F15BC4C5F87}"/>
    <cellStyle name="Porcentaje 2 2" xfId="3" xr:uid="{43CB208F-20DB-4EF7-BC8F-5591BC461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bb7d892d-03ab-4678-ab1f-2ecf97ce7a0a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bb7d892d-03ab-4678-ab1f-2ecf97ce7a0a" TargetMode="Externa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30481</xdr:rowOff>
    </xdr:from>
    <xdr:ext cx="1458852" cy="1005840"/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6A669A94-55C0-430E-91B4-71107AA0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0" y="228601"/>
          <a:ext cx="1458852" cy="1005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0</xdr:rowOff>
    </xdr:from>
    <xdr:to>
      <xdr:col>15</xdr:col>
      <xdr:colOff>123825</xdr:colOff>
      <xdr:row>17</xdr:row>
      <xdr:rowOff>9525</xdr:rowOff>
    </xdr:to>
    <xdr:pic>
      <xdr:nvPicPr>
        <xdr:cNvPr id="2" name="x_Picture 2">
          <a:extLst>
            <a:ext uri="{FF2B5EF4-FFF2-40B4-BE49-F238E27FC236}">
              <a16:creationId xmlns:a16="http://schemas.microsoft.com/office/drawing/2014/main" id="{D7E6EE20-117F-4B15-ABDF-06978C2B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2590800"/>
          <a:ext cx="24765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144781</xdr:rowOff>
    </xdr:from>
    <xdr:ext cx="1469904" cy="1013460"/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973B696C-C7B3-41EC-B908-AE6B9512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0" y="144781"/>
          <a:ext cx="1469904" cy="101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0</xdr:rowOff>
    </xdr:from>
    <xdr:to>
      <xdr:col>15</xdr:col>
      <xdr:colOff>123825</xdr:colOff>
      <xdr:row>17</xdr:row>
      <xdr:rowOff>9525</xdr:rowOff>
    </xdr:to>
    <xdr:pic>
      <xdr:nvPicPr>
        <xdr:cNvPr id="3" name="x_Picture 2">
          <a:extLst>
            <a:ext uri="{FF2B5EF4-FFF2-40B4-BE49-F238E27FC236}">
              <a16:creationId xmlns:a16="http://schemas.microsoft.com/office/drawing/2014/main" id="{AFD2E8AC-22CF-1079-49A2-7DD5238A7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2590800"/>
          <a:ext cx="24765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14</xdr:row>
      <xdr:rowOff>0</xdr:rowOff>
    </xdr:from>
    <xdr:to>
      <xdr:col>15</xdr:col>
      <xdr:colOff>123825</xdr:colOff>
      <xdr:row>17</xdr:row>
      <xdr:rowOff>9525</xdr:rowOff>
    </xdr:to>
    <xdr:pic>
      <xdr:nvPicPr>
        <xdr:cNvPr id="4" name="x_Picture 2">
          <a:extLst>
            <a:ext uri="{FF2B5EF4-FFF2-40B4-BE49-F238E27FC236}">
              <a16:creationId xmlns:a16="http://schemas.microsoft.com/office/drawing/2014/main" id="{F27E4121-6BF9-42D5-A61F-C92EF0442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2419350"/>
          <a:ext cx="24765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" cy="1247775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FB4C35CC-3AB9-4A25-A152-A9150D4E4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0" y="0"/>
          <a:ext cx="18097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99060</xdr:colOff>
      <xdr:row>1</xdr:row>
      <xdr:rowOff>7621</xdr:rowOff>
    </xdr:from>
    <xdr:ext cx="1348333" cy="929640"/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48211D8C-7868-4746-A777-2EF48E164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99060" y="205741"/>
          <a:ext cx="1348333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511C-C8FF-4EA9-8C0C-79BBA7E6ECC1}">
  <sheetPr>
    <pageSetUpPr fitToPage="1"/>
  </sheetPr>
  <dimension ref="A1:K49"/>
  <sheetViews>
    <sheetView topLeftCell="A9" workbookViewId="0">
      <selection activeCell="C18" sqref="C18"/>
    </sheetView>
  </sheetViews>
  <sheetFormatPr baseColWidth="10" defaultColWidth="11.42578125" defaultRowHeight="15" x14ac:dyDescent="0.25"/>
  <cols>
    <col min="2" max="2" width="10.7109375" customWidth="1"/>
    <col min="3" max="3" width="31" customWidth="1"/>
    <col min="4" max="4" width="13" customWidth="1"/>
    <col min="5" max="5" width="9.28515625" customWidth="1"/>
    <col min="6" max="6" width="6.5703125" customWidth="1"/>
    <col min="7" max="7" width="14.7109375" customWidth="1"/>
    <col min="8" max="8" width="14.28515625" customWidth="1"/>
    <col min="9" max="9" width="18.7109375" customWidth="1"/>
    <col min="10" max="256" width="9.28515625" customWidth="1"/>
    <col min="259" max="259" width="47.7109375" customWidth="1"/>
    <col min="260" max="260" width="25.42578125" customWidth="1"/>
    <col min="261" max="512" width="9.28515625" customWidth="1"/>
    <col min="515" max="515" width="47.7109375" customWidth="1"/>
    <col min="516" max="516" width="25.42578125" customWidth="1"/>
    <col min="517" max="768" width="9.28515625" customWidth="1"/>
    <col min="771" max="771" width="47.7109375" customWidth="1"/>
    <col min="772" max="772" width="25.42578125" customWidth="1"/>
    <col min="773" max="1024" width="9.28515625" customWidth="1"/>
    <col min="1027" max="1027" width="47.7109375" customWidth="1"/>
    <col min="1028" max="1028" width="25.42578125" customWidth="1"/>
    <col min="1029" max="1280" width="9.28515625" customWidth="1"/>
    <col min="1283" max="1283" width="47.7109375" customWidth="1"/>
    <col min="1284" max="1284" width="25.42578125" customWidth="1"/>
    <col min="1285" max="1536" width="9.28515625" customWidth="1"/>
    <col min="1539" max="1539" width="47.7109375" customWidth="1"/>
    <col min="1540" max="1540" width="25.42578125" customWidth="1"/>
    <col min="1541" max="1792" width="9.28515625" customWidth="1"/>
    <col min="1795" max="1795" width="47.7109375" customWidth="1"/>
    <col min="1796" max="1796" width="25.42578125" customWidth="1"/>
    <col min="1797" max="2048" width="9.28515625" customWidth="1"/>
    <col min="2051" max="2051" width="47.7109375" customWidth="1"/>
    <col min="2052" max="2052" width="25.42578125" customWidth="1"/>
    <col min="2053" max="2304" width="9.28515625" customWidth="1"/>
    <col min="2307" max="2307" width="47.7109375" customWidth="1"/>
    <col min="2308" max="2308" width="25.42578125" customWidth="1"/>
    <col min="2309" max="2560" width="9.28515625" customWidth="1"/>
    <col min="2563" max="2563" width="47.7109375" customWidth="1"/>
    <col min="2564" max="2564" width="25.42578125" customWidth="1"/>
    <col min="2565" max="2816" width="9.28515625" customWidth="1"/>
    <col min="2819" max="2819" width="47.7109375" customWidth="1"/>
    <col min="2820" max="2820" width="25.42578125" customWidth="1"/>
    <col min="2821" max="3072" width="9.28515625" customWidth="1"/>
    <col min="3075" max="3075" width="47.7109375" customWidth="1"/>
    <col min="3076" max="3076" width="25.42578125" customWidth="1"/>
    <col min="3077" max="3328" width="9.28515625" customWidth="1"/>
    <col min="3331" max="3331" width="47.7109375" customWidth="1"/>
    <col min="3332" max="3332" width="25.42578125" customWidth="1"/>
    <col min="3333" max="3584" width="9.28515625" customWidth="1"/>
    <col min="3587" max="3587" width="47.7109375" customWidth="1"/>
    <col min="3588" max="3588" width="25.42578125" customWidth="1"/>
    <col min="3589" max="3840" width="9.28515625" customWidth="1"/>
    <col min="3843" max="3843" width="47.7109375" customWidth="1"/>
    <col min="3844" max="3844" width="25.42578125" customWidth="1"/>
    <col min="3845" max="4096" width="9.28515625" customWidth="1"/>
    <col min="4099" max="4099" width="47.7109375" customWidth="1"/>
    <col min="4100" max="4100" width="25.42578125" customWidth="1"/>
    <col min="4101" max="4352" width="9.28515625" customWidth="1"/>
    <col min="4355" max="4355" width="47.7109375" customWidth="1"/>
    <col min="4356" max="4356" width="25.42578125" customWidth="1"/>
    <col min="4357" max="4608" width="9.28515625" customWidth="1"/>
    <col min="4611" max="4611" width="47.7109375" customWidth="1"/>
    <col min="4612" max="4612" width="25.42578125" customWidth="1"/>
    <col min="4613" max="4864" width="9.28515625" customWidth="1"/>
    <col min="4867" max="4867" width="47.7109375" customWidth="1"/>
    <col min="4868" max="4868" width="25.42578125" customWidth="1"/>
    <col min="4869" max="5120" width="9.28515625" customWidth="1"/>
    <col min="5123" max="5123" width="47.7109375" customWidth="1"/>
    <col min="5124" max="5124" width="25.42578125" customWidth="1"/>
    <col min="5125" max="5376" width="9.28515625" customWidth="1"/>
    <col min="5379" max="5379" width="47.7109375" customWidth="1"/>
    <col min="5380" max="5380" width="25.42578125" customWidth="1"/>
    <col min="5381" max="5632" width="9.28515625" customWidth="1"/>
    <col min="5635" max="5635" width="47.7109375" customWidth="1"/>
    <col min="5636" max="5636" width="25.42578125" customWidth="1"/>
    <col min="5637" max="5888" width="9.28515625" customWidth="1"/>
    <col min="5891" max="5891" width="47.7109375" customWidth="1"/>
    <col min="5892" max="5892" width="25.42578125" customWidth="1"/>
    <col min="5893" max="6144" width="9.28515625" customWidth="1"/>
    <col min="6147" max="6147" width="47.7109375" customWidth="1"/>
    <col min="6148" max="6148" width="25.42578125" customWidth="1"/>
    <col min="6149" max="6400" width="9.28515625" customWidth="1"/>
    <col min="6403" max="6403" width="47.7109375" customWidth="1"/>
    <col min="6404" max="6404" width="25.42578125" customWidth="1"/>
    <col min="6405" max="6656" width="9.28515625" customWidth="1"/>
    <col min="6659" max="6659" width="47.7109375" customWidth="1"/>
    <col min="6660" max="6660" width="25.42578125" customWidth="1"/>
    <col min="6661" max="6912" width="9.28515625" customWidth="1"/>
    <col min="6915" max="6915" width="47.7109375" customWidth="1"/>
    <col min="6916" max="6916" width="25.42578125" customWidth="1"/>
    <col min="6917" max="7168" width="9.28515625" customWidth="1"/>
    <col min="7171" max="7171" width="47.7109375" customWidth="1"/>
    <col min="7172" max="7172" width="25.42578125" customWidth="1"/>
    <col min="7173" max="7424" width="9.28515625" customWidth="1"/>
    <col min="7427" max="7427" width="47.7109375" customWidth="1"/>
    <col min="7428" max="7428" width="25.42578125" customWidth="1"/>
    <col min="7429" max="7680" width="9.28515625" customWidth="1"/>
    <col min="7683" max="7683" width="47.7109375" customWidth="1"/>
    <col min="7684" max="7684" width="25.42578125" customWidth="1"/>
    <col min="7685" max="7936" width="9.28515625" customWidth="1"/>
    <col min="7939" max="7939" width="47.7109375" customWidth="1"/>
    <col min="7940" max="7940" width="25.42578125" customWidth="1"/>
    <col min="7941" max="8192" width="9.28515625" customWidth="1"/>
    <col min="8195" max="8195" width="47.7109375" customWidth="1"/>
    <col min="8196" max="8196" width="25.42578125" customWidth="1"/>
    <col min="8197" max="8448" width="9.28515625" customWidth="1"/>
    <col min="8451" max="8451" width="47.7109375" customWidth="1"/>
    <col min="8452" max="8452" width="25.42578125" customWidth="1"/>
    <col min="8453" max="8704" width="9.28515625" customWidth="1"/>
    <col min="8707" max="8707" width="47.7109375" customWidth="1"/>
    <col min="8708" max="8708" width="25.42578125" customWidth="1"/>
    <col min="8709" max="8960" width="9.28515625" customWidth="1"/>
    <col min="8963" max="8963" width="47.7109375" customWidth="1"/>
    <col min="8964" max="8964" width="25.42578125" customWidth="1"/>
    <col min="8965" max="9216" width="9.28515625" customWidth="1"/>
    <col min="9219" max="9219" width="47.7109375" customWidth="1"/>
    <col min="9220" max="9220" width="25.42578125" customWidth="1"/>
    <col min="9221" max="9472" width="9.28515625" customWidth="1"/>
    <col min="9475" max="9475" width="47.7109375" customWidth="1"/>
    <col min="9476" max="9476" width="25.42578125" customWidth="1"/>
    <col min="9477" max="9728" width="9.28515625" customWidth="1"/>
    <col min="9731" max="9731" width="47.7109375" customWidth="1"/>
    <col min="9732" max="9732" width="25.42578125" customWidth="1"/>
    <col min="9733" max="9984" width="9.28515625" customWidth="1"/>
    <col min="9987" max="9987" width="47.7109375" customWidth="1"/>
    <col min="9988" max="9988" width="25.42578125" customWidth="1"/>
    <col min="9989" max="10240" width="9.28515625" customWidth="1"/>
    <col min="10243" max="10243" width="47.7109375" customWidth="1"/>
    <col min="10244" max="10244" width="25.42578125" customWidth="1"/>
    <col min="10245" max="10496" width="9.28515625" customWidth="1"/>
    <col min="10499" max="10499" width="47.7109375" customWidth="1"/>
    <col min="10500" max="10500" width="25.42578125" customWidth="1"/>
    <col min="10501" max="10752" width="9.28515625" customWidth="1"/>
    <col min="10755" max="10755" width="47.7109375" customWidth="1"/>
    <col min="10756" max="10756" width="25.42578125" customWidth="1"/>
    <col min="10757" max="11008" width="9.28515625" customWidth="1"/>
    <col min="11011" max="11011" width="47.7109375" customWidth="1"/>
    <col min="11012" max="11012" width="25.42578125" customWidth="1"/>
    <col min="11013" max="11264" width="9.28515625" customWidth="1"/>
    <col min="11267" max="11267" width="47.7109375" customWidth="1"/>
    <col min="11268" max="11268" width="25.42578125" customWidth="1"/>
    <col min="11269" max="11520" width="9.28515625" customWidth="1"/>
    <col min="11523" max="11523" width="47.7109375" customWidth="1"/>
    <col min="11524" max="11524" width="25.42578125" customWidth="1"/>
    <col min="11525" max="11776" width="9.28515625" customWidth="1"/>
    <col min="11779" max="11779" width="47.7109375" customWidth="1"/>
    <col min="11780" max="11780" width="25.42578125" customWidth="1"/>
    <col min="11781" max="12032" width="9.28515625" customWidth="1"/>
    <col min="12035" max="12035" width="47.7109375" customWidth="1"/>
    <col min="12036" max="12036" width="25.42578125" customWidth="1"/>
    <col min="12037" max="12288" width="9.28515625" customWidth="1"/>
    <col min="12291" max="12291" width="47.7109375" customWidth="1"/>
    <col min="12292" max="12292" width="25.42578125" customWidth="1"/>
    <col min="12293" max="12544" width="9.28515625" customWidth="1"/>
    <col min="12547" max="12547" width="47.7109375" customWidth="1"/>
    <col min="12548" max="12548" width="25.42578125" customWidth="1"/>
    <col min="12549" max="12800" width="9.28515625" customWidth="1"/>
    <col min="12803" max="12803" width="47.7109375" customWidth="1"/>
    <col min="12804" max="12804" width="25.42578125" customWidth="1"/>
    <col min="12805" max="13056" width="9.28515625" customWidth="1"/>
    <col min="13059" max="13059" width="47.7109375" customWidth="1"/>
    <col min="13060" max="13060" width="25.42578125" customWidth="1"/>
    <col min="13061" max="13312" width="9.28515625" customWidth="1"/>
    <col min="13315" max="13315" width="47.7109375" customWidth="1"/>
    <col min="13316" max="13316" width="25.42578125" customWidth="1"/>
    <col min="13317" max="13568" width="9.28515625" customWidth="1"/>
    <col min="13571" max="13571" width="47.7109375" customWidth="1"/>
    <col min="13572" max="13572" width="25.42578125" customWidth="1"/>
    <col min="13573" max="13824" width="9.28515625" customWidth="1"/>
    <col min="13827" max="13827" width="47.7109375" customWidth="1"/>
    <col min="13828" max="13828" width="25.42578125" customWidth="1"/>
    <col min="13829" max="14080" width="9.28515625" customWidth="1"/>
    <col min="14083" max="14083" width="47.7109375" customWidth="1"/>
    <col min="14084" max="14084" width="25.42578125" customWidth="1"/>
    <col min="14085" max="14336" width="9.28515625" customWidth="1"/>
    <col min="14339" max="14339" width="47.7109375" customWidth="1"/>
    <col min="14340" max="14340" width="25.42578125" customWidth="1"/>
    <col min="14341" max="14592" width="9.28515625" customWidth="1"/>
    <col min="14595" max="14595" width="47.7109375" customWidth="1"/>
    <col min="14596" max="14596" width="25.42578125" customWidth="1"/>
    <col min="14597" max="14848" width="9.28515625" customWidth="1"/>
    <col min="14851" max="14851" width="47.7109375" customWidth="1"/>
    <col min="14852" max="14852" width="25.42578125" customWidth="1"/>
    <col min="14853" max="15104" width="9.28515625" customWidth="1"/>
    <col min="15107" max="15107" width="47.7109375" customWidth="1"/>
    <col min="15108" max="15108" width="25.42578125" customWidth="1"/>
    <col min="15109" max="15360" width="9.28515625" customWidth="1"/>
    <col min="15363" max="15363" width="47.7109375" customWidth="1"/>
    <col min="15364" max="15364" width="25.42578125" customWidth="1"/>
    <col min="15365" max="15616" width="9.28515625" customWidth="1"/>
    <col min="15619" max="15619" width="47.7109375" customWidth="1"/>
    <col min="15620" max="15620" width="25.42578125" customWidth="1"/>
    <col min="15621" max="15872" width="9.28515625" customWidth="1"/>
    <col min="15875" max="15875" width="47.7109375" customWidth="1"/>
    <col min="15876" max="15876" width="25.42578125" customWidth="1"/>
    <col min="15877" max="16128" width="9.28515625" customWidth="1"/>
    <col min="16131" max="16131" width="47.7109375" customWidth="1"/>
    <col min="16132" max="16132" width="25.42578125" customWidth="1"/>
    <col min="16133" max="16384" width="9.28515625" customWidth="1"/>
  </cols>
  <sheetData>
    <row r="1" spans="1:9" ht="15.75" x14ac:dyDescent="0.25">
      <c r="A1" s="275"/>
      <c r="B1" s="276"/>
      <c r="C1" s="281" t="s">
        <v>0</v>
      </c>
      <c r="D1" s="282"/>
      <c r="E1" s="282"/>
      <c r="F1" s="282"/>
      <c r="G1" s="283"/>
      <c r="H1" s="1" t="s">
        <v>1</v>
      </c>
      <c r="I1" s="2"/>
    </row>
    <row r="2" spans="1:9" ht="16.5" thickBot="1" x14ac:dyDescent="0.3">
      <c r="A2" s="277"/>
      <c r="B2" s="278"/>
      <c r="C2" s="284" t="s">
        <v>2</v>
      </c>
      <c r="D2" s="285"/>
      <c r="E2" s="285"/>
      <c r="F2" s="285"/>
      <c r="G2" s="286"/>
      <c r="H2" s="3" t="s">
        <v>3</v>
      </c>
      <c r="I2" s="4"/>
    </row>
    <row r="3" spans="1:9" ht="50.1" customHeight="1" thickBot="1" x14ac:dyDescent="0.3">
      <c r="A3" s="277"/>
      <c r="B3" s="278"/>
      <c r="C3" s="287" t="s">
        <v>101</v>
      </c>
      <c r="D3" s="288"/>
      <c r="E3" s="288"/>
      <c r="F3" s="288"/>
      <c r="G3" s="289"/>
      <c r="H3" s="290" t="s">
        <v>71</v>
      </c>
      <c r="I3" s="266"/>
    </row>
    <row r="4" spans="1:9" x14ac:dyDescent="0.25">
      <c r="A4" s="277"/>
      <c r="B4" s="278"/>
      <c r="C4" s="5" t="s">
        <v>5</v>
      </c>
      <c r="D4" s="269" t="s">
        <v>42</v>
      </c>
      <c r="E4" s="270"/>
      <c r="F4" s="270"/>
      <c r="G4" s="271"/>
      <c r="H4" s="291"/>
      <c r="I4" s="267"/>
    </row>
    <row r="5" spans="1:9" ht="15.75" thickBot="1" x14ac:dyDescent="0.3">
      <c r="A5" s="279"/>
      <c r="B5" s="280"/>
      <c r="C5" s="6" t="s">
        <v>6</v>
      </c>
      <c r="D5" s="272" t="s">
        <v>7</v>
      </c>
      <c r="E5" s="273"/>
      <c r="F5" s="273"/>
      <c r="G5" s="274"/>
      <c r="H5" s="292"/>
      <c r="I5" s="268"/>
    </row>
    <row r="6" spans="1:9" x14ac:dyDescent="0.25">
      <c r="A6" s="7"/>
      <c r="B6" s="7"/>
      <c r="C6" s="8"/>
      <c r="D6" s="9"/>
      <c r="E6" s="9"/>
      <c r="F6" s="9"/>
      <c r="G6" s="9"/>
      <c r="H6" s="10"/>
      <c r="I6" s="11"/>
    </row>
    <row r="7" spans="1:9" ht="15.75" thickBot="1" x14ac:dyDescent="0.3">
      <c r="A7" s="293" t="s">
        <v>8</v>
      </c>
      <c r="B7" s="293"/>
      <c r="C7" s="293"/>
      <c r="D7" s="294" t="s">
        <v>68</v>
      </c>
      <c r="E7" s="294"/>
      <c r="F7" s="294"/>
      <c r="G7" s="295" t="s">
        <v>9</v>
      </c>
      <c r="H7" s="295"/>
      <c r="I7" s="40" t="s">
        <v>68</v>
      </c>
    </row>
    <row r="8" spans="1:9" x14ac:dyDescent="0.25">
      <c r="A8" s="296" t="s">
        <v>10</v>
      </c>
      <c r="B8" s="298" t="s">
        <v>39</v>
      </c>
      <c r="C8" s="300" t="s">
        <v>11</v>
      </c>
      <c r="D8" s="300" t="s">
        <v>12</v>
      </c>
      <c r="E8" s="302"/>
      <c r="F8" s="303"/>
      <c r="G8" s="302" t="s">
        <v>13</v>
      </c>
      <c r="H8" s="303"/>
      <c r="I8" s="12" t="s">
        <v>14</v>
      </c>
    </row>
    <row r="9" spans="1:9" ht="52.5" thickBot="1" x14ac:dyDescent="0.3">
      <c r="A9" s="297"/>
      <c r="B9" s="299"/>
      <c r="C9" s="301"/>
      <c r="D9" s="301"/>
      <c r="E9" s="13" t="s">
        <v>15</v>
      </c>
      <c r="F9" s="14" t="s">
        <v>16</v>
      </c>
      <c r="G9" s="13" t="s">
        <v>15</v>
      </c>
      <c r="H9" s="14" t="s">
        <v>16</v>
      </c>
      <c r="I9" s="15" t="s">
        <v>17</v>
      </c>
    </row>
    <row r="10" spans="1:9" x14ac:dyDescent="0.25">
      <c r="A10" s="59"/>
      <c r="B10" s="54"/>
      <c r="C10" s="16" t="s">
        <v>48</v>
      </c>
      <c r="D10" s="17"/>
      <c r="E10" s="18"/>
      <c r="F10" s="19"/>
      <c r="G10" s="18"/>
      <c r="H10" s="19"/>
      <c r="I10" s="20"/>
    </row>
    <row r="11" spans="1:9" x14ac:dyDescent="0.25">
      <c r="A11" s="74" t="s">
        <v>74</v>
      </c>
      <c r="B11" t="s">
        <v>75</v>
      </c>
      <c r="C11" t="s">
        <v>76</v>
      </c>
      <c r="D11" s="34" t="s">
        <v>38</v>
      </c>
      <c r="E11" s="35">
        <v>168</v>
      </c>
      <c r="F11" s="21" t="s">
        <v>18</v>
      </c>
      <c r="G11" s="62"/>
      <c r="H11" s="63"/>
      <c r="I11" s="22"/>
    </row>
    <row r="12" spans="1:9" x14ac:dyDescent="0.25">
      <c r="A12" s="64"/>
      <c r="B12" s="53"/>
      <c r="C12" s="52" t="s">
        <v>78</v>
      </c>
      <c r="D12" s="34" t="s">
        <v>38</v>
      </c>
      <c r="E12" s="35">
        <v>440</v>
      </c>
      <c r="F12" s="21" t="s">
        <v>18</v>
      </c>
      <c r="G12" s="44">
        <v>1</v>
      </c>
      <c r="H12" s="44" t="s">
        <v>79</v>
      </c>
      <c r="I12" s="22"/>
    </row>
    <row r="13" spans="1:9" x14ac:dyDescent="0.25">
      <c r="A13" s="64"/>
      <c r="B13" s="53"/>
      <c r="C13" s="52" t="s">
        <v>46</v>
      </c>
      <c r="D13" s="34" t="s">
        <v>38</v>
      </c>
      <c r="E13" s="35">
        <v>80</v>
      </c>
      <c r="F13" s="21" t="s">
        <v>18</v>
      </c>
      <c r="G13" s="44"/>
      <c r="H13" s="44" t="s">
        <v>49</v>
      </c>
      <c r="I13" s="22"/>
    </row>
    <row r="14" spans="1:9" x14ac:dyDescent="0.25">
      <c r="A14" s="64"/>
      <c r="B14" s="64"/>
      <c r="C14" s="52" t="s">
        <v>77</v>
      </c>
      <c r="D14" s="34" t="s">
        <v>38</v>
      </c>
      <c r="E14" s="35">
        <v>400</v>
      </c>
      <c r="F14" s="21" t="s">
        <v>18</v>
      </c>
      <c r="G14" s="62"/>
      <c r="H14" s="63"/>
      <c r="I14" s="22"/>
    </row>
    <row r="15" spans="1:9" x14ac:dyDescent="0.25">
      <c r="A15" s="64"/>
      <c r="B15" s="64"/>
      <c r="C15" s="52"/>
      <c r="D15" s="34"/>
      <c r="E15" s="35"/>
      <c r="F15" s="21"/>
      <c r="G15" s="62"/>
      <c r="H15" s="63"/>
      <c r="I15" s="22"/>
    </row>
    <row r="16" spans="1:9" x14ac:dyDescent="0.25">
      <c r="A16" s="65"/>
      <c r="B16" s="65"/>
      <c r="C16" s="78" t="s">
        <v>56</v>
      </c>
      <c r="D16" s="34"/>
      <c r="E16" s="35"/>
      <c r="F16" s="21"/>
      <c r="G16" s="45"/>
      <c r="H16" s="34"/>
      <c r="I16" s="22"/>
    </row>
    <row r="17" spans="1:11" x14ac:dyDescent="0.25">
      <c r="A17" s="60" t="s">
        <v>80</v>
      </c>
      <c r="B17" s="75" t="s">
        <v>81</v>
      </c>
      <c r="C17" s="75" t="s">
        <v>82</v>
      </c>
      <c r="D17" s="84" t="s">
        <v>38</v>
      </c>
      <c r="E17" s="87">
        <v>50</v>
      </c>
      <c r="F17" s="88" t="s">
        <v>18</v>
      </c>
      <c r="G17" s="304" t="s">
        <v>83</v>
      </c>
      <c r="H17" s="305"/>
      <c r="I17" s="22"/>
    </row>
    <row r="18" spans="1:11" x14ac:dyDescent="0.25">
      <c r="A18" s="186"/>
      <c r="B18" s="187"/>
      <c r="C18" s="188" t="s">
        <v>84</v>
      </c>
      <c r="D18" s="189" t="s">
        <v>38</v>
      </c>
      <c r="E18" s="190">
        <v>70</v>
      </c>
      <c r="F18" s="191" t="s">
        <v>18</v>
      </c>
      <c r="G18" s="306"/>
      <c r="H18" s="307"/>
      <c r="I18" s="22"/>
      <c r="J18" t="s">
        <v>197</v>
      </c>
    </row>
    <row r="19" spans="1:11" x14ac:dyDescent="0.25">
      <c r="A19" s="85">
        <v>1210398</v>
      </c>
      <c r="B19" s="75" t="s">
        <v>65</v>
      </c>
      <c r="C19" s="75" t="s">
        <v>66</v>
      </c>
      <c r="D19" s="84" t="s">
        <v>38</v>
      </c>
      <c r="E19" s="87">
        <v>35</v>
      </c>
      <c r="F19" s="88" t="s">
        <v>18</v>
      </c>
      <c r="G19" s="308" t="s">
        <v>85</v>
      </c>
      <c r="H19" s="309"/>
      <c r="I19" s="22"/>
    </row>
    <row r="20" spans="1:11" x14ac:dyDescent="0.25">
      <c r="A20" s="85"/>
      <c r="B20" s="60"/>
      <c r="C20" s="75" t="s">
        <v>67</v>
      </c>
      <c r="D20" s="84" t="s">
        <v>38</v>
      </c>
      <c r="E20" s="87">
        <v>50</v>
      </c>
      <c r="F20" s="88" t="s">
        <v>18</v>
      </c>
      <c r="G20" s="308" t="s">
        <v>86</v>
      </c>
      <c r="H20" s="310"/>
      <c r="I20" s="309"/>
    </row>
    <row r="21" spans="1:11" x14ac:dyDescent="0.25">
      <c r="A21" s="85"/>
      <c r="B21" s="60"/>
      <c r="C21" s="75"/>
      <c r="D21" s="86"/>
      <c r="E21" s="87"/>
      <c r="F21" s="88"/>
      <c r="G21" s="79"/>
      <c r="H21" s="80"/>
      <c r="I21" s="81"/>
    </row>
    <row r="22" spans="1:11" x14ac:dyDescent="0.25">
      <c r="A22" s="65"/>
      <c r="B22" s="65"/>
      <c r="C22" s="78" t="s">
        <v>20</v>
      </c>
      <c r="D22" s="34"/>
      <c r="E22" s="45"/>
      <c r="F22" s="21"/>
      <c r="G22" s="44"/>
      <c r="H22" s="34"/>
      <c r="I22" s="22"/>
    </row>
    <row r="23" spans="1:11" x14ac:dyDescent="0.25">
      <c r="A23" s="74" t="s">
        <v>98</v>
      </c>
      <c r="B23" s="74" t="s">
        <v>99</v>
      </c>
      <c r="C23" t="s">
        <v>100</v>
      </c>
      <c r="D23" s="34"/>
      <c r="E23" s="35">
        <v>10</v>
      </c>
      <c r="F23" s="21" t="s">
        <v>18</v>
      </c>
      <c r="G23" s="44"/>
      <c r="H23" s="34"/>
      <c r="I23" s="22"/>
    </row>
    <row r="24" spans="1:11" x14ac:dyDescent="0.25">
      <c r="A24" s="85">
        <v>51400021</v>
      </c>
      <c r="B24" s="60" t="s">
        <v>51</v>
      </c>
      <c r="C24" s="75" t="s">
        <v>52</v>
      </c>
      <c r="D24" s="34" t="s">
        <v>38</v>
      </c>
      <c r="E24" s="35">
        <v>1</v>
      </c>
      <c r="F24" s="21" t="s">
        <v>19</v>
      </c>
      <c r="G24" s="35"/>
      <c r="H24" s="34"/>
      <c r="I24" s="22"/>
    </row>
    <row r="25" spans="1:11" x14ac:dyDescent="0.25">
      <c r="A25" s="85">
        <v>1950693</v>
      </c>
      <c r="B25" s="60" t="s">
        <v>53</v>
      </c>
      <c r="C25" s="75" t="s">
        <v>54</v>
      </c>
      <c r="D25" s="34" t="s">
        <v>38</v>
      </c>
      <c r="E25" s="35">
        <v>1</v>
      </c>
      <c r="F25" s="21" t="s">
        <v>19</v>
      </c>
      <c r="G25" s="35"/>
      <c r="H25" s="34"/>
      <c r="I25" s="22"/>
    </row>
    <row r="26" spans="1:11" x14ac:dyDescent="0.25">
      <c r="A26" s="60" t="s">
        <v>90</v>
      </c>
      <c r="B26" s="60" t="s">
        <v>91</v>
      </c>
      <c r="C26" s="75" t="s">
        <v>92</v>
      </c>
      <c r="D26" s="34"/>
      <c r="E26" s="35">
        <v>1</v>
      </c>
      <c r="F26" s="21" t="s">
        <v>19</v>
      </c>
      <c r="G26" s="35"/>
      <c r="H26" s="34"/>
      <c r="I26" s="22"/>
    </row>
    <row r="27" spans="1:11" x14ac:dyDescent="0.25">
      <c r="A27" s="82">
        <v>701096</v>
      </c>
      <c r="B27" s="56" t="s">
        <v>40</v>
      </c>
      <c r="C27" s="83" t="s">
        <v>22</v>
      </c>
      <c r="D27" s="73" t="s">
        <v>23</v>
      </c>
      <c r="E27" s="35">
        <v>1</v>
      </c>
      <c r="F27" s="21" t="s">
        <v>19</v>
      </c>
      <c r="G27" s="35"/>
      <c r="H27" s="34"/>
      <c r="I27" s="22"/>
    </row>
    <row r="28" spans="1:11" x14ac:dyDescent="0.25">
      <c r="A28" s="47">
        <v>702123</v>
      </c>
      <c r="B28" s="56" t="s">
        <v>41</v>
      </c>
      <c r="C28" s="43" t="s">
        <v>24</v>
      </c>
      <c r="D28" s="34" t="s">
        <v>21</v>
      </c>
      <c r="E28" s="35">
        <v>1</v>
      </c>
      <c r="F28" s="21" t="s">
        <v>19</v>
      </c>
      <c r="G28" s="21"/>
      <c r="H28" s="21"/>
      <c r="I28" s="22"/>
    </row>
    <row r="29" spans="1:11" x14ac:dyDescent="0.25">
      <c r="A29" s="74"/>
      <c r="B29" s="74"/>
      <c r="D29" s="34"/>
      <c r="E29" s="35"/>
      <c r="F29" s="21"/>
      <c r="G29" s="35"/>
      <c r="H29" s="34"/>
      <c r="I29" s="22"/>
    </row>
    <row r="30" spans="1:11" x14ac:dyDescent="0.25">
      <c r="A30" s="46"/>
      <c r="B30" s="55"/>
      <c r="C30" s="42"/>
      <c r="D30" s="34"/>
      <c r="E30" s="35"/>
      <c r="F30" s="21"/>
      <c r="G30" s="35"/>
      <c r="H30" s="34"/>
      <c r="I30" s="22"/>
    </row>
    <row r="31" spans="1:11" x14ac:dyDescent="0.25">
      <c r="A31" s="46"/>
      <c r="B31" s="55"/>
      <c r="C31" s="41"/>
      <c r="D31" s="34"/>
      <c r="E31" s="35"/>
      <c r="F31" s="21"/>
      <c r="G31" s="21"/>
      <c r="H31" s="21"/>
      <c r="I31" s="22"/>
    </row>
    <row r="32" spans="1:11" ht="15.75" thickBot="1" x14ac:dyDescent="0.3">
      <c r="A32" s="23"/>
      <c r="B32" s="57"/>
      <c r="C32" s="48"/>
      <c r="D32" s="48"/>
      <c r="E32" s="49"/>
      <c r="F32" s="50"/>
      <c r="G32" s="48"/>
      <c r="H32" s="48"/>
      <c r="I32" s="25"/>
      <c r="J32" s="24"/>
      <c r="K32" s="24"/>
    </row>
    <row r="33" spans="1:11" ht="15.75" thickBot="1" x14ac:dyDescent="0.3">
      <c r="A33" s="26"/>
      <c r="B33" s="58"/>
      <c r="C33" s="27"/>
      <c r="D33" s="28" t="s">
        <v>15</v>
      </c>
      <c r="E33" s="29" t="s">
        <v>25</v>
      </c>
      <c r="F33" s="30"/>
      <c r="G33" s="27"/>
      <c r="H33" s="27"/>
      <c r="I33" s="31"/>
      <c r="J33" s="24"/>
      <c r="K33" s="24"/>
    </row>
    <row r="34" spans="1:11" x14ac:dyDescent="0.25">
      <c r="A34" s="311" t="s">
        <v>26</v>
      </c>
      <c r="B34" s="312"/>
      <c r="C34" s="313"/>
      <c r="D34" s="32">
        <v>1120</v>
      </c>
      <c r="E34" s="33" t="s">
        <v>18</v>
      </c>
      <c r="F34" s="314" t="s">
        <v>27</v>
      </c>
      <c r="G34" s="315"/>
      <c r="H34" s="316"/>
      <c r="I34" s="317"/>
      <c r="J34" s="24"/>
      <c r="K34" s="24"/>
    </row>
    <row r="35" spans="1:11" x14ac:dyDescent="0.25">
      <c r="A35" s="318" t="s">
        <v>28</v>
      </c>
      <c r="B35" s="319"/>
      <c r="C35" s="320"/>
      <c r="D35" s="34">
        <v>5</v>
      </c>
      <c r="E35" s="34" t="s">
        <v>29</v>
      </c>
      <c r="F35" s="321" t="s">
        <v>30</v>
      </c>
      <c r="G35" s="322"/>
      <c r="H35" s="323"/>
      <c r="I35" s="324"/>
      <c r="J35" s="24"/>
      <c r="K35" s="24"/>
    </row>
    <row r="36" spans="1:11" x14ac:dyDescent="0.25">
      <c r="A36" s="318" t="s">
        <v>31</v>
      </c>
      <c r="B36" s="319"/>
      <c r="C36" s="320"/>
      <c r="D36" s="34">
        <v>1</v>
      </c>
      <c r="E36" s="34" t="s">
        <v>19</v>
      </c>
      <c r="F36" s="321" t="s">
        <v>32</v>
      </c>
      <c r="G36" s="322"/>
      <c r="H36" s="323"/>
      <c r="I36" s="324"/>
      <c r="J36" s="24"/>
      <c r="K36" s="24"/>
    </row>
    <row r="37" spans="1:11" x14ac:dyDescent="0.25">
      <c r="A37" s="318" t="s">
        <v>33</v>
      </c>
      <c r="B37" s="319"/>
      <c r="C37" s="320"/>
      <c r="D37" s="35">
        <f>D34</f>
        <v>1120</v>
      </c>
      <c r="E37" s="34" t="s">
        <v>18</v>
      </c>
      <c r="F37" s="329" t="s">
        <v>34</v>
      </c>
      <c r="G37" s="330"/>
      <c r="H37" s="323"/>
      <c r="I37" s="324"/>
      <c r="J37" s="24"/>
      <c r="K37" s="36"/>
    </row>
    <row r="38" spans="1:11" ht="15.75" thickBot="1" x14ac:dyDescent="0.3">
      <c r="A38" s="331" t="s">
        <v>35</v>
      </c>
      <c r="B38" s="332"/>
      <c r="C38" s="333"/>
      <c r="D38" s="37">
        <f>SUM(E11:E20)-D34</f>
        <v>173</v>
      </c>
      <c r="E38" s="38" t="s">
        <v>18</v>
      </c>
      <c r="F38" s="334"/>
      <c r="G38" s="335"/>
      <c r="H38" s="336"/>
      <c r="I38" s="337"/>
      <c r="J38" s="24"/>
      <c r="K38" s="24"/>
    </row>
    <row r="39" spans="1:11" x14ac:dyDescent="0.25">
      <c r="A39" s="338" t="s">
        <v>36</v>
      </c>
      <c r="B39" s="339"/>
      <c r="C39" s="339"/>
      <c r="D39" s="339"/>
      <c r="E39" s="339"/>
      <c r="F39" s="339"/>
      <c r="G39" s="339"/>
      <c r="H39" s="339"/>
      <c r="I39" s="340"/>
      <c r="J39" s="24"/>
      <c r="K39" s="24"/>
    </row>
    <row r="40" spans="1:11" x14ac:dyDescent="0.25">
      <c r="A40" s="325" t="s">
        <v>96</v>
      </c>
      <c r="B40" s="326"/>
      <c r="C40" s="327"/>
      <c r="D40" s="327"/>
      <c r="E40" s="327"/>
      <c r="F40" s="327"/>
      <c r="G40" s="327"/>
      <c r="H40" s="327"/>
      <c r="I40" s="328"/>
      <c r="J40" s="24"/>
      <c r="K40" s="24"/>
    </row>
    <row r="41" spans="1:11" x14ac:dyDescent="0.25">
      <c r="A41" s="325" t="s">
        <v>93</v>
      </c>
      <c r="B41" s="326"/>
      <c r="C41" s="327"/>
      <c r="D41" s="327"/>
      <c r="E41" s="327"/>
      <c r="F41" s="327"/>
      <c r="G41" s="327"/>
      <c r="H41" s="327"/>
      <c r="I41" s="328"/>
      <c r="J41" s="24"/>
      <c r="K41" s="24"/>
    </row>
    <row r="42" spans="1:11" x14ac:dyDescent="0.25">
      <c r="A42" s="325" t="s">
        <v>97</v>
      </c>
      <c r="B42" s="326"/>
      <c r="C42" s="327"/>
      <c r="D42" s="327"/>
      <c r="E42" s="327"/>
      <c r="F42" s="327"/>
      <c r="G42" s="327"/>
      <c r="H42" s="327"/>
      <c r="I42" s="328"/>
      <c r="J42" s="24"/>
      <c r="K42" s="24"/>
    </row>
    <row r="43" spans="1:11" ht="34.35" customHeight="1" x14ac:dyDescent="0.25">
      <c r="A43" s="341" t="s">
        <v>94</v>
      </c>
      <c r="B43" s="342"/>
      <c r="C43" s="343"/>
      <c r="D43" s="343"/>
      <c r="E43" s="343"/>
      <c r="F43" s="343"/>
      <c r="G43" s="343"/>
      <c r="H43" s="343"/>
      <c r="I43" s="344"/>
      <c r="J43" s="24"/>
      <c r="K43" s="24"/>
    </row>
    <row r="44" spans="1:11" ht="16.350000000000001" customHeight="1" x14ac:dyDescent="0.25">
      <c r="A44" s="325" t="s">
        <v>95</v>
      </c>
      <c r="B44" s="326"/>
      <c r="C44" s="327"/>
      <c r="D44" s="327"/>
      <c r="E44" s="327"/>
      <c r="F44" s="327"/>
      <c r="G44" s="327"/>
      <c r="H44" s="327"/>
      <c r="I44" s="328"/>
      <c r="J44" s="24"/>
      <c r="K44" s="24"/>
    </row>
    <row r="45" spans="1:11" ht="15.75" thickBot="1" x14ac:dyDescent="0.3">
      <c r="A45" s="345" t="s">
        <v>37</v>
      </c>
      <c r="B45" s="346"/>
      <c r="C45" s="346"/>
      <c r="D45" s="346"/>
      <c r="E45" s="346"/>
      <c r="F45" s="346"/>
      <c r="G45" s="346"/>
      <c r="H45" s="346"/>
      <c r="I45" s="347"/>
      <c r="J45" s="24"/>
      <c r="K45" s="24"/>
    </row>
    <row r="46" spans="1:11" x14ac:dyDescent="0.25">
      <c r="A46" s="348" t="s">
        <v>43</v>
      </c>
      <c r="B46" s="349"/>
      <c r="C46" s="350"/>
      <c r="D46" s="350"/>
      <c r="E46" s="350"/>
      <c r="F46" s="350"/>
      <c r="G46" s="350"/>
      <c r="H46" s="350"/>
      <c r="I46" s="351"/>
      <c r="J46" s="24"/>
      <c r="K46" s="24"/>
    </row>
    <row r="47" spans="1:11" x14ac:dyDescent="0.25">
      <c r="A47" s="341"/>
      <c r="B47" s="342"/>
      <c r="C47" s="343"/>
      <c r="D47" s="343"/>
      <c r="E47" s="343"/>
      <c r="F47" s="343"/>
      <c r="G47" s="343"/>
      <c r="H47" s="343"/>
      <c r="I47" s="344"/>
    </row>
    <row r="48" spans="1:11" ht="15.75" thickBot="1" x14ac:dyDescent="0.3">
      <c r="A48" s="352"/>
      <c r="B48" s="353"/>
      <c r="C48" s="354"/>
      <c r="D48" s="354"/>
      <c r="E48" s="354"/>
      <c r="F48" s="354"/>
      <c r="G48" s="354"/>
      <c r="H48" s="354"/>
      <c r="I48" s="355"/>
    </row>
    <row r="49" spans="1:9" ht="15.75" thickBot="1" x14ac:dyDescent="0.3">
      <c r="A49" s="352"/>
      <c r="B49" s="353"/>
      <c r="C49" s="354"/>
      <c r="D49" s="354"/>
      <c r="E49" s="354"/>
      <c r="F49" s="354"/>
      <c r="G49" s="354"/>
      <c r="H49" s="354"/>
      <c r="I49" s="355"/>
    </row>
  </sheetData>
  <mergeCells count="47">
    <mergeCell ref="A45:I45"/>
    <mergeCell ref="A46:I46"/>
    <mergeCell ref="A47:I47"/>
    <mergeCell ref="A48:I48"/>
    <mergeCell ref="A49:I49"/>
    <mergeCell ref="A44:I44"/>
    <mergeCell ref="A37:C37"/>
    <mergeCell ref="F37:G37"/>
    <mergeCell ref="H37:I37"/>
    <mergeCell ref="A38:C38"/>
    <mergeCell ref="F38:G38"/>
    <mergeCell ref="H38:I38"/>
    <mergeCell ref="A39:I39"/>
    <mergeCell ref="A40:I40"/>
    <mergeCell ref="A41:I41"/>
    <mergeCell ref="A42:I42"/>
    <mergeCell ref="A43:I43"/>
    <mergeCell ref="A35:C35"/>
    <mergeCell ref="F35:G35"/>
    <mergeCell ref="H35:I35"/>
    <mergeCell ref="A36:C36"/>
    <mergeCell ref="F36:G36"/>
    <mergeCell ref="H36:I36"/>
    <mergeCell ref="G17:H17"/>
    <mergeCell ref="G18:H18"/>
    <mergeCell ref="G19:H19"/>
    <mergeCell ref="G20:I20"/>
    <mergeCell ref="A34:C34"/>
    <mergeCell ref="F34:G34"/>
    <mergeCell ref="H34:I34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62C9-5C02-4828-A9FE-E2C472298CD6}">
  <dimension ref="A1:K50"/>
  <sheetViews>
    <sheetView topLeftCell="A8" workbookViewId="0">
      <selection activeCell="C12" sqref="C12"/>
    </sheetView>
  </sheetViews>
  <sheetFormatPr baseColWidth="10" defaultRowHeight="15" x14ac:dyDescent="0.25"/>
  <cols>
    <col min="3" max="3" width="37" customWidth="1"/>
  </cols>
  <sheetData>
    <row r="1" spans="1:9" ht="15.75" x14ac:dyDescent="0.25">
      <c r="A1" s="275"/>
      <c r="B1" s="276"/>
      <c r="C1" s="281" t="s">
        <v>0</v>
      </c>
      <c r="D1" s="282"/>
      <c r="E1" s="282"/>
      <c r="F1" s="282"/>
      <c r="G1" s="283"/>
      <c r="H1" s="1" t="s">
        <v>1</v>
      </c>
      <c r="I1" s="2"/>
    </row>
    <row r="2" spans="1:9" ht="16.5" thickBot="1" x14ac:dyDescent="0.3">
      <c r="A2" s="277"/>
      <c r="B2" s="278"/>
      <c r="C2" s="284" t="s">
        <v>2</v>
      </c>
      <c r="D2" s="285"/>
      <c r="E2" s="285"/>
      <c r="F2" s="285"/>
      <c r="G2" s="286"/>
      <c r="H2" s="3" t="s">
        <v>3</v>
      </c>
      <c r="I2" s="4"/>
    </row>
    <row r="3" spans="1:9" ht="18.75" thickBot="1" x14ac:dyDescent="0.3">
      <c r="A3" s="277"/>
      <c r="B3" s="278"/>
      <c r="C3" s="287" t="s">
        <v>203</v>
      </c>
      <c r="D3" s="288"/>
      <c r="E3" s="288"/>
      <c r="F3" s="288"/>
      <c r="G3" s="289"/>
      <c r="H3" s="290" t="s">
        <v>71</v>
      </c>
      <c r="I3" s="266"/>
    </row>
    <row r="4" spans="1:9" x14ac:dyDescent="0.25">
      <c r="A4" s="277"/>
      <c r="B4" s="278"/>
      <c r="C4" s="5" t="s">
        <v>5</v>
      </c>
      <c r="D4" s="269" t="s">
        <v>42</v>
      </c>
      <c r="E4" s="270"/>
      <c r="F4" s="270"/>
      <c r="G4" s="271"/>
      <c r="H4" s="291"/>
      <c r="I4" s="267"/>
    </row>
    <row r="5" spans="1:9" ht="15.75" thickBot="1" x14ac:dyDescent="0.3">
      <c r="A5" s="279"/>
      <c r="B5" s="280"/>
      <c r="C5" s="6" t="s">
        <v>6</v>
      </c>
      <c r="D5" s="272" t="s">
        <v>7</v>
      </c>
      <c r="E5" s="273"/>
      <c r="F5" s="273"/>
      <c r="G5" s="274"/>
      <c r="H5" s="292"/>
      <c r="I5" s="268"/>
    </row>
    <row r="6" spans="1:9" x14ac:dyDescent="0.25">
      <c r="A6" s="7"/>
      <c r="B6" s="7"/>
      <c r="C6" s="8"/>
      <c r="D6" s="9"/>
      <c r="E6" s="9"/>
      <c r="F6" s="9"/>
      <c r="G6" s="9"/>
      <c r="H6" s="10"/>
      <c r="I6" s="11"/>
    </row>
    <row r="7" spans="1:9" ht="15.75" thickBot="1" x14ac:dyDescent="0.3">
      <c r="A7" s="293" t="s">
        <v>8</v>
      </c>
      <c r="B7" s="293"/>
      <c r="C7" s="293"/>
      <c r="D7" s="294" t="s">
        <v>68</v>
      </c>
      <c r="E7" s="294"/>
      <c r="F7" s="294"/>
      <c r="G7" s="295" t="s">
        <v>9</v>
      </c>
      <c r="H7" s="295"/>
      <c r="I7" s="40" t="s">
        <v>68</v>
      </c>
    </row>
    <row r="8" spans="1:9" ht="25.5" x14ac:dyDescent="0.25">
      <c r="A8" s="296" t="s">
        <v>10</v>
      </c>
      <c r="B8" s="298" t="s">
        <v>39</v>
      </c>
      <c r="C8" s="300" t="s">
        <v>11</v>
      </c>
      <c r="D8" s="300" t="s">
        <v>12</v>
      </c>
      <c r="E8" s="302"/>
      <c r="F8" s="303"/>
      <c r="G8" s="302" t="s">
        <v>13</v>
      </c>
      <c r="H8" s="303"/>
      <c r="I8" s="12" t="s">
        <v>14</v>
      </c>
    </row>
    <row r="9" spans="1:9" ht="27" thickBot="1" x14ac:dyDescent="0.3">
      <c r="A9" s="297"/>
      <c r="B9" s="299"/>
      <c r="C9" s="301"/>
      <c r="D9" s="301"/>
      <c r="E9" s="13" t="s">
        <v>15</v>
      </c>
      <c r="F9" s="14" t="s">
        <v>16</v>
      </c>
      <c r="G9" s="13" t="s">
        <v>15</v>
      </c>
      <c r="H9" s="14" t="s">
        <v>16</v>
      </c>
      <c r="I9" s="15" t="s">
        <v>17</v>
      </c>
    </row>
    <row r="10" spans="1:9" x14ac:dyDescent="0.25">
      <c r="A10" s="59"/>
      <c r="B10" s="54"/>
      <c r="C10" s="16" t="s">
        <v>48</v>
      </c>
      <c r="D10" s="17"/>
      <c r="E10" s="18"/>
      <c r="F10" s="19"/>
      <c r="G10" s="18"/>
      <c r="H10" s="19"/>
      <c r="I10" s="20"/>
    </row>
    <row r="11" spans="1:9" x14ac:dyDescent="0.25">
      <c r="A11" s="74" t="s">
        <v>74</v>
      </c>
      <c r="B11" t="s">
        <v>75</v>
      </c>
      <c r="C11" t="s">
        <v>76</v>
      </c>
      <c r="D11" s="34" t="s">
        <v>38</v>
      </c>
      <c r="E11" s="35">
        <v>168</v>
      </c>
      <c r="F11" s="21" t="s">
        <v>18</v>
      </c>
      <c r="G11" s="62"/>
      <c r="H11" s="63"/>
      <c r="I11" s="22"/>
    </row>
    <row r="12" spans="1:9" x14ac:dyDescent="0.25">
      <c r="A12" s="64"/>
      <c r="B12" s="53"/>
      <c r="C12" s="52" t="s">
        <v>78</v>
      </c>
      <c r="D12" s="34" t="s">
        <v>38</v>
      </c>
      <c r="E12" s="35">
        <v>440</v>
      </c>
      <c r="F12" s="21" t="s">
        <v>18</v>
      </c>
      <c r="G12" s="44">
        <v>1</v>
      </c>
      <c r="H12" s="44" t="s">
        <v>79</v>
      </c>
      <c r="I12" s="22"/>
    </row>
    <row r="13" spans="1:9" x14ac:dyDescent="0.25">
      <c r="A13" s="64"/>
      <c r="B13" s="53"/>
      <c r="C13" s="52" t="s">
        <v>46</v>
      </c>
      <c r="D13" s="34" t="s">
        <v>38</v>
      </c>
      <c r="E13" s="35">
        <v>80</v>
      </c>
      <c r="F13" s="21" t="s">
        <v>18</v>
      </c>
      <c r="G13" s="44"/>
      <c r="H13" s="44" t="s">
        <v>49</v>
      </c>
      <c r="I13" s="22"/>
    </row>
    <row r="14" spans="1:9" x14ac:dyDescent="0.25">
      <c r="A14" s="64"/>
      <c r="B14" s="64"/>
      <c r="C14" s="52" t="s">
        <v>77</v>
      </c>
      <c r="D14" s="34" t="s">
        <v>38</v>
      </c>
      <c r="E14" s="35">
        <v>400</v>
      </c>
      <c r="F14" s="21" t="s">
        <v>18</v>
      </c>
      <c r="G14" s="62"/>
      <c r="H14" s="63"/>
      <c r="I14" s="22"/>
    </row>
    <row r="15" spans="1:9" x14ac:dyDescent="0.25">
      <c r="A15" s="64"/>
      <c r="B15" s="64"/>
      <c r="C15" s="52"/>
      <c r="D15" s="34"/>
      <c r="E15" s="35"/>
      <c r="F15" s="21"/>
      <c r="G15" s="62"/>
      <c r="H15" s="63"/>
      <c r="I15" s="22"/>
    </row>
    <row r="16" spans="1:9" x14ac:dyDescent="0.25">
      <c r="A16" s="65"/>
      <c r="B16" s="65"/>
      <c r="C16" s="78" t="s">
        <v>56</v>
      </c>
      <c r="D16" s="34"/>
      <c r="E16" s="35"/>
      <c r="F16" s="21"/>
      <c r="G16" s="45"/>
      <c r="H16" s="34"/>
      <c r="I16" s="22"/>
    </row>
    <row r="17" spans="1:9" x14ac:dyDescent="0.25">
      <c r="A17" s="60" t="s">
        <v>80</v>
      </c>
      <c r="B17" s="75" t="s">
        <v>81</v>
      </c>
      <c r="C17" s="75" t="s">
        <v>82</v>
      </c>
      <c r="D17" s="84" t="s">
        <v>38</v>
      </c>
      <c r="E17" s="87">
        <v>50</v>
      </c>
      <c r="F17" s="88" t="s">
        <v>18</v>
      </c>
      <c r="G17" s="304" t="s">
        <v>83</v>
      </c>
      <c r="H17" s="305"/>
      <c r="I17" s="22"/>
    </row>
    <row r="18" spans="1:9" x14ac:dyDescent="0.25">
      <c r="A18" s="85"/>
      <c r="B18" s="60"/>
      <c r="C18" s="75" t="s">
        <v>84</v>
      </c>
      <c r="D18" s="84" t="s">
        <v>38</v>
      </c>
      <c r="E18" s="87">
        <v>70</v>
      </c>
      <c r="F18" s="88" t="s">
        <v>18</v>
      </c>
      <c r="G18" s="308"/>
      <c r="H18" s="309"/>
      <c r="I18" s="22"/>
    </row>
    <row r="19" spans="1:9" x14ac:dyDescent="0.25">
      <c r="A19" s="85"/>
      <c r="B19" s="60"/>
      <c r="C19" s="52" t="s">
        <v>128</v>
      </c>
      <c r="D19" s="34" t="s">
        <v>38</v>
      </c>
      <c r="E19" s="35">
        <v>80</v>
      </c>
      <c r="F19" s="21" t="s">
        <v>18</v>
      </c>
      <c r="G19" s="308" t="s">
        <v>204</v>
      </c>
      <c r="H19" s="309"/>
      <c r="I19" s="22"/>
    </row>
    <row r="20" spans="1:9" x14ac:dyDescent="0.25">
      <c r="A20" s="85">
        <v>1210398</v>
      </c>
      <c r="B20" s="75" t="s">
        <v>65</v>
      </c>
      <c r="C20" s="75" t="s">
        <v>66</v>
      </c>
      <c r="D20" s="84" t="s">
        <v>38</v>
      </c>
      <c r="E20" s="87">
        <v>35</v>
      </c>
      <c r="F20" s="88" t="s">
        <v>18</v>
      </c>
      <c r="G20" s="308" t="s">
        <v>85</v>
      </c>
      <c r="H20" s="309"/>
      <c r="I20" s="22"/>
    </row>
    <row r="21" spans="1:9" x14ac:dyDescent="0.25">
      <c r="A21" s="85"/>
      <c r="B21" s="60"/>
      <c r="C21" s="75" t="s">
        <v>67</v>
      </c>
      <c r="D21" s="84" t="s">
        <v>38</v>
      </c>
      <c r="E21" s="87">
        <v>50</v>
      </c>
      <c r="F21" s="88" t="s">
        <v>18</v>
      </c>
      <c r="G21" s="308" t="s">
        <v>86</v>
      </c>
      <c r="H21" s="310"/>
      <c r="I21" s="309"/>
    </row>
    <row r="22" spans="1:9" x14ac:dyDescent="0.25">
      <c r="A22" s="85"/>
      <c r="B22" s="60"/>
      <c r="C22" s="75"/>
      <c r="D22" s="86"/>
      <c r="E22" s="87"/>
      <c r="F22" s="88"/>
      <c r="G22" s="79"/>
      <c r="H22" s="80"/>
      <c r="I22" s="81"/>
    </row>
    <row r="23" spans="1:9" x14ac:dyDescent="0.25">
      <c r="A23" s="65"/>
      <c r="B23" s="65"/>
      <c r="C23" s="78" t="s">
        <v>20</v>
      </c>
      <c r="D23" s="34"/>
      <c r="E23" s="45"/>
      <c r="F23" s="21"/>
      <c r="G23" s="44"/>
      <c r="H23" s="34"/>
      <c r="I23" s="22"/>
    </row>
    <row r="24" spans="1:9" x14ac:dyDescent="0.25">
      <c r="A24" s="74" t="s">
        <v>98</v>
      </c>
      <c r="B24" s="74" t="s">
        <v>99</v>
      </c>
      <c r="C24" t="s">
        <v>100</v>
      </c>
      <c r="D24" s="34"/>
      <c r="E24" s="35">
        <v>10</v>
      </c>
      <c r="F24" s="21" t="s">
        <v>18</v>
      </c>
      <c r="G24" s="44"/>
      <c r="H24" s="34"/>
      <c r="I24" s="22"/>
    </row>
    <row r="25" spans="1:9" x14ac:dyDescent="0.25">
      <c r="A25" s="85">
        <v>51400021</v>
      </c>
      <c r="B25" s="60" t="s">
        <v>51</v>
      </c>
      <c r="C25" s="75" t="s">
        <v>52</v>
      </c>
      <c r="D25" s="34" t="s">
        <v>38</v>
      </c>
      <c r="E25" s="35">
        <v>1</v>
      </c>
      <c r="F25" s="21" t="s">
        <v>19</v>
      </c>
      <c r="G25" s="35"/>
      <c r="H25" s="34"/>
      <c r="I25" s="22"/>
    </row>
    <row r="26" spans="1:9" x14ac:dyDescent="0.25">
      <c r="A26" s="85">
        <v>1950693</v>
      </c>
      <c r="B26" s="60" t="s">
        <v>53</v>
      </c>
      <c r="C26" s="75" t="s">
        <v>54</v>
      </c>
      <c r="D26" s="34" t="s">
        <v>38</v>
      </c>
      <c r="E26" s="35">
        <v>1</v>
      </c>
      <c r="F26" s="21" t="s">
        <v>19</v>
      </c>
      <c r="G26" s="35"/>
      <c r="H26" s="34"/>
      <c r="I26" s="22"/>
    </row>
    <row r="27" spans="1:9" x14ac:dyDescent="0.25">
      <c r="A27" s="60" t="s">
        <v>90</v>
      </c>
      <c r="B27" s="60" t="s">
        <v>91</v>
      </c>
      <c r="C27" s="75" t="s">
        <v>92</v>
      </c>
      <c r="D27" s="34"/>
      <c r="E27" s="35">
        <v>1</v>
      </c>
      <c r="F27" s="21" t="s">
        <v>19</v>
      </c>
      <c r="G27" s="35"/>
      <c r="H27" s="34"/>
      <c r="I27" s="22"/>
    </row>
    <row r="28" spans="1:9" x14ac:dyDescent="0.25">
      <c r="A28" s="82">
        <v>701096</v>
      </c>
      <c r="B28" s="56" t="s">
        <v>40</v>
      </c>
      <c r="C28" s="83" t="s">
        <v>22</v>
      </c>
      <c r="D28" s="73" t="s">
        <v>23</v>
      </c>
      <c r="E28" s="35">
        <v>1</v>
      </c>
      <c r="F28" s="21" t="s">
        <v>19</v>
      </c>
      <c r="G28" s="35"/>
      <c r="H28" s="34"/>
      <c r="I28" s="22"/>
    </row>
    <row r="29" spans="1:9" x14ac:dyDescent="0.25">
      <c r="A29" s="47">
        <v>702123</v>
      </c>
      <c r="B29" s="56" t="s">
        <v>41</v>
      </c>
      <c r="C29" s="43" t="s">
        <v>24</v>
      </c>
      <c r="D29" s="34" t="s">
        <v>21</v>
      </c>
      <c r="E29" s="35">
        <v>1</v>
      </c>
      <c r="F29" s="21" t="s">
        <v>19</v>
      </c>
      <c r="G29" s="21"/>
      <c r="H29" s="21"/>
      <c r="I29" s="22"/>
    </row>
    <row r="30" spans="1:9" x14ac:dyDescent="0.25">
      <c r="A30" s="74"/>
      <c r="B30" s="74"/>
      <c r="D30" s="34"/>
      <c r="E30" s="35"/>
      <c r="F30" s="21"/>
      <c r="G30" s="35"/>
      <c r="H30" s="34"/>
      <c r="I30" s="22"/>
    </row>
    <row r="31" spans="1:9" x14ac:dyDescent="0.25">
      <c r="A31" s="46"/>
      <c r="B31" s="55"/>
      <c r="C31" s="42"/>
      <c r="D31" s="34"/>
      <c r="E31" s="35"/>
      <c r="F31" s="21"/>
      <c r="G31" s="35"/>
      <c r="H31" s="34"/>
      <c r="I31" s="22"/>
    </row>
    <row r="32" spans="1:9" x14ac:dyDescent="0.25">
      <c r="A32" s="46"/>
      <c r="B32" s="55"/>
      <c r="C32" s="41"/>
      <c r="D32" s="34"/>
      <c r="E32" s="35"/>
      <c r="F32" s="21"/>
      <c r="G32" s="21"/>
      <c r="H32" s="21"/>
      <c r="I32" s="22"/>
    </row>
    <row r="33" spans="1:11" ht="15.75" thickBot="1" x14ac:dyDescent="0.3">
      <c r="A33" s="23"/>
      <c r="B33" s="57"/>
      <c r="C33" s="48"/>
      <c r="D33" s="48"/>
      <c r="E33" s="49"/>
      <c r="F33" s="50"/>
      <c r="G33" s="48"/>
      <c r="H33" s="48"/>
      <c r="I33" s="25"/>
      <c r="J33" s="24"/>
      <c r="K33" s="24"/>
    </row>
    <row r="34" spans="1:11" ht="15.75" thickBot="1" x14ac:dyDescent="0.3">
      <c r="A34" s="26"/>
      <c r="B34" s="58"/>
      <c r="C34" s="27"/>
      <c r="D34" s="28" t="s">
        <v>15</v>
      </c>
      <c r="E34" s="29" t="s">
        <v>25</v>
      </c>
      <c r="F34" s="30"/>
      <c r="G34" s="27"/>
      <c r="H34" s="27"/>
      <c r="I34" s="31"/>
      <c r="J34" s="24"/>
      <c r="K34" s="24"/>
    </row>
    <row r="35" spans="1:11" x14ac:dyDescent="0.25">
      <c r="A35" s="311" t="s">
        <v>26</v>
      </c>
      <c r="B35" s="312"/>
      <c r="C35" s="313"/>
      <c r="D35" s="32">
        <v>1120</v>
      </c>
      <c r="E35" s="33" t="s">
        <v>18</v>
      </c>
      <c r="F35" s="314" t="s">
        <v>27</v>
      </c>
      <c r="G35" s="315"/>
      <c r="H35" s="316"/>
      <c r="I35" s="317"/>
      <c r="J35" s="24"/>
      <c r="K35" s="24"/>
    </row>
    <row r="36" spans="1:11" x14ac:dyDescent="0.25">
      <c r="A36" s="318" t="s">
        <v>28</v>
      </c>
      <c r="B36" s="319"/>
      <c r="C36" s="320"/>
      <c r="D36" s="34">
        <v>5</v>
      </c>
      <c r="E36" s="34" t="s">
        <v>29</v>
      </c>
      <c r="F36" s="321" t="s">
        <v>30</v>
      </c>
      <c r="G36" s="322"/>
      <c r="H36" s="323"/>
      <c r="I36" s="324"/>
      <c r="J36" s="24"/>
      <c r="K36" s="24"/>
    </row>
    <row r="37" spans="1:11" x14ac:dyDescent="0.25">
      <c r="A37" s="318" t="s">
        <v>31</v>
      </c>
      <c r="B37" s="319"/>
      <c r="C37" s="320"/>
      <c r="D37" s="34">
        <v>1</v>
      </c>
      <c r="E37" s="34" t="s">
        <v>19</v>
      </c>
      <c r="F37" s="321" t="s">
        <v>32</v>
      </c>
      <c r="G37" s="322"/>
      <c r="H37" s="323"/>
      <c r="I37" s="324"/>
      <c r="J37" s="24"/>
      <c r="K37" s="24"/>
    </row>
    <row r="38" spans="1:11" x14ac:dyDescent="0.25">
      <c r="A38" s="318" t="s">
        <v>33</v>
      </c>
      <c r="B38" s="319"/>
      <c r="C38" s="320"/>
      <c r="D38" s="35">
        <v>1120</v>
      </c>
      <c r="E38" s="34" t="s">
        <v>18</v>
      </c>
      <c r="F38" s="329" t="s">
        <v>34</v>
      </c>
      <c r="G38" s="330"/>
      <c r="H38" s="323"/>
      <c r="I38" s="324"/>
      <c r="J38" s="24"/>
      <c r="K38" s="36"/>
    </row>
    <row r="39" spans="1:11" ht="15.75" thickBot="1" x14ac:dyDescent="0.3">
      <c r="A39" s="331" t="s">
        <v>35</v>
      </c>
      <c r="B39" s="332"/>
      <c r="C39" s="333"/>
      <c r="D39" s="37">
        <v>253</v>
      </c>
      <c r="E39" s="38" t="s">
        <v>18</v>
      </c>
      <c r="F39" s="334"/>
      <c r="G39" s="335"/>
      <c r="H39" s="336"/>
      <c r="I39" s="337"/>
      <c r="J39" s="24"/>
      <c r="K39" s="24"/>
    </row>
    <row r="40" spans="1:11" x14ac:dyDescent="0.25">
      <c r="A40" s="338" t="s">
        <v>36</v>
      </c>
      <c r="B40" s="339"/>
      <c r="C40" s="339"/>
      <c r="D40" s="339"/>
      <c r="E40" s="339"/>
      <c r="F40" s="339"/>
      <c r="G40" s="339"/>
      <c r="H40" s="339"/>
      <c r="I40" s="340"/>
      <c r="J40" s="24"/>
      <c r="K40" s="24"/>
    </row>
    <row r="41" spans="1:11" x14ac:dyDescent="0.25">
      <c r="A41" s="325" t="s">
        <v>96</v>
      </c>
      <c r="B41" s="326"/>
      <c r="C41" s="327"/>
      <c r="D41" s="327"/>
      <c r="E41" s="327"/>
      <c r="F41" s="327"/>
      <c r="G41" s="327"/>
      <c r="H41" s="327"/>
      <c r="I41" s="328"/>
      <c r="J41" s="24"/>
      <c r="K41" s="24"/>
    </row>
    <row r="42" spans="1:11" x14ac:dyDescent="0.25">
      <c r="A42" s="325" t="s">
        <v>93</v>
      </c>
      <c r="B42" s="326"/>
      <c r="C42" s="327"/>
      <c r="D42" s="327"/>
      <c r="E42" s="327"/>
      <c r="F42" s="327"/>
      <c r="G42" s="327"/>
      <c r="H42" s="327"/>
      <c r="I42" s="328"/>
      <c r="J42" s="24"/>
      <c r="K42" s="24"/>
    </row>
    <row r="43" spans="1:11" x14ac:dyDescent="0.25">
      <c r="A43" s="325" t="s">
        <v>97</v>
      </c>
      <c r="B43" s="326"/>
      <c r="C43" s="327"/>
      <c r="D43" s="327"/>
      <c r="E43" s="327"/>
      <c r="F43" s="327"/>
      <c r="G43" s="327"/>
      <c r="H43" s="327"/>
      <c r="I43" s="328"/>
      <c r="J43" s="24"/>
      <c r="K43" s="24"/>
    </row>
    <row r="44" spans="1:11" x14ac:dyDescent="0.25">
      <c r="A44" s="341" t="s">
        <v>205</v>
      </c>
      <c r="B44" s="342"/>
      <c r="C44" s="343"/>
      <c r="D44" s="343"/>
      <c r="E44" s="343"/>
      <c r="F44" s="343"/>
      <c r="G44" s="343"/>
      <c r="H44" s="343"/>
      <c r="I44" s="344"/>
      <c r="J44" s="24"/>
      <c r="K44" s="24"/>
    </row>
    <row r="45" spans="1:11" x14ac:dyDescent="0.25">
      <c r="A45" s="325" t="s">
        <v>95</v>
      </c>
      <c r="B45" s="326"/>
      <c r="C45" s="327"/>
      <c r="D45" s="327"/>
      <c r="E45" s="327"/>
      <c r="F45" s="327"/>
      <c r="G45" s="327"/>
      <c r="H45" s="327"/>
      <c r="I45" s="328"/>
      <c r="J45" s="24"/>
      <c r="K45" s="24"/>
    </row>
    <row r="46" spans="1:11" ht="15.75" thickBot="1" x14ac:dyDescent="0.3">
      <c r="A46" s="345" t="s">
        <v>37</v>
      </c>
      <c r="B46" s="346"/>
      <c r="C46" s="346"/>
      <c r="D46" s="346"/>
      <c r="E46" s="346"/>
      <c r="F46" s="346"/>
      <c r="G46" s="346"/>
      <c r="H46" s="346"/>
      <c r="I46" s="347"/>
      <c r="J46" s="24"/>
      <c r="K46" s="24"/>
    </row>
    <row r="47" spans="1:11" x14ac:dyDescent="0.25">
      <c r="A47" s="348" t="s">
        <v>43</v>
      </c>
      <c r="B47" s="349"/>
      <c r="C47" s="350"/>
      <c r="D47" s="350"/>
      <c r="E47" s="350"/>
      <c r="F47" s="350"/>
      <c r="G47" s="350"/>
      <c r="H47" s="350"/>
      <c r="I47" s="351"/>
      <c r="J47" s="24"/>
      <c r="K47" s="24"/>
    </row>
    <row r="48" spans="1:11" x14ac:dyDescent="0.25">
      <c r="A48" s="341"/>
      <c r="B48" s="342"/>
      <c r="C48" s="343"/>
      <c r="D48" s="343"/>
      <c r="E48" s="343"/>
      <c r="F48" s="343"/>
      <c r="G48" s="343"/>
      <c r="H48" s="343"/>
      <c r="I48" s="344"/>
    </row>
    <row r="49" spans="1:9" ht="15.75" thickBot="1" x14ac:dyDescent="0.3">
      <c r="A49" s="352"/>
      <c r="B49" s="353"/>
      <c r="C49" s="354"/>
      <c r="D49" s="354"/>
      <c r="E49" s="354"/>
      <c r="F49" s="354"/>
      <c r="G49" s="354"/>
      <c r="H49" s="354"/>
      <c r="I49" s="355"/>
    </row>
    <row r="50" spans="1:9" ht="15.75" thickBot="1" x14ac:dyDescent="0.3">
      <c r="A50" s="352"/>
      <c r="B50" s="353"/>
      <c r="C50" s="354"/>
      <c r="D50" s="354"/>
      <c r="E50" s="354"/>
      <c r="F50" s="354"/>
      <c r="G50" s="354"/>
      <c r="H50" s="354"/>
      <c r="I50" s="355"/>
    </row>
  </sheetData>
  <mergeCells count="48">
    <mergeCell ref="A46:I46"/>
    <mergeCell ref="A47:I47"/>
    <mergeCell ref="A48:I48"/>
    <mergeCell ref="A49:I49"/>
    <mergeCell ref="A50:I50"/>
    <mergeCell ref="A45:I45"/>
    <mergeCell ref="A38:C38"/>
    <mergeCell ref="F38:G38"/>
    <mergeCell ref="H38:I38"/>
    <mergeCell ref="A39:C39"/>
    <mergeCell ref="F39:G39"/>
    <mergeCell ref="H39:I39"/>
    <mergeCell ref="A40:I40"/>
    <mergeCell ref="A41:I41"/>
    <mergeCell ref="A42:I42"/>
    <mergeCell ref="A43:I43"/>
    <mergeCell ref="A44:I44"/>
    <mergeCell ref="A36:C36"/>
    <mergeCell ref="F36:G36"/>
    <mergeCell ref="H36:I36"/>
    <mergeCell ref="A37:C37"/>
    <mergeCell ref="F37:G37"/>
    <mergeCell ref="H37:I37"/>
    <mergeCell ref="G17:H17"/>
    <mergeCell ref="G18:H18"/>
    <mergeCell ref="G20:H20"/>
    <mergeCell ref="G21:I21"/>
    <mergeCell ref="A35:C35"/>
    <mergeCell ref="F35:G35"/>
    <mergeCell ref="H35:I35"/>
    <mergeCell ref="G19:H1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14E8-163E-4A84-83E0-87F29937AE4E}">
  <dimension ref="A1:K49"/>
  <sheetViews>
    <sheetView workbookViewId="0">
      <selection activeCell="E12" sqref="E12"/>
    </sheetView>
  </sheetViews>
  <sheetFormatPr baseColWidth="10" defaultRowHeight="15" x14ac:dyDescent="0.25"/>
  <cols>
    <col min="3" max="3" width="40.7109375" customWidth="1"/>
  </cols>
  <sheetData>
    <row r="1" spans="1:9" ht="15.75" x14ac:dyDescent="0.25">
      <c r="A1" s="275"/>
      <c r="B1" s="276"/>
      <c r="C1" s="281" t="s">
        <v>0</v>
      </c>
      <c r="D1" s="282"/>
      <c r="E1" s="282"/>
      <c r="F1" s="282"/>
      <c r="G1" s="283"/>
      <c r="H1" s="1" t="s">
        <v>1</v>
      </c>
      <c r="I1" s="2"/>
    </row>
    <row r="2" spans="1:9" ht="16.5" thickBot="1" x14ac:dyDescent="0.3">
      <c r="A2" s="277"/>
      <c r="B2" s="278"/>
      <c r="C2" s="284" t="s">
        <v>2</v>
      </c>
      <c r="D2" s="285"/>
      <c r="E2" s="285"/>
      <c r="F2" s="285"/>
      <c r="G2" s="286"/>
      <c r="H2" s="3" t="s">
        <v>3</v>
      </c>
      <c r="I2" s="4"/>
    </row>
    <row r="3" spans="1:9" ht="18.75" thickBot="1" x14ac:dyDescent="0.3">
      <c r="A3" s="277"/>
      <c r="B3" s="278"/>
      <c r="C3" s="287" t="s">
        <v>203</v>
      </c>
      <c r="D3" s="288"/>
      <c r="E3" s="288"/>
      <c r="F3" s="288"/>
      <c r="G3" s="289"/>
      <c r="H3" s="290" t="s">
        <v>71</v>
      </c>
      <c r="I3" s="266"/>
    </row>
    <row r="4" spans="1:9" x14ac:dyDescent="0.25">
      <c r="A4" s="277"/>
      <c r="B4" s="278"/>
      <c r="C4" s="5" t="s">
        <v>5</v>
      </c>
      <c r="D4" s="269" t="s">
        <v>42</v>
      </c>
      <c r="E4" s="270"/>
      <c r="F4" s="270"/>
      <c r="G4" s="271"/>
      <c r="H4" s="291"/>
      <c r="I4" s="267"/>
    </row>
    <row r="5" spans="1:9" ht="15.75" thickBot="1" x14ac:dyDescent="0.3">
      <c r="A5" s="279"/>
      <c r="B5" s="280"/>
      <c r="C5" s="6" t="s">
        <v>6</v>
      </c>
      <c r="D5" s="272" t="s">
        <v>7</v>
      </c>
      <c r="E5" s="273"/>
      <c r="F5" s="273"/>
      <c r="G5" s="274"/>
      <c r="H5" s="292"/>
      <c r="I5" s="268"/>
    </row>
    <row r="6" spans="1:9" x14ac:dyDescent="0.25">
      <c r="A6" s="7"/>
      <c r="B6" s="7"/>
      <c r="C6" s="8"/>
      <c r="D6" s="9"/>
      <c r="E6" s="9"/>
      <c r="F6" s="9"/>
      <c r="G6" s="9"/>
      <c r="H6" s="10"/>
      <c r="I6" s="11"/>
    </row>
    <row r="7" spans="1:9" ht="15.75" thickBot="1" x14ac:dyDescent="0.3">
      <c r="A7" s="293" t="s">
        <v>8</v>
      </c>
      <c r="B7" s="293"/>
      <c r="C7" s="293"/>
      <c r="D7" s="294" t="s">
        <v>68</v>
      </c>
      <c r="E7" s="294"/>
      <c r="F7" s="294"/>
      <c r="G7" s="295" t="s">
        <v>9</v>
      </c>
      <c r="H7" s="295"/>
      <c r="I7" s="40" t="s">
        <v>68</v>
      </c>
    </row>
    <row r="8" spans="1:9" ht="25.5" x14ac:dyDescent="0.25">
      <c r="A8" s="296" t="s">
        <v>10</v>
      </c>
      <c r="B8" s="298" t="s">
        <v>39</v>
      </c>
      <c r="C8" s="300" t="s">
        <v>11</v>
      </c>
      <c r="D8" s="300" t="s">
        <v>12</v>
      </c>
      <c r="E8" s="302"/>
      <c r="F8" s="303"/>
      <c r="G8" s="302" t="s">
        <v>13</v>
      </c>
      <c r="H8" s="303"/>
      <c r="I8" s="12" t="s">
        <v>14</v>
      </c>
    </row>
    <row r="9" spans="1:9" ht="27" thickBot="1" x14ac:dyDescent="0.3">
      <c r="A9" s="297"/>
      <c r="B9" s="299"/>
      <c r="C9" s="301"/>
      <c r="D9" s="301"/>
      <c r="E9" s="13" t="s">
        <v>15</v>
      </c>
      <c r="F9" s="14" t="s">
        <v>16</v>
      </c>
      <c r="G9" s="13" t="s">
        <v>15</v>
      </c>
      <c r="H9" s="14" t="s">
        <v>16</v>
      </c>
      <c r="I9" s="15" t="s">
        <v>17</v>
      </c>
    </row>
    <row r="10" spans="1:9" x14ac:dyDescent="0.25">
      <c r="A10" s="59"/>
      <c r="B10" s="54"/>
      <c r="C10" s="16" t="s">
        <v>48</v>
      </c>
      <c r="D10" s="17"/>
      <c r="E10" s="18"/>
      <c r="F10" s="19"/>
      <c r="G10" s="18"/>
      <c r="H10" s="19"/>
      <c r="I10" s="20"/>
    </row>
    <row r="11" spans="1:9" x14ac:dyDescent="0.25">
      <c r="A11" s="74" t="s">
        <v>74</v>
      </c>
      <c r="B11" t="s">
        <v>75</v>
      </c>
      <c r="C11" t="s">
        <v>76</v>
      </c>
      <c r="D11" s="34" t="s">
        <v>38</v>
      </c>
      <c r="E11" s="35">
        <v>168</v>
      </c>
      <c r="F11" s="21" t="s">
        <v>18</v>
      </c>
      <c r="G11" s="62"/>
      <c r="H11" s="63"/>
      <c r="I11" s="22"/>
    </row>
    <row r="12" spans="1:9" x14ac:dyDescent="0.25">
      <c r="A12" s="64"/>
      <c r="B12" s="53"/>
      <c r="C12" s="52" t="s">
        <v>78</v>
      </c>
      <c r="D12" s="34" t="s">
        <v>38</v>
      </c>
      <c r="E12" s="35">
        <v>340</v>
      </c>
      <c r="F12" s="21" t="s">
        <v>18</v>
      </c>
      <c r="G12" s="44">
        <v>1</v>
      </c>
      <c r="H12" s="44" t="s">
        <v>79</v>
      </c>
      <c r="I12" s="22"/>
    </row>
    <row r="13" spans="1:9" x14ac:dyDescent="0.25">
      <c r="A13" s="64"/>
      <c r="B13" s="53"/>
      <c r="C13" s="52" t="s">
        <v>46</v>
      </c>
      <c r="D13" s="34" t="s">
        <v>38</v>
      </c>
      <c r="E13" s="35">
        <v>50</v>
      </c>
      <c r="F13" s="21" t="s">
        <v>18</v>
      </c>
      <c r="G13" s="44"/>
      <c r="H13" s="44"/>
      <c r="I13" s="22"/>
    </row>
    <row r="14" spans="1:9" x14ac:dyDescent="0.25">
      <c r="A14" s="64"/>
      <c r="B14" s="64"/>
      <c r="C14" s="52" t="s">
        <v>77</v>
      </c>
      <c r="D14" s="34" t="s">
        <v>38</v>
      </c>
      <c r="E14" s="35">
        <v>350</v>
      </c>
      <c r="F14" s="21" t="s">
        <v>18</v>
      </c>
      <c r="G14" s="62"/>
      <c r="H14" s="63"/>
      <c r="I14" s="22"/>
    </row>
    <row r="15" spans="1:9" x14ac:dyDescent="0.25">
      <c r="A15" s="64"/>
      <c r="B15" s="64"/>
      <c r="C15" s="52"/>
      <c r="D15" s="34"/>
      <c r="E15" s="35"/>
      <c r="F15" s="21"/>
      <c r="G15" s="62"/>
      <c r="H15" s="63"/>
      <c r="I15" s="22"/>
    </row>
    <row r="16" spans="1:9" x14ac:dyDescent="0.25">
      <c r="A16" s="65"/>
      <c r="B16" s="65"/>
      <c r="C16" s="78" t="s">
        <v>56</v>
      </c>
      <c r="D16" s="34"/>
      <c r="E16" s="35"/>
      <c r="F16" s="21"/>
      <c r="G16" s="45"/>
      <c r="H16" s="34"/>
      <c r="I16" s="22"/>
    </row>
    <row r="17" spans="1:11" x14ac:dyDescent="0.25">
      <c r="A17" s="60" t="s">
        <v>80</v>
      </c>
      <c r="B17" s="75" t="s">
        <v>81</v>
      </c>
      <c r="C17" s="75" t="s">
        <v>82</v>
      </c>
      <c r="D17" s="84" t="s">
        <v>38</v>
      </c>
      <c r="E17" s="87">
        <v>50</v>
      </c>
      <c r="F17" s="88" t="s">
        <v>18</v>
      </c>
      <c r="G17" s="304" t="s">
        <v>83</v>
      </c>
      <c r="H17" s="305"/>
      <c r="I17" s="22"/>
    </row>
    <row r="18" spans="1:11" x14ac:dyDescent="0.25">
      <c r="A18" s="85"/>
      <c r="B18" s="60"/>
      <c r="C18" s="75" t="s">
        <v>84</v>
      </c>
      <c r="D18" s="84" t="s">
        <v>38</v>
      </c>
      <c r="E18" s="87">
        <v>50</v>
      </c>
      <c r="F18" s="88" t="s">
        <v>18</v>
      </c>
      <c r="G18" s="308"/>
      <c r="H18" s="309"/>
      <c r="I18" s="22"/>
    </row>
    <row r="19" spans="1:11" x14ac:dyDescent="0.25">
      <c r="A19" s="85"/>
      <c r="B19" s="60"/>
      <c r="C19" s="52" t="s">
        <v>128</v>
      </c>
      <c r="D19" s="34" t="s">
        <v>38</v>
      </c>
      <c r="E19" s="35">
        <v>60</v>
      </c>
      <c r="F19" s="21" t="s">
        <v>18</v>
      </c>
      <c r="G19" s="308" t="s">
        <v>204</v>
      </c>
      <c r="H19" s="309"/>
      <c r="I19" s="22"/>
    </row>
    <row r="20" spans="1:11" x14ac:dyDescent="0.25">
      <c r="A20" s="85"/>
      <c r="B20" s="60"/>
      <c r="C20" s="75" t="s">
        <v>67</v>
      </c>
      <c r="D20" s="84" t="s">
        <v>38</v>
      </c>
      <c r="E20" s="87">
        <v>25</v>
      </c>
      <c r="F20" s="88" t="s">
        <v>18</v>
      </c>
      <c r="G20" s="308" t="s">
        <v>207</v>
      </c>
      <c r="H20" s="310"/>
      <c r="I20" s="309"/>
    </row>
    <row r="21" spans="1:11" x14ac:dyDescent="0.25">
      <c r="A21" s="85"/>
      <c r="B21" s="60"/>
      <c r="C21" s="75"/>
      <c r="D21" s="86"/>
      <c r="E21" s="87"/>
      <c r="F21" s="88"/>
      <c r="G21" s="79"/>
      <c r="H21" s="80"/>
      <c r="I21" s="81"/>
    </row>
    <row r="22" spans="1:11" x14ac:dyDescent="0.25">
      <c r="A22" s="65"/>
      <c r="B22" s="65"/>
      <c r="C22" s="78" t="s">
        <v>20</v>
      </c>
      <c r="D22" s="34"/>
      <c r="E22" s="45"/>
      <c r="F22" s="21"/>
      <c r="G22" s="44"/>
      <c r="H22" s="34"/>
      <c r="I22" s="22"/>
    </row>
    <row r="23" spans="1:11" x14ac:dyDescent="0.25">
      <c r="A23" s="74" t="s">
        <v>98</v>
      </c>
      <c r="B23" s="74" t="s">
        <v>99</v>
      </c>
      <c r="C23" t="s">
        <v>100</v>
      </c>
      <c r="D23" s="34"/>
      <c r="E23" s="35">
        <v>10</v>
      </c>
      <c r="F23" s="21" t="s">
        <v>18</v>
      </c>
      <c r="G23" s="44"/>
      <c r="H23" s="34"/>
      <c r="I23" s="22"/>
    </row>
    <row r="24" spans="1:11" x14ac:dyDescent="0.25">
      <c r="A24" s="85">
        <v>51400021</v>
      </c>
      <c r="B24" s="60" t="s">
        <v>51</v>
      </c>
      <c r="C24" s="75" t="s">
        <v>52</v>
      </c>
      <c r="D24" s="34" t="s">
        <v>38</v>
      </c>
      <c r="E24" s="35">
        <v>1</v>
      </c>
      <c r="F24" s="21" t="s">
        <v>19</v>
      </c>
      <c r="G24" s="35"/>
      <c r="H24" s="34"/>
      <c r="I24" s="22"/>
    </row>
    <row r="25" spans="1:11" x14ac:dyDescent="0.25">
      <c r="A25" s="85">
        <v>1950693</v>
      </c>
      <c r="B25" s="60" t="s">
        <v>53</v>
      </c>
      <c r="C25" s="75" t="s">
        <v>54</v>
      </c>
      <c r="D25" s="34" t="s">
        <v>38</v>
      </c>
      <c r="E25" s="35">
        <v>1</v>
      </c>
      <c r="F25" s="21" t="s">
        <v>19</v>
      </c>
      <c r="G25" s="35"/>
      <c r="H25" s="34"/>
      <c r="I25" s="22"/>
    </row>
    <row r="26" spans="1:11" x14ac:dyDescent="0.25">
      <c r="A26" s="60" t="s">
        <v>90</v>
      </c>
      <c r="B26" s="60" t="s">
        <v>91</v>
      </c>
      <c r="C26" s="75" t="s">
        <v>92</v>
      </c>
      <c r="D26" s="34"/>
      <c r="E26" s="35">
        <v>1</v>
      </c>
      <c r="F26" s="21" t="s">
        <v>19</v>
      </c>
      <c r="G26" s="35"/>
      <c r="H26" s="34"/>
      <c r="I26" s="22"/>
    </row>
    <row r="27" spans="1:11" x14ac:dyDescent="0.25">
      <c r="A27" s="82">
        <v>701096</v>
      </c>
      <c r="B27" s="56" t="s">
        <v>40</v>
      </c>
      <c r="C27" s="83" t="s">
        <v>22</v>
      </c>
      <c r="D27" s="73" t="s">
        <v>23</v>
      </c>
      <c r="E27" s="35">
        <v>1</v>
      </c>
      <c r="F27" s="21" t="s">
        <v>19</v>
      </c>
      <c r="G27" s="35"/>
      <c r="H27" s="34"/>
      <c r="I27" s="22"/>
    </row>
    <row r="28" spans="1:11" x14ac:dyDescent="0.25">
      <c r="A28" s="47">
        <v>702123</v>
      </c>
      <c r="B28" s="56" t="s">
        <v>41</v>
      </c>
      <c r="C28" s="43" t="s">
        <v>24</v>
      </c>
      <c r="D28" s="34" t="s">
        <v>21</v>
      </c>
      <c r="E28" s="35">
        <v>1</v>
      </c>
      <c r="F28" s="21" t="s">
        <v>19</v>
      </c>
      <c r="G28" s="21"/>
      <c r="H28" s="21"/>
      <c r="I28" s="22"/>
    </row>
    <row r="29" spans="1:11" x14ac:dyDescent="0.25">
      <c r="A29" s="74"/>
      <c r="B29" s="74"/>
      <c r="D29" s="34"/>
      <c r="E29" s="35"/>
      <c r="F29" s="21"/>
      <c r="G29" s="35"/>
      <c r="H29" s="34"/>
      <c r="I29" s="22"/>
    </row>
    <row r="30" spans="1:11" x14ac:dyDescent="0.25">
      <c r="A30" s="46"/>
      <c r="B30" s="55"/>
      <c r="C30" s="42"/>
      <c r="D30" s="34"/>
      <c r="E30" s="35"/>
      <c r="F30" s="21"/>
      <c r="G30" s="35"/>
      <c r="H30" s="34"/>
      <c r="I30" s="22"/>
    </row>
    <row r="31" spans="1:11" x14ac:dyDescent="0.25">
      <c r="A31" s="46"/>
      <c r="B31" s="55"/>
      <c r="C31" s="41"/>
      <c r="D31" s="34"/>
      <c r="E31" s="35"/>
      <c r="F31" s="21"/>
      <c r="G31" s="21"/>
      <c r="H31" s="21"/>
      <c r="I31" s="22"/>
    </row>
    <row r="32" spans="1:11" ht="15.75" thickBot="1" x14ac:dyDescent="0.3">
      <c r="A32" s="23"/>
      <c r="B32" s="57"/>
      <c r="C32" s="48"/>
      <c r="D32" s="48"/>
      <c r="E32" s="49"/>
      <c r="F32" s="50"/>
      <c r="G32" s="48"/>
      <c r="H32" s="48"/>
      <c r="I32" s="25"/>
      <c r="J32" s="24"/>
      <c r="K32" s="24"/>
    </row>
    <row r="33" spans="1:11" ht="15.75" thickBot="1" x14ac:dyDescent="0.3">
      <c r="A33" s="26"/>
      <c r="B33" s="58"/>
      <c r="C33" s="27"/>
      <c r="D33" s="28" t="s">
        <v>15</v>
      </c>
      <c r="E33" s="29" t="s">
        <v>25</v>
      </c>
      <c r="F33" s="30"/>
      <c r="G33" s="27"/>
      <c r="H33" s="27"/>
      <c r="I33" s="31"/>
      <c r="J33" s="24"/>
      <c r="K33" s="24"/>
    </row>
    <row r="34" spans="1:11" x14ac:dyDescent="0.25">
      <c r="A34" s="311" t="s">
        <v>26</v>
      </c>
      <c r="B34" s="312"/>
      <c r="C34" s="313"/>
      <c r="D34" s="32">
        <v>900</v>
      </c>
      <c r="E34" s="33" t="s">
        <v>18</v>
      </c>
      <c r="F34" s="314" t="s">
        <v>27</v>
      </c>
      <c r="G34" s="315"/>
      <c r="H34" s="316"/>
      <c r="I34" s="317"/>
      <c r="J34" s="24"/>
      <c r="K34" s="24"/>
    </row>
    <row r="35" spans="1:11" x14ac:dyDescent="0.25">
      <c r="A35" s="318" t="s">
        <v>28</v>
      </c>
      <c r="B35" s="319"/>
      <c r="C35" s="320"/>
      <c r="D35" s="34">
        <v>5</v>
      </c>
      <c r="E35" s="34" t="s">
        <v>29</v>
      </c>
      <c r="F35" s="321" t="s">
        <v>30</v>
      </c>
      <c r="G35" s="322"/>
      <c r="H35" s="323"/>
      <c r="I35" s="324"/>
      <c r="J35" s="24"/>
      <c r="K35" s="24"/>
    </row>
    <row r="36" spans="1:11" x14ac:dyDescent="0.25">
      <c r="A36" s="318" t="s">
        <v>31</v>
      </c>
      <c r="B36" s="319"/>
      <c r="C36" s="320"/>
      <c r="D36" s="34">
        <v>1</v>
      </c>
      <c r="E36" s="34" t="s">
        <v>19</v>
      </c>
      <c r="F36" s="321" t="s">
        <v>32</v>
      </c>
      <c r="G36" s="322"/>
      <c r="H36" s="323"/>
      <c r="I36" s="324"/>
      <c r="J36" s="24"/>
      <c r="K36" s="24"/>
    </row>
    <row r="37" spans="1:11" x14ac:dyDescent="0.25">
      <c r="A37" s="318" t="s">
        <v>33</v>
      </c>
      <c r="B37" s="319"/>
      <c r="C37" s="320"/>
      <c r="D37" s="35">
        <v>900</v>
      </c>
      <c r="E37" s="34" t="s">
        <v>18</v>
      </c>
      <c r="F37" s="329" t="s">
        <v>34</v>
      </c>
      <c r="G37" s="330"/>
      <c r="H37" s="323"/>
      <c r="I37" s="324"/>
      <c r="J37" s="24"/>
      <c r="K37" s="36"/>
    </row>
    <row r="38" spans="1:11" ht="15.75" thickBot="1" x14ac:dyDescent="0.3">
      <c r="A38" s="331" t="s">
        <v>35</v>
      </c>
      <c r="B38" s="332"/>
      <c r="C38" s="333"/>
      <c r="D38" s="37">
        <v>253</v>
      </c>
      <c r="E38" s="38" t="s">
        <v>18</v>
      </c>
      <c r="F38" s="334"/>
      <c r="G38" s="335"/>
      <c r="H38" s="336"/>
      <c r="I38" s="337"/>
      <c r="J38" s="24"/>
      <c r="K38" s="24"/>
    </row>
    <row r="39" spans="1:11" x14ac:dyDescent="0.25">
      <c r="A39" s="338" t="s">
        <v>36</v>
      </c>
      <c r="B39" s="339"/>
      <c r="C39" s="339"/>
      <c r="D39" s="339"/>
      <c r="E39" s="339"/>
      <c r="F39" s="339"/>
      <c r="G39" s="339"/>
      <c r="H39" s="339"/>
      <c r="I39" s="340"/>
      <c r="J39" s="24"/>
      <c r="K39" s="24"/>
    </row>
    <row r="40" spans="1:11" x14ac:dyDescent="0.25">
      <c r="A40" s="325" t="s">
        <v>96</v>
      </c>
      <c r="B40" s="326"/>
      <c r="C40" s="327"/>
      <c r="D40" s="327"/>
      <c r="E40" s="327"/>
      <c r="F40" s="327"/>
      <c r="G40" s="327"/>
      <c r="H40" s="327"/>
      <c r="I40" s="328"/>
      <c r="J40" s="24"/>
      <c r="K40" s="24"/>
    </row>
    <row r="41" spans="1:11" x14ac:dyDescent="0.25">
      <c r="A41" s="325" t="s">
        <v>93</v>
      </c>
      <c r="B41" s="326"/>
      <c r="C41" s="327"/>
      <c r="D41" s="327"/>
      <c r="E41" s="327"/>
      <c r="F41" s="327"/>
      <c r="G41" s="327"/>
      <c r="H41" s="327"/>
      <c r="I41" s="328"/>
      <c r="J41" s="24"/>
      <c r="K41" s="24"/>
    </row>
    <row r="42" spans="1:11" x14ac:dyDescent="0.25">
      <c r="A42" s="341" t="s">
        <v>97</v>
      </c>
      <c r="B42" s="342"/>
      <c r="C42" s="343"/>
      <c r="D42" s="343"/>
      <c r="E42" s="343"/>
      <c r="F42" s="343"/>
      <c r="G42" s="343"/>
      <c r="H42" s="343"/>
      <c r="I42" s="344"/>
      <c r="J42" s="24"/>
      <c r="K42" s="24"/>
    </row>
    <row r="43" spans="1:11" x14ac:dyDescent="0.25">
      <c r="A43" s="341" t="s">
        <v>208</v>
      </c>
      <c r="B43" s="342"/>
      <c r="C43" s="343"/>
      <c r="D43" s="343"/>
      <c r="E43" s="343"/>
      <c r="F43" s="343"/>
      <c r="G43" s="343"/>
      <c r="H43" s="343"/>
      <c r="I43" s="344"/>
      <c r="J43" s="24"/>
      <c r="K43" s="24"/>
    </row>
    <row r="44" spans="1:11" x14ac:dyDescent="0.25">
      <c r="A44" s="325" t="s">
        <v>95</v>
      </c>
      <c r="B44" s="326"/>
      <c r="C44" s="327"/>
      <c r="D44" s="327"/>
      <c r="E44" s="327"/>
      <c r="F44" s="327"/>
      <c r="G44" s="327"/>
      <c r="H44" s="327"/>
      <c r="I44" s="328"/>
      <c r="J44" s="24"/>
      <c r="K44" s="24"/>
    </row>
    <row r="45" spans="1:11" ht="15.75" thickBot="1" x14ac:dyDescent="0.3">
      <c r="A45" s="345" t="s">
        <v>37</v>
      </c>
      <c r="B45" s="346"/>
      <c r="C45" s="346"/>
      <c r="D45" s="346"/>
      <c r="E45" s="346"/>
      <c r="F45" s="346"/>
      <c r="G45" s="346"/>
      <c r="H45" s="346"/>
      <c r="I45" s="347"/>
      <c r="J45" s="24"/>
      <c r="K45" s="24"/>
    </row>
    <row r="46" spans="1:11" x14ac:dyDescent="0.25">
      <c r="A46" s="348" t="s">
        <v>43</v>
      </c>
      <c r="B46" s="349"/>
      <c r="C46" s="350"/>
      <c r="D46" s="350"/>
      <c r="E46" s="350"/>
      <c r="F46" s="350"/>
      <c r="G46" s="350"/>
      <c r="H46" s="350"/>
      <c r="I46" s="351"/>
      <c r="J46" s="24"/>
      <c r="K46" s="24"/>
    </row>
    <row r="47" spans="1:11" x14ac:dyDescent="0.25">
      <c r="A47" s="341"/>
      <c r="B47" s="342"/>
      <c r="C47" s="343"/>
      <c r="D47" s="343"/>
      <c r="E47" s="343"/>
      <c r="F47" s="343"/>
      <c r="G47" s="343"/>
      <c r="H47" s="343"/>
      <c r="I47" s="344"/>
    </row>
    <row r="48" spans="1:11" ht="15.75" thickBot="1" x14ac:dyDescent="0.3">
      <c r="A48" s="352"/>
      <c r="B48" s="353"/>
      <c r="C48" s="354"/>
      <c r="D48" s="354"/>
      <c r="E48" s="354"/>
      <c r="F48" s="354"/>
      <c r="G48" s="354"/>
      <c r="H48" s="354"/>
      <c r="I48" s="355"/>
    </row>
    <row r="49" spans="1:9" ht="15.75" thickBot="1" x14ac:dyDescent="0.3">
      <c r="A49" s="352"/>
      <c r="B49" s="353"/>
      <c r="C49" s="354"/>
      <c r="D49" s="354"/>
      <c r="E49" s="354"/>
      <c r="F49" s="354"/>
      <c r="G49" s="354"/>
      <c r="H49" s="354"/>
      <c r="I49" s="355"/>
    </row>
  </sheetData>
  <mergeCells count="47">
    <mergeCell ref="A45:I45"/>
    <mergeCell ref="A46:I46"/>
    <mergeCell ref="A47:I47"/>
    <mergeCell ref="A48:I48"/>
    <mergeCell ref="A49:I49"/>
    <mergeCell ref="A44:I44"/>
    <mergeCell ref="A37:C37"/>
    <mergeCell ref="F37:G37"/>
    <mergeCell ref="H37:I37"/>
    <mergeCell ref="A38:C38"/>
    <mergeCell ref="F38:G38"/>
    <mergeCell ref="H38:I38"/>
    <mergeCell ref="A39:I39"/>
    <mergeCell ref="A40:I40"/>
    <mergeCell ref="A41:I41"/>
    <mergeCell ref="A42:I42"/>
    <mergeCell ref="A43:I43"/>
    <mergeCell ref="A35:C35"/>
    <mergeCell ref="F35:G35"/>
    <mergeCell ref="H35:I35"/>
    <mergeCell ref="A36:C36"/>
    <mergeCell ref="F36:G36"/>
    <mergeCell ref="H36:I36"/>
    <mergeCell ref="G17:H17"/>
    <mergeCell ref="G18:H18"/>
    <mergeCell ref="G20:I20"/>
    <mergeCell ref="A34:C34"/>
    <mergeCell ref="F34:G34"/>
    <mergeCell ref="H34:I34"/>
    <mergeCell ref="G19:H1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DCAE-00A5-4CF5-826F-7C26BEBEF404}">
  <dimension ref="A1:Q97"/>
  <sheetViews>
    <sheetView topLeftCell="A4" workbookViewId="0">
      <selection activeCell="D20" sqref="D20"/>
    </sheetView>
  </sheetViews>
  <sheetFormatPr baseColWidth="10" defaultColWidth="8.42578125" defaultRowHeight="12.75" x14ac:dyDescent="0.25"/>
  <cols>
    <col min="1" max="1" width="10" style="94" bestFit="1" customWidth="1"/>
    <col min="2" max="2" width="44.28515625" style="94" bestFit="1" customWidth="1"/>
    <col min="3" max="3" width="10.42578125" style="94" bestFit="1" customWidth="1"/>
    <col min="4" max="4" width="10.42578125" style="94" customWidth="1"/>
    <col min="5" max="5" width="9.7109375" style="94" bestFit="1" customWidth="1"/>
    <col min="6" max="6" width="9.5703125" style="94" bestFit="1" customWidth="1"/>
    <col min="7" max="7" width="9.5703125" style="176" bestFit="1" customWidth="1"/>
    <col min="8" max="8" width="10.42578125" style="167" bestFit="1" customWidth="1"/>
    <col min="9" max="9" width="4.5703125" style="167" customWidth="1"/>
    <col min="10" max="10" width="1.7109375" style="93" customWidth="1"/>
    <col min="11" max="11" width="7" style="94" bestFit="1" customWidth="1"/>
    <col min="12" max="12" width="6.28515625" style="94" customWidth="1"/>
    <col min="13" max="13" width="20.42578125" style="94" customWidth="1"/>
    <col min="14" max="14" width="6.42578125" style="94" bestFit="1" customWidth="1"/>
    <col min="15" max="16" width="8.42578125" style="94"/>
    <col min="17" max="17" width="3.28515625" style="94" customWidth="1"/>
    <col min="18" max="256" width="8.42578125" style="94"/>
    <col min="257" max="257" width="10" style="94" bestFit="1" customWidth="1"/>
    <col min="258" max="258" width="44.28515625" style="94" bestFit="1" customWidth="1"/>
    <col min="259" max="259" width="10.42578125" style="94" bestFit="1" customWidth="1"/>
    <col min="260" max="260" width="10.42578125" style="94" customWidth="1"/>
    <col min="261" max="261" width="9.7109375" style="94" bestFit="1" customWidth="1"/>
    <col min="262" max="263" width="9.5703125" style="94" bestFit="1" customWidth="1"/>
    <col min="264" max="264" width="10.42578125" style="94" bestFit="1" customWidth="1"/>
    <col min="265" max="265" width="4.5703125" style="94" customWidth="1"/>
    <col min="266" max="266" width="1.7109375" style="94" customWidth="1"/>
    <col min="267" max="267" width="7" style="94" bestFit="1" customWidth="1"/>
    <col min="268" max="268" width="6.28515625" style="94" customWidth="1"/>
    <col min="269" max="269" width="20.42578125" style="94" customWidth="1"/>
    <col min="270" max="270" width="6.42578125" style="94" bestFit="1" customWidth="1"/>
    <col min="271" max="272" width="8.42578125" style="94"/>
    <col min="273" max="273" width="3.28515625" style="94" customWidth="1"/>
    <col min="274" max="512" width="8.42578125" style="94"/>
    <col min="513" max="513" width="10" style="94" bestFit="1" customWidth="1"/>
    <col min="514" max="514" width="44.28515625" style="94" bestFit="1" customWidth="1"/>
    <col min="515" max="515" width="10.42578125" style="94" bestFit="1" customWidth="1"/>
    <col min="516" max="516" width="10.42578125" style="94" customWidth="1"/>
    <col min="517" max="517" width="9.7109375" style="94" bestFit="1" customWidth="1"/>
    <col min="518" max="519" width="9.5703125" style="94" bestFit="1" customWidth="1"/>
    <col min="520" max="520" width="10.42578125" style="94" bestFit="1" customWidth="1"/>
    <col min="521" max="521" width="4.5703125" style="94" customWidth="1"/>
    <col min="522" max="522" width="1.7109375" style="94" customWidth="1"/>
    <col min="523" max="523" width="7" style="94" bestFit="1" customWidth="1"/>
    <col min="524" max="524" width="6.28515625" style="94" customWidth="1"/>
    <col min="525" max="525" width="20.42578125" style="94" customWidth="1"/>
    <col min="526" max="526" width="6.42578125" style="94" bestFit="1" customWidth="1"/>
    <col min="527" max="528" width="8.42578125" style="94"/>
    <col min="529" max="529" width="3.28515625" style="94" customWidth="1"/>
    <col min="530" max="768" width="8.42578125" style="94"/>
    <col min="769" max="769" width="10" style="94" bestFit="1" customWidth="1"/>
    <col min="770" max="770" width="44.28515625" style="94" bestFit="1" customWidth="1"/>
    <col min="771" max="771" width="10.42578125" style="94" bestFit="1" customWidth="1"/>
    <col min="772" max="772" width="10.42578125" style="94" customWidth="1"/>
    <col min="773" max="773" width="9.7109375" style="94" bestFit="1" customWidth="1"/>
    <col min="774" max="775" width="9.5703125" style="94" bestFit="1" customWidth="1"/>
    <col min="776" max="776" width="10.42578125" style="94" bestFit="1" customWidth="1"/>
    <col min="777" max="777" width="4.5703125" style="94" customWidth="1"/>
    <col min="778" max="778" width="1.7109375" style="94" customWidth="1"/>
    <col min="779" max="779" width="7" style="94" bestFit="1" customWidth="1"/>
    <col min="780" max="780" width="6.28515625" style="94" customWidth="1"/>
    <col min="781" max="781" width="20.42578125" style="94" customWidth="1"/>
    <col min="782" max="782" width="6.42578125" style="94" bestFit="1" customWidth="1"/>
    <col min="783" max="784" width="8.42578125" style="94"/>
    <col min="785" max="785" width="3.28515625" style="94" customWidth="1"/>
    <col min="786" max="1024" width="8.42578125" style="94"/>
    <col min="1025" max="1025" width="10" style="94" bestFit="1" customWidth="1"/>
    <col min="1026" max="1026" width="44.28515625" style="94" bestFit="1" customWidth="1"/>
    <col min="1027" max="1027" width="10.42578125" style="94" bestFit="1" customWidth="1"/>
    <col min="1028" max="1028" width="10.42578125" style="94" customWidth="1"/>
    <col min="1029" max="1029" width="9.7109375" style="94" bestFit="1" customWidth="1"/>
    <col min="1030" max="1031" width="9.5703125" style="94" bestFit="1" customWidth="1"/>
    <col min="1032" max="1032" width="10.42578125" style="94" bestFit="1" customWidth="1"/>
    <col min="1033" max="1033" width="4.5703125" style="94" customWidth="1"/>
    <col min="1034" max="1034" width="1.7109375" style="94" customWidth="1"/>
    <col min="1035" max="1035" width="7" style="94" bestFit="1" customWidth="1"/>
    <col min="1036" max="1036" width="6.28515625" style="94" customWidth="1"/>
    <col min="1037" max="1037" width="20.42578125" style="94" customWidth="1"/>
    <col min="1038" max="1038" width="6.42578125" style="94" bestFit="1" customWidth="1"/>
    <col min="1039" max="1040" width="8.42578125" style="94"/>
    <col min="1041" max="1041" width="3.28515625" style="94" customWidth="1"/>
    <col min="1042" max="1280" width="8.42578125" style="94"/>
    <col min="1281" max="1281" width="10" style="94" bestFit="1" customWidth="1"/>
    <col min="1282" max="1282" width="44.28515625" style="94" bestFit="1" customWidth="1"/>
    <col min="1283" max="1283" width="10.42578125" style="94" bestFit="1" customWidth="1"/>
    <col min="1284" max="1284" width="10.42578125" style="94" customWidth="1"/>
    <col min="1285" max="1285" width="9.7109375" style="94" bestFit="1" customWidth="1"/>
    <col min="1286" max="1287" width="9.5703125" style="94" bestFit="1" customWidth="1"/>
    <col min="1288" max="1288" width="10.42578125" style="94" bestFit="1" customWidth="1"/>
    <col min="1289" max="1289" width="4.5703125" style="94" customWidth="1"/>
    <col min="1290" max="1290" width="1.7109375" style="94" customWidth="1"/>
    <col min="1291" max="1291" width="7" style="94" bestFit="1" customWidth="1"/>
    <col min="1292" max="1292" width="6.28515625" style="94" customWidth="1"/>
    <col min="1293" max="1293" width="20.42578125" style="94" customWidth="1"/>
    <col min="1294" max="1294" width="6.42578125" style="94" bestFit="1" customWidth="1"/>
    <col min="1295" max="1296" width="8.42578125" style="94"/>
    <col min="1297" max="1297" width="3.28515625" style="94" customWidth="1"/>
    <col min="1298" max="1536" width="8.42578125" style="94"/>
    <col min="1537" max="1537" width="10" style="94" bestFit="1" customWidth="1"/>
    <col min="1538" max="1538" width="44.28515625" style="94" bestFit="1" customWidth="1"/>
    <col min="1539" max="1539" width="10.42578125" style="94" bestFit="1" customWidth="1"/>
    <col min="1540" max="1540" width="10.42578125" style="94" customWidth="1"/>
    <col min="1541" max="1541" width="9.7109375" style="94" bestFit="1" customWidth="1"/>
    <col min="1542" max="1543" width="9.5703125" style="94" bestFit="1" customWidth="1"/>
    <col min="1544" max="1544" width="10.42578125" style="94" bestFit="1" customWidth="1"/>
    <col min="1545" max="1545" width="4.5703125" style="94" customWidth="1"/>
    <col min="1546" max="1546" width="1.7109375" style="94" customWidth="1"/>
    <col min="1547" max="1547" width="7" style="94" bestFit="1" customWidth="1"/>
    <col min="1548" max="1548" width="6.28515625" style="94" customWidth="1"/>
    <col min="1549" max="1549" width="20.42578125" style="94" customWidth="1"/>
    <col min="1550" max="1550" width="6.42578125" style="94" bestFit="1" customWidth="1"/>
    <col min="1551" max="1552" width="8.42578125" style="94"/>
    <col min="1553" max="1553" width="3.28515625" style="94" customWidth="1"/>
    <col min="1554" max="1792" width="8.42578125" style="94"/>
    <col min="1793" max="1793" width="10" style="94" bestFit="1" customWidth="1"/>
    <col min="1794" max="1794" width="44.28515625" style="94" bestFit="1" customWidth="1"/>
    <col min="1795" max="1795" width="10.42578125" style="94" bestFit="1" customWidth="1"/>
    <col min="1796" max="1796" width="10.42578125" style="94" customWidth="1"/>
    <col min="1797" max="1797" width="9.7109375" style="94" bestFit="1" customWidth="1"/>
    <col min="1798" max="1799" width="9.5703125" style="94" bestFit="1" customWidth="1"/>
    <col min="1800" max="1800" width="10.42578125" style="94" bestFit="1" customWidth="1"/>
    <col min="1801" max="1801" width="4.5703125" style="94" customWidth="1"/>
    <col min="1802" max="1802" width="1.7109375" style="94" customWidth="1"/>
    <col min="1803" max="1803" width="7" style="94" bestFit="1" customWidth="1"/>
    <col min="1804" max="1804" width="6.28515625" style="94" customWidth="1"/>
    <col min="1805" max="1805" width="20.42578125" style="94" customWidth="1"/>
    <col min="1806" max="1806" width="6.42578125" style="94" bestFit="1" customWidth="1"/>
    <col min="1807" max="1808" width="8.42578125" style="94"/>
    <col min="1809" max="1809" width="3.28515625" style="94" customWidth="1"/>
    <col min="1810" max="2048" width="8.42578125" style="94"/>
    <col min="2049" max="2049" width="10" style="94" bestFit="1" customWidth="1"/>
    <col min="2050" max="2050" width="44.28515625" style="94" bestFit="1" customWidth="1"/>
    <col min="2051" max="2051" width="10.42578125" style="94" bestFit="1" customWidth="1"/>
    <col min="2052" max="2052" width="10.42578125" style="94" customWidth="1"/>
    <col min="2053" max="2053" width="9.7109375" style="94" bestFit="1" customWidth="1"/>
    <col min="2054" max="2055" width="9.5703125" style="94" bestFit="1" customWidth="1"/>
    <col min="2056" max="2056" width="10.42578125" style="94" bestFit="1" customWidth="1"/>
    <col min="2057" max="2057" width="4.5703125" style="94" customWidth="1"/>
    <col min="2058" max="2058" width="1.7109375" style="94" customWidth="1"/>
    <col min="2059" max="2059" width="7" style="94" bestFit="1" customWidth="1"/>
    <col min="2060" max="2060" width="6.28515625" style="94" customWidth="1"/>
    <col min="2061" max="2061" width="20.42578125" style="94" customWidth="1"/>
    <col min="2062" max="2062" width="6.42578125" style="94" bestFit="1" customWidth="1"/>
    <col min="2063" max="2064" width="8.42578125" style="94"/>
    <col min="2065" max="2065" width="3.28515625" style="94" customWidth="1"/>
    <col min="2066" max="2304" width="8.42578125" style="94"/>
    <col min="2305" max="2305" width="10" style="94" bestFit="1" customWidth="1"/>
    <col min="2306" max="2306" width="44.28515625" style="94" bestFit="1" customWidth="1"/>
    <col min="2307" max="2307" width="10.42578125" style="94" bestFit="1" customWidth="1"/>
    <col min="2308" max="2308" width="10.42578125" style="94" customWidth="1"/>
    <col min="2309" max="2309" width="9.7109375" style="94" bestFit="1" customWidth="1"/>
    <col min="2310" max="2311" width="9.5703125" style="94" bestFit="1" customWidth="1"/>
    <col min="2312" max="2312" width="10.42578125" style="94" bestFit="1" customWidth="1"/>
    <col min="2313" max="2313" width="4.5703125" style="94" customWidth="1"/>
    <col min="2314" max="2314" width="1.7109375" style="94" customWidth="1"/>
    <col min="2315" max="2315" width="7" style="94" bestFit="1" customWidth="1"/>
    <col min="2316" max="2316" width="6.28515625" style="94" customWidth="1"/>
    <col min="2317" max="2317" width="20.42578125" style="94" customWidth="1"/>
    <col min="2318" max="2318" width="6.42578125" style="94" bestFit="1" customWidth="1"/>
    <col min="2319" max="2320" width="8.42578125" style="94"/>
    <col min="2321" max="2321" width="3.28515625" style="94" customWidth="1"/>
    <col min="2322" max="2560" width="8.42578125" style="94"/>
    <col min="2561" max="2561" width="10" style="94" bestFit="1" customWidth="1"/>
    <col min="2562" max="2562" width="44.28515625" style="94" bestFit="1" customWidth="1"/>
    <col min="2563" max="2563" width="10.42578125" style="94" bestFit="1" customWidth="1"/>
    <col min="2564" max="2564" width="10.42578125" style="94" customWidth="1"/>
    <col min="2565" max="2565" width="9.7109375" style="94" bestFit="1" customWidth="1"/>
    <col min="2566" max="2567" width="9.5703125" style="94" bestFit="1" customWidth="1"/>
    <col min="2568" max="2568" width="10.42578125" style="94" bestFit="1" customWidth="1"/>
    <col min="2569" max="2569" width="4.5703125" style="94" customWidth="1"/>
    <col min="2570" max="2570" width="1.7109375" style="94" customWidth="1"/>
    <col min="2571" max="2571" width="7" style="94" bestFit="1" customWidth="1"/>
    <col min="2572" max="2572" width="6.28515625" style="94" customWidth="1"/>
    <col min="2573" max="2573" width="20.42578125" style="94" customWidth="1"/>
    <col min="2574" max="2574" width="6.42578125" style="94" bestFit="1" customWidth="1"/>
    <col min="2575" max="2576" width="8.42578125" style="94"/>
    <col min="2577" max="2577" width="3.28515625" style="94" customWidth="1"/>
    <col min="2578" max="2816" width="8.42578125" style="94"/>
    <col min="2817" max="2817" width="10" style="94" bestFit="1" customWidth="1"/>
    <col min="2818" max="2818" width="44.28515625" style="94" bestFit="1" customWidth="1"/>
    <col min="2819" max="2819" width="10.42578125" style="94" bestFit="1" customWidth="1"/>
    <col min="2820" max="2820" width="10.42578125" style="94" customWidth="1"/>
    <col min="2821" max="2821" width="9.7109375" style="94" bestFit="1" customWidth="1"/>
    <col min="2822" max="2823" width="9.5703125" style="94" bestFit="1" customWidth="1"/>
    <col min="2824" max="2824" width="10.42578125" style="94" bestFit="1" customWidth="1"/>
    <col min="2825" max="2825" width="4.5703125" style="94" customWidth="1"/>
    <col min="2826" max="2826" width="1.7109375" style="94" customWidth="1"/>
    <col min="2827" max="2827" width="7" style="94" bestFit="1" customWidth="1"/>
    <col min="2828" max="2828" width="6.28515625" style="94" customWidth="1"/>
    <col min="2829" max="2829" width="20.42578125" style="94" customWidth="1"/>
    <col min="2830" max="2830" width="6.42578125" style="94" bestFit="1" customWidth="1"/>
    <col min="2831" max="2832" width="8.42578125" style="94"/>
    <col min="2833" max="2833" width="3.28515625" style="94" customWidth="1"/>
    <col min="2834" max="3072" width="8.42578125" style="94"/>
    <col min="3073" max="3073" width="10" style="94" bestFit="1" customWidth="1"/>
    <col min="3074" max="3074" width="44.28515625" style="94" bestFit="1" customWidth="1"/>
    <col min="3075" max="3075" width="10.42578125" style="94" bestFit="1" customWidth="1"/>
    <col min="3076" max="3076" width="10.42578125" style="94" customWidth="1"/>
    <col min="3077" max="3077" width="9.7109375" style="94" bestFit="1" customWidth="1"/>
    <col min="3078" max="3079" width="9.5703125" style="94" bestFit="1" customWidth="1"/>
    <col min="3080" max="3080" width="10.42578125" style="94" bestFit="1" customWidth="1"/>
    <col min="3081" max="3081" width="4.5703125" style="94" customWidth="1"/>
    <col min="3082" max="3082" width="1.7109375" style="94" customWidth="1"/>
    <col min="3083" max="3083" width="7" style="94" bestFit="1" customWidth="1"/>
    <col min="3084" max="3084" width="6.28515625" style="94" customWidth="1"/>
    <col min="3085" max="3085" width="20.42578125" style="94" customWidth="1"/>
    <col min="3086" max="3086" width="6.42578125" style="94" bestFit="1" customWidth="1"/>
    <col min="3087" max="3088" width="8.42578125" style="94"/>
    <col min="3089" max="3089" width="3.28515625" style="94" customWidth="1"/>
    <col min="3090" max="3328" width="8.42578125" style="94"/>
    <col min="3329" max="3329" width="10" style="94" bestFit="1" customWidth="1"/>
    <col min="3330" max="3330" width="44.28515625" style="94" bestFit="1" customWidth="1"/>
    <col min="3331" max="3331" width="10.42578125" style="94" bestFit="1" customWidth="1"/>
    <col min="3332" max="3332" width="10.42578125" style="94" customWidth="1"/>
    <col min="3333" max="3333" width="9.7109375" style="94" bestFit="1" customWidth="1"/>
    <col min="3334" max="3335" width="9.5703125" style="94" bestFit="1" customWidth="1"/>
    <col min="3336" max="3336" width="10.42578125" style="94" bestFit="1" customWidth="1"/>
    <col min="3337" max="3337" width="4.5703125" style="94" customWidth="1"/>
    <col min="3338" max="3338" width="1.7109375" style="94" customWidth="1"/>
    <col min="3339" max="3339" width="7" style="94" bestFit="1" customWidth="1"/>
    <col min="3340" max="3340" width="6.28515625" style="94" customWidth="1"/>
    <col min="3341" max="3341" width="20.42578125" style="94" customWidth="1"/>
    <col min="3342" max="3342" width="6.42578125" style="94" bestFit="1" customWidth="1"/>
    <col min="3343" max="3344" width="8.42578125" style="94"/>
    <col min="3345" max="3345" width="3.28515625" style="94" customWidth="1"/>
    <col min="3346" max="3584" width="8.42578125" style="94"/>
    <col min="3585" max="3585" width="10" style="94" bestFit="1" customWidth="1"/>
    <col min="3586" max="3586" width="44.28515625" style="94" bestFit="1" customWidth="1"/>
    <col min="3587" max="3587" width="10.42578125" style="94" bestFit="1" customWidth="1"/>
    <col min="3588" max="3588" width="10.42578125" style="94" customWidth="1"/>
    <col min="3589" max="3589" width="9.7109375" style="94" bestFit="1" customWidth="1"/>
    <col min="3590" max="3591" width="9.5703125" style="94" bestFit="1" customWidth="1"/>
    <col min="3592" max="3592" width="10.42578125" style="94" bestFit="1" customWidth="1"/>
    <col min="3593" max="3593" width="4.5703125" style="94" customWidth="1"/>
    <col min="3594" max="3594" width="1.7109375" style="94" customWidth="1"/>
    <col min="3595" max="3595" width="7" style="94" bestFit="1" customWidth="1"/>
    <col min="3596" max="3596" width="6.28515625" style="94" customWidth="1"/>
    <col min="3597" max="3597" width="20.42578125" style="94" customWidth="1"/>
    <col min="3598" max="3598" width="6.42578125" style="94" bestFit="1" customWidth="1"/>
    <col min="3599" max="3600" width="8.42578125" style="94"/>
    <col min="3601" max="3601" width="3.28515625" style="94" customWidth="1"/>
    <col min="3602" max="3840" width="8.42578125" style="94"/>
    <col min="3841" max="3841" width="10" style="94" bestFit="1" customWidth="1"/>
    <col min="3842" max="3842" width="44.28515625" style="94" bestFit="1" customWidth="1"/>
    <col min="3843" max="3843" width="10.42578125" style="94" bestFit="1" customWidth="1"/>
    <col min="3844" max="3844" width="10.42578125" style="94" customWidth="1"/>
    <col min="3845" max="3845" width="9.7109375" style="94" bestFit="1" customWidth="1"/>
    <col min="3846" max="3847" width="9.5703125" style="94" bestFit="1" customWidth="1"/>
    <col min="3848" max="3848" width="10.42578125" style="94" bestFit="1" customWidth="1"/>
    <col min="3849" max="3849" width="4.5703125" style="94" customWidth="1"/>
    <col min="3850" max="3850" width="1.7109375" style="94" customWidth="1"/>
    <col min="3851" max="3851" width="7" style="94" bestFit="1" customWidth="1"/>
    <col min="3852" max="3852" width="6.28515625" style="94" customWidth="1"/>
    <col min="3853" max="3853" width="20.42578125" style="94" customWidth="1"/>
    <col min="3854" max="3854" width="6.42578125" style="94" bestFit="1" customWidth="1"/>
    <col min="3855" max="3856" width="8.42578125" style="94"/>
    <col min="3857" max="3857" width="3.28515625" style="94" customWidth="1"/>
    <col min="3858" max="4096" width="8.42578125" style="94"/>
    <col min="4097" max="4097" width="10" style="94" bestFit="1" customWidth="1"/>
    <col min="4098" max="4098" width="44.28515625" style="94" bestFit="1" customWidth="1"/>
    <col min="4099" max="4099" width="10.42578125" style="94" bestFit="1" customWidth="1"/>
    <col min="4100" max="4100" width="10.42578125" style="94" customWidth="1"/>
    <col min="4101" max="4101" width="9.7109375" style="94" bestFit="1" customWidth="1"/>
    <col min="4102" max="4103" width="9.5703125" style="94" bestFit="1" customWidth="1"/>
    <col min="4104" max="4104" width="10.42578125" style="94" bestFit="1" customWidth="1"/>
    <col min="4105" max="4105" width="4.5703125" style="94" customWidth="1"/>
    <col min="4106" max="4106" width="1.7109375" style="94" customWidth="1"/>
    <col min="4107" max="4107" width="7" style="94" bestFit="1" customWidth="1"/>
    <col min="4108" max="4108" width="6.28515625" style="94" customWidth="1"/>
    <col min="4109" max="4109" width="20.42578125" style="94" customWidth="1"/>
    <col min="4110" max="4110" width="6.42578125" style="94" bestFit="1" customWidth="1"/>
    <col min="4111" max="4112" width="8.42578125" style="94"/>
    <col min="4113" max="4113" width="3.28515625" style="94" customWidth="1"/>
    <col min="4114" max="4352" width="8.42578125" style="94"/>
    <col min="4353" max="4353" width="10" style="94" bestFit="1" customWidth="1"/>
    <col min="4354" max="4354" width="44.28515625" style="94" bestFit="1" customWidth="1"/>
    <col min="4355" max="4355" width="10.42578125" style="94" bestFit="1" customWidth="1"/>
    <col min="4356" max="4356" width="10.42578125" style="94" customWidth="1"/>
    <col min="4357" max="4357" width="9.7109375" style="94" bestFit="1" customWidth="1"/>
    <col min="4358" max="4359" width="9.5703125" style="94" bestFit="1" customWidth="1"/>
    <col min="4360" max="4360" width="10.42578125" style="94" bestFit="1" customWidth="1"/>
    <col min="4361" max="4361" width="4.5703125" style="94" customWidth="1"/>
    <col min="4362" max="4362" width="1.7109375" style="94" customWidth="1"/>
    <col min="4363" max="4363" width="7" style="94" bestFit="1" customWidth="1"/>
    <col min="4364" max="4364" width="6.28515625" style="94" customWidth="1"/>
    <col min="4365" max="4365" width="20.42578125" style="94" customWidth="1"/>
    <col min="4366" max="4366" width="6.42578125" style="94" bestFit="1" customWidth="1"/>
    <col min="4367" max="4368" width="8.42578125" style="94"/>
    <col min="4369" max="4369" width="3.28515625" style="94" customWidth="1"/>
    <col min="4370" max="4608" width="8.42578125" style="94"/>
    <col min="4609" max="4609" width="10" style="94" bestFit="1" customWidth="1"/>
    <col min="4610" max="4610" width="44.28515625" style="94" bestFit="1" customWidth="1"/>
    <col min="4611" max="4611" width="10.42578125" style="94" bestFit="1" customWidth="1"/>
    <col min="4612" max="4612" width="10.42578125" style="94" customWidth="1"/>
    <col min="4613" max="4613" width="9.7109375" style="94" bestFit="1" customWidth="1"/>
    <col min="4614" max="4615" width="9.5703125" style="94" bestFit="1" customWidth="1"/>
    <col min="4616" max="4616" width="10.42578125" style="94" bestFit="1" customWidth="1"/>
    <col min="4617" max="4617" width="4.5703125" style="94" customWidth="1"/>
    <col min="4618" max="4618" width="1.7109375" style="94" customWidth="1"/>
    <col min="4619" max="4619" width="7" style="94" bestFit="1" customWidth="1"/>
    <col min="4620" max="4620" width="6.28515625" style="94" customWidth="1"/>
    <col min="4621" max="4621" width="20.42578125" style="94" customWidth="1"/>
    <col min="4622" max="4622" width="6.42578125" style="94" bestFit="1" customWidth="1"/>
    <col min="4623" max="4624" width="8.42578125" style="94"/>
    <col min="4625" max="4625" width="3.28515625" style="94" customWidth="1"/>
    <col min="4626" max="4864" width="8.42578125" style="94"/>
    <col min="4865" max="4865" width="10" style="94" bestFit="1" customWidth="1"/>
    <col min="4866" max="4866" width="44.28515625" style="94" bestFit="1" customWidth="1"/>
    <col min="4867" max="4867" width="10.42578125" style="94" bestFit="1" customWidth="1"/>
    <col min="4868" max="4868" width="10.42578125" style="94" customWidth="1"/>
    <col min="4869" max="4869" width="9.7109375" style="94" bestFit="1" customWidth="1"/>
    <col min="4870" max="4871" width="9.5703125" style="94" bestFit="1" customWidth="1"/>
    <col min="4872" max="4872" width="10.42578125" style="94" bestFit="1" customWidth="1"/>
    <col min="4873" max="4873" width="4.5703125" style="94" customWidth="1"/>
    <col min="4874" max="4874" width="1.7109375" style="94" customWidth="1"/>
    <col min="4875" max="4875" width="7" style="94" bestFit="1" customWidth="1"/>
    <col min="4876" max="4876" width="6.28515625" style="94" customWidth="1"/>
    <col min="4877" max="4877" width="20.42578125" style="94" customWidth="1"/>
    <col min="4878" max="4878" width="6.42578125" style="94" bestFit="1" customWidth="1"/>
    <col min="4879" max="4880" width="8.42578125" style="94"/>
    <col min="4881" max="4881" width="3.28515625" style="94" customWidth="1"/>
    <col min="4882" max="5120" width="8.42578125" style="94"/>
    <col min="5121" max="5121" width="10" style="94" bestFit="1" customWidth="1"/>
    <col min="5122" max="5122" width="44.28515625" style="94" bestFit="1" customWidth="1"/>
    <col min="5123" max="5123" width="10.42578125" style="94" bestFit="1" customWidth="1"/>
    <col min="5124" max="5124" width="10.42578125" style="94" customWidth="1"/>
    <col min="5125" max="5125" width="9.7109375" style="94" bestFit="1" customWidth="1"/>
    <col min="5126" max="5127" width="9.5703125" style="94" bestFit="1" customWidth="1"/>
    <col min="5128" max="5128" width="10.42578125" style="94" bestFit="1" customWidth="1"/>
    <col min="5129" max="5129" width="4.5703125" style="94" customWidth="1"/>
    <col min="5130" max="5130" width="1.7109375" style="94" customWidth="1"/>
    <col min="5131" max="5131" width="7" style="94" bestFit="1" customWidth="1"/>
    <col min="5132" max="5132" width="6.28515625" style="94" customWidth="1"/>
    <col min="5133" max="5133" width="20.42578125" style="94" customWidth="1"/>
    <col min="5134" max="5134" width="6.42578125" style="94" bestFit="1" customWidth="1"/>
    <col min="5135" max="5136" width="8.42578125" style="94"/>
    <col min="5137" max="5137" width="3.28515625" style="94" customWidth="1"/>
    <col min="5138" max="5376" width="8.42578125" style="94"/>
    <col min="5377" max="5377" width="10" style="94" bestFit="1" customWidth="1"/>
    <col min="5378" max="5378" width="44.28515625" style="94" bestFit="1" customWidth="1"/>
    <col min="5379" max="5379" width="10.42578125" style="94" bestFit="1" customWidth="1"/>
    <col min="5380" max="5380" width="10.42578125" style="94" customWidth="1"/>
    <col min="5381" max="5381" width="9.7109375" style="94" bestFit="1" customWidth="1"/>
    <col min="5382" max="5383" width="9.5703125" style="94" bestFit="1" customWidth="1"/>
    <col min="5384" max="5384" width="10.42578125" style="94" bestFit="1" customWidth="1"/>
    <col min="5385" max="5385" width="4.5703125" style="94" customWidth="1"/>
    <col min="5386" max="5386" width="1.7109375" style="94" customWidth="1"/>
    <col min="5387" max="5387" width="7" style="94" bestFit="1" customWidth="1"/>
    <col min="5388" max="5388" width="6.28515625" style="94" customWidth="1"/>
    <col min="5389" max="5389" width="20.42578125" style="94" customWidth="1"/>
    <col min="5390" max="5390" width="6.42578125" style="94" bestFit="1" customWidth="1"/>
    <col min="5391" max="5392" width="8.42578125" style="94"/>
    <col min="5393" max="5393" width="3.28515625" style="94" customWidth="1"/>
    <col min="5394" max="5632" width="8.42578125" style="94"/>
    <col min="5633" max="5633" width="10" style="94" bestFit="1" customWidth="1"/>
    <col min="5634" max="5634" width="44.28515625" style="94" bestFit="1" customWidth="1"/>
    <col min="5635" max="5635" width="10.42578125" style="94" bestFit="1" customWidth="1"/>
    <col min="5636" max="5636" width="10.42578125" style="94" customWidth="1"/>
    <col min="5637" max="5637" width="9.7109375" style="94" bestFit="1" customWidth="1"/>
    <col min="5638" max="5639" width="9.5703125" style="94" bestFit="1" customWidth="1"/>
    <col min="5640" max="5640" width="10.42578125" style="94" bestFit="1" customWidth="1"/>
    <col min="5641" max="5641" width="4.5703125" style="94" customWidth="1"/>
    <col min="5642" max="5642" width="1.7109375" style="94" customWidth="1"/>
    <col min="5643" max="5643" width="7" style="94" bestFit="1" customWidth="1"/>
    <col min="5644" max="5644" width="6.28515625" style="94" customWidth="1"/>
    <col min="5645" max="5645" width="20.42578125" style="94" customWidth="1"/>
    <col min="5646" max="5646" width="6.42578125" style="94" bestFit="1" customWidth="1"/>
    <col min="5647" max="5648" width="8.42578125" style="94"/>
    <col min="5649" max="5649" width="3.28515625" style="94" customWidth="1"/>
    <col min="5650" max="5888" width="8.42578125" style="94"/>
    <col min="5889" max="5889" width="10" style="94" bestFit="1" customWidth="1"/>
    <col min="5890" max="5890" width="44.28515625" style="94" bestFit="1" customWidth="1"/>
    <col min="5891" max="5891" width="10.42578125" style="94" bestFit="1" customWidth="1"/>
    <col min="5892" max="5892" width="10.42578125" style="94" customWidth="1"/>
    <col min="5893" max="5893" width="9.7109375" style="94" bestFit="1" customWidth="1"/>
    <col min="5894" max="5895" width="9.5703125" style="94" bestFit="1" customWidth="1"/>
    <col min="5896" max="5896" width="10.42578125" style="94" bestFit="1" customWidth="1"/>
    <col min="5897" max="5897" width="4.5703125" style="94" customWidth="1"/>
    <col min="5898" max="5898" width="1.7109375" style="94" customWidth="1"/>
    <col min="5899" max="5899" width="7" style="94" bestFit="1" customWidth="1"/>
    <col min="5900" max="5900" width="6.28515625" style="94" customWidth="1"/>
    <col min="5901" max="5901" width="20.42578125" style="94" customWidth="1"/>
    <col min="5902" max="5902" width="6.42578125" style="94" bestFit="1" customWidth="1"/>
    <col min="5903" max="5904" width="8.42578125" style="94"/>
    <col min="5905" max="5905" width="3.28515625" style="94" customWidth="1"/>
    <col min="5906" max="6144" width="8.42578125" style="94"/>
    <col min="6145" max="6145" width="10" style="94" bestFit="1" customWidth="1"/>
    <col min="6146" max="6146" width="44.28515625" style="94" bestFit="1" customWidth="1"/>
    <col min="6147" max="6147" width="10.42578125" style="94" bestFit="1" customWidth="1"/>
    <col min="6148" max="6148" width="10.42578125" style="94" customWidth="1"/>
    <col min="6149" max="6149" width="9.7109375" style="94" bestFit="1" customWidth="1"/>
    <col min="6150" max="6151" width="9.5703125" style="94" bestFit="1" customWidth="1"/>
    <col min="6152" max="6152" width="10.42578125" style="94" bestFit="1" customWidth="1"/>
    <col min="6153" max="6153" width="4.5703125" style="94" customWidth="1"/>
    <col min="6154" max="6154" width="1.7109375" style="94" customWidth="1"/>
    <col min="6155" max="6155" width="7" style="94" bestFit="1" customWidth="1"/>
    <col min="6156" max="6156" width="6.28515625" style="94" customWidth="1"/>
    <col min="6157" max="6157" width="20.42578125" style="94" customWidth="1"/>
    <col min="6158" max="6158" width="6.42578125" style="94" bestFit="1" customWidth="1"/>
    <col min="6159" max="6160" width="8.42578125" style="94"/>
    <col min="6161" max="6161" width="3.28515625" style="94" customWidth="1"/>
    <col min="6162" max="6400" width="8.42578125" style="94"/>
    <col min="6401" max="6401" width="10" style="94" bestFit="1" customWidth="1"/>
    <col min="6402" max="6402" width="44.28515625" style="94" bestFit="1" customWidth="1"/>
    <col min="6403" max="6403" width="10.42578125" style="94" bestFit="1" customWidth="1"/>
    <col min="6404" max="6404" width="10.42578125" style="94" customWidth="1"/>
    <col min="6405" max="6405" width="9.7109375" style="94" bestFit="1" customWidth="1"/>
    <col min="6406" max="6407" width="9.5703125" style="94" bestFit="1" customWidth="1"/>
    <col min="6408" max="6408" width="10.42578125" style="94" bestFit="1" customWidth="1"/>
    <col min="6409" max="6409" width="4.5703125" style="94" customWidth="1"/>
    <col min="6410" max="6410" width="1.7109375" style="94" customWidth="1"/>
    <col min="6411" max="6411" width="7" style="94" bestFit="1" customWidth="1"/>
    <col min="6412" max="6412" width="6.28515625" style="94" customWidth="1"/>
    <col min="6413" max="6413" width="20.42578125" style="94" customWidth="1"/>
    <col min="6414" max="6414" width="6.42578125" style="94" bestFit="1" customWidth="1"/>
    <col min="6415" max="6416" width="8.42578125" style="94"/>
    <col min="6417" max="6417" width="3.28515625" style="94" customWidth="1"/>
    <col min="6418" max="6656" width="8.42578125" style="94"/>
    <col min="6657" max="6657" width="10" style="94" bestFit="1" customWidth="1"/>
    <col min="6658" max="6658" width="44.28515625" style="94" bestFit="1" customWidth="1"/>
    <col min="6659" max="6659" width="10.42578125" style="94" bestFit="1" customWidth="1"/>
    <col min="6660" max="6660" width="10.42578125" style="94" customWidth="1"/>
    <col min="6661" max="6661" width="9.7109375" style="94" bestFit="1" customWidth="1"/>
    <col min="6662" max="6663" width="9.5703125" style="94" bestFit="1" customWidth="1"/>
    <col min="6664" max="6664" width="10.42578125" style="94" bestFit="1" customWidth="1"/>
    <col min="6665" max="6665" width="4.5703125" style="94" customWidth="1"/>
    <col min="6666" max="6666" width="1.7109375" style="94" customWidth="1"/>
    <col min="6667" max="6667" width="7" style="94" bestFit="1" customWidth="1"/>
    <col min="6668" max="6668" width="6.28515625" style="94" customWidth="1"/>
    <col min="6669" max="6669" width="20.42578125" style="94" customWidth="1"/>
    <col min="6670" max="6670" width="6.42578125" style="94" bestFit="1" customWidth="1"/>
    <col min="6671" max="6672" width="8.42578125" style="94"/>
    <col min="6673" max="6673" width="3.28515625" style="94" customWidth="1"/>
    <col min="6674" max="6912" width="8.42578125" style="94"/>
    <col min="6913" max="6913" width="10" style="94" bestFit="1" customWidth="1"/>
    <col min="6914" max="6914" width="44.28515625" style="94" bestFit="1" customWidth="1"/>
    <col min="6915" max="6915" width="10.42578125" style="94" bestFit="1" customWidth="1"/>
    <col min="6916" max="6916" width="10.42578125" style="94" customWidth="1"/>
    <col min="6917" max="6917" width="9.7109375" style="94" bestFit="1" customWidth="1"/>
    <col min="6918" max="6919" width="9.5703125" style="94" bestFit="1" customWidth="1"/>
    <col min="6920" max="6920" width="10.42578125" style="94" bestFit="1" customWidth="1"/>
    <col min="6921" max="6921" width="4.5703125" style="94" customWidth="1"/>
    <col min="6922" max="6922" width="1.7109375" style="94" customWidth="1"/>
    <col min="6923" max="6923" width="7" style="94" bestFit="1" customWidth="1"/>
    <col min="6924" max="6924" width="6.28515625" style="94" customWidth="1"/>
    <col min="6925" max="6925" width="20.42578125" style="94" customWidth="1"/>
    <col min="6926" max="6926" width="6.42578125" style="94" bestFit="1" customWidth="1"/>
    <col min="6927" max="6928" width="8.42578125" style="94"/>
    <col min="6929" max="6929" width="3.28515625" style="94" customWidth="1"/>
    <col min="6930" max="7168" width="8.42578125" style="94"/>
    <col min="7169" max="7169" width="10" style="94" bestFit="1" customWidth="1"/>
    <col min="7170" max="7170" width="44.28515625" style="94" bestFit="1" customWidth="1"/>
    <col min="7171" max="7171" width="10.42578125" style="94" bestFit="1" customWidth="1"/>
    <col min="7172" max="7172" width="10.42578125" style="94" customWidth="1"/>
    <col min="7173" max="7173" width="9.7109375" style="94" bestFit="1" customWidth="1"/>
    <col min="7174" max="7175" width="9.5703125" style="94" bestFit="1" customWidth="1"/>
    <col min="7176" max="7176" width="10.42578125" style="94" bestFit="1" customWidth="1"/>
    <col min="7177" max="7177" width="4.5703125" style="94" customWidth="1"/>
    <col min="7178" max="7178" width="1.7109375" style="94" customWidth="1"/>
    <col min="7179" max="7179" width="7" style="94" bestFit="1" customWidth="1"/>
    <col min="7180" max="7180" width="6.28515625" style="94" customWidth="1"/>
    <col min="7181" max="7181" width="20.42578125" style="94" customWidth="1"/>
    <col min="7182" max="7182" width="6.42578125" style="94" bestFit="1" customWidth="1"/>
    <col min="7183" max="7184" width="8.42578125" style="94"/>
    <col min="7185" max="7185" width="3.28515625" style="94" customWidth="1"/>
    <col min="7186" max="7424" width="8.42578125" style="94"/>
    <col min="7425" max="7425" width="10" style="94" bestFit="1" customWidth="1"/>
    <col min="7426" max="7426" width="44.28515625" style="94" bestFit="1" customWidth="1"/>
    <col min="7427" max="7427" width="10.42578125" style="94" bestFit="1" customWidth="1"/>
    <col min="7428" max="7428" width="10.42578125" style="94" customWidth="1"/>
    <col min="7429" max="7429" width="9.7109375" style="94" bestFit="1" customWidth="1"/>
    <col min="7430" max="7431" width="9.5703125" style="94" bestFit="1" customWidth="1"/>
    <col min="7432" max="7432" width="10.42578125" style="94" bestFit="1" customWidth="1"/>
    <col min="7433" max="7433" width="4.5703125" style="94" customWidth="1"/>
    <col min="7434" max="7434" width="1.7109375" style="94" customWidth="1"/>
    <col min="7435" max="7435" width="7" style="94" bestFit="1" customWidth="1"/>
    <col min="7436" max="7436" width="6.28515625" style="94" customWidth="1"/>
    <col min="7437" max="7437" width="20.42578125" style="94" customWidth="1"/>
    <col min="7438" max="7438" width="6.42578125" style="94" bestFit="1" customWidth="1"/>
    <col min="7439" max="7440" width="8.42578125" style="94"/>
    <col min="7441" max="7441" width="3.28515625" style="94" customWidth="1"/>
    <col min="7442" max="7680" width="8.42578125" style="94"/>
    <col min="7681" max="7681" width="10" style="94" bestFit="1" customWidth="1"/>
    <col min="7682" max="7682" width="44.28515625" style="94" bestFit="1" customWidth="1"/>
    <col min="7683" max="7683" width="10.42578125" style="94" bestFit="1" customWidth="1"/>
    <col min="7684" max="7684" width="10.42578125" style="94" customWidth="1"/>
    <col min="7685" max="7685" width="9.7109375" style="94" bestFit="1" customWidth="1"/>
    <col min="7686" max="7687" width="9.5703125" style="94" bestFit="1" customWidth="1"/>
    <col min="7688" max="7688" width="10.42578125" style="94" bestFit="1" customWidth="1"/>
    <col min="7689" max="7689" width="4.5703125" style="94" customWidth="1"/>
    <col min="7690" max="7690" width="1.7109375" style="94" customWidth="1"/>
    <col min="7691" max="7691" width="7" style="94" bestFit="1" customWidth="1"/>
    <col min="7692" max="7692" width="6.28515625" style="94" customWidth="1"/>
    <col min="7693" max="7693" width="20.42578125" style="94" customWidth="1"/>
    <col min="7694" max="7694" width="6.42578125" style="94" bestFit="1" customWidth="1"/>
    <col min="7695" max="7696" width="8.42578125" style="94"/>
    <col min="7697" max="7697" width="3.28515625" style="94" customWidth="1"/>
    <col min="7698" max="7936" width="8.42578125" style="94"/>
    <col min="7937" max="7937" width="10" style="94" bestFit="1" customWidth="1"/>
    <col min="7938" max="7938" width="44.28515625" style="94" bestFit="1" customWidth="1"/>
    <col min="7939" max="7939" width="10.42578125" style="94" bestFit="1" customWidth="1"/>
    <col min="7940" max="7940" width="10.42578125" style="94" customWidth="1"/>
    <col min="7941" max="7941" width="9.7109375" style="94" bestFit="1" customWidth="1"/>
    <col min="7942" max="7943" width="9.5703125" style="94" bestFit="1" customWidth="1"/>
    <col min="7944" max="7944" width="10.42578125" style="94" bestFit="1" customWidth="1"/>
    <col min="7945" max="7945" width="4.5703125" style="94" customWidth="1"/>
    <col min="7946" max="7946" width="1.7109375" style="94" customWidth="1"/>
    <col min="7947" max="7947" width="7" style="94" bestFit="1" customWidth="1"/>
    <col min="7948" max="7948" width="6.28515625" style="94" customWidth="1"/>
    <col min="7949" max="7949" width="20.42578125" style="94" customWidth="1"/>
    <col min="7950" max="7950" width="6.42578125" style="94" bestFit="1" customWidth="1"/>
    <col min="7951" max="7952" width="8.42578125" style="94"/>
    <col min="7953" max="7953" width="3.28515625" style="94" customWidth="1"/>
    <col min="7954" max="8192" width="8.42578125" style="94"/>
    <col min="8193" max="8193" width="10" style="94" bestFit="1" customWidth="1"/>
    <col min="8194" max="8194" width="44.28515625" style="94" bestFit="1" customWidth="1"/>
    <col min="8195" max="8195" width="10.42578125" style="94" bestFit="1" customWidth="1"/>
    <col min="8196" max="8196" width="10.42578125" style="94" customWidth="1"/>
    <col min="8197" max="8197" width="9.7109375" style="94" bestFit="1" customWidth="1"/>
    <col min="8198" max="8199" width="9.5703125" style="94" bestFit="1" customWidth="1"/>
    <col min="8200" max="8200" width="10.42578125" style="94" bestFit="1" customWidth="1"/>
    <col min="8201" max="8201" width="4.5703125" style="94" customWidth="1"/>
    <col min="8202" max="8202" width="1.7109375" style="94" customWidth="1"/>
    <col min="8203" max="8203" width="7" style="94" bestFit="1" customWidth="1"/>
    <col min="8204" max="8204" width="6.28515625" style="94" customWidth="1"/>
    <col min="8205" max="8205" width="20.42578125" style="94" customWidth="1"/>
    <col min="8206" max="8206" width="6.42578125" style="94" bestFit="1" customWidth="1"/>
    <col min="8207" max="8208" width="8.42578125" style="94"/>
    <col min="8209" max="8209" width="3.28515625" style="94" customWidth="1"/>
    <col min="8210" max="8448" width="8.42578125" style="94"/>
    <col min="8449" max="8449" width="10" style="94" bestFit="1" customWidth="1"/>
    <col min="8450" max="8450" width="44.28515625" style="94" bestFit="1" customWidth="1"/>
    <col min="8451" max="8451" width="10.42578125" style="94" bestFit="1" customWidth="1"/>
    <col min="8452" max="8452" width="10.42578125" style="94" customWidth="1"/>
    <col min="8453" max="8453" width="9.7109375" style="94" bestFit="1" customWidth="1"/>
    <col min="8454" max="8455" width="9.5703125" style="94" bestFit="1" customWidth="1"/>
    <col min="8456" max="8456" width="10.42578125" style="94" bestFit="1" customWidth="1"/>
    <col min="8457" max="8457" width="4.5703125" style="94" customWidth="1"/>
    <col min="8458" max="8458" width="1.7109375" style="94" customWidth="1"/>
    <col min="8459" max="8459" width="7" style="94" bestFit="1" customWidth="1"/>
    <col min="8460" max="8460" width="6.28515625" style="94" customWidth="1"/>
    <col min="8461" max="8461" width="20.42578125" style="94" customWidth="1"/>
    <col min="8462" max="8462" width="6.42578125" style="94" bestFit="1" customWidth="1"/>
    <col min="8463" max="8464" width="8.42578125" style="94"/>
    <col min="8465" max="8465" width="3.28515625" style="94" customWidth="1"/>
    <col min="8466" max="8704" width="8.42578125" style="94"/>
    <col min="8705" max="8705" width="10" style="94" bestFit="1" customWidth="1"/>
    <col min="8706" max="8706" width="44.28515625" style="94" bestFit="1" customWidth="1"/>
    <col min="8707" max="8707" width="10.42578125" style="94" bestFit="1" customWidth="1"/>
    <col min="8708" max="8708" width="10.42578125" style="94" customWidth="1"/>
    <col min="8709" max="8709" width="9.7109375" style="94" bestFit="1" customWidth="1"/>
    <col min="8710" max="8711" width="9.5703125" style="94" bestFit="1" customWidth="1"/>
    <col min="8712" max="8712" width="10.42578125" style="94" bestFit="1" customWidth="1"/>
    <col min="8713" max="8713" width="4.5703125" style="94" customWidth="1"/>
    <col min="8714" max="8714" width="1.7109375" style="94" customWidth="1"/>
    <col min="8715" max="8715" width="7" style="94" bestFit="1" customWidth="1"/>
    <col min="8716" max="8716" width="6.28515625" style="94" customWidth="1"/>
    <col min="8717" max="8717" width="20.42578125" style="94" customWidth="1"/>
    <col min="8718" max="8718" width="6.42578125" style="94" bestFit="1" customWidth="1"/>
    <col min="8719" max="8720" width="8.42578125" style="94"/>
    <col min="8721" max="8721" width="3.28515625" style="94" customWidth="1"/>
    <col min="8722" max="8960" width="8.42578125" style="94"/>
    <col min="8961" max="8961" width="10" style="94" bestFit="1" customWidth="1"/>
    <col min="8962" max="8962" width="44.28515625" style="94" bestFit="1" customWidth="1"/>
    <col min="8963" max="8963" width="10.42578125" style="94" bestFit="1" customWidth="1"/>
    <col min="8964" max="8964" width="10.42578125" style="94" customWidth="1"/>
    <col min="8965" max="8965" width="9.7109375" style="94" bestFit="1" customWidth="1"/>
    <col min="8966" max="8967" width="9.5703125" style="94" bestFit="1" customWidth="1"/>
    <col min="8968" max="8968" width="10.42578125" style="94" bestFit="1" customWidth="1"/>
    <col min="8969" max="8969" width="4.5703125" style="94" customWidth="1"/>
    <col min="8970" max="8970" width="1.7109375" style="94" customWidth="1"/>
    <col min="8971" max="8971" width="7" style="94" bestFit="1" customWidth="1"/>
    <col min="8972" max="8972" width="6.28515625" style="94" customWidth="1"/>
    <col min="8973" max="8973" width="20.42578125" style="94" customWidth="1"/>
    <col min="8974" max="8974" width="6.42578125" style="94" bestFit="1" customWidth="1"/>
    <col min="8975" max="8976" width="8.42578125" style="94"/>
    <col min="8977" max="8977" width="3.28515625" style="94" customWidth="1"/>
    <col min="8978" max="9216" width="8.42578125" style="94"/>
    <col min="9217" max="9217" width="10" style="94" bestFit="1" customWidth="1"/>
    <col min="9218" max="9218" width="44.28515625" style="94" bestFit="1" customWidth="1"/>
    <col min="9219" max="9219" width="10.42578125" style="94" bestFit="1" customWidth="1"/>
    <col min="9220" max="9220" width="10.42578125" style="94" customWidth="1"/>
    <col min="9221" max="9221" width="9.7109375" style="94" bestFit="1" customWidth="1"/>
    <col min="9222" max="9223" width="9.5703125" style="94" bestFit="1" customWidth="1"/>
    <col min="9224" max="9224" width="10.42578125" style="94" bestFit="1" customWidth="1"/>
    <col min="9225" max="9225" width="4.5703125" style="94" customWidth="1"/>
    <col min="9226" max="9226" width="1.7109375" style="94" customWidth="1"/>
    <col min="9227" max="9227" width="7" style="94" bestFit="1" customWidth="1"/>
    <col min="9228" max="9228" width="6.28515625" style="94" customWidth="1"/>
    <col min="9229" max="9229" width="20.42578125" style="94" customWidth="1"/>
    <col min="9230" max="9230" width="6.42578125" style="94" bestFit="1" customWidth="1"/>
    <col min="9231" max="9232" width="8.42578125" style="94"/>
    <col min="9233" max="9233" width="3.28515625" style="94" customWidth="1"/>
    <col min="9234" max="9472" width="8.42578125" style="94"/>
    <col min="9473" max="9473" width="10" style="94" bestFit="1" customWidth="1"/>
    <col min="9474" max="9474" width="44.28515625" style="94" bestFit="1" customWidth="1"/>
    <col min="9475" max="9475" width="10.42578125" style="94" bestFit="1" customWidth="1"/>
    <col min="9476" max="9476" width="10.42578125" style="94" customWidth="1"/>
    <col min="9477" max="9477" width="9.7109375" style="94" bestFit="1" customWidth="1"/>
    <col min="9478" max="9479" width="9.5703125" style="94" bestFit="1" customWidth="1"/>
    <col min="9480" max="9480" width="10.42578125" style="94" bestFit="1" customWidth="1"/>
    <col min="9481" max="9481" width="4.5703125" style="94" customWidth="1"/>
    <col min="9482" max="9482" width="1.7109375" style="94" customWidth="1"/>
    <col min="9483" max="9483" width="7" style="94" bestFit="1" customWidth="1"/>
    <col min="9484" max="9484" width="6.28515625" style="94" customWidth="1"/>
    <col min="9485" max="9485" width="20.42578125" style="94" customWidth="1"/>
    <col min="9486" max="9486" width="6.42578125" style="94" bestFit="1" customWidth="1"/>
    <col min="9487" max="9488" width="8.42578125" style="94"/>
    <col min="9489" max="9489" width="3.28515625" style="94" customWidth="1"/>
    <col min="9490" max="9728" width="8.42578125" style="94"/>
    <col min="9729" max="9729" width="10" style="94" bestFit="1" customWidth="1"/>
    <col min="9730" max="9730" width="44.28515625" style="94" bestFit="1" customWidth="1"/>
    <col min="9731" max="9731" width="10.42578125" style="94" bestFit="1" customWidth="1"/>
    <col min="9732" max="9732" width="10.42578125" style="94" customWidth="1"/>
    <col min="9733" max="9733" width="9.7109375" style="94" bestFit="1" customWidth="1"/>
    <col min="9734" max="9735" width="9.5703125" style="94" bestFit="1" customWidth="1"/>
    <col min="9736" max="9736" width="10.42578125" style="94" bestFit="1" customWidth="1"/>
    <col min="9737" max="9737" width="4.5703125" style="94" customWidth="1"/>
    <col min="9738" max="9738" width="1.7109375" style="94" customWidth="1"/>
    <col min="9739" max="9739" width="7" style="94" bestFit="1" customWidth="1"/>
    <col min="9740" max="9740" width="6.28515625" style="94" customWidth="1"/>
    <col min="9741" max="9741" width="20.42578125" style="94" customWidth="1"/>
    <col min="9742" max="9742" width="6.42578125" style="94" bestFit="1" customWidth="1"/>
    <col min="9743" max="9744" width="8.42578125" style="94"/>
    <col min="9745" max="9745" width="3.28515625" style="94" customWidth="1"/>
    <col min="9746" max="9984" width="8.42578125" style="94"/>
    <col min="9985" max="9985" width="10" style="94" bestFit="1" customWidth="1"/>
    <col min="9986" max="9986" width="44.28515625" style="94" bestFit="1" customWidth="1"/>
    <col min="9987" max="9987" width="10.42578125" style="94" bestFit="1" customWidth="1"/>
    <col min="9988" max="9988" width="10.42578125" style="94" customWidth="1"/>
    <col min="9989" max="9989" width="9.7109375" style="94" bestFit="1" customWidth="1"/>
    <col min="9990" max="9991" width="9.5703125" style="94" bestFit="1" customWidth="1"/>
    <col min="9992" max="9992" width="10.42578125" style="94" bestFit="1" customWidth="1"/>
    <col min="9993" max="9993" width="4.5703125" style="94" customWidth="1"/>
    <col min="9994" max="9994" width="1.7109375" style="94" customWidth="1"/>
    <col min="9995" max="9995" width="7" style="94" bestFit="1" customWidth="1"/>
    <col min="9996" max="9996" width="6.28515625" style="94" customWidth="1"/>
    <col min="9997" max="9997" width="20.42578125" style="94" customWidth="1"/>
    <col min="9998" max="9998" width="6.42578125" style="94" bestFit="1" customWidth="1"/>
    <col min="9999" max="10000" width="8.42578125" style="94"/>
    <col min="10001" max="10001" width="3.28515625" style="94" customWidth="1"/>
    <col min="10002" max="10240" width="8.42578125" style="94"/>
    <col min="10241" max="10241" width="10" style="94" bestFit="1" customWidth="1"/>
    <col min="10242" max="10242" width="44.28515625" style="94" bestFit="1" customWidth="1"/>
    <col min="10243" max="10243" width="10.42578125" style="94" bestFit="1" customWidth="1"/>
    <col min="10244" max="10244" width="10.42578125" style="94" customWidth="1"/>
    <col min="10245" max="10245" width="9.7109375" style="94" bestFit="1" customWidth="1"/>
    <col min="10246" max="10247" width="9.5703125" style="94" bestFit="1" customWidth="1"/>
    <col min="10248" max="10248" width="10.42578125" style="94" bestFit="1" customWidth="1"/>
    <col min="10249" max="10249" width="4.5703125" style="94" customWidth="1"/>
    <col min="10250" max="10250" width="1.7109375" style="94" customWidth="1"/>
    <col min="10251" max="10251" width="7" style="94" bestFit="1" customWidth="1"/>
    <col min="10252" max="10252" width="6.28515625" style="94" customWidth="1"/>
    <col min="10253" max="10253" width="20.42578125" style="94" customWidth="1"/>
    <col min="10254" max="10254" width="6.42578125" style="94" bestFit="1" customWidth="1"/>
    <col min="10255" max="10256" width="8.42578125" style="94"/>
    <col min="10257" max="10257" width="3.28515625" style="94" customWidth="1"/>
    <col min="10258" max="10496" width="8.42578125" style="94"/>
    <col min="10497" max="10497" width="10" style="94" bestFit="1" customWidth="1"/>
    <col min="10498" max="10498" width="44.28515625" style="94" bestFit="1" customWidth="1"/>
    <col min="10499" max="10499" width="10.42578125" style="94" bestFit="1" customWidth="1"/>
    <col min="10500" max="10500" width="10.42578125" style="94" customWidth="1"/>
    <col min="10501" max="10501" width="9.7109375" style="94" bestFit="1" customWidth="1"/>
    <col min="10502" max="10503" width="9.5703125" style="94" bestFit="1" customWidth="1"/>
    <col min="10504" max="10504" width="10.42578125" style="94" bestFit="1" customWidth="1"/>
    <col min="10505" max="10505" width="4.5703125" style="94" customWidth="1"/>
    <col min="10506" max="10506" width="1.7109375" style="94" customWidth="1"/>
    <col min="10507" max="10507" width="7" style="94" bestFit="1" customWidth="1"/>
    <col min="10508" max="10508" width="6.28515625" style="94" customWidth="1"/>
    <col min="10509" max="10509" width="20.42578125" style="94" customWidth="1"/>
    <col min="10510" max="10510" width="6.42578125" style="94" bestFit="1" customWidth="1"/>
    <col min="10511" max="10512" width="8.42578125" style="94"/>
    <col min="10513" max="10513" width="3.28515625" style="94" customWidth="1"/>
    <col min="10514" max="10752" width="8.42578125" style="94"/>
    <col min="10753" max="10753" width="10" style="94" bestFit="1" customWidth="1"/>
    <col min="10754" max="10754" width="44.28515625" style="94" bestFit="1" customWidth="1"/>
    <col min="10755" max="10755" width="10.42578125" style="94" bestFit="1" customWidth="1"/>
    <col min="10756" max="10756" width="10.42578125" style="94" customWidth="1"/>
    <col min="10757" max="10757" width="9.7109375" style="94" bestFit="1" customWidth="1"/>
    <col min="10758" max="10759" width="9.5703125" style="94" bestFit="1" customWidth="1"/>
    <col min="10760" max="10760" width="10.42578125" style="94" bestFit="1" customWidth="1"/>
    <col min="10761" max="10761" width="4.5703125" style="94" customWidth="1"/>
    <col min="10762" max="10762" width="1.7109375" style="94" customWidth="1"/>
    <col min="10763" max="10763" width="7" style="94" bestFit="1" customWidth="1"/>
    <col min="10764" max="10764" width="6.28515625" style="94" customWidth="1"/>
    <col min="10765" max="10765" width="20.42578125" style="94" customWidth="1"/>
    <col min="10766" max="10766" width="6.42578125" style="94" bestFit="1" customWidth="1"/>
    <col min="10767" max="10768" width="8.42578125" style="94"/>
    <col min="10769" max="10769" width="3.28515625" style="94" customWidth="1"/>
    <col min="10770" max="11008" width="8.42578125" style="94"/>
    <col min="11009" max="11009" width="10" style="94" bestFit="1" customWidth="1"/>
    <col min="11010" max="11010" width="44.28515625" style="94" bestFit="1" customWidth="1"/>
    <col min="11011" max="11011" width="10.42578125" style="94" bestFit="1" customWidth="1"/>
    <col min="11012" max="11012" width="10.42578125" style="94" customWidth="1"/>
    <col min="11013" max="11013" width="9.7109375" style="94" bestFit="1" customWidth="1"/>
    <col min="11014" max="11015" width="9.5703125" style="94" bestFit="1" customWidth="1"/>
    <col min="11016" max="11016" width="10.42578125" style="94" bestFit="1" customWidth="1"/>
    <col min="11017" max="11017" width="4.5703125" style="94" customWidth="1"/>
    <col min="11018" max="11018" width="1.7109375" style="94" customWidth="1"/>
    <col min="11019" max="11019" width="7" style="94" bestFit="1" customWidth="1"/>
    <col min="11020" max="11020" width="6.28515625" style="94" customWidth="1"/>
    <col min="11021" max="11021" width="20.42578125" style="94" customWidth="1"/>
    <col min="11022" max="11022" width="6.42578125" style="94" bestFit="1" customWidth="1"/>
    <col min="11023" max="11024" width="8.42578125" style="94"/>
    <col min="11025" max="11025" width="3.28515625" style="94" customWidth="1"/>
    <col min="11026" max="11264" width="8.42578125" style="94"/>
    <col min="11265" max="11265" width="10" style="94" bestFit="1" customWidth="1"/>
    <col min="11266" max="11266" width="44.28515625" style="94" bestFit="1" customWidth="1"/>
    <col min="11267" max="11267" width="10.42578125" style="94" bestFit="1" customWidth="1"/>
    <col min="11268" max="11268" width="10.42578125" style="94" customWidth="1"/>
    <col min="11269" max="11269" width="9.7109375" style="94" bestFit="1" customWidth="1"/>
    <col min="11270" max="11271" width="9.5703125" style="94" bestFit="1" customWidth="1"/>
    <col min="11272" max="11272" width="10.42578125" style="94" bestFit="1" customWidth="1"/>
    <col min="11273" max="11273" width="4.5703125" style="94" customWidth="1"/>
    <col min="11274" max="11274" width="1.7109375" style="94" customWidth="1"/>
    <col min="11275" max="11275" width="7" style="94" bestFit="1" customWidth="1"/>
    <col min="11276" max="11276" width="6.28515625" style="94" customWidth="1"/>
    <col min="11277" max="11277" width="20.42578125" style="94" customWidth="1"/>
    <col min="11278" max="11278" width="6.42578125" style="94" bestFit="1" customWidth="1"/>
    <col min="11279" max="11280" width="8.42578125" style="94"/>
    <col min="11281" max="11281" width="3.28515625" style="94" customWidth="1"/>
    <col min="11282" max="11520" width="8.42578125" style="94"/>
    <col min="11521" max="11521" width="10" style="94" bestFit="1" customWidth="1"/>
    <col min="11522" max="11522" width="44.28515625" style="94" bestFit="1" customWidth="1"/>
    <col min="11523" max="11523" width="10.42578125" style="94" bestFit="1" customWidth="1"/>
    <col min="11524" max="11524" width="10.42578125" style="94" customWidth="1"/>
    <col min="11525" max="11525" width="9.7109375" style="94" bestFit="1" customWidth="1"/>
    <col min="11526" max="11527" width="9.5703125" style="94" bestFit="1" customWidth="1"/>
    <col min="11528" max="11528" width="10.42578125" style="94" bestFit="1" customWidth="1"/>
    <col min="11529" max="11529" width="4.5703125" style="94" customWidth="1"/>
    <col min="11530" max="11530" width="1.7109375" style="94" customWidth="1"/>
    <col min="11531" max="11531" width="7" style="94" bestFit="1" customWidth="1"/>
    <col min="11532" max="11532" width="6.28515625" style="94" customWidth="1"/>
    <col min="11533" max="11533" width="20.42578125" style="94" customWidth="1"/>
    <col min="11534" max="11534" width="6.42578125" style="94" bestFit="1" customWidth="1"/>
    <col min="11535" max="11536" width="8.42578125" style="94"/>
    <col min="11537" max="11537" width="3.28515625" style="94" customWidth="1"/>
    <col min="11538" max="11776" width="8.42578125" style="94"/>
    <col min="11777" max="11777" width="10" style="94" bestFit="1" customWidth="1"/>
    <col min="11778" max="11778" width="44.28515625" style="94" bestFit="1" customWidth="1"/>
    <col min="11779" max="11779" width="10.42578125" style="94" bestFit="1" customWidth="1"/>
    <col min="11780" max="11780" width="10.42578125" style="94" customWidth="1"/>
    <col min="11781" max="11781" width="9.7109375" style="94" bestFit="1" customWidth="1"/>
    <col min="11782" max="11783" width="9.5703125" style="94" bestFit="1" customWidth="1"/>
    <col min="11784" max="11784" width="10.42578125" style="94" bestFit="1" customWidth="1"/>
    <col min="11785" max="11785" width="4.5703125" style="94" customWidth="1"/>
    <col min="11786" max="11786" width="1.7109375" style="94" customWidth="1"/>
    <col min="11787" max="11787" width="7" style="94" bestFit="1" customWidth="1"/>
    <col min="11788" max="11788" width="6.28515625" style="94" customWidth="1"/>
    <col min="11789" max="11789" width="20.42578125" style="94" customWidth="1"/>
    <col min="11790" max="11790" width="6.42578125" style="94" bestFit="1" customWidth="1"/>
    <col min="11791" max="11792" width="8.42578125" style="94"/>
    <col min="11793" max="11793" width="3.28515625" style="94" customWidth="1"/>
    <col min="11794" max="12032" width="8.42578125" style="94"/>
    <col min="12033" max="12033" width="10" style="94" bestFit="1" customWidth="1"/>
    <col min="12034" max="12034" width="44.28515625" style="94" bestFit="1" customWidth="1"/>
    <col min="12035" max="12035" width="10.42578125" style="94" bestFit="1" customWidth="1"/>
    <col min="12036" max="12036" width="10.42578125" style="94" customWidth="1"/>
    <col min="12037" max="12037" width="9.7109375" style="94" bestFit="1" customWidth="1"/>
    <col min="12038" max="12039" width="9.5703125" style="94" bestFit="1" customWidth="1"/>
    <col min="12040" max="12040" width="10.42578125" style="94" bestFit="1" customWidth="1"/>
    <col min="12041" max="12041" width="4.5703125" style="94" customWidth="1"/>
    <col min="12042" max="12042" width="1.7109375" style="94" customWidth="1"/>
    <col min="12043" max="12043" width="7" style="94" bestFit="1" customWidth="1"/>
    <col min="12044" max="12044" width="6.28515625" style="94" customWidth="1"/>
    <col min="12045" max="12045" width="20.42578125" style="94" customWidth="1"/>
    <col min="12046" max="12046" width="6.42578125" style="94" bestFit="1" customWidth="1"/>
    <col min="12047" max="12048" width="8.42578125" style="94"/>
    <col min="12049" max="12049" width="3.28515625" style="94" customWidth="1"/>
    <col min="12050" max="12288" width="8.42578125" style="94"/>
    <col min="12289" max="12289" width="10" style="94" bestFit="1" customWidth="1"/>
    <col min="12290" max="12290" width="44.28515625" style="94" bestFit="1" customWidth="1"/>
    <col min="12291" max="12291" width="10.42578125" style="94" bestFit="1" customWidth="1"/>
    <col min="12292" max="12292" width="10.42578125" style="94" customWidth="1"/>
    <col min="12293" max="12293" width="9.7109375" style="94" bestFit="1" customWidth="1"/>
    <col min="12294" max="12295" width="9.5703125" style="94" bestFit="1" customWidth="1"/>
    <col min="12296" max="12296" width="10.42578125" style="94" bestFit="1" customWidth="1"/>
    <col min="12297" max="12297" width="4.5703125" style="94" customWidth="1"/>
    <col min="12298" max="12298" width="1.7109375" style="94" customWidth="1"/>
    <col min="12299" max="12299" width="7" style="94" bestFit="1" customWidth="1"/>
    <col min="12300" max="12300" width="6.28515625" style="94" customWidth="1"/>
    <col min="12301" max="12301" width="20.42578125" style="94" customWidth="1"/>
    <col min="12302" max="12302" width="6.42578125" style="94" bestFit="1" customWidth="1"/>
    <col min="12303" max="12304" width="8.42578125" style="94"/>
    <col min="12305" max="12305" width="3.28515625" style="94" customWidth="1"/>
    <col min="12306" max="12544" width="8.42578125" style="94"/>
    <col min="12545" max="12545" width="10" style="94" bestFit="1" customWidth="1"/>
    <col min="12546" max="12546" width="44.28515625" style="94" bestFit="1" customWidth="1"/>
    <col min="12547" max="12547" width="10.42578125" style="94" bestFit="1" customWidth="1"/>
    <col min="12548" max="12548" width="10.42578125" style="94" customWidth="1"/>
    <col min="12549" max="12549" width="9.7109375" style="94" bestFit="1" customWidth="1"/>
    <col min="12550" max="12551" width="9.5703125" style="94" bestFit="1" customWidth="1"/>
    <col min="12552" max="12552" width="10.42578125" style="94" bestFit="1" customWidth="1"/>
    <col min="12553" max="12553" width="4.5703125" style="94" customWidth="1"/>
    <col min="12554" max="12554" width="1.7109375" style="94" customWidth="1"/>
    <col min="12555" max="12555" width="7" style="94" bestFit="1" customWidth="1"/>
    <col min="12556" max="12556" width="6.28515625" style="94" customWidth="1"/>
    <col min="12557" max="12557" width="20.42578125" style="94" customWidth="1"/>
    <col min="12558" max="12558" width="6.42578125" style="94" bestFit="1" customWidth="1"/>
    <col min="12559" max="12560" width="8.42578125" style="94"/>
    <col min="12561" max="12561" width="3.28515625" style="94" customWidth="1"/>
    <col min="12562" max="12800" width="8.42578125" style="94"/>
    <col min="12801" max="12801" width="10" style="94" bestFit="1" customWidth="1"/>
    <col min="12802" max="12802" width="44.28515625" style="94" bestFit="1" customWidth="1"/>
    <col min="12803" max="12803" width="10.42578125" style="94" bestFit="1" customWidth="1"/>
    <col min="12804" max="12804" width="10.42578125" style="94" customWidth="1"/>
    <col min="12805" max="12805" width="9.7109375" style="94" bestFit="1" customWidth="1"/>
    <col min="12806" max="12807" width="9.5703125" style="94" bestFit="1" customWidth="1"/>
    <col min="12808" max="12808" width="10.42578125" style="94" bestFit="1" customWidth="1"/>
    <col min="12809" max="12809" width="4.5703125" style="94" customWidth="1"/>
    <col min="12810" max="12810" width="1.7109375" style="94" customWidth="1"/>
    <col min="12811" max="12811" width="7" style="94" bestFit="1" customWidth="1"/>
    <col min="12812" max="12812" width="6.28515625" style="94" customWidth="1"/>
    <col min="12813" max="12813" width="20.42578125" style="94" customWidth="1"/>
    <col min="12814" max="12814" width="6.42578125" style="94" bestFit="1" customWidth="1"/>
    <col min="12815" max="12816" width="8.42578125" style="94"/>
    <col min="12817" max="12817" width="3.28515625" style="94" customWidth="1"/>
    <col min="12818" max="13056" width="8.42578125" style="94"/>
    <col min="13057" max="13057" width="10" style="94" bestFit="1" customWidth="1"/>
    <col min="13058" max="13058" width="44.28515625" style="94" bestFit="1" customWidth="1"/>
    <col min="13059" max="13059" width="10.42578125" style="94" bestFit="1" customWidth="1"/>
    <col min="13060" max="13060" width="10.42578125" style="94" customWidth="1"/>
    <col min="13061" max="13061" width="9.7109375" style="94" bestFit="1" customWidth="1"/>
    <col min="13062" max="13063" width="9.5703125" style="94" bestFit="1" customWidth="1"/>
    <col min="13064" max="13064" width="10.42578125" style="94" bestFit="1" customWidth="1"/>
    <col min="13065" max="13065" width="4.5703125" style="94" customWidth="1"/>
    <col min="13066" max="13066" width="1.7109375" style="94" customWidth="1"/>
    <col min="13067" max="13067" width="7" style="94" bestFit="1" customWidth="1"/>
    <col min="13068" max="13068" width="6.28515625" style="94" customWidth="1"/>
    <col min="13069" max="13069" width="20.42578125" style="94" customWidth="1"/>
    <col min="13070" max="13070" width="6.42578125" style="94" bestFit="1" customWidth="1"/>
    <col min="13071" max="13072" width="8.42578125" style="94"/>
    <col min="13073" max="13073" width="3.28515625" style="94" customWidth="1"/>
    <col min="13074" max="13312" width="8.42578125" style="94"/>
    <col min="13313" max="13313" width="10" style="94" bestFit="1" customWidth="1"/>
    <col min="13314" max="13314" width="44.28515625" style="94" bestFit="1" customWidth="1"/>
    <col min="13315" max="13315" width="10.42578125" style="94" bestFit="1" customWidth="1"/>
    <col min="13316" max="13316" width="10.42578125" style="94" customWidth="1"/>
    <col min="13317" max="13317" width="9.7109375" style="94" bestFit="1" customWidth="1"/>
    <col min="13318" max="13319" width="9.5703125" style="94" bestFit="1" customWidth="1"/>
    <col min="13320" max="13320" width="10.42578125" style="94" bestFit="1" customWidth="1"/>
    <col min="13321" max="13321" width="4.5703125" style="94" customWidth="1"/>
    <col min="13322" max="13322" width="1.7109375" style="94" customWidth="1"/>
    <col min="13323" max="13323" width="7" style="94" bestFit="1" customWidth="1"/>
    <col min="13324" max="13324" width="6.28515625" style="94" customWidth="1"/>
    <col min="13325" max="13325" width="20.42578125" style="94" customWidth="1"/>
    <col min="13326" max="13326" width="6.42578125" style="94" bestFit="1" customWidth="1"/>
    <col min="13327" max="13328" width="8.42578125" style="94"/>
    <col min="13329" max="13329" width="3.28515625" style="94" customWidth="1"/>
    <col min="13330" max="13568" width="8.42578125" style="94"/>
    <col min="13569" max="13569" width="10" style="94" bestFit="1" customWidth="1"/>
    <col min="13570" max="13570" width="44.28515625" style="94" bestFit="1" customWidth="1"/>
    <col min="13571" max="13571" width="10.42578125" style="94" bestFit="1" customWidth="1"/>
    <col min="13572" max="13572" width="10.42578125" style="94" customWidth="1"/>
    <col min="13573" max="13573" width="9.7109375" style="94" bestFit="1" customWidth="1"/>
    <col min="13574" max="13575" width="9.5703125" style="94" bestFit="1" customWidth="1"/>
    <col min="13576" max="13576" width="10.42578125" style="94" bestFit="1" customWidth="1"/>
    <col min="13577" max="13577" width="4.5703125" style="94" customWidth="1"/>
    <col min="13578" max="13578" width="1.7109375" style="94" customWidth="1"/>
    <col min="13579" max="13579" width="7" style="94" bestFit="1" customWidth="1"/>
    <col min="13580" max="13580" width="6.28515625" style="94" customWidth="1"/>
    <col min="13581" max="13581" width="20.42578125" style="94" customWidth="1"/>
    <col min="13582" max="13582" width="6.42578125" style="94" bestFit="1" customWidth="1"/>
    <col min="13583" max="13584" width="8.42578125" style="94"/>
    <col min="13585" max="13585" width="3.28515625" style="94" customWidth="1"/>
    <col min="13586" max="13824" width="8.42578125" style="94"/>
    <col min="13825" max="13825" width="10" style="94" bestFit="1" customWidth="1"/>
    <col min="13826" max="13826" width="44.28515625" style="94" bestFit="1" customWidth="1"/>
    <col min="13827" max="13827" width="10.42578125" style="94" bestFit="1" customWidth="1"/>
    <col min="13828" max="13828" width="10.42578125" style="94" customWidth="1"/>
    <col min="13829" max="13829" width="9.7109375" style="94" bestFit="1" customWidth="1"/>
    <col min="13830" max="13831" width="9.5703125" style="94" bestFit="1" customWidth="1"/>
    <col min="13832" max="13832" width="10.42578125" style="94" bestFit="1" customWidth="1"/>
    <col min="13833" max="13833" width="4.5703125" style="94" customWidth="1"/>
    <col min="13834" max="13834" width="1.7109375" style="94" customWidth="1"/>
    <col min="13835" max="13835" width="7" style="94" bestFit="1" customWidth="1"/>
    <col min="13836" max="13836" width="6.28515625" style="94" customWidth="1"/>
    <col min="13837" max="13837" width="20.42578125" style="94" customWidth="1"/>
    <col min="13838" max="13838" width="6.42578125" style="94" bestFit="1" customWidth="1"/>
    <col min="13839" max="13840" width="8.42578125" style="94"/>
    <col min="13841" max="13841" width="3.28515625" style="94" customWidth="1"/>
    <col min="13842" max="14080" width="8.42578125" style="94"/>
    <col min="14081" max="14081" width="10" style="94" bestFit="1" customWidth="1"/>
    <col min="14082" max="14082" width="44.28515625" style="94" bestFit="1" customWidth="1"/>
    <col min="14083" max="14083" width="10.42578125" style="94" bestFit="1" customWidth="1"/>
    <col min="14084" max="14084" width="10.42578125" style="94" customWidth="1"/>
    <col min="14085" max="14085" width="9.7109375" style="94" bestFit="1" customWidth="1"/>
    <col min="14086" max="14087" width="9.5703125" style="94" bestFit="1" customWidth="1"/>
    <col min="14088" max="14088" width="10.42578125" style="94" bestFit="1" customWidth="1"/>
    <col min="14089" max="14089" width="4.5703125" style="94" customWidth="1"/>
    <col min="14090" max="14090" width="1.7109375" style="94" customWidth="1"/>
    <col min="14091" max="14091" width="7" style="94" bestFit="1" customWidth="1"/>
    <col min="14092" max="14092" width="6.28515625" style="94" customWidth="1"/>
    <col min="14093" max="14093" width="20.42578125" style="94" customWidth="1"/>
    <col min="14094" max="14094" width="6.42578125" style="94" bestFit="1" customWidth="1"/>
    <col min="14095" max="14096" width="8.42578125" style="94"/>
    <col min="14097" max="14097" width="3.28515625" style="94" customWidth="1"/>
    <col min="14098" max="14336" width="8.42578125" style="94"/>
    <col min="14337" max="14337" width="10" style="94" bestFit="1" customWidth="1"/>
    <col min="14338" max="14338" width="44.28515625" style="94" bestFit="1" customWidth="1"/>
    <col min="14339" max="14339" width="10.42578125" style="94" bestFit="1" customWidth="1"/>
    <col min="14340" max="14340" width="10.42578125" style="94" customWidth="1"/>
    <col min="14341" max="14341" width="9.7109375" style="94" bestFit="1" customWidth="1"/>
    <col min="14342" max="14343" width="9.5703125" style="94" bestFit="1" customWidth="1"/>
    <col min="14344" max="14344" width="10.42578125" style="94" bestFit="1" customWidth="1"/>
    <col min="14345" max="14345" width="4.5703125" style="94" customWidth="1"/>
    <col min="14346" max="14346" width="1.7109375" style="94" customWidth="1"/>
    <col min="14347" max="14347" width="7" style="94" bestFit="1" customWidth="1"/>
    <col min="14348" max="14348" width="6.28515625" style="94" customWidth="1"/>
    <col min="14349" max="14349" width="20.42578125" style="94" customWidth="1"/>
    <col min="14350" max="14350" width="6.42578125" style="94" bestFit="1" customWidth="1"/>
    <col min="14351" max="14352" width="8.42578125" style="94"/>
    <col min="14353" max="14353" width="3.28515625" style="94" customWidth="1"/>
    <col min="14354" max="14592" width="8.42578125" style="94"/>
    <col min="14593" max="14593" width="10" style="94" bestFit="1" customWidth="1"/>
    <col min="14594" max="14594" width="44.28515625" style="94" bestFit="1" customWidth="1"/>
    <col min="14595" max="14595" width="10.42578125" style="94" bestFit="1" customWidth="1"/>
    <col min="14596" max="14596" width="10.42578125" style="94" customWidth="1"/>
    <col min="14597" max="14597" width="9.7109375" style="94" bestFit="1" customWidth="1"/>
    <col min="14598" max="14599" width="9.5703125" style="94" bestFit="1" customWidth="1"/>
    <col min="14600" max="14600" width="10.42578125" style="94" bestFit="1" customWidth="1"/>
    <col min="14601" max="14601" width="4.5703125" style="94" customWidth="1"/>
    <col min="14602" max="14602" width="1.7109375" style="94" customWidth="1"/>
    <col min="14603" max="14603" width="7" style="94" bestFit="1" customWidth="1"/>
    <col min="14604" max="14604" width="6.28515625" style="94" customWidth="1"/>
    <col min="14605" max="14605" width="20.42578125" style="94" customWidth="1"/>
    <col min="14606" max="14606" width="6.42578125" style="94" bestFit="1" customWidth="1"/>
    <col min="14607" max="14608" width="8.42578125" style="94"/>
    <col min="14609" max="14609" width="3.28515625" style="94" customWidth="1"/>
    <col min="14610" max="14848" width="8.42578125" style="94"/>
    <col min="14849" max="14849" width="10" style="94" bestFit="1" customWidth="1"/>
    <col min="14850" max="14850" width="44.28515625" style="94" bestFit="1" customWidth="1"/>
    <col min="14851" max="14851" width="10.42578125" style="94" bestFit="1" customWidth="1"/>
    <col min="14852" max="14852" width="10.42578125" style="94" customWidth="1"/>
    <col min="14853" max="14853" width="9.7109375" style="94" bestFit="1" customWidth="1"/>
    <col min="14854" max="14855" width="9.5703125" style="94" bestFit="1" customWidth="1"/>
    <col min="14856" max="14856" width="10.42578125" style="94" bestFit="1" customWidth="1"/>
    <col min="14857" max="14857" width="4.5703125" style="94" customWidth="1"/>
    <col min="14858" max="14858" width="1.7109375" style="94" customWidth="1"/>
    <col min="14859" max="14859" width="7" style="94" bestFit="1" customWidth="1"/>
    <col min="14860" max="14860" width="6.28515625" style="94" customWidth="1"/>
    <col min="14861" max="14861" width="20.42578125" style="94" customWidth="1"/>
    <col min="14862" max="14862" width="6.42578125" style="94" bestFit="1" customWidth="1"/>
    <col min="14863" max="14864" width="8.42578125" style="94"/>
    <col min="14865" max="14865" width="3.28515625" style="94" customWidth="1"/>
    <col min="14866" max="15104" width="8.42578125" style="94"/>
    <col min="15105" max="15105" width="10" style="94" bestFit="1" customWidth="1"/>
    <col min="15106" max="15106" width="44.28515625" style="94" bestFit="1" customWidth="1"/>
    <col min="15107" max="15107" width="10.42578125" style="94" bestFit="1" customWidth="1"/>
    <col min="15108" max="15108" width="10.42578125" style="94" customWidth="1"/>
    <col min="15109" max="15109" width="9.7109375" style="94" bestFit="1" customWidth="1"/>
    <col min="15110" max="15111" width="9.5703125" style="94" bestFit="1" customWidth="1"/>
    <col min="15112" max="15112" width="10.42578125" style="94" bestFit="1" customWidth="1"/>
    <col min="15113" max="15113" width="4.5703125" style="94" customWidth="1"/>
    <col min="15114" max="15114" width="1.7109375" style="94" customWidth="1"/>
    <col min="15115" max="15115" width="7" style="94" bestFit="1" customWidth="1"/>
    <col min="15116" max="15116" width="6.28515625" style="94" customWidth="1"/>
    <col min="15117" max="15117" width="20.42578125" style="94" customWidth="1"/>
    <col min="15118" max="15118" width="6.42578125" style="94" bestFit="1" customWidth="1"/>
    <col min="15119" max="15120" width="8.42578125" style="94"/>
    <col min="15121" max="15121" width="3.28515625" style="94" customWidth="1"/>
    <col min="15122" max="15360" width="8.42578125" style="94"/>
    <col min="15361" max="15361" width="10" style="94" bestFit="1" customWidth="1"/>
    <col min="15362" max="15362" width="44.28515625" style="94" bestFit="1" customWidth="1"/>
    <col min="15363" max="15363" width="10.42578125" style="94" bestFit="1" customWidth="1"/>
    <col min="15364" max="15364" width="10.42578125" style="94" customWidth="1"/>
    <col min="15365" max="15365" width="9.7109375" style="94" bestFit="1" customWidth="1"/>
    <col min="15366" max="15367" width="9.5703125" style="94" bestFit="1" customWidth="1"/>
    <col min="15368" max="15368" width="10.42578125" style="94" bestFit="1" customWidth="1"/>
    <col min="15369" max="15369" width="4.5703125" style="94" customWidth="1"/>
    <col min="15370" max="15370" width="1.7109375" style="94" customWidth="1"/>
    <col min="15371" max="15371" width="7" style="94" bestFit="1" customWidth="1"/>
    <col min="15372" max="15372" width="6.28515625" style="94" customWidth="1"/>
    <col min="15373" max="15373" width="20.42578125" style="94" customWidth="1"/>
    <col min="15374" max="15374" width="6.42578125" style="94" bestFit="1" customWidth="1"/>
    <col min="15375" max="15376" width="8.42578125" style="94"/>
    <col min="15377" max="15377" width="3.28515625" style="94" customWidth="1"/>
    <col min="15378" max="15616" width="8.42578125" style="94"/>
    <col min="15617" max="15617" width="10" style="94" bestFit="1" customWidth="1"/>
    <col min="15618" max="15618" width="44.28515625" style="94" bestFit="1" customWidth="1"/>
    <col min="15619" max="15619" width="10.42578125" style="94" bestFit="1" customWidth="1"/>
    <col min="15620" max="15620" width="10.42578125" style="94" customWidth="1"/>
    <col min="15621" max="15621" width="9.7109375" style="94" bestFit="1" customWidth="1"/>
    <col min="15622" max="15623" width="9.5703125" style="94" bestFit="1" customWidth="1"/>
    <col min="15624" max="15624" width="10.42578125" style="94" bestFit="1" customWidth="1"/>
    <col min="15625" max="15625" width="4.5703125" style="94" customWidth="1"/>
    <col min="15626" max="15626" width="1.7109375" style="94" customWidth="1"/>
    <col min="15627" max="15627" width="7" style="94" bestFit="1" customWidth="1"/>
    <col min="15628" max="15628" width="6.28515625" style="94" customWidth="1"/>
    <col min="15629" max="15629" width="20.42578125" style="94" customWidth="1"/>
    <col min="15630" max="15630" width="6.42578125" style="94" bestFit="1" customWidth="1"/>
    <col min="15631" max="15632" width="8.42578125" style="94"/>
    <col min="15633" max="15633" width="3.28515625" style="94" customWidth="1"/>
    <col min="15634" max="15872" width="8.42578125" style="94"/>
    <col min="15873" max="15873" width="10" style="94" bestFit="1" customWidth="1"/>
    <col min="15874" max="15874" width="44.28515625" style="94" bestFit="1" customWidth="1"/>
    <col min="15875" max="15875" width="10.42578125" style="94" bestFit="1" customWidth="1"/>
    <col min="15876" max="15876" width="10.42578125" style="94" customWidth="1"/>
    <col min="15877" max="15877" width="9.7109375" style="94" bestFit="1" customWidth="1"/>
    <col min="15878" max="15879" width="9.5703125" style="94" bestFit="1" customWidth="1"/>
    <col min="15880" max="15880" width="10.42578125" style="94" bestFit="1" customWidth="1"/>
    <col min="15881" max="15881" width="4.5703125" style="94" customWidth="1"/>
    <col min="15882" max="15882" width="1.7109375" style="94" customWidth="1"/>
    <col min="15883" max="15883" width="7" style="94" bestFit="1" customWidth="1"/>
    <col min="15884" max="15884" width="6.28515625" style="94" customWidth="1"/>
    <col min="15885" max="15885" width="20.42578125" style="94" customWidth="1"/>
    <col min="15886" max="15886" width="6.42578125" style="94" bestFit="1" customWidth="1"/>
    <col min="15887" max="15888" width="8.42578125" style="94"/>
    <col min="15889" max="15889" width="3.28515625" style="94" customWidth="1"/>
    <col min="15890" max="16128" width="8.42578125" style="94"/>
    <col min="16129" max="16129" width="10" style="94" bestFit="1" customWidth="1"/>
    <col min="16130" max="16130" width="44.28515625" style="94" bestFit="1" customWidth="1"/>
    <col min="16131" max="16131" width="10.42578125" style="94" bestFit="1" customWidth="1"/>
    <col min="16132" max="16132" width="10.42578125" style="94" customWidth="1"/>
    <col min="16133" max="16133" width="9.7109375" style="94" bestFit="1" customWidth="1"/>
    <col min="16134" max="16135" width="9.5703125" style="94" bestFit="1" customWidth="1"/>
    <col min="16136" max="16136" width="10.42578125" style="94" bestFit="1" customWidth="1"/>
    <col min="16137" max="16137" width="4.5703125" style="94" customWidth="1"/>
    <col min="16138" max="16138" width="1.7109375" style="94" customWidth="1"/>
    <col min="16139" max="16139" width="7" style="94" bestFit="1" customWidth="1"/>
    <col min="16140" max="16140" width="6.28515625" style="94" customWidth="1"/>
    <col min="16141" max="16141" width="20.42578125" style="94" customWidth="1"/>
    <col min="16142" max="16142" width="6.42578125" style="94" bestFit="1" customWidth="1"/>
    <col min="16143" max="16144" width="8.42578125" style="94"/>
    <col min="16145" max="16145" width="3.28515625" style="94" customWidth="1"/>
    <col min="16146" max="16384" width="8.42578125" style="94"/>
  </cols>
  <sheetData>
    <row r="1" spans="1:13" ht="27.75" customHeight="1" x14ac:dyDescent="0.25">
      <c r="A1" s="89"/>
      <c r="B1" s="89"/>
      <c r="C1" s="89"/>
      <c r="D1" s="89"/>
      <c r="E1" s="90" t="s">
        <v>132</v>
      </c>
      <c r="F1" s="91" t="s">
        <v>133</v>
      </c>
      <c r="G1" s="91" t="s">
        <v>134</v>
      </c>
      <c r="H1" s="91" t="s">
        <v>135</v>
      </c>
      <c r="I1" s="92"/>
    </row>
    <row r="2" spans="1:13" ht="30.75" customHeight="1" x14ac:dyDescent="0.25">
      <c r="A2" s="89"/>
      <c r="B2" s="89"/>
      <c r="C2" s="89"/>
      <c r="D2" s="89"/>
      <c r="E2" s="95">
        <f>IFERROR(O68,"")</f>
        <v>5773.4875470946299</v>
      </c>
      <c r="F2" s="95">
        <f>IFERROR(H59,"")</f>
        <v>4020.6054370800002</v>
      </c>
      <c r="G2" s="95">
        <f>IFERROR(H60,"")</f>
        <v>487.86874555331048</v>
      </c>
      <c r="H2" s="95">
        <f>IFERROR(H62,"")</f>
        <v>648.45222884151599</v>
      </c>
      <c r="I2" s="96"/>
    </row>
    <row r="3" spans="1:13" ht="15" customHeight="1" x14ac:dyDescent="0.25">
      <c r="A3" s="89"/>
      <c r="B3" s="89"/>
      <c r="C3" s="89"/>
      <c r="D3" s="89"/>
      <c r="E3" s="89"/>
      <c r="F3" s="97"/>
      <c r="G3" s="97"/>
      <c r="H3" s="97"/>
      <c r="I3" s="97"/>
    </row>
    <row r="4" spans="1:13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8"/>
    </row>
    <row r="5" spans="1:13" ht="19.5" customHeight="1" thickBot="1" x14ac:dyDescent="0.3">
      <c r="A5" s="358" t="s">
        <v>136</v>
      </c>
      <c r="B5" s="359"/>
      <c r="C5" s="359"/>
      <c r="D5" s="359"/>
      <c r="E5" s="359"/>
      <c r="F5" s="359"/>
      <c r="G5" s="359"/>
      <c r="H5" s="360"/>
      <c r="I5" s="99"/>
    </row>
    <row r="6" spans="1:13" ht="19.5" thickBot="1" x14ac:dyDescent="0.3">
      <c r="A6" s="99"/>
      <c r="B6" s="99"/>
      <c r="C6" s="99"/>
      <c r="D6" s="99"/>
      <c r="E6" s="99"/>
      <c r="F6" s="361" t="s">
        <v>137</v>
      </c>
      <c r="G6" s="361"/>
      <c r="H6" s="100">
        <f ca="1">TODAY()</f>
        <v>45776</v>
      </c>
      <c r="I6" s="100"/>
    </row>
    <row r="7" spans="1:13" ht="26.25" thickBot="1" x14ac:dyDescent="0.3">
      <c r="A7" s="101" t="s">
        <v>138</v>
      </c>
      <c r="B7" s="102" t="s">
        <v>139</v>
      </c>
      <c r="C7" s="102" t="s">
        <v>138</v>
      </c>
      <c r="D7" s="103" t="s">
        <v>140</v>
      </c>
      <c r="E7" s="103" t="s">
        <v>141</v>
      </c>
      <c r="F7" s="103" t="s">
        <v>142</v>
      </c>
      <c r="G7" s="103" t="s">
        <v>143</v>
      </c>
      <c r="H7" s="104" t="s">
        <v>144</v>
      </c>
      <c r="I7" s="105"/>
    </row>
    <row r="8" spans="1:13" ht="13.5" hidden="1" x14ac:dyDescent="0.25">
      <c r="A8" s="106">
        <v>0</v>
      </c>
      <c r="B8" s="94" t="s">
        <v>66</v>
      </c>
      <c r="C8" s="107">
        <f>+A8</f>
        <v>0</v>
      </c>
      <c r="D8" s="108" t="str">
        <f>IFERROR(VLOOKUP(H8,'[1]Consolidado MP Planta'!$A$2:$M$823,13,0),"")</f>
        <v/>
      </c>
      <c r="E8" s="108">
        <v>11.5</v>
      </c>
      <c r="F8" s="108">
        <f>IFERROR(C8*E8,"")</f>
        <v>0</v>
      </c>
      <c r="G8" s="109">
        <f t="shared" ref="G8:G14" si="0">IFERROR(F8/$F$72,"")</f>
        <v>0</v>
      </c>
      <c r="H8" s="110" t="s">
        <v>198</v>
      </c>
      <c r="I8" s="110"/>
      <c r="J8" s="111"/>
    </row>
    <row r="9" spans="1:13" ht="13.5" x14ac:dyDescent="0.25">
      <c r="A9" s="106">
        <v>25</v>
      </c>
      <c r="B9" s="94" t="s">
        <v>67</v>
      </c>
      <c r="C9" s="107">
        <f t="shared" ref="C9:C14" si="1">+A9</f>
        <v>25</v>
      </c>
      <c r="D9" s="108" t="str">
        <f>IFERROR(VLOOKUP(H9,'[1]Consolidado MP Planta'!$A$2:$M$823,13,0),"")</f>
        <v/>
      </c>
      <c r="E9" s="108">
        <v>10.48</v>
      </c>
      <c r="F9" s="108">
        <f t="shared" ref="F9:F14" si="2">IFERROR(C9*E9,"")</f>
        <v>262</v>
      </c>
      <c r="G9" s="109">
        <f t="shared" si="0"/>
        <v>5.3536184619114337E-2</v>
      </c>
      <c r="H9" s="110"/>
      <c r="I9" s="110"/>
      <c r="J9" s="111"/>
      <c r="M9" s="94" t="s">
        <v>199</v>
      </c>
    </row>
    <row r="10" spans="1:13" ht="13.5" x14ac:dyDescent="0.25">
      <c r="A10" s="106">
        <v>10</v>
      </c>
      <c r="B10" s="94" t="s">
        <v>100</v>
      </c>
      <c r="C10" s="107">
        <f t="shared" si="1"/>
        <v>10</v>
      </c>
      <c r="D10" s="108" t="str">
        <f>IFERROR(VLOOKUP(H10,'[1]Consolidado MP Planta'!$A$2:$M$823,13,0),"")</f>
        <v/>
      </c>
      <c r="E10" s="108">
        <v>2.56</v>
      </c>
      <c r="F10" s="108">
        <f t="shared" si="2"/>
        <v>25.6</v>
      </c>
      <c r="G10" s="109">
        <f t="shared" si="0"/>
        <v>5.2310165124020121E-3</v>
      </c>
      <c r="H10" s="110" t="s">
        <v>98</v>
      </c>
      <c r="I10" s="110"/>
      <c r="J10" s="111"/>
    </row>
    <row r="11" spans="1:13" ht="13.5" hidden="1" x14ac:dyDescent="0.25">
      <c r="A11" s="106"/>
      <c r="B11" s="94" t="str">
        <f>IFERROR(VLOOKUP(H11,'[1]Consolidado MP Planta'!$A$2:$M$823,3,0),"")</f>
        <v/>
      </c>
      <c r="C11" s="107">
        <f t="shared" si="1"/>
        <v>0</v>
      </c>
      <c r="D11" s="108" t="str">
        <f>IFERROR(VLOOKUP(H11,'[1]Consolidado MP Planta'!$A$2:$M$823,13,0),"")</f>
        <v/>
      </c>
      <c r="E11" s="108" t="str">
        <f>IFERROR(VLOOKUP(H11,'[1]Consolidado MP Planta'!$A$2:$M$823,12,0),"")</f>
        <v/>
      </c>
      <c r="F11" s="108" t="str">
        <f t="shared" si="2"/>
        <v/>
      </c>
      <c r="G11" s="109" t="str">
        <f t="shared" si="0"/>
        <v/>
      </c>
      <c r="H11" s="110"/>
      <c r="I11" s="110"/>
      <c r="J11" s="111"/>
    </row>
    <row r="12" spans="1:13" ht="13.5" hidden="1" x14ac:dyDescent="0.25">
      <c r="A12" s="106"/>
      <c r="B12" s="94" t="str">
        <f>IFERROR(VLOOKUP(H12,'[1]Consolidado MP Planta'!$A$2:$M$823,3,0),"")</f>
        <v/>
      </c>
      <c r="C12" s="107">
        <f t="shared" si="1"/>
        <v>0</v>
      </c>
      <c r="D12" s="108" t="str">
        <f>IFERROR(VLOOKUP(H12,'[1]Consolidado MP Planta'!$A$2:$M$823,13,0),"")</f>
        <v/>
      </c>
      <c r="E12" s="108" t="str">
        <f>IFERROR(VLOOKUP(H12,'[1]Consolidado MP Planta'!$A$2:$M$823,12,0),"")</f>
        <v/>
      </c>
      <c r="F12" s="108" t="str">
        <f t="shared" si="2"/>
        <v/>
      </c>
      <c r="G12" s="109" t="str">
        <f t="shared" si="0"/>
        <v/>
      </c>
      <c r="H12" s="110"/>
      <c r="I12" s="110"/>
      <c r="J12" s="111"/>
    </row>
    <row r="13" spans="1:13" ht="13.5" hidden="1" x14ac:dyDescent="0.25">
      <c r="A13" s="106"/>
      <c r="B13" s="94" t="str">
        <f>IFERROR(VLOOKUP(H13,'[1]Consolidado MP Planta'!$A$2:$M$823,3,0),"")</f>
        <v/>
      </c>
      <c r="C13" s="107">
        <f t="shared" si="1"/>
        <v>0</v>
      </c>
      <c r="D13" s="108" t="str">
        <f>IFERROR(VLOOKUP(H13,'[1]Consolidado MP Planta'!$A$2:$M$823,13,0),"")</f>
        <v/>
      </c>
      <c r="E13" s="108" t="str">
        <f>IFERROR(VLOOKUP(H13,'[1]Consolidado MP Planta'!$A$2:$M$823,12,0),"")</f>
        <v/>
      </c>
      <c r="F13" s="108" t="str">
        <f t="shared" si="2"/>
        <v/>
      </c>
      <c r="G13" s="109" t="str">
        <f t="shared" si="0"/>
        <v/>
      </c>
      <c r="H13" s="110"/>
      <c r="I13" s="110"/>
      <c r="J13" s="111"/>
    </row>
    <row r="14" spans="1:13" ht="13.5" hidden="1" x14ac:dyDescent="0.25">
      <c r="A14" s="106"/>
      <c r="B14" s="94" t="str">
        <f>IFERROR(VLOOKUP(H14,'[1]Consolidado MP Planta'!$A$2:$M$823,3,0),"")</f>
        <v/>
      </c>
      <c r="C14" s="107">
        <f t="shared" si="1"/>
        <v>0</v>
      </c>
      <c r="D14" s="108" t="str">
        <f>IFERROR(VLOOKUP(H14,'[1]Consolidado MP Planta'!$A$2:$M$823,13,0),"")</f>
        <v/>
      </c>
      <c r="E14" s="108" t="str">
        <f>IFERROR(VLOOKUP(H14,'[1]Consolidado MP Planta'!$A$2:$M$823,12,0),"")</f>
        <v/>
      </c>
      <c r="F14" s="108" t="str">
        <f t="shared" si="2"/>
        <v/>
      </c>
      <c r="G14" s="109" t="str">
        <f t="shared" si="0"/>
        <v/>
      </c>
      <c r="H14" s="110"/>
      <c r="I14" s="110"/>
      <c r="J14" s="111"/>
    </row>
    <row r="15" spans="1:13" ht="15.75" thickBot="1" x14ac:dyDescent="0.3">
      <c r="A15" s="106"/>
      <c r="B15" s="94" t="str">
        <f>IFERROR(VLOOKUP(H15,'[2]ARTICULOS MP PLANTA'!$A$2:$G$589,2,0),"")</f>
        <v/>
      </c>
      <c r="C15" s="107"/>
      <c r="D15" s="108"/>
      <c r="E15" s="108"/>
      <c r="F15" s="108"/>
      <c r="G15" s="109"/>
      <c r="H15" s="110"/>
      <c r="I15" s="110"/>
      <c r="J15" s="111"/>
      <c r="M15"/>
    </row>
    <row r="16" spans="1:13" ht="26.25" thickBot="1" x14ac:dyDescent="0.3">
      <c r="A16" s="101" t="s">
        <v>138</v>
      </c>
      <c r="B16" s="102" t="s">
        <v>145</v>
      </c>
      <c r="C16" s="102" t="s">
        <v>138</v>
      </c>
      <c r="D16" s="103" t="s">
        <v>140</v>
      </c>
      <c r="E16" s="103" t="s">
        <v>141</v>
      </c>
      <c r="F16" s="103" t="s">
        <v>142</v>
      </c>
      <c r="G16" s="103" t="s">
        <v>143</v>
      </c>
      <c r="H16" s="104" t="s">
        <v>144</v>
      </c>
      <c r="I16" s="105"/>
      <c r="J16" s="111"/>
    </row>
    <row r="17" spans="1:16" ht="13.5" x14ac:dyDescent="0.25">
      <c r="A17" s="106">
        <v>0.5</v>
      </c>
      <c r="B17" s="94" t="s">
        <v>76</v>
      </c>
      <c r="C17" s="107">
        <f>+A17</f>
        <v>0.5</v>
      </c>
      <c r="D17" s="107" t="s">
        <v>196</v>
      </c>
      <c r="E17" s="108">
        <v>517.65</v>
      </c>
      <c r="F17" s="108">
        <f>IFERROR(E17*C17,"")</f>
        <v>258.82499999999999</v>
      </c>
      <c r="G17" s="109">
        <f t="shared" ref="G17:G24" si="3">IFERROR(F17/$F$72,"")</f>
        <v>5.2887415969626976E-2</v>
      </c>
      <c r="H17" s="110" t="s">
        <v>74</v>
      </c>
      <c r="I17" s="110"/>
      <c r="J17" s="111"/>
    </row>
    <row r="18" spans="1:16" ht="13.5" x14ac:dyDescent="0.25">
      <c r="A18" s="106">
        <v>1</v>
      </c>
      <c r="B18" s="94" t="s">
        <v>78</v>
      </c>
      <c r="C18" s="107">
        <f t="shared" ref="C18:C24" si="4">+A18</f>
        <v>1</v>
      </c>
      <c r="D18" s="107" t="str">
        <f>IFERROR(VLOOKUP(H18,[1]SEMIELABORADOS!$A$2:$M$6000,6,0),"")</f>
        <v/>
      </c>
      <c r="E18" s="108">
        <f>+'Costo disco'!H53</f>
        <v>1467.2326638</v>
      </c>
      <c r="F18" s="108">
        <f t="shared" ref="F18:F24" si="5">IFERROR(E18*C18,"")</f>
        <v>1467.2326638</v>
      </c>
      <c r="G18" s="109">
        <f t="shared" si="3"/>
        <v>0.29980930827630425</v>
      </c>
      <c r="H18" s="110"/>
      <c r="I18" s="110"/>
      <c r="J18" s="111"/>
    </row>
    <row r="19" spans="1:16" ht="13.5" x14ac:dyDescent="0.25">
      <c r="A19" s="106">
        <v>50</v>
      </c>
      <c r="B19" s="94" t="s">
        <v>46</v>
      </c>
      <c r="C19" s="107">
        <f>+A19</f>
        <v>50</v>
      </c>
      <c r="D19" s="107" t="str">
        <f>IFERROR(VLOOKUP(H19,[1]SEMIELABORADOS!$A$2:$M$6000,6,0),"")</f>
        <v/>
      </c>
      <c r="E19" s="108">
        <f>+'costo semillas Cadbury'!E69</f>
        <v>3.9676</v>
      </c>
      <c r="F19" s="108">
        <f>IFERROR(E19*C19,"")</f>
        <v>198.38</v>
      </c>
      <c r="G19" s="109">
        <f t="shared" si="3"/>
        <v>4.0536291239465276E-2</v>
      </c>
      <c r="H19" s="110"/>
      <c r="I19" s="110"/>
      <c r="J19" s="111"/>
    </row>
    <row r="20" spans="1:16" ht="13.5" x14ac:dyDescent="0.25">
      <c r="A20" s="106">
        <v>350</v>
      </c>
      <c r="B20" s="94" t="s">
        <v>77</v>
      </c>
      <c r="C20" s="107">
        <f>+A20</f>
        <v>350</v>
      </c>
      <c r="D20" s="107" t="str">
        <f>IFERROR(VLOOKUP(H20,[1]SEMIELABORADOS!$A$2:$M$6000,6,0),"")</f>
        <v/>
      </c>
      <c r="E20" s="108">
        <f>+'Costo Mousse pastelera'!E69</f>
        <v>2.6250455000000001</v>
      </c>
      <c r="F20" s="108">
        <f>IFERROR(E20*C20,"")</f>
        <v>918.76592500000004</v>
      </c>
      <c r="G20" s="109">
        <f t="shared" si="3"/>
        <v>0.18773748924637923</v>
      </c>
      <c r="H20" s="110"/>
      <c r="I20" s="110"/>
      <c r="J20" s="111"/>
      <c r="M20" s="94">
        <f>6*24</f>
        <v>144</v>
      </c>
      <c r="N20" s="94">
        <f>+M20*100</f>
        <v>14400</v>
      </c>
      <c r="O20" s="94">
        <f>12*24</f>
        <v>288</v>
      </c>
      <c r="P20" s="94">
        <f>+O20*42</f>
        <v>12096</v>
      </c>
    </row>
    <row r="21" spans="1:16" ht="13.5" x14ac:dyDescent="0.25">
      <c r="A21" s="106">
        <v>50</v>
      </c>
      <c r="B21" s="94" t="s">
        <v>82</v>
      </c>
      <c r="C21" s="107">
        <f>+A21</f>
        <v>50</v>
      </c>
      <c r="D21" s="107" t="str">
        <f>IFERROR(VLOOKUP(H21,[1]SEMIELABORADOS!$A$2:$M$6000,6,0),"")</f>
        <v/>
      </c>
      <c r="E21" s="108">
        <v>2.34</v>
      </c>
      <c r="F21" s="108">
        <f>IFERROR(E21*C21,"")</f>
        <v>117</v>
      </c>
      <c r="G21" s="109">
        <f t="shared" si="3"/>
        <v>2.390738015433732E-2</v>
      </c>
      <c r="H21" s="110" t="s">
        <v>80</v>
      </c>
      <c r="I21" s="110"/>
      <c r="J21" s="111"/>
      <c r="N21" s="94">
        <f>150452/N20</f>
        <v>10.448055555555555</v>
      </c>
      <c r="P21" s="94">
        <f>158763/P20</f>
        <v>13.125248015873016</v>
      </c>
    </row>
    <row r="22" spans="1:16" ht="13.5" x14ac:dyDescent="0.25">
      <c r="A22" s="106">
        <v>50</v>
      </c>
      <c r="B22" s="94" t="s">
        <v>84</v>
      </c>
      <c r="C22" s="107">
        <f t="shared" si="4"/>
        <v>50</v>
      </c>
      <c r="D22" s="107" t="str">
        <f>IFERROR(VLOOKUP(H22,[1]SEMIELABORADOS!$A$2:$M$6000,6,0),"")</f>
        <v/>
      </c>
      <c r="E22" s="108">
        <v>3.5</v>
      </c>
      <c r="F22" s="108">
        <f t="shared" si="5"/>
        <v>175</v>
      </c>
      <c r="G22" s="109">
        <f t="shared" si="3"/>
        <v>3.5758901940248125E-2</v>
      </c>
      <c r="H22" s="110"/>
      <c r="I22" s="110"/>
      <c r="J22" s="111"/>
    </row>
    <row r="23" spans="1:16" ht="13.5" x14ac:dyDescent="0.25">
      <c r="A23" s="106">
        <v>60</v>
      </c>
      <c r="B23" s="94" t="s">
        <v>128</v>
      </c>
      <c r="C23" s="107">
        <f t="shared" si="4"/>
        <v>60</v>
      </c>
      <c r="D23" s="107" t="str">
        <f>IFERROR(VLOOKUP(H23,[1]SEMIELABORADOS!$A$2:$M$6000,6,0),"")</f>
        <v/>
      </c>
      <c r="E23" s="108">
        <f>+'Costo Empaque Relleno Arand'!E69</f>
        <v>6.6233641380000003</v>
      </c>
      <c r="F23" s="108">
        <f t="shared" si="5"/>
        <v>397.40184828000002</v>
      </c>
      <c r="G23" s="109">
        <f t="shared" si="3"/>
        <v>8.1203735562959331E-2</v>
      </c>
      <c r="H23" s="110"/>
      <c r="I23" s="110"/>
      <c r="J23" s="111"/>
    </row>
    <row r="24" spans="1:16" ht="13.5" x14ac:dyDescent="0.25">
      <c r="A24" s="106">
        <v>60</v>
      </c>
      <c r="B24" s="94" t="s">
        <v>210</v>
      </c>
      <c r="C24" s="107">
        <f t="shared" si="4"/>
        <v>60</v>
      </c>
      <c r="D24" s="107" t="str">
        <f>IFERROR(VLOOKUP(H24,[1]SEMIELABORADOS!$A$2:$M$6000,6,0),"")</f>
        <v/>
      </c>
      <c r="E24" s="108">
        <v>3.34</v>
      </c>
      <c r="F24" s="108">
        <f t="shared" si="5"/>
        <v>200.39999999999998</v>
      </c>
      <c r="G24" s="109">
        <f t="shared" si="3"/>
        <v>4.094905113614699E-2</v>
      </c>
      <c r="H24" s="110" t="s">
        <v>209</v>
      </c>
      <c r="I24" s="110"/>
      <c r="J24" s="111"/>
    </row>
    <row r="25" spans="1:16" ht="14.25" thickBot="1" x14ac:dyDescent="0.3">
      <c r="A25" s="106"/>
      <c r="C25" s="107"/>
      <c r="D25" s="107"/>
      <c r="E25" s="108"/>
      <c r="F25" s="108"/>
      <c r="G25" s="109"/>
      <c r="H25" s="110"/>
      <c r="I25" s="110"/>
      <c r="J25" s="111"/>
    </row>
    <row r="26" spans="1:16" ht="26.25" thickBot="1" x14ac:dyDescent="0.3">
      <c r="A26" s="101" t="s">
        <v>138</v>
      </c>
      <c r="B26" s="102" t="s">
        <v>20</v>
      </c>
      <c r="C26" s="102" t="s">
        <v>138</v>
      </c>
      <c r="D26" s="103" t="s">
        <v>140</v>
      </c>
      <c r="E26" s="103" t="s">
        <v>141</v>
      </c>
      <c r="F26" s="103" t="s">
        <v>142</v>
      </c>
      <c r="G26" s="103" t="s">
        <v>143</v>
      </c>
      <c r="H26" s="104" t="s">
        <v>144</v>
      </c>
      <c r="I26" s="105"/>
    </row>
    <row r="27" spans="1:16" ht="13.5" x14ac:dyDescent="0.25">
      <c r="A27" s="106">
        <v>1</v>
      </c>
      <c r="B27" s="112" t="str">
        <f>IFERROR(VLOOKUP(H27,'[1]Consolidado MP Planta'!$A$2:$M$823,3,0),"")</f>
        <v>QUEQUERA RED C/BASE ALTA 9" (CAJA:100 U)</v>
      </c>
      <c r="C27" s="107">
        <f t="shared" ref="C27:C36" si="6">+A27</f>
        <v>1</v>
      </c>
      <c r="D27" s="108" t="str">
        <f>IFERROR(VLOOKUP(H27,'[1]Consolidado MP Planta'!$A$2:$M$823,13,0),"")</f>
        <v>Und</v>
      </c>
      <c r="E27" s="108">
        <v>342.24</v>
      </c>
      <c r="F27" s="108">
        <f t="shared" ref="F27:F36" si="7">IFERROR(C27*E27,"")</f>
        <v>342.24</v>
      </c>
      <c r="G27" s="109">
        <f t="shared" ref="G27:G36" si="8">IFERROR(F27/$F$72,"")</f>
        <v>6.99321520001744E-2</v>
      </c>
      <c r="H27" s="113" t="s">
        <v>200</v>
      </c>
      <c r="I27" s="113"/>
      <c r="J27" s="111"/>
      <c r="K27" s="356"/>
      <c r="L27" s="356"/>
    </row>
    <row r="28" spans="1:16" ht="13.5" x14ac:dyDescent="0.25">
      <c r="A28" s="106">
        <v>1</v>
      </c>
      <c r="B28" s="112" t="str">
        <f>IFERROR(VLOOKUP(H28,'[1]Consolidado MP Planta'!$A$2:$M$823,3,0),"")</f>
        <v>ORLA #9  DORADA (UND)</v>
      </c>
      <c r="C28" s="107">
        <f t="shared" si="6"/>
        <v>1</v>
      </c>
      <c r="D28" s="108" t="str">
        <f>IFERROR(VLOOKUP(H28,'[1]Consolidado MP Planta'!$A$2:$M$823,13,0),"")</f>
        <v>Und</v>
      </c>
      <c r="E28" s="108">
        <f>IFERROR(VLOOKUP(H28,'[1]Consolidado MP Planta'!$A$2:$M$823,12,0),"")</f>
        <v>135</v>
      </c>
      <c r="F28" s="108">
        <f t="shared" si="7"/>
        <v>135</v>
      </c>
      <c r="G28" s="109">
        <f t="shared" si="8"/>
        <v>2.7585438639619982E-2</v>
      </c>
      <c r="H28" s="113" t="s">
        <v>201</v>
      </c>
      <c r="I28" s="113"/>
      <c r="J28" s="111"/>
      <c r="K28" s="356"/>
      <c r="L28" s="356"/>
    </row>
    <row r="29" spans="1:16" ht="13.5" x14ac:dyDescent="0.25">
      <c r="A29" s="106">
        <v>1</v>
      </c>
      <c r="B29" s="112" t="str">
        <f>IFERROR(VLOOKUP(H29,'[1]Consolidado MP Planta'!$A$2:$M$823,3,0),"")</f>
        <v>ETIQ.BLANCA 1 1/4 * 3/4 (UND)</v>
      </c>
      <c r="C29" s="107">
        <f t="shared" si="6"/>
        <v>1</v>
      </c>
      <c r="D29" s="108" t="str">
        <f>IFERROR(VLOOKUP(H29,'[1]Consolidado MP Planta'!$A$2:$M$823,13,0),"")</f>
        <v>Und</v>
      </c>
      <c r="E29" s="108">
        <f>IFERROR(VLOOKUP(H29,'[1]Consolidado MP Planta'!$A$2:$M$823,12,0),"")</f>
        <v>0.57999999999999996</v>
      </c>
      <c r="F29" s="108">
        <f t="shared" si="7"/>
        <v>0.57999999999999996</v>
      </c>
      <c r="G29" s="109">
        <f t="shared" si="8"/>
        <v>1.1851521785910806E-4</v>
      </c>
      <c r="H29" s="113" t="s">
        <v>90</v>
      </c>
      <c r="I29" s="113"/>
      <c r="J29" s="111"/>
      <c r="K29" s="92"/>
      <c r="L29" s="92"/>
    </row>
    <row r="30" spans="1:16" ht="13.5" x14ac:dyDescent="0.25">
      <c r="A30" s="106">
        <v>1</v>
      </c>
      <c r="B30" s="112" t="str">
        <f>IFERROR(VLOOKUP(H30,'[1]Consolidado MP Planta'!$A$2:$M$823,3,0),"")</f>
        <v>ETIQUETA BLANCA R-153 (UND)</v>
      </c>
      <c r="C30" s="107">
        <f t="shared" si="6"/>
        <v>1</v>
      </c>
      <c r="D30" s="108" t="str">
        <f>IFERROR(VLOOKUP(H30,'[1]Consolidado MP Planta'!$A$2:$M$823,13,0),"")</f>
        <v>Und</v>
      </c>
      <c r="E30" s="108">
        <f>IFERROR(VLOOKUP(H30,'[1]Consolidado MP Planta'!$A$2:$M$823,12,0),"")</f>
        <v>0.39</v>
      </c>
      <c r="F30" s="108">
        <f t="shared" si="7"/>
        <v>0.39</v>
      </c>
      <c r="G30" s="109">
        <f t="shared" si="8"/>
        <v>7.9691267181124399E-5</v>
      </c>
      <c r="H30" s="113" t="s">
        <v>202</v>
      </c>
      <c r="I30" s="113"/>
      <c r="J30" s="111"/>
      <c r="K30" s="92"/>
      <c r="L30" s="92"/>
    </row>
    <row r="31" spans="1:16" ht="13.5" x14ac:dyDescent="0.25">
      <c r="A31" s="106">
        <v>1</v>
      </c>
      <c r="B31" s="112" t="str">
        <f>IFERROR(VLOOKUP(H31,'[1]Consolidado MP Planta'!$A$2:$M$823,3,0),"")</f>
        <v>ETIQUETA BLANCA 2 5/8X1 15/16 (UND)</v>
      </c>
      <c r="C31" s="107">
        <f t="shared" si="6"/>
        <v>1</v>
      </c>
      <c r="D31" s="108" t="str">
        <f>IFERROR(VLOOKUP(H31,'[1]Consolidado MP Planta'!$A$2:$M$823,13,0),"")</f>
        <v>Und</v>
      </c>
      <c r="E31" s="108">
        <f>IFERROR(VLOOKUP(H31,'[1]Consolidado MP Planta'!$A$2:$M$823,12,0),"")</f>
        <v>2.1280000000000001</v>
      </c>
      <c r="F31" s="108">
        <f t="shared" si="7"/>
        <v>2.1280000000000001</v>
      </c>
      <c r="G31" s="109">
        <f t="shared" si="8"/>
        <v>4.3482824759341724E-4</v>
      </c>
      <c r="H31" s="113" t="s">
        <v>107</v>
      </c>
      <c r="I31" s="113"/>
      <c r="J31" s="111"/>
      <c r="K31" s="92"/>
      <c r="L31" s="92"/>
    </row>
    <row r="32" spans="1:16" ht="13.5" hidden="1" x14ac:dyDescent="0.25">
      <c r="A32" s="106"/>
      <c r="B32" s="112" t="str">
        <f>IFERROR(VLOOKUP(H32,'[1]Consolidado MP Planta'!$A$2:$M$823,3,0),"")</f>
        <v/>
      </c>
      <c r="C32" s="107">
        <f t="shared" si="6"/>
        <v>0</v>
      </c>
      <c r="D32" s="108" t="str">
        <f>IFERROR(VLOOKUP(H32,'[1]Consolidado MP Planta'!$A$2:$M$823,13,0),"")</f>
        <v/>
      </c>
      <c r="E32" s="108" t="str">
        <f>IFERROR(VLOOKUP(H32,'[1]Consolidado MP Planta'!$A$2:$M$823,12,0),"")</f>
        <v/>
      </c>
      <c r="F32" s="108" t="str">
        <f t="shared" si="7"/>
        <v/>
      </c>
      <c r="G32" s="109" t="str">
        <f t="shared" si="8"/>
        <v/>
      </c>
      <c r="H32" s="113"/>
      <c r="I32" s="113"/>
      <c r="J32" s="111"/>
      <c r="K32" s="92"/>
      <c r="L32" s="92"/>
    </row>
    <row r="33" spans="1:12" ht="13.5" hidden="1" x14ac:dyDescent="0.25">
      <c r="A33" s="106"/>
      <c r="B33" s="112" t="str">
        <f>IFERROR(VLOOKUP(H33,'[1]Consolidado MP Planta'!$A$2:$M$823,3,0),"")</f>
        <v/>
      </c>
      <c r="C33" s="107">
        <f t="shared" si="6"/>
        <v>0</v>
      </c>
      <c r="D33" s="108" t="str">
        <f>IFERROR(VLOOKUP(H33,'[1]Consolidado MP Planta'!$A$2:$M$823,13,0),"")</f>
        <v/>
      </c>
      <c r="E33" s="108" t="str">
        <f>IFERROR(VLOOKUP(H33,'[1]Consolidado MP Planta'!$A$2:$M$823,12,0),"")</f>
        <v/>
      </c>
      <c r="F33" s="108" t="str">
        <f t="shared" si="7"/>
        <v/>
      </c>
      <c r="G33" s="109" t="str">
        <f t="shared" si="8"/>
        <v/>
      </c>
      <c r="H33" s="113"/>
      <c r="I33" s="113"/>
      <c r="J33" s="111"/>
      <c r="K33" s="356"/>
      <c r="L33" s="356"/>
    </row>
    <row r="34" spans="1:12" ht="13.5" hidden="1" x14ac:dyDescent="0.25">
      <c r="A34" s="106"/>
      <c r="B34" s="112" t="str">
        <f>IFERROR(VLOOKUP(H34,'[1]Consolidado MP Planta'!$A$2:$M$823,3,0),"")</f>
        <v/>
      </c>
      <c r="C34" s="107">
        <f t="shared" si="6"/>
        <v>0</v>
      </c>
      <c r="D34" s="108" t="str">
        <f>IFERROR(VLOOKUP(H34,'[1]Consolidado MP Planta'!$A$2:$M$823,13,0),"")</f>
        <v/>
      </c>
      <c r="E34" s="108" t="str">
        <f>IFERROR(VLOOKUP(H34,'[1]Consolidado MP Planta'!$A$2:$M$823,12,0),"")</f>
        <v/>
      </c>
      <c r="F34" s="108" t="str">
        <f t="shared" si="7"/>
        <v/>
      </c>
      <c r="G34" s="109" t="str">
        <f t="shared" si="8"/>
        <v/>
      </c>
      <c r="H34" s="113"/>
      <c r="I34" s="113"/>
      <c r="J34" s="111"/>
      <c r="K34" s="356"/>
      <c r="L34" s="356"/>
    </row>
    <row r="35" spans="1:12" ht="13.5" hidden="1" x14ac:dyDescent="0.25">
      <c r="A35" s="106"/>
      <c r="B35" s="112" t="str">
        <f>IFERROR(VLOOKUP(H35,'[1]Consolidado MP Planta'!$A$2:$M$823,3,0),"")</f>
        <v/>
      </c>
      <c r="C35" s="107">
        <f t="shared" si="6"/>
        <v>0</v>
      </c>
      <c r="D35" s="108" t="str">
        <f>IFERROR(VLOOKUP(H35,'[1]Consolidado MP Planta'!$A$2:$M$823,13,0),"")</f>
        <v/>
      </c>
      <c r="E35" s="108" t="str">
        <f>IFERROR(VLOOKUP(H35,'[1]Consolidado MP Planta'!$A$2:$M$823,12,0),"")</f>
        <v/>
      </c>
      <c r="F35" s="108" t="str">
        <f t="shared" si="7"/>
        <v/>
      </c>
      <c r="G35" s="109" t="str">
        <f t="shared" si="8"/>
        <v/>
      </c>
      <c r="H35" s="113"/>
      <c r="I35" s="113"/>
      <c r="J35" s="111"/>
      <c r="K35" s="114"/>
      <c r="L35" s="115"/>
    </row>
    <row r="36" spans="1:12" ht="13.5" hidden="1" x14ac:dyDescent="0.25">
      <c r="A36" s="106"/>
      <c r="B36" s="112" t="str">
        <f>IFERROR(VLOOKUP(H36,'[1]Consolidado MP Planta'!$A$2:$M$823,3,0),"")</f>
        <v/>
      </c>
      <c r="C36" s="107">
        <f t="shared" si="6"/>
        <v>0</v>
      </c>
      <c r="D36" s="108" t="str">
        <f>IFERROR(VLOOKUP(H36,'[1]Consolidado MP Planta'!$A$2:$M$823,13,0),"")</f>
        <v/>
      </c>
      <c r="E36" s="108" t="str">
        <f>IFERROR(VLOOKUP(H36,'[1]Consolidado MP Planta'!$A$2:$M$823,12,0),"")</f>
        <v/>
      </c>
      <c r="F36" s="108" t="str">
        <f t="shared" si="7"/>
        <v/>
      </c>
      <c r="G36" s="109" t="str">
        <f t="shared" si="8"/>
        <v/>
      </c>
      <c r="H36" s="113"/>
      <c r="I36" s="113"/>
      <c r="J36" s="111"/>
    </row>
    <row r="37" spans="1:12" ht="14.25" thickBot="1" x14ac:dyDescent="0.3">
      <c r="A37" s="106"/>
      <c r="B37" s="112"/>
      <c r="C37" s="107"/>
      <c r="D37" s="108"/>
      <c r="E37" s="108"/>
      <c r="F37" s="108"/>
      <c r="G37" s="109"/>
      <c r="H37" s="113"/>
      <c r="I37" s="113"/>
      <c r="J37" s="111"/>
    </row>
    <row r="38" spans="1:12" ht="26.25" thickBot="1" x14ac:dyDescent="0.25">
      <c r="A38" s="101" t="s">
        <v>138</v>
      </c>
      <c r="B38" s="102" t="s">
        <v>146</v>
      </c>
      <c r="C38" s="102" t="s">
        <v>138</v>
      </c>
      <c r="D38" s="103" t="s">
        <v>140</v>
      </c>
      <c r="E38" s="103" t="s">
        <v>141</v>
      </c>
      <c r="F38" s="103" t="s">
        <v>142</v>
      </c>
      <c r="G38" s="103" t="s">
        <v>143</v>
      </c>
      <c r="H38" s="104" t="s">
        <v>144</v>
      </c>
      <c r="I38" s="113"/>
      <c r="J38" s="111"/>
    </row>
    <row r="39" spans="1:12" ht="13.5" x14ac:dyDescent="0.25">
      <c r="A39" s="106">
        <f t="shared" ref="A39:A46" si="9">+A17</f>
        <v>0.5</v>
      </c>
      <c r="B39" s="112" t="s">
        <v>76</v>
      </c>
      <c r="C39" s="107">
        <f>+A39</f>
        <v>0.5</v>
      </c>
      <c r="D39" s="108" t="str">
        <f>IFERROR(VLOOKUP(H39,[1]SEMIELABORADOS!$A$2:$M$6000,6,0),"")</f>
        <v/>
      </c>
      <c r="E39" s="108">
        <v>5.29</v>
      </c>
      <c r="F39" s="108">
        <f>IFERROR(E39*C39,"")</f>
        <v>2.645</v>
      </c>
      <c r="G39" s="109">
        <f t="shared" ref="G39:G46" si="10">IFERROR(F39/$F$72,"")</f>
        <v>5.4047026075403591E-4</v>
      </c>
      <c r="H39" s="113" t="s">
        <v>74</v>
      </c>
      <c r="I39" s="113"/>
      <c r="J39" s="111"/>
    </row>
    <row r="40" spans="1:12" ht="13.5" x14ac:dyDescent="0.25">
      <c r="A40" s="106">
        <f t="shared" si="9"/>
        <v>1</v>
      </c>
      <c r="B40" s="112" t="s">
        <v>78</v>
      </c>
      <c r="C40" s="107">
        <f t="shared" ref="C40:C45" si="11">+A40</f>
        <v>1</v>
      </c>
      <c r="D40" s="108" t="str">
        <f>IFERROR(VLOOKUP(H40,[1]SEMIELABORADOS!$A$2:$M$6000,6,0),"")</f>
        <v/>
      </c>
      <c r="E40" s="108">
        <f>+'Costo disco'!H54</f>
        <v>2.4662564470095241</v>
      </c>
      <c r="F40" s="108">
        <f t="shared" ref="F40:F45" si="12">IFERROR(E40*C40,"")</f>
        <v>2.4662564470095241</v>
      </c>
      <c r="G40" s="109">
        <f t="shared" si="10"/>
        <v>5.0394641398924752E-4</v>
      </c>
      <c r="H40" s="113"/>
      <c r="I40" s="113"/>
      <c r="J40" s="111"/>
    </row>
    <row r="41" spans="1:12" ht="13.5" x14ac:dyDescent="0.25">
      <c r="A41" s="106">
        <f t="shared" si="9"/>
        <v>50</v>
      </c>
      <c r="B41" s="112" t="s">
        <v>46</v>
      </c>
      <c r="C41" s="107">
        <f t="shared" si="11"/>
        <v>50</v>
      </c>
      <c r="D41" s="108" t="str">
        <f>IFERROR(VLOOKUP(H41,[1]SEMIELABORADOS!$A$2:$M$6000,6,0),"")</f>
        <v/>
      </c>
      <c r="E41" s="108">
        <f>+'costo semillas Cadbury'!E76</f>
        <v>4.9747047619047623E-3</v>
      </c>
      <c r="F41" s="108">
        <f t="shared" si="12"/>
        <v>0.24873523809523812</v>
      </c>
      <c r="G41" s="109">
        <f t="shared" si="10"/>
        <v>5.0825708503610797E-5</v>
      </c>
      <c r="H41" s="113"/>
      <c r="I41" s="113"/>
      <c r="J41" s="111"/>
    </row>
    <row r="42" spans="1:12" ht="13.5" x14ac:dyDescent="0.25">
      <c r="A42" s="106">
        <f t="shared" si="9"/>
        <v>350</v>
      </c>
      <c r="B42" s="112" t="s">
        <v>77</v>
      </c>
      <c r="C42" s="107">
        <f>+A42</f>
        <v>350</v>
      </c>
      <c r="D42" s="108" t="str">
        <f>IFERROR(VLOOKUP(H42,[1]SEMIELABORADOS!$A$2:$M$6000,6,0),"")</f>
        <v/>
      </c>
      <c r="E42" s="108">
        <f>+'Costo Mousse pastelera'!E76</f>
        <v>0</v>
      </c>
      <c r="F42" s="108">
        <f>IFERROR(E42*C42,"")</f>
        <v>0</v>
      </c>
      <c r="G42" s="109">
        <f t="shared" si="10"/>
        <v>0</v>
      </c>
      <c r="H42" s="113"/>
      <c r="I42" s="113"/>
      <c r="J42" s="111"/>
    </row>
    <row r="43" spans="1:12" ht="13.5" x14ac:dyDescent="0.25">
      <c r="A43" s="106">
        <f t="shared" si="9"/>
        <v>50</v>
      </c>
      <c r="B43" s="112" t="s">
        <v>82</v>
      </c>
      <c r="C43" s="107">
        <f>+A43</f>
        <v>50</v>
      </c>
      <c r="D43" s="108" t="str">
        <f>IFERROR(VLOOKUP(H43,[1]SEMIELABORADOS!$A$2:$M$6000,6,0),"")</f>
        <v/>
      </c>
      <c r="E43" s="108">
        <v>0.01</v>
      </c>
      <c r="F43" s="108">
        <f>IFERROR(E43*C43,"")</f>
        <v>0.5</v>
      </c>
      <c r="G43" s="109">
        <f t="shared" si="10"/>
        <v>1.0216829125785178E-4</v>
      </c>
      <c r="H43" s="113"/>
      <c r="I43" s="113"/>
      <c r="J43" s="111"/>
    </row>
    <row r="44" spans="1:12" ht="13.5" x14ac:dyDescent="0.25">
      <c r="A44" s="106">
        <f t="shared" si="9"/>
        <v>50</v>
      </c>
      <c r="B44" s="112" t="s">
        <v>84</v>
      </c>
      <c r="C44" s="107">
        <f t="shared" si="11"/>
        <v>50</v>
      </c>
      <c r="D44" s="108" t="str">
        <f>IFERROR(VLOOKUP(H44,[1]SEMIELABORADOS!$A$2:$M$6000,6,0),"")</f>
        <v/>
      </c>
      <c r="E44" s="108">
        <v>0.01</v>
      </c>
      <c r="F44" s="108">
        <f t="shared" si="12"/>
        <v>0.5</v>
      </c>
      <c r="G44" s="109">
        <f t="shared" si="10"/>
        <v>1.0216829125785178E-4</v>
      </c>
      <c r="H44" s="113"/>
      <c r="I44" s="113"/>
      <c r="J44" s="111"/>
    </row>
    <row r="45" spans="1:12" ht="13.5" x14ac:dyDescent="0.25">
      <c r="A45" s="106">
        <f t="shared" si="9"/>
        <v>60</v>
      </c>
      <c r="B45" s="112" t="s">
        <v>128</v>
      </c>
      <c r="C45" s="107">
        <f t="shared" si="11"/>
        <v>60</v>
      </c>
      <c r="D45" s="108" t="str">
        <f>IFERROR(VLOOKUP(H45,[1]SEMIELABORADOS!$A$2:$M$6000,6,0),"")</f>
        <v/>
      </c>
      <c r="E45" s="108">
        <f>+'Costo Empaque Relleno Arand'!E76</f>
        <v>1.951256447009524E-2</v>
      </c>
      <c r="F45" s="108">
        <f t="shared" si="12"/>
        <v>1.1707538682057144</v>
      </c>
      <c r="G45" s="109">
        <f t="shared" si="10"/>
        <v>2.3922784439619609E-4</v>
      </c>
      <c r="H45" s="113"/>
      <c r="I45" s="113"/>
      <c r="J45" s="111"/>
    </row>
    <row r="46" spans="1:12" ht="13.5" x14ac:dyDescent="0.25">
      <c r="A46" s="106">
        <f t="shared" si="9"/>
        <v>60</v>
      </c>
      <c r="B46" s="112" t="s">
        <v>210</v>
      </c>
      <c r="C46" s="107">
        <f t="shared" ref="C46" si="13">+A46</f>
        <v>60</v>
      </c>
      <c r="D46" s="108" t="str">
        <f>IFERROR(VLOOKUP(H46,[1]SEMIELABORADOS!$A$2:$M$6000,6,0),"")</f>
        <v/>
      </c>
      <c r="E46" s="108">
        <v>0</v>
      </c>
      <c r="F46" s="108">
        <f t="shared" ref="F46" si="14">IFERROR(E46*C46,"")</f>
        <v>0</v>
      </c>
      <c r="G46" s="109">
        <f t="shared" si="10"/>
        <v>0</v>
      </c>
      <c r="H46" s="113"/>
      <c r="I46" s="113"/>
      <c r="J46" s="111"/>
    </row>
    <row r="47" spans="1:12" ht="14.25" thickBot="1" x14ac:dyDescent="0.3">
      <c r="A47" s="106"/>
      <c r="B47" s="112"/>
      <c r="C47" s="107"/>
      <c r="D47" s="108"/>
      <c r="E47" s="108"/>
      <c r="F47" s="108"/>
      <c r="G47" s="109"/>
      <c r="H47" s="113"/>
      <c r="I47" s="113"/>
      <c r="J47" s="111"/>
    </row>
    <row r="48" spans="1:12" ht="26.25" thickBot="1" x14ac:dyDescent="0.3">
      <c r="A48" s="101" t="s">
        <v>138</v>
      </c>
      <c r="B48" s="102" t="s">
        <v>147</v>
      </c>
      <c r="C48" s="102" t="s">
        <v>138</v>
      </c>
      <c r="D48" s="103" t="s">
        <v>140</v>
      </c>
      <c r="E48" s="103" t="s">
        <v>141</v>
      </c>
      <c r="F48" s="103" t="s">
        <v>142</v>
      </c>
      <c r="G48" s="103" t="s">
        <v>143</v>
      </c>
      <c r="H48" s="104" t="s">
        <v>144</v>
      </c>
      <c r="I48" s="105"/>
      <c r="J48" s="111"/>
    </row>
    <row r="49" spans="1:17" ht="13.5" x14ac:dyDescent="0.25">
      <c r="A49" s="106">
        <f t="shared" ref="A49:A56" si="15">+A39</f>
        <v>0.5</v>
      </c>
      <c r="B49" s="112" t="s">
        <v>76</v>
      </c>
      <c r="C49" s="107">
        <f>+A49</f>
        <v>0.5</v>
      </c>
      <c r="D49" s="108" t="str">
        <f>IFERROR(VLOOKUP(H49,[1]SEMIELABORADOS!$A$2:$M$6000,6,0),"")</f>
        <v/>
      </c>
      <c r="E49" s="108">
        <v>33.340000000000003</v>
      </c>
      <c r="F49" s="108">
        <f>IFERROR(E49*C49,"")</f>
        <v>16.670000000000002</v>
      </c>
      <c r="G49" s="109">
        <f>IFERROR(F49/$F$72,"")</f>
        <v>3.4062908305367789E-3</v>
      </c>
      <c r="H49" s="113" t="s">
        <v>74</v>
      </c>
      <c r="I49" s="105"/>
      <c r="J49" s="111"/>
    </row>
    <row r="50" spans="1:17" ht="13.5" x14ac:dyDescent="0.25">
      <c r="A50" s="106">
        <f t="shared" si="15"/>
        <v>1</v>
      </c>
      <c r="B50" s="112" t="s">
        <v>78</v>
      </c>
      <c r="C50" s="107">
        <f t="shared" ref="C50:C55" si="16">+A50</f>
        <v>1</v>
      </c>
      <c r="D50" s="108" t="str">
        <f>IFERROR(VLOOKUP(H50,[1]SEMIELABORADOS!$A$2:$M$6000,6,0),"")</f>
        <v/>
      </c>
      <c r="E50" s="108">
        <f>+'Costo disco'!H56</f>
        <v>247.75826802594742</v>
      </c>
      <c r="F50" s="108">
        <f t="shared" ref="F50:F55" si="17">IFERROR(E50*C50,"")</f>
        <v>247.75826802594742</v>
      </c>
      <c r="G50" s="109">
        <f t="shared" ref="G50:G55" si="18">IFERROR(F50/$F$72,"")</f>
        <v>5.0626077778431804E-2</v>
      </c>
      <c r="H50" s="113"/>
      <c r="I50" s="105"/>
      <c r="J50" s="111"/>
      <c r="M50" s="116"/>
    </row>
    <row r="51" spans="1:17" ht="13.5" x14ac:dyDescent="0.25">
      <c r="A51" s="106">
        <f t="shared" si="15"/>
        <v>50</v>
      </c>
      <c r="B51" s="112" t="s">
        <v>46</v>
      </c>
      <c r="C51" s="107">
        <f t="shared" si="16"/>
        <v>50</v>
      </c>
      <c r="D51" s="108" t="str">
        <f>IFERROR(VLOOKUP(H51,[1]SEMIELABORADOS!$A$2:$M$6000,6,0),"")</f>
        <v/>
      </c>
      <c r="E51" s="108">
        <f>+'costo semillas Cadbury'!E74</f>
        <v>0.122</v>
      </c>
      <c r="F51" s="108">
        <f t="shared" si="17"/>
        <v>6.1</v>
      </c>
      <c r="G51" s="109">
        <f t="shared" si="18"/>
        <v>1.2464531533457918E-3</v>
      </c>
      <c r="H51" s="113"/>
      <c r="I51" s="105"/>
      <c r="J51" s="111"/>
    </row>
    <row r="52" spans="1:17" ht="13.5" x14ac:dyDescent="0.25">
      <c r="A52" s="106">
        <f t="shared" si="15"/>
        <v>350</v>
      </c>
      <c r="B52" s="112" t="s">
        <v>77</v>
      </c>
      <c r="C52" s="107">
        <f t="shared" si="16"/>
        <v>350</v>
      </c>
      <c r="D52" s="108" t="str">
        <f>IFERROR(VLOOKUP(H52,[1]SEMIELABORADOS!$A$2:$M$6000,6,0),"")</f>
        <v/>
      </c>
      <c r="E52" s="108">
        <f>+'Costo Mousse pastelera'!E74</f>
        <v>0.14030000000000001</v>
      </c>
      <c r="F52" s="108">
        <f t="shared" si="17"/>
        <v>49.105000000000004</v>
      </c>
      <c r="G52" s="109">
        <f t="shared" si="18"/>
        <v>1.0033947884433625E-2</v>
      </c>
      <c r="H52" s="113"/>
      <c r="I52" s="105"/>
      <c r="J52" s="111"/>
    </row>
    <row r="53" spans="1:17" ht="13.5" x14ac:dyDescent="0.25">
      <c r="A53" s="106">
        <f t="shared" si="15"/>
        <v>50</v>
      </c>
      <c r="B53" s="112" t="s">
        <v>82</v>
      </c>
      <c r="C53" s="107">
        <f t="shared" si="16"/>
        <v>50</v>
      </c>
      <c r="D53" s="108" t="str">
        <f>IFERROR(VLOOKUP(H53,[1]SEMIELABORADOS!$A$2:$M$6000,6,0),"")</f>
        <v/>
      </c>
      <c r="E53" s="108">
        <v>0.09</v>
      </c>
      <c r="F53" s="108">
        <f t="shared" si="17"/>
        <v>4.5</v>
      </c>
      <c r="G53" s="109">
        <f t="shared" si="18"/>
        <v>9.1951462132066611E-4</v>
      </c>
      <c r="H53" s="113"/>
      <c r="I53" s="105"/>
      <c r="J53" s="111"/>
    </row>
    <row r="54" spans="1:17" ht="13.5" x14ac:dyDescent="0.25">
      <c r="A54" s="106">
        <f t="shared" si="15"/>
        <v>50</v>
      </c>
      <c r="B54" s="112" t="s">
        <v>84</v>
      </c>
      <c r="C54" s="107">
        <f t="shared" si="16"/>
        <v>50</v>
      </c>
      <c r="D54" s="108" t="str">
        <f>IFERROR(VLOOKUP(H54,[1]SEMIELABORADOS!$A$2:$M$6000,6,0),"")</f>
        <v/>
      </c>
      <c r="E54" s="108">
        <v>0.09</v>
      </c>
      <c r="F54" s="108">
        <f t="shared" si="17"/>
        <v>4.5</v>
      </c>
      <c r="G54" s="109">
        <f t="shared" si="18"/>
        <v>9.1951462132066611E-4</v>
      </c>
      <c r="H54" s="113"/>
      <c r="I54" s="105"/>
      <c r="J54" s="111"/>
    </row>
    <row r="55" spans="1:17" ht="13.5" x14ac:dyDescent="0.25">
      <c r="A55" s="106">
        <f t="shared" si="15"/>
        <v>60</v>
      </c>
      <c r="B55" s="112" t="s">
        <v>128</v>
      </c>
      <c r="C55" s="107">
        <f t="shared" si="16"/>
        <v>60</v>
      </c>
      <c r="D55" s="108" t="str">
        <f>IFERROR(VLOOKUP(H55,[1]SEMIELABORADOS!$A$2:$M$6000,6,0),"")</f>
        <v/>
      </c>
      <c r="E55" s="108">
        <f>+'Costo Empaque Relleno Arand'!E74</f>
        <v>9.6982680259474291E-2</v>
      </c>
      <c r="F55" s="108">
        <f t="shared" si="17"/>
        <v>5.8189608155684578</v>
      </c>
      <c r="G55" s="109">
        <f t="shared" si="18"/>
        <v>1.1890265668460498E-3</v>
      </c>
      <c r="H55" s="112"/>
      <c r="I55" s="105"/>
      <c r="J55" s="111"/>
    </row>
    <row r="56" spans="1:17" ht="13.5" x14ac:dyDescent="0.25">
      <c r="A56" s="106">
        <f t="shared" si="15"/>
        <v>60</v>
      </c>
      <c r="B56" s="112" t="s">
        <v>210</v>
      </c>
      <c r="C56" s="107">
        <f t="shared" ref="C56" si="19">+A56</f>
        <v>60</v>
      </c>
      <c r="D56" s="108" t="str">
        <f>IFERROR(VLOOKUP(H56,[1]SEMIELABORADOS!$A$2:$M$6000,6,0),"")</f>
        <v/>
      </c>
      <c r="E56" s="108">
        <v>0.15</v>
      </c>
      <c r="F56" s="108">
        <f t="shared" ref="F56" si="20">IFERROR(E56*C56,"")</f>
        <v>9</v>
      </c>
      <c r="G56" s="109">
        <f t="shared" ref="G56" si="21">IFERROR(F56/$F$72,"")</f>
        <v>1.8390292426413322E-3</v>
      </c>
      <c r="H56" s="112"/>
      <c r="I56" s="105"/>
      <c r="J56" s="111"/>
    </row>
    <row r="57" spans="1:17" ht="13.5" x14ac:dyDescent="0.25">
      <c r="A57" s="106">
        <v>1</v>
      </c>
      <c r="B57" s="112" t="s">
        <v>148</v>
      </c>
      <c r="C57" s="107">
        <f>+A57</f>
        <v>1</v>
      </c>
      <c r="D57" s="107" t="s">
        <v>149</v>
      </c>
      <c r="E57" s="108">
        <f>+F71</f>
        <v>305</v>
      </c>
      <c r="F57" s="108">
        <f>IFERROR(C57*E57,"")</f>
        <v>305</v>
      </c>
      <c r="G57" s="109">
        <f>IFERROR(F57/$F$72,"")</f>
        <v>6.2322657667289588E-2</v>
      </c>
      <c r="H57" s="117"/>
      <c r="I57" s="117"/>
      <c r="J57" s="111"/>
    </row>
    <row r="58" spans="1:17" ht="14.25" thickBot="1" x14ac:dyDescent="0.3">
      <c r="A58" s="106"/>
      <c r="B58" s="112"/>
      <c r="C58" s="107"/>
      <c r="D58" s="107"/>
      <c r="E58" s="108"/>
      <c r="F58" s="108"/>
      <c r="G58" s="109"/>
      <c r="H58" s="117"/>
      <c r="I58" s="117"/>
      <c r="J58" s="111"/>
    </row>
    <row r="59" spans="1:17" ht="13.5" thickBot="1" x14ac:dyDescent="0.3">
      <c r="A59" s="118"/>
      <c r="B59" s="366" t="s">
        <v>150</v>
      </c>
      <c r="C59" s="366"/>
      <c r="D59" s="366"/>
      <c r="E59" s="366"/>
      <c r="F59" s="120">
        <f>SUM(F8:F14,F17:F24)</f>
        <v>4020.6054370800002</v>
      </c>
      <c r="G59" s="109">
        <f>+F59/$F$72</f>
        <v>0.82155677465698385</v>
      </c>
      <c r="H59" s="121">
        <f>+F59/$D$66</f>
        <v>4020.6054370800002</v>
      </c>
      <c r="I59" s="121"/>
      <c r="J59" s="122"/>
      <c r="K59" s="123"/>
      <c r="L59" s="123"/>
      <c r="M59" s="123"/>
      <c r="N59" s="123"/>
      <c r="O59" s="123"/>
      <c r="P59" s="123"/>
      <c r="Q59" s="124"/>
    </row>
    <row r="60" spans="1:17" x14ac:dyDescent="0.2">
      <c r="A60" s="118"/>
      <c r="B60" s="366" t="s">
        <v>151</v>
      </c>
      <c r="C60" s="366"/>
      <c r="D60" s="366"/>
      <c r="E60" s="366"/>
      <c r="F60" s="120">
        <f>SUM(F27:F36,F39:F46)</f>
        <v>487.86874555331048</v>
      </c>
      <c r="G60" s="109">
        <f>+F60/$F$72</f>
        <v>9.9689432182586815E-2</v>
      </c>
      <c r="H60" s="121">
        <f>+F60/$D$66</f>
        <v>487.86874555331048</v>
      </c>
      <c r="I60" s="121"/>
      <c r="J60" s="125"/>
      <c r="K60" s="367" t="s">
        <v>152</v>
      </c>
      <c r="L60" s="368"/>
      <c r="M60" s="368"/>
      <c r="N60" s="368"/>
      <c r="O60" s="126">
        <f>+F61</f>
        <v>4508.4741826333111</v>
      </c>
      <c r="P60" s="126"/>
      <c r="Q60" s="127"/>
    </row>
    <row r="61" spans="1:17" x14ac:dyDescent="0.2">
      <c r="A61" s="118"/>
      <c r="B61" s="366" t="s">
        <v>153</v>
      </c>
      <c r="C61" s="366"/>
      <c r="D61" s="366"/>
      <c r="E61" s="366"/>
      <c r="F61" s="120">
        <f>+F59+F60</f>
        <v>4508.4741826333111</v>
      </c>
      <c r="G61" s="109">
        <f>+F61/$F$72</f>
        <v>0.92124620683957081</v>
      </c>
      <c r="H61" s="121">
        <f>+F61/$D$66</f>
        <v>4508.4741826333111</v>
      </c>
      <c r="I61" s="121"/>
      <c r="J61" s="128"/>
      <c r="K61" s="129"/>
      <c r="M61" s="130" t="s">
        <v>154</v>
      </c>
      <c r="N61" s="131"/>
      <c r="O61" s="126">
        <f>+H62</f>
        <v>648.45222884151599</v>
      </c>
      <c r="P61" s="126"/>
      <c r="Q61" s="127"/>
    </row>
    <row r="62" spans="1:17" ht="13.5" thickBot="1" x14ac:dyDescent="0.25">
      <c r="A62" s="118"/>
      <c r="B62" s="119"/>
      <c r="C62" s="366" t="s">
        <v>155</v>
      </c>
      <c r="D62" s="366"/>
      <c r="E62" s="366"/>
      <c r="F62" s="120">
        <f>SUM(F49:F57)</f>
        <v>648.45222884151599</v>
      </c>
      <c r="G62" s="109">
        <f>+F62/$F$72</f>
        <v>0.13250251236616634</v>
      </c>
      <c r="H62" s="121">
        <f>+F62/$D$66</f>
        <v>648.45222884151599</v>
      </c>
      <c r="I62" s="121"/>
      <c r="J62" s="128"/>
      <c r="K62" s="129"/>
      <c r="L62" s="129"/>
      <c r="M62" s="129" t="s">
        <v>156</v>
      </c>
      <c r="N62" s="132"/>
      <c r="O62" s="126">
        <f>O60*N62</f>
        <v>0</v>
      </c>
      <c r="P62" s="126"/>
      <c r="Q62" s="127"/>
    </row>
    <row r="63" spans="1:17" ht="13.5" thickBot="1" x14ac:dyDescent="0.25">
      <c r="A63" s="118"/>
      <c r="B63" s="133"/>
      <c r="C63" s="133"/>
      <c r="D63" s="133"/>
      <c r="E63" s="133"/>
      <c r="F63" s="134"/>
      <c r="G63" s="109"/>
      <c r="H63" s="135"/>
      <c r="I63" s="121"/>
      <c r="J63" s="128"/>
      <c r="K63" s="136"/>
      <c r="M63" s="137" t="s">
        <v>157</v>
      </c>
      <c r="N63" s="138"/>
      <c r="O63" s="139">
        <f>SUM(O60:O62)</f>
        <v>5156.9264114748275</v>
      </c>
      <c r="P63" s="140"/>
      <c r="Q63" s="127"/>
    </row>
    <row r="64" spans="1:17" x14ac:dyDescent="0.2">
      <c r="B64" s="369" t="s">
        <v>158</v>
      </c>
      <c r="C64" s="369"/>
      <c r="D64" s="141">
        <v>950</v>
      </c>
      <c r="E64" s="142"/>
      <c r="G64" s="109"/>
      <c r="H64" s="135">
        <f>+H62/61</f>
        <v>10.630364407237966</v>
      </c>
      <c r="I64" s="143"/>
      <c r="J64" s="128"/>
      <c r="K64" s="136"/>
      <c r="L64" s="129"/>
      <c r="M64" s="129" t="s">
        <v>159</v>
      </c>
      <c r="N64" s="144"/>
      <c r="O64" s="126">
        <f>+H65</f>
        <v>616.56113561980203</v>
      </c>
      <c r="P64" s="126"/>
      <c r="Q64" s="127"/>
    </row>
    <row r="65" spans="2:17" x14ac:dyDescent="0.2">
      <c r="B65" s="369" t="s">
        <v>160</v>
      </c>
      <c r="C65" s="369"/>
      <c r="D65" s="145">
        <v>950</v>
      </c>
      <c r="E65" s="142"/>
      <c r="G65" s="109"/>
      <c r="H65" s="135">
        <f>+H64*58</f>
        <v>616.56113561980203</v>
      </c>
      <c r="I65" s="143"/>
      <c r="J65" s="128"/>
      <c r="K65" s="136"/>
      <c r="L65" s="129"/>
      <c r="M65" s="370" t="s">
        <v>157</v>
      </c>
      <c r="N65" s="370"/>
      <c r="O65" s="126">
        <f>SUM(O63:O64)</f>
        <v>5773.4875470946299</v>
      </c>
      <c r="P65" s="126"/>
      <c r="Q65" s="127"/>
    </row>
    <row r="66" spans="2:17" ht="13.5" thickBot="1" x14ac:dyDescent="0.25">
      <c r="B66" s="362" t="s">
        <v>161</v>
      </c>
      <c r="C66" s="362"/>
      <c r="D66" s="141">
        <f>+D64/D65</f>
        <v>1</v>
      </c>
      <c r="E66" s="142"/>
      <c r="F66" s="146"/>
      <c r="G66" s="109"/>
      <c r="H66" s="135"/>
      <c r="I66" s="143"/>
      <c r="J66" s="128"/>
      <c r="K66" s="136"/>
      <c r="L66" s="370"/>
      <c r="M66" s="370"/>
      <c r="N66" s="144"/>
      <c r="O66" s="126">
        <f>+O65*N66</f>
        <v>0</v>
      </c>
      <c r="P66" s="126"/>
      <c r="Q66" s="127"/>
    </row>
    <row r="67" spans="2:17" ht="13.5" thickBot="1" x14ac:dyDescent="0.25">
      <c r="B67" s="362" t="s">
        <v>162</v>
      </c>
      <c r="C67" s="362"/>
      <c r="D67" s="147"/>
      <c r="E67" s="142"/>
      <c r="F67" s="146"/>
      <c r="G67" s="109"/>
      <c r="H67" s="135"/>
      <c r="I67" s="143"/>
      <c r="J67" s="128"/>
      <c r="K67" s="363" t="s">
        <v>163</v>
      </c>
      <c r="L67" s="364"/>
      <c r="M67" s="364"/>
      <c r="N67" s="365"/>
      <c r="O67" s="139">
        <f>SUM(O65:O66)</f>
        <v>5773.4875470946299</v>
      </c>
      <c r="P67" s="148" t="s">
        <v>164</v>
      </c>
      <c r="Q67" s="127"/>
    </row>
    <row r="68" spans="2:17" ht="13.5" thickBot="1" x14ac:dyDescent="0.25">
      <c r="C68" s="118" t="s">
        <v>43</v>
      </c>
      <c r="D68" s="149"/>
      <c r="E68" s="92" t="s">
        <v>165</v>
      </c>
      <c r="F68" s="150" t="s">
        <v>166</v>
      </c>
      <c r="G68" s="109"/>
      <c r="H68" s="135"/>
      <c r="I68" s="143"/>
      <c r="J68" s="151"/>
      <c r="K68" s="152"/>
      <c r="L68" s="376" t="s">
        <v>79</v>
      </c>
      <c r="M68" s="376"/>
      <c r="N68" s="376"/>
      <c r="O68" s="153">
        <f>+O67/D66</f>
        <v>5773.4875470946299</v>
      </c>
      <c r="P68" s="154">
        <f>+O68/D65</f>
        <v>6.0773553127311892</v>
      </c>
      <c r="Q68" s="155"/>
    </row>
    <row r="69" spans="2:17" ht="13.5" thickBot="1" x14ac:dyDescent="0.25">
      <c r="B69" s="377" t="s">
        <v>153</v>
      </c>
      <c r="C69" s="377"/>
      <c r="D69" s="377"/>
      <c r="E69" s="156">
        <f>+F69/F69</f>
        <v>1</v>
      </c>
      <c r="F69" s="157">
        <f>SUM(F61)</f>
        <v>4508.4741826333111</v>
      </c>
      <c r="G69" s="109">
        <f>+F69/$F$72</f>
        <v>0.92124620683957081</v>
      </c>
      <c r="H69" s="135"/>
      <c r="I69" s="143"/>
      <c r="K69" s="378"/>
      <c r="L69" s="379"/>
      <c r="M69" s="379"/>
      <c r="N69" s="379"/>
      <c r="O69" s="158"/>
      <c r="P69" s="159"/>
    </row>
    <row r="70" spans="2:17" ht="13.5" thickBot="1" x14ac:dyDescent="0.3">
      <c r="B70" s="380" t="s">
        <v>167</v>
      </c>
      <c r="C70" s="380"/>
      <c r="D70" s="380"/>
      <c r="E70" s="160">
        <v>0.02</v>
      </c>
      <c r="F70" s="157">
        <f>+F59*E70</f>
        <v>80.412108741600008</v>
      </c>
      <c r="G70" s="109">
        <f>+F70/$F$72</f>
        <v>1.6431135493139678E-2</v>
      </c>
      <c r="H70" s="121"/>
      <c r="I70" s="143"/>
      <c r="J70" s="161"/>
      <c r="O70" s="162"/>
      <c r="P70" s="119"/>
    </row>
    <row r="71" spans="2:17" ht="13.5" thickBot="1" x14ac:dyDescent="0.3">
      <c r="B71" s="381" t="s">
        <v>168</v>
      </c>
      <c r="C71" s="382"/>
      <c r="D71" s="163">
        <v>5</v>
      </c>
      <c r="E71" s="164">
        <v>61</v>
      </c>
      <c r="F71" s="157">
        <f>+E71*D71</f>
        <v>305</v>
      </c>
      <c r="G71" s="109">
        <f>+F71/$F$72</f>
        <v>6.2322657667289588E-2</v>
      </c>
      <c r="H71" s="121"/>
      <c r="I71" s="121"/>
      <c r="J71" s="111"/>
    </row>
    <row r="72" spans="2:17" ht="13.5" thickBot="1" x14ac:dyDescent="0.3">
      <c r="B72" s="383" t="s">
        <v>169</v>
      </c>
      <c r="C72" s="384"/>
      <c r="D72" s="384"/>
      <c r="E72" s="385"/>
      <c r="F72" s="134">
        <f>SUM(F69:F71)</f>
        <v>4893.8862913749108</v>
      </c>
      <c r="G72" s="109">
        <f>+F72/$F$72</f>
        <v>1</v>
      </c>
      <c r="H72" s="386"/>
      <c r="I72" s="121"/>
      <c r="J72" s="111"/>
      <c r="M72" s="94" t="s">
        <v>170</v>
      </c>
    </row>
    <row r="73" spans="2:17" x14ac:dyDescent="0.25">
      <c r="C73" s="116"/>
      <c r="D73" s="116"/>
      <c r="E73" s="166"/>
      <c r="F73" s="157"/>
      <c r="G73" s="109"/>
      <c r="H73" s="386"/>
      <c r="I73" s="165"/>
      <c r="J73" s="94"/>
      <c r="M73" s="94" t="s">
        <v>171</v>
      </c>
    </row>
    <row r="74" spans="2:17" ht="13.5" thickBot="1" x14ac:dyDescent="0.3">
      <c r="B74" s="371" t="s">
        <v>172</v>
      </c>
      <c r="C74" s="371"/>
      <c r="D74" s="371"/>
      <c r="E74" s="371"/>
      <c r="F74" s="371"/>
      <c r="G74" s="109"/>
      <c r="H74" s="168"/>
      <c r="I74" s="165"/>
      <c r="J74" s="94"/>
      <c r="M74" s="94" t="s">
        <v>173</v>
      </c>
    </row>
    <row r="75" spans="2:17" ht="13.5" thickBot="1" x14ac:dyDescent="0.3">
      <c r="B75" s="169" t="s">
        <v>174</v>
      </c>
      <c r="C75" s="170">
        <f>+F59</f>
        <v>4020.6054370800002</v>
      </c>
      <c r="D75" s="170">
        <f>+D64</f>
        <v>950</v>
      </c>
      <c r="E75" s="171">
        <f>+C75/D75</f>
        <v>4.2322162495578945</v>
      </c>
      <c r="F75" s="109"/>
      <c r="G75" s="168"/>
      <c r="H75" s="111"/>
      <c r="I75" s="168"/>
      <c r="J75" s="94"/>
    </row>
    <row r="76" spans="2:17" x14ac:dyDescent="0.25">
      <c r="B76" s="172"/>
      <c r="C76" s="173"/>
      <c r="D76" s="174"/>
      <c r="E76" s="157"/>
      <c r="F76" s="109"/>
      <c r="G76" s="168"/>
      <c r="H76" s="111"/>
      <c r="I76" s="111"/>
      <c r="J76" s="94"/>
    </row>
    <row r="77" spans="2:17" x14ac:dyDescent="0.25">
      <c r="B77" s="169" t="s">
        <v>175</v>
      </c>
      <c r="C77" s="170">
        <f>SUM(F69:F70)</f>
        <v>4588.8862913749108</v>
      </c>
      <c r="D77" s="170">
        <f>+D64</f>
        <v>950</v>
      </c>
      <c r="E77" s="175">
        <f>+C77/D77</f>
        <v>4.8304066224999058</v>
      </c>
      <c r="F77" s="109"/>
      <c r="G77" s="168"/>
      <c r="H77" s="111"/>
      <c r="I77" s="111"/>
      <c r="J77" s="94"/>
    </row>
    <row r="78" spans="2:17" x14ac:dyDescent="0.25">
      <c r="B78" s="169"/>
      <c r="C78" s="170"/>
      <c r="D78" s="170"/>
      <c r="E78" s="175"/>
      <c r="F78" s="109"/>
      <c r="G78" s="168"/>
      <c r="H78" s="111"/>
      <c r="I78" s="111"/>
      <c r="J78" s="94"/>
    </row>
    <row r="79" spans="2:17" ht="13.5" thickBot="1" x14ac:dyDescent="0.3">
      <c r="B79" s="169" t="s">
        <v>176</v>
      </c>
      <c r="C79" s="170">
        <f>+F71</f>
        <v>305</v>
      </c>
      <c r="D79" s="170">
        <f>+D64</f>
        <v>950</v>
      </c>
      <c r="E79" s="175">
        <f>+C79/D79</f>
        <v>0.32105263157894737</v>
      </c>
      <c r="F79" s="109"/>
      <c r="G79" s="168"/>
      <c r="H79" s="111"/>
      <c r="I79" s="111"/>
      <c r="J79" s="94"/>
    </row>
    <row r="80" spans="2:17" ht="13.5" thickBot="1" x14ac:dyDescent="0.3">
      <c r="B80" s="169" t="s">
        <v>177</v>
      </c>
      <c r="C80" s="170">
        <f>+F62</f>
        <v>648.45222884151599</v>
      </c>
      <c r="D80" s="170">
        <f>+D79</f>
        <v>950</v>
      </c>
      <c r="E80" s="171">
        <f>+C80/D80</f>
        <v>0.68258129351738528</v>
      </c>
      <c r="F80" s="109"/>
      <c r="G80" s="168"/>
      <c r="H80" s="111"/>
      <c r="I80" s="111"/>
      <c r="J80" s="94"/>
    </row>
    <row r="81" spans="1:10" ht="13.5" thickBot="1" x14ac:dyDescent="0.3">
      <c r="B81" s="133"/>
      <c r="C81" s="134"/>
      <c r="D81" s="134"/>
      <c r="E81" s="175"/>
      <c r="F81" s="109"/>
      <c r="G81" s="168"/>
      <c r="H81" s="111"/>
      <c r="I81" s="111"/>
      <c r="J81" s="94"/>
    </row>
    <row r="82" spans="1:10" ht="13.5" thickBot="1" x14ac:dyDescent="0.3">
      <c r="B82" s="169" t="s">
        <v>178</v>
      </c>
      <c r="C82" s="170">
        <f>+F60</f>
        <v>487.86874555331048</v>
      </c>
      <c r="D82" s="170">
        <f>+D80</f>
        <v>950</v>
      </c>
      <c r="E82" s="171">
        <f>+C82/D82</f>
        <v>0.51354604795085312</v>
      </c>
      <c r="F82" s="109"/>
      <c r="G82" s="168"/>
      <c r="H82" s="111"/>
      <c r="I82" s="111"/>
      <c r="J82" s="111"/>
    </row>
    <row r="83" spans="1:10" ht="13.5" thickBot="1" x14ac:dyDescent="0.3">
      <c r="B83" s="133"/>
      <c r="C83" s="134"/>
      <c r="D83" s="134"/>
      <c r="E83" s="175"/>
      <c r="F83" s="109"/>
      <c r="G83" s="168"/>
      <c r="H83" s="111"/>
      <c r="I83" s="111"/>
    </row>
    <row r="84" spans="1:10" ht="13.5" thickBot="1" x14ac:dyDescent="0.3">
      <c r="B84" s="372" t="s">
        <v>179</v>
      </c>
      <c r="C84" s="373"/>
      <c r="D84" s="374"/>
      <c r="E84" s="171">
        <f>+E75+E80</f>
        <v>4.9147975430752799</v>
      </c>
      <c r="G84" s="109"/>
      <c r="H84" s="168"/>
      <c r="I84" s="111"/>
      <c r="J84" s="175"/>
    </row>
    <row r="85" spans="1:10" x14ac:dyDescent="0.25">
      <c r="I85" s="168"/>
      <c r="J85" s="94"/>
    </row>
    <row r="86" spans="1:10" ht="13.5" thickBot="1" x14ac:dyDescent="0.3">
      <c r="B86" s="371" t="s">
        <v>180</v>
      </c>
      <c r="C86" s="371"/>
      <c r="D86" s="371"/>
      <c r="E86" s="371"/>
      <c r="F86" s="371"/>
      <c r="G86" s="109"/>
      <c r="H86" s="168"/>
      <c r="J86" s="94"/>
    </row>
    <row r="87" spans="1:10" ht="13.5" thickBot="1" x14ac:dyDescent="0.3">
      <c r="B87" s="169" t="s">
        <v>174</v>
      </c>
      <c r="C87" s="170">
        <f>+C75</f>
        <v>4020.6054370800002</v>
      </c>
      <c r="D87" s="170">
        <f>+D66</f>
        <v>1</v>
      </c>
      <c r="E87" s="171">
        <f>+C87/D87</f>
        <v>4020.6054370800002</v>
      </c>
      <c r="F87" s="109"/>
      <c r="G87" s="168"/>
      <c r="H87" s="111"/>
      <c r="I87" s="168"/>
      <c r="J87" s="94"/>
    </row>
    <row r="88" spans="1:10" x14ac:dyDescent="0.25">
      <c r="B88" s="172"/>
      <c r="C88" s="173"/>
      <c r="D88" s="174"/>
      <c r="E88" s="157"/>
      <c r="F88" s="109"/>
      <c r="G88" s="168"/>
      <c r="H88" s="111"/>
      <c r="I88" s="111"/>
      <c r="J88" s="94"/>
    </row>
    <row r="89" spans="1:10" x14ac:dyDescent="0.25">
      <c r="B89" s="169" t="s">
        <v>175</v>
      </c>
      <c r="C89" s="170">
        <f>+C77</f>
        <v>4588.8862913749108</v>
      </c>
      <c r="D89" s="170">
        <f>+D66</f>
        <v>1</v>
      </c>
      <c r="E89" s="175">
        <f>+C89/D89</f>
        <v>4588.8862913749108</v>
      </c>
      <c r="F89" s="109"/>
      <c r="G89" s="168"/>
      <c r="H89" s="111"/>
      <c r="I89" s="111"/>
      <c r="J89" s="94"/>
    </row>
    <row r="90" spans="1:10" x14ac:dyDescent="0.25">
      <c r="B90" s="169"/>
      <c r="C90" s="170"/>
      <c r="D90" s="170"/>
      <c r="E90" s="175"/>
      <c r="F90" s="109"/>
      <c r="G90" s="168"/>
      <c r="H90" s="111"/>
      <c r="I90" s="111"/>
      <c r="J90" s="94"/>
    </row>
    <row r="91" spans="1:10" ht="13.5" thickBot="1" x14ac:dyDescent="0.3">
      <c r="B91" s="169" t="s">
        <v>177</v>
      </c>
      <c r="C91" s="170">
        <f>+C79</f>
        <v>305</v>
      </c>
      <c r="D91" s="170">
        <f>+D66</f>
        <v>1</v>
      </c>
      <c r="E91" s="175">
        <f>+C91/D91</f>
        <v>305</v>
      </c>
      <c r="F91" s="177"/>
      <c r="G91" s="167"/>
      <c r="H91" s="93"/>
      <c r="I91" s="111"/>
    </row>
    <row r="92" spans="1:10" ht="13.5" thickBot="1" x14ac:dyDescent="0.3">
      <c r="B92" s="169" t="s">
        <v>177</v>
      </c>
      <c r="C92" s="170">
        <f>+C80</f>
        <v>648.45222884151599</v>
      </c>
      <c r="D92" s="170">
        <f>+D91</f>
        <v>1</v>
      </c>
      <c r="E92" s="171">
        <f>+C92/D92</f>
        <v>648.45222884151599</v>
      </c>
      <c r="F92" s="176"/>
      <c r="G92" s="167"/>
      <c r="H92" s="93"/>
      <c r="I92" s="93"/>
    </row>
    <row r="93" spans="1:10" x14ac:dyDescent="0.25">
      <c r="I93" s="93"/>
    </row>
    <row r="94" spans="1:10" x14ac:dyDescent="0.2">
      <c r="A94" s="375"/>
      <c r="B94" s="375"/>
      <c r="C94" s="178"/>
      <c r="D94" s="178"/>
      <c r="E94" s="179"/>
      <c r="G94" s="180"/>
    </row>
    <row r="95" spans="1:10" x14ac:dyDescent="0.2">
      <c r="A95" s="112"/>
      <c r="B95" s="181"/>
      <c r="C95" s="182"/>
      <c r="D95" s="182"/>
      <c r="E95" s="183"/>
      <c r="G95" s="180"/>
    </row>
    <row r="96" spans="1:10" x14ac:dyDescent="0.2">
      <c r="A96" s="112"/>
      <c r="B96" s="181"/>
      <c r="C96" s="184"/>
      <c r="D96" s="184"/>
      <c r="E96" s="112"/>
      <c r="G96" s="180"/>
    </row>
    <row r="97" spans="1:7" x14ac:dyDescent="0.2">
      <c r="A97" s="112"/>
      <c r="B97" s="181"/>
      <c r="C97" s="185"/>
      <c r="D97" s="185"/>
      <c r="E97" s="112"/>
      <c r="G97" s="180"/>
    </row>
  </sheetData>
  <mergeCells count="30"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  <mergeCell ref="B67:C67"/>
    <mergeCell ref="K67:N67"/>
    <mergeCell ref="K34:L34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K33:L33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8420-EE2A-4F44-91E1-2FC445322514}">
  <dimension ref="A1:K49"/>
  <sheetViews>
    <sheetView topLeftCell="A3" zoomScaleNormal="100" zoomScaleSheetLayoutView="93" workbookViewId="0">
      <selection activeCell="D34" sqref="D34"/>
    </sheetView>
  </sheetViews>
  <sheetFormatPr baseColWidth="10" defaultColWidth="11.42578125" defaultRowHeight="15" x14ac:dyDescent="0.25"/>
  <cols>
    <col min="1" max="1" width="11.42578125" customWidth="1"/>
    <col min="2" max="2" width="10.7109375" customWidth="1"/>
    <col min="3" max="3" width="34.7109375" customWidth="1"/>
    <col min="4" max="4" width="22.7109375" customWidth="1"/>
    <col min="5" max="6" width="9.28515625" customWidth="1"/>
    <col min="7" max="7" width="14.7109375" customWidth="1"/>
    <col min="8" max="8" width="14.28515625" customWidth="1"/>
    <col min="9" max="9" width="18.7109375" customWidth="1"/>
    <col min="10" max="256" width="9.28515625" customWidth="1"/>
    <col min="259" max="259" width="47.7109375" customWidth="1"/>
    <col min="260" max="260" width="25.42578125" customWidth="1"/>
    <col min="261" max="512" width="9.28515625" customWidth="1"/>
    <col min="515" max="515" width="47.7109375" customWidth="1"/>
    <col min="516" max="516" width="25.42578125" customWidth="1"/>
    <col min="517" max="768" width="9.28515625" customWidth="1"/>
    <col min="771" max="771" width="47.7109375" customWidth="1"/>
    <col min="772" max="772" width="25.42578125" customWidth="1"/>
    <col min="773" max="1024" width="9.28515625" customWidth="1"/>
    <col min="1027" max="1027" width="47.7109375" customWidth="1"/>
    <col min="1028" max="1028" width="25.42578125" customWidth="1"/>
    <col min="1029" max="1280" width="9.28515625" customWidth="1"/>
    <col min="1283" max="1283" width="47.7109375" customWidth="1"/>
    <col min="1284" max="1284" width="25.42578125" customWidth="1"/>
    <col min="1285" max="1536" width="9.28515625" customWidth="1"/>
    <col min="1539" max="1539" width="47.7109375" customWidth="1"/>
    <col min="1540" max="1540" width="25.42578125" customWidth="1"/>
    <col min="1541" max="1792" width="9.28515625" customWidth="1"/>
    <col min="1795" max="1795" width="47.7109375" customWidth="1"/>
    <col min="1796" max="1796" width="25.42578125" customWidth="1"/>
    <col min="1797" max="2048" width="9.28515625" customWidth="1"/>
    <col min="2051" max="2051" width="47.7109375" customWidth="1"/>
    <col min="2052" max="2052" width="25.42578125" customWidth="1"/>
    <col min="2053" max="2304" width="9.28515625" customWidth="1"/>
    <col min="2307" max="2307" width="47.7109375" customWidth="1"/>
    <col min="2308" max="2308" width="25.42578125" customWidth="1"/>
    <col min="2309" max="2560" width="9.28515625" customWidth="1"/>
    <col min="2563" max="2563" width="47.7109375" customWidth="1"/>
    <col min="2564" max="2564" width="25.42578125" customWidth="1"/>
    <col min="2565" max="2816" width="9.28515625" customWidth="1"/>
    <col min="2819" max="2819" width="47.7109375" customWidth="1"/>
    <col min="2820" max="2820" width="25.42578125" customWidth="1"/>
    <col min="2821" max="3072" width="9.28515625" customWidth="1"/>
    <col min="3075" max="3075" width="47.7109375" customWidth="1"/>
    <col min="3076" max="3076" width="25.42578125" customWidth="1"/>
    <col min="3077" max="3328" width="9.28515625" customWidth="1"/>
    <col min="3331" max="3331" width="47.7109375" customWidth="1"/>
    <col min="3332" max="3332" width="25.42578125" customWidth="1"/>
    <col min="3333" max="3584" width="9.28515625" customWidth="1"/>
    <col min="3587" max="3587" width="47.7109375" customWidth="1"/>
    <col min="3588" max="3588" width="25.42578125" customWidth="1"/>
    <col min="3589" max="3840" width="9.28515625" customWidth="1"/>
    <col min="3843" max="3843" width="47.7109375" customWidth="1"/>
    <col min="3844" max="3844" width="25.42578125" customWidth="1"/>
    <col min="3845" max="4096" width="9.28515625" customWidth="1"/>
    <col min="4099" max="4099" width="47.7109375" customWidth="1"/>
    <col min="4100" max="4100" width="25.42578125" customWidth="1"/>
    <col min="4101" max="4352" width="9.28515625" customWidth="1"/>
    <col min="4355" max="4355" width="47.7109375" customWidth="1"/>
    <col min="4356" max="4356" width="25.42578125" customWidth="1"/>
    <col min="4357" max="4608" width="9.28515625" customWidth="1"/>
    <col min="4611" max="4611" width="47.7109375" customWidth="1"/>
    <col min="4612" max="4612" width="25.42578125" customWidth="1"/>
    <col min="4613" max="4864" width="9.28515625" customWidth="1"/>
    <col min="4867" max="4867" width="47.7109375" customWidth="1"/>
    <col min="4868" max="4868" width="25.42578125" customWidth="1"/>
    <col min="4869" max="5120" width="9.28515625" customWidth="1"/>
    <col min="5123" max="5123" width="47.7109375" customWidth="1"/>
    <col min="5124" max="5124" width="25.42578125" customWidth="1"/>
    <col min="5125" max="5376" width="9.28515625" customWidth="1"/>
    <col min="5379" max="5379" width="47.7109375" customWidth="1"/>
    <col min="5380" max="5380" width="25.42578125" customWidth="1"/>
    <col min="5381" max="5632" width="9.28515625" customWidth="1"/>
    <col min="5635" max="5635" width="47.7109375" customWidth="1"/>
    <col min="5636" max="5636" width="25.42578125" customWidth="1"/>
    <col min="5637" max="5888" width="9.28515625" customWidth="1"/>
    <col min="5891" max="5891" width="47.7109375" customWidth="1"/>
    <col min="5892" max="5892" width="25.42578125" customWidth="1"/>
    <col min="5893" max="6144" width="9.28515625" customWidth="1"/>
    <col min="6147" max="6147" width="47.7109375" customWidth="1"/>
    <col min="6148" max="6148" width="25.42578125" customWidth="1"/>
    <col min="6149" max="6400" width="9.28515625" customWidth="1"/>
    <col min="6403" max="6403" width="47.7109375" customWidth="1"/>
    <col min="6404" max="6404" width="25.42578125" customWidth="1"/>
    <col min="6405" max="6656" width="9.28515625" customWidth="1"/>
    <col min="6659" max="6659" width="47.7109375" customWidth="1"/>
    <col min="6660" max="6660" width="25.42578125" customWidth="1"/>
    <col min="6661" max="6912" width="9.28515625" customWidth="1"/>
    <col min="6915" max="6915" width="47.7109375" customWidth="1"/>
    <col min="6916" max="6916" width="25.42578125" customWidth="1"/>
    <col min="6917" max="7168" width="9.28515625" customWidth="1"/>
    <col min="7171" max="7171" width="47.7109375" customWidth="1"/>
    <col min="7172" max="7172" width="25.42578125" customWidth="1"/>
    <col min="7173" max="7424" width="9.28515625" customWidth="1"/>
    <col min="7427" max="7427" width="47.7109375" customWidth="1"/>
    <col min="7428" max="7428" width="25.42578125" customWidth="1"/>
    <col min="7429" max="7680" width="9.28515625" customWidth="1"/>
    <col min="7683" max="7683" width="47.7109375" customWidth="1"/>
    <col min="7684" max="7684" width="25.42578125" customWidth="1"/>
    <col min="7685" max="7936" width="9.28515625" customWidth="1"/>
    <col min="7939" max="7939" width="47.7109375" customWidth="1"/>
    <col min="7940" max="7940" width="25.42578125" customWidth="1"/>
    <col min="7941" max="8192" width="9.28515625" customWidth="1"/>
    <col min="8195" max="8195" width="47.7109375" customWidth="1"/>
    <col min="8196" max="8196" width="25.42578125" customWidth="1"/>
    <col min="8197" max="8448" width="9.28515625" customWidth="1"/>
    <col min="8451" max="8451" width="47.7109375" customWidth="1"/>
    <col min="8452" max="8452" width="25.42578125" customWidth="1"/>
    <col min="8453" max="8704" width="9.28515625" customWidth="1"/>
    <col min="8707" max="8707" width="47.7109375" customWidth="1"/>
    <col min="8708" max="8708" width="25.42578125" customWidth="1"/>
    <col min="8709" max="8960" width="9.28515625" customWidth="1"/>
    <col min="8963" max="8963" width="47.7109375" customWidth="1"/>
    <col min="8964" max="8964" width="25.42578125" customWidth="1"/>
    <col min="8965" max="9216" width="9.28515625" customWidth="1"/>
    <col min="9219" max="9219" width="47.7109375" customWidth="1"/>
    <col min="9220" max="9220" width="25.42578125" customWidth="1"/>
    <col min="9221" max="9472" width="9.28515625" customWidth="1"/>
    <col min="9475" max="9475" width="47.7109375" customWidth="1"/>
    <col min="9476" max="9476" width="25.42578125" customWidth="1"/>
    <col min="9477" max="9728" width="9.28515625" customWidth="1"/>
    <col min="9731" max="9731" width="47.7109375" customWidth="1"/>
    <col min="9732" max="9732" width="25.42578125" customWidth="1"/>
    <col min="9733" max="9984" width="9.28515625" customWidth="1"/>
    <col min="9987" max="9987" width="47.7109375" customWidth="1"/>
    <col min="9988" max="9988" width="25.42578125" customWidth="1"/>
    <col min="9989" max="10240" width="9.28515625" customWidth="1"/>
    <col min="10243" max="10243" width="47.7109375" customWidth="1"/>
    <col min="10244" max="10244" width="25.42578125" customWidth="1"/>
    <col min="10245" max="10496" width="9.28515625" customWidth="1"/>
    <col min="10499" max="10499" width="47.7109375" customWidth="1"/>
    <col min="10500" max="10500" width="25.42578125" customWidth="1"/>
    <col min="10501" max="10752" width="9.28515625" customWidth="1"/>
    <col min="10755" max="10755" width="47.7109375" customWidth="1"/>
    <col min="10756" max="10756" width="25.42578125" customWidth="1"/>
    <col min="10757" max="11008" width="9.28515625" customWidth="1"/>
    <col min="11011" max="11011" width="47.7109375" customWidth="1"/>
    <col min="11012" max="11012" width="25.42578125" customWidth="1"/>
    <col min="11013" max="11264" width="9.28515625" customWidth="1"/>
    <col min="11267" max="11267" width="47.7109375" customWidth="1"/>
    <col min="11268" max="11268" width="25.42578125" customWidth="1"/>
    <col min="11269" max="11520" width="9.28515625" customWidth="1"/>
    <col min="11523" max="11523" width="47.7109375" customWidth="1"/>
    <col min="11524" max="11524" width="25.42578125" customWidth="1"/>
    <col min="11525" max="11776" width="9.28515625" customWidth="1"/>
    <col min="11779" max="11779" width="47.7109375" customWidth="1"/>
    <col min="11780" max="11780" width="25.42578125" customWidth="1"/>
    <col min="11781" max="12032" width="9.28515625" customWidth="1"/>
    <col min="12035" max="12035" width="47.7109375" customWidth="1"/>
    <col min="12036" max="12036" width="25.42578125" customWidth="1"/>
    <col min="12037" max="12288" width="9.28515625" customWidth="1"/>
    <col min="12291" max="12291" width="47.7109375" customWidth="1"/>
    <col min="12292" max="12292" width="25.42578125" customWidth="1"/>
    <col min="12293" max="12544" width="9.28515625" customWidth="1"/>
    <col min="12547" max="12547" width="47.7109375" customWidth="1"/>
    <col min="12548" max="12548" width="25.42578125" customWidth="1"/>
    <col min="12549" max="12800" width="9.28515625" customWidth="1"/>
    <col min="12803" max="12803" width="47.7109375" customWidth="1"/>
    <col min="12804" max="12804" width="25.42578125" customWidth="1"/>
    <col min="12805" max="13056" width="9.28515625" customWidth="1"/>
    <col min="13059" max="13059" width="47.7109375" customWidth="1"/>
    <col min="13060" max="13060" width="25.42578125" customWidth="1"/>
    <col min="13061" max="13312" width="9.28515625" customWidth="1"/>
    <col min="13315" max="13315" width="47.7109375" customWidth="1"/>
    <col min="13316" max="13316" width="25.42578125" customWidth="1"/>
    <col min="13317" max="13568" width="9.28515625" customWidth="1"/>
    <col min="13571" max="13571" width="47.7109375" customWidth="1"/>
    <col min="13572" max="13572" width="25.42578125" customWidth="1"/>
    <col min="13573" max="13824" width="9.28515625" customWidth="1"/>
    <col min="13827" max="13827" width="47.7109375" customWidth="1"/>
    <col min="13828" max="13828" width="25.42578125" customWidth="1"/>
    <col min="13829" max="14080" width="9.28515625" customWidth="1"/>
    <col min="14083" max="14083" width="47.7109375" customWidth="1"/>
    <col min="14084" max="14084" width="25.42578125" customWidth="1"/>
    <col min="14085" max="14336" width="9.28515625" customWidth="1"/>
    <col min="14339" max="14339" width="47.7109375" customWidth="1"/>
    <col min="14340" max="14340" width="25.42578125" customWidth="1"/>
    <col min="14341" max="14592" width="9.28515625" customWidth="1"/>
    <col min="14595" max="14595" width="47.7109375" customWidth="1"/>
    <col min="14596" max="14596" width="25.42578125" customWidth="1"/>
    <col min="14597" max="14848" width="9.28515625" customWidth="1"/>
    <col min="14851" max="14851" width="47.7109375" customWidth="1"/>
    <col min="14852" max="14852" width="25.42578125" customWidth="1"/>
    <col min="14853" max="15104" width="9.28515625" customWidth="1"/>
    <col min="15107" max="15107" width="47.7109375" customWidth="1"/>
    <col min="15108" max="15108" width="25.42578125" customWidth="1"/>
    <col min="15109" max="15360" width="9.28515625" customWidth="1"/>
    <col min="15363" max="15363" width="47.7109375" customWidth="1"/>
    <col min="15364" max="15364" width="25.42578125" customWidth="1"/>
    <col min="15365" max="15616" width="9.28515625" customWidth="1"/>
    <col min="15619" max="15619" width="47.7109375" customWidth="1"/>
    <col min="15620" max="15620" width="25.42578125" customWidth="1"/>
    <col min="15621" max="15872" width="9.28515625" customWidth="1"/>
    <col min="15875" max="15875" width="47.7109375" customWidth="1"/>
    <col min="15876" max="15876" width="25.42578125" customWidth="1"/>
    <col min="15877" max="16128" width="9.28515625" customWidth="1"/>
    <col min="16131" max="16131" width="47.7109375" customWidth="1"/>
    <col min="16132" max="16132" width="25.42578125" customWidth="1"/>
    <col min="16133" max="16384" width="9.28515625" customWidth="1"/>
  </cols>
  <sheetData>
    <row r="1" spans="1:9" ht="15.75" x14ac:dyDescent="0.25">
      <c r="A1" s="275"/>
      <c r="B1" s="276"/>
      <c r="C1" s="281" t="s">
        <v>0</v>
      </c>
      <c r="D1" s="282"/>
      <c r="E1" s="282"/>
      <c r="F1" s="282"/>
      <c r="G1" s="283"/>
      <c r="H1" s="1" t="s">
        <v>1</v>
      </c>
      <c r="I1" s="2"/>
    </row>
    <row r="2" spans="1:9" ht="16.5" thickBot="1" x14ac:dyDescent="0.3">
      <c r="A2" s="277"/>
      <c r="B2" s="278"/>
      <c r="C2" s="284" t="s">
        <v>2</v>
      </c>
      <c r="D2" s="285"/>
      <c r="E2" s="285"/>
      <c r="F2" s="285"/>
      <c r="G2" s="286"/>
      <c r="H2" s="3" t="s">
        <v>3</v>
      </c>
      <c r="I2" s="4"/>
    </row>
    <row r="3" spans="1:9" ht="50.1" customHeight="1" thickBot="1" x14ac:dyDescent="0.3">
      <c r="A3" s="277"/>
      <c r="B3" s="278"/>
      <c r="C3" s="287" t="s">
        <v>102</v>
      </c>
      <c r="D3" s="288"/>
      <c r="E3" s="288"/>
      <c r="F3" s="288"/>
      <c r="G3" s="289"/>
      <c r="H3" s="290" t="s">
        <v>71</v>
      </c>
      <c r="I3" s="266"/>
    </row>
    <row r="4" spans="1:9" x14ac:dyDescent="0.25">
      <c r="A4" s="277"/>
      <c r="B4" s="278"/>
      <c r="C4" s="5" t="s">
        <v>5</v>
      </c>
      <c r="D4" s="269" t="s">
        <v>42</v>
      </c>
      <c r="E4" s="270"/>
      <c r="F4" s="270"/>
      <c r="G4" s="271"/>
      <c r="H4" s="291"/>
      <c r="I4" s="267"/>
    </row>
    <row r="5" spans="1:9" ht="15.75" thickBot="1" x14ac:dyDescent="0.3">
      <c r="A5" s="279"/>
      <c r="B5" s="280"/>
      <c r="C5" s="6" t="s">
        <v>6</v>
      </c>
      <c r="D5" s="272" t="s">
        <v>7</v>
      </c>
      <c r="E5" s="273"/>
      <c r="F5" s="273"/>
      <c r="G5" s="274"/>
      <c r="H5" s="292"/>
      <c r="I5" s="268"/>
    </row>
    <row r="6" spans="1:9" x14ac:dyDescent="0.25">
      <c r="A6" s="7"/>
      <c r="B6" s="7"/>
      <c r="C6" s="8"/>
      <c r="D6" s="9"/>
      <c r="E6" s="9"/>
      <c r="F6" s="9"/>
      <c r="G6" s="9"/>
      <c r="H6" s="10"/>
      <c r="I6" s="11"/>
    </row>
    <row r="7" spans="1:9" ht="15.75" thickBot="1" x14ac:dyDescent="0.3">
      <c r="A7" s="293" t="s">
        <v>8</v>
      </c>
      <c r="B7" s="293"/>
      <c r="C7" s="293"/>
      <c r="D7" s="294" t="s">
        <v>68</v>
      </c>
      <c r="E7" s="294"/>
      <c r="F7" s="294"/>
      <c r="G7" s="295" t="s">
        <v>9</v>
      </c>
      <c r="H7" s="295"/>
      <c r="I7" s="40" t="s">
        <v>68</v>
      </c>
    </row>
    <row r="8" spans="1:9" x14ac:dyDescent="0.25">
      <c r="A8" s="296" t="s">
        <v>10</v>
      </c>
      <c r="B8" s="298" t="s">
        <v>39</v>
      </c>
      <c r="C8" s="300" t="s">
        <v>11</v>
      </c>
      <c r="D8" s="300" t="s">
        <v>12</v>
      </c>
      <c r="E8" s="302"/>
      <c r="F8" s="303"/>
      <c r="G8" s="302" t="s">
        <v>13</v>
      </c>
      <c r="H8" s="303"/>
      <c r="I8" s="12" t="s">
        <v>14</v>
      </c>
    </row>
    <row r="9" spans="1:9" ht="27" thickBot="1" x14ac:dyDescent="0.3">
      <c r="A9" s="297"/>
      <c r="B9" s="299"/>
      <c r="C9" s="301"/>
      <c r="D9" s="301"/>
      <c r="E9" s="13" t="s">
        <v>15</v>
      </c>
      <c r="F9" s="14" t="s">
        <v>16</v>
      </c>
      <c r="G9" s="13" t="s">
        <v>15</v>
      </c>
      <c r="H9" s="14" t="s">
        <v>16</v>
      </c>
      <c r="I9" s="15" t="s">
        <v>17</v>
      </c>
    </row>
    <row r="10" spans="1:9" x14ac:dyDescent="0.25">
      <c r="A10" s="59"/>
      <c r="B10" s="54"/>
      <c r="C10" s="16" t="s">
        <v>48</v>
      </c>
      <c r="D10" s="17"/>
      <c r="E10" s="18"/>
      <c r="F10" s="19"/>
      <c r="G10" s="18"/>
      <c r="H10" s="19"/>
      <c r="I10" s="20"/>
    </row>
    <row r="11" spans="1:9" x14ac:dyDescent="0.25">
      <c r="A11" s="74" t="s">
        <v>74</v>
      </c>
      <c r="B11" t="s">
        <v>75</v>
      </c>
      <c r="C11" t="s">
        <v>76</v>
      </c>
      <c r="D11" s="34" t="s">
        <v>38</v>
      </c>
      <c r="E11" s="35">
        <v>168</v>
      </c>
      <c r="F11" s="21" t="s">
        <v>18</v>
      </c>
      <c r="G11" s="62"/>
      <c r="H11" s="63"/>
      <c r="I11" s="22"/>
    </row>
    <row r="12" spans="1:9" x14ac:dyDescent="0.25">
      <c r="A12" s="64"/>
      <c r="B12" s="53"/>
      <c r="C12" s="52" t="s">
        <v>78</v>
      </c>
      <c r="D12" s="34" t="s">
        <v>38</v>
      </c>
      <c r="E12" s="35">
        <v>440</v>
      </c>
      <c r="F12" s="21" t="s">
        <v>18</v>
      </c>
      <c r="G12" s="44">
        <v>1</v>
      </c>
      <c r="H12" s="44" t="s">
        <v>79</v>
      </c>
      <c r="I12" s="22"/>
    </row>
    <row r="13" spans="1:9" x14ac:dyDescent="0.25">
      <c r="A13" s="64"/>
      <c r="B13" s="53"/>
      <c r="C13" s="52" t="s">
        <v>46</v>
      </c>
      <c r="D13" s="34" t="s">
        <v>38</v>
      </c>
      <c r="E13" s="35">
        <v>80</v>
      </c>
      <c r="F13" s="21" t="s">
        <v>18</v>
      </c>
      <c r="G13" s="44"/>
      <c r="H13" s="44" t="s">
        <v>49</v>
      </c>
      <c r="I13" s="22"/>
    </row>
    <row r="14" spans="1:9" x14ac:dyDescent="0.25">
      <c r="A14" s="64"/>
      <c r="B14" s="64"/>
      <c r="C14" s="52" t="s">
        <v>77</v>
      </c>
      <c r="D14" s="34" t="s">
        <v>38</v>
      </c>
      <c r="E14" s="35">
        <v>400</v>
      </c>
      <c r="F14" s="21" t="s">
        <v>18</v>
      </c>
      <c r="G14" s="62"/>
      <c r="H14" s="63"/>
      <c r="I14" s="22"/>
    </row>
    <row r="15" spans="1:9" x14ac:dyDescent="0.25">
      <c r="A15" s="64"/>
      <c r="B15" s="64"/>
      <c r="C15" s="52"/>
      <c r="D15" s="34"/>
      <c r="E15" s="35"/>
      <c r="F15" s="21"/>
      <c r="G15" s="62"/>
      <c r="H15" s="63"/>
      <c r="I15" s="22"/>
    </row>
    <row r="16" spans="1:9" x14ac:dyDescent="0.25">
      <c r="A16" s="65"/>
      <c r="B16" s="65"/>
      <c r="C16" s="78" t="s">
        <v>56</v>
      </c>
      <c r="D16" s="34"/>
      <c r="E16" s="35"/>
      <c r="F16" s="21"/>
      <c r="G16" s="45"/>
      <c r="H16" s="34"/>
      <c r="I16" s="22"/>
    </row>
    <row r="17" spans="1:11" x14ac:dyDescent="0.25">
      <c r="A17" s="60" t="s">
        <v>80</v>
      </c>
      <c r="B17" s="75" t="s">
        <v>81</v>
      </c>
      <c r="C17" s="75" t="s">
        <v>82</v>
      </c>
      <c r="D17" s="84" t="s">
        <v>38</v>
      </c>
      <c r="E17" s="87">
        <v>50</v>
      </c>
      <c r="F17" s="88" t="s">
        <v>18</v>
      </c>
      <c r="G17" s="304" t="s">
        <v>83</v>
      </c>
      <c r="H17" s="305"/>
      <c r="I17" s="22"/>
    </row>
    <row r="18" spans="1:11" x14ac:dyDescent="0.25">
      <c r="A18" s="85"/>
      <c r="B18" s="60"/>
      <c r="C18" s="75" t="s">
        <v>84</v>
      </c>
      <c r="D18" s="84" t="s">
        <v>38</v>
      </c>
      <c r="E18" s="87">
        <v>70</v>
      </c>
      <c r="F18" s="88" t="s">
        <v>18</v>
      </c>
      <c r="G18" s="308"/>
      <c r="H18" s="309"/>
      <c r="I18" s="22"/>
    </row>
    <row r="19" spans="1:11" x14ac:dyDescent="0.25">
      <c r="A19" s="85">
        <v>1210398</v>
      </c>
      <c r="B19" s="75" t="s">
        <v>65</v>
      </c>
      <c r="C19" s="75" t="s">
        <v>66</v>
      </c>
      <c r="D19" s="84" t="s">
        <v>38</v>
      </c>
      <c r="E19" s="87">
        <v>35</v>
      </c>
      <c r="F19" s="88" t="s">
        <v>18</v>
      </c>
      <c r="G19" s="308" t="s">
        <v>85</v>
      </c>
      <c r="H19" s="309"/>
      <c r="I19" s="22"/>
    </row>
    <row r="20" spans="1:11" x14ac:dyDescent="0.25">
      <c r="A20" s="85"/>
      <c r="B20" s="60"/>
      <c r="C20" s="75" t="s">
        <v>67</v>
      </c>
      <c r="D20" s="84" t="s">
        <v>38</v>
      </c>
      <c r="E20" s="87">
        <v>50</v>
      </c>
      <c r="F20" s="88" t="s">
        <v>18</v>
      </c>
      <c r="G20" s="308" t="s">
        <v>86</v>
      </c>
      <c r="H20" s="310"/>
      <c r="I20" s="309"/>
    </row>
    <row r="21" spans="1:11" x14ac:dyDescent="0.25">
      <c r="A21" s="85"/>
      <c r="B21" s="60"/>
      <c r="C21" s="75"/>
      <c r="D21" s="86"/>
      <c r="E21" s="87"/>
      <c r="F21" s="88"/>
      <c r="G21" s="79"/>
      <c r="H21" s="80"/>
      <c r="I21" s="81"/>
    </row>
    <row r="22" spans="1:11" x14ac:dyDescent="0.25">
      <c r="A22" s="65"/>
      <c r="B22" s="65"/>
      <c r="C22" s="78" t="s">
        <v>20</v>
      </c>
      <c r="D22" s="34"/>
      <c r="E22" s="45"/>
      <c r="F22" s="21"/>
      <c r="G22" s="44"/>
      <c r="H22" s="34"/>
      <c r="I22" s="22"/>
    </row>
    <row r="23" spans="1:11" x14ac:dyDescent="0.25">
      <c r="A23" s="74" t="s">
        <v>98</v>
      </c>
      <c r="B23" s="74" t="s">
        <v>99</v>
      </c>
      <c r="C23" t="s">
        <v>100</v>
      </c>
      <c r="D23" s="34"/>
      <c r="E23" s="35">
        <v>10</v>
      </c>
      <c r="F23" s="21" t="s">
        <v>18</v>
      </c>
      <c r="G23" s="44"/>
      <c r="H23" s="34"/>
      <c r="I23" s="22"/>
    </row>
    <row r="24" spans="1:11" x14ac:dyDescent="0.25">
      <c r="A24" s="85">
        <v>51400021</v>
      </c>
      <c r="B24" s="60" t="s">
        <v>51</v>
      </c>
      <c r="C24" s="75" t="s">
        <v>52</v>
      </c>
      <c r="D24" s="34" t="s">
        <v>38</v>
      </c>
      <c r="E24" s="35">
        <v>1</v>
      </c>
      <c r="F24" s="21" t="s">
        <v>19</v>
      </c>
      <c r="G24" s="35"/>
      <c r="H24" s="34"/>
      <c r="I24" s="22"/>
    </row>
    <row r="25" spans="1:11" x14ac:dyDescent="0.25">
      <c r="A25" s="85">
        <v>1950693</v>
      </c>
      <c r="B25" s="60" t="s">
        <v>53</v>
      </c>
      <c r="C25" s="75" t="s">
        <v>54</v>
      </c>
      <c r="D25" s="34" t="s">
        <v>38</v>
      </c>
      <c r="E25" s="35">
        <v>1</v>
      </c>
      <c r="F25" s="21" t="s">
        <v>19</v>
      </c>
      <c r="G25" s="35"/>
      <c r="H25" s="34"/>
      <c r="I25" s="22"/>
    </row>
    <row r="26" spans="1:11" x14ac:dyDescent="0.25">
      <c r="A26" s="60" t="s">
        <v>90</v>
      </c>
      <c r="B26" s="60" t="s">
        <v>91</v>
      </c>
      <c r="C26" s="75" t="s">
        <v>92</v>
      </c>
      <c r="D26" s="34"/>
      <c r="E26" s="35">
        <v>1</v>
      </c>
      <c r="F26" s="21" t="s">
        <v>19</v>
      </c>
      <c r="G26" s="35"/>
      <c r="H26" s="34"/>
      <c r="I26" s="22"/>
    </row>
    <row r="27" spans="1:11" x14ac:dyDescent="0.25">
      <c r="A27" s="82">
        <v>701096</v>
      </c>
      <c r="B27" s="56" t="s">
        <v>40</v>
      </c>
      <c r="C27" s="83" t="s">
        <v>22</v>
      </c>
      <c r="D27" s="73" t="s">
        <v>23</v>
      </c>
      <c r="E27" s="35">
        <v>1</v>
      </c>
      <c r="F27" s="21" t="s">
        <v>19</v>
      </c>
      <c r="G27" s="35"/>
      <c r="H27" s="34"/>
      <c r="I27" s="22"/>
    </row>
    <row r="28" spans="1:11" x14ac:dyDescent="0.25">
      <c r="A28" s="47">
        <v>702123</v>
      </c>
      <c r="B28" s="56" t="s">
        <v>41</v>
      </c>
      <c r="C28" s="43" t="s">
        <v>24</v>
      </c>
      <c r="D28" s="34" t="s">
        <v>21</v>
      </c>
      <c r="E28" s="35">
        <v>1</v>
      </c>
      <c r="F28" s="21" t="s">
        <v>19</v>
      </c>
      <c r="G28" s="21"/>
      <c r="H28" s="21"/>
      <c r="I28" s="22"/>
    </row>
    <row r="29" spans="1:11" x14ac:dyDescent="0.25">
      <c r="A29" s="74" t="s">
        <v>87</v>
      </c>
      <c r="B29" s="74" t="s">
        <v>88</v>
      </c>
      <c r="C29" t="s">
        <v>89</v>
      </c>
      <c r="D29" s="34"/>
      <c r="E29" s="35">
        <v>1</v>
      </c>
      <c r="F29" s="21" t="s">
        <v>19</v>
      </c>
      <c r="G29" s="35"/>
      <c r="H29" s="34"/>
      <c r="I29" s="22"/>
    </row>
    <row r="30" spans="1:11" x14ac:dyDescent="0.25">
      <c r="A30" s="46"/>
      <c r="B30" s="55"/>
      <c r="C30" s="42"/>
      <c r="D30" s="34"/>
      <c r="E30" s="35"/>
      <c r="F30" s="21"/>
      <c r="G30" s="35"/>
      <c r="H30" s="34"/>
      <c r="I30" s="22"/>
    </row>
    <row r="31" spans="1:11" x14ac:dyDescent="0.25">
      <c r="A31" s="46"/>
      <c r="B31" s="55"/>
      <c r="C31" s="41"/>
      <c r="D31" s="34"/>
      <c r="E31" s="35"/>
      <c r="F31" s="21"/>
      <c r="G31" s="21"/>
      <c r="H31" s="21"/>
      <c r="I31" s="22"/>
    </row>
    <row r="32" spans="1:11" ht="15.75" thickBot="1" x14ac:dyDescent="0.3">
      <c r="A32" s="23"/>
      <c r="B32" s="57"/>
      <c r="C32" s="48"/>
      <c r="D32" s="48"/>
      <c r="E32" s="49"/>
      <c r="F32" s="50"/>
      <c r="G32" s="48"/>
      <c r="H32" s="48"/>
      <c r="I32" s="25"/>
      <c r="J32" s="24"/>
      <c r="K32" s="24"/>
    </row>
    <row r="33" spans="1:11" ht="15.75" thickBot="1" x14ac:dyDescent="0.3">
      <c r="A33" s="26"/>
      <c r="B33" s="58"/>
      <c r="C33" s="27"/>
      <c r="D33" s="28" t="s">
        <v>15</v>
      </c>
      <c r="E33" s="29" t="s">
        <v>25</v>
      </c>
      <c r="F33" s="30"/>
      <c r="G33" s="27"/>
      <c r="H33" s="27"/>
      <c r="I33" s="31"/>
      <c r="J33" s="24"/>
      <c r="K33" s="24"/>
    </row>
    <row r="34" spans="1:11" x14ac:dyDescent="0.25">
      <c r="A34" s="311" t="s">
        <v>26</v>
      </c>
      <c r="B34" s="312"/>
      <c r="C34" s="313"/>
      <c r="D34" s="32">
        <v>1120</v>
      </c>
      <c r="E34" s="33" t="s">
        <v>18</v>
      </c>
      <c r="F34" s="314" t="s">
        <v>27</v>
      </c>
      <c r="G34" s="315"/>
      <c r="H34" s="316"/>
      <c r="I34" s="317"/>
      <c r="J34" s="24"/>
      <c r="K34" s="24"/>
    </row>
    <row r="35" spans="1:11" x14ac:dyDescent="0.25">
      <c r="A35" s="318" t="s">
        <v>28</v>
      </c>
      <c r="B35" s="319"/>
      <c r="C35" s="320"/>
      <c r="D35" s="34">
        <v>5</v>
      </c>
      <c r="E35" s="34" t="s">
        <v>29</v>
      </c>
      <c r="F35" s="321" t="s">
        <v>30</v>
      </c>
      <c r="G35" s="322"/>
      <c r="H35" s="323"/>
      <c r="I35" s="324"/>
      <c r="J35" s="24"/>
      <c r="K35" s="24"/>
    </row>
    <row r="36" spans="1:11" x14ac:dyDescent="0.25">
      <c r="A36" s="318" t="s">
        <v>31</v>
      </c>
      <c r="B36" s="319"/>
      <c r="C36" s="320"/>
      <c r="D36" s="34">
        <v>1</v>
      </c>
      <c r="E36" s="34" t="s">
        <v>19</v>
      </c>
      <c r="F36" s="321" t="s">
        <v>32</v>
      </c>
      <c r="G36" s="322"/>
      <c r="H36" s="323"/>
      <c r="I36" s="324"/>
      <c r="J36" s="24"/>
      <c r="K36" s="24"/>
    </row>
    <row r="37" spans="1:11" x14ac:dyDescent="0.25">
      <c r="A37" s="318" t="s">
        <v>33</v>
      </c>
      <c r="B37" s="319"/>
      <c r="C37" s="320"/>
      <c r="D37" s="35">
        <f>D34</f>
        <v>1120</v>
      </c>
      <c r="E37" s="34" t="s">
        <v>18</v>
      </c>
      <c r="F37" s="329" t="s">
        <v>34</v>
      </c>
      <c r="G37" s="330"/>
      <c r="H37" s="323"/>
      <c r="I37" s="324"/>
      <c r="J37" s="24"/>
      <c r="K37" s="36"/>
    </row>
    <row r="38" spans="1:11" ht="15.75" thickBot="1" x14ac:dyDescent="0.3">
      <c r="A38" s="331" t="s">
        <v>35</v>
      </c>
      <c r="B38" s="332"/>
      <c r="C38" s="333"/>
      <c r="D38" s="37">
        <f>SUM(E11:E20)-D34</f>
        <v>173</v>
      </c>
      <c r="E38" s="38" t="s">
        <v>18</v>
      </c>
      <c r="F38" s="334"/>
      <c r="G38" s="335"/>
      <c r="H38" s="336"/>
      <c r="I38" s="337"/>
      <c r="J38" s="24"/>
      <c r="K38" s="24"/>
    </row>
    <row r="39" spans="1:11" x14ac:dyDescent="0.25">
      <c r="A39" s="338" t="s">
        <v>36</v>
      </c>
      <c r="B39" s="339"/>
      <c r="C39" s="339"/>
      <c r="D39" s="339"/>
      <c r="E39" s="339"/>
      <c r="F39" s="339"/>
      <c r="G39" s="339"/>
      <c r="H39" s="339"/>
      <c r="I39" s="340"/>
      <c r="J39" s="24"/>
      <c r="K39" s="24"/>
    </row>
    <row r="40" spans="1:11" x14ac:dyDescent="0.25">
      <c r="A40" s="325" t="s">
        <v>96</v>
      </c>
      <c r="B40" s="326"/>
      <c r="C40" s="327"/>
      <c r="D40" s="327"/>
      <c r="E40" s="327"/>
      <c r="F40" s="327"/>
      <c r="G40" s="327"/>
      <c r="H40" s="327"/>
      <c r="I40" s="328"/>
      <c r="J40" s="24"/>
      <c r="K40" s="24"/>
    </row>
    <row r="41" spans="1:11" x14ac:dyDescent="0.25">
      <c r="A41" s="325" t="s">
        <v>93</v>
      </c>
      <c r="B41" s="326"/>
      <c r="C41" s="327"/>
      <c r="D41" s="327"/>
      <c r="E41" s="327"/>
      <c r="F41" s="327"/>
      <c r="G41" s="327"/>
      <c r="H41" s="327"/>
      <c r="I41" s="328"/>
      <c r="J41" s="24"/>
      <c r="K41" s="24"/>
    </row>
    <row r="42" spans="1:11" x14ac:dyDescent="0.25">
      <c r="A42" s="325" t="s">
        <v>97</v>
      </c>
      <c r="B42" s="326"/>
      <c r="C42" s="327"/>
      <c r="D42" s="327"/>
      <c r="E42" s="327"/>
      <c r="F42" s="327"/>
      <c r="G42" s="327"/>
      <c r="H42" s="327"/>
      <c r="I42" s="328"/>
      <c r="J42" s="24"/>
      <c r="K42" s="24"/>
    </row>
    <row r="43" spans="1:11" ht="34.35" customHeight="1" x14ac:dyDescent="0.25">
      <c r="A43" s="341" t="s">
        <v>94</v>
      </c>
      <c r="B43" s="342"/>
      <c r="C43" s="343"/>
      <c r="D43" s="343"/>
      <c r="E43" s="343"/>
      <c r="F43" s="343"/>
      <c r="G43" s="343"/>
      <c r="H43" s="343"/>
      <c r="I43" s="344"/>
      <c r="J43" s="24"/>
      <c r="K43" s="24"/>
    </row>
    <row r="44" spans="1:11" ht="16.350000000000001" customHeight="1" x14ac:dyDescent="0.25">
      <c r="A44" s="325" t="s">
        <v>95</v>
      </c>
      <c r="B44" s="326"/>
      <c r="C44" s="327"/>
      <c r="D44" s="327"/>
      <c r="E44" s="327"/>
      <c r="F44" s="327"/>
      <c r="G44" s="327"/>
      <c r="H44" s="327"/>
      <c r="I44" s="328"/>
      <c r="J44" s="24"/>
      <c r="K44" s="24"/>
    </row>
    <row r="45" spans="1:11" ht="15.75" thickBot="1" x14ac:dyDescent="0.3">
      <c r="A45" s="345" t="s">
        <v>37</v>
      </c>
      <c r="B45" s="346"/>
      <c r="C45" s="346"/>
      <c r="D45" s="346"/>
      <c r="E45" s="346"/>
      <c r="F45" s="346"/>
      <c r="G45" s="346"/>
      <c r="H45" s="346"/>
      <c r="I45" s="347"/>
      <c r="J45" s="24"/>
      <c r="K45" s="24"/>
    </row>
    <row r="46" spans="1:11" x14ac:dyDescent="0.25">
      <c r="A46" s="348" t="s">
        <v>43</v>
      </c>
      <c r="B46" s="349"/>
      <c r="C46" s="350"/>
      <c r="D46" s="350"/>
      <c r="E46" s="350"/>
      <c r="F46" s="350"/>
      <c r="G46" s="350"/>
      <c r="H46" s="350"/>
      <c r="I46" s="351"/>
      <c r="J46" s="24"/>
      <c r="K46" s="24"/>
    </row>
    <row r="47" spans="1:11" x14ac:dyDescent="0.25">
      <c r="A47" s="341"/>
      <c r="B47" s="342"/>
      <c r="C47" s="343"/>
      <c r="D47" s="343"/>
      <c r="E47" s="343"/>
      <c r="F47" s="343"/>
      <c r="G47" s="343"/>
      <c r="H47" s="343"/>
      <c r="I47" s="344"/>
    </row>
    <row r="48" spans="1:11" ht="15.75" thickBot="1" x14ac:dyDescent="0.3">
      <c r="A48" s="352"/>
      <c r="B48" s="353"/>
      <c r="C48" s="354"/>
      <c r="D48" s="354"/>
      <c r="E48" s="354"/>
      <c r="F48" s="354"/>
      <c r="G48" s="354"/>
      <c r="H48" s="354"/>
      <c r="I48" s="355"/>
    </row>
    <row r="49" spans="1:9" ht="15.75" thickBot="1" x14ac:dyDescent="0.3">
      <c r="A49" s="352"/>
      <c r="B49" s="353"/>
      <c r="C49" s="354"/>
      <c r="D49" s="354"/>
      <c r="E49" s="354"/>
      <c r="F49" s="354"/>
      <c r="G49" s="354"/>
      <c r="H49" s="354"/>
      <c r="I49" s="355"/>
    </row>
  </sheetData>
  <mergeCells count="47">
    <mergeCell ref="A42:I42"/>
    <mergeCell ref="A43:I43"/>
    <mergeCell ref="F36:G36"/>
    <mergeCell ref="H36:I36"/>
    <mergeCell ref="A38:C38"/>
    <mergeCell ref="F38:G38"/>
    <mergeCell ref="H38:I38"/>
    <mergeCell ref="A37:C37"/>
    <mergeCell ref="F37:G37"/>
    <mergeCell ref="H37:I37"/>
    <mergeCell ref="A41:I41"/>
    <mergeCell ref="G8:H8"/>
    <mergeCell ref="F35:G35"/>
    <mergeCell ref="G20:I20"/>
    <mergeCell ref="A8:A9"/>
    <mergeCell ref="G19:H19"/>
    <mergeCell ref="C8:C9"/>
    <mergeCell ref="D8:D9"/>
    <mergeCell ref="E8:F8"/>
    <mergeCell ref="B8:B9"/>
    <mergeCell ref="I3:I5"/>
    <mergeCell ref="D4:G4"/>
    <mergeCell ref="D5:G5"/>
    <mergeCell ref="A7:C7"/>
    <mergeCell ref="D7:F7"/>
    <mergeCell ref="G7:H7"/>
    <mergeCell ref="A1:B5"/>
    <mergeCell ref="C1:G1"/>
    <mergeCell ref="C2:G2"/>
    <mergeCell ref="C3:G3"/>
    <mergeCell ref="H3:H5"/>
    <mergeCell ref="A49:I49"/>
    <mergeCell ref="A48:I48"/>
    <mergeCell ref="G17:H17"/>
    <mergeCell ref="G18:H18"/>
    <mergeCell ref="A34:C34"/>
    <mergeCell ref="F34:G34"/>
    <mergeCell ref="H34:I34"/>
    <mergeCell ref="A35:C35"/>
    <mergeCell ref="H35:I35"/>
    <mergeCell ref="A36:C36"/>
    <mergeCell ref="A39:I39"/>
    <mergeCell ref="A47:I47"/>
    <mergeCell ref="A40:I40"/>
    <mergeCell ref="A44:I44"/>
    <mergeCell ref="A45:I45"/>
    <mergeCell ref="A46:I46"/>
  </mergeCells>
  <pageMargins left="0.7" right="0.7" top="0.75" bottom="0.75" header="0.3" footer="0.3"/>
  <pageSetup scale="4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91B9-ECA8-4CF8-BC69-EBCAF212BD7F}">
  <dimension ref="A1:K49"/>
  <sheetViews>
    <sheetView topLeftCell="A14" workbookViewId="0">
      <selection activeCell="B29" sqref="B29"/>
    </sheetView>
  </sheetViews>
  <sheetFormatPr baseColWidth="10" defaultRowHeight="15" x14ac:dyDescent="0.25"/>
  <cols>
    <col min="3" max="3" width="35.28515625" customWidth="1"/>
  </cols>
  <sheetData>
    <row r="1" spans="1:9" ht="15.75" x14ac:dyDescent="0.25">
      <c r="A1" s="275"/>
      <c r="B1" s="276"/>
      <c r="C1" s="281" t="s">
        <v>0</v>
      </c>
      <c r="D1" s="282"/>
      <c r="E1" s="282"/>
      <c r="F1" s="282"/>
      <c r="G1" s="283"/>
      <c r="H1" s="1" t="s">
        <v>1</v>
      </c>
      <c r="I1" s="2"/>
    </row>
    <row r="2" spans="1:9" ht="16.5" thickBot="1" x14ac:dyDescent="0.3">
      <c r="A2" s="277"/>
      <c r="B2" s="278"/>
      <c r="C2" s="284" t="s">
        <v>2</v>
      </c>
      <c r="D2" s="285"/>
      <c r="E2" s="285"/>
      <c r="F2" s="285"/>
      <c r="G2" s="286"/>
      <c r="H2" s="3" t="s">
        <v>3</v>
      </c>
      <c r="I2" s="4"/>
    </row>
    <row r="3" spans="1:9" ht="18.75" thickBot="1" x14ac:dyDescent="0.3">
      <c r="A3" s="277"/>
      <c r="B3" s="278"/>
      <c r="C3" s="287" t="s">
        <v>206</v>
      </c>
      <c r="D3" s="288"/>
      <c r="E3" s="288"/>
      <c r="F3" s="288"/>
      <c r="G3" s="289"/>
      <c r="H3" s="290" t="s">
        <v>71</v>
      </c>
      <c r="I3" s="266"/>
    </row>
    <row r="4" spans="1:9" x14ac:dyDescent="0.25">
      <c r="A4" s="277"/>
      <c r="B4" s="278"/>
      <c r="C4" s="5" t="s">
        <v>5</v>
      </c>
      <c r="D4" s="269" t="s">
        <v>42</v>
      </c>
      <c r="E4" s="270"/>
      <c r="F4" s="270"/>
      <c r="G4" s="271"/>
      <c r="H4" s="291"/>
      <c r="I4" s="267"/>
    </row>
    <row r="5" spans="1:9" ht="15.75" thickBot="1" x14ac:dyDescent="0.3">
      <c r="A5" s="279"/>
      <c r="B5" s="280"/>
      <c r="C5" s="6" t="s">
        <v>6</v>
      </c>
      <c r="D5" s="272" t="s">
        <v>7</v>
      </c>
      <c r="E5" s="273"/>
      <c r="F5" s="273"/>
      <c r="G5" s="274"/>
      <c r="H5" s="292"/>
      <c r="I5" s="268"/>
    </row>
    <row r="6" spans="1:9" x14ac:dyDescent="0.25">
      <c r="A6" s="7"/>
      <c r="B6" s="7"/>
      <c r="C6" s="8"/>
      <c r="D6" s="9"/>
      <c r="E6" s="9"/>
      <c r="F6" s="9"/>
      <c r="G6" s="9"/>
      <c r="H6" s="10"/>
      <c r="I6" s="11"/>
    </row>
    <row r="7" spans="1:9" ht="15.75" thickBot="1" x14ac:dyDescent="0.3">
      <c r="A7" s="293" t="s">
        <v>8</v>
      </c>
      <c r="B7" s="293"/>
      <c r="C7" s="293"/>
      <c r="D7" s="294" t="s">
        <v>68</v>
      </c>
      <c r="E7" s="294"/>
      <c r="F7" s="294"/>
      <c r="G7" s="295" t="s">
        <v>9</v>
      </c>
      <c r="H7" s="295"/>
      <c r="I7" s="40" t="s">
        <v>68</v>
      </c>
    </row>
    <row r="8" spans="1:9" ht="25.5" x14ac:dyDescent="0.25">
      <c r="A8" s="296" t="s">
        <v>10</v>
      </c>
      <c r="B8" s="298" t="s">
        <v>39</v>
      </c>
      <c r="C8" s="300" t="s">
        <v>11</v>
      </c>
      <c r="D8" s="300" t="s">
        <v>12</v>
      </c>
      <c r="E8" s="302"/>
      <c r="F8" s="303"/>
      <c r="G8" s="302" t="s">
        <v>13</v>
      </c>
      <c r="H8" s="303"/>
      <c r="I8" s="12" t="s">
        <v>14</v>
      </c>
    </row>
    <row r="9" spans="1:9" ht="27" thickBot="1" x14ac:dyDescent="0.3">
      <c r="A9" s="297"/>
      <c r="B9" s="299"/>
      <c r="C9" s="301"/>
      <c r="D9" s="301"/>
      <c r="E9" s="13" t="s">
        <v>15</v>
      </c>
      <c r="F9" s="14" t="s">
        <v>16</v>
      </c>
      <c r="G9" s="13" t="s">
        <v>15</v>
      </c>
      <c r="H9" s="14" t="s">
        <v>16</v>
      </c>
      <c r="I9" s="15" t="s">
        <v>17</v>
      </c>
    </row>
    <row r="10" spans="1:9" x14ac:dyDescent="0.25">
      <c r="A10" s="59"/>
      <c r="B10" s="54"/>
      <c r="C10" s="16" t="s">
        <v>48</v>
      </c>
      <c r="D10" s="17"/>
      <c r="E10" s="18"/>
      <c r="F10" s="19"/>
      <c r="G10" s="18"/>
      <c r="H10" s="19"/>
      <c r="I10" s="20"/>
    </row>
    <row r="11" spans="1:9" x14ac:dyDescent="0.25">
      <c r="A11" s="74" t="s">
        <v>74</v>
      </c>
      <c r="B11" t="s">
        <v>75</v>
      </c>
      <c r="C11" t="s">
        <v>76</v>
      </c>
      <c r="D11" s="34" t="s">
        <v>38</v>
      </c>
      <c r="E11" s="35">
        <v>168</v>
      </c>
      <c r="F11" s="21" t="s">
        <v>18</v>
      </c>
      <c r="G11" s="62">
        <v>0.5</v>
      </c>
      <c r="H11" s="63" t="s">
        <v>25</v>
      </c>
      <c r="I11" s="22"/>
    </row>
    <row r="12" spans="1:9" x14ac:dyDescent="0.25">
      <c r="A12" s="64"/>
      <c r="B12" s="53"/>
      <c r="C12" s="52" t="s">
        <v>78</v>
      </c>
      <c r="D12" s="34" t="s">
        <v>38</v>
      </c>
      <c r="E12" s="35">
        <v>340</v>
      </c>
      <c r="F12" s="21" t="s">
        <v>18</v>
      </c>
      <c r="G12" s="44">
        <v>1</v>
      </c>
      <c r="H12" s="44" t="s">
        <v>79</v>
      </c>
      <c r="I12" s="22"/>
    </row>
    <row r="13" spans="1:9" x14ac:dyDescent="0.25">
      <c r="A13" s="64"/>
      <c r="B13" s="53"/>
      <c r="C13" s="52" t="s">
        <v>46</v>
      </c>
      <c r="D13" s="34" t="s">
        <v>38</v>
      </c>
      <c r="E13" s="35">
        <v>50</v>
      </c>
      <c r="F13" s="21" t="s">
        <v>18</v>
      </c>
      <c r="G13" s="44"/>
      <c r="H13" s="44" t="s">
        <v>49</v>
      </c>
      <c r="I13" s="22"/>
    </row>
    <row r="14" spans="1:9" x14ac:dyDescent="0.25">
      <c r="A14" s="64"/>
      <c r="B14" s="64"/>
      <c r="C14" s="52" t="s">
        <v>77</v>
      </c>
      <c r="D14" s="34" t="s">
        <v>38</v>
      </c>
      <c r="E14" s="35">
        <v>350</v>
      </c>
      <c r="F14" s="21" t="s">
        <v>18</v>
      </c>
      <c r="G14" s="62"/>
      <c r="H14" s="63"/>
      <c r="I14" s="22"/>
    </row>
    <row r="15" spans="1:9" x14ac:dyDescent="0.25">
      <c r="A15" s="64"/>
      <c r="B15" s="64"/>
      <c r="C15" s="52"/>
      <c r="D15" s="34"/>
      <c r="E15" s="35"/>
      <c r="F15" s="21"/>
      <c r="G15" s="62"/>
      <c r="H15" s="63"/>
      <c r="I15" s="22"/>
    </row>
    <row r="16" spans="1:9" x14ac:dyDescent="0.25">
      <c r="A16" s="65"/>
      <c r="B16" s="65"/>
      <c r="C16" s="78" t="s">
        <v>56</v>
      </c>
      <c r="D16" s="34"/>
      <c r="E16" s="35"/>
      <c r="F16" s="21"/>
      <c r="G16" s="45"/>
      <c r="H16" s="34"/>
      <c r="I16" s="22"/>
    </row>
    <row r="17" spans="1:11" x14ac:dyDescent="0.25">
      <c r="A17" s="60" t="s">
        <v>80</v>
      </c>
      <c r="B17" s="75" t="s">
        <v>81</v>
      </c>
      <c r="C17" s="75" t="s">
        <v>82</v>
      </c>
      <c r="D17" s="84" t="s">
        <v>38</v>
      </c>
      <c r="E17" s="87">
        <v>50</v>
      </c>
      <c r="F17" s="88" t="s">
        <v>18</v>
      </c>
      <c r="G17" s="304" t="s">
        <v>83</v>
      </c>
      <c r="H17" s="305"/>
      <c r="I17" s="22"/>
    </row>
    <row r="18" spans="1:11" x14ac:dyDescent="0.25">
      <c r="A18" s="85"/>
      <c r="B18" s="60"/>
      <c r="C18" s="75" t="s">
        <v>84</v>
      </c>
      <c r="D18" s="84" t="s">
        <v>38</v>
      </c>
      <c r="E18" s="87">
        <v>50</v>
      </c>
      <c r="F18" s="88" t="s">
        <v>18</v>
      </c>
      <c r="G18" s="308"/>
      <c r="H18" s="309"/>
      <c r="I18" s="22"/>
    </row>
    <row r="19" spans="1:11" x14ac:dyDescent="0.25">
      <c r="A19" s="85"/>
      <c r="B19" s="60"/>
      <c r="C19" s="52" t="s">
        <v>128</v>
      </c>
      <c r="D19" s="34" t="s">
        <v>38</v>
      </c>
      <c r="E19" s="35">
        <v>60</v>
      </c>
      <c r="F19" s="21" t="s">
        <v>18</v>
      </c>
      <c r="G19" s="308" t="s">
        <v>204</v>
      </c>
      <c r="H19" s="309"/>
      <c r="I19" s="22"/>
    </row>
    <row r="20" spans="1:11" x14ac:dyDescent="0.25">
      <c r="A20" s="85"/>
      <c r="B20" s="60"/>
      <c r="C20" s="75" t="s">
        <v>67</v>
      </c>
      <c r="D20" s="84" t="s">
        <v>38</v>
      </c>
      <c r="E20" s="87">
        <v>25</v>
      </c>
      <c r="F20" s="88" t="s">
        <v>18</v>
      </c>
      <c r="G20" s="308" t="s">
        <v>86</v>
      </c>
      <c r="H20" s="310"/>
      <c r="I20" s="309"/>
    </row>
    <row r="21" spans="1:11" x14ac:dyDescent="0.25">
      <c r="A21" s="85"/>
      <c r="B21" s="60"/>
      <c r="C21" s="75"/>
      <c r="D21" s="86"/>
      <c r="E21" s="87"/>
      <c r="F21" s="88"/>
      <c r="G21" s="79"/>
      <c r="H21" s="80"/>
      <c r="I21" s="81"/>
    </row>
    <row r="22" spans="1:11" x14ac:dyDescent="0.25">
      <c r="A22" s="65"/>
      <c r="B22" s="65"/>
      <c r="C22" s="78" t="s">
        <v>20</v>
      </c>
      <c r="D22" s="34"/>
      <c r="E22" s="45"/>
      <c r="F22" s="21"/>
      <c r="G22" s="44"/>
      <c r="H22" s="34"/>
      <c r="I22" s="22"/>
    </row>
    <row r="23" spans="1:11" x14ac:dyDescent="0.25">
      <c r="A23" s="74" t="s">
        <v>98</v>
      </c>
      <c r="B23" s="74" t="s">
        <v>99</v>
      </c>
      <c r="C23" t="s">
        <v>100</v>
      </c>
      <c r="D23" s="34"/>
      <c r="E23" s="35">
        <v>10</v>
      </c>
      <c r="F23" s="21" t="s">
        <v>18</v>
      </c>
      <c r="G23" s="44"/>
      <c r="H23" s="34"/>
      <c r="I23" s="22"/>
    </row>
    <row r="24" spans="1:11" x14ac:dyDescent="0.25">
      <c r="A24" s="85">
        <v>51400021</v>
      </c>
      <c r="B24" s="60" t="s">
        <v>51</v>
      </c>
      <c r="C24" s="75" t="s">
        <v>52</v>
      </c>
      <c r="D24" s="34" t="s">
        <v>38</v>
      </c>
      <c r="E24" s="35">
        <v>1</v>
      </c>
      <c r="F24" s="21" t="s">
        <v>19</v>
      </c>
      <c r="G24" s="35"/>
      <c r="H24" s="34"/>
      <c r="I24" s="22"/>
    </row>
    <row r="25" spans="1:11" x14ac:dyDescent="0.25">
      <c r="A25" s="85">
        <v>1950693</v>
      </c>
      <c r="B25" s="60" t="s">
        <v>53</v>
      </c>
      <c r="C25" s="75" t="s">
        <v>54</v>
      </c>
      <c r="D25" s="34" t="s">
        <v>38</v>
      </c>
      <c r="E25" s="35">
        <v>1</v>
      </c>
      <c r="F25" s="21" t="s">
        <v>19</v>
      </c>
      <c r="G25" s="35"/>
      <c r="H25" s="34"/>
      <c r="I25" s="22"/>
    </row>
    <row r="26" spans="1:11" x14ac:dyDescent="0.25">
      <c r="A26" s="60" t="s">
        <v>90</v>
      </c>
      <c r="B26" s="60" t="s">
        <v>91</v>
      </c>
      <c r="C26" s="75" t="s">
        <v>92</v>
      </c>
      <c r="D26" s="34"/>
      <c r="E26" s="35">
        <v>1</v>
      </c>
      <c r="F26" s="21" t="s">
        <v>19</v>
      </c>
      <c r="G26" s="35"/>
      <c r="H26" s="34"/>
      <c r="I26" s="22"/>
    </row>
    <row r="27" spans="1:11" x14ac:dyDescent="0.25">
      <c r="A27" s="82">
        <v>701096</v>
      </c>
      <c r="B27" s="56" t="s">
        <v>40</v>
      </c>
      <c r="C27" s="83" t="s">
        <v>22</v>
      </c>
      <c r="D27" s="73" t="s">
        <v>23</v>
      </c>
      <c r="E27" s="35">
        <v>1</v>
      </c>
      <c r="F27" s="21" t="s">
        <v>19</v>
      </c>
      <c r="G27" s="35"/>
      <c r="H27" s="34"/>
      <c r="I27" s="22"/>
    </row>
    <row r="28" spans="1:11" x14ac:dyDescent="0.25">
      <c r="A28" s="47">
        <v>702123</v>
      </c>
      <c r="B28" s="56" t="s">
        <v>41</v>
      </c>
      <c r="C28" s="43" t="s">
        <v>24</v>
      </c>
      <c r="D28" s="34" t="s">
        <v>21</v>
      </c>
      <c r="E28" s="35">
        <v>1</v>
      </c>
      <c r="F28" s="21" t="s">
        <v>19</v>
      </c>
      <c r="G28" s="21"/>
      <c r="H28" s="21"/>
      <c r="I28" s="22"/>
    </row>
    <row r="29" spans="1:11" x14ac:dyDescent="0.25">
      <c r="A29" s="74" t="s">
        <v>87</v>
      </c>
      <c r="B29" s="74" t="s">
        <v>88</v>
      </c>
      <c r="C29" t="s">
        <v>89</v>
      </c>
      <c r="D29" s="34"/>
      <c r="E29" s="35">
        <v>1</v>
      </c>
      <c r="F29" s="21" t="s">
        <v>19</v>
      </c>
      <c r="G29" s="35"/>
      <c r="H29" s="34"/>
      <c r="I29" s="22"/>
    </row>
    <row r="30" spans="1:11" x14ac:dyDescent="0.25">
      <c r="A30" s="46"/>
      <c r="B30" s="55"/>
      <c r="C30" s="42"/>
      <c r="D30" s="34"/>
      <c r="E30" s="35"/>
      <c r="F30" s="21"/>
      <c r="G30" s="35"/>
      <c r="H30" s="34"/>
      <c r="I30" s="22"/>
    </row>
    <row r="31" spans="1:11" x14ac:dyDescent="0.25">
      <c r="A31" s="46"/>
      <c r="B31" s="55"/>
      <c r="C31" s="41"/>
      <c r="D31" s="34"/>
      <c r="E31" s="35"/>
      <c r="F31" s="21"/>
      <c r="G31" s="21"/>
      <c r="H31" s="21"/>
      <c r="I31" s="22"/>
    </row>
    <row r="32" spans="1:11" ht="15.75" thickBot="1" x14ac:dyDescent="0.3">
      <c r="A32" s="23"/>
      <c r="B32" s="57"/>
      <c r="C32" s="48"/>
      <c r="D32" s="48"/>
      <c r="E32" s="49"/>
      <c r="F32" s="50"/>
      <c r="G32" s="48"/>
      <c r="H32" s="48"/>
      <c r="I32" s="25"/>
      <c r="J32" s="24"/>
      <c r="K32" s="24"/>
    </row>
    <row r="33" spans="1:11" ht="15.75" thickBot="1" x14ac:dyDescent="0.3">
      <c r="A33" s="26"/>
      <c r="B33" s="58"/>
      <c r="C33" s="27"/>
      <c r="D33" s="28" t="s">
        <v>15</v>
      </c>
      <c r="E33" s="29" t="s">
        <v>25</v>
      </c>
      <c r="F33" s="30"/>
      <c r="G33" s="27"/>
      <c r="H33" s="27"/>
      <c r="I33" s="31"/>
      <c r="J33" s="24"/>
      <c r="K33" s="24"/>
    </row>
    <row r="34" spans="1:11" x14ac:dyDescent="0.25">
      <c r="A34" s="311" t="s">
        <v>26</v>
      </c>
      <c r="B34" s="312"/>
      <c r="C34" s="313"/>
      <c r="D34" s="32">
        <v>900</v>
      </c>
      <c r="E34" s="33" t="s">
        <v>18</v>
      </c>
      <c r="F34" s="314" t="s">
        <v>27</v>
      </c>
      <c r="G34" s="315"/>
      <c r="H34" s="316"/>
      <c r="I34" s="317"/>
      <c r="J34" s="24"/>
      <c r="K34" s="24"/>
    </row>
    <row r="35" spans="1:11" x14ac:dyDescent="0.25">
      <c r="A35" s="318" t="s">
        <v>28</v>
      </c>
      <c r="B35" s="319"/>
      <c r="C35" s="320"/>
      <c r="D35" s="34">
        <v>5</v>
      </c>
      <c r="E35" s="34" t="s">
        <v>29</v>
      </c>
      <c r="F35" s="321" t="s">
        <v>30</v>
      </c>
      <c r="G35" s="322"/>
      <c r="H35" s="323"/>
      <c r="I35" s="324"/>
      <c r="J35" s="24"/>
      <c r="K35" s="24"/>
    </row>
    <row r="36" spans="1:11" x14ac:dyDescent="0.25">
      <c r="A36" s="318" t="s">
        <v>31</v>
      </c>
      <c r="B36" s="319"/>
      <c r="C36" s="320"/>
      <c r="D36" s="34">
        <v>1</v>
      </c>
      <c r="E36" s="34" t="s">
        <v>19</v>
      </c>
      <c r="F36" s="321" t="s">
        <v>32</v>
      </c>
      <c r="G36" s="322"/>
      <c r="H36" s="323"/>
      <c r="I36" s="324"/>
      <c r="J36" s="24"/>
      <c r="K36" s="24"/>
    </row>
    <row r="37" spans="1:11" x14ac:dyDescent="0.25">
      <c r="A37" s="318" t="s">
        <v>33</v>
      </c>
      <c r="B37" s="319"/>
      <c r="C37" s="320"/>
      <c r="D37" s="35">
        <v>900</v>
      </c>
      <c r="E37" s="34" t="s">
        <v>18</v>
      </c>
      <c r="F37" s="329" t="s">
        <v>34</v>
      </c>
      <c r="G37" s="330"/>
      <c r="H37" s="323"/>
      <c r="I37" s="324"/>
      <c r="J37" s="24"/>
      <c r="K37" s="36"/>
    </row>
    <row r="38" spans="1:11" ht="15.75" thickBot="1" x14ac:dyDescent="0.3">
      <c r="A38" s="331" t="s">
        <v>35</v>
      </c>
      <c r="B38" s="332"/>
      <c r="C38" s="333"/>
      <c r="D38" s="37">
        <v>253</v>
      </c>
      <c r="E38" s="38" t="s">
        <v>18</v>
      </c>
      <c r="F38" s="334"/>
      <c r="G38" s="335"/>
      <c r="H38" s="336"/>
      <c r="I38" s="337"/>
      <c r="J38" s="24"/>
      <c r="K38" s="24"/>
    </row>
    <row r="39" spans="1:11" x14ac:dyDescent="0.25">
      <c r="A39" s="338" t="s">
        <v>36</v>
      </c>
      <c r="B39" s="339"/>
      <c r="C39" s="339"/>
      <c r="D39" s="339"/>
      <c r="E39" s="339"/>
      <c r="F39" s="339"/>
      <c r="G39" s="339"/>
      <c r="H39" s="339"/>
      <c r="I39" s="340"/>
      <c r="J39" s="24"/>
      <c r="K39" s="24"/>
    </row>
    <row r="40" spans="1:11" x14ac:dyDescent="0.25">
      <c r="A40" s="325" t="s">
        <v>96</v>
      </c>
      <c r="B40" s="326"/>
      <c r="C40" s="327"/>
      <c r="D40" s="327"/>
      <c r="E40" s="327"/>
      <c r="F40" s="327"/>
      <c r="G40" s="327"/>
      <c r="H40" s="327"/>
      <c r="I40" s="328"/>
      <c r="J40" s="24"/>
      <c r="K40" s="24"/>
    </row>
    <row r="41" spans="1:11" x14ac:dyDescent="0.25">
      <c r="A41" s="325" t="s">
        <v>93</v>
      </c>
      <c r="B41" s="326"/>
      <c r="C41" s="327"/>
      <c r="D41" s="327"/>
      <c r="E41" s="327"/>
      <c r="F41" s="327"/>
      <c r="G41" s="327"/>
      <c r="H41" s="327"/>
      <c r="I41" s="328"/>
      <c r="J41" s="24"/>
      <c r="K41" s="24"/>
    </row>
    <row r="42" spans="1:11" x14ac:dyDescent="0.25">
      <c r="A42" s="325" t="s">
        <v>97</v>
      </c>
      <c r="B42" s="326"/>
      <c r="C42" s="327"/>
      <c r="D42" s="327"/>
      <c r="E42" s="327"/>
      <c r="F42" s="327"/>
      <c r="G42" s="327"/>
      <c r="H42" s="327"/>
      <c r="I42" s="328"/>
      <c r="J42" s="24"/>
      <c r="K42" s="24"/>
    </row>
    <row r="43" spans="1:11" x14ac:dyDescent="0.25">
      <c r="A43" s="341" t="s">
        <v>205</v>
      </c>
      <c r="B43" s="342"/>
      <c r="C43" s="343"/>
      <c r="D43" s="343"/>
      <c r="E43" s="343"/>
      <c r="F43" s="343"/>
      <c r="G43" s="343"/>
      <c r="H43" s="343"/>
      <c r="I43" s="344"/>
      <c r="J43" s="24"/>
      <c r="K43" s="24"/>
    </row>
    <row r="44" spans="1:11" x14ac:dyDescent="0.25">
      <c r="A44" s="325" t="s">
        <v>95</v>
      </c>
      <c r="B44" s="326"/>
      <c r="C44" s="327"/>
      <c r="D44" s="327"/>
      <c r="E44" s="327"/>
      <c r="F44" s="327"/>
      <c r="G44" s="327"/>
      <c r="H44" s="327"/>
      <c r="I44" s="328"/>
      <c r="J44" s="24"/>
      <c r="K44" s="24"/>
    </row>
    <row r="45" spans="1:11" ht="15.75" thickBot="1" x14ac:dyDescent="0.3">
      <c r="A45" s="345" t="s">
        <v>37</v>
      </c>
      <c r="B45" s="346"/>
      <c r="C45" s="346"/>
      <c r="D45" s="346"/>
      <c r="E45" s="346"/>
      <c r="F45" s="346"/>
      <c r="G45" s="346"/>
      <c r="H45" s="346"/>
      <c r="I45" s="347"/>
      <c r="J45" s="24"/>
      <c r="K45" s="24"/>
    </row>
    <row r="46" spans="1:11" x14ac:dyDescent="0.25">
      <c r="A46" s="348" t="s">
        <v>43</v>
      </c>
      <c r="B46" s="349"/>
      <c r="C46" s="350"/>
      <c r="D46" s="350"/>
      <c r="E46" s="350"/>
      <c r="F46" s="350"/>
      <c r="G46" s="350"/>
      <c r="H46" s="350"/>
      <c r="I46" s="351"/>
      <c r="J46" s="24"/>
      <c r="K46" s="24"/>
    </row>
    <row r="47" spans="1:11" x14ac:dyDescent="0.25">
      <c r="A47" s="341"/>
      <c r="B47" s="342"/>
      <c r="C47" s="343"/>
      <c r="D47" s="343"/>
      <c r="E47" s="343"/>
      <c r="F47" s="343"/>
      <c r="G47" s="343"/>
      <c r="H47" s="343"/>
      <c r="I47" s="344"/>
    </row>
    <row r="48" spans="1:11" ht="15.75" thickBot="1" x14ac:dyDescent="0.3">
      <c r="A48" s="352"/>
      <c r="B48" s="353"/>
      <c r="C48" s="354"/>
      <c r="D48" s="354"/>
      <c r="E48" s="354"/>
      <c r="F48" s="354"/>
      <c r="G48" s="354"/>
      <c r="H48" s="354"/>
      <c r="I48" s="355"/>
    </row>
    <row r="49" spans="1:9" ht="15.75" thickBot="1" x14ac:dyDescent="0.3">
      <c r="A49" s="352"/>
      <c r="B49" s="353"/>
      <c r="C49" s="354"/>
      <c r="D49" s="354"/>
      <c r="E49" s="354"/>
      <c r="F49" s="354"/>
      <c r="G49" s="354"/>
      <c r="H49" s="354"/>
      <c r="I49" s="355"/>
    </row>
  </sheetData>
  <mergeCells count="47">
    <mergeCell ref="A42:I42"/>
    <mergeCell ref="A43:I43"/>
    <mergeCell ref="F36:G36"/>
    <mergeCell ref="H36:I36"/>
    <mergeCell ref="A38:C38"/>
    <mergeCell ref="F38:G38"/>
    <mergeCell ref="H38:I38"/>
    <mergeCell ref="A37:C37"/>
    <mergeCell ref="F37:G37"/>
    <mergeCell ref="H37:I37"/>
    <mergeCell ref="A41:I41"/>
    <mergeCell ref="G8:H8"/>
    <mergeCell ref="F35:G35"/>
    <mergeCell ref="G20:I20"/>
    <mergeCell ref="A8:A9"/>
    <mergeCell ref="C8:C9"/>
    <mergeCell ref="D8:D9"/>
    <mergeCell ref="E8:F8"/>
    <mergeCell ref="B8:B9"/>
    <mergeCell ref="G19:H19"/>
    <mergeCell ref="I3:I5"/>
    <mergeCell ref="D4:G4"/>
    <mergeCell ref="D5:G5"/>
    <mergeCell ref="A7:C7"/>
    <mergeCell ref="D7:F7"/>
    <mergeCell ref="G7:H7"/>
    <mergeCell ref="A1:B5"/>
    <mergeCell ref="C1:G1"/>
    <mergeCell ref="C2:G2"/>
    <mergeCell ref="C3:G3"/>
    <mergeCell ref="H3:H5"/>
    <mergeCell ref="A49:I49"/>
    <mergeCell ref="A48:I48"/>
    <mergeCell ref="G17:H17"/>
    <mergeCell ref="G18:H18"/>
    <mergeCell ref="A34:C34"/>
    <mergeCell ref="F34:G34"/>
    <mergeCell ref="H34:I34"/>
    <mergeCell ref="A35:C35"/>
    <mergeCell ref="H35:I35"/>
    <mergeCell ref="A36:C36"/>
    <mergeCell ref="A39:I39"/>
    <mergeCell ref="A47:I47"/>
    <mergeCell ref="A40:I40"/>
    <mergeCell ref="A44:I44"/>
    <mergeCell ref="A45:I45"/>
    <mergeCell ref="A46:I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90FD-A5AD-4586-918C-8C6294C9C47C}">
  <dimension ref="A1:Q97"/>
  <sheetViews>
    <sheetView topLeftCell="A48" workbookViewId="0">
      <selection activeCell="I57" sqref="I57"/>
    </sheetView>
  </sheetViews>
  <sheetFormatPr baseColWidth="10" defaultColWidth="8.42578125" defaultRowHeight="12.75" x14ac:dyDescent="0.25"/>
  <cols>
    <col min="1" max="1" width="10" style="94" bestFit="1" customWidth="1"/>
    <col min="2" max="2" width="44.28515625" style="94" bestFit="1" customWidth="1"/>
    <col min="3" max="3" width="10.42578125" style="94" bestFit="1" customWidth="1"/>
    <col min="4" max="4" width="10.42578125" style="94" customWidth="1"/>
    <col min="5" max="5" width="9.7109375" style="94" bestFit="1" customWidth="1"/>
    <col min="6" max="6" width="9.5703125" style="94" bestFit="1" customWidth="1"/>
    <col min="7" max="7" width="9.5703125" style="176" bestFit="1" customWidth="1"/>
    <col min="8" max="8" width="10.42578125" style="167" bestFit="1" customWidth="1"/>
    <col min="9" max="9" width="4.5703125" style="167" customWidth="1"/>
    <col min="10" max="10" width="1.7109375" style="93" customWidth="1"/>
    <col min="11" max="11" width="7" style="94" bestFit="1" customWidth="1"/>
    <col min="12" max="12" width="6.28515625" style="94" customWidth="1"/>
    <col min="13" max="13" width="20.42578125" style="94" customWidth="1"/>
    <col min="14" max="14" width="6.42578125" style="94" bestFit="1" customWidth="1"/>
    <col min="15" max="16" width="8.42578125" style="94"/>
    <col min="17" max="17" width="3.28515625" style="94" customWidth="1"/>
    <col min="18" max="256" width="8.42578125" style="94"/>
    <col min="257" max="257" width="10" style="94" bestFit="1" customWidth="1"/>
    <col min="258" max="258" width="44.28515625" style="94" bestFit="1" customWidth="1"/>
    <col min="259" max="259" width="10.42578125" style="94" bestFit="1" customWidth="1"/>
    <col min="260" max="260" width="10.42578125" style="94" customWidth="1"/>
    <col min="261" max="261" width="9.7109375" style="94" bestFit="1" customWidth="1"/>
    <col min="262" max="263" width="9.5703125" style="94" bestFit="1" customWidth="1"/>
    <col min="264" max="264" width="10.42578125" style="94" bestFit="1" customWidth="1"/>
    <col min="265" max="265" width="4.5703125" style="94" customWidth="1"/>
    <col min="266" max="266" width="1.7109375" style="94" customWidth="1"/>
    <col min="267" max="267" width="7" style="94" bestFit="1" customWidth="1"/>
    <col min="268" max="268" width="6.28515625" style="94" customWidth="1"/>
    <col min="269" max="269" width="20.42578125" style="94" customWidth="1"/>
    <col min="270" max="270" width="6.42578125" style="94" bestFit="1" customWidth="1"/>
    <col min="271" max="272" width="8.42578125" style="94"/>
    <col min="273" max="273" width="3.28515625" style="94" customWidth="1"/>
    <col min="274" max="512" width="8.42578125" style="94"/>
    <col min="513" max="513" width="10" style="94" bestFit="1" customWidth="1"/>
    <col min="514" max="514" width="44.28515625" style="94" bestFit="1" customWidth="1"/>
    <col min="515" max="515" width="10.42578125" style="94" bestFit="1" customWidth="1"/>
    <col min="516" max="516" width="10.42578125" style="94" customWidth="1"/>
    <col min="517" max="517" width="9.7109375" style="94" bestFit="1" customWidth="1"/>
    <col min="518" max="519" width="9.5703125" style="94" bestFit="1" customWidth="1"/>
    <col min="520" max="520" width="10.42578125" style="94" bestFit="1" customWidth="1"/>
    <col min="521" max="521" width="4.5703125" style="94" customWidth="1"/>
    <col min="522" max="522" width="1.7109375" style="94" customWidth="1"/>
    <col min="523" max="523" width="7" style="94" bestFit="1" customWidth="1"/>
    <col min="524" max="524" width="6.28515625" style="94" customWidth="1"/>
    <col min="525" max="525" width="20.42578125" style="94" customWidth="1"/>
    <col min="526" max="526" width="6.42578125" style="94" bestFit="1" customWidth="1"/>
    <col min="527" max="528" width="8.42578125" style="94"/>
    <col min="529" max="529" width="3.28515625" style="94" customWidth="1"/>
    <col min="530" max="768" width="8.42578125" style="94"/>
    <col min="769" max="769" width="10" style="94" bestFit="1" customWidth="1"/>
    <col min="770" max="770" width="44.28515625" style="94" bestFit="1" customWidth="1"/>
    <col min="771" max="771" width="10.42578125" style="94" bestFit="1" customWidth="1"/>
    <col min="772" max="772" width="10.42578125" style="94" customWidth="1"/>
    <col min="773" max="773" width="9.7109375" style="94" bestFit="1" customWidth="1"/>
    <col min="774" max="775" width="9.5703125" style="94" bestFit="1" customWidth="1"/>
    <col min="776" max="776" width="10.42578125" style="94" bestFit="1" customWidth="1"/>
    <col min="777" max="777" width="4.5703125" style="94" customWidth="1"/>
    <col min="778" max="778" width="1.7109375" style="94" customWidth="1"/>
    <col min="779" max="779" width="7" style="94" bestFit="1" customWidth="1"/>
    <col min="780" max="780" width="6.28515625" style="94" customWidth="1"/>
    <col min="781" max="781" width="20.42578125" style="94" customWidth="1"/>
    <col min="782" max="782" width="6.42578125" style="94" bestFit="1" customWidth="1"/>
    <col min="783" max="784" width="8.42578125" style="94"/>
    <col min="785" max="785" width="3.28515625" style="94" customWidth="1"/>
    <col min="786" max="1024" width="8.42578125" style="94"/>
    <col min="1025" max="1025" width="10" style="94" bestFit="1" customWidth="1"/>
    <col min="1026" max="1026" width="44.28515625" style="94" bestFit="1" customWidth="1"/>
    <col min="1027" max="1027" width="10.42578125" style="94" bestFit="1" customWidth="1"/>
    <col min="1028" max="1028" width="10.42578125" style="94" customWidth="1"/>
    <col min="1029" max="1029" width="9.7109375" style="94" bestFit="1" customWidth="1"/>
    <col min="1030" max="1031" width="9.5703125" style="94" bestFit="1" customWidth="1"/>
    <col min="1032" max="1032" width="10.42578125" style="94" bestFit="1" customWidth="1"/>
    <col min="1033" max="1033" width="4.5703125" style="94" customWidth="1"/>
    <col min="1034" max="1034" width="1.7109375" style="94" customWidth="1"/>
    <col min="1035" max="1035" width="7" style="94" bestFit="1" customWidth="1"/>
    <col min="1036" max="1036" width="6.28515625" style="94" customWidth="1"/>
    <col min="1037" max="1037" width="20.42578125" style="94" customWidth="1"/>
    <col min="1038" max="1038" width="6.42578125" style="94" bestFit="1" customWidth="1"/>
    <col min="1039" max="1040" width="8.42578125" style="94"/>
    <col min="1041" max="1041" width="3.28515625" style="94" customWidth="1"/>
    <col min="1042" max="1280" width="8.42578125" style="94"/>
    <col min="1281" max="1281" width="10" style="94" bestFit="1" customWidth="1"/>
    <col min="1282" max="1282" width="44.28515625" style="94" bestFit="1" customWidth="1"/>
    <col min="1283" max="1283" width="10.42578125" style="94" bestFit="1" customWidth="1"/>
    <col min="1284" max="1284" width="10.42578125" style="94" customWidth="1"/>
    <col min="1285" max="1285" width="9.7109375" style="94" bestFit="1" customWidth="1"/>
    <col min="1286" max="1287" width="9.5703125" style="94" bestFit="1" customWidth="1"/>
    <col min="1288" max="1288" width="10.42578125" style="94" bestFit="1" customWidth="1"/>
    <col min="1289" max="1289" width="4.5703125" style="94" customWidth="1"/>
    <col min="1290" max="1290" width="1.7109375" style="94" customWidth="1"/>
    <col min="1291" max="1291" width="7" style="94" bestFit="1" customWidth="1"/>
    <col min="1292" max="1292" width="6.28515625" style="94" customWidth="1"/>
    <col min="1293" max="1293" width="20.42578125" style="94" customWidth="1"/>
    <col min="1294" max="1294" width="6.42578125" style="94" bestFit="1" customWidth="1"/>
    <col min="1295" max="1296" width="8.42578125" style="94"/>
    <col min="1297" max="1297" width="3.28515625" style="94" customWidth="1"/>
    <col min="1298" max="1536" width="8.42578125" style="94"/>
    <col min="1537" max="1537" width="10" style="94" bestFit="1" customWidth="1"/>
    <col min="1538" max="1538" width="44.28515625" style="94" bestFit="1" customWidth="1"/>
    <col min="1539" max="1539" width="10.42578125" style="94" bestFit="1" customWidth="1"/>
    <col min="1540" max="1540" width="10.42578125" style="94" customWidth="1"/>
    <col min="1541" max="1541" width="9.7109375" style="94" bestFit="1" customWidth="1"/>
    <col min="1542" max="1543" width="9.5703125" style="94" bestFit="1" customWidth="1"/>
    <col min="1544" max="1544" width="10.42578125" style="94" bestFit="1" customWidth="1"/>
    <col min="1545" max="1545" width="4.5703125" style="94" customWidth="1"/>
    <col min="1546" max="1546" width="1.7109375" style="94" customWidth="1"/>
    <col min="1547" max="1547" width="7" style="94" bestFit="1" customWidth="1"/>
    <col min="1548" max="1548" width="6.28515625" style="94" customWidth="1"/>
    <col min="1549" max="1549" width="20.42578125" style="94" customWidth="1"/>
    <col min="1550" max="1550" width="6.42578125" style="94" bestFit="1" customWidth="1"/>
    <col min="1551" max="1552" width="8.42578125" style="94"/>
    <col min="1553" max="1553" width="3.28515625" style="94" customWidth="1"/>
    <col min="1554" max="1792" width="8.42578125" style="94"/>
    <col min="1793" max="1793" width="10" style="94" bestFit="1" customWidth="1"/>
    <col min="1794" max="1794" width="44.28515625" style="94" bestFit="1" customWidth="1"/>
    <col min="1795" max="1795" width="10.42578125" style="94" bestFit="1" customWidth="1"/>
    <col min="1796" max="1796" width="10.42578125" style="94" customWidth="1"/>
    <col min="1797" max="1797" width="9.7109375" style="94" bestFit="1" customWidth="1"/>
    <col min="1798" max="1799" width="9.5703125" style="94" bestFit="1" customWidth="1"/>
    <col min="1800" max="1800" width="10.42578125" style="94" bestFit="1" customWidth="1"/>
    <col min="1801" max="1801" width="4.5703125" style="94" customWidth="1"/>
    <col min="1802" max="1802" width="1.7109375" style="94" customWidth="1"/>
    <col min="1803" max="1803" width="7" style="94" bestFit="1" customWidth="1"/>
    <col min="1804" max="1804" width="6.28515625" style="94" customWidth="1"/>
    <col min="1805" max="1805" width="20.42578125" style="94" customWidth="1"/>
    <col min="1806" max="1806" width="6.42578125" style="94" bestFit="1" customWidth="1"/>
    <col min="1807" max="1808" width="8.42578125" style="94"/>
    <col min="1809" max="1809" width="3.28515625" style="94" customWidth="1"/>
    <col min="1810" max="2048" width="8.42578125" style="94"/>
    <col min="2049" max="2049" width="10" style="94" bestFit="1" customWidth="1"/>
    <col min="2050" max="2050" width="44.28515625" style="94" bestFit="1" customWidth="1"/>
    <col min="2051" max="2051" width="10.42578125" style="94" bestFit="1" customWidth="1"/>
    <col min="2052" max="2052" width="10.42578125" style="94" customWidth="1"/>
    <col min="2053" max="2053" width="9.7109375" style="94" bestFit="1" customWidth="1"/>
    <col min="2054" max="2055" width="9.5703125" style="94" bestFit="1" customWidth="1"/>
    <col min="2056" max="2056" width="10.42578125" style="94" bestFit="1" customWidth="1"/>
    <col min="2057" max="2057" width="4.5703125" style="94" customWidth="1"/>
    <col min="2058" max="2058" width="1.7109375" style="94" customWidth="1"/>
    <col min="2059" max="2059" width="7" style="94" bestFit="1" customWidth="1"/>
    <col min="2060" max="2060" width="6.28515625" style="94" customWidth="1"/>
    <col min="2061" max="2061" width="20.42578125" style="94" customWidth="1"/>
    <col min="2062" max="2062" width="6.42578125" style="94" bestFit="1" customWidth="1"/>
    <col min="2063" max="2064" width="8.42578125" style="94"/>
    <col min="2065" max="2065" width="3.28515625" style="94" customWidth="1"/>
    <col min="2066" max="2304" width="8.42578125" style="94"/>
    <col min="2305" max="2305" width="10" style="94" bestFit="1" customWidth="1"/>
    <col min="2306" max="2306" width="44.28515625" style="94" bestFit="1" customWidth="1"/>
    <col min="2307" max="2307" width="10.42578125" style="94" bestFit="1" customWidth="1"/>
    <col min="2308" max="2308" width="10.42578125" style="94" customWidth="1"/>
    <col min="2309" max="2309" width="9.7109375" style="94" bestFit="1" customWidth="1"/>
    <col min="2310" max="2311" width="9.5703125" style="94" bestFit="1" customWidth="1"/>
    <col min="2312" max="2312" width="10.42578125" style="94" bestFit="1" customWidth="1"/>
    <col min="2313" max="2313" width="4.5703125" style="94" customWidth="1"/>
    <col min="2314" max="2314" width="1.7109375" style="94" customWidth="1"/>
    <col min="2315" max="2315" width="7" style="94" bestFit="1" customWidth="1"/>
    <col min="2316" max="2316" width="6.28515625" style="94" customWidth="1"/>
    <col min="2317" max="2317" width="20.42578125" style="94" customWidth="1"/>
    <col min="2318" max="2318" width="6.42578125" style="94" bestFit="1" customWidth="1"/>
    <col min="2319" max="2320" width="8.42578125" style="94"/>
    <col min="2321" max="2321" width="3.28515625" style="94" customWidth="1"/>
    <col min="2322" max="2560" width="8.42578125" style="94"/>
    <col min="2561" max="2561" width="10" style="94" bestFit="1" customWidth="1"/>
    <col min="2562" max="2562" width="44.28515625" style="94" bestFit="1" customWidth="1"/>
    <col min="2563" max="2563" width="10.42578125" style="94" bestFit="1" customWidth="1"/>
    <col min="2564" max="2564" width="10.42578125" style="94" customWidth="1"/>
    <col min="2565" max="2565" width="9.7109375" style="94" bestFit="1" customWidth="1"/>
    <col min="2566" max="2567" width="9.5703125" style="94" bestFit="1" customWidth="1"/>
    <col min="2568" max="2568" width="10.42578125" style="94" bestFit="1" customWidth="1"/>
    <col min="2569" max="2569" width="4.5703125" style="94" customWidth="1"/>
    <col min="2570" max="2570" width="1.7109375" style="94" customWidth="1"/>
    <col min="2571" max="2571" width="7" style="94" bestFit="1" customWidth="1"/>
    <col min="2572" max="2572" width="6.28515625" style="94" customWidth="1"/>
    <col min="2573" max="2573" width="20.42578125" style="94" customWidth="1"/>
    <col min="2574" max="2574" width="6.42578125" style="94" bestFit="1" customWidth="1"/>
    <col min="2575" max="2576" width="8.42578125" style="94"/>
    <col min="2577" max="2577" width="3.28515625" style="94" customWidth="1"/>
    <col min="2578" max="2816" width="8.42578125" style="94"/>
    <col min="2817" max="2817" width="10" style="94" bestFit="1" customWidth="1"/>
    <col min="2818" max="2818" width="44.28515625" style="94" bestFit="1" customWidth="1"/>
    <col min="2819" max="2819" width="10.42578125" style="94" bestFit="1" customWidth="1"/>
    <col min="2820" max="2820" width="10.42578125" style="94" customWidth="1"/>
    <col min="2821" max="2821" width="9.7109375" style="94" bestFit="1" customWidth="1"/>
    <col min="2822" max="2823" width="9.5703125" style="94" bestFit="1" customWidth="1"/>
    <col min="2824" max="2824" width="10.42578125" style="94" bestFit="1" customWidth="1"/>
    <col min="2825" max="2825" width="4.5703125" style="94" customWidth="1"/>
    <col min="2826" max="2826" width="1.7109375" style="94" customWidth="1"/>
    <col min="2827" max="2827" width="7" style="94" bestFit="1" customWidth="1"/>
    <col min="2828" max="2828" width="6.28515625" style="94" customWidth="1"/>
    <col min="2829" max="2829" width="20.42578125" style="94" customWidth="1"/>
    <col min="2830" max="2830" width="6.42578125" style="94" bestFit="1" customWidth="1"/>
    <col min="2831" max="2832" width="8.42578125" style="94"/>
    <col min="2833" max="2833" width="3.28515625" style="94" customWidth="1"/>
    <col min="2834" max="3072" width="8.42578125" style="94"/>
    <col min="3073" max="3073" width="10" style="94" bestFit="1" customWidth="1"/>
    <col min="3074" max="3074" width="44.28515625" style="94" bestFit="1" customWidth="1"/>
    <col min="3075" max="3075" width="10.42578125" style="94" bestFit="1" customWidth="1"/>
    <col min="3076" max="3076" width="10.42578125" style="94" customWidth="1"/>
    <col min="3077" max="3077" width="9.7109375" style="94" bestFit="1" customWidth="1"/>
    <col min="3078" max="3079" width="9.5703125" style="94" bestFit="1" customWidth="1"/>
    <col min="3080" max="3080" width="10.42578125" style="94" bestFit="1" customWidth="1"/>
    <col min="3081" max="3081" width="4.5703125" style="94" customWidth="1"/>
    <col min="3082" max="3082" width="1.7109375" style="94" customWidth="1"/>
    <col min="3083" max="3083" width="7" style="94" bestFit="1" customWidth="1"/>
    <col min="3084" max="3084" width="6.28515625" style="94" customWidth="1"/>
    <col min="3085" max="3085" width="20.42578125" style="94" customWidth="1"/>
    <col min="3086" max="3086" width="6.42578125" style="94" bestFit="1" customWidth="1"/>
    <col min="3087" max="3088" width="8.42578125" style="94"/>
    <col min="3089" max="3089" width="3.28515625" style="94" customWidth="1"/>
    <col min="3090" max="3328" width="8.42578125" style="94"/>
    <col min="3329" max="3329" width="10" style="94" bestFit="1" customWidth="1"/>
    <col min="3330" max="3330" width="44.28515625" style="94" bestFit="1" customWidth="1"/>
    <col min="3331" max="3331" width="10.42578125" style="94" bestFit="1" customWidth="1"/>
    <col min="3332" max="3332" width="10.42578125" style="94" customWidth="1"/>
    <col min="3333" max="3333" width="9.7109375" style="94" bestFit="1" customWidth="1"/>
    <col min="3334" max="3335" width="9.5703125" style="94" bestFit="1" customWidth="1"/>
    <col min="3336" max="3336" width="10.42578125" style="94" bestFit="1" customWidth="1"/>
    <col min="3337" max="3337" width="4.5703125" style="94" customWidth="1"/>
    <col min="3338" max="3338" width="1.7109375" style="94" customWidth="1"/>
    <col min="3339" max="3339" width="7" style="94" bestFit="1" customWidth="1"/>
    <col min="3340" max="3340" width="6.28515625" style="94" customWidth="1"/>
    <col min="3341" max="3341" width="20.42578125" style="94" customWidth="1"/>
    <col min="3342" max="3342" width="6.42578125" style="94" bestFit="1" customWidth="1"/>
    <col min="3343" max="3344" width="8.42578125" style="94"/>
    <col min="3345" max="3345" width="3.28515625" style="94" customWidth="1"/>
    <col min="3346" max="3584" width="8.42578125" style="94"/>
    <col min="3585" max="3585" width="10" style="94" bestFit="1" customWidth="1"/>
    <col min="3586" max="3586" width="44.28515625" style="94" bestFit="1" customWidth="1"/>
    <col min="3587" max="3587" width="10.42578125" style="94" bestFit="1" customWidth="1"/>
    <col min="3588" max="3588" width="10.42578125" style="94" customWidth="1"/>
    <col min="3589" max="3589" width="9.7109375" style="94" bestFit="1" customWidth="1"/>
    <col min="3590" max="3591" width="9.5703125" style="94" bestFit="1" customWidth="1"/>
    <col min="3592" max="3592" width="10.42578125" style="94" bestFit="1" customWidth="1"/>
    <col min="3593" max="3593" width="4.5703125" style="94" customWidth="1"/>
    <col min="3594" max="3594" width="1.7109375" style="94" customWidth="1"/>
    <col min="3595" max="3595" width="7" style="94" bestFit="1" customWidth="1"/>
    <col min="3596" max="3596" width="6.28515625" style="94" customWidth="1"/>
    <col min="3597" max="3597" width="20.42578125" style="94" customWidth="1"/>
    <col min="3598" max="3598" width="6.42578125" style="94" bestFit="1" customWidth="1"/>
    <col min="3599" max="3600" width="8.42578125" style="94"/>
    <col min="3601" max="3601" width="3.28515625" style="94" customWidth="1"/>
    <col min="3602" max="3840" width="8.42578125" style="94"/>
    <col min="3841" max="3841" width="10" style="94" bestFit="1" customWidth="1"/>
    <col min="3842" max="3842" width="44.28515625" style="94" bestFit="1" customWidth="1"/>
    <col min="3843" max="3843" width="10.42578125" style="94" bestFit="1" customWidth="1"/>
    <col min="3844" max="3844" width="10.42578125" style="94" customWidth="1"/>
    <col min="3845" max="3845" width="9.7109375" style="94" bestFit="1" customWidth="1"/>
    <col min="3846" max="3847" width="9.5703125" style="94" bestFit="1" customWidth="1"/>
    <col min="3848" max="3848" width="10.42578125" style="94" bestFit="1" customWidth="1"/>
    <col min="3849" max="3849" width="4.5703125" style="94" customWidth="1"/>
    <col min="3850" max="3850" width="1.7109375" style="94" customWidth="1"/>
    <col min="3851" max="3851" width="7" style="94" bestFit="1" customWidth="1"/>
    <col min="3852" max="3852" width="6.28515625" style="94" customWidth="1"/>
    <col min="3853" max="3853" width="20.42578125" style="94" customWidth="1"/>
    <col min="3854" max="3854" width="6.42578125" style="94" bestFit="1" customWidth="1"/>
    <col min="3855" max="3856" width="8.42578125" style="94"/>
    <col min="3857" max="3857" width="3.28515625" style="94" customWidth="1"/>
    <col min="3858" max="4096" width="8.42578125" style="94"/>
    <col min="4097" max="4097" width="10" style="94" bestFit="1" customWidth="1"/>
    <col min="4098" max="4098" width="44.28515625" style="94" bestFit="1" customWidth="1"/>
    <col min="4099" max="4099" width="10.42578125" style="94" bestFit="1" customWidth="1"/>
    <col min="4100" max="4100" width="10.42578125" style="94" customWidth="1"/>
    <col min="4101" max="4101" width="9.7109375" style="94" bestFit="1" customWidth="1"/>
    <col min="4102" max="4103" width="9.5703125" style="94" bestFit="1" customWidth="1"/>
    <col min="4104" max="4104" width="10.42578125" style="94" bestFit="1" customWidth="1"/>
    <col min="4105" max="4105" width="4.5703125" style="94" customWidth="1"/>
    <col min="4106" max="4106" width="1.7109375" style="94" customWidth="1"/>
    <col min="4107" max="4107" width="7" style="94" bestFit="1" customWidth="1"/>
    <col min="4108" max="4108" width="6.28515625" style="94" customWidth="1"/>
    <col min="4109" max="4109" width="20.42578125" style="94" customWidth="1"/>
    <col min="4110" max="4110" width="6.42578125" style="94" bestFit="1" customWidth="1"/>
    <col min="4111" max="4112" width="8.42578125" style="94"/>
    <col min="4113" max="4113" width="3.28515625" style="94" customWidth="1"/>
    <col min="4114" max="4352" width="8.42578125" style="94"/>
    <col min="4353" max="4353" width="10" style="94" bestFit="1" customWidth="1"/>
    <col min="4354" max="4354" width="44.28515625" style="94" bestFit="1" customWidth="1"/>
    <col min="4355" max="4355" width="10.42578125" style="94" bestFit="1" customWidth="1"/>
    <col min="4356" max="4356" width="10.42578125" style="94" customWidth="1"/>
    <col min="4357" max="4357" width="9.7109375" style="94" bestFit="1" customWidth="1"/>
    <col min="4358" max="4359" width="9.5703125" style="94" bestFit="1" customWidth="1"/>
    <col min="4360" max="4360" width="10.42578125" style="94" bestFit="1" customWidth="1"/>
    <col min="4361" max="4361" width="4.5703125" style="94" customWidth="1"/>
    <col min="4362" max="4362" width="1.7109375" style="94" customWidth="1"/>
    <col min="4363" max="4363" width="7" style="94" bestFit="1" customWidth="1"/>
    <col min="4364" max="4364" width="6.28515625" style="94" customWidth="1"/>
    <col min="4365" max="4365" width="20.42578125" style="94" customWidth="1"/>
    <col min="4366" max="4366" width="6.42578125" style="94" bestFit="1" customWidth="1"/>
    <col min="4367" max="4368" width="8.42578125" style="94"/>
    <col min="4369" max="4369" width="3.28515625" style="94" customWidth="1"/>
    <col min="4370" max="4608" width="8.42578125" style="94"/>
    <col min="4609" max="4609" width="10" style="94" bestFit="1" customWidth="1"/>
    <col min="4610" max="4610" width="44.28515625" style="94" bestFit="1" customWidth="1"/>
    <col min="4611" max="4611" width="10.42578125" style="94" bestFit="1" customWidth="1"/>
    <col min="4612" max="4612" width="10.42578125" style="94" customWidth="1"/>
    <col min="4613" max="4613" width="9.7109375" style="94" bestFit="1" customWidth="1"/>
    <col min="4614" max="4615" width="9.5703125" style="94" bestFit="1" customWidth="1"/>
    <col min="4616" max="4616" width="10.42578125" style="94" bestFit="1" customWidth="1"/>
    <col min="4617" max="4617" width="4.5703125" style="94" customWidth="1"/>
    <col min="4618" max="4618" width="1.7109375" style="94" customWidth="1"/>
    <col min="4619" max="4619" width="7" style="94" bestFit="1" customWidth="1"/>
    <col min="4620" max="4620" width="6.28515625" style="94" customWidth="1"/>
    <col min="4621" max="4621" width="20.42578125" style="94" customWidth="1"/>
    <col min="4622" max="4622" width="6.42578125" style="94" bestFit="1" customWidth="1"/>
    <col min="4623" max="4624" width="8.42578125" style="94"/>
    <col min="4625" max="4625" width="3.28515625" style="94" customWidth="1"/>
    <col min="4626" max="4864" width="8.42578125" style="94"/>
    <col min="4865" max="4865" width="10" style="94" bestFit="1" customWidth="1"/>
    <col min="4866" max="4866" width="44.28515625" style="94" bestFit="1" customWidth="1"/>
    <col min="4867" max="4867" width="10.42578125" style="94" bestFit="1" customWidth="1"/>
    <col min="4868" max="4868" width="10.42578125" style="94" customWidth="1"/>
    <col min="4869" max="4869" width="9.7109375" style="94" bestFit="1" customWidth="1"/>
    <col min="4870" max="4871" width="9.5703125" style="94" bestFit="1" customWidth="1"/>
    <col min="4872" max="4872" width="10.42578125" style="94" bestFit="1" customWidth="1"/>
    <col min="4873" max="4873" width="4.5703125" style="94" customWidth="1"/>
    <col min="4874" max="4874" width="1.7109375" style="94" customWidth="1"/>
    <col min="4875" max="4875" width="7" style="94" bestFit="1" customWidth="1"/>
    <col min="4876" max="4876" width="6.28515625" style="94" customWidth="1"/>
    <col min="4877" max="4877" width="20.42578125" style="94" customWidth="1"/>
    <col min="4878" max="4878" width="6.42578125" style="94" bestFit="1" customWidth="1"/>
    <col min="4879" max="4880" width="8.42578125" style="94"/>
    <col min="4881" max="4881" width="3.28515625" style="94" customWidth="1"/>
    <col min="4882" max="5120" width="8.42578125" style="94"/>
    <col min="5121" max="5121" width="10" style="94" bestFit="1" customWidth="1"/>
    <col min="5122" max="5122" width="44.28515625" style="94" bestFit="1" customWidth="1"/>
    <col min="5123" max="5123" width="10.42578125" style="94" bestFit="1" customWidth="1"/>
    <col min="5124" max="5124" width="10.42578125" style="94" customWidth="1"/>
    <col min="5125" max="5125" width="9.7109375" style="94" bestFit="1" customWidth="1"/>
    <col min="5126" max="5127" width="9.5703125" style="94" bestFit="1" customWidth="1"/>
    <col min="5128" max="5128" width="10.42578125" style="94" bestFit="1" customWidth="1"/>
    <col min="5129" max="5129" width="4.5703125" style="94" customWidth="1"/>
    <col min="5130" max="5130" width="1.7109375" style="94" customWidth="1"/>
    <col min="5131" max="5131" width="7" style="94" bestFit="1" customWidth="1"/>
    <col min="5132" max="5132" width="6.28515625" style="94" customWidth="1"/>
    <col min="5133" max="5133" width="20.42578125" style="94" customWidth="1"/>
    <col min="5134" max="5134" width="6.42578125" style="94" bestFit="1" customWidth="1"/>
    <col min="5135" max="5136" width="8.42578125" style="94"/>
    <col min="5137" max="5137" width="3.28515625" style="94" customWidth="1"/>
    <col min="5138" max="5376" width="8.42578125" style="94"/>
    <col min="5377" max="5377" width="10" style="94" bestFit="1" customWidth="1"/>
    <col min="5378" max="5378" width="44.28515625" style="94" bestFit="1" customWidth="1"/>
    <col min="5379" max="5379" width="10.42578125" style="94" bestFit="1" customWidth="1"/>
    <col min="5380" max="5380" width="10.42578125" style="94" customWidth="1"/>
    <col min="5381" max="5381" width="9.7109375" style="94" bestFit="1" customWidth="1"/>
    <col min="5382" max="5383" width="9.5703125" style="94" bestFit="1" customWidth="1"/>
    <col min="5384" max="5384" width="10.42578125" style="94" bestFit="1" customWidth="1"/>
    <col min="5385" max="5385" width="4.5703125" style="94" customWidth="1"/>
    <col min="5386" max="5386" width="1.7109375" style="94" customWidth="1"/>
    <col min="5387" max="5387" width="7" style="94" bestFit="1" customWidth="1"/>
    <col min="5388" max="5388" width="6.28515625" style="94" customWidth="1"/>
    <col min="5389" max="5389" width="20.42578125" style="94" customWidth="1"/>
    <col min="5390" max="5390" width="6.42578125" style="94" bestFit="1" customWidth="1"/>
    <col min="5391" max="5392" width="8.42578125" style="94"/>
    <col min="5393" max="5393" width="3.28515625" style="94" customWidth="1"/>
    <col min="5394" max="5632" width="8.42578125" style="94"/>
    <col min="5633" max="5633" width="10" style="94" bestFit="1" customWidth="1"/>
    <col min="5634" max="5634" width="44.28515625" style="94" bestFit="1" customWidth="1"/>
    <col min="5635" max="5635" width="10.42578125" style="94" bestFit="1" customWidth="1"/>
    <col min="5636" max="5636" width="10.42578125" style="94" customWidth="1"/>
    <col min="5637" max="5637" width="9.7109375" style="94" bestFit="1" customWidth="1"/>
    <col min="5638" max="5639" width="9.5703125" style="94" bestFit="1" customWidth="1"/>
    <col min="5640" max="5640" width="10.42578125" style="94" bestFit="1" customWidth="1"/>
    <col min="5641" max="5641" width="4.5703125" style="94" customWidth="1"/>
    <col min="5642" max="5642" width="1.7109375" style="94" customWidth="1"/>
    <col min="5643" max="5643" width="7" style="94" bestFit="1" customWidth="1"/>
    <col min="5644" max="5644" width="6.28515625" style="94" customWidth="1"/>
    <col min="5645" max="5645" width="20.42578125" style="94" customWidth="1"/>
    <col min="5646" max="5646" width="6.42578125" style="94" bestFit="1" customWidth="1"/>
    <col min="5647" max="5648" width="8.42578125" style="94"/>
    <col min="5649" max="5649" width="3.28515625" style="94" customWidth="1"/>
    <col min="5650" max="5888" width="8.42578125" style="94"/>
    <col min="5889" max="5889" width="10" style="94" bestFit="1" customWidth="1"/>
    <col min="5890" max="5890" width="44.28515625" style="94" bestFit="1" customWidth="1"/>
    <col min="5891" max="5891" width="10.42578125" style="94" bestFit="1" customWidth="1"/>
    <col min="5892" max="5892" width="10.42578125" style="94" customWidth="1"/>
    <col min="5893" max="5893" width="9.7109375" style="94" bestFit="1" customWidth="1"/>
    <col min="5894" max="5895" width="9.5703125" style="94" bestFit="1" customWidth="1"/>
    <col min="5896" max="5896" width="10.42578125" style="94" bestFit="1" customWidth="1"/>
    <col min="5897" max="5897" width="4.5703125" style="94" customWidth="1"/>
    <col min="5898" max="5898" width="1.7109375" style="94" customWidth="1"/>
    <col min="5899" max="5899" width="7" style="94" bestFit="1" customWidth="1"/>
    <col min="5900" max="5900" width="6.28515625" style="94" customWidth="1"/>
    <col min="5901" max="5901" width="20.42578125" style="94" customWidth="1"/>
    <col min="5902" max="5902" width="6.42578125" style="94" bestFit="1" customWidth="1"/>
    <col min="5903" max="5904" width="8.42578125" style="94"/>
    <col min="5905" max="5905" width="3.28515625" style="94" customWidth="1"/>
    <col min="5906" max="6144" width="8.42578125" style="94"/>
    <col min="6145" max="6145" width="10" style="94" bestFit="1" customWidth="1"/>
    <col min="6146" max="6146" width="44.28515625" style="94" bestFit="1" customWidth="1"/>
    <col min="6147" max="6147" width="10.42578125" style="94" bestFit="1" customWidth="1"/>
    <col min="6148" max="6148" width="10.42578125" style="94" customWidth="1"/>
    <col min="6149" max="6149" width="9.7109375" style="94" bestFit="1" customWidth="1"/>
    <col min="6150" max="6151" width="9.5703125" style="94" bestFit="1" customWidth="1"/>
    <col min="6152" max="6152" width="10.42578125" style="94" bestFit="1" customWidth="1"/>
    <col min="6153" max="6153" width="4.5703125" style="94" customWidth="1"/>
    <col min="6154" max="6154" width="1.7109375" style="94" customWidth="1"/>
    <col min="6155" max="6155" width="7" style="94" bestFit="1" customWidth="1"/>
    <col min="6156" max="6156" width="6.28515625" style="94" customWidth="1"/>
    <col min="6157" max="6157" width="20.42578125" style="94" customWidth="1"/>
    <col min="6158" max="6158" width="6.42578125" style="94" bestFit="1" customWidth="1"/>
    <col min="6159" max="6160" width="8.42578125" style="94"/>
    <col min="6161" max="6161" width="3.28515625" style="94" customWidth="1"/>
    <col min="6162" max="6400" width="8.42578125" style="94"/>
    <col min="6401" max="6401" width="10" style="94" bestFit="1" customWidth="1"/>
    <col min="6402" max="6402" width="44.28515625" style="94" bestFit="1" customWidth="1"/>
    <col min="6403" max="6403" width="10.42578125" style="94" bestFit="1" customWidth="1"/>
    <col min="6404" max="6404" width="10.42578125" style="94" customWidth="1"/>
    <col min="6405" max="6405" width="9.7109375" style="94" bestFit="1" customWidth="1"/>
    <col min="6406" max="6407" width="9.5703125" style="94" bestFit="1" customWidth="1"/>
    <col min="6408" max="6408" width="10.42578125" style="94" bestFit="1" customWidth="1"/>
    <col min="6409" max="6409" width="4.5703125" style="94" customWidth="1"/>
    <col min="6410" max="6410" width="1.7109375" style="94" customWidth="1"/>
    <col min="6411" max="6411" width="7" style="94" bestFit="1" customWidth="1"/>
    <col min="6412" max="6412" width="6.28515625" style="94" customWidth="1"/>
    <col min="6413" max="6413" width="20.42578125" style="94" customWidth="1"/>
    <col min="6414" max="6414" width="6.42578125" style="94" bestFit="1" customWidth="1"/>
    <col min="6415" max="6416" width="8.42578125" style="94"/>
    <col min="6417" max="6417" width="3.28515625" style="94" customWidth="1"/>
    <col min="6418" max="6656" width="8.42578125" style="94"/>
    <col min="6657" max="6657" width="10" style="94" bestFit="1" customWidth="1"/>
    <col min="6658" max="6658" width="44.28515625" style="94" bestFit="1" customWidth="1"/>
    <col min="6659" max="6659" width="10.42578125" style="94" bestFit="1" customWidth="1"/>
    <col min="6660" max="6660" width="10.42578125" style="94" customWidth="1"/>
    <col min="6661" max="6661" width="9.7109375" style="94" bestFit="1" customWidth="1"/>
    <col min="6662" max="6663" width="9.5703125" style="94" bestFit="1" customWidth="1"/>
    <col min="6664" max="6664" width="10.42578125" style="94" bestFit="1" customWidth="1"/>
    <col min="6665" max="6665" width="4.5703125" style="94" customWidth="1"/>
    <col min="6666" max="6666" width="1.7109375" style="94" customWidth="1"/>
    <col min="6667" max="6667" width="7" style="94" bestFit="1" customWidth="1"/>
    <col min="6668" max="6668" width="6.28515625" style="94" customWidth="1"/>
    <col min="6669" max="6669" width="20.42578125" style="94" customWidth="1"/>
    <col min="6670" max="6670" width="6.42578125" style="94" bestFit="1" customWidth="1"/>
    <col min="6671" max="6672" width="8.42578125" style="94"/>
    <col min="6673" max="6673" width="3.28515625" style="94" customWidth="1"/>
    <col min="6674" max="6912" width="8.42578125" style="94"/>
    <col min="6913" max="6913" width="10" style="94" bestFit="1" customWidth="1"/>
    <col min="6914" max="6914" width="44.28515625" style="94" bestFit="1" customWidth="1"/>
    <col min="6915" max="6915" width="10.42578125" style="94" bestFit="1" customWidth="1"/>
    <col min="6916" max="6916" width="10.42578125" style="94" customWidth="1"/>
    <col min="6917" max="6917" width="9.7109375" style="94" bestFit="1" customWidth="1"/>
    <col min="6918" max="6919" width="9.5703125" style="94" bestFit="1" customWidth="1"/>
    <col min="6920" max="6920" width="10.42578125" style="94" bestFit="1" customWidth="1"/>
    <col min="6921" max="6921" width="4.5703125" style="94" customWidth="1"/>
    <col min="6922" max="6922" width="1.7109375" style="94" customWidth="1"/>
    <col min="6923" max="6923" width="7" style="94" bestFit="1" customWidth="1"/>
    <col min="6924" max="6924" width="6.28515625" style="94" customWidth="1"/>
    <col min="6925" max="6925" width="20.42578125" style="94" customWidth="1"/>
    <col min="6926" max="6926" width="6.42578125" style="94" bestFit="1" customWidth="1"/>
    <col min="6927" max="6928" width="8.42578125" style="94"/>
    <col min="6929" max="6929" width="3.28515625" style="94" customWidth="1"/>
    <col min="6930" max="7168" width="8.42578125" style="94"/>
    <col min="7169" max="7169" width="10" style="94" bestFit="1" customWidth="1"/>
    <col min="7170" max="7170" width="44.28515625" style="94" bestFit="1" customWidth="1"/>
    <col min="7171" max="7171" width="10.42578125" style="94" bestFit="1" customWidth="1"/>
    <col min="7172" max="7172" width="10.42578125" style="94" customWidth="1"/>
    <col min="7173" max="7173" width="9.7109375" style="94" bestFit="1" customWidth="1"/>
    <col min="7174" max="7175" width="9.5703125" style="94" bestFit="1" customWidth="1"/>
    <col min="7176" max="7176" width="10.42578125" style="94" bestFit="1" customWidth="1"/>
    <col min="7177" max="7177" width="4.5703125" style="94" customWidth="1"/>
    <col min="7178" max="7178" width="1.7109375" style="94" customWidth="1"/>
    <col min="7179" max="7179" width="7" style="94" bestFit="1" customWidth="1"/>
    <col min="7180" max="7180" width="6.28515625" style="94" customWidth="1"/>
    <col min="7181" max="7181" width="20.42578125" style="94" customWidth="1"/>
    <col min="7182" max="7182" width="6.42578125" style="94" bestFit="1" customWidth="1"/>
    <col min="7183" max="7184" width="8.42578125" style="94"/>
    <col min="7185" max="7185" width="3.28515625" style="94" customWidth="1"/>
    <col min="7186" max="7424" width="8.42578125" style="94"/>
    <col min="7425" max="7425" width="10" style="94" bestFit="1" customWidth="1"/>
    <col min="7426" max="7426" width="44.28515625" style="94" bestFit="1" customWidth="1"/>
    <col min="7427" max="7427" width="10.42578125" style="94" bestFit="1" customWidth="1"/>
    <col min="7428" max="7428" width="10.42578125" style="94" customWidth="1"/>
    <col min="7429" max="7429" width="9.7109375" style="94" bestFit="1" customWidth="1"/>
    <col min="7430" max="7431" width="9.5703125" style="94" bestFit="1" customWidth="1"/>
    <col min="7432" max="7432" width="10.42578125" style="94" bestFit="1" customWidth="1"/>
    <col min="7433" max="7433" width="4.5703125" style="94" customWidth="1"/>
    <col min="7434" max="7434" width="1.7109375" style="94" customWidth="1"/>
    <col min="7435" max="7435" width="7" style="94" bestFit="1" customWidth="1"/>
    <col min="7436" max="7436" width="6.28515625" style="94" customWidth="1"/>
    <col min="7437" max="7437" width="20.42578125" style="94" customWidth="1"/>
    <col min="7438" max="7438" width="6.42578125" style="94" bestFit="1" customWidth="1"/>
    <col min="7439" max="7440" width="8.42578125" style="94"/>
    <col min="7441" max="7441" width="3.28515625" style="94" customWidth="1"/>
    <col min="7442" max="7680" width="8.42578125" style="94"/>
    <col min="7681" max="7681" width="10" style="94" bestFit="1" customWidth="1"/>
    <col min="7682" max="7682" width="44.28515625" style="94" bestFit="1" customWidth="1"/>
    <col min="7683" max="7683" width="10.42578125" style="94" bestFit="1" customWidth="1"/>
    <col min="7684" max="7684" width="10.42578125" style="94" customWidth="1"/>
    <col min="7685" max="7685" width="9.7109375" style="94" bestFit="1" customWidth="1"/>
    <col min="7686" max="7687" width="9.5703125" style="94" bestFit="1" customWidth="1"/>
    <col min="7688" max="7688" width="10.42578125" style="94" bestFit="1" customWidth="1"/>
    <col min="7689" max="7689" width="4.5703125" style="94" customWidth="1"/>
    <col min="7690" max="7690" width="1.7109375" style="94" customWidth="1"/>
    <col min="7691" max="7691" width="7" style="94" bestFit="1" customWidth="1"/>
    <col min="7692" max="7692" width="6.28515625" style="94" customWidth="1"/>
    <col min="7693" max="7693" width="20.42578125" style="94" customWidth="1"/>
    <col min="7694" max="7694" width="6.42578125" style="94" bestFit="1" customWidth="1"/>
    <col min="7695" max="7696" width="8.42578125" style="94"/>
    <col min="7697" max="7697" width="3.28515625" style="94" customWidth="1"/>
    <col min="7698" max="7936" width="8.42578125" style="94"/>
    <col min="7937" max="7937" width="10" style="94" bestFit="1" customWidth="1"/>
    <col min="7938" max="7938" width="44.28515625" style="94" bestFit="1" customWidth="1"/>
    <col min="7939" max="7939" width="10.42578125" style="94" bestFit="1" customWidth="1"/>
    <col min="7940" max="7940" width="10.42578125" style="94" customWidth="1"/>
    <col min="7941" max="7941" width="9.7109375" style="94" bestFit="1" customWidth="1"/>
    <col min="7942" max="7943" width="9.5703125" style="94" bestFit="1" customWidth="1"/>
    <col min="7944" max="7944" width="10.42578125" style="94" bestFit="1" customWidth="1"/>
    <col min="7945" max="7945" width="4.5703125" style="94" customWidth="1"/>
    <col min="7946" max="7946" width="1.7109375" style="94" customWidth="1"/>
    <col min="7947" max="7947" width="7" style="94" bestFit="1" customWidth="1"/>
    <col min="7948" max="7948" width="6.28515625" style="94" customWidth="1"/>
    <col min="7949" max="7949" width="20.42578125" style="94" customWidth="1"/>
    <col min="7950" max="7950" width="6.42578125" style="94" bestFit="1" customWidth="1"/>
    <col min="7951" max="7952" width="8.42578125" style="94"/>
    <col min="7953" max="7953" width="3.28515625" style="94" customWidth="1"/>
    <col min="7954" max="8192" width="8.42578125" style="94"/>
    <col min="8193" max="8193" width="10" style="94" bestFit="1" customWidth="1"/>
    <col min="8194" max="8194" width="44.28515625" style="94" bestFit="1" customWidth="1"/>
    <col min="8195" max="8195" width="10.42578125" style="94" bestFit="1" customWidth="1"/>
    <col min="8196" max="8196" width="10.42578125" style="94" customWidth="1"/>
    <col min="8197" max="8197" width="9.7109375" style="94" bestFit="1" customWidth="1"/>
    <col min="8198" max="8199" width="9.5703125" style="94" bestFit="1" customWidth="1"/>
    <col min="8200" max="8200" width="10.42578125" style="94" bestFit="1" customWidth="1"/>
    <col min="8201" max="8201" width="4.5703125" style="94" customWidth="1"/>
    <col min="8202" max="8202" width="1.7109375" style="94" customWidth="1"/>
    <col min="8203" max="8203" width="7" style="94" bestFit="1" customWidth="1"/>
    <col min="8204" max="8204" width="6.28515625" style="94" customWidth="1"/>
    <col min="8205" max="8205" width="20.42578125" style="94" customWidth="1"/>
    <col min="8206" max="8206" width="6.42578125" style="94" bestFit="1" customWidth="1"/>
    <col min="8207" max="8208" width="8.42578125" style="94"/>
    <col min="8209" max="8209" width="3.28515625" style="94" customWidth="1"/>
    <col min="8210" max="8448" width="8.42578125" style="94"/>
    <col min="8449" max="8449" width="10" style="94" bestFit="1" customWidth="1"/>
    <col min="8450" max="8450" width="44.28515625" style="94" bestFit="1" customWidth="1"/>
    <col min="8451" max="8451" width="10.42578125" style="94" bestFit="1" customWidth="1"/>
    <col min="8452" max="8452" width="10.42578125" style="94" customWidth="1"/>
    <col min="8453" max="8453" width="9.7109375" style="94" bestFit="1" customWidth="1"/>
    <col min="8454" max="8455" width="9.5703125" style="94" bestFit="1" customWidth="1"/>
    <col min="8456" max="8456" width="10.42578125" style="94" bestFit="1" customWidth="1"/>
    <col min="8457" max="8457" width="4.5703125" style="94" customWidth="1"/>
    <col min="8458" max="8458" width="1.7109375" style="94" customWidth="1"/>
    <col min="8459" max="8459" width="7" style="94" bestFit="1" customWidth="1"/>
    <col min="8460" max="8460" width="6.28515625" style="94" customWidth="1"/>
    <col min="8461" max="8461" width="20.42578125" style="94" customWidth="1"/>
    <col min="8462" max="8462" width="6.42578125" style="94" bestFit="1" customWidth="1"/>
    <col min="8463" max="8464" width="8.42578125" style="94"/>
    <col min="8465" max="8465" width="3.28515625" style="94" customWidth="1"/>
    <col min="8466" max="8704" width="8.42578125" style="94"/>
    <col min="8705" max="8705" width="10" style="94" bestFit="1" customWidth="1"/>
    <col min="8706" max="8706" width="44.28515625" style="94" bestFit="1" customWidth="1"/>
    <col min="8707" max="8707" width="10.42578125" style="94" bestFit="1" customWidth="1"/>
    <col min="8708" max="8708" width="10.42578125" style="94" customWidth="1"/>
    <col min="8709" max="8709" width="9.7109375" style="94" bestFit="1" customWidth="1"/>
    <col min="8710" max="8711" width="9.5703125" style="94" bestFit="1" customWidth="1"/>
    <col min="8712" max="8712" width="10.42578125" style="94" bestFit="1" customWidth="1"/>
    <col min="8713" max="8713" width="4.5703125" style="94" customWidth="1"/>
    <col min="8714" max="8714" width="1.7109375" style="94" customWidth="1"/>
    <col min="8715" max="8715" width="7" style="94" bestFit="1" customWidth="1"/>
    <col min="8716" max="8716" width="6.28515625" style="94" customWidth="1"/>
    <col min="8717" max="8717" width="20.42578125" style="94" customWidth="1"/>
    <col min="8718" max="8718" width="6.42578125" style="94" bestFit="1" customWidth="1"/>
    <col min="8719" max="8720" width="8.42578125" style="94"/>
    <col min="8721" max="8721" width="3.28515625" style="94" customWidth="1"/>
    <col min="8722" max="8960" width="8.42578125" style="94"/>
    <col min="8961" max="8961" width="10" style="94" bestFit="1" customWidth="1"/>
    <col min="8962" max="8962" width="44.28515625" style="94" bestFit="1" customWidth="1"/>
    <col min="8963" max="8963" width="10.42578125" style="94" bestFit="1" customWidth="1"/>
    <col min="8964" max="8964" width="10.42578125" style="94" customWidth="1"/>
    <col min="8965" max="8965" width="9.7109375" style="94" bestFit="1" customWidth="1"/>
    <col min="8966" max="8967" width="9.5703125" style="94" bestFit="1" customWidth="1"/>
    <col min="8968" max="8968" width="10.42578125" style="94" bestFit="1" customWidth="1"/>
    <col min="8969" max="8969" width="4.5703125" style="94" customWidth="1"/>
    <col min="8970" max="8970" width="1.7109375" style="94" customWidth="1"/>
    <col min="8971" max="8971" width="7" style="94" bestFit="1" customWidth="1"/>
    <col min="8972" max="8972" width="6.28515625" style="94" customWidth="1"/>
    <col min="8973" max="8973" width="20.42578125" style="94" customWidth="1"/>
    <col min="8974" max="8974" width="6.42578125" style="94" bestFit="1" customWidth="1"/>
    <col min="8975" max="8976" width="8.42578125" style="94"/>
    <col min="8977" max="8977" width="3.28515625" style="94" customWidth="1"/>
    <col min="8978" max="9216" width="8.42578125" style="94"/>
    <col min="9217" max="9217" width="10" style="94" bestFit="1" customWidth="1"/>
    <col min="9218" max="9218" width="44.28515625" style="94" bestFit="1" customWidth="1"/>
    <col min="9219" max="9219" width="10.42578125" style="94" bestFit="1" customWidth="1"/>
    <col min="9220" max="9220" width="10.42578125" style="94" customWidth="1"/>
    <col min="9221" max="9221" width="9.7109375" style="94" bestFit="1" customWidth="1"/>
    <col min="9222" max="9223" width="9.5703125" style="94" bestFit="1" customWidth="1"/>
    <col min="9224" max="9224" width="10.42578125" style="94" bestFit="1" customWidth="1"/>
    <col min="9225" max="9225" width="4.5703125" style="94" customWidth="1"/>
    <col min="9226" max="9226" width="1.7109375" style="94" customWidth="1"/>
    <col min="9227" max="9227" width="7" style="94" bestFit="1" customWidth="1"/>
    <col min="9228" max="9228" width="6.28515625" style="94" customWidth="1"/>
    <col min="9229" max="9229" width="20.42578125" style="94" customWidth="1"/>
    <col min="9230" max="9230" width="6.42578125" style="94" bestFit="1" customWidth="1"/>
    <col min="9231" max="9232" width="8.42578125" style="94"/>
    <col min="9233" max="9233" width="3.28515625" style="94" customWidth="1"/>
    <col min="9234" max="9472" width="8.42578125" style="94"/>
    <col min="9473" max="9473" width="10" style="94" bestFit="1" customWidth="1"/>
    <col min="9474" max="9474" width="44.28515625" style="94" bestFit="1" customWidth="1"/>
    <col min="9475" max="9475" width="10.42578125" style="94" bestFit="1" customWidth="1"/>
    <col min="9476" max="9476" width="10.42578125" style="94" customWidth="1"/>
    <col min="9477" max="9477" width="9.7109375" style="94" bestFit="1" customWidth="1"/>
    <col min="9478" max="9479" width="9.5703125" style="94" bestFit="1" customWidth="1"/>
    <col min="9480" max="9480" width="10.42578125" style="94" bestFit="1" customWidth="1"/>
    <col min="9481" max="9481" width="4.5703125" style="94" customWidth="1"/>
    <col min="9482" max="9482" width="1.7109375" style="94" customWidth="1"/>
    <col min="9483" max="9483" width="7" style="94" bestFit="1" customWidth="1"/>
    <col min="9484" max="9484" width="6.28515625" style="94" customWidth="1"/>
    <col min="9485" max="9485" width="20.42578125" style="94" customWidth="1"/>
    <col min="9486" max="9486" width="6.42578125" style="94" bestFit="1" customWidth="1"/>
    <col min="9487" max="9488" width="8.42578125" style="94"/>
    <col min="9489" max="9489" width="3.28515625" style="94" customWidth="1"/>
    <col min="9490" max="9728" width="8.42578125" style="94"/>
    <col min="9729" max="9729" width="10" style="94" bestFit="1" customWidth="1"/>
    <col min="9730" max="9730" width="44.28515625" style="94" bestFit="1" customWidth="1"/>
    <col min="9731" max="9731" width="10.42578125" style="94" bestFit="1" customWidth="1"/>
    <col min="9732" max="9732" width="10.42578125" style="94" customWidth="1"/>
    <col min="9733" max="9733" width="9.7109375" style="94" bestFit="1" customWidth="1"/>
    <col min="9734" max="9735" width="9.5703125" style="94" bestFit="1" customWidth="1"/>
    <col min="9736" max="9736" width="10.42578125" style="94" bestFit="1" customWidth="1"/>
    <col min="9737" max="9737" width="4.5703125" style="94" customWidth="1"/>
    <col min="9738" max="9738" width="1.7109375" style="94" customWidth="1"/>
    <col min="9739" max="9739" width="7" style="94" bestFit="1" customWidth="1"/>
    <col min="9740" max="9740" width="6.28515625" style="94" customWidth="1"/>
    <col min="9741" max="9741" width="20.42578125" style="94" customWidth="1"/>
    <col min="9742" max="9742" width="6.42578125" style="94" bestFit="1" customWidth="1"/>
    <col min="9743" max="9744" width="8.42578125" style="94"/>
    <col min="9745" max="9745" width="3.28515625" style="94" customWidth="1"/>
    <col min="9746" max="9984" width="8.42578125" style="94"/>
    <col min="9985" max="9985" width="10" style="94" bestFit="1" customWidth="1"/>
    <col min="9986" max="9986" width="44.28515625" style="94" bestFit="1" customWidth="1"/>
    <col min="9987" max="9987" width="10.42578125" style="94" bestFit="1" customWidth="1"/>
    <col min="9988" max="9988" width="10.42578125" style="94" customWidth="1"/>
    <col min="9989" max="9989" width="9.7109375" style="94" bestFit="1" customWidth="1"/>
    <col min="9990" max="9991" width="9.5703125" style="94" bestFit="1" customWidth="1"/>
    <col min="9992" max="9992" width="10.42578125" style="94" bestFit="1" customWidth="1"/>
    <col min="9993" max="9993" width="4.5703125" style="94" customWidth="1"/>
    <col min="9994" max="9994" width="1.7109375" style="94" customWidth="1"/>
    <col min="9995" max="9995" width="7" style="94" bestFit="1" customWidth="1"/>
    <col min="9996" max="9996" width="6.28515625" style="94" customWidth="1"/>
    <col min="9997" max="9997" width="20.42578125" style="94" customWidth="1"/>
    <col min="9998" max="9998" width="6.42578125" style="94" bestFit="1" customWidth="1"/>
    <col min="9999" max="10000" width="8.42578125" style="94"/>
    <col min="10001" max="10001" width="3.28515625" style="94" customWidth="1"/>
    <col min="10002" max="10240" width="8.42578125" style="94"/>
    <col min="10241" max="10241" width="10" style="94" bestFit="1" customWidth="1"/>
    <col min="10242" max="10242" width="44.28515625" style="94" bestFit="1" customWidth="1"/>
    <col min="10243" max="10243" width="10.42578125" style="94" bestFit="1" customWidth="1"/>
    <col min="10244" max="10244" width="10.42578125" style="94" customWidth="1"/>
    <col min="10245" max="10245" width="9.7109375" style="94" bestFit="1" customWidth="1"/>
    <col min="10246" max="10247" width="9.5703125" style="94" bestFit="1" customWidth="1"/>
    <col min="10248" max="10248" width="10.42578125" style="94" bestFit="1" customWidth="1"/>
    <col min="10249" max="10249" width="4.5703125" style="94" customWidth="1"/>
    <col min="10250" max="10250" width="1.7109375" style="94" customWidth="1"/>
    <col min="10251" max="10251" width="7" style="94" bestFit="1" customWidth="1"/>
    <col min="10252" max="10252" width="6.28515625" style="94" customWidth="1"/>
    <col min="10253" max="10253" width="20.42578125" style="94" customWidth="1"/>
    <col min="10254" max="10254" width="6.42578125" style="94" bestFit="1" customWidth="1"/>
    <col min="10255" max="10256" width="8.42578125" style="94"/>
    <col min="10257" max="10257" width="3.28515625" style="94" customWidth="1"/>
    <col min="10258" max="10496" width="8.42578125" style="94"/>
    <col min="10497" max="10497" width="10" style="94" bestFit="1" customWidth="1"/>
    <col min="10498" max="10498" width="44.28515625" style="94" bestFit="1" customWidth="1"/>
    <col min="10499" max="10499" width="10.42578125" style="94" bestFit="1" customWidth="1"/>
    <col min="10500" max="10500" width="10.42578125" style="94" customWidth="1"/>
    <col min="10501" max="10501" width="9.7109375" style="94" bestFit="1" customWidth="1"/>
    <col min="10502" max="10503" width="9.5703125" style="94" bestFit="1" customWidth="1"/>
    <col min="10504" max="10504" width="10.42578125" style="94" bestFit="1" customWidth="1"/>
    <col min="10505" max="10505" width="4.5703125" style="94" customWidth="1"/>
    <col min="10506" max="10506" width="1.7109375" style="94" customWidth="1"/>
    <col min="10507" max="10507" width="7" style="94" bestFit="1" customWidth="1"/>
    <col min="10508" max="10508" width="6.28515625" style="94" customWidth="1"/>
    <col min="10509" max="10509" width="20.42578125" style="94" customWidth="1"/>
    <col min="10510" max="10510" width="6.42578125" style="94" bestFit="1" customWidth="1"/>
    <col min="10511" max="10512" width="8.42578125" style="94"/>
    <col min="10513" max="10513" width="3.28515625" style="94" customWidth="1"/>
    <col min="10514" max="10752" width="8.42578125" style="94"/>
    <col min="10753" max="10753" width="10" style="94" bestFit="1" customWidth="1"/>
    <col min="10754" max="10754" width="44.28515625" style="94" bestFit="1" customWidth="1"/>
    <col min="10755" max="10755" width="10.42578125" style="94" bestFit="1" customWidth="1"/>
    <col min="10756" max="10756" width="10.42578125" style="94" customWidth="1"/>
    <col min="10757" max="10757" width="9.7109375" style="94" bestFit="1" customWidth="1"/>
    <col min="10758" max="10759" width="9.5703125" style="94" bestFit="1" customWidth="1"/>
    <col min="10760" max="10760" width="10.42578125" style="94" bestFit="1" customWidth="1"/>
    <col min="10761" max="10761" width="4.5703125" style="94" customWidth="1"/>
    <col min="10762" max="10762" width="1.7109375" style="94" customWidth="1"/>
    <col min="10763" max="10763" width="7" style="94" bestFit="1" customWidth="1"/>
    <col min="10764" max="10764" width="6.28515625" style="94" customWidth="1"/>
    <col min="10765" max="10765" width="20.42578125" style="94" customWidth="1"/>
    <col min="10766" max="10766" width="6.42578125" style="94" bestFit="1" customWidth="1"/>
    <col min="10767" max="10768" width="8.42578125" style="94"/>
    <col min="10769" max="10769" width="3.28515625" style="94" customWidth="1"/>
    <col min="10770" max="11008" width="8.42578125" style="94"/>
    <col min="11009" max="11009" width="10" style="94" bestFit="1" customWidth="1"/>
    <col min="11010" max="11010" width="44.28515625" style="94" bestFit="1" customWidth="1"/>
    <col min="11011" max="11011" width="10.42578125" style="94" bestFit="1" customWidth="1"/>
    <col min="11012" max="11012" width="10.42578125" style="94" customWidth="1"/>
    <col min="11013" max="11013" width="9.7109375" style="94" bestFit="1" customWidth="1"/>
    <col min="11014" max="11015" width="9.5703125" style="94" bestFit="1" customWidth="1"/>
    <col min="11016" max="11016" width="10.42578125" style="94" bestFit="1" customWidth="1"/>
    <col min="11017" max="11017" width="4.5703125" style="94" customWidth="1"/>
    <col min="11018" max="11018" width="1.7109375" style="94" customWidth="1"/>
    <col min="11019" max="11019" width="7" style="94" bestFit="1" customWidth="1"/>
    <col min="11020" max="11020" width="6.28515625" style="94" customWidth="1"/>
    <col min="11021" max="11021" width="20.42578125" style="94" customWidth="1"/>
    <col min="11022" max="11022" width="6.42578125" style="94" bestFit="1" customWidth="1"/>
    <col min="11023" max="11024" width="8.42578125" style="94"/>
    <col min="11025" max="11025" width="3.28515625" style="94" customWidth="1"/>
    <col min="11026" max="11264" width="8.42578125" style="94"/>
    <col min="11265" max="11265" width="10" style="94" bestFit="1" customWidth="1"/>
    <col min="11266" max="11266" width="44.28515625" style="94" bestFit="1" customWidth="1"/>
    <col min="11267" max="11267" width="10.42578125" style="94" bestFit="1" customWidth="1"/>
    <col min="11268" max="11268" width="10.42578125" style="94" customWidth="1"/>
    <col min="11269" max="11269" width="9.7109375" style="94" bestFit="1" customWidth="1"/>
    <col min="11270" max="11271" width="9.5703125" style="94" bestFit="1" customWidth="1"/>
    <col min="11272" max="11272" width="10.42578125" style="94" bestFit="1" customWidth="1"/>
    <col min="11273" max="11273" width="4.5703125" style="94" customWidth="1"/>
    <col min="11274" max="11274" width="1.7109375" style="94" customWidth="1"/>
    <col min="11275" max="11275" width="7" style="94" bestFit="1" customWidth="1"/>
    <col min="11276" max="11276" width="6.28515625" style="94" customWidth="1"/>
    <col min="11277" max="11277" width="20.42578125" style="94" customWidth="1"/>
    <col min="11278" max="11278" width="6.42578125" style="94" bestFit="1" customWidth="1"/>
    <col min="11279" max="11280" width="8.42578125" style="94"/>
    <col min="11281" max="11281" width="3.28515625" style="94" customWidth="1"/>
    <col min="11282" max="11520" width="8.42578125" style="94"/>
    <col min="11521" max="11521" width="10" style="94" bestFit="1" customWidth="1"/>
    <col min="11522" max="11522" width="44.28515625" style="94" bestFit="1" customWidth="1"/>
    <col min="11523" max="11523" width="10.42578125" style="94" bestFit="1" customWidth="1"/>
    <col min="11524" max="11524" width="10.42578125" style="94" customWidth="1"/>
    <col min="11525" max="11525" width="9.7109375" style="94" bestFit="1" customWidth="1"/>
    <col min="11526" max="11527" width="9.5703125" style="94" bestFit="1" customWidth="1"/>
    <col min="11528" max="11528" width="10.42578125" style="94" bestFit="1" customWidth="1"/>
    <col min="11529" max="11529" width="4.5703125" style="94" customWidth="1"/>
    <col min="11530" max="11530" width="1.7109375" style="94" customWidth="1"/>
    <col min="11531" max="11531" width="7" style="94" bestFit="1" customWidth="1"/>
    <col min="11532" max="11532" width="6.28515625" style="94" customWidth="1"/>
    <col min="11533" max="11533" width="20.42578125" style="94" customWidth="1"/>
    <col min="11534" max="11534" width="6.42578125" style="94" bestFit="1" customWidth="1"/>
    <col min="11535" max="11536" width="8.42578125" style="94"/>
    <col min="11537" max="11537" width="3.28515625" style="94" customWidth="1"/>
    <col min="11538" max="11776" width="8.42578125" style="94"/>
    <col min="11777" max="11777" width="10" style="94" bestFit="1" customWidth="1"/>
    <col min="11778" max="11778" width="44.28515625" style="94" bestFit="1" customWidth="1"/>
    <col min="11779" max="11779" width="10.42578125" style="94" bestFit="1" customWidth="1"/>
    <col min="11780" max="11780" width="10.42578125" style="94" customWidth="1"/>
    <col min="11781" max="11781" width="9.7109375" style="94" bestFit="1" customWidth="1"/>
    <col min="11782" max="11783" width="9.5703125" style="94" bestFit="1" customWidth="1"/>
    <col min="11784" max="11784" width="10.42578125" style="94" bestFit="1" customWidth="1"/>
    <col min="11785" max="11785" width="4.5703125" style="94" customWidth="1"/>
    <col min="11786" max="11786" width="1.7109375" style="94" customWidth="1"/>
    <col min="11787" max="11787" width="7" style="94" bestFit="1" customWidth="1"/>
    <col min="11788" max="11788" width="6.28515625" style="94" customWidth="1"/>
    <col min="11789" max="11789" width="20.42578125" style="94" customWidth="1"/>
    <col min="11790" max="11790" width="6.42578125" style="94" bestFit="1" customWidth="1"/>
    <col min="11791" max="11792" width="8.42578125" style="94"/>
    <col min="11793" max="11793" width="3.28515625" style="94" customWidth="1"/>
    <col min="11794" max="12032" width="8.42578125" style="94"/>
    <col min="12033" max="12033" width="10" style="94" bestFit="1" customWidth="1"/>
    <col min="12034" max="12034" width="44.28515625" style="94" bestFit="1" customWidth="1"/>
    <col min="12035" max="12035" width="10.42578125" style="94" bestFit="1" customWidth="1"/>
    <col min="12036" max="12036" width="10.42578125" style="94" customWidth="1"/>
    <col min="12037" max="12037" width="9.7109375" style="94" bestFit="1" customWidth="1"/>
    <col min="12038" max="12039" width="9.5703125" style="94" bestFit="1" customWidth="1"/>
    <col min="12040" max="12040" width="10.42578125" style="94" bestFit="1" customWidth="1"/>
    <col min="12041" max="12041" width="4.5703125" style="94" customWidth="1"/>
    <col min="12042" max="12042" width="1.7109375" style="94" customWidth="1"/>
    <col min="12043" max="12043" width="7" style="94" bestFit="1" customWidth="1"/>
    <col min="12044" max="12044" width="6.28515625" style="94" customWidth="1"/>
    <col min="12045" max="12045" width="20.42578125" style="94" customWidth="1"/>
    <col min="12046" max="12046" width="6.42578125" style="94" bestFit="1" customWidth="1"/>
    <col min="12047" max="12048" width="8.42578125" style="94"/>
    <col min="12049" max="12049" width="3.28515625" style="94" customWidth="1"/>
    <col min="12050" max="12288" width="8.42578125" style="94"/>
    <col min="12289" max="12289" width="10" style="94" bestFit="1" customWidth="1"/>
    <col min="12290" max="12290" width="44.28515625" style="94" bestFit="1" customWidth="1"/>
    <col min="12291" max="12291" width="10.42578125" style="94" bestFit="1" customWidth="1"/>
    <col min="12292" max="12292" width="10.42578125" style="94" customWidth="1"/>
    <col min="12293" max="12293" width="9.7109375" style="94" bestFit="1" customWidth="1"/>
    <col min="12294" max="12295" width="9.5703125" style="94" bestFit="1" customWidth="1"/>
    <col min="12296" max="12296" width="10.42578125" style="94" bestFit="1" customWidth="1"/>
    <col min="12297" max="12297" width="4.5703125" style="94" customWidth="1"/>
    <col min="12298" max="12298" width="1.7109375" style="94" customWidth="1"/>
    <col min="12299" max="12299" width="7" style="94" bestFit="1" customWidth="1"/>
    <col min="12300" max="12300" width="6.28515625" style="94" customWidth="1"/>
    <col min="12301" max="12301" width="20.42578125" style="94" customWidth="1"/>
    <col min="12302" max="12302" width="6.42578125" style="94" bestFit="1" customWidth="1"/>
    <col min="12303" max="12304" width="8.42578125" style="94"/>
    <col min="12305" max="12305" width="3.28515625" style="94" customWidth="1"/>
    <col min="12306" max="12544" width="8.42578125" style="94"/>
    <col min="12545" max="12545" width="10" style="94" bestFit="1" customWidth="1"/>
    <col min="12546" max="12546" width="44.28515625" style="94" bestFit="1" customWidth="1"/>
    <col min="12547" max="12547" width="10.42578125" style="94" bestFit="1" customWidth="1"/>
    <col min="12548" max="12548" width="10.42578125" style="94" customWidth="1"/>
    <col min="12549" max="12549" width="9.7109375" style="94" bestFit="1" customWidth="1"/>
    <col min="12550" max="12551" width="9.5703125" style="94" bestFit="1" customWidth="1"/>
    <col min="12552" max="12552" width="10.42578125" style="94" bestFit="1" customWidth="1"/>
    <col min="12553" max="12553" width="4.5703125" style="94" customWidth="1"/>
    <col min="12554" max="12554" width="1.7109375" style="94" customWidth="1"/>
    <col min="12555" max="12555" width="7" style="94" bestFit="1" customWidth="1"/>
    <col min="12556" max="12556" width="6.28515625" style="94" customWidth="1"/>
    <col min="12557" max="12557" width="20.42578125" style="94" customWidth="1"/>
    <col min="12558" max="12558" width="6.42578125" style="94" bestFit="1" customWidth="1"/>
    <col min="12559" max="12560" width="8.42578125" style="94"/>
    <col min="12561" max="12561" width="3.28515625" style="94" customWidth="1"/>
    <col min="12562" max="12800" width="8.42578125" style="94"/>
    <col min="12801" max="12801" width="10" style="94" bestFit="1" customWidth="1"/>
    <col min="12802" max="12802" width="44.28515625" style="94" bestFit="1" customWidth="1"/>
    <col min="12803" max="12803" width="10.42578125" style="94" bestFit="1" customWidth="1"/>
    <col min="12804" max="12804" width="10.42578125" style="94" customWidth="1"/>
    <col min="12805" max="12805" width="9.7109375" style="94" bestFit="1" customWidth="1"/>
    <col min="12806" max="12807" width="9.5703125" style="94" bestFit="1" customWidth="1"/>
    <col min="12808" max="12808" width="10.42578125" style="94" bestFit="1" customWidth="1"/>
    <col min="12809" max="12809" width="4.5703125" style="94" customWidth="1"/>
    <col min="12810" max="12810" width="1.7109375" style="94" customWidth="1"/>
    <col min="12811" max="12811" width="7" style="94" bestFit="1" customWidth="1"/>
    <col min="12812" max="12812" width="6.28515625" style="94" customWidth="1"/>
    <col min="12813" max="12813" width="20.42578125" style="94" customWidth="1"/>
    <col min="12814" max="12814" width="6.42578125" style="94" bestFit="1" customWidth="1"/>
    <col min="12815" max="12816" width="8.42578125" style="94"/>
    <col min="12817" max="12817" width="3.28515625" style="94" customWidth="1"/>
    <col min="12818" max="13056" width="8.42578125" style="94"/>
    <col min="13057" max="13057" width="10" style="94" bestFit="1" customWidth="1"/>
    <col min="13058" max="13058" width="44.28515625" style="94" bestFit="1" customWidth="1"/>
    <col min="13059" max="13059" width="10.42578125" style="94" bestFit="1" customWidth="1"/>
    <col min="13060" max="13060" width="10.42578125" style="94" customWidth="1"/>
    <col min="13061" max="13061" width="9.7109375" style="94" bestFit="1" customWidth="1"/>
    <col min="13062" max="13063" width="9.5703125" style="94" bestFit="1" customWidth="1"/>
    <col min="13064" max="13064" width="10.42578125" style="94" bestFit="1" customWidth="1"/>
    <col min="13065" max="13065" width="4.5703125" style="94" customWidth="1"/>
    <col min="13066" max="13066" width="1.7109375" style="94" customWidth="1"/>
    <col min="13067" max="13067" width="7" style="94" bestFit="1" customWidth="1"/>
    <col min="13068" max="13068" width="6.28515625" style="94" customWidth="1"/>
    <col min="13069" max="13069" width="20.42578125" style="94" customWidth="1"/>
    <col min="13070" max="13070" width="6.42578125" style="94" bestFit="1" customWidth="1"/>
    <col min="13071" max="13072" width="8.42578125" style="94"/>
    <col min="13073" max="13073" width="3.28515625" style="94" customWidth="1"/>
    <col min="13074" max="13312" width="8.42578125" style="94"/>
    <col min="13313" max="13313" width="10" style="94" bestFit="1" customWidth="1"/>
    <col min="13314" max="13314" width="44.28515625" style="94" bestFit="1" customWidth="1"/>
    <col min="13315" max="13315" width="10.42578125" style="94" bestFit="1" customWidth="1"/>
    <col min="13316" max="13316" width="10.42578125" style="94" customWidth="1"/>
    <col min="13317" max="13317" width="9.7109375" style="94" bestFit="1" customWidth="1"/>
    <col min="13318" max="13319" width="9.5703125" style="94" bestFit="1" customWidth="1"/>
    <col min="13320" max="13320" width="10.42578125" style="94" bestFit="1" customWidth="1"/>
    <col min="13321" max="13321" width="4.5703125" style="94" customWidth="1"/>
    <col min="13322" max="13322" width="1.7109375" style="94" customWidth="1"/>
    <col min="13323" max="13323" width="7" style="94" bestFit="1" customWidth="1"/>
    <col min="13324" max="13324" width="6.28515625" style="94" customWidth="1"/>
    <col min="13325" max="13325" width="20.42578125" style="94" customWidth="1"/>
    <col min="13326" max="13326" width="6.42578125" style="94" bestFit="1" customWidth="1"/>
    <col min="13327" max="13328" width="8.42578125" style="94"/>
    <col min="13329" max="13329" width="3.28515625" style="94" customWidth="1"/>
    <col min="13330" max="13568" width="8.42578125" style="94"/>
    <col min="13569" max="13569" width="10" style="94" bestFit="1" customWidth="1"/>
    <col min="13570" max="13570" width="44.28515625" style="94" bestFit="1" customWidth="1"/>
    <col min="13571" max="13571" width="10.42578125" style="94" bestFit="1" customWidth="1"/>
    <col min="13572" max="13572" width="10.42578125" style="94" customWidth="1"/>
    <col min="13573" max="13573" width="9.7109375" style="94" bestFit="1" customWidth="1"/>
    <col min="13574" max="13575" width="9.5703125" style="94" bestFit="1" customWidth="1"/>
    <col min="13576" max="13576" width="10.42578125" style="94" bestFit="1" customWidth="1"/>
    <col min="13577" max="13577" width="4.5703125" style="94" customWidth="1"/>
    <col min="13578" max="13578" width="1.7109375" style="94" customWidth="1"/>
    <col min="13579" max="13579" width="7" style="94" bestFit="1" customWidth="1"/>
    <col min="13580" max="13580" width="6.28515625" style="94" customWidth="1"/>
    <col min="13581" max="13581" width="20.42578125" style="94" customWidth="1"/>
    <col min="13582" max="13582" width="6.42578125" style="94" bestFit="1" customWidth="1"/>
    <col min="13583" max="13584" width="8.42578125" style="94"/>
    <col min="13585" max="13585" width="3.28515625" style="94" customWidth="1"/>
    <col min="13586" max="13824" width="8.42578125" style="94"/>
    <col min="13825" max="13825" width="10" style="94" bestFit="1" customWidth="1"/>
    <col min="13826" max="13826" width="44.28515625" style="94" bestFit="1" customWidth="1"/>
    <col min="13827" max="13827" width="10.42578125" style="94" bestFit="1" customWidth="1"/>
    <col min="13828" max="13828" width="10.42578125" style="94" customWidth="1"/>
    <col min="13829" max="13829" width="9.7109375" style="94" bestFit="1" customWidth="1"/>
    <col min="13830" max="13831" width="9.5703125" style="94" bestFit="1" customWidth="1"/>
    <col min="13832" max="13832" width="10.42578125" style="94" bestFit="1" customWidth="1"/>
    <col min="13833" max="13833" width="4.5703125" style="94" customWidth="1"/>
    <col min="13834" max="13834" width="1.7109375" style="94" customWidth="1"/>
    <col min="13835" max="13835" width="7" style="94" bestFit="1" customWidth="1"/>
    <col min="13836" max="13836" width="6.28515625" style="94" customWidth="1"/>
    <col min="13837" max="13837" width="20.42578125" style="94" customWidth="1"/>
    <col min="13838" max="13838" width="6.42578125" style="94" bestFit="1" customWidth="1"/>
    <col min="13839" max="13840" width="8.42578125" style="94"/>
    <col min="13841" max="13841" width="3.28515625" style="94" customWidth="1"/>
    <col min="13842" max="14080" width="8.42578125" style="94"/>
    <col min="14081" max="14081" width="10" style="94" bestFit="1" customWidth="1"/>
    <col min="14082" max="14082" width="44.28515625" style="94" bestFit="1" customWidth="1"/>
    <col min="14083" max="14083" width="10.42578125" style="94" bestFit="1" customWidth="1"/>
    <col min="14084" max="14084" width="10.42578125" style="94" customWidth="1"/>
    <col min="14085" max="14085" width="9.7109375" style="94" bestFit="1" customWidth="1"/>
    <col min="14086" max="14087" width="9.5703125" style="94" bestFit="1" customWidth="1"/>
    <col min="14088" max="14088" width="10.42578125" style="94" bestFit="1" customWidth="1"/>
    <col min="14089" max="14089" width="4.5703125" style="94" customWidth="1"/>
    <col min="14090" max="14090" width="1.7109375" style="94" customWidth="1"/>
    <col min="14091" max="14091" width="7" style="94" bestFit="1" customWidth="1"/>
    <col min="14092" max="14092" width="6.28515625" style="94" customWidth="1"/>
    <col min="14093" max="14093" width="20.42578125" style="94" customWidth="1"/>
    <col min="14094" max="14094" width="6.42578125" style="94" bestFit="1" customWidth="1"/>
    <col min="14095" max="14096" width="8.42578125" style="94"/>
    <col min="14097" max="14097" width="3.28515625" style="94" customWidth="1"/>
    <col min="14098" max="14336" width="8.42578125" style="94"/>
    <col min="14337" max="14337" width="10" style="94" bestFit="1" customWidth="1"/>
    <col min="14338" max="14338" width="44.28515625" style="94" bestFit="1" customWidth="1"/>
    <col min="14339" max="14339" width="10.42578125" style="94" bestFit="1" customWidth="1"/>
    <col min="14340" max="14340" width="10.42578125" style="94" customWidth="1"/>
    <col min="14341" max="14341" width="9.7109375" style="94" bestFit="1" customWidth="1"/>
    <col min="14342" max="14343" width="9.5703125" style="94" bestFit="1" customWidth="1"/>
    <col min="14344" max="14344" width="10.42578125" style="94" bestFit="1" customWidth="1"/>
    <col min="14345" max="14345" width="4.5703125" style="94" customWidth="1"/>
    <col min="14346" max="14346" width="1.7109375" style="94" customWidth="1"/>
    <col min="14347" max="14347" width="7" style="94" bestFit="1" customWidth="1"/>
    <col min="14348" max="14348" width="6.28515625" style="94" customWidth="1"/>
    <col min="14349" max="14349" width="20.42578125" style="94" customWidth="1"/>
    <col min="14350" max="14350" width="6.42578125" style="94" bestFit="1" customWidth="1"/>
    <col min="14351" max="14352" width="8.42578125" style="94"/>
    <col min="14353" max="14353" width="3.28515625" style="94" customWidth="1"/>
    <col min="14354" max="14592" width="8.42578125" style="94"/>
    <col min="14593" max="14593" width="10" style="94" bestFit="1" customWidth="1"/>
    <col min="14594" max="14594" width="44.28515625" style="94" bestFit="1" customWidth="1"/>
    <col min="14595" max="14595" width="10.42578125" style="94" bestFit="1" customWidth="1"/>
    <col min="14596" max="14596" width="10.42578125" style="94" customWidth="1"/>
    <col min="14597" max="14597" width="9.7109375" style="94" bestFit="1" customWidth="1"/>
    <col min="14598" max="14599" width="9.5703125" style="94" bestFit="1" customWidth="1"/>
    <col min="14600" max="14600" width="10.42578125" style="94" bestFit="1" customWidth="1"/>
    <col min="14601" max="14601" width="4.5703125" style="94" customWidth="1"/>
    <col min="14602" max="14602" width="1.7109375" style="94" customWidth="1"/>
    <col min="14603" max="14603" width="7" style="94" bestFit="1" customWidth="1"/>
    <col min="14604" max="14604" width="6.28515625" style="94" customWidth="1"/>
    <col min="14605" max="14605" width="20.42578125" style="94" customWidth="1"/>
    <col min="14606" max="14606" width="6.42578125" style="94" bestFit="1" customWidth="1"/>
    <col min="14607" max="14608" width="8.42578125" style="94"/>
    <col min="14609" max="14609" width="3.28515625" style="94" customWidth="1"/>
    <col min="14610" max="14848" width="8.42578125" style="94"/>
    <col min="14849" max="14849" width="10" style="94" bestFit="1" customWidth="1"/>
    <col min="14850" max="14850" width="44.28515625" style="94" bestFit="1" customWidth="1"/>
    <col min="14851" max="14851" width="10.42578125" style="94" bestFit="1" customWidth="1"/>
    <col min="14852" max="14852" width="10.42578125" style="94" customWidth="1"/>
    <col min="14853" max="14853" width="9.7109375" style="94" bestFit="1" customWidth="1"/>
    <col min="14854" max="14855" width="9.5703125" style="94" bestFit="1" customWidth="1"/>
    <col min="14856" max="14856" width="10.42578125" style="94" bestFit="1" customWidth="1"/>
    <col min="14857" max="14857" width="4.5703125" style="94" customWidth="1"/>
    <col min="14858" max="14858" width="1.7109375" style="94" customWidth="1"/>
    <col min="14859" max="14859" width="7" style="94" bestFit="1" customWidth="1"/>
    <col min="14860" max="14860" width="6.28515625" style="94" customWidth="1"/>
    <col min="14861" max="14861" width="20.42578125" style="94" customWidth="1"/>
    <col min="14862" max="14862" width="6.42578125" style="94" bestFit="1" customWidth="1"/>
    <col min="14863" max="14864" width="8.42578125" style="94"/>
    <col min="14865" max="14865" width="3.28515625" style="94" customWidth="1"/>
    <col min="14866" max="15104" width="8.42578125" style="94"/>
    <col min="15105" max="15105" width="10" style="94" bestFit="1" customWidth="1"/>
    <col min="15106" max="15106" width="44.28515625" style="94" bestFit="1" customWidth="1"/>
    <col min="15107" max="15107" width="10.42578125" style="94" bestFit="1" customWidth="1"/>
    <col min="15108" max="15108" width="10.42578125" style="94" customWidth="1"/>
    <col min="15109" max="15109" width="9.7109375" style="94" bestFit="1" customWidth="1"/>
    <col min="15110" max="15111" width="9.5703125" style="94" bestFit="1" customWidth="1"/>
    <col min="15112" max="15112" width="10.42578125" style="94" bestFit="1" customWidth="1"/>
    <col min="15113" max="15113" width="4.5703125" style="94" customWidth="1"/>
    <col min="15114" max="15114" width="1.7109375" style="94" customWidth="1"/>
    <col min="15115" max="15115" width="7" style="94" bestFit="1" customWidth="1"/>
    <col min="15116" max="15116" width="6.28515625" style="94" customWidth="1"/>
    <col min="15117" max="15117" width="20.42578125" style="94" customWidth="1"/>
    <col min="15118" max="15118" width="6.42578125" style="94" bestFit="1" customWidth="1"/>
    <col min="15119" max="15120" width="8.42578125" style="94"/>
    <col min="15121" max="15121" width="3.28515625" style="94" customWidth="1"/>
    <col min="15122" max="15360" width="8.42578125" style="94"/>
    <col min="15361" max="15361" width="10" style="94" bestFit="1" customWidth="1"/>
    <col min="15362" max="15362" width="44.28515625" style="94" bestFit="1" customWidth="1"/>
    <col min="15363" max="15363" width="10.42578125" style="94" bestFit="1" customWidth="1"/>
    <col min="15364" max="15364" width="10.42578125" style="94" customWidth="1"/>
    <col min="15365" max="15365" width="9.7109375" style="94" bestFit="1" customWidth="1"/>
    <col min="15366" max="15367" width="9.5703125" style="94" bestFit="1" customWidth="1"/>
    <col min="15368" max="15368" width="10.42578125" style="94" bestFit="1" customWidth="1"/>
    <col min="15369" max="15369" width="4.5703125" style="94" customWidth="1"/>
    <col min="15370" max="15370" width="1.7109375" style="94" customWidth="1"/>
    <col min="15371" max="15371" width="7" style="94" bestFit="1" customWidth="1"/>
    <col min="15372" max="15372" width="6.28515625" style="94" customWidth="1"/>
    <col min="15373" max="15373" width="20.42578125" style="94" customWidth="1"/>
    <col min="15374" max="15374" width="6.42578125" style="94" bestFit="1" customWidth="1"/>
    <col min="15375" max="15376" width="8.42578125" style="94"/>
    <col min="15377" max="15377" width="3.28515625" style="94" customWidth="1"/>
    <col min="15378" max="15616" width="8.42578125" style="94"/>
    <col min="15617" max="15617" width="10" style="94" bestFit="1" customWidth="1"/>
    <col min="15618" max="15618" width="44.28515625" style="94" bestFit="1" customWidth="1"/>
    <col min="15619" max="15619" width="10.42578125" style="94" bestFit="1" customWidth="1"/>
    <col min="15620" max="15620" width="10.42578125" style="94" customWidth="1"/>
    <col min="15621" max="15621" width="9.7109375" style="94" bestFit="1" customWidth="1"/>
    <col min="15622" max="15623" width="9.5703125" style="94" bestFit="1" customWidth="1"/>
    <col min="15624" max="15624" width="10.42578125" style="94" bestFit="1" customWidth="1"/>
    <col min="15625" max="15625" width="4.5703125" style="94" customWidth="1"/>
    <col min="15626" max="15626" width="1.7109375" style="94" customWidth="1"/>
    <col min="15627" max="15627" width="7" style="94" bestFit="1" customWidth="1"/>
    <col min="15628" max="15628" width="6.28515625" style="94" customWidth="1"/>
    <col min="15629" max="15629" width="20.42578125" style="94" customWidth="1"/>
    <col min="15630" max="15630" width="6.42578125" style="94" bestFit="1" customWidth="1"/>
    <col min="15631" max="15632" width="8.42578125" style="94"/>
    <col min="15633" max="15633" width="3.28515625" style="94" customWidth="1"/>
    <col min="15634" max="15872" width="8.42578125" style="94"/>
    <col min="15873" max="15873" width="10" style="94" bestFit="1" customWidth="1"/>
    <col min="15874" max="15874" width="44.28515625" style="94" bestFit="1" customWidth="1"/>
    <col min="15875" max="15875" width="10.42578125" style="94" bestFit="1" customWidth="1"/>
    <col min="15876" max="15876" width="10.42578125" style="94" customWidth="1"/>
    <col min="15877" max="15877" width="9.7109375" style="94" bestFit="1" customWidth="1"/>
    <col min="15878" max="15879" width="9.5703125" style="94" bestFit="1" customWidth="1"/>
    <col min="15880" max="15880" width="10.42578125" style="94" bestFit="1" customWidth="1"/>
    <col min="15881" max="15881" width="4.5703125" style="94" customWidth="1"/>
    <col min="15882" max="15882" width="1.7109375" style="94" customWidth="1"/>
    <col min="15883" max="15883" width="7" style="94" bestFit="1" customWidth="1"/>
    <col min="15884" max="15884" width="6.28515625" style="94" customWidth="1"/>
    <col min="15885" max="15885" width="20.42578125" style="94" customWidth="1"/>
    <col min="15886" max="15886" width="6.42578125" style="94" bestFit="1" customWidth="1"/>
    <col min="15887" max="15888" width="8.42578125" style="94"/>
    <col min="15889" max="15889" width="3.28515625" style="94" customWidth="1"/>
    <col min="15890" max="16128" width="8.42578125" style="94"/>
    <col min="16129" max="16129" width="10" style="94" bestFit="1" customWidth="1"/>
    <col min="16130" max="16130" width="44.28515625" style="94" bestFit="1" customWidth="1"/>
    <col min="16131" max="16131" width="10.42578125" style="94" bestFit="1" customWidth="1"/>
    <col min="16132" max="16132" width="10.42578125" style="94" customWidth="1"/>
    <col min="16133" max="16133" width="9.7109375" style="94" bestFit="1" customWidth="1"/>
    <col min="16134" max="16135" width="9.5703125" style="94" bestFit="1" customWidth="1"/>
    <col min="16136" max="16136" width="10.42578125" style="94" bestFit="1" customWidth="1"/>
    <col min="16137" max="16137" width="4.5703125" style="94" customWidth="1"/>
    <col min="16138" max="16138" width="1.7109375" style="94" customWidth="1"/>
    <col min="16139" max="16139" width="7" style="94" bestFit="1" customWidth="1"/>
    <col min="16140" max="16140" width="6.28515625" style="94" customWidth="1"/>
    <col min="16141" max="16141" width="20.42578125" style="94" customWidth="1"/>
    <col min="16142" max="16142" width="6.42578125" style="94" bestFit="1" customWidth="1"/>
    <col min="16143" max="16144" width="8.42578125" style="94"/>
    <col min="16145" max="16145" width="3.28515625" style="94" customWidth="1"/>
    <col min="16146" max="16384" width="8.42578125" style="94"/>
  </cols>
  <sheetData>
    <row r="1" spans="1:13" ht="27.75" customHeight="1" x14ac:dyDescent="0.25">
      <c r="A1" s="89"/>
      <c r="B1" s="89"/>
      <c r="C1" s="89"/>
      <c r="D1" s="89"/>
      <c r="E1" s="90" t="s">
        <v>132</v>
      </c>
      <c r="F1" s="91" t="s">
        <v>133</v>
      </c>
      <c r="G1" s="91" t="s">
        <v>134</v>
      </c>
      <c r="H1" s="91" t="s">
        <v>135</v>
      </c>
      <c r="I1" s="92"/>
    </row>
    <row r="2" spans="1:13" ht="30.75" customHeight="1" x14ac:dyDescent="0.25">
      <c r="A2" s="89"/>
      <c r="B2" s="89"/>
      <c r="C2" s="89"/>
      <c r="D2" s="89"/>
      <c r="E2" s="95">
        <f>IFERROR(O68,"")</f>
        <v>5883.4875470946281</v>
      </c>
      <c r="F2" s="95">
        <f>IFERROR(H59,"")</f>
        <v>4020.6054370800002</v>
      </c>
      <c r="G2" s="95">
        <f>IFERROR(H60,"")</f>
        <v>597.86874555331042</v>
      </c>
      <c r="H2" s="95">
        <f>IFERROR(H62,"")</f>
        <v>648.45222884151599</v>
      </c>
      <c r="I2" s="96"/>
    </row>
    <row r="3" spans="1:13" ht="15" customHeight="1" x14ac:dyDescent="0.25">
      <c r="A3" s="89"/>
      <c r="B3" s="89"/>
      <c r="C3" s="89"/>
      <c r="D3" s="89"/>
      <c r="E3" s="89"/>
      <c r="F3" s="97"/>
      <c r="G3" s="97"/>
      <c r="H3" s="97"/>
      <c r="I3" s="97"/>
    </row>
    <row r="4" spans="1:13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8"/>
    </row>
    <row r="5" spans="1:13" ht="19.5" customHeight="1" thickBot="1" x14ac:dyDescent="0.3">
      <c r="A5" s="358" t="s">
        <v>136</v>
      </c>
      <c r="B5" s="359"/>
      <c r="C5" s="359"/>
      <c r="D5" s="359"/>
      <c r="E5" s="359"/>
      <c r="F5" s="359"/>
      <c r="G5" s="359"/>
      <c r="H5" s="360"/>
      <c r="I5" s="99"/>
    </row>
    <row r="6" spans="1:13" ht="19.5" thickBot="1" x14ac:dyDescent="0.3">
      <c r="A6" s="99"/>
      <c r="B6" s="99"/>
      <c r="C6" s="99"/>
      <c r="D6" s="99"/>
      <c r="E6" s="99"/>
      <c r="F6" s="361" t="s">
        <v>137</v>
      </c>
      <c r="G6" s="361"/>
      <c r="H6" s="100">
        <f ca="1">TODAY()</f>
        <v>45776</v>
      </c>
      <c r="I6" s="100"/>
    </row>
    <row r="7" spans="1:13" ht="26.25" thickBot="1" x14ac:dyDescent="0.3">
      <c r="A7" s="101" t="s">
        <v>138</v>
      </c>
      <c r="B7" s="102" t="s">
        <v>139</v>
      </c>
      <c r="C7" s="102" t="s">
        <v>138</v>
      </c>
      <c r="D7" s="103" t="s">
        <v>140</v>
      </c>
      <c r="E7" s="103" t="s">
        <v>141</v>
      </c>
      <c r="F7" s="103" t="s">
        <v>142</v>
      </c>
      <c r="G7" s="103" t="s">
        <v>143</v>
      </c>
      <c r="H7" s="104" t="s">
        <v>144</v>
      </c>
      <c r="I7" s="105"/>
    </row>
    <row r="8" spans="1:13" ht="13.5" hidden="1" x14ac:dyDescent="0.25">
      <c r="A8" s="106">
        <v>0</v>
      </c>
      <c r="B8" s="94" t="s">
        <v>66</v>
      </c>
      <c r="C8" s="107">
        <f>+A8</f>
        <v>0</v>
      </c>
      <c r="D8" s="108" t="str">
        <f>IFERROR(VLOOKUP(H8,'[1]Consolidado MP Planta'!$A$2:$M$823,13,0),"")</f>
        <v/>
      </c>
      <c r="E8" s="108">
        <v>11.5</v>
      </c>
      <c r="F8" s="108">
        <f>IFERROR(C8*E8,"")</f>
        <v>0</v>
      </c>
      <c r="G8" s="109">
        <f t="shared" ref="G8:G14" si="0">IFERROR(F8/$F$72,"")</f>
        <v>0</v>
      </c>
      <c r="H8" s="110" t="s">
        <v>198</v>
      </c>
      <c r="I8" s="110"/>
      <c r="J8" s="111"/>
    </row>
    <row r="9" spans="1:13" ht="13.5" x14ac:dyDescent="0.25">
      <c r="A9" s="106">
        <v>25</v>
      </c>
      <c r="B9" s="94" t="s">
        <v>67</v>
      </c>
      <c r="C9" s="107">
        <f t="shared" ref="C9:C14" si="1">+A9</f>
        <v>25</v>
      </c>
      <c r="D9" s="108" t="str">
        <f>IFERROR(VLOOKUP(H9,'[1]Consolidado MP Planta'!$A$2:$M$823,13,0),"")</f>
        <v/>
      </c>
      <c r="E9" s="108">
        <v>10.48</v>
      </c>
      <c r="F9" s="108">
        <f t="shared" ref="F9:F14" si="2">IFERROR(C9*E9,"")</f>
        <v>262</v>
      </c>
      <c r="G9" s="109">
        <f t="shared" si="0"/>
        <v>5.2359303298239152E-2</v>
      </c>
      <c r="H9" s="110"/>
      <c r="I9" s="110"/>
      <c r="J9" s="111"/>
      <c r="M9" s="94" t="s">
        <v>199</v>
      </c>
    </row>
    <row r="10" spans="1:13" ht="13.5" x14ac:dyDescent="0.25">
      <c r="A10" s="106">
        <v>10</v>
      </c>
      <c r="B10" s="94" t="s">
        <v>100</v>
      </c>
      <c r="C10" s="107">
        <f t="shared" si="1"/>
        <v>10</v>
      </c>
      <c r="D10" s="108" t="str">
        <f>IFERROR(VLOOKUP(H10,'[1]Consolidado MP Planta'!$A$2:$M$823,13,0),"")</f>
        <v/>
      </c>
      <c r="E10" s="108">
        <v>2.56</v>
      </c>
      <c r="F10" s="108">
        <f t="shared" si="2"/>
        <v>25.6</v>
      </c>
      <c r="G10" s="109">
        <f t="shared" si="0"/>
        <v>5.1160235283775665E-3</v>
      </c>
      <c r="H10" s="110" t="s">
        <v>98</v>
      </c>
      <c r="I10" s="110"/>
      <c r="J10" s="111"/>
    </row>
    <row r="11" spans="1:13" ht="13.5" hidden="1" x14ac:dyDescent="0.25">
      <c r="A11" s="106"/>
      <c r="B11" s="94" t="str">
        <f>IFERROR(VLOOKUP(H11,'[1]Consolidado MP Planta'!$A$2:$M$823,3,0),"")</f>
        <v/>
      </c>
      <c r="C11" s="107">
        <f t="shared" si="1"/>
        <v>0</v>
      </c>
      <c r="D11" s="108" t="str">
        <f>IFERROR(VLOOKUP(H11,'[1]Consolidado MP Planta'!$A$2:$M$823,13,0),"")</f>
        <v/>
      </c>
      <c r="E11" s="108" t="str">
        <f>IFERROR(VLOOKUP(H11,'[1]Consolidado MP Planta'!$A$2:$M$823,12,0),"")</f>
        <v/>
      </c>
      <c r="F11" s="108" t="str">
        <f t="shared" si="2"/>
        <v/>
      </c>
      <c r="G11" s="109" t="str">
        <f t="shared" si="0"/>
        <v/>
      </c>
      <c r="H11" s="110"/>
      <c r="I11" s="110"/>
      <c r="J11" s="111"/>
    </row>
    <row r="12" spans="1:13" ht="13.5" hidden="1" x14ac:dyDescent="0.25">
      <c r="A12" s="106"/>
      <c r="B12" s="94" t="str">
        <f>IFERROR(VLOOKUP(H12,'[1]Consolidado MP Planta'!$A$2:$M$823,3,0),"")</f>
        <v/>
      </c>
      <c r="C12" s="107">
        <f t="shared" si="1"/>
        <v>0</v>
      </c>
      <c r="D12" s="108" t="str">
        <f>IFERROR(VLOOKUP(H12,'[1]Consolidado MP Planta'!$A$2:$M$823,13,0),"")</f>
        <v/>
      </c>
      <c r="E12" s="108" t="str">
        <f>IFERROR(VLOOKUP(H12,'[1]Consolidado MP Planta'!$A$2:$M$823,12,0),"")</f>
        <v/>
      </c>
      <c r="F12" s="108" t="str">
        <f t="shared" si="2"/>
        <v/>
      </c>
      <c r="G12" s="109" t="str">
        <f t="shared" si="0"/>
        <v/>
      </c>
      <c r="H12" s="110"/>
      <c r="I12" s="110"/>
      <c r="J12" s="111"/>
    </row>
    <row r="13" spans="1:13" ht="13.5" hidden="1" x14ac:dyDescent="0.25">
      <c r="A13" s="106"/>
      <c r="B13" s="94" t="str">
        <f>IFERROR(VLOOKUP(H13,'[1]Consolidado MP Planta'!$A$2:$M$823,3,0),"")</f>
        <v/>
      </c>
      <c r="C13" s="107">
        <f t="shared" si="1"/>
        <v>0</v>
      </c>
      <c r="D13" s="108" t="str">
        <f>IFERROR(VLOOKUP(H13,'[1]Consolidado MP Planta'!$A$2:$M$823,13,0),"")</f>
        <v/>
      </c>
      <c r="E13" s="108" t="str">
        <f>IFERROR(VLOOKUP(H13,'[1]Consolidado MP Planta'!$A$2:$M$823,12,0),"")</f>
        <v/>
      </c>
      <c r="F13" s="108" t="str">
        <f t="shared" si="2"/>
        <v/>
      </c>
      <c r="G13" s="109" t="str">
        <f t="shared" si="0"/>
        <v/>
      </c>
      <c r="H13" s="110"/>
      <c r="I13" s="110"/>
      <c r="J13" s="111"/>
    </row>
    <row r="14" spans="1:13" ht="13.5" hidden="1" x14ac:dyDescent="0.25">
      <c r="A14" s="106"/>
      <c r="B14" s="94" t="str">
        <f>IFERROR(VLOOKUP(H14,'[1]Consolidado MP Planta'!$A$2:$M$823,3,0),"")</f>
        <v/>
      </c>
      <c r="C14" s="107">
        <f t="shared" si="1"/>
        <v>0</v>
      </c>
      <c r="D14" s="108" t="str">
        <f>IFERROR(VLOOKUP(H14,'[1]Consolidado MP Planta'!$A$2:$M$823,13,0),"")</f>
        <v/>
      </c>
      <c r="E14" s="108" t="str">
        <f>IFERROR(VLOOKUP(H14,'[1]Consolidado MP Planta'!$A$2:$M$823,12,0),"")</f>
        <v/>
      </c>
      <c r="F14" s="108" t="str">
        <f t="shared" si="2"/>
        <v/>
      </c>
      <c r="G14" s="109" t="str">
        <f t="shared" si="0"/>
        <v/>
      </c>
      <c r="H14" s="110"/>
      <c r="I14" s="110"/>
      <c r="J14" s="111"/>
    </row>
    <row r="15" spans="1:13" ht="15.75" thickBot="1" x14ac:dyDescent="0.3">
      <c r="A15" s="106"/>
      <c r="B15" s="94" t="str">
        <f>IFERROR(VLOOKUP(H15,'[2]ARTICULOS MP PLANTA'!$A$2:$G$589,2,0),"")</f>
        <v/>
      </c>
      <c r="C15" s="107"/>
      <c r="D15" s="108"/>
      <c r="E15" s="108"/>
      <c r="F15" s="108"/>
      <c r="G15" s="109"/>
      <c r="H15" s="110"/>
      <c r="I15" s="110"/>
      <c r="J15" s="111"/>
      <c r="M15"/>
    </row>
    <row r="16" spans="1:13" ht="26.25" thickBot="1" x14ac:dyDescent="0.3">
      <c r="A16" s="101" t="s">
        <v>138</v>
      </c>
      <c r="B16" s="102" t="s">
        <v>145</v>
      </c>
      <c r="C16" s="102" t="s">
        <v>138</v>
      </c>
      <c r="D16" s="103" t="s">
        <v>140</v>
      </c>
      <c r="E16" s="103" t="s">
        <v>141</v>
      </c>
      <c r="F16" s="103" t="s">
        <v>142</v>
      </c>
      <c r="G16" s="103" t="s">
        <v>143</v>
      </c>
      <c r="H16" s="104" t="s">
        <v>144</v>
      </c>
      <c r="I16" s="105"/>
      <c r="J16" s="111"/>
    </row>
    <row r="17" spans="1:16" ht="13.5" x14ac:dyDescent="0.25">
      <c r="A17" s="106">
        <v>0.5</v>
      </c>
      <c r="B17" s="94" t="s">
        <v>76</v>
      </c>
      <c r="C17" s="107">
        <f>+A17</f>
        <v>0.5</v>
      </c>
      <c r="D17" s="107" t="s">
        <v>196</v>
      </c>
      <c r="E17" s="108">
        <v>517.65</v>
      </c>
      <c r="F17" s="108">
        <f>IFERROR(E17*C17,"")</f>
        <v>258.82499999999999</v>
      </c>
      <c r="G17" s="109">
        <f t="shared" ref="G17:G24" si="3">IFERROR(F17/$F$72,"")</f>
        <v>5.1724796473918887E-2</v>
      </c>
      <c r="H17" s="110" t="s">
        <v>74</v>
      </c>
      <c r="I17" s="110"/>
      <c r="J17" s="111"/>
    </row>
    <row r="18" spans="1:16" ht="13.5" x14ac:dyDescent="0.25">
      <c r="A18" s="106">
        <v>1</v>
      </c>
      <c r="B18" s="94" t="s">
        <v>78</v>
      </c>
      <c r="C18" s="107">
        <f t="shared" ref="C18:C24" si="4">+A18</f>
        <v>1</v>
      </c>
      <c r="D18" s="107" t="str">
        <f>IFERROR(VLOOKUP(H18,[1]SEMIELABORADOS!$A$2:$M$6000,6,0),"")</f>
        <v/>
      </c>
      <c r="E18" s="108">
        <f>+'Costo disco'!H53</f>
        <v>1467.2326638</v>
      </c>
      <c r="F18" s="108">
        <f t="shared" ref="F18:F24" si="5">IFERROR(E18*C18,"")</f>
        <v>1467.2326638</v>
      </c>
      <c r="G18" s="109">
        <f t="shared" si="3"/>
        <v>0.29321862615644106</v>
      </c>
      <c r="H18" s="110"/>
      <c r="I18" s="110"/>
      <c r="J18" s="111"/>
    </row>
    <row r="19" spans="1:16" ht="13.5" x14ac:dyDescent="0.25">
      <c r="A19" s="106">
        <v>50</v>
      </c>
      <c r="B19" s="94" t="s">
        <v>46</v>
      </c>
      <c r="C19" s="107">
        <f>+A19</f>
        <v>50</v>
      </c>
      <c r="D19" s="107" t="str">
        <f>IFERROR(VLOOKUP(H19,[1]SEMIELABORADOS!$A$2:$M$6000,6,0),"")</f>
        <v/>
      </c>
      <c r="E19" s="108">
        <f>+'costo semillas Cadbury'!E69</f>
        <v>3.9676</v>
      </c>
      <c r="F19" s="108">
        <f>IFERROR(E19*C19,"")</f>
        <v>198.38</v>
      </c>
      <c r="G19" s="109">
        <f t="shared" si="3"/>
        <v>3.9645185451544593E-2</v>
      </c>
      <c r="H19" s="110"/>
      <c r="I19" s="110"/>
      <c r="J19" s="111"/>
    </row>
    <row r="20" spans="1:16" ht="13.5" x14ac:dyDescent="0.25">
      <c r="A20" s="106">
        <v>350</v>
      </c>
      <c r="B20" s="94" t="s">
        <v>77</v>
      </c>
      <c r="C20" s="107">
        <f>+A20</f>
        <v>350</v>
      </c>
      <c r="D20" s="107" t="str">
        <f>IFERROR(VLOOKUP(H20,[1]SEMIELABORADOS!$A$2:$M$6000,6,0),"")</f>
        <v/>
      </c>
      <c r="E20" s="108">
        <f>+'Costo Mousse pastelera'!E69</f>
        <v>2.6250455000000001</v>
      </c>
      <c r="F20" s="108">
        <f>IFERROR(E20*C20,"")</f>
        <v>918.76592500000004</v>
      </c>
      <c r="G20" s="109">
        <f t="shared" si="3"/>
        <v>0.18361047224107729</v>
      </c>
      <c r="H20" s="110"/>
      <c r="I20" s="110"/>
      <c r="J20" s="111"/>
      <c r="M20" s="94">
        <f>6*24</f>
        <v>144</v>
      </c>
      <c r="N20" s="94">
        <f>+M20*100</f>
        <v>14400</v>
      </c>
      <c r="O20" s="94">
        <f>12*24</f>
        <v>288</v>
      </c>
      <c r="P20" s="94">
        <f>+O20*42</f>
        <v>12096</v>
      </c>
    </row>
    <row r="21" spans="1:16" ht="13.5" x14ac:dyDescent="0.25">
      <c r="A21" s="106">
        <v>50</v>
      </c>
      <c r="B21" s="94" t="s">
        <v>82</v>
      </c>
      <c r="C21" s="107">
        <f>+A21</f>
        <v>50</v>
      </c>
      <c r="D21" s="107" t="str">
        <f>IFERROR(VLOOKUP(H21,[1]SEMIELABORADOS!$A$2:$M$6000,6,0),"")</f>
        <v/>
      </c>
      <c r="E21" s="108">
        <v>2.34</v>
      </c>
      <c r="F21" s="108">
        <f>IFERROR(E21*C21,"")</f>
        <v>117</v>
      </c>
      <c r="G21" s="109">
        <f t="shared" si="3"/>
        <v>2.3381826282038096E-2</v>
      </c>
      <c r="H21" s="110" t="s">
        <v>80</v>
      </c>
      <c r="I21" s="110"/>
      <c r="J21" s="111"/>
      <c r="N21" s="94">
        <f>150452/N20</f>
        <v>10.448055555555555</v>
      </c>
      <c r="P21" s="94">
        <f>158763/P20</f>
        <v>13.125248015873016</v>
      </c>
    </row>
    <row r="22" spans="1:16" ht="13.5" x14ac:dyDescent="0.25">
      <c r="A22" s="106">
        <v>50</v>
      </c>
      <c r="B22" s="94" t="s">
        <v>84</v>
      </c>
      <c r="C22" s="107">
        <f t="shared" si="4"/>
        <v>50</v>
      </c>
      <c r="D22" s="107" t="str">
        <f>IFERROR(VLOOKUP(H22,[1]SEMIELABORADOS!$A$2:$M$6000,6,0),"")</f>
        <v/>
      </c>
      <c r="E22" s="108">
        <v>3.5</v>
      </c>
      <c r="F22" s="108">
        <f t="shared" si="5"/>
        <v>175</v>
      </c>
      <c r="G22" s="109">
        <f t="shared" si="3"/>
        <v>3.4972817088518515E-2</v>
      </c>
      <c r="H22" s="110"/>
      <c r="I22" s="110"/>
      <c r="J22" s="111"/>
    </row>
    <row r="23" spans="1:16" ht="13.5" x14ac:dyDescent="0.25">
      <c r="A23" s="106">
        <v>60</v>
      </c>
      <c r="B23" s="94" t="s">
        <v>128</v>
      </c>
      <c r="C23" s="107">
        <f t="shared" si="4"/>
        <v>60</v>
      </c>
      <c r="D23" s="107" t="str">
        <f>IFERROR(VLOOKUP(H23,[1]SEMIELABORADOS!$A$2:$M$6000,6,0),"")</f>
        <v/>
      </c>
      <c r="E23" s="108">
        <f>+'Costo Empaque Relleno Arand'!E69</f>
        <v>6.6233641380000003</v>
      </c>
      <c r="F23" s="108">
        <f t="shared" si="5"/>
        <v>397.40184828000002</v>
      </c>
      <c r="G23" s="109">
        <f t="shared" si="3"/>
        <v>7.9418640860203588E-2</v>
      </c>
      <c r="H23" s="110"/>
      <c r="I23" s="110"/>
      <c r="J23" s="111"/>
    </row>
    <row r="24" spans="1:16" ht="13.5" x14ac:dyDescent="0.25">
      <c r="A24" s="106">
        <v>60</v>
      </c>
      <c r="B24" s="94" t="s">
        <v>210</v>
      </c>
      <c r="C24" s="107">
        <f t="shared" si="4"/>
        <v>60</v>
      </c>
      <c r="D24" s="107" t="str">
        <f>IFERROR(VLOOKUP(H24,[1]SEMIELABORADOS!$A$2:$M$6000,6,0),"")</f>
        <v/>
      </c>
      <c r="E24" s="108">
        <v>3.34</v>
      </c>
      <c r="F24" s="108">
        <f t="shared" si="5"/>
        <v>200.39999999999998</v>
      </c>
      <c r="G24" s="109">
        <f t="shared" si="3"/>
        <v>4.0048871683080627E-2</v>
      </c>
      <c r="H24" s="110" t="s">
        <v>209</v>
      </c>
      <c r="I24" s="110"/>
      <c r="J24" s="111"/>
    </row>
    <row r="25" spans="1:16" ht="14.25" thickBot="1" x14ac:dyDescent="0.3">
      <c r="A25" s="106"/>
      <c r="C25" s="107"/>
      <c r="D25" s="107"/>
      <c r="E25" s="108"/>
      <c r="F25" s="108"/>
      <c r="G25" s="109"/>
      <c r="H25" s="110"/>
      <c r="I25" s="110"/>
      <c r="J25" s="111"/>
    </row>
    <row r="26" spans="1:16" ht="26.25" thickBot="1" x14ac:dyDescent="0.3">
      <c r="A26" s="101" t="s">
        <v>138</v>
      </c>
      <c r="B26" s="102" t="s">
        <v>20</v>
      </c>
      <c r="C26" s="102" t="s">
        <v>138</v>
      </c>
      <c r="D26" s="103" t="s">
        <v>140</v>
      </c>
      <c r="E26" s="103" t="s">
        <v>141</v>
      </c>
      <c r="F26" s="103" t="s">
        <v>142</v>
      </c>
      <c r="G26" s="103" t="s">
        <v>143</v>
      </c>
      <c r="H26" s="104" t="s">
        <v>144</v>
      </c>
      <c r="I26" s="105"/>
    </row>
    <row r="27" spans="1:16" ht="13.5" x14ac:dyDescent="0.25">
      <c r="A27" s="106">
        <v>1</v>
      </c>
      <c r="B27" s="112" t="str">
        <f>IFERROR(VLOOKUP(H27,'[1]Consolidado MP Planta'!$A$2:$M$823,3,0),"")</f>
        <v>QUEQUERA RED C/BASE ALTA 9" (CAJA:100 U)</v>
      </c>
      <c r="C27" s="107">
        <f t="shared" ref="C27:C36" si="6">+A27</f>
        <v>1</v>
      </c>
      <c r="D27" s="108" t="str">
        <f>IFERROR(VLOOKUP(H27,'[1]Consolidado MP Planta'!$A$2:$M$823,13,0),"")</f>
        <v>Und</v>
      </c>
      <c r="E27" s="108">
        <v>342.24</v>
      </c>
      <c r="F27" s="108">
        <f t="shared" ref="F27:F36" si="7">IFERROR(C27*E27,"")</f>
        <v>342.24</v>
      </c>
      <c r="G27" s="109">
        <f t="shared" ref="G27:G36" si="8">IFERROR(F27/$F$72,"")</f>
        <v>6.8394839544997588E-2</v>
      </c>
      <c r="H27" s="113" t="s">
        <v>200</v>
      </c>
      <c r="I27" s="113"/>
      <c r="J27" s="111"/>
      <c r="K27" s="356"/>
      <c r="L27" s="356"/>
    </row>
    <row r="28" spans="1:16" ht="13.5" x14ac:dyDescent="0.25">
      <c r="A28" s="106">
        <v>1</v>
      </c>
      <c r="B28" s="112" t="str">
        <f>IFERROR(VLOOKUP(H28,'[1]Consolidado MP Planta'!$A$2:$M$823,3,0),"")</f>
        <v>ORLA #9  DORADA (UND)</v>
      </c>
      <c r="C28" s="107">
        <f t="shared" si="6"/>
        <v>1</v>
      </c>
      <c r="D28" s="108" t="str">
        <f>IFERROR(VLOOKUP(H28,'[1]Consolidado MP Planta'!$A$2:$M$823,13,0),"")</f>
        <v>Und</v>
      </c>
      <c r="E28" s="108">
        <f>IFERROR(VLOOKUP(H28,'[1]Consolidado MP Planta'!$A$2:$M$823,12,0),"")</f>
        <v>135</v>
      </c>
      <c r="F28" s="108">
        <f t="shared" si="7"/>
        <v>135</v>
      </c>
      <c r="G28" s="109">
        <f t="shared" si="8"/>
        <v>2.6979030325428571E-2</v>
      </c>
      <c r="H28" s="113" t="s">
        <v>201</v>
      </c>
      <c r="I28" s="113"/>
      <c r="J28" s="111"/>
      <c r="K28" s="356"/>
      <c r="L28" s="356"/>
    </row>
    <row r="29" spans="1:16" ht="13.5" x14ac:dyDescent="0.25">
      <c r="A29" s="106">
        <v>1</v>
      </c>
      <c r="B29" s="112" t="str">
        <f>IFERROR(VLOOKUP(H29,'[1]Consolidado MP Planta'!$A$2:$M$823,3,0),"")</f>
        <v>ETIQ.BLANCA 1 1/4 * 3/4 (UND)</v>
      </c>
      <c r="C29" s="107">
        <f t="shared" si="6"/>
        <v>1</v>
      </c>
      <c r="D29" s="108" t="str">
        <f>IFERROR(VLOOKUP(H29,'[1]Consolidado MP Planta'!$A$2:$M$823,13,0),"")</f>
        <v>Und</v>
      </c>
      <c r="E29" s="108">
        <f>IFERROR(VLOOKUP(H29,'[1]Consolidado MP Planta'!$A$2:$M$823,12,0),"")</f>
        <v>0.57999999999999996</v>
      </c>
      <c r="F29" s="108">
        <f t="shared" si="7"/>
        <v>0.57999999999999996</v>
      </c>
      <c r="G29" s="109">
        <f t="shared" si="8"/>
        <v>1.1590990806480422E-4</v>
      </c>
      <c r="H29" s="113" t="s">
        <v>90</v>
      </c>
      <c r="I29" s="113"/>
      <c r="J29" s="111"/>
      <c r="K29" s="92"/>
      <c r="L29" s="92"/>
    </row>
    <row r="30" spans="1:16" ht="13.5" x14ac:dyDescent="0.25">
      <c r="A30" s="106">
        <v>1</v>
      </c>
      <c r="B30" s="112" t="str">
        <f>IFERROR(VLOOKUP(H30,'[1]Consolidado MP Planta'!$A$2:$M$823,3,0),"")</f>
        <v>ETIQUETA BLANCA R-153 (UND)</v>
      </c>
      <c r="C30" s="107">
        <f t="shared" si="6"/>
        <v>1</v>
      </c>
      <c r="D30" s="108" t="str">
        <f>IFERROR(VLOOKUP(H30,'[1]Consolidado MP Planta'!$A$2:$M$823,13,0),"")</f>
        <v>Und</v>
      </c>
      <c r="E30" s="108">
        <f>IFERROR(VLOOKUP(H30,'[1]Consolidado MP Planta'!$A$2:$M$823,12,0),"")</f>
        <v>0.39</v>
      </c>
      <c r="F30" s="108">
        <f t="shared" si="7"/>
        <v>0.39</v>
      </c>
      <c r="G30" s="109">
        <f t="shared" si="8"/>
        <v>7.793942094012698E-5</v>
      </c>
      <c r="H30" s="113" t="s">
        <v>202</v>
      </c>
      <c r="I30" s="113"/>
      <c r="J30" s="111"/>
      <c r="K30" s="92"/>
      <c r="L30" s="92"/>
    </row>
    <row r="31" spans="1:16" ht="13.5" x14ac:dyDescent="0.25">
      <c r="A31" s="106">
        <v>1</v>
      </c>
      <c r="B31" s="112" t="str">
        <f>IFERROR(VLOOKUP(H31,'[1]Consolidado MP Planta'!$A$2:$M$823,3,0),"")</f>
        <v>ETIQUETA BLANCA 2 5/8X1 15/16 (UND)</v>
      </c>
      <c r="C31" s="107">
        <f t="shared" si="6"/>
        <v>1</v>
      </c>
      <c r="D31" s="108" t="str">
        <f>IFERROR(VLOOKUP(H31,'[1]Consolidado MP Planta'!$A$2:$M$823,13,0),"")</f>
        <v>Und</v>
      </c>
      <c r="E31" s="108">
        <f>IFERROR(VLOOKUP(H31,'[1]Consolidado MP Planta'!$A$2:$M$823,12,0),"")</f>
        <v>2.1280000000000001</v>
      </c>
      <c r="F31" s="108">
        <f t="shared" si="7"/>
        <v>2.1280000000000001</v>
      </c>
      <c r="G31" s="109">
        <f t="shared" si="8"/>
        <v>4.2526945579638521E-4</v>
      </c>
      <c r="H31" s="113" t="s">
        <v>107</v>
      </c>
      <c r="I31" s="113"/>
      <c r="J31" s="111"/>
      <c r="K31" s="92"/>
      <c r="L31" s="92"/>
    </row>
    <row r="32" spans="1:16" ht="13.5" x14ac:dyDescent="0.25">
      <c r="A32" s="106">
        <v>1</v>
      </c>
      <c r="B32" s="112" t="s">
        <v>89</v>
      </c>
      <c r="C32" s="107">
        <f t="shared" si="6"/>
        <v>1</v>
      </c>
      <c r="D32" s="108" t="s">
        <v>211</v>
      </c>
      <c r="E32" s="108">
        <v>110</v>
      </c>
      <c r="F32" s="108">
        <f t="shared" si="7"/>
        <v>110</v>
      </c>
      <c r="G32" s="109">
        <f t="shared" si="8"/>
        <v>2.1982913598497356E-2</v>
      </c>
      <c r="H32" s="113" t="s">
        <v>87</v>
      </c>
      <c r="I32" s="113"/>
      <c r="J32" s="111"/>
      <c r="K32" s="92"/>
      <c r="L32" s="92"/>
    </row>
    <row r="33" spans="1:12" ht="13.5" hidden="1" x14ac:dyDescent="0.25">
      <c r="A33" s="106"/>
      <c r="B33" s="112" t="str">
        <f>IFERROR(VLOOKUP(H33,'[1]Consolidado MP Planta'!$A$2:$M$823,3,0),"")</f>
        <v/>
      </c>
      <c r="C33" s="107">
        <f t="shared" si="6"/>
        <v>0</v>
      </c>
      <c r="D33" s="108" t="str">
        <f>IFERROR(VLOOKUP(H33,'[1]Consolidado MP Planta'!$A$2:$M$823,13,0),"")</f>
        <v/>
      </c>
      <c r="E33" s="108" t="str">
        <f>IFERROR(VLOOKUP(H33,'[1]Consolidado MP Planta'!$A$2:$M$823,12,0),"")</f>
        <v/>
      </c>
      <c r="F33" s="108" t="str">
        <f t="shared" si="7"/>
        <v/>
      </c>
      <c r="G33" s="109" t="str">
        <f t="shared" si="8"/>
        <v/>
      </c>
      <c r="H33" s="113"/>
      <c r="I33" s="113"/>
      <c r="J33" s="111"/>
      <c r="K33" s="356"/>
      <c r="L33" s="356"/>
    </row>
    <row r="34" spans="1:12" ht="13.5" hidden="1" x14ac:dyDescent="0.25">
      <c r="A34" s="106"/>
      <c r="B34" s="112" t="str">
        <f>IFERROR(VLOOKUP(H34,'[1]Consolidado MP Planta'!$A$2:$M$823,3,0),"")</f>
        <v/>
      </c>
      <c r="C34" s="107">
        <f t="shared" si="6"/>
        <v>0</v>
      </c>
      <c r="D34" s="108" t="str">
        <f>IFERROR(VLOOKUP(H34,'[1]Consolidado MP Planta'!$A$2:$M$823,13,0),"")</f>
        <v/>
      </c>
      <c r="E34" s="108" t="str">
        <f>IFERROR(VLOOKUP(H34,'[1]Consolidado MP Planta'!$A$2:$M$823,12,0),"")</f>
        <v/>
      </c>
      <c r="F34" s="108" t="str">
        <f t="shared" si="7"/>
        <v/>
      </c>
      <c r="G34" s="109" t="str">
        <f t="shared" si="8"/>
        <v/>
      </c>
      <c r="H34" s="113"/>
      <c r="I34" s="113"/>
      <c r="J34" s="111"/>
      <c r="K34" s="356"/>
      <c r="L34" s="356"/>
    </row>
    <row r="35" spans="1:12" ht="13.5" hidden="1" x14ac:dyDescent="0.25">
      <c r="A35" s="106"/>
      <c r="B35" s="112" t="str">
        <f>IFERROR(VLOOKUP(H35,'[1]Consolidado MP Planta'!$A$2:$M$823,3,0),"")</f>
        <v/>
      </c>
      <c r="C35" s="107">
        <f t="shared" si="6"/>
        <v>0</v>
      </c>
      <c r="D35" s="108" t="str">
        <f>IFERROR(VLOOKUP(H35,'[1]Consolidado MP Planta'!$A$2:$M$823,13,0),"")</f>
        <v/>
      </c>
      <c r="E35" s="108" t="str">
        <f>IFERROR(VLOOKUP(H35,'[1]Consolidado MP Planta'!$A$2:$M$823,12,0),"")</f>
        <v/>
      </c>
      <c r="F35" s="108" t="str">
        <f t="shared" si="7"/>
        <v/>
      </c>
      <c r="G35" s="109" t="str">
        <f t="shared" si="8"/>
        <v/>
      </c>
      <c r="H35" s="113"/>
      <c r="I35" s="113"/>
      <c r="J35" s="111"/>
      <c r="K35" s="114"/>
      <c r="L35" s="115"/>
    </row>
    <row r="36" spans="1:12" ht="13.5" hidden="1" x14ac:dyDescent="0.25">
      <c r="A36" s="106"/>
      <c r="B36" s="112" t="str">
        <f>IFERROR(VLOOKUP(H36,'[1]Consolidado MP Planta'!$A$2:$M$823,3,0),"")</f>
        <v/>
      </c>
      <c r="C36" s="107">
        <f t="shared" si="6"/>
        <v>0</v>
      </c>
      <c r="D36" s="108" t="str">
        <f>IFERROR(VLOOKUP(H36,'[1]Consolidado MP Planta'!$A$2:$M$823,13,0),"")</f>
        <v/>
      </c>
      <c r="E36" s="108" t="str">
        <f>IFERROR(VLOOKUP(H36,'[1]Consolidado MP Planta'!$A$2:$M$823,12,0),"")</f>
        <v/>
      </c>
      <c r="F36" s="108" t="str">
        <f t="shared" si="7"/>
        <v/>
      </c>
      <c r="G36" s="109" t="str">
        <f t="shared" si="8"/>
        <v/>
      </c>
      <c r="H36" s="113"/>
      <c r="I36" s="113"/>
      <c r="J36" s="111"/>
    </row>
    <row r="37" spans="1:12" ht="14.25" thickBot="1" x14ac:dyDescent="0.3">
      <c r="A37" s="106"/>
      <c r="B37" s="112"/>
      <c r="C37" s="107"/>
      <c r="D37" s="108"/>
      <c r="E37" s="108"/>
      <c r="F37" s="108"/>
      <c r="G37" s="109"/>
      <c r="H37" s="113"/>
      <c r="I37" s="113"/>
      <c r="J37" s="111"/>
    </row>
    <row r="38" spans="1:12" ht="26.25" thickBot="1" x14ac:dyDescent="0.25">
      <c r="A38" s="101" t="s">
        <v>138</v>
      </c>
      <c r="B38" s="102" t="s">
        <v>146</v>
      </c>
      <c r="C38" s="102" t="s">
        <v>138</v>
      </c>
      <c r="D38" s="103" t="s">
        <v>140</v>
      </c>
      <c r="E38" s="103" t="s">
        <v>141</v>
      </c>
      <c r="F38" s="103" t="s">
        <v>142</v>
      </c>
      <c r="G38" s="103" t="s">
        <v>143</v>
      </c>
      <c r="H38" s="104" t="s">
        <v>144</v>
      </c>
      <c r="I38" s="113"/>
      <c r="J38" s="111"/>
    </row>
    <row r="39" spans="1:12" ht="13.5" x14ac:dyDescent="0.25">
      <c r="A39" s="106">
        <f t="shared" ref="A39:A46" si="9">+A17</f>
        <v>0.5</v>
      </c>
      <c r="B39" s="112" t="s">
        <v>76</v>
      </c>
      <c r="C39" s="107">
        <f>+A39</f>
        <v>0.5</v>
      </c>
      <c r="D39" s="108" t="str">
        <f>IFERROR(VLOOKUP(H39,[1]SEMIELABORADOS!$A$2:$M$6000,6,0),"")</f>
        <v/>
      </c>
      <c r="E39" s="108">
        <v>5.29</v>
      </c>
      <c r="F39" s="108">
        <f>IFERROR(E39*C39,"")</f>
        <v>2.645</v>
      </c>
      <c r="G39" s="109">
        <f t="shared" ref="G39:G46" si="10">IFERROR(F39/$F$72,"")</f>
        <v>5.2858914970932273E-4</v>
      </c>
      <c r="H39" s="113" t="s">
        <v>74</v>
      </c>
      <c r="I39" s="113"/>
      <c r="J39" s="111"/>
    </row>
    <row r="40" spans="1:12" ht="13.5" x14ac:dyDescent="0.25">
      <c r="A40" s="106">
        <f t="shared" si="9"/>
        <v>1</v>
      </c>
      <c r="B40" s="112" t="s">
        <v>78</v>
      </c>
      <c r="C40" s="107">
        <f t="shared" ref="C40:C46" si="11">+A40</f>
        <v>1</v>
      </c>
      <c r="D40" s="108" t="str">
        <f>IFERROR(VLOOKUP(H40,[1]SEMIELABORADOS!$A$2:$M$6000,6,0),"")</f>
        <v/>
      </c>
      <c r="E40" s="108">
        <f>+'Costo disco'!H54</f>
        <v>2.4662564470095241</v>
      </c>
      <c r="F40" s="108">
        <f t="shared" ref="F40:F46" si="12">IFERROR(E40*C40,"")</f>
        <v>2.4662564470095241</v>
      </c>
      <c r="G40" s="109">
        <f t="shared" si="10"/>
        <v>4.9286820351224941E-4</v>
      </c>
      <c r="H40" s="113"/>
      <c r="I40" s="113"/>
      <c r="J40" s="111"/>
    </row>
    <row r="41" spans="1:12" ht="13.5" x14ac:dyDescent="0.25">
      <c r="A41" s="106">
        <f t="shared" si="9"/>
        <v>50</v>
      </c>
      <c r="B41" s="112" t="s">
        <v>46</v>
      </c>
      <c r="C41" s="107">
        <f t="shared" si="11"/>
        <v>50</v>
      </c>
      <c r="D41" s="108" t="str">
        <f>IFERROR(VLOOKUP(H41,[1]SEMIELABORADOS!$A$2:$M$6000,6,0),"")</f>
        <v/>
      </c>
      <c r="E41" s="108">
        <f>+'costo semillas Cadbury'!E76</f>
        <v>4.9747047619047623E-3</v>
      </c>
      <c r="F41" s="108">
        <f t="shared" si="12"/>
        <v>0.24873523809523812</v>
      </c>
      <c r="G41" s="109">
        <f t="shared" si="10"/>
        <v>4.9708411344993521E-5</v>
      </c>
      <c r="H41" s="113"/>
      <c r="I41" s="113"/>
      <c r="J41" s="111"/>
    </row>
    <row r="42" spans="1:12" ht="13.5" x14ac:dyDescent="0.25">
      <c r="A42" s="106">
        <f t="shared" si="9"/>
        <v>350</v>
      </c>
      <c r="B42" s="112" t="s">
        <v>77</v>
      </c>
      <c r="C42" s="107">
        <f>+A42</f>
        <v>350</v>
      </c>
      <c r="D42" s="108" t="str">
        <f>IFERROR(VLOOKUP(H42,[1]SEMIELABORADOS!$A$2:$M$6000,6,0),"")</f>
        <v/>
      </c>
      <c r="E42" s="108">
        <f>+'Costo Mousse pastelera'!E76</f>
        <v>0</v>
      </c>
      <c r="F42" s="108">
        <f>IFERROR(E42*C42,"")</f>
        <v>0</v>
      </c>
      <c r="G42" s="109">
        <f t="shared" si="10"/>
        <v>0</v>
      </c>
      <c r="H42" s="113"/>
      <c r="I42" s="113"/>
      <c r="J42" s="111"/>
    </row>
    <row r="43" spans="1:12" ht="13.5" x14ac:dyDescent="0.25">
      <c r="A43" s="106">
        <f t="shared" si="9"/>
        <v>50</v>
      </c>
      <c r="B43" s="112" t="s">
        <v>82</v>
      </c>
      <c r="C43" s="107">
        <f>+A43</f>
        <v>50</v>
      </c>
      <c r="D43" s="108" t="str">
        <f>IFERROR(VLOOKUP(H43,[1]SEMIELABORADOS!$A$2:$M$6000,6,0),"")</f>
        <v/>
      </c>
      <c r="E43" s="108">
        <v>0.01</v>
      </c>
      <c r="F43" s="108">
        <f>IFERROR(E43*C43,"")</f>
        <v>0.5</v>
      </c>
      <c r="G43" s="109">
        <f t="shared" si="10"/>
        <v>9.9922334538624338E-5</v>
      </c>
      <c r="H43" s="113"/>
      <c r="I43" s="113"/>
      <c r="J43" s="111"/>
    </row>
    <row r="44" spans="1:12" ht="13.5" x14ac:dyDescent="0.25">
      <c r="A44" s="106">
        <f t="shared" si="9"/>
        <v>50</v>
      </c>
      <c r="B44" s="112" t="s">
        <v>84</v>
      </c>
      <c r="C44" s="107">
        <f t="shared" si="11"/>
        <v>50</v>
      </c>
      <c r="D44" s="108" t="str">
        <f>IFERROR(VLOOKUP(H44,[1]SEMIELABORADOS!$A$2:$M$6000,6,0),"")</f>
        <v/>
      </c>
      <c r="E44" s="108">
        <v>0.01</v>
      </c>
      <c r="F44" s="108">
        <f t="shared" si="12"/>
        <v>0.5</v>
      </c>
      <c r="G44" s="109">
        <f t="shared" si="10"/>
        <v>9.9922334538624338E-5</v>
      </c>
      <c r="H44" s="113"/>
      <c r="I44" s="113"/>
      <c r="J44" s="111"/>
    </row>
    <row r="45" spans="1:12" ht="13.5" x14ac:dyDescent="0.25">
      <c r="A45" s="106">
        <f t="shared" si="9"/>
        <v>60</v>
      </c>
      <c r="B45" s="112" t="s">
        <v>128</v>
      </c>
      <c r="C45" s="107">
        <f t="shared" si="11"/>
        <v>60</v>
      </c>
      <c r="D45" s="108" t="str">
        <f>IFERROR(VLOOKUP(H45,[1]SEMIELABORADOS!$A$2:$M$6000,6,0),"")</f>
        <v/>
      </c>
      <c r="E45" s="108">
        <f>+'Costo Empaque Relleno Arand'!E76</f>
        <v>1.951256447009524E-2</v>
      </c>
      <c r="F45" s="108">
        <f t="shared" si="12"/>
        <v>1.1707538682057144</v>
      </c>
      <c r="G45" s="109">
        <f t="shared" si="10"/>
        <v>2.3396891936247979E-4</v>
      </c>
      <c r="H45" s="113"/>
      <c r="I45" s="113"/>
      <c r="J45" s="111"/>
    </row>
    <row r="46" spans="1:12" ht="13.5" x14ac:dyDescent="0.25">
      <c r="A46" s="106">
        <f t="shared" si="9"/>
        <v>60</v>
      </c>
      <c r="B46" s="112" t="s">
        <v>210</v>
      </c>
      <c r="C46" s="107">
        <f t="shared" si="11"/>
        <v>60</v>
      </c>
      <c r="D46" s="108" t="str">
        <f>IFERROR(VLOOKUP(H46,[1]SEMIELABORADOS!$A$2:$M$6000,6,0),"")</f>
        <v/>
      </c>
      <c r="E46" s="108">
        <v>0</v>
      </c>
      <c r="F46" s="108">
        <f t="shared" si="12"/>
        <v>0</v>
      </c>
      <c r="G46" s="109">
        <f t="shared" si="10"/>
        <v>0</v>
      </c>
      <c r="H46" s="113"/>
      <c r="I46" s="113"/>
      <c r="J46" s="111"/>
    </row>
    <row r="47" spans="1:12" ht="14.25" thickBot="1" x14ac:dyDescent="0.3">
      <c r="A47" s="106"/>
      <c r="B47" s="112"/>
      <c r="C47" s="107"/>
      <c r="D47" s="108"/>
      <c r="E47" s="108"/>
      <c r="F47" s="108"/>
      <c r="G47" s="109"/>
      <c r="H47" s="113"/>
      <c r="I47" s="113"/>
      <c r="J47" s="111"/>
    </row>
    <row r="48" spans="1:12" ht="26.25" thickBot="1" x14ac:dyDescent="0.3">
      <c r="A48" s="101" t="s">
        <v>138</v>
      </c>
      <c r="B48" s="102" t="s">
        <v>147</v>
      </c>
      <c r="C48" s="102" t="s">
        <v>138</v>
      </c>
      <c r="D48" s="103" t="s">
        <v>140</v>
      </c>
      <c r="E48" s="103" t="s">
        <v>141</v>
      </c>
      <c r="F48" s="103" t="s">
        <v>142</v>
      </c>
      <c r="G48" s="103" t="s">
        <v>143</v>
      </c>
      <c r="H48" s="104" t="s">
        <v>144</v>
      </c>
      <c r="I48" s="105"/>
      <c r="J48" s="111"/>
    </row>
    <row r="49" spans="1:17" ht="13.5" x14ac:dyDescent="0.25">
      <c r="A49" s="106">
        <f t="shared" ref="A49:A56" si="13">+A39</f>
        <v>0.5</v>
      </c>
      <c r="B49" s="112" t="s">
        <v>76</v>
      </c>
      <c r="C49" s="107">
        <f>+A49</f>
        <v>0.5</v>
      </c>
      <c r="D49" s="108" t="str">
        <f>IFERROR(VLOOKUP(H49,[1]SEMIELABORADOS!$A$2:$M$6000,6,0),"")</f>
        <v/>
      </c>
      <c r="E49" s="108">
        <v>33.340000000000003</v>
      </c>
      <c r="F49" s="108">
        <f>IFERROR(E49*C49,"")</f>
        <v>16.670000000000002</v>
      </c>
      <c r="G49" s="109">
        <f>IFERROR(F49/$F$72,"")</f>
        <v>3.3314106335177356E-3</v>
      </c>
      <c r="H49" s="113" t="s">
        <v>74</v>
      </c>
      <c r="I49" s="105"/>
      <c r="J49" s="111"/>
    </row>
    <row r="50" spans="1:17" ht="13.5" x14ac:dyDescent="0.25">
      <c r="A50" s="106">
        <f t="shared" si="13"/>
        <v>1</v>
      </c>
      <c r="B50" s="112" t="s">
        <v>78</v>
      </c>
      <c r="C50" s="107">
        <f t="shared" ref="C50:C56" si="14">+A50</f>
        <v>1</v>
      </c>
      <c r="D50" s="108" t="str">
        <f>IFERROR(VLOOKUP(H50,[1]SEMIELABORADOS!$A$2:$M$6000,6,0),"")</f>
        <v/>
      </c>
      <c r="E50" s="108">
        <f>+'Costo disco'!H56</f>
        <v>247.75826802594742</v>
      </c>
      <c r="F50" s="108">
        <f t="shared" ref="F50:F56" si="15">IFERROR(E50*C50,"")</f>
        <v>247.75826802594742</v>
      </c>
      <c r="G50" s="109">
        <f t="shared" ref="G50:G56" si="16">IFERROR(F50/$F$72,"")</f>
        <v>4.9513169084797741E-2</v>
      </c>
      <c r="H50" s="113"/>
      <c r="I50" s="105"/>
      <c r="J50" s="111"/>
      <c r="M50" s="116"/>
    </row>
    <row r="51" spans="1:17" ht="13.5" x14ac:dyDescent="0.25">
      <c r="A51" s="106">
        <f t="shared" si="13"/>
        <v>50</v>
      </c>
      <c r="B51" s="112" t="s">
        <v>46</v>
      </c>
      <c r="C51" s="107">
        <f t="shared" si="14"/>
        <v>50</v>
      </c>
      <c r="D51" s="108" t="str">
        <f>IFERROR(VLOOKUP(H51,[1]SEMIELABORADOS!$A$2:$M$6000,6,0),"")</f>
        <v/>
      </c>
      <c r="E51" s="108">
        <f>+'costo semillas Cadbury'!E74</f>
        <v>0.122</v>
      </c>
      <c r="F51" s="108">
        <f t="shared" si="15"/>
        <v>6.1</v>
      </c>
      <c r="G51" s="109">
        <f t="shared" si="16"/>
        <v>1.2190524813712167E-3</v>
      </c>
      <c r="H51" s="113"/>
      <c r="I51" s="105"/>
      <c r="J51" s="111"/>
    </row>
    <row r="52" spans="1:17" ht="13.5" x14ac:dyDescent="0.25">
      <c r="A52" s="106">
        <f t="shared" si="13"/>
        <v>350</v>
      </c>
      <c r="B52" s="112" t="s">
        <v>77</v>
      </c>
      <c r="C52" s="107">
        <f t="shared" si="14"/>
        <v>350</v>
      </c>
      <c r="D52" s="108" t="str">
        <f>IFERROR(VLOOKUP(H52,[1]SEMIELABORADOS!$A$2:$M$6000,6,0),"")</f>
        <v/>
      </c>
      <c r="E52" s="108">
        <f>+'Costo Mousse pastelera'!E74</f>
        <v>0.14030000000000001</v>
      </c>
      <c r="F52" s="108">
        <f t="shared" si="15"/>
        <v>49.105000000000004</v>
      </c>
      <c r="G52" s="109">
        <f t="shared" si="16"/>
        <v>9.8133724750382977E-3</v>
      </c>
      <c r="H52" s="113"/>
      <c r="I52" s="105"/>
      <c r="J52" s="111"/>
    </row>
    <row r="53" spans="1:17" ht="13.5" x14ac:dyDescent="0.25">
      <c r="A53" s="106">
        <f t="shared" si="13"/>
        <v>50</v>
      </c>
      <c r="B53" s="112" t="s">
        <v>82</v>
      </c>
      <c r="C53" s="107">
        <f t="shared" si="14"/>
        <v>50</v>
      </c>
      <c r="D53" s="108" t="str">
        <f>IFERROR(VLOOKUP(H53,[1]SEMIELABORADOS!$A$2:$M$6000,6,0),"")</f>
        <v/>
      </c>
      <c r="E53" s="108">
        <v>0.09</v>
      </c>
      <c r="F53" s="108">
        <f t="shared" si="15"/>
        <v>4.5</v>
      </c>
      <c r="G53" s="109">
        <f t="shared" si="16"/>
        <v>8.9930101084761906E-4</v>
      </c>
      <c r="H53" s="113"/>
      <c r="I53" s="105"/>
      <c r="J53" s="111"/>
    </row>
    <row r="54" spans="1:17" ht="13.5" x14ac:dyDescent="0.25">
      <c r="A54" s="106">
        <f t="shared" si="13"/>
        <v>50</v>
      </c>
      <c r="B54" s="112" t="s">
        <v>84</v>
      </c>
      <c r="C54" s="107">
        <f t="shared" si="14"/>
        <v>50</v>
      </c>
      <c r="D54" s="108" t="str">
        <f>IFERROR(VLOOKUP(H54,[1]SEMIELABORADOS!$A$2:$M$6000,6,0),"")</f>
        <v/>
      </c>
      <c r="E54" s="108">
        <v>0.09</v>
      </c>
      <c r="F54" s="108">
        <f t="shared" si="15"/>
        <v>4.5</v>
      </c>
      <c r="G54" s="109">
        <f t="shared" si="16"/>
        <v>8.9930101084761906E-4</v>
      </c>
      <c r="H54" s="113"/>
      <c r="I54" s="105"/>
      <c r="J54" s="111"/>
    </row>
    <row r="55" spans="1:17" ht="13.5" x14ac:dyDescent="0.25">
      <c r="A55" s="106">
        <f t="shared" si="13"/>
        <v>60</v>
      </c>
      <c r="B55" s="112" t="s">
        <v>128</v>
      </c>
      <c r="C55" s="107">
        <f t="shared" si="14"/>
        <v>60</v>
      </c>
      <c r="D55" s="108" t="str">
        <f>IFERROR(VLOOKUP(H55,[1]SEMIELABORADOS!$A$2:$M$6000,6,0),"")</f>
        <v/>
      </c>
      <c r="E55" s="108">
        <f>+'Costo Empaque Relleno Arand'!E74</f>
        <v>9.6982680259474291E-2</v>
      </c>
      <c r="F55" s="108">
        <f t="shared" si="15"/>
        <v>5.8189608155684578</v>
      </c>
      <c r="G55" s="109">
        <f t="shared" si="16"/>
        <v>1.1628882985607555E-3</v>
      </c>
      <c r="H55" s="112"/>
      <c r="I55" s="105"/>
      <c r="J55" s="111"/>
    </row>
    <row r="56" spans="1:17" ht="13.5" x14ac:dyDescent="0.25">
      <c r="A56" s="106">
        <f t="shared" si="13"/>
        <v>60</v>
      </c>
      <c r="B56" s="112" t="s">
        <v>210</v>
      </c>
      <c r="C56" s="107">
        <f t="shared" si="14"/>
        <v>60</v>
      </c>
      <c r="D56" s="108" t="str">
        <f>IFERROR(VLOOKUP(H56,[1]SEMIELABORADOS!$A$2:$M$6000,6,0),"")</f>
        <v/>
      </c>
      <c r="E56" s="108">
        <v>0.15</v>
      </c>
      <c r="F56" s="108">
        <f t="shared" si="15"/>
        <v>9</v>
      </c>
      <c r="G56" s="109">
        <f t="shared" si="16"/>
        <v>1.7986020216952381E-3</v>
      </c>
      <c r="H56" s="112"/>
      <c r="I56" s="105"/>
      <c r="J56" s="111"/>
    </row>
    <row r="57" spans="1:17" ht="13.5" x14ac:dyDescent="0.25">
      <c r="A57" s="106">
        <v>1</v>
      </c>
      <c r="B57" s="112" t="s">
        <v>148</v>
      </c>
      <c r="C57" s="107">
        <f>+A57</f>
        <v>1</v>
      </c>
      <c r="D57" s="107" t="s">
        <v>149</v>
      </c>
      <c r="E57" s="108">
        <f>+F71</f>
        <v>305</v>
      </c>
      <c r="F57" s="108">
        <f>IFERROR(C57*E57,"")</f>
        <v>305</v>
      </c>
      <c r="G57" s="109">
        <f>IFERROR(F57/$F$72,"")</f>
        <v>6.0952624068560848E-2</v>
      </c>
      <c r="H57" s="117"/>
      <c r="I57" s="117"/>
      <c r="J57" s="111"/>
    </row>
    <row r="58" spans="1:17" ht="14.25" thickBot="1" x14ac:dyDescent="0.3">
      <c r="A58" s="106"/>
      <c r="B58" s="112"/>
      <c r="C58" s="107"/>
      <c r="D58" s="107"/>
      <c r="E58" s="108"/>
      <c r="F58" s="108"/>
      <c r="G58" s="109"/>
      <c r="H58" s="117"/>
      <c r="I58" s="117"/>
      <c r="J58" s="111"/>
    </row>
    <row r="59" spans="1:17" ht="13.5" thickBot="1" x14ac:dyDescent="0.3">
      <c r="A59" s="118"/>
      <c r="B59" s="366" t="s">
        <v>150</v>
      </c>
      <c r="C59" s="366"/>
      <c r="D59" s="366"/>
      <c r="E59" s="366"/>
      <c r="F59" s="120">
        <f>SUM(F8:F14,F17:F24)</f>
        <v>4020.6054370800002</v>
      </c>
      <c r="G59" s="109">
        <f>+F59/$F$72</f>
        <v>0.80349656306343942</v>
      </c>
      <c r="H59" s="121">
        <f>+F59/$D$66</f>
        <v>4020.6054370800002</v>
      </c>
      <c r="I59" s="121"/>
      <c r="J59" s="122"/>
      <c r="K59" s="123"/>
      <c r="L59" s="123"/>
      <c r="M59" s="123"/>
      <c r="N59" s="123"/>
      <c r="O59" s="123"/>
      <c r="P59" s="123"/>
      <c r="Q59" s="124"/>
    </row>
    <row r="60" spans="1:17" x14ac:dyDescent="0.2">
      <c r="A60" s="118"/>
      <c r="B60" s="366" t="s">
        <v>151</v>
      </c>
      <c r="C60" s="366"/>
      <c r="D60" s="366"/>
      <c r="E60" s="366"/>
      <c r="F60" s="120">
        <f>SUM(F27:F36,F39:F46)</f>
        <v>597.86874555331042</v>
      </c>
      <c r="G60" s="109">
        <f>+F60/$F$72</f>
        <v>0.11948088160673111</v>
      </c>
      <c r="H60" s="121">
        <f>+F60/$D$66</f>
        <v>597.86874555331042</v>
      </c>
      <c r="I60" s="121"/>
      <c r="J60" s="125"/>
      <c r="K60" s="367" t="s">
        <v>152</v>
      </c>
      <c r="L60" s="368"/>
      <c r="M60" s="368"/>
      <c r="N60" s="368"/>
      <c r="O60" s="126">
        <f>+F61</f>
        <v>4618.4741826333102</v>
      </c>
      <c r="P60" s="126"/>
      <c r="Q60" s="127"/>
    </row>
    <row r="61" spans="1:17" x14ac:dyDescent="0.2">
      <c r="A61" s="118"/>
      <c r="B61" s="366" t="s">
        <v>153</v>
      </c>
      <c r="C61" s="366"/>
      <c r="D61" s="366"/>
      <c r="E61" s="366"/>
      <c r="F61" s="120">
        <f>+F59+F60</f>
        <v>4618.4741826333102</v>
      </c>
      <c r="G61" s="109">
        <f>+F61/$F$72</f>
        <v>0.9229774446701704</v>
      </c>
      <c r="H61" s="121">
        <f>+F61/$D$66</f>
        <v>4618.4741826333102</v>
      </c>
      <c r="I61" s="121"/>
      <c r="J61" s="128"/>
      <c r="K61" s="129"/>
      <c r="M61" s="130" t="s">
        <v>154</v>
      </c>
      <c r="N61" s="131"/>
      <c r="O61" s="126">
        <f>+H62</f>
        <v>648.45222884151599</v>
      </c>
      <c r="P61" s="126"/>
      <c r="Q61" s="127"/>
    </row>
    <row r="62" spans="1:17" ht="13.5" thickBot="1" x14ac:dyDescent="0.25">
      <c r="A62" s="118"/>
      <c r="B62" s="119"/>
      <c r="C62" s="366" t="s">
        <v>155</v>
      </c>
      <c r="D62" s="366"/>
      <c r="E62" s="366"/>
      <c r="F62" s="120">
        <f>SUM(F49:F57)</f>
        <v>648.45222884151599</v>
      </c>
      <c r="G62" s="109">
        <f>+F62/$F$72</f>
        <v>0.12958972108523709</v>
      </c>
      <c r="H62" s="121">
        <f>+F62/$D$66</f>
        <v>648.45222884151599</v>
      </c>
      <c r="I62" s="121"/>
      <c r="J62" s="128"/>
      <c r="K62" s="129"/>
      <c r="L62" s="129"/>
      <c r="M62" s="129" t="s">
        <v>156</v>
      </c>
      <c r="N62" s="132"/>
      <c r="O62" s="126">
        <f>O60*N62</f>
        <v>0</v>
      </c>
      <c r="P62" s="126"/>
      <c r="Q62" s="127"/>
    </row>
    <row r="63" spans="1:17" ht="13.5" thickBot="1" x14ac:dyDescent="0.25">
      <c r="A63" s="118"/>
      <c r="B63" s="133"/>
      <c r="C63" s="133"/>
      <c r="D63" s="133"/>
      <c r="E63" s="133"/>
      <c r="F63" s="134"/>
      <c r="G63" s="109"/>
      <c r="H63" s="135"/>
      <c r="I63" s="121"/>
      <c r="J63" s="128"/>
      <c r="K63" s="136"/>
      <c r="M63" s="137" t="s">
        <v>157</v>
      </c>
      <c r="N63" s="138"/>
      <c r="O63" s="139">
        <f>SUM(O60:O62)</f>
        <v>5266.9264114748257</v>
      </c>
      <c r="P63" s="140"/>
      <c r="Q63" s="127"/>
    </row>
    <row r="64" spans="1:17" x14ac:dyDescent="0.2">
      <c r="B64" s="369" t="s">
        <v>158</v>
      </c>
      <c r="C64" s="369"/>
      <c r="D64" s="141">
        <v>950</v>
      </c>
      <c r="E64" s="142"/>
      <c r="G64" s="109"/>
      <c r="H64" s="135">
        <f>+H62/61</f>
        <v>10.630364407237966</v>
      </c>
      <c r="I64" s="143"/>
      <c r="J64" s="128"/>
      <c r="K64" s="136"/>
      <c r="L64" s="129"/>
      <c r="M64" s="129" t="s">
        <v>159</v>
      </c>
      <c r="N64" s="144"/>
      <c r="O64" s="126">
        <f>+H65</f>
        <v>616.56113561980203</v>
      </c>
      <c r="P64" s="126"/>
      <c r="Q64" s="127"/>
    </row>
    <row r="65" spans="2:17" x14ac:dyDescent="0.2">
      <c r="B65" s="369" t="s">
        <v>160</v>
      </c>
      <c r="C65" s="369"/>
      <c r="D65" s="145">
        <v>950</v>
      </c>
      <c r="E65" s="142"/>
      <c r="G65" s="109"/>
      <c r="H65" s="135">
        <f>+H64*58</f>
        <v>616.56113561980203</v>
      </c>
      <c r="I65" s="143"/>
      <c r="J65" s="128"/>
      <c r="K65" s="136"/>
      <c r="L65" s="129"/>
      <c r="M65" s="370" t="s">
        <v>157</v>
      </c>
      <c r="N65" s="370"/>
      <c r="O65" s="126">
        <f>SUM(O63:O64)</f>
        <v>5883.4875470946281</v>
      </c>
      <c r="P65" s="126"/>
      <c r="Q65" s="127"/>
    </row>
    <row r="66" spans="2:17" ht="13.5" thickBot="1" x14ac:dyDescent="0.25">
      <c r="B66" s="362" t="s">
        <v>161</v>
      </c>
      <c r="C66" s="362"/>
      <c r="D66" s="141">
        <f>+D64/D65</f>
        <v>1</v>
      </c>
      <c r="E66" s="142"/>
      <c r="F66" s="146"/>
      <c r="G66" s="109"/>
      <c r="H66" s="135"/>
      <c r="I66" s="143"/>
      <c r="J66" s="128"/>
      <c r="K66" s="136"/>
      <c r="L66" s="370"/>
      <c r="M66" s="370"/>
      <c r="N66" s="144"/>
      <c r="O66" s="126">
        <f>+O65*N66</f>
        <v>0</v>
      </c>
      <c r="P66" s="126"/>
      <c r="Q66" s="127"/>
    </row>
    <row r="67" spans="2:17" ht="13.5" thickBot="1" x14ac:dyDescent="0.25">
      <c r="B67" s="362" t="s">
        <v>162</v>
      </c>
      <c r="C67" s="362"/>
      <c r="D67" s="147"/>
      <c r="E67" s="142"/>
      <c r="F67" s="146"/>
      <c r="G67" s="109"/>
      <c r="H67" s="135"/>
      <c r="I67" s="143"/>
      <c r="J67" s="128"/>
      <c r="K67" s="363" t="s">
        <v>163</v>
      </c>
      <c r="L67" s="364"/>
      <c r="M67" s="364"/>
      <c r="N67" s="365"/>
      <c r="O67" s="139">
        <f>SUM(O65:O66)</f>
        <v>5883.4875470946281</v>
      </c>
      <c r="P67" s="148" t="s">
        <v>164</v>
      </c>
      <c r="Q67" s="127"/>
    </row>
    <row r="68" spans="2:17" ht="13.5" thickBot="1" x14ac:dyDescent="0.25">
      <c r="C68" s="118" t="s">
        <v>43</v>
      </c>
      <c r="D68" s="149"/>
      <c r="E68" s="92" t="s">
        <v>165</v>
      </c>
      <c r="F68" s="150" t="s">
        <v>166</v>
      </c>
      <c r="G68" s="109"/>
      <c r="H68" s="135"/>
      <c r="I68" s="143"/>
      <c r="J68" s="151"/>
      <c r="K68" s="152"/>
      <c r="L68" s="376" t="s">
        <v>79</v>
      </c>
      <c r="M68" s="376"/>
      <c r="N68" s="376"/>
      <c r="O68" s="153">
        <f>+O67/D66</f>
        <v>5883.4875470946281</v>
      </c>
      <c r="P68" s="154">
        <f>+O68/D65</f>
        <v>6.1931447864153979</v>
      </c>
      <c r="Q68" s="155"/>
    </row>
    <row r="69" spans="2:17" ht="13.5" thickBot="1" x14ac:dyDescent="0.25">
      <c r="B69" s="377" t="s">
        <v>153</v>
      </c>
      <c r="C69" s="377"/>
      <c r="D69" s="377"/>
      <c r="E69" s="156">
        <f>+F69/F69</f>
        <v>1</v>
      </c>
      <c r="F69" s="157">
        <f>SUM(F61)</f>
        <v>4618.4741826333102</v>
      </c>
      <c r="G69" s="109">
        <f>+F69/$F$72</f>
        <v>0.9229774446701704</v>
      </c>
      <c r="H69" s="135"/>
      <c r="I69" s="143"/>
      <c r="K69" s="378"/>
      <c r="L69" s="379"/>
      <c r="M69" s="379"/>
      <c r="N69" s="379"/>
      <c r="O69" s="158"/>
      <c r="P69" s="159"/>
    </row>
    <row r="70" spans="2:17" ht="13.5" thickBot="1" x14ac:dyDescent="0.3">
      <c r="B70" s="380" t="s">
        <v>167</v>
      </c>
      <c r="C70" s="380"/>
      <c r="D70" s="380"/>
      <c r="E70" s="160">
        <v>0.02</v>
      </c>
      <c r="F70" s="157">
        <f>+F59*E70</f>
        <v>80.412108741600008</v>
      </c>
      <c r="G70" s="109">
        <f>+F70/$F$72</f>
        <v>1.606993126126879E-2</v>
      </c>
      <c r="H70" s="121"/>
      <c r="I70" s="143"/>
      <c r="J70" s="161"/>
      <c r="O70" s="162"/>
      <c r="P70" s="119"/>
    </row>
    <row r="71" spans="2:17" ht="13.5" thickBot="1" x14ac:dyDescent="0.3">
      <c r="B71" s="381" t="s">
        <v>168</v>
      </c>
      <c r="C71" s="382"/>
      <c r="D71" s="163">
        <v>5</v>
      </c>
      <c r="E71" s="164">
        <v>61</v>
      </c>
      <c r="F71" s="157">
        <f>+E71*D71</f>
        <v>305</v>
      </c>
      <c r="G71" s="109">
        <f>+F71/$F$72</f>
        <v>6.0952624068560848E-2</v>
      </c>
      <c r="H71" s="121"/>
      <c r="I71" s="121"/>
      <c r="J71" s="111"/>
    </row>
    <row r="72" spans="2:17" ht="13.5" thickBot="1" x14ac:dyDescent="0.3">
      <c r="B72" s="383" t="s">
        <v>169</v>
      </c>
      <c r="C72" s="384"/>
      <c r="D72" s="384"/>
      <c r="E72" s="385"/>
      <c r="F72" s="134">
        <f>SUM(F69:F71)</f>
        <v>5003.8862913749099</v>
      </c>
      <c r="G72" s="109">
        <f>+F72/$F$72</f>
        <v>1</v>
      </c>
      <c r="H72" s="386"/>
      <c r="I72" s="121"/>
      <c r="J72" s="111"/>
      <c r="M72" s="94" t="s">
        <v>170</v>
      </c>
    </row>
    <row r="73" spans="2:17" x14ac:dyDescent="0.25">
      <c r="C73" s="116"/>
      <c r="D73" s="116"/>
      <c r="E73" s="166"/>
      <c r="F73" s="157"/>
      <c r="G73" s="109"/>
      <c r="H73" s="386"/>
      <c r="I73" s="165"/>
      <c r="J73" s="94"/>
      <c r="M73" s="94" t="s">
        <v>171</v>
      </c>
    </row>
    <row r="74" spans="2:17" ht="13.5" thickBot="1" x14ac:dyDescent="0.3">
      <c r="B74" s="371" t="s">
        <v>172</v>
      </c>
      <c r="C74" s="371"/>
      <c r="D74" s="371"/>
      <c r="E74" s="371"/>
      <c r="F74" s="371"/>
      <c r="G74" s="109"/>
      <c r="H74" s="168"/>
      <c r="I74" s="165"/>
      <c r="J74" s="94"/>
      <c r="M74" s="94" t="s">
        <v>173</v>
      </c>
    </row>
    <row r="75" spans="2:17" ht="13.5" thickBot="1" x14ac:dyDescent="0.3">
      <c r="B75" s="169" t="s">
        <v>174</v>
      </c>
      <c r="C75" s="170">
        <f>+F59</f>
        <v>4020.6054370800002</v>
      </c>
      <c r="D75" s="170">
        <f>+D64</f>
        <v>950</v>
      </c>
      <c r="E75" s="171">
        <f>+C75/D75</f>
        <v>4.2322162495578945</v>
      </c>
      <c r="F75" s="109"/>
      <c r="G75" s="168"/>
      <c r="H75" s="111"/>
      <c r="I75" s="168"/>
      <c r="J75" s="94"/>
    </row>
    <row r="76" spans="2:17" x14ac:dyDescent="0.25">
      <c r="B76" s="172"/>
      <c r="C76" s="173"/>
      <c r="D76" s="174"/>
      <c r="E76" s="157"/>
      <c r="F76" s="109"/>
      <c r="G76" s="168"/>
      <c r="H76" s="111"/>
      <c r="I76" s="111"/>
      <c r="J76" s="94"/>
    </row>
    <row r="77" spans="2:17" x14ac:dyDescent="0.25">
      <c r="B77" s="169" t="s">
        <v>175</v>
      </c>
      <c r="C77" s="170">
        <f>SUM(F69:F70)</f>
        <v>4698.8862913749099</v>
      </c>
      <c r="D77" s="170">
        <f>+D64</f>
        <v>950</v>
      </c>
      <c r="E77" s="175">
        <f>+C77/D77</f>
        <v>4.9461960961841154</v>
      </c>
      <c r="F77" s="109"/>
      <c r="G77" s="168"/>
      <c r="H77" s="111"/>
      <c r="I77" s="111"/>
      <c r="J77" s="94"/>
    </row>
    <row r="78" spans="2:17" x14ac:dyDescent="0.25">
      <c r="B78" s="169"/>
      <c r="C78" s="170"/>
      <c r="D78" s="170"/>
      <c r="E78" s="175"/>
      <c r="F78" s="109"/>
      <c r="G78" s="168"/>
      <c r="H78" s="111"/>
      <c r="I78" s="111"/>
      <c r="J78" s="94"/>
    </row>
    <row r="79" spans="2:17" ht="13.5" thickBot="1" x14ac:dyDescent="0.3">
      <c r="B79" s="169" t="s">
        <v>176</v>
      </c>
      <c r="C79" s="170">
        <f>+F71</f>
        <v>305</v>
      </c>
      <c r="D79" s="170">
        <f>+D64</f>
        <v>950</v>
      </c>
      <c r="E79" s="175">
        <f>+C79/D79</f>
        <v>0.32105263157894737</v>
      </c>
      <c r="F79" s="109"/>
      <c r="G79" s="168"/>
      <c r="H79" s="111"/>
      <c r="I79" s="111"/>
      <c r="J79" s="94"/>
    </row>
    <row r="80" spans="2:17" ht="13.5" thickBot="1" x14ac:dyDescent="0.3">
      <c r="B80" s="169" t="s">
        <v>177</v>
      </c>
      <c r="C80" s="170">
        <f>+F62</f>
        <v>648.45222884151599</v>
      </c>
      <c r="D80" s="170">
        <f>+D79</f>
        <v>950</v>
      </c>
      <c r="E80" s="171">
        <f>+C80/D80</f>
        <v>0.68258129351738528</v>
      </c>
      <c r="F80" s="109"/>
      <c r="G80" s="168"/>
      <c r="H80" s="111"/>
      <c r="I80" s="111"/>
      <c r="J80" s="94"/>
    </row>
    <row r="81" spans="1:10" ht="13.5" thickBot="1" x14ac:dyDescent="0.3">
      <c r="B81" s="133"/>
      <c r="C81" s="134"/>
      <c r="D81" s="134"/>
      <c r="E81" s="175"/>
      <c r="F81" s="109"/>
      <c r="G81" s="168"/>
      <c r="H81" s="111"/>
      <c r="I81" s="111"/>
      <c r="J81" s="94"/>
    </row>
    <row r="82" spans="1:10" ht="13.5" thickBot="1" x14ac:dyDescent="0.3">
      <c r="B82" s="169" t="s">
        <v>178</v>
      </c>
      <c r="C82" s="170">
        <f>+F60</f>
        <v>597.86874555331042</v>
      </c>
      <c r="D82" s="170">
        <f>+D80</f>
        <v>950</v>
      </c>
      <c r="E82" s="171">
        <f>+C82/D82</f>
        <v>0.62933552163506357</v>
      </c>
      <c r="F82" s="109"/>
      <c r="G82" s="168"/>
      <c r="H82" s="111"/>
      <c r="I82" s="111"/>
      <c r="J82" s="111"/>
    </row>
    <row r="83" spans="1:10" ht="13.5" thickBot="1" x14ac:dyDescent="0.3">
      <c r="B83" s="133"/>
      <c r="C83" s="134"/>
      <c r="D83" s="134"/>
      <c r="E83" s="175"/>
      <c r="F83" s="109"/>
      <c r="G83" s="168"/>
      <c r="H83" s="111"/>
      <c r="I83" s="111"/>
    </row>
    <row r="84" spans="1:10" ht="13.5" thickBot="1" x14ac:dyDescent="0.3">
      <c r="B84" s="372" t="s">
        <v>179</v>
      </c>
      <c r="C84" s="373"/>
      <c r="D84" s="374"/>
      <c r="E84" s="171">
        <f>+E75+E80</f>
        <v>4.9147975430752799</v>
      </c>
      <c r="G84" s="109"/>
      <c r="H84" s="168"/>
      <c r="I84" s="111"/>
      <c r="J84" s="175"/>
    </row>
    <row r="85" spans="1:10" x14ac:dyDescent="0.25">
      <c r="I85" s="168"/>
      <c r="J85" s="94"/>
    </row>
    <row r="86" spans="1:10" ht="13.5" thickBot="1" x14ac:dyDescent="0.3">
      <c r="B86" s="371" t="s">
        <v>180</v>
      </c>
      <c r="C86" s="371"/>
      <c r="D86" s="371"/>
      <c r="E86" s="371"/>
      <c r="F86" s="371"/>
      <c r="G86" s="109"/>
      <c r="H86" s="168"/>
      <c r="J86" s="94"/>
    </row>
    <row r="87" spans="1:10" ht="13.5" thickBot="1" x14ac:dyDescent="0.3">
      <c r="B87" s="169" t="s">
        <v>174</v>
      </c>
      <c r="C87" s="170">
        <f>+C75</f>
        <v>4020.6054370800002</v>
      </c>
      <c r="D87" s="170">
        <f>+D66</f>
        <v>1</v>
      </c>
      <c r="E87" s="171">
        <f>+C87/D87</f>
        <v>4020.6054370800002</v>
      </c>
      <c r="F87" s="109"/>
      <c r="G87" s="168"/>
      <c r="H87" s="111"/>
      <c r="I87" s="168"/>
      <c r="J87" s="94"/>
    </row>
    <row r="88" spans="1:10" x14ac:dyDescent="0.25">
      <c r="B88" s="172"/>
      <c r="C88" s="173"/>
      <c r="D88" s="174"/>
      <c r="E88" s="157"/>
      <c r="F88" s="109"/>
      <c r="G88" s="168"/>
      <c r="H88" s="111"/>
      <c r="I88" s="111"/>
      <c r="J88" s="94"/>
    </row>
    <row r="89" spans="1:10" x14ac:dyDescent="0.25">
      <c r="B89" s="169" t="s">
        <v>175</v>
      </c>
      <c r="C89" s="170">
        <f>+C77</f>
        <v>4698.8862913749099</v>
      </c>
      <c r="D89" s="170">
        <f>+D66</f>
        <v>1</v>
      </c>
      <c r="E89" s="175">
        <f>+C89/D89</f>
        <v>4698.8862913749099</v>
      </c>
      <c r="F89" s="109"/>
      <c r="G89" s="168"/>
      <c r="H89" s="111"/>
      <c r="I89" s="111"/>
      <c r="J89" s="94"/>
    </row>
    <row r="90" spans="1:10" x14ac:dyDescent="0.25">
      <c r="B90" s="169"/>
      <c r="C90" s="170"/>
      <c r="D90" s="170"/>
      <c r="E90" s="175"/>
      <c r="F90" s="109"/>
      <c r="G90" s="168"/>
      <c r="H90" s="111"/>
      <c r="I90" s="111"/>
      <c r="J90" s="94"/>
    </row>
    <row r="91" spans="1:10" ht="13.5" thickBot="1" x14ac:dyDescent="0.3">
      <c r="B91" s="169" t="s">
        <v>177</v>
      </c>
      <c r="C91" s="170">
        <f>+C79</f>
        <v>305</v>
      </c>
      <c r="D91" s="170">
        <f>+D66</f>
        <v>1</v>
      </c>
      <c r="E91" s="175">
        <f>+C91/D91</f>
        <v>305</v>
      </c>
      <c r="F91" s="177"/>
      <c r="G91" s="167"/>
      <c r="H91" s="93"/>
      <c r="I91" s="111"/>
    </row>
    <row r="92" spans="1:10" ht="13.5" thickBot="1" x14ac:dyDescent="0.3">
      <c r="B92" s="169" t="s">
        <v>177</v>
      </c>
      <c r="C92" s="170">
        <f>+C80</f>
        <v>648.45222884151599</v>
      </c>
      <c r="D92" s="170">
        <f>+D91</f>
        <v>1</v>
      </c>
      <c r="E92" s="171">
        <f>+C92/D92</f>
        <v>648.45222884151599</v>
      </c>
      <c r="F92" s="176"/>
      <c r="G92" s="167"/>
      <c r="H92" s="93"/>
      <c r="I92" s="93"/>
    </row>
    <row r="93" spans="1:10" x14ac:dyDescent="0.25">
      <c r="I93" s="93"/>
    </row>
    <row r="94" spans="1:10" x14ac:dyDescent="0.2">
      <c r="A94" s="375"/>
      <c r="B94" s="375"/>
      <c r="C94" s="178"/>
      <c r="D94" s="178"/>
      <c r="E94" s="179"/>
      <c r="G94" s="180"/>
    </row>
    <row r="95" spans="1:10" x14ac:dyDescent="0.2">
      <c r="A95" s="112"/>
      <c r="B95" s="181"/>
      <c r="C95" s="182"/>
      <c r="D95" s="182"/>
      <c r="E95" s="183"/>
      <c r="G95" s="180"/>
    </row>
    <row r="96" spans="1:10" x14ac:dyDescent="0.2">
      <c r="A96" s="112"/>
      <c r="B96" s="181"/>
      <c r="C96" s="184"/>
      <c r="D96" s="184"/>
      <c r="E96" s="112"/>
      <c r="G96" s="180"/>
    </row>
    <row r="97" spans="1:7" x14ac:dyDescent="0.2">
      <c r="A97" s="112"/>
      <c r="B97" s="181"/>
      <c r="C97" s="185"/>
      <c r="D97" s="185"/>
      <c r="E97" s="112"/>
      <c r="G97" s="180"/>
    </row>
  </sheetData>
  <mergeCells count="30">
    <mergeCell ref="L68:N68"/>
    <mergeCell ref="B69:D69"/>
    <mergeCell ref="K69:N69"/>
    <mergeCell ref="B70:D70"/>
    <mergeCell ref="B71:C71"/>
    <mergeCell ref="K33:L33"/>
    <mergeCell ref="K34:L34"/>
    <mergeCell ref="B64:C64"/>
    <mergeCell ref="K67:N67"/>
    <mergeCell ref="B66:C66"/>
    <mergeCell ref="L66:M66"/>
    <mergeCell ref="B67:C67"/>
    <mergeCell ref="B59:E59"/>
    <mergeCell ref="B65:C65"/>
    <mergeCell ref="B60:E60"/>
    <mergeCell ref="K60:N60"/>
    <mergeCell ref="B61:E61"/>
    <mergeCell ref="C62:E62"/>
    <mergeCell ref="M65:N65"/>
    <mergeCell ref="A4:H4"/>
    <mergeCell ref="A5:H5"/>
    <mergeCell ref="F6:G6"/>
    <mergeCell ref="K27:L27"/>
    <mergeCell ref="K28:L28"/>
    <mergeCell ref="H72:H73"/>
    <mergeCell ref="B74:F74"/>
    <mergeCell ref="B84:D84"/>
    <mergeCell ref="B86:F86"/>
    <mergeCell ref="A94:B94"/>
    <mergeCell ref="B72:E7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F832-2E11-4909-A6CF-7A8C6985CFCD}">
  <dimension ref="A1:Q91"/>
  <sheetViews>
    <sheetView workbookViewId="0">
      <selection activeCell="E76" sqref="E76"/>
    </sheetView>
  </sheetViews>
  <sheetFormatPr baseColWidth="10" defaultColWidth="8.42578125" defaultRowHeight="12.75" x14ac:dyDescent="0.25"/>
  <cols>
    <col min="1" max="1" width="10" style="94" bestFit="1" customWidth="1"/>
    <col min="2" max="2" width="44.28515625" style="94" bestFit="1" customWidth="1"/>
    <col min="3" max="3" width="10.42578125" style="94" bestFit="1" customWidth="1"/>
    <col min="4" max="4" width="10.42578125" style="94" customWidth="1"/>
    <col min="5" max="5" width="9.7109375" style="94" bestFit="1" customWidth="1"/>
    <col min="6" max="6" width="9.5703125" style="94" bestFit="1" customWidth="1"/>
    <col min="7" max="7" width="9.5703125" style="176" bestFit="1" customWidth="1"/>
    <col min="8" max="8" width="10.42578125" style="167" bestFit="1" customWidth="1"/>
    <col min="9" max="9" width="4.5703125" style="167" customWidth="1"/>
    <col min="10" max="10" width="1.7109375" style="93" customWidth="1"/>
    <col min="11" max="11" width="7" style="94" bestFit="1" customWidth="1"/>
    <col min="12" max="12" width="6.28515625" style="94" customWidth="1"/>
    <col min="13" max="13" width="20.42578125" style="94" customWidth="1"/>
    <col min="14" max="14" width="6.42578125" style="94" bestFit="1" customWidth="1"/>
    <col min="15" max="16" width="8.42578125" style="94"/>
    <col min="17" max="17" width="3.28515625" style="94" customWidth="1"/>
    <col min="18" max="256" width="8.42578125" style="94"/>
    <col min="257" max="257" width="10" style="94" bestFit="1" customWidth="1"/>
    <col min="258" max="258" width="44.28515625" style="94" bestFit="1" customWidth="1"/>
    <col min="259" max="259" width="10.42578125" style="94" bestFit="1" customWidth="1"/>
    <col min="260" max="260" width="10.42578125" style="94" customWidth="1"/>
    <col min="261" max="261" width="9.7109375" style="94" bestFit="1" customWidth="1"/>
    <col min="262" max="263" width="9.5703125" style="94" bestFit="1" customWidth="1"/>
    <col min="264" max="264" width="10.42578125" style="94" bestFit="1" customWidth="1"/>
    <col min="265" max="265" width="4.5703125" style="94" customWidth="1"/>
    <col min="266" max="266" width="1.7109375" style="94" customWidth="1"/>
    <col min="267" max="267" width="7" style="94" bestFit="1" customWidth="1"/>
    <col min="268" max="268" width="6.28515625" style="94" customWidth="1"/>
    <col min="269" max="269" width="20.42578125" style="94" customWidth="1"/>
    <col min="270" max="270" width="6.42578125" style="94" bestFit="1" customWidth="1"/>
    <col min="271" max="272" width="8.42578125" style="94"/>
    <col min="273" max="273" width="3.28515625" style="94" customWidth="1"/>
    <col min="274" max="512" width="8.42578125" style="94"/>
    <col min="513" max="513" width="10" style="94" bestFit="1" customWidth="1"/>
    <col min="514" max="514" width="44.28515625" style="94" bestFit="1" customWidth="1"/>
    <col min="515" max="515" width="10.42578125" style="94" bestFit="1" customWidth="1"/>
    <col min="516" max="516" width="10.42578125" style="94" customWidth="1"/>
    <col min="517" max="517" width="9.7109375" style="94" bestFit="1" customWidth="1"/>
    <col min="518" max="519" width="9.5703125" style="94" bestFit="1" customWidth="1"/>
    <col min="520" max="520" width="10.42578125" style="94" bestFit="1" customWidth="1"/>
    <col min="521" max="521" width="4.5703125" style="94" customWidth="1"/>
    <col min="522" max="522" width="1.7109375" style="94" customWidth="1"/>
    <col min="523" max="523" width="7" style="94" bestFit="1" customWidth="1"/>
    <col min="524" max="524" width="6.28515625" style="94" customWidth="1"/>
    <col min="525" max="525" width="20.42578125" style="94" customWidth="1"/>
    <col min="526" max="526" width="6.42578125" style="94" bestFit="1" customWidth="1"/>
    <col min="527" max="528" width="8.42578125" style="94"/>
    <col min="529" max="529" width="3.28515625" style="94" customWidth="1"/>
    <col min="530" max="768" width="8.42578125" style="94"/>
    <col min="769" max="769" width="10" style="94" bestFit="1" customWidth="1"/>
    <col min="770" max="770" width="44.28515625" style="94" bestFit="1" customWidth="1"/>
    <col min="771" max="771" width="10.42578125" style="94" bestFit="1" customWidth="1"/>
    <col min="772" max="772" width="10.42578125" style="94" customWidth="1"/>
    <col min="773" max="773" width="9.7109375" style="94" bestFit="1" customWidth="1"/>
    <col min="774" max="775" width="9.5703125" style="94" bestFit="1" customWidth="1"/>
    <col min="776" max="776" width="10.42578125" style="94" bestFit="1" customWidth="1"/>
    <col min="777" max="777" width="4.5703125" style="94" customWidth="1"/>
    <col min="778" max="778" width="1.7109375" style="94" customWidth="1"/>
    <col min="779" max="779" width="7" style="94" bestFit="1" customWidth="1"/>
    <col min="780" max="780" width="6.28515625" style="94" customWidth="1"/>
    <col min="781" max="781" width="20.42578125" style="94" customWidth="1"/>
    <col min="782" max="782" width="6.42578125" style="94" bestFit="1" customWidth="1"/>
    <col min="783" max="784" width="8.42578125" style="94"/>
    <col min="785" max="785" width="3.28515625" style="94" customWidth="1"/>
    <col min="786" max="1024" width="8.42578125" style="94"/>
    <col min="1025" max="1025" width="10" style="94" bestFit="1" customWidth="1"/>
    <col min="1026" max="1026" width="44.28515625" style="94" bestFit="1" customWidth="1"/>
    <col min="1027" max="1027" width="10.42578125" style="94" bestFit="1" customWidth="1"/>
    <col min="1028" max="1028" width="10.42578125" style="94" customWidth="1"/>
    <col min="1029" max="1029" width="9.7109375" style="94" bestFit="1" customWidth="1"/>
    <col min="1030" max="1031" width="9.5703125" style="94" bestFit="1" customWidth="1"/>
    <col min="1032" max="1032" width="10.42578125" style="94" bestFit="1" customWidth="1"/>
    <col min="1033" max="1033" width="4.5703125" style="94" customWidth="1"/>
    <col min="1034" max="1034" width="1.7109375" style="94" customWidth="1"/>
    <col min="1035" max="1035" width="7" style="94" bestFit="1" customWidth="1"/>
    <col min="1036" max="1036" width="6.28515625" style="94" customWidth="1"/>
    <col min="1037" max="1037" width="20.42578125" style="94" customWidth="1"/>
    <col min="1038" max="1038" width="6.42578125" style="94" bestFit="1" customWidth="1"/>
    <col min="1039" max="1040" width="8.42578125" style="94"/>
    <col min="1041" max="1041" width="3.28515625" style="94" customWidth="1"/>
    <col min="1042" max="1280" width="8.42578125" style="94"/>
    <col min="1281" max="1281" width="10" style="94" bestFit="1" customWidth="1"/>
    <col min="1282" max="1282" width="44.28515625" style="94" bestFit="1" customWidth="1"/>
    <col min="1283" max="1283" width="10.42578125" style="94" bestFit="1" customWidth="1"/>
    <col min="1284" max="1284" width="10.42578125" style="94" customWidth="1"/>
    <col min="1285" max="1285" width="9.7109375" style="94" bestFit="1" customWidth="1"/>
    <col min="1286" max="1287" width="9.5703125" style="94" bestFit="1" customWidth="1"/>
    <col min="1288" max="1288" width="10.42578125" style="94" bestFit="1" customWidth="1"/>
    <col min="1289" max="1289" width="4.5703125" style="94" customWidth="1"/>
    <col min="1290" max="1290" width="1.7109375" style="94" customWidth="1"/>
    <col min="1291" max="1291" width="7" style="94" bestFit="1" customWidth="1"/>
    <col min="1292" max="1292" width="6.28515625" style="94" customWidth="1"/>
    <col min="1293" max="1293" width="20.42578125" style="94" customWidth="1"/>
    <col min="1294" max="1294" width="6.42578125" style="94" bestFit="1" customWidth="1"/>
    <col min="1295" max="1296" width="8.42578125" style="94"/>
    <col min="1297" max="1297" width="3.28515625" style="94" customWidth="1"/>
    <col min="1298" max="1536" width="8.42578125" style="94"/>
    <col min="1537" max="1537" width="10" style="94" bestFit="1" customWidth="1"/>
    <col min="1538" max="1538" width="44.28515625" style="94" bestFit="1" customWidth="1"/>
    <col min="1539" max="1539" width="10.42578125" style="94" bestFit="1" customWidth="1"/>
    <col min="1540" max="1540" width="10.42578125" style="94" customWidth="1"/>
    <col min="1541" max="1541" width="9.7109375" style="94" bestFit="1" customWidth="1"/>
    <col min="1542" max="1543" width="9.5703125" style="94" bestFit="1" customWidth="1"/>
    <col min="1544" max="1544" width="10.42578125" style="94" bestFit="1" customWidth="1"/>
    <col min="1545" max="1545" width="4.5703125" style="94" customWidth="1"/>
    <col min="1546" max="1546" width="1.7109375" style="94" customWidth="1"/>
    <col min="1547" max="1547" width="7" style="94" bestFit="1" customWidth="1"/>
    <col min="1548" max="1548" width="6.28515625" style="94" customWidth="1"/>
    <col min="1549" max="1549" width="20.42578125" style="94" customWidth="1"/>
    <col min="1550" max="1550" width="6.42578125" style="94" bestFit="1" customWidth="1"/>
    <col min="1551" max="1552" width="8.42578125" style="94"/>
    <col min="1553" max="1553" width="3.28515625" style="94" customWidth="1"/>
    <col min="1554" max="1792" width="8.42578125" style="94"/>
    <col min="1793" max="1793" width="10" style="94" bestFit="1" customWidth="1"/>
    <col min="1794" max="1794" width="44.28515625" style="94" bestFit="1" customWidth="1"/>
    <col min="1795" max="1795" width="10.42578125" style="94" bestFit="1" customWidth="1"/>
    <col min="1796" max="1796" width="10.42578125" style="94" customWidth="1"/>
    <col min="1797" max="1797" width="9.7109375" style="94" bestFit="1" customWidth="1"/>
    <col min="1798" max="1799" width="9.5703125" style="94" bestFit="1" customWidth="1"/>
    <col min="1800" max="1800" width="10.42578125" style="94" bestFit="1" customWidth="1"/>
    <col min="1801" max="1801" width="4.5703125" style="94" customWidth="1"/>
    <col min="1802" max="1802" width="1.7109375" style="94" customWidth="1"/>
    <col min="1803" max="1803" width="7" style="94" bestFit="1" customWidth="1"/>
    <col min="1804" max="1804" width="6.28515625" style="94" customWidth="1"/>
    <col min="1805" max="1805" width="20.42578125" style="94" customWidth="1"/>
    <col min="1806" max="1806" width="6.42578125" style="94" bestFit="1" customWidth="1"/>
    <col min="1807" max="1808" width="8.42578125" style="94"/>
    <col min="1809" max="1809" width="3.28515625" style="94" customWidth="1"/>
    <col min="1810" max="2048" width="8.42578125" style="94"/>
    <col min="2049" max="2049" width="10" style="94" bestFit="1" customWidth="1"/>
    <col min="2050" max="2050" width="44.28515625" style="94" bestFit="1" customWidth="1"/>
    <col min="2051" max="2051" width="10.42578125" style="94" bestFit="1" customWidth="1"/>
    <col min="2052" max="2052" width="10.42578125" style="94" customWidth="1"/>
    <col min="2053" max="2053" width="9.7109375" style="94" bestFit="1" customWidth="1"/>
    <col min="2054" max="2055" width="9.5703125" style="94" bestFit="1" customWidth="1"/>
    <col min="2056" max="2056" width="10.42578125" style="94" bestFit="1" customWidth="1"/>
    <col min="2057" max="2057" width="4.5703125" style="94" customWidth="1"/>
    <col min="2058" max="2058" width="1.7109375" style="94" customWidth="1"/>
    <col min="2059" max="2059" width="7" style="94" bestFit="1" customWidth="1"/>
    <col min="2060" max="2060" width="6.28515625" style="94" customWidth="1"/>
    <col min="2061" max="2061" width="20.42578125" style="94" customWidth="1"/>
    <col min="2062" max="2062" width="6.42578125" style="94" bestFit="1" customWidth="1"/>
    <col min="2063" max="2064" width="8.42578125" style="94"/>
    <col min="2065" max="2065" width="3.28515625" style="94" customWidth="1"/>
    <col min="2066" max="2304" width="8.42578125" style="94"/>
    <col min="2305" max="2305" width="10" style="94" bestFit="1" customWidth="1"/>
    <col min="2306" max="2306" width="44.28515625" style="94" bestFit="1" customWidth="1"/>
    <col min="2307" max="2307" width="10.42578125" style="94" bestFit="1" customWidth="1"/>
    <col min="2308" max="2308" width="10.42578125" style="94" customWidth="1"/>
    <col min="2309" max="2309" width="9.7109375" style="94" bestFit="1" customWidth="1"/>
    <col min="2310" max="2311" width="9.5703125" style="94" bestFit="1" customWidth="1"/>
    <col min="2312" max="2312" width="10.42578125" style="94" bestFit="1" customWidth="1"/>
    <col min="2313" max="2313" width="4.5703125" style="94" customWidth="1"/>
    <col min="2314" max="2314" width="1.7109375" style="94" customWidth="1"/>
    <col min="2315" max="2315" width="7" style="94" bestFit="1" customWidth="1"/>
    <col min="2316" max="2316" width="6.28515625" style="94" customWidth="1"/>
    <col min="2317" max="2317" width="20.42578125" style="94" customWidth="1"/>
    <col min="2318" max="2318" width="6.42578125" style="94" bestFit="1" customWidth="1"/>
    <col min="2319" max="2320" width="8.42578125" style="94"/>
    <col min="2321" max="2321" width="3.28515625" style="94" customWidth="1"/>
    <col min="2322" max="2560" width="8.42578125" style="94"/>
    <col min="2561" max="2561" width="10" style="94" bestFit="1" customWidth="1"/>
    <col min="2562" max="2562" width="44.28515625" style="94" bestFit="1" customWidth="1"/>
    <col min="2563" max="2563" width="10.42578125" style="94" bestFit="1" customWidth="1"/>
    <col min="2564" max="2564" width="10.42578125" style="94" customWidth="1"/>
    <col min="2565" max="2565" width="9.7109375" style="94" bestFit="1" customWidth="1"/>
    <col min="2566" max="2567" width="9.5703125" style="94" bestFit="1" customWidth="1"/>
    <col min="2568" max="2568" width="10.42578125" style="94" bestFit="1" customWidth="1"/>
    <col min="2569" max="2569" width="4.5703125" style="94" customWidth="1"/>
    <col min="2570" max="2570" width="1.7109375" style="94" customWidth="1"/>
    <col min="2571" max="2571" width="7" style="94" bestFit="1" customWidth="1"/>
    <col min="2572" max="2572" width="6.28515625" style="94" customWidth="1"/>
    <col min="2573" max="2573" width="20.42578125" style="94" customWidth="1"/>
    <col min="2574" max="2574" width="6.42578125" style="94" bestFit="1" customWidth="1"/>
    <col min="2575" max="2576" width="8.42578125" style="94"/>
    <col min="2577" max="2577" width="3.28515625" style="94" customWidth="1"/>
    <col min="2578" max="2816" width="8.42578125" style="94"/>
    <col min="2817" max="2817" width="10" style="94" bestFit="1" customWidth="1"/>
    <col min="2818" max="2818" width="44.28515625" style="94" bestFit="1" customWidth="1"/>
    <col min="2819" max="2819" width="10.42578125" style="94" bestFit="1" customWidth="1"/>
    <col min="2820" max="2820" width="10.42578125" style="94" customWidth="1"/>
    <col min="2821" max="2821" width="9.7109375" style="94" bestFit="1" customWidth="1"/>
    <col min="2822" max="2823" width="9.5703125" style="94" bestFit="1" customWidth="1"/>
    <col min="2824" max="2824" width="10.42578125" style="94" bestFit="1" customWidth="1"/>
    <col min="2825" max="2825" width="4.5703125" style="94" customWidth="1"/>
    <col min="2826" max="2826" width="1.7109375" style="94" customWidth="1"/>
    <col min="2827" max="2827" width="7" style="94" bestFit="1" customWidth="1"/>
    <col min="2828" max="2828" width="6.28515625" style="94" customWidth="1"/>
    <col min="2829" max="2829" width="20.42578125" style="94" customWidth="1"/>
    <col min="2830" max="2830" width="6.42578125" style="94" bestFit="1" customWidth="1"/>
    <col min="2831" max="2832" width="8.42578125" style="94"/>
    <col min="2833" max="2833" width="3.28515625" style="94" customWidth="1"/>
    <col min="2834" max="3072" width="8.42578125" style="94"/>
    <col min="3073" max="3073" width="10" style="94" bestFit="1" customWidth="1"/>
    <col min="3074" max="3074" width="44.28515625" style="94" bestFit="1" customWidth="1"/>
    <col min="3075" max="3075" width="10.42578125" style="94" bestFit="1" customWidth="1"/>
    <col min="3076" max="3076" width="10.42578125" style="94" customWidth="1"/>
    <col min="3077" max="3077" width="9.7109375" style="94" bestFit="1" customWidth="1"/>
    <col min="3078" max="3079" width="9.5703125" style="94" bestFit="1" customWidth="1"/>
    <col min="3080" max="3080" width="10.42578125" style="94" bestFit="1" customWidth="1"/>
    <col min="3081" max="3081" width="4.5703125" style="94" customWidth="1"/>
    <col min="3082" max="3082" width="1.7109375" style="94" customWidth="1"/>
    <col min="3083" max="3083" width="7" style="94" bestFit="1" customWidth="1"/>
    <col min="3084" max="3084" width="6.28515625" style="94" customWidth="1"/>
    <col min="3085" max="3085" width="20.42578125" style="94" customWidth="1"/>
    <col min="3086" max="3086" width="6.42578125" style="94" bestFit="1" customWidth="1"/>
    <col min="3087" max="3088" width="8.42578125" style="94"/>
    <col min="3089" max="3089" width="3.28515625" style="94" customWidth="1"/>
    <col min="3090" max="3328" width="8.42578125" style="94"/>
    <col min="3329" max="3329" width="10" style="94" bestFit="1" customWidth="1"/>
    <col min="3330" max="3330" width="44.28515625" style="94" bestFit="1" customWidth="1"/>
    <col min="3331" max="3331" width="10.42578125" style="94" bestFit="1" customWidth="1"/>
    <col min="3332" max="3332" width="10.42578125" style="94" customWidth="1"/>
    <col min="3333" max="3333" width="9.7109375" style="94" bestFit="1" customWidth="1"/>
    <col min="3334" max="3335" width="9.5703125" style="94" bestFit="1" customWidth="1"/>
    <col min="3336" max="3336" width="10.42578125" style="94" bestFit="1" customWidth="1"/>
    <col min="3337" max="3337" width="4.5703125" style="94" customWidth="1"/>
    <col min="3338" max="3338" width="1.7109375" style="94" customWidth="1"/>
    <col min="3339" max="3339" width="7" style="94" bestFit="1" customWidth="1"/>
    <col min="3340" max="3340" width="6.28515625" style="94" customWidth="1"/>
    <col min="3341" max="3341" width="20.42578125" style="94" customWidth="1"/>
    <col min="3342" max="3342" width="6.42578125" style="94" bestFit="1" customWidth="1"/>
    <col min="3343" max="3344" width="8.42578125" style="94"/>
    <col min="3345" max="3345" width="3.28515625" style="94" customWidth="1"/>
    <col min="3346" max="3584" width="8.42578125" style="94"/>
    <col min="3585" max="3585" width="10" style="94" bestFit="1" customWidth="1"/>
    <col min="3586" max="3586" width="44.28515625" style="94" bestFit="1" customWidth="1"/>
    <col min="3587" max="3587" width="10.42578125" style="94" bestFit="1" customWidth="1"/>
    <col min="3588" max="3588" width="10.42578125" style="94" customWidth="1"/>
    <col min="3589" max="3589" width="9.7109375" style="94" bestFit="1" customWidth="1"/>
    <col min="3590" max="3591" width="9.5703125" style="94" bestFit="1" customWidth="1"/>
    <col min="3592" max="3592" width="10.42578125" style="94" bestFit="1" customWidth="1"/>
    <col min="3593" max="3593" width="4.5703125" style="94" customWidth="1"/>
    <col min="3594" max="3594" width="1.7109375" style="94" customWidth="1"/>
    <col min="3595" max="3595" width="7" style="94" bestFit="1" customWidth="1"/>
    <col min="3596" max="3596" width="6.28515625" style="94" customWidth="1"/>
    <col min="3597" max="3597" width="20.42578125" style="94" customWidth="1"/>
    <col min="3598" max="3598" width="6.42578125" style="94" bestFit="1" customWidth="1"/>
    <col min="3599" max="3600" width="8.42578125" style="94"/>
    <col min="3601" max="3601" width="3.28515625" style="94" customWidth="1"/>
    <col min="3602" max="3840" width="8.42578125" style="94"/>
    <col min="3841" max="3841" width="10" style="94" bestFit="1" customWidth="1"/>
    <col min="3842" max="3842" width="44.28515625" style="94" bestFit="1" customWidth="1"/>
    <col min="3843" max="3843" width="10.42578125" style="94" bestFit="1" customWidth="1"/>
    <col min="3844" max="3844" width="10.42578125" style="94" customWidth="1"/>
    <col min="3845" max="3845" width="9.7109375" style="94" bestFit="1" customWidth="1"/>
    <col min="3846" max="3847" width="9.5703125" style="94" bestFit="1" customWidth="1"/>
    <col min="3848" max="3848" width="10.42578125" style="94" bestFit="1" customWidth="1"/>
    <col min="3849" max="3849" width="4.5703125" style="94" customWidth="1"/>
    <col min="3850" max="3850" width="1.7109375" style="94" customWidth="1"/>
    <col min="3851" max="3851" width="7" style="94" bestFit="1" customWidth="1"/>
    <col min="3852" max="3852" width="6.28515625" style="94" customWidth="1"/>
    <col min="3853" max="3853" width="20.42578125" style="94" customWidth="1"/>
    <col min="3854" max="3854" width="6.42578125" style="94" bestFit="1" customWidth="1"/>
    <col min="3855" max="3856" width="8.42578125" style="94"/>
    <col min="3857" max="3857" width="3.28515625" style="94" customWidth="1"/>
    <col min="3858" max="4096" width="8.42578125" style="94"/>
    <col min="4097" max="4097" width="10" style="94" bestFit="1" customWidth="1"/>
    <col min="4098" max="4098" width="44.28515625" style="94" bestFit="1" customWidth="1"/>
    <col min="4099" max="4099" width="10.42578125" style="94" bestFit="1" customWidth="1"/>
    <col min="4100" max="4100" width="10.42578125" style="94" customWidth="1"/>
    <col min="4101" max="4101" width="9.7109375" style="94" bestFit="1" customWidth="1"/>
    <col min="4102" max="4103" width="9.5703125" style="94" bestFit="1" customWidth="1"/>
    <col min="4104" max="4104" width="10.42578125" style="94" bestFit="1" customWidth="1"/>
    <col min="4105" max="4105" width="4.5703125" style="94" customWidth="1"/>
    <col min="4106" max="4106" width="1.7109375" style="94" customWidth="1"/>
    <col min="4107" max="4107" width="7" style="94" bestFit="1" customWidth="1"/>
    <col min="4108" max="4108" width="6.28515625" style="94" customWidth="1"/>
    <col min="4109" max="4109" width="20.42578125" style="94" customWidth="1"/>
    <col min="4110" max="4110" width="6.42578125" style="94" bestFit="1" customWidth="1"/>
    <col min="4111" max="4112" width="8.42578125" style="94"/>
    <col min="4113" max="4113" width="3.28515625" style="94" customWidth="1"/>
    <col min="4114" max="4352" width="8.42578125" style="94"/>
    <col min="4353" max="4353" width="10" style="94" bestFit="1" customWidth="1"/>
    <col min="4354" max="4354" width="44.28515625" style="94" bestFit="1" customWidth="1"/>
    <col min="4355" max="4355" width="10.42578125" style="94" bestFit="1" customWidth="1"/>
    <col min="4356" max="4356" width="10.42578125" style="94" customWidth="1"/>
    <col min="4357" max="4357" width="9.7109375" style="94" bestFit="1" customWidth="1"/>
    <col min="4358" max="4359" width="9.5703125" style="94" bestFit="1" customWidth="1"/>
    <col min="4360" max="4360" width="10.42578125" style="94" bestFit="1" customWidth="1"/>
    <col min="4361" max="4361" width="4.5703125" style="94" customWidth="1"/>
    <col min="4362" max="4362" width="1.7109375" style="94" customWidth="1"/>
    <col min="4363" max="4363" width="7" style="94" bestFit="1" customWidth="1"/>
    <col min="4364" max="4364" width="6.28515625" style="94" customWidth="1"/>
    <col min="4365" max="4365" width="20.42578125" style="94" customWidth="1"/>
    <col min="4366" max="4366" width="6.42578125" style="94" bestFit="1" customWidth="1"/>
    <col min="4367" max="4368" width="8.42578125" style="94"/>
    <col min="4369" max="4369" width="3.28515625" style="94" customWidth="1"/>
    <col min="4370" max="4608" width="8.42578125" style="94"/>
    <col min="4609" max="4609" width="10" style="94" bestFit="1" customWidth="1"/>
    <col min="4610" max="4610" width="44.28515625" style="94" bestFit="1" customWidth="1"/>
    <col min="4611" max="4611" width="10.42578125" style="94" bestFit="1" customWidth="1"/>
    <col min="4612" max="4612" width="10.42578125" style="94" customWidth="1"/>
    <col min="4613" max="4613" width="9.7109375" style="94" bestFit="1" customWidth="1"/>
    <col min="4614" max="4615" width="9.5703125" style="94" bestFit="1" customWidth="1"/>
    <col min="4616" max="4616" width="10.42578125" style="94" bestFit="1" customWidth="1"/>
    <col min="4617" max="4617" width="4.5703125" style="94" customWidth="1"/>
    <col min="4618" max="4618" width="1.7109375" style="94" customWidth="1"/>
    <col min="4619" max="4619" width="7" style="94" bestFit="1" customWidth="1"/>
    <col min="4620" max="4620" width="6.28515625" style="94" customWidth="1"/>
    <col min="4621" max="4621" width="20.42578125" style="94" customWidth="1"/>
    <col min="4622" max="4622" width="6.42578125" style="94" bestFit="1" customWidth="1"/>
    <col min="4623" max="4624" width="8.42578125" style="94"/>
    <col min="4625" max="4625" width="3.28515625" style="94" customWidth="1"/>
    <col min="4626" max="4864" width="8.42578125" style="94"/>
    <col min="4865" max="4865" width="10" style="94" bestFit="1" customWidth="1"/>
    <col min="4866" max="4866" width="44.28515625" style="94" bestFit="1" customWidth="1"/>
    <col min="4867" max="4867" width="10.42578125" style="94" bestFit="1" customWidth="1"/>
    <col min="4868" max="4868" width="10.42578125" style="94" customWidth="1"/>
    <col min="4869" max="4869" width="9.7109375" style="94" bestFit="1" customWidth="1"/>
    <col min="4870" max="4871" width="9.5703125" style="94" bestFit="1" customWidth="1"/>
    <col min="4872" max="4872" width="10.42578125" style="94" bestFit="1" customWidth="1"/>
    <col min="4873" max="4873" width="4.5703125" style="94" customWidth="1"/>
    <col min="4874" max="4874" width="1.7109375" style="94" customWidth="1"/>
    <col min="4875" max="4875" width="7" style="94" bestFit="1" customWidth="1"/>
    <col min="4876" max="4876" width="6.28515625" style="94" customWidth="1"/>
    <col min="4877" max="4877" width="20.42578125" style="94" customWidth="1"/>
    <col min="4878" max="4878" width="6.42578125" style="94" bestFit="1" customWidth="1"/>
    <col min="4879" max="4880" width="8.42578125" style="94"/>
    <col min="4881" max="4881" width="3.28515625" style="94" customWidth="1"/>
    <col min="4882" max="5120" width="8.42578125" style="94"/>
    <col min="5121" max="5121" width="10" style="94" bestFit="1" customWidth="1"/>
    <col min="5122" max="5122" width="44.28515625" style="94" bestFit="1" customWidth="1"/>
    <col min="5123" max="5123" width="10.42578125" style="94" bestFit="1" customWidth="1"/>
    <col min="5124" max="5124" width="10.42578125" style="94" customWidth="1"/>
    <col min="5125" max="5125" width="9.7109375" style="94" bestFit="1" customWidth="1"/>
    <col min="5126" max="5127" width="9.5703125" style="94" bestFit="1" customWidth="1"/>
    <col min="5128" max="5128" width="10.42578125" style="94" bestFit="1" customWidth="1"/>
    <col min="5129" max="5129" width="4.5703125" style="94" customWidth="1"/>
    <col min="5130" max="5130" width="1.7109375" style="94" customWidth="1"/>
    <col min="5131" max="5131" width="7" style="94" bestFit="1" customWidth="1"/>
    <col min="5132" max="5132" width="6.28515625" style="94" customWidth="1"/>
    <col min="5133" max="5133" width="20.42578125" style="94" customWidth="1"/>
    <col min="5134" max="5134" width="6.42578125" style="94" bestFit="1" customWidth="1"/>
    <col min="5135" max="5136" width="8.42578125" style="94"/>
    <col min="5137" max="5137" width="3.28515625" style="94" customWidth="1"/>
    <col min="5138" max="5376" width="8.42578125" style="94"/>
    <col min="5377" max="5377" width="10" style="94" bestFit="1" customWidth="1"/>
    <col min="5378" max="5378" width="44.28515625" style="94" bestFit="1" customWidth="1"/>
    <col min="5379" max="5379" width="10.42578125" style="94" bestFit="1" customWidth="1"/>
    <col min="5380" max="5380" width="10.42578125" style="94" customWidth="1"/>
    <col min="5381" max="5381" width="9.7109375" style="94" bestFit="1" customWidth="1"/>
    <col min="5382" max="5383" width="9.5703125" style="94" bestFit="1" customWidth="1"/>
    <col min="5384" max="5384" width="10.42578125" style="94" bestFit="1" customWidth="1"/>
    <col min="5385" max="5385" width="4.5703125" style="94" customWidth="1"/>
    <col min="5386" max="5386" width="1.7109375" style="94" customWidth="1"/>
    <col min="5387" max="5387" width="7" style="94" bestFit="1" customWidth="1"/>
    <col min="5388" max="5388" width="6.28515625" style="94" customWidth="1"/>
    <col min="5389" max="5389" width="20.42578125" style="94" customWidth="1"/>
    <col min="5390" max="5390" width="6.42578125" style="94" bestFit="1" customWidth="1"/>
    <col min="5391" max="5392" width="8.42578125" style="94"/>
    <col min="5393" max="5393" width="3.28515625" style="94" customWidth="1"/>
    <col min="5394" max="5632" width="8.42578125" style="94"/>
    <col min="5633" max="5633" width="10" style="94" bestFit="1" customWidth="1"/>
    <col min="5634" max="5634" width="44.28515625" style="94" bestFit="1" customWidth="1"/>
    <col min="5635" max="5635" width="10.42578125" style="94" bestFit="1" customWidth="1"/>
    <col min="5636" max="5636" width="10.42578125" style="94" customWidth="1"/>
    <col min="5637" max="5637" width="9.7109375" style="94" bestFit="1" customWidth="1"/>
    <col min="5638" max="5639" width="9.5703125" style="94" bestFit="1" customWidth="1"/>
    <col min="5640" max="5640" width="10.42578125" style="94" bestFit="1" customWidth="1"/>
    <col min="5641" max="5641" width="4.5703125" style="94" customWidth="1"/>
    <col min="5642" max="5642" width="1.7109375" style="94" customWidth="1"/>
    <col min="5643" max="5643" width="7" style="94" bestFit="1" customWidth="1"/>
    <col min="5644" max="5644" width="6.28515625" style="94" customWidth="1"/>
    <col min="5645" max="5645" width="20.42578125" style="94" customWidth="1"/>
    <col min="5646" max="5646" width="6.42578125" style="94" bestFit="1" customWidth="1"/>
    <col min="5647" max="5648" width="8.42578125" style="94"/>
    <col min="5649" max="5649" width="3.28515625" style="94" customWidth="1"/>
    <col min="5650" max="5888" width="8.42578125" style="94"/>
    <col min="5889" max="5889" width="10" style="94" bestFit="1" customWidth="1"/>
    <col min="5890" max="5890" width="44.28515625" style="94" bestFit="1" customWidth="1"/>
    <col min="5891" max="5891" width="10.42578125" style="94" bestFit="1" customWidth="1"/>
    <col min="5892" max="5892" width="10.42578125" style="94" customWidth="1"/>
    <col min="5893" max="5893" width="9.7109375" style="94" bestFit="1" customWidth="1"/>
    <col min="5894" max="5895" width="9.5703125" style="94" bestFit="1" customWidth="1"/>
    <col min="5896" max="5896" width="10.42578125" style="94" bestFit="1" customWidth="1"/>
    <col min="5897" max="5897" width="4.5703125" style="94" customWidth="1"/>
    <col min="5898" max="5898" width="1.7109375" style="94" customWidth="1"/>
    <col min="5899" max="5899" width="7" style="94" bestFit="1" customWidth="1"/>
    <col min="5900" max="5900" width="6.28515625" style="94" customWidth="1"/>
    <col min="5901" max="5901" width="20.42578125" style="94" customWidth="1"/>
    <col min="5902" max="5902" width="6.42578125" style="94" bestFit="1" customWidth="1"/>
    <col min="5903" max="5904" width="8.42578125" style="94"/>
    <col min="5905" max="5905" width="3.28515625" style="94" customWidth="1"/>
    <col min="5906" max="6144" width="8.42578125" style="94"/>
    <col min="6145" max="6145" width="10" style="94" bestFit="1" customWidth="1"/>
    <col min="6146" max="6146" width="44.28515625" style="94" bestFit="1" customWidth="1"/>
    <col min="6147" max="6147" width="10.42578125" style="94" bestFit="1" customWidth="1"/>
    <col min="6148" max="6148" width="10.42578125" style="94" customWidth="1"/>
    <col min="6149" max="6149" width="9.7109375" style="94" bestFit="1" customWidth="1"/>
    <col min="6150" max="6151" width="9.5703125" style="94" bestFit="1" customWidth="1"/>
    <col min="6152" max="6152" width="10.42578125" style="94" bestFit="1" customWidth="1"/>
    <col min="6153" max="6153" width="4.5703125" style="94" customWidth="1"/>
    <col min="6154" max="6154" width="1.7109375" style="94" customWidth="1"/>
    <col min="6155" max="6155" width="7" style="94" bestFit="1" customWidth="1"/>
    <col min="6156" max="6156" width="6.28515625" style="94" customWidth="1"/>
    <col min="6157" max="6157" width="20.42578125" style="94" customWidth="1"/>
    <col min="6158" max="6158" width="6.42578125" style="94" bestFit="1" customWidth="1"/>
    <col min="6159" max="6160" width="8.42578125" style="94"/>
    <col min="6161" max="6161" width="3.28515625" style="94" customWidth="1"/>
    <col min="6162" max="6400" width="8.42578125" style="94"/>
    <col min="6401" max="6401" width="10" style="94" bestFit="1" customWidth="1"/>
    <col min="6402" max="6402" width="44.28515625" style="94" bestFit="1" customWidth="1"/>
    <col min="6403" max="6403" width="10.42578125" style="94" bestFit="1" customWidth="1"/>
    <col min="6404" max="6404" width="10.42578125" style="94" customWidth="1"/>
    <col min="6405" max="6405" width="9.7109375" style="94" bestFit="1" customWidth="1"/>
    <col min="6406" max="6407" width="9.5703125" style="94" bestFit="1" customWidth="1"/>
    <col min="6408" max="6408" width="10.42578125" style="94" bestFit="1" customWidth="1"/>
    <col min="6409" max="6409" width="4.5703125" style="94" customWidth="1"/>
    <col min="6410" max="6410" width="1.7109375" style="94" customWidth="1"/>
    <col min="6411" max="6411" width="7" style="94" bestFit="1" customWidth="1"/>
    <col min="6412" max="6412" width="6.28515625" style="94" customWidth="1"/>
    <col min="6413" max="6413" width="20.42578125" style="94" customWidth="1"/>
    <col min="6414" max="6414" width="6.42578125" style="94" bestFit="1" customWidth="1"/>
    <col min="6415" max="6416" width="8.42578125" style="94"/>
    <col min="6417" max="6417" width="3.28515625" style="94" customWidth="1"/>
    <col min="6418" max="6656" width="8.42578125" style="94"/>
    <col min="6657" max="6657" width="10" style="94" bestFit="1" customWidth="1"/>
    <col min="6658" max="6658" width="44.28515625" style="94" bestFit="1" customWidth="1"/>
    <col min="6659" max="6659" width="10.42578125" style="94" bestFit="1" customWidth="1"/>
    <col min="6660" max="6660" width="10.42578125" style="94" customWidth="1"/>
    <col min="6661" max="6661" width="9.7109375" style="94" bestFit="1" customWidth="1"/>
    <col min="6662" max="6663" width="9.5703125" style="94" bestFit="1" customWidth="1"/>
    <col min="6664" max="6664" width="10.42578125" style="94" bestFit="1" customWidth="1"/>
    <col min="6665" max="6665" width="4.5703125" style="94" customWidth="1"/>
    <col min="6666" max="6666" width="1.7109375" style="94" customWidth="1"/>
    <col min="6667" max="6667" width="7" style="94" bestFit="1" customWidth="1"/>
    <col min="6668" max="6668" width="6.28515625" style="94" customWidth="1"/>
    <col min="6669" max="6669" width="20.42578125" style="94" customWidth="1"/>
    <col min="6670" max="6670" width="6.42578125" style="94" bestFit="1" customWidth="1"/>
    <col min="6671" max="6672" width="8.42578125" style="94"/>
    <col min="6673" max="6673" width="3.28515625" style="94" customWidth="1"/>
    <col min="6674" max="6912" width="8.42578125" style="94"/>
    <col min="6913" max="6913" width="10" style="94" bestFit="1" customWidth="1"/>
    <col min="6914" max="6914" width="44.28515625" style="94" bestFit="1" customWidth="1"/>
    <col min="6915" max="6915" width="10.42578125" style="94" bestFit="1" customWidth="1"/>
    <col min="6916" max="6916" width="10.42578125" style="94" customWidth="1"/>
    <col min="6917" max="6917" width="9.7109375" style="94" bestFit="1" customWidth="1"/>
    <col min="6918" max="6919" width="9.5703125" style="94" bestFit="1" customWidth="1"/>
    <col min="6920" max="6920" width="10.42578125" style="94" bestFit="1" customWidth="1"/>
    <col min="6921" max="6921" width="4.5703125" style="94" customWidth="1"/>
    <col min="6922" max="6922" width="1.7109375" style="94" customWidth="1"/>
    <col min="6923" max="6923" width="7" style="94" bestFit="1" customWidth="1"/>
    <col min="6924" max="6924" width="6.28515625" style="94" customWidth="1"/>
    <col min="6925" max="6925" width="20.42578125" style="94" customWidth="1"/>
    <col min="6926" max="6926" width="6.42578125" style="94" bestFit="1" customWidth="1"/>
    <col min="6927" max="6928" width="8.42578125" style="94"/>
    <col min="6929" max="6929" width="3.28515625" style="94" customWidth="1"/>
    <col min="6930" max="7168" width="8.42578125" style="94"/>
    <col min="7169" max="7169" width="10" style="94" bestFit="1" customWidth="1"/>
    <col min="7170" max="7170" width="44.28515625" style="94" bestFit="1" customWidth="1"/>
    <col min="7171" max="7171" width="10.42578125" style="94" bestFit="1" customWidth="1"/>
    <col min="7172" max="7172" width="10.42578125" style="94" customWidth="1"/>
    <col min="7173" max="7173" width="9.7109375" style="94" bestFit="1" customWidth="1"/>
    <col min="7174" max="7175" width="9.5703125" style="94" bestFit="1" customWidth="1"/>
    <col min="7176" max="7176" width="10.42578125" style="94" bestFit="1" customWidth="1"/>
    <col min="7177" max="7177" width="4.5703125" style="94" customWidth="1"/>
    <col min="7178" max="7178" width="1.7109375" style="94" customWidth="1"/>
    <col min="7179" max="7179" width="7" style="94" bestFit="1" customWidth="1"/>
    <col min="7180" max="7180" width="6.28515625" style="94" customWidth="1"/>
    <col min="7181" max="7181" width="20.42578125" style="94" customWidth="1"/>
    <col min="7182" max="7182" width="6.42578125" style="94" bestFit="1" customWidth="1"/>
    <col min="7183" max="7184" width="8.42578125" style="94"/>
    <col min="7185" max="7185" width="3.28515625" style="94" customWidth="1"/>
    <col min="7186" max="7424" width="8.42578125" style="94"/>
    <col min="7425" max="7425" width="10" style="94" bestFit="1" customWidth="1"/>
    <col min="7426" max="7426" width="44.28515625" style="94" bestFit="1" customWidth="1"/>
    <col min="7427" max="7427" width="10.42578125" style="94" bestFit="1" customWidth="1"/>
    <col min="7428" max="7428" width="10.42578125" style="94" customWidth="1"/>
    <col min="7429" max="7429" width="9.7109375" style="94" bestFit="1" customWidth="1"/>
    <col min="7430" max="7431" width="9.5703125" style="94" bestFit="1" customWidth="1"/>
    <col min="7432" max="7432" width="10.42578125" style="94" bestFit="1" customWidth="1"/>
    <col min="7433" max="7433" width="4.5703125" style="94" customWidth="1"/>
    <col min="7434" max="7434" width="1.7109375" style="94" customWidth="1"/>
    <col min="7435" max="7435" width="7" style="94" bestFit="1" customWidth="1"/>
    <col min="7436" max="7436" width="6.28515625" style="94" customWidth="1"/>
    <col min="7437" max="7437" width="20.42578125" style="94" customWidth="1"/>
    <col min="7438" max="7438" width="6.42578125" style="94" bestFit="1" customWidth="1"/>
    <col min="7439" max="7440" width="8.42578125" style="94"/>
    <col min="7441" max="7441" width="3.28515625" style="94" customWidth="1"/>
    <col min="7442" max="7680" width="8.42578125" style="94"/>
    <col min="7681" max="7681" width="10" style="94" bestFit="1" customWidth="1"/>
    <col min="7682" max="7682" width="44.28515625" style="94" bestFit="1" customWidth="1"/>
    <col min="7683" max="7683" width="10.42578125" style="94" bestFit="1" customWidth="1"/>
    <col min="7684" max="7684" width="10.42578125" style="94" customWidth="1"/>
    <col min="7685" max="7685" width="9.7109375" style="94" bestFit="1" customWidth="1"/>
    <col min="7686" max="7687" width="9.5703125" style="94" bestFit="1" customWidth="1"/>
    <col min="7688" max="7688" width="10.42578125" style="94" bestFit="1" customWidth="1"/>
    <col min="7689" max="7689" width="4.5703125" style="94" customWidth="1"/>
    <col min="7690" max="7690" width="1.7109375" style="94" customWidth="1"/>
    <col min="7691" max="7691" width="7" style="94" bestFit="1" customWidth="1"/>
    <col min="7692" max="7692" width="6.28515625" style="94" customWidth="1"/>
    <col min="7693" max="7693" width="20.42578125" style="94" customWidth="1"/>
    <col min="7694" max="7694" width="6.42578125" style="94" bestFit="1" customWidth="1"/>
    <col min="7695" max="7696" width="8.42578125" style="94"/>
    <col min="7697" max="7697" width="3.28515625" style="94" customWidth="1"/>
    <col min="7698" max="7936" width="8.42578125" style="94"/>
    <col min="7937" max="7937" width="10" style="94" bestFit="1" customWidth="1"/>
    <col min="7938" max="7938" width="44.28515625" style="94" bestFit="1" customWidth="1"/>
    <col min="7939" max="7939" width="10.42578125" style="94" bestFit="1" customWidth="1"/>
    <col min="7940" max="7940" width="10.42578125" style="94" customWidth="1"/>
    <col min="7941" max="7941" width="9.7109375" style="94" bestFit="1" customWidth="1"/>
    <col min="7942" max="7943" width="9.5703125" style="94" bestFit="1" customWidth="1"/>
    <col min="7944" max="7944" width="10.42578125" style="94" bestFit="1" customWidth="1"/>
    <col min="7945" max="7945" width="4.5703125" style="94" customWidth="1"/>
    <col min="7946" max="7946" width="1.7109375" style="94" customWidth="1"/>
    <col min="7947" max="7947" width="7" style="94" bestFit="1" customWidth="1"/>
    <col min="7948" max="7948" width="6.28515625" style="94" customWidth="1"/>
    <col min="7949" max="7949" width="20.42578125" style="94" customWidth="1"/>
    <col min="7950" max="7950" width="6.42578125" style="94" bestFit="1" customWidth="1"/>
    <col min="7951" max="7952" width="8.42578125" style="94"/>
    <col min="7953" max="7953" width="3.28515625" style="94" customWidth="1"/>
    <col min="7954" max="8192" width="8.42578125" style="94"/>
    <col min="8193" max="8193" width="10" style="94" bestFit="1" customWidth="1"/>
    <col min="8194" max="8194" width="44.28515625" style="94" bestFit="1" customWidth="1"/>
    <col min="8195" max="8195" width="10.42578125" style="94" bestFit="1" customWidth="1"/>
    <col min="8196" max="8196" width="10.42578125" style="94" customWidth="1"/>
    <col min="8197" max="8197" width="9.7109375" style="94" bestFit="1" customWidth="1"/>
    <col min="8198" max="8199" width="9.5703125" style="94" bestFit="1" customWidth="1"/>
    <col min="8200" max="8200" width="10.42578125" style="94" bestFit="1" customWidth="1"/>
    <col min="8201" max="8201" width="4.5703125" style="94" customWidth="1"/>
    <col min="8202" max="8202" width="1.7109375" style="94" customWidth="1"/>
    <col min="8203" max="8203" width="7" style="94" bestFit="1" customWidth="1"/>
    <col min="8204" max="8204" width="6.28515625" style="94" customWidth="1"/>
    <col min="8205" max="8205" width="20.42578125" style="94" customWidth="1"/>
    <col min="8206" max="8206" width="6.42578125" style="94" bestFit="1" customWidth="1"/>
    <col min="8207" max="8208" width="8.42578125" style="94"/>
    <col min="8209" max="8209" width="3.28515625" style="94" customWidth="1"/>
    <col min="8210" max="8448" width="8.42578125" style="94"/>
    <col min="8449" max="8449" width="10" style="94" bestFit="1" customWidth="1"/>
    <col min="8450" max="8450" width="44.28515625" style="94" bestFit="1" customWidth="1"/>
    <col min="8451" max="8451" width="10.42578125" style="94" bestFit="1" customWidth="1"/>
    <col min="8452" max="8452" width="10.42578125" style="94" customWidth="1"/>
    <col min="8453" max="8453" width="9.7109375" style="94" bestFit="1" customWidth="1"/>
    <col min="8454" max="8455" width="9.5703125" style="94" bestFit="1" customWidth="1"/>
    <col min="8456" max="8456" width="10.42578125" style="94" bestFit="1" customWidth="1"/>
    <col min="8457" max="8457" width="4.5703125" style="94" customWidth="1"/>
    <col min="8458" max="8458" width="1.7109375" style="94" customWidth="1"/>
    <col min="8459" max="8459" width="7" style="94" bestFit="1" customWidth="1"/>
    <col min="8460" max="8460" width="6.28515625" style="94" customWidth="1"/>
    <col min="8461" max="8461" width="20.42578125" style="94" customWidth="1"/>
    <col min="8462" max="8462" width="6.42578125" style="94" bestFit="1" customWidth="1"/>
    <col min="8463" max="8464" width="8.42578125" style="94"/>
    <col min="8465" max="8465" width="3.28515625" style="94" customWidth="1"/>
    <col min="8466" max="8704" width="8.42578125" style="94"/>
    <col min="8705" max="8705" width="10" style="94" bestFit="1" customWidth="1"/>
    <col min="8706" max="8706" width="44.28515625" style="94" bestFit="1" customWidth="1"/>
    <col min="8707" max="8707" width="10.42578125" style="94" bestFit="1" customWidth="1"/>
    <col min="8708" max="8708" width="10.42578125" style="94" customWidth="1"/>
    <col min="8709" max="8709" width="9.7109375" style="94" bestFit="1" customWidth="1"/>
    <col min="8710" max="8711" width="9.5703125" style="94" bestFit="1" customWidth="1"/>
    <col min="8712" max="8712" width="10.42578125" style="94" bestFit="1" customWidth="1"/>
    <col min="8713" max="8713" width="4.5703125" style="94" customWidth="1"/>
    <col min="8714" max="8714" width="1.7109375" style="94" customWidth="1"/>
    <col min="8715" max="8715" width="7" style="94" bestFit="1" customWidth="1"/>
    <col min="8716" max="8716" width="6.28515625" style="94" customWidth="1"/>
    <col min="8717" max="8717" width="20.42578125" style="94" customWidth="1"/>
    <col min="8718" max="8718" width="6.42578125" style="94" bestFit="1" customWidth="1"/>
    <col min="8719" max="8720" width="8.42578125" style="94"/>
    <col min="8721" max="8721" width="3.28515625" style="94" customWidth="1"/>
    <col min="8722" max="8960" width="8.42578125" style="94"/>
    <col min="8961" max="8961" width="10" style="94" bestFit="1" customWidth="1"/>
    <col min="8962" max="8962" width="44.28515625" style="94" bestFit="1" customWidth="1"/>
    <col min="8963" max="8963" width="10.42578125" style="94" bestFit="1" customWidth="1"/>
    <col min="8964" max="8964" width="10.42578125" style="94" customWidth="1"/>
    <col min="8965" max="8965" width="9.7109375" style="94" bestFit="1" customWidth="1"/>
    <col min="8966" max="8967" width="9.5703125" style="94" bestFit="1" customWidth="1"/>
    <col min="8968" max="8968" width="10.42578125" style="94" bestFit="1" customWidth="1"/>
    <col min="8969" max="8969" width="4.5703125" style="94" customWidth="1"/>
    <col min="8970" max="8970" width="1.7109375" style="94" customWidth="1"/>
    <col min="8971" max="8971" width="7" style="94" bestFit="1" customWidth="1"/>
    <col min="8972" max="8972" width="6.28515625" style="94" customWidth="1"/>
    <col min="8973" max="8973" width="20.42578125" style="94" customWidth="1"/>
    <col min="8974" max="8974" width="6.42578125" style="94" bestFit="1" customWidth="1"/>
    <col min="8975" max="8976" width="8.42578125" style="94"/>
    <col min="8977" max="8977" width="3.28515625" style="94" customWidth="1"/>
    <col min="8978" max="9216" width="8.42578125" style="94"/>
    <col min="9217" max="9217" width="10" style="94" bestFit="1" customWidth="1"/>
    <col min="9218" max="9218" width="44.28515625" style="94" bestFit="1" customWidth="1"/>
    <col min="9219" max="9219" width="10.42578125" style="94" bestFit="1" customWidth="1"/>
    <col min="9220" max="9220" width="10.42578125" style="94" customWidth="1"/>
    <col min="9221" max="9221" width="9.7109375" style="94" bestFit="1" customWidth="1"/>
    <col min="9222" max="9223" width="9.5703125" style="94" bestFit="1" customWidth="1"/>
    <col min="9224" max="9224" width="10.42578125" style="94" bestFit="1" customWidth="1"/>
    <col min="9225" max="9225" width="4.5703125" style="94" customWidth="1"/>
    <col min="9226" max="9226" width="1.7109375" style="94" customWidth="1"/>
    <col min="9227" max="9227" width="7" style="94" bestFit="1" customWidth="1"/>
    <col min="9228" max="9228" width="6.28515625" style="94" customWidth="1"/>
    <col min="9229" max="9229" width="20.42578125" style="94" customWidth="1"/>
    <col min="9230" max="9230" width="6.42578125" style="94" bestFit="1" customWidth="1"/>
    <col min="9231" max="9232" width="8.42578125" style="94"/>
    <col min="9233" max="9233" width="3.28515625" style="94" customWidth="1"/>
    <col min="9234" max="9472" width="8.42578125" style="94"/>
    <col min="9473" max="9473" width="10" style="94" bestFit="1" customWidth="1"/>
    <col min="9474" max="9474" width="44.28515625" style="94" bestFit="1" customWidth="1"/>
    <col min="9475" max="9475" width="10.42578125" style="94" bestFit="1" customWidth="1"/>
    <col min="9476" max="9476" width="10.42578125" style="94" customWidth="1"/>
    <col min="9477" max="9477" width="9.7109375" style="94" bestFit="1" customWidth="1"/>
    <col min="9478" max="9479" width="9.5703125" style="94" bestFit="1" customWidth="1"/>
    <col min="9480" max="9480" width="10.42578125" style="94" bestFit="1" customWidth="1"/>
    <col min="9481" max="9481" width="4.5703125" style="94" customWidth="1"/>
    <col min="9482" max="9482" width="1.7109375" style="94" customWidth="1"/>
    <col min="9483" max="9483" width="7" style="94" bestFit="1" customWidth="1"/>
    <col min="9484" max="9484" width="6.28515625" style="94" customWidth="1"/>
    <col min="9485" max="9485" width="20.42578125" style="94" customWidth="1"/>
    <col min="9486" max="9486" width="6.42578125" style="94" bestFit="1" customWidth="1"/>
    <col min="9487" max="9488" width="8.42578125" style="94"/>
    <col min="9489" max="9489" width="3.28515625" style="94" customWidth="1"/>
    <col min="9490" max="9728" width="8.42578125" style="94"/>
    <col min="9729" max="9729" width="10" style="94" bestFit="1" customWidth="1"/>
    <col min="9730" max="9730" width="44.28515625" style="94" bestFit="1" customWidth="1"/>
    <col min="9731" max="9731" width="10.42578125" style="94" bestFit="1" customWidth="1"/>
    <col min="9732" max="9732" width="10.42578125" style="94" customWidth="1"/>
    <col min="9733" max="9733" width="9.7109375" style="94" bestFit="1" customWidth="1"/>
    <col min="9734" max="9735" width="9.5703125" style="94" bestFit="1" customWidth="1"/>
    <col min="9736" max="9736" width="10.42578125" style="94" bestFit="1" customWidth="1"/>
    <col min="9737" max="9737" width="4.5703125" style="94" customWidth="1"/>
    <col min="9738" max="9738" width="1.7109375" style="94" customWidth="1"/>
    <col min="9739" max="9739" width="7" style="94" bestFit="1" customWidth="1"/>
    <col min="9740" max="9740" width="6.28515625" style="94" customWidth="1"/>
    <col min="9741" max="9741" width="20.42578125" style="94" customWidth="1"/>
    <col min="9742" max="9742" width="6.42578125" style="94" bestFit="1" customWidth="1"/>
    <col min="9743" max="9744" width="8.42578125" style="94"/>
    <col min="9745" max="9745" width="3.28515625" style="94" customWidth="1"/>
    <col min="9746" max="9984" width="8.42578125" style="94"/>
    <col min="9985" max="9985" width="10" style="94" bestFit="1" customWidth="1"/>
    <col min="9986" max="9986" width="44.28515625" style="94" bestFit="1" customWidth="1"/>
    <col min="9987" max="9987" width="10.42578125" style="94" bestFit="1" customWidth="1"/>
    <col min="9988" max="9988" width="10.42578125" style="94" customWidth="1"/>
    <col min="9989" max="9989" width="9.7109375" style="94" bestFit="1" customWidth="1"/>
    <col min="9990" max="9991" width="9.5703125" style="94" bestFit="1" customWidth="1"/>
    <col min="9992" max="9992" width="10.42578125" style="94" bestFit="1" customWidth="1"/>
    <col min="9993" max="9993" width="4.5703125" style="94" customWidth="1"/>
    <col min="9994" max="9994" width="1.7109375" style="94" customWidth="1"/>
    <col min="9995" max="9995" width="7" style="94" bestFit="1" customWidth="1"/>
    <col min="9996" max="9996" width="6.28515625" style="94" customWidth="1"/>
    <col min="9997" max="9997" width="20.42578125" style="94" customWidth="1"/>
    <col min="9998" max="9998" width="6.42578125" style="94" bestFit="1" customWidth="1"/>
    <col min="9999" max="10000" width="8.42578125" style="94"/>
    <col min="10001" max="10001" width="3.28515625" style="94" customWidth="1"/>
    <col min="10002" max="10240" width="8.42578125" style="94"/>
    <col min="10241" max="10241" width="10" style="94" bestFit="1" customWidth="1"/>
    <col min="10242" max="10242" width="44.28515625" style="94" bestFit="1" customWidth="1"/>
    <col min="10243" max="10243" width="10.42578125" style="94" bestFit="1" customWidth="1"/>
    <col min="10244" max="10244" width="10.42578125" style="94" customWidth="1"/>
    <col min="10245" max="10245" width="9.7109375" style="94" bestFit="1" customWidth="1"/>
    <col min="10246" max="10247" width="9.5703125" style="94" bestFit="1" customWidth="1"/>
    <col min="10248" max="10248" width="10.42578125" style="94" bestFit="1" customWidth="1"/>
    <col min="10249" max="10249" width="4.5703125" style="94" customWidth="1"/>
    <col min="10250" max="10250" width="1.7109375" style="94" customWidth="1"/>
    <col min="10251" max="10251" width="7" style="94" bestFit="1" customWidth="1"/>
    <col min="10252" max="10252" width="6.28515625" style="94" customWidth="1"/>
    <col min="10253" max="10253" width="20.42578125" style="94" customWidth="1"/>
    <col min="10254" max="10254" width="6.42578125" style="94" bestFit="1" customWidth="1"/>
    <col min="10255" max="10256" width="8.42578125" style="94"/>
    <col min="10257" max="10257" width="3.28515625" style="94" customWidth="1"/>
    <col min="10258" max="10496" width="8.42578125" style="94"/>
    <col min="10497" max="10497" width="10" style="94" bestFit="1" customWidth="1"/>
    <col min="10498" max="10498" width="44.28515625" style="94" bestFit="1" customWidth="1"/>
    <col min="10499" max="10499" width="10.42578125" style="94" bestFit="1" customWidth="1"/>
    <col min="10500" max="10500" width="10.42578125" style="94" customWidth="1"/>
    <col min="10501" max="10501" width="9.7109375" style="94" bestFit="1" customWidth="1"/>
    <col min="10502" max="10503" width="9.5703125" style="94" bestFit="1" customWidth="1"/>
    <col min="10504" max="10504" width="10.42578125" style="94" bestFit="1" customWidth="1"/>
    <col min="10505" max="10505" width="4.5703125" style="94" customWidth="1"/>
    <col min="10506" max="10506" width="1.7109375" style="94" customWidth="1"/>
    <col min="10507" max="10507" width="7" style="94" bestFit="1" customWidth="1"/>
    <col min="10508" max="10508" width="6.28515625" style="94" customWidth="1"/>
    <col min="10509" max="10509" width="20.42578125" style="94" customWidth="1"/>
    <col min="10510" max="10510" width="6.42578125" style="94" bestFit="1" customWidth="1"/>
    <col min="10511" max="10512" width="8.42578125" style="94"/>
    <col min="10513" max="10513" width="3.28515625" style="94" customWidth="1"/>
    <col min="10514" max="10752" width="8.42578125" style="94"/>
    <col min="10753" max="10753" width="10" style="94" bestFit="1" customWidth="1"/>
    <col min="10754" max="10754" width="44.28515625" style="94" bestFit="1" customWidth="1"/>
    <col min="10755" max="10755" width="10.42578125" style="94" bestFit="1" customWidth="1"/>
    <col min="10756" max="10756" width="10.42578125" style="94" customWidth="1"/>
    <col min="10757" max="10757" width="9.7109375" style="94" bestFit="1" customWidth="1"/>
    <col min="10758" max="10759" width="9.5703125" style="94" bestFit="1" customWidth="1"/>
    <col min="10760" max="10760" width="10.42578125" style="94" bestFit="1" customWidth="1"/>
    <col min="10761" max="10761" width="4.5703125" style="94" customWidth="1"/>
    <col min="10762" max="10762" width="1.7109375" style="94" customWidth="1"/>
    <col min="10763" max="10763" width="7" style="94" bestFit="1" customWidth="1"/>
    <col min="10764" max="10764" width="6.28515625" style="94" customWidth="1"/>
    <col min="10765" max="10765" width="20.42578125" style="94" customWidth="1"/>
    <col min="10766" max="10766" width="6.42578125" style="94" bestFit="1" customWidth="1"/>
    <col min="10767" max="10768" width="8.42578125" style="94"/>
    <col min="10769" max="10769" width="3.28515625" style="94" customWidth="1"/>
    <col min="10770" max="11008" width="8.42578125" style="94"/>
    <col min="11009" max="11009" width="10" style="94" bestFit="1" customWidth="1"/>
    <col min="11010" max="11010" width="44.28515625" style="94" bestFit="1" customWidth="1"/>
    <col min="11011" max="11011" width="10.42578125" style="94" bestFit="1" customWidth="1"/>
    <col min="11012" max="11012" width="10.42578125" style="94" customWidth="1"/>
    <col min="11013" max="11013" width="9.7109375" style="94" bestFit="1" customWidth="1"/>
    <col min="11014" max="11015" width="9.5703125" style="94" bestFit="1" customWidth="1"/>
    <col min="11016" max="11016" width="10.42578125" style="94" bestFit="1" customWidth="1"/>
    <col min="11017" max="11017" width="4.5703125" style="94" customWidth="1"/>
    <col min="11018" max="11018" width="1.7109375" style="94" customWidth="1"/>
    <col min="11019" max="11019" width="7" style="94" bestFit="1" customWidth="1"/>
    <col min="11020" max="11020" width="6.28515625" style="94" customWidth="1"/>
    <col min="11021" max="11021" width="20.42578125" style="94" customWidth="1"/>
    <col min="11022" max="11022" width="6.42578125" style="94" bestFit="1" customWidth="1"/>
    <col min="11023" max="11024" width="8.42578125" style="94"/>
    <col min="11025" max="11025" width="3.28515625" style="94" customWidth="1"/>
    <col min="11026" max="11264" width="8.42578125" style="94"/>
    <col min="11265" max="11265" width="10" style="94" bestFit="1" customWidth="1"/>
    <col min="11266" max="11266" width="44.28515625" style="94" bestFit="1" customWidth="1"/>
    <col min="11267" max="11267" width="10.42578125" style="94" bestFit="1" customWidth="1"/>
    <col min="11268" max="11268" width="10.42578125" style="94" customWidth="1"/>
    <col min="11269" max="11269" width="9.7109375" style="94" bestFit="1" customWidth="1"/>
    <col min="11270" max="11271" width="9.5703125" style="94" bestFit="1" customWidth="1"/>
    <col min="11272" max="11272" width="10.42578125" style="94" bestFit="1" customWidth="1"/>
    <col min="11273" max="11273" width="4.5703125" style="94" customWidth="1"/>
    <col min="11274" max="11274" width="1.7109375" style="94" customWidth="1"/>
    <col min="11275" max="11275" width="7" style="94" bestFit="1" customWidth="1"/>
    <col min="11276" max="11276" width="6.28515625" style="94" customWidth="1"/>
    <col min="11277" max="11277" width="20.42578125" style="94" customWidth="1"/>
    <col min="11278" max="11278" width="6.42578125" style="94" bestFit="1" customWidth="1"/>
    <col min="11279" max="11280" width="8.42578125" style="94"/>
    <col min="11281" max="11281" width="3.28515625" style="94" customWidth="1"/>
    <col min="11282" max="11520" width="8.42578125" style="94"/>
    <col min="11521" max="11521" width="10" style="94" bestFit="1" customWidth="1"/>
    <col min="11522" max="11522" width="44.28515625" style="94" bestFit="1" customWidth="1"/>
    <col min="11523" max="11523" width="10.42578125" style="94" bestFit="1" customWidth="1"/>
    <col min="11524" max="11524" width="10.42578125" style="94" customWidth="1"/>
    <col min="11525" max="11525" width="9.7109375" style="94" bestFit="1" customWidth="1"/>
    <col min="11526" max="11527" width="9.5703125" style="94" bestFit="1" customWidth="1"/>
    <col min="11528" max="11528" width="10.42578125" style="94" bestFit="1" customWidth="1"/>
    <col min="11529" max="11529" width="4.5703125" style="94" customWidth="1"/>
    <col min="11530" max="11530" width="1.7109375" style="94" customWidth="1"/>
    <col min="11531" max="11531" width="7" style="94" bestFit="1" customWidth="1"/>
    <col min="11532" max="11532" width="6.28515625" style="94" customWidth="1"/>
    <col min="11533" max="11533" width="20.42578125" style="94" customWidth="1"/>
    <col min="11534" max="11534" width="6.42578125" style="94" bestFit="1" customWidth="1"/>
    <col min="11535" max="11536" width="8.42578125" style="94"/>
    <col min="11537" max="11537" width="3.28515625" style="94" customWidth="1"/>
    <col min="11538" max="11776" width="8.42578125" style="94"/>
    <col min="11777" max="11777" width="10" style="94" bestFit="1" customWidth="1"/>
    <col min="11778" max="11778" width="44.28515625" style="94" bestFit="1" customWidth="1"/>
    <col min="11779" max="11779" width="10.42578125" style="94" bestFit="1" customWidth="1"/>
    <col min="11780" max="11780" width="10.42578125" style="94" customWidth="1"/>
    <col min="11781" max="11781" width="9.7109375" style="94" bestFit="1" customWidth="1"/>
    <col min="11782" max="11783" width="9.5703125" style="94" bestFit="1" customWidth="1"/>
    <col min="11784" max="11784" width="10.42578125" style="94" bestFit="1" customWidth="1"/>
    <col min="11785" max="11785" width="4.5703125" style="94" customWidth="1"/>
    <col min="11786" max="11786" width="1.7109375" style="94" customWidth="1"/>
    <col min="11787" max="11787" width="7" style="94" bestFit="1" customWidth="1"/>
    <col min="11788" max="11788" width="6.28515625" style="94" customWidth="1"/>
    <col min="11789" max="11789" width="20.42578125" style="94" customWidth="1"/>
    <col min="11790" max="11790" width="6.42578125" style="94" bestFit="1" customWidth="1"/>
    <col min="11791" max="11792" width="8.42578125" style="94"/>
    <col min="11793" max="11793" width="3.28515625" style="94" customWidth="1"/>
    <col min="11794" max="12032" width="8.42578125" style="94"/>
    <col min="12033" max="12033" width="10" style="94" bestFit="1" customWidth="1"/>
    <col min="12034" max="12034" width="44.28515625" style="94" bestFit="1" customWidth="1"/>
    <col min="12035" max="12035" width="10.42578125" style="94" bestFit="1" customWidth="1"/>
    <col min="12036" max="12036" width="10.42578125" style="94" customWidth="1"/>
    <col min="12037" max="12037" width="9.7109375" style="94" bestFit="1" customWidth="1"/>
    <col min="12038" max="12039" width="9.5703125" style="94" bestFit="1" customWidth="1"/>
    <col min="12040" max="12040" width="10.42578125" style="94" bestFit="1" customWidth="1"/>
    <col min="12041" max="12041" width="4.5703125" style="94" customWidth="1"/>
    <col min="12042" max="12042" width="1.7109375" style="94" customWidth="1"/>
    <col min="12043" max="12043" width="7" style="94" bestFit="1" customWidth="1"/>
    <col min="12044" max="12044" width="6.28515625" style="94" customWidth="1"/>
    <col min="12045" max="12045" width="20.42578125" style="94" customWidth="1"/>
    <col min="12046" max="12046" width="6.42578125" style="94" bestFit="1" customWidth="1"/>
    <col min="12047" max="12048" width="8.42578125" style="94"/>
    <col min="12049" max="12049" width="3.28515625" style="94" customWidth="1"/>
    <col min="12050" max="12288" width="8.42578125" style="94"/>
    <col min="12289" max="12289" width="10" style="94" bestFit="1" customWidth="1"/>
    <col min="12290" max="12290" width="44.28515625" style="94" bestFit="1" customWidth="1"/>
    <col min="12291" max="12291" width="10.42578125" style="94" bestFit="1" customWidth="1"/>
    <col min="12292" max="12292" width="10.42578125" style="94" customWidth="1"/>
    <col min="12293" max="12293" width="9.7109375" style="94" bestFit="1" customWidth="1"/>
    <col min="12294" max="12295" width="9.5703125" style="94" bestFit="1" customWidth="1"/>
    <col min="12296" max="12296" width="10.42578125" style="94" bestFit="1" customWidth="1"/>
    <col min="12297" max="12297" width="4.5703125" style="94" customWidth="1"/>
    <col min="12298" max="12298" width="1.7109375" style="94" customWidth="1"/>
    <col min="12299" max="12299" width="7" style="94" bestFit="1" customWidth="1"/>
    <col min="12300" max="12300" width="6.28515625" style="94" customWidth="1"/>
    <col min="12301" max="12301" width="20.42578125" style="94" customWidth="1"/>
    <col min="12302" max="12302" width="6.42578125" style="94" bestFit="1" customWidth="1"/>
    <col min="12303" max="12304" width="8.42578125" style="94"/>
    <col min="12305" max="12305" width="3.28515625" style="94" customWidth="1"/>
    <col min="12306" max="12544" width="8.42578125" style="94"/>
    <col min="12545" max="12545" width="10" style="94" bestFit="1" customWidth="1"/>
    <col min="12546" max="12546" width="44.28515625" style="94" bestFit="1" customWidth="1"/>
    <col min="12547" max="12547" width="10.42578125" style="94" bestFit="1" customWidth="1"/>
    <col min="12548" max="12548" width="10.42578125" style="94" customWidth="1"/>
    <col min="12549" max="12549" width="9.7109375" style="94" bestFit="1" customWidth="1"/>
    <col min="12550" max="12551" width="9.5703125" style="94" bestFit="1" customWidth="1"/>
    <col min="12552" max="12552" width="10.42578125" style="94" bestFit="1" customWidth="1"/>
    <col min="12553" max="12553" width="4.5703125" style="94" customWidth="1"/>
    <col min="12554" max="12554" width="1.7109375" style="94" customWidth="1"/>
    <col min="12555" max="12555" width="7" style="94" bestFit="1" customWidth="1"/>
    <col min="12556" max="12556" width="6.28515625" style="94" customWidth="1"/>
    <col min="12557" max="12557" width="20.42578125" style="94" customWidth="1"/>
    <col min="12558" max="12558" width="6.42578125" style="94" bestFit="1" customWidth="1"/>
    <col min="12559" max="12560" width="8.42578125" style="94"/>
    <col min="12561" max="12561" width="3.28515625" style="94" customWidth="1"/>
    <col min="12562" max="12800" width="8.42578125" style="94"/>
    <col min="12801" max="12801" width="10" style="94" bestFit="1" customWidth="1"/>
    <col min="12802" max="12802" width="44.28515625" style="94" bestFit="1" customWidth="1"/>
    <col min="12803" max="12803" width="10.42578125" style="94" bestFit="1" customWidth="1"/>
    <col min="12804" max="12804" width="10.42578125" style="94" customWidth="1"/>
    <col min="12805" max="12805" width="9.7109375" style="94" bestFit="1" customWidth="1"/>
    <col min="12806" max="12807" width="9.5703125" style="94" bestFit="1" customWidth="1"/>
    <col min="12808" max="12808" width="10.42578125" style="94" bestFit="1" customWidth="1"/>
    <col min="12809" max="12809" width="4.5703125" style="94" customWidth="1"/>
    <col min="12810" max="12810" width="1.7109375" style="94" customWidth="1"/>
    <col min="12811" max="12811" width="7" style="94" bestFit="1" customWidth="1"/>
    <col min="12812" max="12812" width="6.28515625" style="94" customWidth="1"/>
    <col min="12813" max="12813" width="20.42578125" style="94" customWidth="1"/>
    <col min="12814" max="12814" width="6.42578125" style="94" bestFit="1" customWidth="1"/>
    <col min="12815" max="12816" width="8.42578125" style="94"/>
    <col min="12817" max="12817" width="3.28515625" style="94" customWidth="1"/>
    <col min="12818" max="13056" width="8.42578125" style="94"/>
    <col min="13057" max="13057" width="10" style="94" bestFit="1" customWidth="1"/>
    <col min="13058" max="13058" width="44.28515625" style="94" bestFit="1" customWidth="1"/>
    <col min="13059" max="13059" width="10.42578125" style="94" bestFit="1" customWidth="1"/>
    <col min="13060" max="13060" width="10.42578125" style="94" customWidth="1"/>
    <col min="13061" max="13061" width="9.7109375" style="94" bestFit="1" customWidth="1"/>
    <col min="13062" max="13063" width="9.5703125" style="94" bestFit="1" customWidth="1"/>
    <col min="13064" max="13064" width="10.42578125" style="94" bestFit="1" customWidth="1"/>
    <col min="13065" max="13065" width="4.5703125" style="94" customWidth="1"/>
    <col min="13066" max="13066" width="1.7109375" style="94" customWidth="1"/>
    <col min="13067" max="13067" width="7" style="94" bestFit="1" customWidth="1"/>
    <col min="13068" max="13068" width="6.28515625" style="94" customWidth="1"/>
    <col min="13069" max="13069" width="20.42578125" style="94" customWidth="1"/>
    <col min="13070" max="13070" width="6.42578125" style="94" bestFit="1" customWidth="1"/>
    <col min="13071" max="13072" width="8.42578125" style="94"/>
    <col min="13073" max="13073" width="3.28515625" style="94" customWidth="1"/>
    <col min="13074" max="13312" width="8.42578125" style="94"/>
    <col min="13313" max="13313" width="10" style="94" bestFit="1" customWidth="1"/>
    <col min="13314" max="13314" width="44.28515625" style="94" bestFit="1" customWidth="1"/>
    <col min="13315" max="13315" width="10.42578125" style="94" bestFit="1" customWidth="1"/>
    <col min="13316" max="13316" width="10.42578125" style="94" customWidth="1"/>
    <col min="13317" max="13317" width="9.7109375" style="94" bestFit="1" customWidth="1"/>
    <col min="13318" max="13319" width="9.5703125" style="94" bestFit="1" customWidth="1"/>
    <col min="13320" max="13320" width="10.42578125" style="94" bestFit="1" customWidth="1"/>
    <col min="13321" max="13321" width="4.5703125" style="94" customWidth="1"/>
    <col min="13322" max="13322" width="1.7109375" style="94" customWidth="1"/>
    <col min="13323" max="13323" width="7" style="94" bestFit="1" customWidth="1"/>
    <col min="13324" max="13324" width="6.28515625" style="94" customWidth="1"/>
    <col min="13325" max="13325" width="20.42578125" style="94" customWidth="1"/>
    <col min="13326" max="13326" width="6.42578125" style="94" bestFit="1" customWidth="1"/>
    <col min="13327" max="13328" width="8.42578125" style="94"/>
    <col min="13329" max="13329" width="3.28515625" style="94" customWidth="1"/>
    <col min="13330" max="13568" width="8.42578125" style="94"/>
    <col min="13569" max="13569" width="10" style="94" bestFit="1" customWidth="1"/>
    <col min="13570" max="13570" width="44.28515625" style="94" bestFit="1" customWidth="1"/>
    <col min="13571" max="13571" width="10.42578125" style="94" bestFit="1" customWidth="1"/>
    <col min="13572" max="13572" width="10.42578125" style="94" customWidth="1"/>
    <col min="13573" max="13573" width="9.7109375" style="94" bestFit="1" customWidth="1"/>
    <col min="13574" max="13575" width="9.5703125" style="94" bestFit="1" customWidth="1"/>
    <col min="13576" max="13576" width="10.42578125" style="94" bestFit="1" customWidth="1"/>
    <col min="13577" max="13577" width="4.5703125" style="94" customWidth="1"/>
    <col min="13578" max="13578" width="1.7109375" style="94" customWidth="1"/>
    <col min="13579" max="13579" width="7" style="94" bestFit="1" customWidth="1"/>
    <col min="13580" max="13580" width="6.28515625" style="94" customWidth="1"/>
    <col min="13581" max="13581" width="20.42578125" style="94" customWidth="1"/>
    <col min="13582" max="13582" width="6.42578125" style="94" bestFit="1" customWidth="1"/>
    <col min="13583" max="13584" width="8.42578125" style="94"/>
    <col min="13585" max="13585" width="3.28515625" style="94" customWidth="1"/>
    <col min="13586" max="13824" width="8.42578125" style="94"/>
    <col min="13825" max="13825" width="10" style="94" bestFit="1" customWidth="1"/>
    <col min="13826" max="13826" width="44.28515625" style="94" bestFit="1" customWidth="1"/>
    <col min="13827" max="13827" width="10.42578125" style="94" bestFit="1" customWidth="1"/>
    <col min="13828" max="13828" width="10.42578125" style="94" customWidth="1"/>
    <col min="13829" max="13829" width="9.7109375" style="94" bestFit="1" customWidth="1"/>
    <col min="13830" max="13831" width="9.5703125" style="94" bestFit="1" customWidth="1"/>
    <col min="13832" max="13832" width="10.42578125" style="94" bestFit="1" customWidth="1"/>
    <col min="13833" max="13833" width="4.5703125" style="94" customWidth="1"/>
    <col min="13834" max="13834" width="1.7109375" style="94" customWidth="1"/>
    <col min="13835" max="13835" width="7" style="94" bestFit="1" customWidth="1"/>
    <col min="13836" max="13836" width="6.28515625" style="94" customWidth="1"/>
    <col min="13837" max="13837" width="20.42578125" style="94" customWidth="1"/>
    <col min="13838" max="13838" width="6.42578125" style="94" bestFit="1" customWidth="1"/>
    <col min="13839" max="13840" width="8.42578125" style="94"/>
    <col min="13841" max="13841" width="3.28515625" style="94" customWidth="1"/>
    <col min="13842" max="14080" width="8.42578125" style="94"/>
    <col min="14081" max="14081" width="10" style="94" bestFit="1" customWidth="1"/>
    <col min="14082" max="14082" width="44.28515625" style="94" bestFit="1" customWidth="1"/>
    <col min="14083" max="14083" width="10.42578125" style="94" bestFit="1" customWidth="1"/>
    <col min="14084" max="14084" width="10.42578125" style="94" customWidth="1"/>
    <col min="14085" max="14085" width="9.7109375" style="94" bestFit="1" customWidth="1"/>
    <col min="14086" max="14087" width="9.5703125" style="94" bestFit="1" customWidth="1"/>
    <col min="14088" max="14088" width="10.42578125" style="94" bestFit="1" customWidth="1"/>
    <col min="14089" max="14089" width="4.5703125" style="94" customWidth="1"/>
    <col min="14090" max="14090" width="1.7109375" style="94" customWidth="1"/>
    <col min="14091" max="14091" width="7" style="94" bestFit="1" customWidth="1"/>
    <col min="14092" max="14092" width="6.28515625" style="94" customWidth="1"/>
    <col min="14093" max="14093" width="20.42578125" style="94" customWidth="1"/>
    <col min="14094" max="14094" width="6.42578125" style="94" bestFit="1" customWidth="1"/>
    <col min="14095" max="14096" width="8.42578125" style="94"/>
    <col min="14097" max="14097" width="3.28515625" style="94" customWidth="1"/>
    <col min="14098" max="14336" width="8.42578125" style="94"/>
    <col min="14337" max="14337" width="10" style="94" bestFit="1" customWidth="1"/>
    <col min="14338" max="14338" width="44.28515625" style="94" bestFit="1" customWidth="1"/>
    <col min="14339" max="14339" width="10.42578125" style="94" bestFit="1" customWidth="1"/>
    <col min="14340" max="14340" width="10.42578125" style="94" customWidth="1"/>
    <col min="14341" max="14341" width="9.7109375" style="94" bestFit="1" customWidth="1"/>
    <col min="14342" max="14343" width="9.5703125" style="94" bestFit="1" customWidth="1"/>
    <col min="14344" max="14344" width="10.42578125" style="94" bestFit="1" customWidth="1"/>
    <col min="14345" max="14345" width="4.5703125" style="94" customWidth="1"/>
    <col min="14346" max="14346" width="1.7109375" style="94" customWidth="1"/>
    <col min="14347" max="14347" width="7" style="94" bestFit="1" customWidth="1"/>
    <col min="14348" max="14348" width="6.28515625" style="94" customWidth="1"/>
    <col min="14349" max="14349" width="20.42578125" style="94" customWidth="1"/>
    <col min="14350" max="14350" width="6.42578125" style="94" bestFit="1" customWidth="1"/>
    <col min="14351" max="14352" width="8.42578125" style="94"/>
    <col min="14353" max="14353" width="3.28515625" style="94" customWidth="1"/>
    <col min="14354" max="14592" width="8.42578125" style="94"/>
    <col min="14593" max="14593" width="10" style="94" bestFit="1" customWidth="1"/>
    <col min="14594" max="14594" width="44.28515625" style="94" bestFit="1" customWidth="1"/>
    <col min="14595" max="14595" width="10.42578125" style="94" bestFit="1" customWidth="1"/>
    <col min="14596" max="14596" width="10.42578125" style="94" customWidth="1"/>
    <col min="14597" max="14597" width="9.7109375" style="94" bestFit="1" customWidth="1"/>
    <col min="14598" max="14599" width="9.5703125" style="94" bestFit="1" customWidth="1"/>
    <col min="14600" max="14600" width="10.42578125" style="94" bestFit="1" customWidth="1"/>
    <col min="14601" max="14601" width="4.5703125" style="94" customWidth="1"/>
    <col min="14602" max="14602" width="1.7109375" style="94" customWidth="1"/>
    <col min="14603" max="14603" width="7" style="94" bestFit="1" customWidth="1"/>
    <col min="14604" max="14604" width="6.28515625" style="94" customWidth="1"/>
    <col min="14605" max="14605" width="20.42578125" style="94" customWidth="1"/>
    <col min="14606" max="14606" width="6.42578125" style="94" bestFit="1" customWidth="1"/>
    <col min="14607" max="14608" width="8.42578125" style="94"/>
    <col min="14609" max="14609" width="3.28515625" style="94" customWidth="1"/>
    <col min="14610" max="14848" width="8.42578125" style="94"/>
    <col min="14849" max="14849" width="10" style="94" bestFit="1" customWidth="1"/>
    <col min="14850" max="14850" width="44.28515625" style="94" bestFit="1" customWidth="1"/>
    <col min="14851" max="14851" width="10.42578125" style="94" bestFit="1" customWidth="1"/>
    <col min="14852" max="14852" width="10.42578125" style="94" customWidth="1"/>
    <col min="14853" max="14853" width="9.7109375" style="94" bestFit="1" customWidth="1"/>
    <col min="14854" max="14855" width="9.5703125" style="94" bestFit="1" customWidth="1"/>
    <col min="14856" max="14856" width="10.42578125" style="94" bestFit="1" customWidth="1"/>
    <col min="14857" max="14857" width="4.5703125" style="94" customWidth="1"/>
    <col min="14858" max="14858" width="1.7109375" style="94" customWidth="1"/>
    <col min="14859" max="14859" width="7" style="94" bestFit="1" customWidth="1"/>
    <col min="14860" max="14860" width="6.28515625" style="94" customWidth="1"/>
    <col min="14861" max="14861" width="20.42578125" style="94" customWidth="1"/>
    <col min="14862" max="14862" width="6.42578125" style="94" bestFit="1" customWidth="1"/>
    <col min="14863" max="14864" width="8.42578125" style="94"/>
    <col min="14865" max="14865" width="3.28515625" style="94" customWidth="1"/>
    <col min="14866" max="15104" width="8.42578125" style="94"/>
    <col min="15105" max="15105" width="10" style="94" bestFit="1" customWidth="1"/>
    <col min="15106" max="15106" width="44.28515625" style="94" bestFit="1" customWidth="1"/>
    <col min="15107" max="15107" width="10.42578125" style="94" bestFit="1" customWidth="1"/>
    <col min="15108" max="15108" width="10.42578125" style="94" customWidth="1"/>
    <col min="15109" max="15109" width="9.7109375" style="94" bestFit="1" customWidth="1"/>
    <col min="15110" max="15111" width="9.5703125" style="94" bestFit="1" customWidth="1"/>
    <col min="15112" max="15112" width="10.42578125" style="94" bestFit="1" customWidth="1"/>
    <col min="15113" max="15113" width="4.5703125" style="94" customWidth="1"/>
    <col min="15114" max="15114" width="1.7109375" style="94" customWidth="1"/>
    <col min="15115" max="15115" width="7" style="94" bestFit="1" customWidth="1"/>
    <col min="15116" max="15116" width="6.28515625" style="94" customWidth="1"/>
    <col min="15117" max="15117" width="20.42578125" style="94" customWidth="1"/>
    <col min="15118" max="15118" width="6.42578125" style="94" bestFit="1" customWidth="1"/>
    <col min="15119" max="15120" width="8.42578125" style="94"/>
    <col min="15121" max="15121" width="3.28515625" style="94" customWidth="1"/>
    <col min="15122" max="15360" width="8.42578125" style="94"/>
    <col min="15361" max="15361" width="10" style="94" bestFit="1" customWidth="1"/>
    <col min="15362" max="15362" width="44.28515625" style="94" bestFit="1" customWidth="1"/>
    <col min="15363" max="15363" width="10.42578125" style="94" bestFit="1" customWidth="1"/>
    <col min="15364" max="15364" width="10.42578125" style="94" customWidth="1"/>
    <col min="15365" max="15365" width="9.7109375" style="94" bestFit="1" customWidth="1"/>
    <col min="15366" max="15367" width="9.5703125" style="94" bestFit="1" customWidth="1"/>
    <col min="15368" max="15368" width="10.42578125" style="94" bestFit="1" customWidth="1"/>
    <col min="15369" max="15369" width="4.5703125" style="94" customWidth="1"/>
    <col min="15370" max="15370" width="1.7109375" style="94" customWidth="1"/>
    <col min="15371" max="15371" width="7" style="94" bestFit="1" customWidth="1"/>
    <col min="15372" max="15372" width="6.28515625" style="94" customWidth="1"/>
    <col min="15373" max="15373" width="20.42578125" style="94" customWidth="1"/>
    <col min="15374" max="15374" width="6.42578125" style="94" bestFit="1" customWidth="1"/>
    <col min="15375" max="15376" width="8.42578125" style="94"/>
    <col min="15377" max="15377" width="3.28515625" style="94" customWidth="1"/>
    <col min="15378" max="15616" width="8.42578125" style="94"/>
    <col min="15617" max="15617" width="10" style="94" bestFit="1" customWidth="1"/>
    <col min="15618" max="15618" width="44.28515625" style="94" bestFit="1" customWidth="1"/>
    <col min="15619" max="15619" width="10.42578125" style="94" bestFit="1" customWidth="1"/>
    <col min="15620" max="15620" width="10.42578125" style="94" customWidth="1"/>
    <col min="15621" max="15621" width="9.7109375" style="94" bestFit="1" customWidth="1"/>
    <col min="15622" max="15623" width="9.5703125" style="94" bestFit="1" customWidth="1"/>
    <col min="15624" max="15624" width="10.42578125" style="94" bestFit="1" customWidth="1"/>
    <col min="15625" max="15625" width="4.5703125" style="94" customWidth="1"/>
    <col min="15626" max="15626" width="1.7109375" style="94" customWidth="1"/>
    <col min="15627" max="15627" width="7" style="94" bestFit="1" customWidth="1"/>
    <col min="15628" max="15628" width="6.28515625" style="94" customWidth="1"/>
    <col min="15629" max="15629" width="20.42578125" style="94" customWidth="1"/>
    <col min="15630" max="15630" width="6.42578125" style="94" bestFit="1" customWidth="1"/>
    <col min="15631" max="15632" width="8.42578125" style="94"/>
    <col min="15633" max="15633" width="3.28515625" style="94" customWidth="1"/>
    <col min="15634" max="15872" width="8.42578125" style="94"/>
    <col min="15873" max="15873" width="10" style="94" bestFit="1" customWidth="1"/>
    <col min="15874" max="15874" width="44.28515625" style="94" bestFit="1" customWidth="1"/>
    <col min="15875" max="15875" width="10.42578125" style="94" bestFit="1" customWidth="1"/>
    <col min="15876" max="15876" width="10.42578125" style="94" customWidth="1"/>
    <col min="15877" max="15877" width="9.7109375" style="94" bestFit="1" customWidth="1"/>
    <col min="15878" max="15879" width="9.5703125" style="94" bestFit="1" customWidth="1"/>
    <col min="15880" max="15880" width="10.42578125" style="94" bestFit="1" customWidth="1"/>
    <col min="15881" max="15881" width="4.5703125" style="94" customWidth="1"/>
    <col min="15882" max="15882" width="1.7109375" style="94" customWidth="1"/>
    <col min="15883" max="15883" width="7" style="94" bestFit="1" customWidth="1"/>
    <col min="15884" max="15884" width="6.28515625" style="94" customWidth="1"/>
    <col min="15885" max="15885" width="20.42578125" style="94" customWidth="1"/>
    <col min="15886" max="15886" width="6.42578125" style="94" bestFit="1" customWidth="1"/>
    <col min="15887" max="15888" width="8.42578125" style="94"/>
    <col min="15889" max="15889" width="3.28515625" style="94" customWidth="1"/>
    <col min="15890" max="16128" width="8.42578125" style="94"/>
    <col min="16129" max="16129" width="10" style="94" bestFit="1" customWidth="1"/>
    <col min="16130" max="16130" width="44.28515625" style="94" bestFit="1" customWidth="1"/>
    <col min="16131" max="16131" width="10.42578125" style="94" bestFit="1" customWidth="1"/>
    <col min="16132" max="16132" width="10.42578125" style="94" customWidth="1"/>
    <col min="16133" max="16133" width="9.7109375" style="94" bestFit="1" customWidth="1"/>
    <col min="16134" max="16135" width="9.5703125" style="94" bestFit="1" customWidth="1"/>
    <col min="16136" max="16136" width="10.42578125" style="94" bestFit="1" customWidth="1"/>
    <col min="16137" max="16137" width="4.5703125" style="94" customWidth="1"/>
    <col min="16138" max="16138" width="1.7109375" style="94" customWidth="1"/>
    <col min="16139" max="16139" width="7" style="94" bestFit="1" customWidth="1"/>
    <col min="16140" max="16140" width="6.28515625" style="94" customWidth="1"/>
    <col min="16141" max="16141" width="20.42578125" style="94" customWidth="1"/>
    <col min="16142" max="16142" width="6.42578125" style="94" bestFit="1" customWidth="1"/>
    <col min="16143" max="16144" width="8.42578125" style="94"/>
    <col min="16145" max="16145" width="3.28515625" style="94" customWidth="1"/>
    <col min="16146" max="16384" width="8.42578125" style="94"/>
  </cols>
  <sheetData>
    <row r="1" spans="1:10" ht="27.75" customHeight="1" x14ac:dyDescent="0.25">
      <c r="A1" s="89"/>
      <c r="B1" s="89"/>
      <c r="C1" s="89"/>
      <c r="D1" s="89"/>
      <c r="E1" s="90" t="s">
        <v>132</v>
      </c>
      <c r="F1" s="91" t="s">
        <v>133</v>
      </c>
      <c r="G1" s="91" t="s">
        <v>134</v>
      </c>
      <c r="H1" s="91" t="s">
        <v>135</v>
      </c>
      <c r="I1" s="92"/>
    </row>
    <row r="2" spans="1:10" ht="30.75" customHeight="1" x14ac:dyDescent="0.25">
      <c r="A2" s="89"/>
      <c r="B2" s="89"/>
      <c r="C2" s="89"/>
      <c r="D2" s="89"/>
      <c r="E2" s="95">
        <f>IFERROR(O62,"")</f>
        <v>42105.74704761905</v>
      </c>
      <c r="F2" s="95">
        <f>IFERROR(H53,"")</f>
        <v>39676</v>
      </c>
      <c r="G2" s="95">
        <f>IFERROR(H54,"")</f>
        <v>49.747047619047621</v>
      </c>
      <c r="H2" s="95">
        <f>IFERROR(H56,"")</f>
        <v>1220</v>
      </c>
      <c r="I2" s="96"/>
    </row>
    <row r="3" spans="1:10" ht="15" customHeight="1" x14ac:dyDescent="0.25">
      <c r="A3" s="89"/>
      <c r="B3" s="89"/>
      <c r="C3" s="89"/>
      <c r="D3" s="89"/>
      <c r="E3" s="89"/>
      <c r="F3" s="97"/>
      <c r="G3" s="97"/>
      <c r="H3" s="97"/>
      <c r="I3" s="97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8"/>
    </row>
    <row r="5" spans="1:10" ht="19.5" customHeight="1" thickBot="1" x14ac:dyDescent="0.3">
      <c r="A5" s="358" t="s">
        <v>136</v>
      </c>
      <c r="B5" s="359"/>
      <c r="C5" s="359"/>
      <c r="D5" s="359"/>
      <c r="E5" s="359"/>
      <c r="F5" s="359"/>
      <c r="G5" s="359"/>
      <c r="H5" s="360"/>
      <c r="I5" s="99"/>
    </row>
    <row r="6" spans="1:10" ht="19.5" thickBot="1" x14ac:dyDescent="0.3">
      <c r="A6" s="99"/>
      <c r="B6" s="99"/>
      <c r="C6" s="99"/>
      <c r="D6" s="99"/>
      <c r="E6" s="99"/>
      <c r="F6" s="361" t="s">
        <v>137</v>
      </c>
      <c r="G6" s="361"/>
      <c r="H6" s="100">
        <f ca="1">TODAY()</f>
        <v>45776</v>
      </c>
      <c r="I6" s="100"/>
    </row>
    <row r="7" spans="1:10" ht="26.25" thickBot="1" x14ac:dyDescent="0.3">
      <c r="A7" s="101" t="s">
        <v>138</v>
      </c>
      <c r="B7" s="102" t="s">
        <v>139</v>
      </c>
      <c r="C7" s="102" t="s">
        <v>138</v>
      </c>
      <c r="D7" s="103" t="s">
        <v>140</v>
      </c>
      <c r="E7" s="103" t="s">
        <v>141</v>
      </c>
      <c r="F7" s="103" t="s">
        <v>142</v>
      </c>
      <c r="G7" s="103" t="s">
        <v>143</v>
      </c>
      <c r="H7" s="104" t="s">
        <v>144</v>
      </c>
      <c r="I7" s="105"/>
    </row>
    <row r="8" spans="1:10" ht="13.5" x14ac:dyDescent="0.25">
      <c r="A8" s="106">
        <v>2600</v>
      </c>
      <c r="B8" s="94" t="s">
        <v>105</v>
      </c>
      <c r="C8" s="107">
        <f>+A8</f>
        <v>2600</v>
      </c>
      <c r="D8" s="108" t="str">
        <f>IFERROR(VLOOKUP(H8,'[1]Consolidado MP Planta'!$A$2:$M$823,13,0),"")</f>
        <v>Gramos</v>
      </c>
      <c r="E8" s="108">
        <v>4.4000000000000004</v>
      </c>
      <c r="F8" s="108">
        <f>IFERROR(C8*E8,"")</f>
        <v>11440.000000000002</v>
      </c>
      <c r="G8" s="109">
        <f t="shared" ref="G8:G14" si="0">IFERROR(F8/$F$66,"")</f>
        <v>0.27408243625716899</v>
      </c>
      <c r="H8" s="110" t="s">
        <v>103</v>
      </c>
      <c r="I8" s="110"/>
      <c r="J8" s="111"/>
    </row>
    <row r="9" spans="1:10" ht="13.5" x14ac:dyDescent="0.25">
      <c r="A9" s="106">
        <v>2600</v>
      </c>
      <c r="B9" s="94" t="s">
        <v>110</v>
      </c>
      <c r="C9" s="107">
        <f t="shared" ref="C9:C14" si="1">+A9</f>
        <v>2600</v>
      </c>
      <c r="D9" s="108" t="s">
        <v>184</v>
      </c>
      <c r="E9" s="108">
        <v>4.4000000000000004</v>
      </c>
      <c r="F9" s="108">
        <f t="shared" ref="F9:F14" si="2">IFERROR(C9*E9,"")</f>
        <v>11440.000000000002</v>
      </c>
      <c r="G9" s="109">
        <f t="shared" si="0"/>
        <v>0.27408243625716899</v>
      </c>
      <c r="H9" s="110" t="s">
        <v>108</v>
      </c>
      <c r="I9" s="110"/>
      <c r="J9" s="111"/>
    </row>
    <row r="10" spans="1:10" ht="13.5" x14ac:dyDescent="0.25">
      <c r="A10" s="106">
        <v>2600</v>
      </c>
      <c r="B10" s="94" t="s">
        <v>57</v>
      </c>
      <c r="C10" s="107">
        <f t="shared" si="1"/>
        <v>2600</v>
      </c>
      <c r="D10" s="108" t="s">
        <v>184</v>
      </c>
      <c r="E10" s="108">
        <v>1.47</v>
      </c>
      <c r="F10" s="108">
        <f t="shared" si="2"/>
        <v>3822</v>
      </c>
      <c r="G10" s="109">
        <f t="shared" si="0"/>
        <v>9.1568450295008721E-2</v>
      </c>
      <c r="H10" s="110" t="s">
        <v>194</v>
      </c>
      <c r="I10" s="110"/>
      <c r="J10" s="111"/>
    </row>
    <row r="11" spans="1:10" ht="13.5" x14ac:dyDescent="0.25">
      <c r="A11" s="106">
        <v>2600</v>
      </c>
      <c r="B11" s="94" t="s">
        <v>58</v>
      </c>
      <c r="C11" s="107">
        <f t="shared" si="1"/>
        <v>2600</v>
      </c>
      <c r="D11" s="108" t="s">
        <v>184</v>
      </c>
      <c r="E11" s="108">
        <v>4.99</v>
      </c>
      <c r="F11" s="108">
        <f t="shared" si="2"/>
        <v>12974</v>
      </c>
      <c r="G11" s="109">
        <f t="shared" si="0"/>
        <v>0.31083439930074386</v>
      </c>
      <c r="H11" s="110" t="s">
        <v>195</v>
      </c>
      <c r="I11" s="110"/>
      <c r="J11" s="111"/>
    </row>
    <row r="12" spans="1:10" ht="13.5" hidden="1" x14ac:dyDescent="0.25">
      <c r="A12" s="106"/>
      <c r="B12" s="94" t="str">
        <f>IFERROR(VLOOKUP(H12,'[1]Consolidado MP Planta'!$A$2:$M$823,3,0),"")</f>
        <v/>
      </c>
      <c r="C12" s="107">
        <f t="shared" si="1"/>
        <v>0</v>
      </c>
      <c r="D12" s="108" t="str">
        <f>IFERROR(VLOOKUP(H12,'[1]Consolidado MP Planta'!$A$2:$M$823,13,0),"")</f>
        <v/>
      </c>
      <c r="E12" s="108" t="str">
        <f>IFERROR(VLOOKUP(H12,'[1]Consolidado MP Planta'!$A$2:$M$823,12,0),"")</f>
        <v/>
      </c>
      <c r="F12" s="108" t="str">
        <f t="shared" si="2"/>
        <v/>
      </c>
      <c r="G12" s="109" t="str">
        <f t="shared" si="0"/>
        <v/>
      </c>
      <c r="H12" s="110"/>
      <c r="I12" s="110"/>
      <c r="J12" s="111"/>
    </row>
    <row r="13" spans="1:10" ht="13.5" hidden="1" x14ac:dyDescent="0.25">
      <c r="A13" s="106"/>
      <c r="B13" s="94" t="str">
        <f>IFERROR(VLOOKUP(H13,'[1]Consolidado MP Planta'!$A$2:$M$823,3,0),"")</f>
        <v/>
      </c>
      <c r="C13" s="107">
        <f t="shared" si="1"/>
        <v>0</v>
      </c>
      <c r="D13" s="108" t="str">
        <f>IFERROR(VLOOKUP(H13,'[1]Consolidado MP Planta'!$A$2:$M$823,13,0),"")</f>
        <v/>
      </c>
      <c r="E13" s="108" t="str">
        <f>IFERROR(VLOOKUP(H13,'[1]Consolidado MP Planta'!$A$2:$M$823,12,0),"")</f>
        <v/>
      </c>
      <c r="F13" s="108" t="str">
        <f t="shared" si="2"/>
        <v/>
      </c>
      <c r="G13" s="109" t="str">
        <f t="shared" si="0"/>
        <v/>
      </c>
      <c r="H13" s="110"/>
      <c r="I13" s="110"/>
      <c r="J13" s="111"/>
    </row>
    <row r="14" spans="1:10" ht="13.5" hidden="1" x14ac:dyDescent="0.25">
      <c r="A14" s="106"/>
      <c r="B14" s="94" t="str">
        <f>IFERROR(VLOOKUP(H14,'[1]Consolidado MP Planta'!$A$2:$M$823,3,0),"")</f>
        <v/>
      </c>
      <c r="C14" s="107">
        <f t="shared" si="1"/>
        <v>0</v>
      </c>
      <c r="D14" s="108" t="str">
        <f>IFERROR(VLOOKUP(H14,'[1]Consolidado MP Planta'!$A$2:$M$823,13,0),"")</f>
        <v/>
      </c>
      <c r="E14" s="108" t="str">
        <f>IFERROR(VLOOKUP(H14,'[1]Consolidado MP Planta'!$A$2:$M$823,12,0),"")</f>
        <v/>
      </c>
      <c r="F14" s="108" t="str">
        <f t="shared" si="2"/>
        <v/>
      </c>
      <c r="G14" s="109" t="str">
        <f t="shared" si="0"/>
        <v/>
      </c>
      <c r="H14" s="110"/>
      <c r="I14" s="110"/>
      <c r="J14" s="111"/>
    </row>
    <row r="15" spans="1:10" ht="14.25" thickBot="1" x14ac:dyDescent="0.3">
      <c r="A15" s="106"/>
      <c r="B15" s="94" t="str">
        <f>IFERROR(VLOOKUP(H15,'[2]ARTICULOS MP PLANTA'!$A$2:$G$589,2,0),"")</f>
        <v/>
      </c>
      <c r="C15" s="107"/>
      <c r="D15" s="108"/>
      <c r="E15" s="108"/>
      <c r="F15" s="108"/>
      <c r="G15" s="109"/>
      <c r="H15" s="110"/>
      <c r="I15" s="110"/>
      <c r="J15" s="111"/>
    </row>
    <row r="16" spans="1:10" ht="26.25" hidden="1" thickBot="1" x14ac:dyDescent="0.3">
      <c r="A16" s="101" t="s">
        <v>138</v>
      </c>
      <c r="B16" s="102" t="s">
        <v>145</v>
      </c>
      <c r="C16" s="102" t="s">
        <v>138</v>
      </c>
      <c r="D16" s="103" t="s">
        <v>140</v>
      </c>
      <c r="E16" s="103" t="s">
        <v>141</v>
      </c>
      <c r="F16" s="103" t="s">
        <v>142</v>
      </c>
      <c r="G16" s="103" t="s">
        <v>143</v>
      </c>
      <c r="H16" s="104" t="s">
        <v>144</v>
      </c>
      <c r="I16" s="105"/>
      <c r="J16" s="111"/>
    </row>
    <row r="17" spans="1:12" ht="13.5" hidden="1" x14ac:dyDescent="0.25">
      <c r="A17" s="106"/>
      <c r="B17" s="94" t="str">
        <f>IFERROR(VLOOKUP(H17,[1]SEMIELABORADOS!$A$2:$M$6000,2,0),"")</f>
        <v/>
      </c>
      <c r="C17" s="107">
        <f>+A17</f>
        <v>0</v>
      </c>
      <c r="D17" s="107" t="str">
        <f>IFERROR(VLOOKUP(H17,[1]SEMIELABORADOS!$A$2:$M$6000,6,0),"")</f>
        <v/>
      </c>
      <c r="E17" s="108" t="str">
        <f>IFERROR(VLOOKUP(H17,[1]SEMIELABORADOS!$A$2:$H$65536,8,0),"")</f>
        <v/>
      </c>
      <c r="F17" s="108" t="str">
        <f>IFERROR(E17*C17,"")</f>
        <v/>
      </c>
      <c r="G17" s="109" t="str">
        <f t="shared" ref="G17:G24" si="3">IFERROR(F17/$F$66,"")</f>
        <v/>
      </c>
      <c r="H17" s="110"/>
      <c r="I17" s="110"/>
      <c r="J17" s="111"/>
    </row>
    <row r="18" spans="1:12" ht="13.5" hidden="1" x14ac:dyDescent="0.25">
      <c r="A18" s="106"/>
      <c r="B18" s="94" t="str">
        <f>IFERROR(VLOOKUP(H18,[1]SEMIELABORADOS!$A$2:$M$6000,2,0),"")</f>
        <v/>
      </c>
      <c r="C18" s="107">
        <f t="shared" ref="C18:C24" si="4">+A18</f>
        <v>0</v>
      </c>
      <c r="D18" s="107" t="str">
        <f>IFERROR(VLOOKUP(H18,[1]SEMIELABORADOS!$A$2:$M$6000,6,0),"")</f>
        <v/>
      </c>
      <c r="E18" s="108" t="str">
        <f>IFERROR(VLOOKUP(H18,[1]SEMIELABORADOS!$A$2:$H$65536,8,0),"")</f>
        <v/>
      </c>
      <c r="F18" s="108" t="str">
        <f t="shared" ref="F18:F24" si="5">IFERROR(E18*C18,"")</f>
        <v/>
      </c>
      <c r="G18" s="109" t="str">
        <f t="shared" si="3"/>
        <v/>
      </c>
      <c r="H18" s="110"/>
      <c r="I18" s="110"/>
      <c r="J18" s="111"/>
    </row>
    <row r="19" spans="1:12" ht="13.5" hidden="1" x14ac:dyDescent="0.25">
      <c r="A19" s="106"/>
      <c r="B19" s="94" t="str">
        <f>IFERROR(VLOOKUP(H19,[1]SEMIELABORADOS!$A$2:$M$6000,2,0),"")</f>
        <v/>
      </c>
      <c r="C19" s="107">
        <f>+A19</f>
        <v>0</v>
      </c>
      <c r="D19" s="107" t="str">
        <f>IFERROR(VLOOKUP(H19,[1]SEMIELABORADOS!$A$2:$M$6000,6,0),"")</f>
        <v/>
      </c>
      <c r="E19" s="108" t="str">
        <f>IFERROR(VLOOKUP(H19,[1]SEMIELABORADOS!$A$2:$H$65536,8,0),"")</f>
        <v/>
      </c>
      <c r="F19" s="108" t="str">
        <f>IFERROR(E19*C19,"")</f>
        <v/>
      </c>
      <c r="G19" s="109" t="str">
        <f t="shared" si="3"/>
        <v/>
      </c>
      <c r="H19" s="110"/>
      <c r="I19" s="110"/>
      <c r="J19" s="111"/>
    </row>
    <row r="20" spans="1:12" ht="13.5" hidden="1" x14ac:dyDescent="0.25">
      <c r="A20" s="106"/>
      <c r="B20" s="94" t="str">
        <f>IFERROR(VLOOKUP(H20,[1]SEMIELABORADOS!$A$2:$M$6000,2,0),"")</f>
        <v/>
      </c>
      <c r="C20" s="107">
        <f>+A20</f>
        <v>0</v>
      </c>
      <c r="D20" s="107" t="str">
        <f>IFERROR(VLOOKUP(H20,[1]SEMIELABORADOS!$A$2:$M$6000,6,0),"")</f>
        <v/>
      </c>
      <c r="E20" s="108" t="str">
        <f>IFERROR(VLOOKUP(H20,[1]SEMIELABORADOS!$A$2:$H$65536,8,0),"")</f>
        <v/>
      </c>
      <c r="F20" s="108" t="str">
        <f>IFERROR(E20*C20,"")</f>
        <v/>
      </c>
      <c r="G20" s="109" t="str">
        <f t="shared" si="3"/>
        <v/>
      </c>
      <c r="H20" s="110"/>
      <c r="I20" s="110"/>
      <c r="J20" s="111"/>
    </row>
    <row r="21" spans="1:12" ht="13.5" hidden="1" x14ac:dyDescent="0.25">
      <c r="A21" s="106"/>
      <c r="B21" s="94" t="str">
        <f>IFERROR(VLOOKUP(H21,[1]SEMIELABORADOS!$A$2:$M$6000,2,0),"")</f>
        <v/>
      </c>
      <c r="C21" s="107">
        <f>+A21</f>
        <v>0</v>
      </c>
      <c r="D21" s="107" t="str">
        <f>IFERROR(VLOOKUP(H21,[1]SEMIELABORADOS!$A$2:$M$6000,6,0),"")</f>
        <v/>
      </c>
      <c r="E21" s="108" t="str">
        <f>IFERROR(VLOOKUP(H21,[1]SEMIELABORADOS!$A$2:$H$65536,8,0),"")</f>
        <v/>
      </c>
      <c r="F21" s="108" t="str">
        <f>IFERROR(E21*C21,"")</f>
        <v/>
      </c>
      <c r="G21" s="109" t="str">
        <f t="shared" si="3"/>
        <v/>
      </c>
      <c r="H21" s="110"/>
      <c r="I21" s="110"/>
      <c r="J21" s="111"/>
    </row>
    <row r="22" spans="1:12" ht="13.5" hidden="1" x14ac:dyDescent="0.25">
      <c r="A22" s="106"/>
      <c r="B22" s="94" t="str">
        <f>IFERROR(VLOOKUP(H22,[1]SEMIELABORADOS!$A$2:$M$6000,2,0),"")</f>
        <v/>
      </c>
      <c r="C22" s="107">
        <f t="shared" si="4"/>
        <v>0</v>
      </c>
      <c r="D22" s="107" t="str">
        <f>IFERROR(VLOOKUP(H22,[1]SEMIELABORADOS!$A$2:$M$6000,6,0),"")</f>
        <v/>
      </c>
      <c r="E22" s="108" t="str">
        <f>IFERROR(VLOOKUP(H22,[1]SEMIELABORADOS!$A$2:$H$65536,8,0),"")</f>
        <v/>
      </c>
      <c r="F22" s="108" t="str">
        <f t="shared" si="5"/>
        <v/>
      </c>
      <c r="G22" s="109" t="str">
        <f t="shared" si="3"/>
        <v/>
      </c>
      <c r="H22" s="110"/>
      <c r="I22" s="110"/>
      <c r="J22" s="111"/>
    </row>
    <row r="23" spans="1:12" ht="13.5" hidden="1" x14ac:dyDescent="0.25">
      <c r="A23" s="106"/>
      <c r="B23" s="94" t="str">
        <f>IFERROR(VLOOKUP(H23,[1]SEMIELABORADOS!$A$2:$M$6000,2,0),"")</f>
        <v/>
      </c>
      <c r="C23" s="107">
        <f t="shared" si="4"/>
        <v>0</v>
      </c>
      <c r="D23" s="107" t="str">
        <f>IFERROR(VLOOKUP(H23,[1]SEMIELABORADOS!$A$2:$M$6000,6,0),"")</f>
        <v/>
      </c>
      <c r="E23" s="108" t="str">
        <f>IFERROR(VLOOKUP(H23,[1]SEMIELABORADOS!$A$2:$H$65536,8,0),"")</f>
        <v/>
      </c>
      <c r="F23" s="108" t="str">
        <f t="shared" si="5"/>
        <v/>
      </c>
      <c r="G23" s="109" t="str">
        <f t="shared" si="3"/>
        <v/>
      </c>
      <c r="H23" s="110"/>
      <c r="I23" s="110"/>
      <c r="J23" s="111"/>
    </row>
    <row r="24" spans="1:12" ht="13.5" hidden="1" x14ac:dyDescent="0.25">
      <c r="A24" s="106"/>
      <c r="B24" s="94" t="str">
        <f>IFERROR(VLOOKUP(H24,[1]SEMIELABORADOS!$A$2:$M$6000,2,0),"")</f>
        <v/>
      </c>
      <c r="C24" s="107">
        <f t="shared" si="4"/>
        <v>0</v>
      </c>
      <c r="D24" s="107" t="str">
        <f>IFERROR(VLOOKUP(H24,[1]SEMIELABORADOS!$A$2:$M$6000,6,0),"")</f>
        <v/>
      </c>
      <c r="E24" s="108" t="str">
        <f>IFERROR(VLOOKUP(H24,[1]SEMIELABORADOS!$A$2:$H$65536,8,0),"")</f>
        <v/>
      </c>
      <c r="F24" s="108" t="str">
        <f t="shared" si="5"/>
        <v/>
      </c>
      <c r="G24" s="109" t="str">
        <f t="shared" si="3"/>
        <v/>
      </c>
      <c r="H24" s="110"/>
      <c r="I24" s="110"/>
      <c r="J24" s="111"/>
    </row>
    <row r="25" spans="1:12" ht="14.25" hidden="1" thickBot="1" x14ac:dyDescent="0.3">
      <c r="A25" s="106"/>
      <c r="C25" s="107"/>
      <c r="D25" s="107"/>
      <c r="E25" s="108"/>
      <c r="F25" s="108"/>
      <c r="G25" s="109"/>
      <c r="H25" s="110"/>
      <c r="I25" s="110"/>
      <c r="J25" s="111"/>
    </row>
    <row r="26" spans="1:12" ht="26.25" thickBot="1" x14ac:dyDescent="0.3">
      <c r="A26" s="101" t="s">
        <v>138</v>
      </c>
      <c r="B26" s="102" t="s">
        <v>20</v>
      </c>
      <c r="C26" s="102" t="s">
        <v>138</v>
      </c>
      <c r="D26" s="103" t="s">
        <v>140</v>
      </c>
      <c r="E26" s="103" t="s">
        <v>141</v>
      </c>
      <c r="F26" s="103" t="s">
        <v>142</v>
      </c>
      <c r="G26" s="103" t="s">
        <v>143</v>
      </c>
      <c r="H26" s="104" t="s">
        <v>144</v>
      </c>
      <c r="I26" s="105"/>
    </row>
    <row r="27" spans="1:12" ht="13.5" x14ac:dyDescent="0.25">
      <c r="A27" s="106">
        <v>1</v>
      </c>
      <c r="B27" s="112" t="str">
        <f>IFERROR(VLOOKUP(H27,'[1]Consolidado MP Planta'!$A$2:$M$823,3,0),"")</f>
        <v>BOLSA 17x25 TRANSP KILO</v>
      </c>
      <c r="C27" s="107">
        <f t="shared" ref="C27:C32" si="6">+A27</f>
        <v>1</v>
      </c>
      <c r="D27" s="108" t="str">
        <f>IFERROR(VLOOKUP(H27,'[1]Consolidado MP Planta'!$A$2:$M$823,13,0),"")</f>
        <v>Und</v>
      </c>
      <c r="E27" s="108">
        <f>IFERROR(VLOOKUP(H27,'[1]Consolidado MP Planta'!$A$2:$M$823,12,0),"")</f>
        <v>47.61904761904762</v>
      </c>
      <c r="F27" s="108">
        <f t="shared" ref="F27:F32" si="7">IFERROR(C27*E27,"")</f>
        <v>47.61904761904762</v>
      </c>
      <c r="G27" s="109">
        <f t="shared" ref="G27:G32" si="8">IFERROR(F27/$F$66,"")</f>
        <v>1.1408692817897477E-3</v>
      </c>
      <c r="H27" s="113" t="s">
        <v>106</v>
      </c>
      <c r="I27" s="113"/>
      <c r="J27" s="111"/>
      <c r="K27" s="356"/>
      <c r="L27" s="356"/>
    </row>
    <row r="28" spans="1:12" ht="13.5" x14ac:dyDescent="0.25">
      <c r="A28" s="106">
        <v>1</v>
      </c>
      <c r="B28" s="112" t="str">
        <f>IFERROR(VLOOKUP(H28,'[1]Consolidado MP Planta'!$A$2:$M$823,3,0),"")</f>
        <v>ETIQUETA BLANCA 2 5/8X1 15/16 (UND)</v>
      </c>
      <c r="C28" s="107">
        <f t="shared" si="6"/>
        <v>1</v>
      </c>
      <c r="D28" s="108" t="str">
        <f>IFERROR(VLOOKUP(H28,'[1]Consolidado MP Planta'!$A$2:$M$823,13,0),"")</f>
        <v>Und</v>
      </c>
      <c r="E28" s="108">
        <f>IFERROR(VLOOKUP(H28,'[1]Consolidado MP Planta'!$A$2:$M$823,12,0),"")</f>
        <v>2.1280000000000001</v>
      </c>
      <c r="F28" s="108">
        <f t="shared" si="7"/>
        <v>2.1280000000000001</v>
      </c>
      <c r="G28" s="109">
        <f t="shared" si="8"/>
        <v>5.0983166464620242E-5</v>
      </c>
      <c r="H28" s="113" t="s">
        <v>107</v>
      </c>
      <c r="I28" s="113"/>
      <c r="J28" s="111"/>
      <c r="K28" s="356"/>
      <c r="L28" s="356"/>
    </row>
    <row r="29" spans="1:12" ht="13.5" hidden="1" x14ac:dyDescent="0.25">
      <c r="A29" s="106"/>
      <c r="B29" s="112" t="str">
        <f>IFERROR(VLOOKUP(H29,'[1]Consolidado MP Planta'!$A$2:$M$823,3,0),"")</f>
        <v/>
      </c>
      <c r="C29" s="107">
        <f t="shared" si="6"/>
        <v>0</v>
      </c>
      <c r="D29" s="108" t="str">
        <f>IFERROR(VLOOKUP(H29,'[1]Consolidado MP Planta'!$A$2:$M$823,13,0),"")</f>
        <v/>
      </c>
      <c r="E29" s="108" t="str">
        <f>IFERROR(VLOOKUP(H29,'[1]Consolidado MP Planta'!$A$2:$M$823,12,0),"")</f>
        <v/>
      </c>
      <c r="F29" s="108" t="str">
        <f t="shared" si="7"/>
        <v/>
      </c>
      <c r="G29" s="109" t="str">
        <f t="shared" si="8"/>
        <v/>
      </c>
      <c r="H29" s="113"/>
      <c r="I29" s="113"/>
      <c r="J29" s="111"/>
      <c r="K29" s="356"/>
      <c r="L29" s="356"/>
    </row>
    <row r="30" spans="1:12" ht="13.5" hidden="1" x14ac:dyDescent="0.25">
      <c r="A30" s="106"/>
      <c r="B30" s="112" t="str">
        <f>IFERROR(VLOOKUP(H30,'[1]Consolidado MP Planta'!$A$2:$M$823,3,0),"")</f>
        <v/>
      </c>
      <c r="C30" s="107">
        <f t="shared" si="6"/>
        <v>0</v>
      </c>
      <c r="D30" s="108" t="str">
        <f>IFERROR(VLOOKUP(H30,'[1]Consolidado MP Planta'!$A$2:$M$823,13,0),"")</f>
        <v/>
      </c>
      <c r="E30" s="108" t="str">
        <f>IFERROR(VLOOKUP(H30,'[1]Consolidado MP Planta'!$A$2:$M$823,12,0),"")</f>
        <v/>
      </c>
      <c r="F30" s="108" t="str">
        <f t="shared" si="7"/>
        <v/>
      </c>
      <c r="G30" s="109" t="str">
        <f t="shared" si="8"/>
        <v/>
      </c>
      <c r="H30" s="113"/>
      <c r="I30" s="113"/>
      <c r="J30" s="111"/>
      <c r="K30" s="356"/>
      <c r="L30" s="356"/>
    </row>
    <row r="31" spans="1:12" ht="13.5" hidden="1" x14ac:dyDescent="0.25">
      <c r="A31" s="106"/>
      <c r="B31" s="112" t="str">
        <f>IFERROR(VLOOKUP(H31,'[1]Consolidado MP Planta'!$A$2:$M$823,3,0),"")</f>
        <v/>
      </c>
      <c r="C31" s="107">
        <f t="shared" si="6"/>
        <v>0</v>
      </c>
      <c r="D31" s="108" t="str">
        <f>IFERROR(VLOOKUP(H31,'[1]Consolidado MP Planta'!$A$2:$M$823,13,0),"")</f>
        <v/>
      </c>
      <c r="E31" s="108" t="str">
        <f>IFERROR(VLOOKUP(H31,'[1]Consolidado MP Planta'!$A$2:$M$823,12,0),"")</f>
        <v/>
      </c>
      <c r="F31" s="108" t="str">
        <f t="shared" si="7"/>
        <v/>
      </c>
      <c r="G31" s="109" t="str">
        <f t="shared" si="8"/>
        <v/>
      </c>
      <c r="H31" s="113"/>
      <c r="I31" s="113"/>
      <c r="J31" s="111"/>
      <c r="K31" s="114"/>
      <c r="L31" s="115"/>
    </row>
    <row r="32" spans="1:12" ht="13.5" hidden="1" x14ac:dyDescent="0.25">
      <c r="A32" s="106"/>
      <c r="B32" s="112" t="str">
        <f>IFERROR(VLOOKUP(H32,'[1]Consolidado MP Planta'!$A$2:$M$823,3,0),"")</f>
        <v/>
      </c>
      <c r="C32" s="107">
        <f t="shared" si="6"/>
        <v>0</v>
      </c>
      <c r="D32" s="108" t="str">
        <f>IFERROR(VLOOKUP(H32,'[1]Consolidado MP Planta'!$A$2:$M$823,13,0),"")</f>
        <v/>
      </c>
      <c r="E32" s="108" t="str">
        <f>IFERROR(VLOOKUP(H32,'[1]Consolidado MP Planta'!$A$2:$M$823,12,0),"")</f>
        <v/>
      </c>
      <c r="F32" s="108" t="str">
        <f t="shared" si="7"/>
        <v/>
      </c>
      <c r="G32" s="109" t="str">
        <f t="shared" si="8"/>
        <v/>
      </c>
      <c r="H32" s="113"/>
      <c r="I32" s="113"/>
      <c r="J32" s="111"/>
    </row>
    <row r="33" spans="1:13" ht="14.25" thickBot="1" x14ac:dyDescent="0.3">
      <c r="A33" s="106"/>
      <c r="B33" s="112"/>
      <c r="C33" s="107"/>
      <c r="D33" s="108"/>
      <c r="E33" s="108"/>
      <c r="F33" s="108"/>
      <c r="G33" s="109"/>
      <c r="H33" s="113"/>
      <c r="I33" s="113"/>
      <c r="J33" s="111"/>
    </row>
    <row r="34" spans="1:13" ht="26.25" hidden="1" thickBot="1" x14ac:dyDescent="0.25">
      <c r="A34" s="101" t="s">
        <v>138</v>
      </c>
      <c r="B34" s="102" t="s">
        <v>146</v>
      </c>
      <c r="C34" s="102" t="s">
        <v>138</v>
      </c>
      <c r="D34" s="103" t="s">
        <v>140</v>
      </c>
      <c r="E34" s="103" t="s">
        <v>141</v>
      </c>
      <c r="F34" s="103" t="s">
        <v>142</v>
      </c>
      <c r="G34" s="103" t="s">
        <v>143</v>
      </c>
      <c r="H34" s="104" t="s">
        <v>144</v>
      </c>
      <c r="I34" s="113"/>
      <c r="J34" s="111"/>
    </row>
    <row r="35" spans="1:13" ht="13.5" hidden="1" x14ac:dyDescent="0.25">
      <c r="A35" s="106">
        <f>+A17</f>
        <v>0</v>
      </c>
      <c r="B35" s="112" t="str">
        <f>IFERROR(VLOOKUP(H35,[1]SEMIELABORADOS!$A$2:$M$6000,2,0),"")</f>
        <v/>
      </c>
      <c r="C35" s="107">
        <f>+A35</f>
        <v>0</v>
      </c>
      <c r="D35" s="108" t="str">
        <f>IFERROR(VLOOKUP(H35,[1]SEMIELABORADOS!$A$2:$M$6000,6,0),"")</f>
        <v/>
      </c>
      <c r="E35" s="108" t="str">
        <f>IFERROR(VLOOKUP(H35,[1]SEMIELABORADOS!$A$2:$M$65536,10,0),"")</f>
        <v/>
      </c>
      <c r="F35" s="108" t="str">
        <f>IFERROR(E35*C35,"")</f>
        <v/>
      </c>
      <c r="G35" s="109" t="str">
        <f t="shared" ref="G35:G41" si="9">IFERROR(F35/$F$66,"")</f>
        <v/>
      </c>
      <c r="H35" s="113"/>
      <c r="I35" s="113"/>
      <c r="J35" s="111"/>
    </row>
    <row r="36" spans="1:13" ht="13.5" hidden="1" x14ac:dyDescent="0.25">
      <c r="A36" s="106">
        <f t="shared" ref="A36:A41" si="10">+A18</f>
        <v>0</v>
      </c>
      <c r="B36" s="112" t="str">
        <f>IFERROR(VLOOKUP(H36,[1]SEMIELABORADOS!$A$2:$M$6000,2,0),"")</f>
        <v/>
      </c>
      <c r="C36" s="107">
        <f t="shared" ref="C36:C41" si="11">+A36</f>
        <v>0</v>
      </c>
      <c r="D36" s="108" t="str">
        <f>IFERROR(VLOOKUP(H36,[1]SEMIELABORADOS!$A$2:$M$6000,6,0),"")</f>
        <v/>
      </c>
      <c r="E36" s="108" t="str">
        <f>IFERROR(VLOOKUP(H36,[1]SEMIELABORADOS!$A$2:$M$65536,10,0),"")</f>
        <v/>
      </c>
      <c r="F36" s="108" t="str">
        <f t="shared" ref="F36:F41" si="12">IFERROR(E36*C36,"")</f>
        <v/>
      </c>
      <c r="G36" s="109" t="str">
        <f t="shared" si="9"/>
        <v/>
      </c>
      <c r="H36" s="113"/>
      <c r="I36" s="113"/>
      <c r="J36" s="111"/>
    </row>
    <row r="37" spans="1:13" ht="13.5" hidden="1" x14ac:dyDescent="0.25">
      <c r="A37" s="106">
        <f t="shared" si="10"/>
        <v>0</v>
      </c>
      <c r="B37" s="112" t="str">
        <f>IFERROR(VLOOKUP(H37,[1]SEMIELABORADOS!$A$2:$M$6000,2,0),"")</f>
        <v/>
      </c>
      <c r="C37" s="107">
        <f t="shared" si="11"/>
        <v>0</v>
      </c>
      <c r="D37" s="108" t="str">
        <f>IFERROR(VLOOKUP(H37,[1]SEMIELABORADOS!$A$2:$M$6000,6,0),"")</f>
        <v/>
      </c>
      <c r="E37" s="108" t="str">
        <f>IFERROR(VLOOKUP(H37,[1]SEMIELABORADOS!$A$2:$M$65536,10,0),"")</f>
        <v/>
      </c>
      <c r="F37" s="108" t="str">
        <f t="shared" si="12"/>
        <v/>
      </c>
      <c r="G37" s="109" t="str">
        <f t="shared" si="9"/>
        <v/>
      </c>
      <c r="H37" s="113"/>
      <c r="I37" s="113"/>
      <c r="J37" s="111"/>
    </row>
    <row r="38" spans="1:13" ht="13.5" hidden="1" x14ac:dyDescent="0.25">
      <c r="A38" s="106">
        <f t="shared" si="10"/>
        <v>0</v>
      </c>
      <c r="B38" s="112" t="str">
        <f>IFERROR(VLOOKUP(H38,[1]SEMIELABORADOS!$A$2:$M$6000,2,0),"")</f>
        <v/>
      </c>
      <c r="C38" s="107">
        <f>+A38</f>
        <v>0</v>
      </c>
      <c r="D38" s="108" t="str">
        <f>IFERROR(VLOOKUP(H38,[1]SEMIELABORADOS!$A$2:$M$6000,6,0),"")</f>
        <v/>
      </c>
      <c r="E38" s="108" t="str">
        <f>IFERROR(VLOOKUP(H38,[1]SEMIELABORADOS!$A$2:$M$65536,10,0),"")</f>
        <v/>
      </c>
      <c r="F38" s="108" t="str">
        <f>IFERROR(E38*C38,"")</f>
        <v/>
      </c>
      <c r="G38" s="109" t="str">
        <f t="shared" si="9"/>
        <v/>
      </c>
      <c r="H38" s="113"/>
      <c r="I38" s="113"/>
      <c r="J38" s="111"/>
    </row>
    <row r="39" spans="1:13" ht="13.5" hidden="1" x14ac:dyDescent="0.25">
      <c r="A39" s="106">
        <f t="shared" si="10"/>
        <v>0</v>
      </c>
      <c r="B39" s="112" t="str">
        <f>IFERROR(VLOOKUP(H39,[1]SEMIELABORADOS!$A$2:$M$6000,2,0),"")</f>
        <v/>
      </c>
      <c r="C39" s="107">
        <f>+A39</f>
        <v>0</v>
      </c>
      <c r="D39" s="108" t="str">
        <f>IFERROR(VLOOKUP(H39,[1]SEMIELABORADOS!$A$2:$M$6000,6,0),"")</f>
        <v/>
      </c>
      <c r="E39" s="108" t="str">
        <f>IFERROR(VLOOKUP(H39,[1]SEMIELABORADOS!$A$2:$M$65536,10,0),"")</f>
        <v/>
      </c>
      <c r="F39" s="108" t="str">
        <f>IFERROR(E39*C39,"")</f>
        <v/>
      </c>
      <c r="G39" s="109" t="str">
        <f t="shared" si="9"/>
        <v/>
      </c>
      <c r="H39" s="113"/>
      <c r="I39" s="113"/>
      <c r="J39" s="111"/>
    </row>
    <row r="40" spans="1:13" ht="13.5" hidden="1" x14ac:dyDescent="0.25">
      <c r="A40" s="106">
        <f t="shared" si="10"/>
        <v>0</v>
      </c>
      <c r="B40" s="112" t="str">
        <f>IFERROR(VLOOKUP(H40,[1]SEMIELABORADOS!$A$2:$M$6000,2,0),"")</f>
        <v/>
      </c>
      <c r="C40" s="107">
        <f t="shared" si="11"/>
        <v>0</v>
      </c>
      <c r="D40" s="108" t="str">
        <f>IFERROR(VLOOKUP(H40,[1]SEMIELABORADOS!$A$2:$M$6000,6,0),"")</f>
        <v/>
      </c>
      <c r="E40" s="108" t="str">
        <f>IFERROR(VLOOKUP(H40,[1]SEMIELABORADOS!$A$2:$M$65536,10,0),"")</f>
        <v/>
      </c>
      <c r="F40" s="108" t="str">
        <f t="shared" si="12"/>
        <v/>
      </c>
      <c r="G40" s="109" t="str">
        <f t="shared" si="9"/>
        <v/>
      </c>
      <c r="H40" s="113"/>
      <c r="I40" s="113"/>
      <c r="J40" s="111"/>
    </row>
    <row r="41" spans="1:13" ht="13.5" hidden="1" x14ac:dyDescent="0.25">
      <c r="A41" s="106">
        <f t="shared" si="10"/>
        <v>0</v>
      </c>
      <c r="B41" s="112" t="str">
        <f>IFERROR(VLOOKUP(H41,[1]SEMIELABORADOS!$A$2:$M$6000,2,0),"")</f>
        <v/>
      </c>
      <c r="C41" s="107">
        <f t="shared" si="11"/>
        <v>0</v>
      </c>
      <c r="D41" s="108" t="str">
        <f>IFERROR(VLOOKUP(H41,[1]SEMIELABORADOS!$A$2:$M$6000,6,0),"")</f>
        <v/>
      </c>
      <c r="E41" s="108" t="str">
        <f>IFERROR(VLOOKUP(H41,[1]SEMIELABORADOS!$A$2:$M$65536,10,0),"")</f>
        <v/>
      </c>
      <c r="F41" s="108" t="str">
        <f t="shared" si="12"/>
        <v/>
      </c>
      <c r="G41" s="109" t="str">
        <f t="shared" si="9"/>
        <v/>
      </c>
      <c r="H41" s="113"/>
      <c r="I41" s="113"/>
      <c r="J41" s="111"/>
    </row>
    <row r="42" spans="1:13" ht="14.25" hidden="1" thickBot="1" x14ac:dyDescent="0.3">
      <c r="A42" s="106"/>
      <c r="B42" s="112"/>
      <c r="C42" s="107"/>
      <c r="D42" s="108"/>
      <c r="E42" s="108"/>
      <c r="F42" s="108"/>
      <c r="G42" s="109"/>
      <c r="H42" s="113"/>
      <c r="I42" s="113"/>
      <c r="J42" s="111"/>
    </row>
    <row r="43" spans="1:13" ht="26.25" thickBot="1" x14ac:dyDescent="0.3">
      <c r="A43" s="101" t="s">
        <v>138</v>
      </c>
      <c r="B43" s="102" t="s">
        <v>147</v>
      </c>
      <c r="C43" s="102" t="s">
        <v>138</v>
      </c>
      <c r="D43" s="103" t="s">
        <v>140</v>
      </c>
      <c r="E43" s="103" t="s">
        <v>141</v>
      </c>
      <c r="F43" s="103" t="s">
        <v>142</v>
      </c>
      <c r="G43" s="103" t="s">
        <v>143</v>
      </c>
      <c r="H43" s="104" t="s">
        <v>144</v>
      </c>
      <c r="I43" s="105"/>
      <c r="J43" s="111"/>
    </row>
    <row r="44" spans="1:13" ht="13.5" hidden="1" x14ac:dyDescent="0.25">
      <c r="A44" s="106">
        <f>+A35</f>
        <v>0</v>
      </c>
      <c r="B44" s="112" t="str">
        <f>IFERROR(VLOOKUP(H44,[1]SEMIELABORADOS!$A$2:$M$6000,2,0),"")</f>
        <v/>
      </c>
      <c r="C44" s="107">
        <f>+A44</f>
        <v>0</v>
      </c>
      <c r="D44" s="108" t="str">
        <f>IFERROR(VLOOKUP(H44,[1]SEMIELABORADOS!$A$2:$M$6000,6,0),"")</f>
        <v/>
      </c>
      <c r="E44" s="108" t="str">
        <f>IFERROR(VLOOKUP(H44,[1]SEMIELABORADOS!$A$2:$M$65536,12,0),"")</f>
        <v/>
      </c>
      <c r="F44" s="108" t="str">
        <f>IFERROR(E44*C44,"")</f>
        <v/>
      </c>
      <c r="G44" s="109" t="str">
        <f>IFERROR(F44/$F$66,"")</f>
        <v/>
      </c>
      <c r="H44" s="113"/>
      <c r="I44" s="105"/>
      <c r="J44" s="111"/>
    </row>
    <row r="45" spans="1:13" ht="13.5" hidden="1" x14ac:dyDescent="0.25">
      <c r="A45" s="106">
        <f t="shared" ref="A45:A50" si="13">+A36</f>
        <v>0</v>
      </c>
      <c r="B45" s="112" t="str">
        <f>IFERROR(VLOOKUP(H45,[1]SEMIELABORADOS!$A$2:$M$6000,2,0),"")</f>
        <v/>
      </c>
      <c r="C45" s="107">
        <f t="shared" ref="C45:C50" si="14">+A45</f>
        <v>0</v>
      </c>
      <c r="D45" s="108" t="str">
        <f>IFERROR(VLOOKUP(H45,[1]SEMIELABORADOS!$A$2:$M$6000,6,0),"")</f>
        <v/>
      </c>
      <c r="E45" s="108" t="str">
        <f>IFERROR(VLOOKUP(H45,[1]SEMIELABORADOS!$A$2:$M$65536,12,0),"")</f>
        <v/>
      </c>
      <c r="F45" s="108" t="str">
        <f t="shared" ref="F45:F50" si="15">IFERROR(E45*C45,"")</f>
        <v/>
      </c>
      <c r="G45" s="109" t="str">
        <f t="shared" ref="G45:G50" si="16">IFERROR(F45/$F$66,"")</f>
        <v/>
      </c>
      <c r="H45" s="113"/>
      <c r="I45" s="105"/>
      <c r="J45" s="111"/>
      <c r="M45" s="116"/>
    </row>
    <row r="46" spans="1:13" ht="13.5" hidden="1" x14ac:dyDescent="0.25">
      <c r="A46" s="106">
        <f t="shared" si="13"/>
        <v>0</v>
      </c>
      <c r="B46" s="112" t="str">
        <f>IFERROR(VLOOKUP(H46,[1]SEMIELABORADOS!$A$2:$M$6000,2,0),"")</f>
        <v/>
      </c>
      <c r="C46" s="107">
        <f t="shared" si="14"/>
        <v>0</v>
      </c>
      <c r="D46" s="108" t="str">
        <f>IFERROR(VLOOKUP(H46,[1]SEMIELABORADOS!$A$2:$M$6000,6,0),"")</f>
        <v/>
      </c>
      <c r="E46" s="108" t="str">
        <f>IFERROR(VLOOKUP(H46,[1]SEMIELABORADOS!$A$2:$M$65536,12,0),"")</f>
        <v/>
      </c>
      <c r="F46" s="108" t="str">
        <f t="shared" si="15"/>
        <v/>
      </c>
      <c r="G46" s="109" t="str">
        <f t="shared" si="16"/>
        <v/>
      </c>
      <c r="H46" s="113"/>
      <c r="I46" s="105"/>
      <c r="J46" s="111"/>
    </row>
    <row r="47" spans="1:13" ht="13.5" hidden="1" x14ac:dyDescent="0.25">
      <c r="A47" s="106">
        <f t="shared" si="13"/>
        <v>0</v>
      </c>
      <c r="B47" s="112" t="str">
        <f>IFERROR(VLOOKUP(H47,[1]SEMIELABORADOS!$A$2:$M$6000,2,0),"")</f>
        <v/>
      </c>
      <c r="C47" s="107">
        <f t="shared" si="14"/>
        <v>0</v>
      </c>
      <c r="D47" s="108" t="str">
        <f>IFERROR(VLOOKUP(H47,[1]SEMIELABORADOS!$A$2:$M$6000,6,0),"")</f>
        <v/>
      </c>
      <c r="E47" s="108" t="str">
        <f>IFERROR(VLOOKUP(H47,[1]SEMIELABORADOS!$A$2:$M$65536,12,0),"")</f>
        <v/>
      </c>
      <c r="F47" s="108" t="str">
        <f t="shared" si="15"/>
        <v/>
      </c>
      <c r="G47" s="109" t="str">
        <f t="shared" si="16"/>
        <v/>
      </c>
      <c r="H47" s="113"/>
      <c r="I47" s="105"/>
      <c r="J47" s="111"/>
    </row>
    <row r="48" spans="1:13" ht="13.5" hidden="1" x14ac:dyDescent="0.25">
      <c r="A48" s="106">
        <f t="shared" si="13"/>
        <v>0</v>
      </c>
      <c r="B48" s="112" t="str">
        <f>IFERROR(VLOOKUP(H48,[1]SEMIELABORADOS!$A$2:$M$6000,2,0),"")</f>
        <v/>
      </c>
      <c r="C48" s="107">
        <f t="shared" si="14"/>
        <v>0</v>
      </c>
      <c r="D48" s="108" t="str">
        <f>IFERROR(VLOOKUP(H48,[1]SEMIELABORADOS!$A$2:$M$6000,6,0),"")</f>
        <v/>
      </c>
      <c r="E48" s="108" t="str">
        <f>IFERROR(VLOOKUP(H48,[1]SEMIELABORADOS!$A$2:$M$65536,12,0),"")</f>
        <v/>
      </c>
      <c r="F48" s="108" t="str">
        <f t="shared" si="15"/>
        <v/>
      </c>
      <c r="G48" s="109" t="str">
        <f t="shared" si="16"/>
        <v/>
      </c>
      <c r="H48" s="113"/>
      <c r="I48" s="105"/>
      <c r="J48" s="111"/>
    </row>
    <row r="49" spans="1:17" ht="13.5" hidden="1" x14ac:dyDescent="0.25">
      <c r="A49" s="106">
        <f t="shared" si="13"/>
        <v>0</v>
      </c>
      <c r="B49" s="112" t="str">
        <f>IFERROR(VLOOKUP(H49,[1]SEMIELABORADOS!$A$2:$M$6000,2,0),"")</f>
        <v/>
      </c>
      <c r="C49" s="107">
        <f t="shared" si="14"/>
        <v>0</v>
      </c>
      <c r="D49" s="108" t="str">
        <f>IFERROR(VLOOKUP(H49,[1]SEMIELABORADOS!$A$2:$M$6000,6,0),"")</f>
        <v/>
      </c>
      <c r="E49" s="108" t="str">
        <f>IFERROR(VLOOKUP(H49,[1]SEMIELABORADOS!$A$2:$M$65536,12,0),"")</f>
        <v/>
      </c>
      <c r="F49" s="108" t="str">
        <f t="shared" si="15"/>
        <v/>
      </c>
      <c r="G49" s="109" t="str">
        <f t="shared" si="16"/>
        <v/>
      </c>
      <c r="H49" s="113"/>
      <c r="I49" s="105"/>
      <c r="J49" s="111"/>
    </row>
    <row r="50" spans="1:17" ht="13.5" hidden="1" x14ac:dyDescent="0.25">
      <c r="A50" s="106">
        <f t="shared" si="13"/>
        <v>0</v>
      </c>
      <c r="B50" s="112" t="str">
        <f>IFERROR(VLOOKUP(H50,[1]SEMIELABORADOS!$A$2:$M$6000,2,0),"")</f>
        <v/>
      </c>
      <c r="C50" s="107">
        <f t="shared" si="14"/>
        <v>0</v>
      </c>
      <c r="D50" s="108" t="str">
        <f>IFERROR(VLOOKUP(H50,[1]SEMIELABORADOS!$A$2:$M$6000,6,0),"")</f>
        <v/>
      </c>
      <c r="E50" s="108" t="str">
        <f>IFERROR(VLOOKUP(H50,[1]SEMIELABORADOS!$A$2:$M$65536,12,0),"")</f>
        <v/>
      </c>
      <c r="F50" s="108" t="str">
        <f t="shared" si="15"/>
        <v/>
      </c>
      <c r="G50" s="109" t="str">
        <f t="shared" si="16"/>
        <v/>
      </c>
      <c r="H50" s="112"/>
      <c r="I50" s="105"/>
      <c r="J50" s="111"/>
    </row>
    <row r="51" spans="1:17" ht="13.5" x14ac:dyDescent="0.25">
      <c r="A51" s="106">
        <v>1</v>
      </c>
      <c r="B51" s="112" t="s">
        <v>148</v>
      </c>
      <c r="C51" s="107">
        <f>+A51</f>
        <v>1</v>
      </c>
      <c r="D51" s="107" t="s">
        <v>149</v>
      </c>
      <c r="E51" s="108">
        <f>+F65</f>
        <v>1220</v>
      </c>
      <c r="F51" s="108">
        <f>IFERROR(C51*E51,"")</f>
        <v>1220</v>
      </c>
      <c r="G51" s="109">
        <f>IFERROR(F51/$F$66,"")</f>
        <v>2.9229070999453332E-2</v>
      </c>
      <c r="H51" s="117"/>
      <c r="I51" s="117"/>
      <c r="J51" s="111"/>
    </row>
    <row r="52" spans="1:17" ht="14.25" thickBot="1" x14ac:dyDescent="0.3">
      <c r="A52" s="106"/>
      <c r="B52" s="112"/>
      <c r="C52" s="107"/>
      <c r="D52" s="107"/>
      <c r="E52" s="108"/>
      <c r="F52" s="108"/>
      <c r="G52" s="109"/>
      <c r="H52" s="117"/>
      <c r="I52" s="117"/>
      <c r="J52" s="111"/>
    </row>
    <row r="53" spans="1:17" ht="13.5" thickBot="1" x14ac:dyDescent="0.3">
      <c r="A53" s="118"/>
      <c r="B53" s="366" t="s">
        <v>150</v>
      </c>
      <c r="C53" s="366"/>
      <c r="D53" s="366"/>
      <c r="E53" s="366"/>
      <c r="F53" s="120">
        <f>SUM(F8:F14,F17:F24)</f>
        <v>39676</v>
      </c>
      <c r="G53" s="109">
        <f>+F53/$F$66</f>
        <v>0.95056772211009055</v>
      </c>
      <c r="H53" s="121">
        <f>+F53/$D$60</f>
        <v>39676</v>
      </c>
      <c r="I53" s="121"/>
      <c r="J53" s="122"/>
      <c r="K53" s="123"/>
      <c r="L53" s="123"/>
      <c r="M53" s="123"/>
      <c r="N53" s="123"/>
      <c r="O53" s="123"/>
      <c r="P53" s="123"/>
      <c r="Q53" s="124"/>
    </row>
    <row r="54" spans="1:17" x14ac:dyDescent="0.2">
      <c r="A54" s="118"/>
      <c r="B54" s="366" t="s">
        <v>151</v>
      </c>
      <c r="C54" s="366"/>
      <c r="D54" s="366"/>
      <c r="E54" s="366"/>
      <c r="F54" s="120">
        <f>SUM(F27:F32,F35:F41)</f>
        <v>49.747047619047621</v>
      </c>
      <c r="G54" s="109">
        <f>+F54/$F$66</f>
        <v>1.1918524482543678E-3</v>
      </c>
      <c r="H54" s="121">
        <f>+F54/$D$60</f>
        <v>49.747047619047621</v>
      </c>
      <c r="I54" s="121"/>
      <c r="J54" s="125"/>
      <c r="K54" s="367" t="s">
        <v>152</v>
      </c>
      <c r="L54" s="368"/>
      <c r="M54" s="368"/>
      <c r="N54" s="368"/>
      <c r="O54" s="126">
        <f>+F55</f>
        <v>39725.74704761905</v>
      </c>
      <c r="P54" s="126"/>
      <c r="Q54" s="127"/>
    </row>
    <row r="55" spans="1:17" x14ac:dyDescent="0.2">
      <c r="A55" s="118"/>
      <c r="B55" s="366" t="s">
        <v>153</v>
      </c>
      <c r="C55" s="366"/>
      <c r="D55" s="366"/>
      <c r="E55" s="366"/>
      <c r="F55" s="120">
        <f>+F53+F54</f>
        <v>39725.74704761905</v>
      </c>
      <c r="G55" s="109">
        <f>+F55/$F$66</f>
        <v>0.95175957455834492</v>
      </c>
      <c r="H55" s="121">
        <f>+F55/$D$60</f>
        <v>39725.74704761905</v>
      </c>
      <c r="I55" s="121"/>
      <c r="J55" s="128"/>
      <c r="K55" s="129"/>
      <c r="M55" s="130" t="s">
        <v>154</v>
      </c>
      <c r="N55" s="131"/>
      <c r="O55" s="126">
        <f>+H56</f>
        <v>1220</v>
      </c>
      <c r="P55" s="126"/>
      <c r="Q55" s="127"/>
    </row>
    <row r="56" spans="1:17" ht="13.5" thickBot="1" x14ac:dyDescent="0.25">
      <c r="A56" s="118"/>
      <c r="B56" s="119"/>
      <c r="C56" s="366" t="s">
        <v>155</v>
      </c>
      <c r="D56" s="366"/>
      <c r="E56" s="366"/>
      <c r="F56" s="120">
        <f>SUM(F44:F51)</f>
        <v>1220</v>
      </c>
      <c r="G56" s="109">
        <f>+F56/$F$66</f>
        <v>2.9229070999453332E-2</v>
      </c>
      <c r="H56" s="121">
        <f>+F56/$D$60</f>
        <v>1220</v>
      </c>
      <c r="I56" s="121"/>
      <c r="J56" s="128"/>
      <c r="K56" s="129"/>
      <c r="L56" s="129"/>
      <c r="M56" s="129" t="s">
        <v>156</v>
      </c>
      <c r="N56" s="132"/>
      <c r="O56" s="126">
        <f>O54*N56</f>
        <v>0</v>
      </c>
      <c r="P56" s="126"/>
      <c r="Q56" s="127"/>
    </row>
    <row r="57" spans="1:17" ht="13.5" thickBot="1" x14ac:dyDescent="0.25">
      <c r="A57" s="118"/>
      <c r="B57" s="133"/>
      <c r="C57" s="133"/>
      <c r="D57" s="133"/>
      <c r="E57" s="133"/>
      <c r="F57" s="134"/>
      <c r="G57" s="109"/>
      <c r="H57" s="135"/>
      <c r="I57" s="121"/>
      <c r="J57" s="128"/>
      <c r="K57" s="136"/>
      <c r="M57" s="137" t="s">
        <v>157</v>
      </c>
      <c r="N57" s="138"/>
      <c r="O57" s="139">
        <f>SUM(O54:O56)</f>
        <v>40945.74704761905</v>
      </c>
      <c r="P57" s="140"/>
      <c r="Q57" s="127"/>
    </row>
    <row r="58" spans="1:17" x14ac:dyDescent="0.2">
      <c r="B58" s="369" t="s">
        <v>158</v>
      </c>
      <c r="C58" s="369"/>
      <c r="D58" s="141">
        <v>10000</v>
      </c>
      <c r="E58" s="142"/>
      <c r="G58" s="109"/>
      <c r="H58" s="135">
        <f>+H56/61</f>
        <v>20</v>
      </c>
      <c r="I58" s="143"/>
      <c r="J58" s="128"/>
      <c r="K58" s="136"/>
      <c r="L58" s="129"/>
      <c r="M58" s="129" t="s">
        <v>159</v>
      </c>
      <c r="N58" s="144"/>
      <c r="O58" s="126">
        <f>+H59</f>
        <v>1160</v>
      </c>
      <c r="P58" s="126"/>
      <c r="Q58" s="127"/>
    </row>
    <row r="59" spans="1:17" x14ac:dyDescent="0.2">
      <c r="B59" s="369" t="s">
        <v>160</v>
      </c>
      <c r="C59" s="369"/>
      <c r="D59" s="145">
        <v>10000</v>
      </c>
      <c r="E59" s="142"/>
      <c r="G59" s="109"/>
      <c r="H59" s="135">
        <f>+H58*58</f>
        <v>1160</v>
      </c>
      <c r="I59" s="143"/>
      <c r="J59" s="128"/>
      <c r="K59" s="136"/>
      <c r="L59" s="129"/>
      <c r="M59" s="370" t="s">
        <v>157</v>
      </c>
      <c r="N59" s="370"/>
      <c r="O59" s="126">
        <f>SUM(O57:O58)</f>
        <v>42105.74704761905</v>
      </c>
      <c r="P59" s="126"/>
      <c r="Q59" s="127"/>
    </row>
    <row r="60" spans="1:17" ht="13.5" thickBot="1" x14ac:dyDescent="0.25">
      <c r="B60" s="362" t="s">
        <v>161</v>
      </c>
      <c r="C60" s="362"/>
      <c r="D60" s="141">
        <f>+D58/D59</f>
        <v>1</v>
      </c>
      <c r="E60" s="142"/>
      <c r="F60" s="146"/>
      <c r="G60" s="109"/>
      <c r="H60" s="135"/>
      <c r="I60" s="143"/>
      <c r="J60" s="128"/>
      <c r="K60" s="136"/>
      <c r="L60" s="370"/>
      <c r="M60" s="370"/>
      <c r="N60" s="144"/>
      <c r="O60" s="126">
        <f>+O59*N60</f>
        <v>0</v>
      </c>
      <c r="P60" s="126"/>
      <c r="Q60" s="127"/>
    </row>
    <row r="61" spans="1:17" ht="13.5" thickBot="1" x14ac:dyDescent="0.25">
      <c r="B61" s="362" t="s">
        <v>162</v>
      </c>
      <c r="C61" s="362"/>
      <c r="D61" s="147"/>
      <c r="E61" s="142"/>
      <c r="F61" s="146"/>
      <c r="G61" s="109"/>
      <c r="H61" s="135"/>
      <c r="I61" s="143"/>
      <c r="J61" s="128"/>
      <c r="K61" s="363" t="s">
        <v>163</v>
      </c>
      <c r="L61" s="364"/>
      <c r="M61" s="364"/>
      <c r="N61" s="365"/>
      <c r="O61" s="139">
        <f>SUM(O59:O60)</f>
        <v>42105.74704761905</v>
      </c>
      <c r="P61" s="148" t="s">
        <v>164</v>
      </c>
      <c r="Q61" s="127"/>
    </row>
    <row r="62" spans="1:17" ht="13.5" thickBot="1" x14ac:dyDescent="0.25">
      <c r="C62" s="118" t="s">
        <v>43</v>
      </c>
      <c r="D62" s="149"/>
      <c r="E62" s="92" t="s">
        <v>165</v>
      </c>
      <c r="F62" s="150" t="s">
        <v>166</v>
      </c>
      <c r="G62" s="109"/>
      <c r="H62" s="135"/>
      <c r="I62" s="143"/>
      <c r="J62" s="151"/>
      <c r="K62" s="152"/>
      <c r="L62" s="376" t="s">
        <v>79</v>
      </c>
      <c r="M62" s="376"/>
      <c r="N62" s="376"/>
      <c r="O62" s="153">
        <f>+O61/D60</f>
        <v>42105.74704761905</v>
      </c>
      <c r="P62" s="154">
        <f>+O62/D59</f>
        <v>4.2105747047619051</v>
      </c>
      <c r="Q62" s="155"/>
    </row>
    <row r="63" spans="1:17" ht="13.5" thickBot="1" x14ac:dyDescent="0.25">
      <c r="B63" s="377" t="s">
        <v>153</v>
      </c>
      <c r="C63" s="377"/>
      <c r="D63" s="377"/>
      <c r="E63" s="156">
        <f>+F63/F63</f>
        <v>1</v>
      </c>
      <c r="F63" s="157">
        <f>SUM(F55)</f>
        <v>39725.74704761905</v>
      </c>
      <c r="G63" s="109">
        <f>+F63/$F$66</f>
        <v>0.95175957455834492</v>
      </c>
      <c r="H63" s="135"/>
      <c r="I63" s="143"/>
      <c r="K63" s="378"/>
      <c r="L63" s="379"/>
      <c r="M63" s="379"/>
      <c r="N63" s="379"/>
      <c r="O63" s="158"/>
      <c r="P63" s="159"/>
    </row>
    <row r="64" spans="1:17" ht="13.5" thickBot="1" x14ac:dyDescent="0.3">
      <c r="B64" s="380" t="s">
        <v>167</v>
      </c>
      <c r="C64" s="380"/>
      <c r="D64" s="380"/>
      <c r="E64" s="160">
        <v>0.02</v>
      </c>
      <c r="F64" s="157">
        <f>+F53*E64</f>
        <v>793.52</v>
      </c>
      <c r="G64" s="109">
        <f>+F64/$F$66</f>
        <v>1.9011354442201811E-2</v>
      </c>
      <c r="H64" s="121"/>
      <c r="I64" s="143"/>
      <c r="J64" s="161"/>
      <c r="O64" s="162"/>
      <c r="P64" s="119"/>
    </row>
    <row r="65" spans="2:13" ht="13.5" thickBot="1" x14ac:dyDescent="0.3">
      <c r="B65" s="381" t="s">
        <v>168</v>
      </c>
      <c r="C65" s="382"/>
      <c r="D65" s="163">
        <v>20</v>
      </c>
      <c r="E65" s="164">
        <v>61</v>
      </c>
      <c r="F65" s="157">
        <f>+E65*D65</f>
        <v>1220</v>
      </c>
      <c r="G65" s="109">
        <f>+F65/$F$66</f>
        <v>2.9229070999453332E-2</v>
      </c>
      <c r="H65" s="121"/>
      <c r="I65" s="121"/>
      <c r="J65" s="111"/>
    </row>
    <row r="66" spans="2:13" ht="13.5" thickBot="1" x14ac:dyDescent="0.3">
      <c r="B66" s="383" t="s">
        <v>169</v>
      </c>
      <c r="C66" s="384"/>
      <c r="D66" s="384"/>
      <c r="E66" s="385"/>
      <c r="F66" s="134">
        <f>SUM(F63:F65)</f>
        <v>41739.267047619047</v>
      </c>
      <c r="G66" s="109">
        <f>+F66/$F$66</f>
        <v>1</v>
      </c>
      <c r="H66" s="386"/>
      <c r="I66" s="121"/>
      <c r="J66" s="111"/>
      <c r="M66" s="94" t="s">
        <v>170</v>
      </c>
    </row>
    <row r="67" spans="2:13" x14ac:dyDescent="0.25">
      <c r="C67" s="116"/>
      <c r="D67" s="116"/>
      <c r="E67" s="166"/>
      <c r="F67" s="157"/>
      <c r="G67" s="109"/>
      <c r="H67" s="386"/>
      <c r="I67" s="165"/>
      <c r="J67" s="94"/>
      <c r="M67" s="94" t="s">
        <v>171</v>
      </c>
    </row>
    <row r="68" spans="2:13" ht="13.5" thickBot="1" x14ac:dyDescent="0.3">
      <c r="B68" s="371" t="s">
        <v>172</v>
      </c>
      <c r="C68" s="371"/>
      <c r="D68" s="371"/>
      <c r="E68" s="371"/>
      <c r="F68" s="371"/>
      <c r="G68" s="109"/>
      <c r="H68" s="168"/>
      <c r="I68" s="165"/>
      <c r="J68" s="94"/>
      <c r="M68" s="94" t="s">
        <v>173</v>
      </c>
    </row>
    <row r="69" spans="2:13" ht="13.5" thickBot="1" x14ac:dyDescent="0.3">
      <c r="B69" s="169" t="s">
        <v>174</v>
      </c>
      <c r="C69" s="170">
        <f>+F53</f>
        <v>39676</v>
      </c>
      <c r="D69" s="170">
        <f>+D58</f>
        <v>10000</v>
      </c>
      <c r="E69" s="171">
        <f>+C69/D69</f>
        <v>3.9676</v>
      </c>
      <c r="F69" s="109"/>
      <c r="G69" s="168"/>
      <c r="H69" s="111"/>
      <c r="I69" s="168"/>
      <c r="J69" s="94"/>
    </row>
    <row r="70" spans="2:13" x14ac:dyDescent="0.25">
      <c r="B70" s="172"/>
      <c r="C70" s="173"/>
      <c r="D70" s="174"/>
      <c r="E70" s="157"/>
      <c r="F70" s="109"/>
      <c r="G70" s="168"/>
      <c r="H70" s="111"/>
      <c r="I70" s="111"/>
      <c r="J70" s="94"/>
    </row>
    <row r="71" spans="2:13" x14ac:dyDescent="0.25">
      <c r="B71" s="169" t="s">
        <v>175</v>
      </c>
      <c r="C71" s="170">
        <f>SUM(F63:F64)</f>
        <v>40519.267047619047</v>
      </c>
      <c r="D71" s="170">
        <f>+D58</f>
        <v>10000</v>
      </c>
      <c r="E71" s="175">
        <f>+C71/D71</f>
        <v>4.0519267047619048</v>
      </c>
      <c r="F71" s="109"/>
      <c r="G71" s="168"/>
      <c r="H71" s="111"/>
      <c r="I71" s="111"/>
      <c r="J71" s="94"/>
    </row>
    <row r="72" spans="2:13" x14ac:dyDescent="0.25">
      <c r="B72" s="169"/>
      <c r="C72" s="170"/>
      <c r="D72" s="170"/>
      <c r="E72" s="175"/>
      <c r="F72" s="109"/>
      <c r="G72" s="168"/>
      <c r="H72" s="111"/>
      <c r="I72" s="111"/>
      <c r="J72" s="94"/>
    </row>
    <row r="73" spans="2:13" ht="13.5" thickBot="1" x14ac:dyDescent="0.3">
      <c r="B73" s="169" t="s">
        <v>176</v>
      </c>
      <c r="C73" s="170">
        <f>+F65</f>
        <v>1220</v>
      </c>
      <c r="D73" s="170">
        <f>+D58</f>
        <v>10000</v>
      </c>
      <c r="E73" s="175">
        <f>+C73/D73</f>
        <v>0.122</v>
      </c>
      <c r="F73" s="109"/>
      <c r="G73" s="168"/>
      <c r="H73" s="111"/>
      <c r="I73" s="111"/>
      <c r="J73" s="94"/>
    </row>
    <row r="74" spans="2:13" ht="13.5" thickBot="1" x14ac:dyDescent="0.3">
      <c r="B74" s="169" t="s">
        <v>177</v>
      </c>
      <c r="C74" s="170">
        <f>+F56</f>
        <v>1220</v>
      </c>
      <c r="D74" s="170">
        <f>+D73</f>
        <v>10000</v>
      </c>
      <c r="E74" s="171">
        <f>+C74/D74</f>
        <v>0.122</v>
      </c>
      <c r="F74" s="109"/>
      <c r="G74" s="168"/>
      <c r="H74" s="111"/>
      <c r="I74" s="111"/>
      <c r="J74" s="94"/>
    </row>
    <row r="75" spans="2:13" ht="13.5" thickBot="1" x14ac:dyDescent="0.3">
      <c r="B75" s="133"/>
      <c r="C75" s="134"/>
      <c r="D75" s="134"/>
      <c r="E75" s="175"/>
      <c r="F75" s="109"/>
      <c r="G75" s="168"/>
      <c r="H75" s="111"/>
      <c r="I75" s="111"/>
      <c r="J75" s="94"/>
    </row>
    <row r="76" spans="2:13" ht="13.5" thickBot="1" x14ac:dyDescent="0.3">
      <c r="B76" s="169" t="s">
        <v>178</v>
      </c>
      <c r="C76" s="170">
        <f>+F54</f>
        <v>49.747047619047621</v>
      </c>
      <c r="D76" s="170">
        <f>+D74</f>
        <v>10000</v>
      </c>
      <c r="E76" s="171">
        <f>+C76/D76</f>
        <v>4.9747047619047623E-3</v>
      </c>
      <c r="F76" s="109"/>
      <c r="G76" s="168"/>
      <c r="H76" s="111"/>
      <c r="I76" s="111"/>
      <c r="J76" s="111"/>
    </row>
    <row r="77" spans="2:13" ht="13.5" thickBot="1" x14ac:dyDescent="0.3">
      <c r="B77" s="133"/>
      <c r="C77" s="134"/>
      <c r="D77" s="134"/>
      <c r="E77" s="175"/>
      <c r="F77" s="109"/>
      <c r="G77" s="168"/>
      <c r="H77" s="111"/>
      <c r="I77" s="111"/>
    </row>
    <row r="78" spans="2:13" ht="13.5" thickBot="1" x14ac:dyDescent="0.3">
      <c r="B78" s="372" t="s">
        <v>179</v>
      </c>
      <c r="C78" s="373"/>
      <c r="D78" s="374"/>
      <c r="E78" s="171">
        <f>+E69+E74</f>
        <v>4.0895999999999999</v>
      </c>
      <c r="G78" s="109"/>
      <c r="H78" s="168"/>
      <c r="I78" s="111"/>
      <c r="J78" s="175"/>
    </row>
    <row r="79" spans="2:13" x14ac:dyDescent="0.25">
      <c r="I79" s="168"/>
      <c r="J79" s="94"/>
    </row>
    <row r="80" spans="2:13" ht="13.5" thickBot="1" x14ac:dyDescent="0.3">
      <c r="B80" s="371" t="s">
        <v>180</v>
      </c>
      <c r="C80" s="371"/>
      <c r="D80" s="371"/>
      <c r="E80" s="371"/>
      <c r="F80" s="371"/>
      <c r="G80" s="109"/>
      <c r="H80" s="168"/>
      <c r="J80" s="94"/>
    </row>
    <row r="81" spans="1:10" ht="13.5" thickBot="1" x14ac:dyDescent="0.3">
      <c r="B81" s="169" t="s">
        <v>174</v>
      </c>
      <c r="C81" s="170">
        <f>+C69</f>
        <v>39676</v>
      </c>
      <c r="D81" s="170">
        <f>+D60</f>
        <v>1</v>
      </c>
      <c r="E81" s="171">
        <f>+C81/D81</f>
        <v>39676</v>
      </c>
      <c r="F81" s="109"/>
      <c r="G81" s="168"/>
      <c r="H81" s="111"/>
      <c r="I81" s="168"/>
      <c r="J81" s="94"/>
    </row>
    <row r="82" spans="1:10" x14ac:dyDescent="0.25">
      <c r="B82" s="172"/>
      <c r="C82" s="173"/>
      <c r="D82" s="174"/>
      <c r="E82" s="157"/>
      <c r="F82" s="109"/>
      <c r="G82" s="168"/>
      <c r="H82" s="111"/>
      <c r="I82" s="111"/>
      <c r="J82" s="94"/>
    </row>
    <row r="83" spans="1:10" x14ac:dyDescent="0.25">
      <c r="B83" s="169" t="s">
        <v>175</v>
      </c>
      <c r="C83" s="170">
        <f>+C71</f>
        <v>40519.267047619047</v>
      </c>
      <c r="D83" s="170">
        <f>+D60</f>
        <v>1</v>
      </c>
      <c r="E83" s="175">
        <f>+C83/D83</f>
        <v>40519.267047619047</v>
      </c>
      <c r="F83" s="109"/>
      <c r="G83" s="168"/>
      <c r="H83" s="111"/>
      <c r="I83" s="111"/>
      <c r="J83" s="94"/>
    </row>
    <row r="84" spans="1:10" x14ac:dyDescent="0.25">
      <c r="B84" s="169"/>
      <c r="C84" s="170"/>
      <c r="D84" s="170"/>
      <c r="E84" s="175"/>
      <c r="F84" s="109"/>
      <c r="G84" s="168"/>
      <c r="H84" s="111"/>
      <c r="I84" s="111"/>
      <c r="J84" s="94"/>
    </row>
    <row r="85" spans="1:10" ht="13.5" thickBot="1" x14ac:dyDescent="0.3">
      <c r="B85" s="169" t="s">
        <v>177</v>
      </c>
      <c r="C85" s="170">
        <f>+C73</f>
        <v>1220</v>
      </c>
      <c r="D85" s="170">
        <f>+D60</f>
        <v>1</v>
      </c>
      <c r="E85" s="175">
        <f>+C85/D85</f>
        <v>1220</v>
      </c>
      <c r="F85" s="177"/>
      <c r="G85" s="167"/>
      <c r="H85" s="93"/>
      <c r="I85" s="111"/>
    </row>
    <row r="86" spans="1:10" ht="13.5" thickBot="1" x14ac:dyDescent="0.3">
      <c r="B86" s="169" t="s">
        <v>177</v>
      </c>
      <c r="C86" s="170">
        <f>+C74</f>
        <v>1220</v>
      </c>
      <c r="D86" s="170">
        <f>+D85</f>
        <v>1</v>
      </c>
      <c r="E86" s="171">
        <f>+C86/D86</f>
        <v>1220</v>
      </c>
      <c r="F86" s="176"/>
      <c r="G86" s="167"/>
      <c r="H86" s="93"/>
      <c r="I86" s="93"/>
    </row>
    <row r="87" spans="1:10" x14ac:dyDescent="0.25">
      <c r="I87" s="93"/>
    </row>
    <row r="88" spans="1:10" x14ac:dyDescent="0.2">
      <c r="A88" s="375"/>
      <c r="B88" s="375"/>
      <c r="C88" s="178"/>
      <c r="D88" s="178"/>
      <c r="E88" s="179"/>
      <c r="G88" s="180"/>
    </row>
    <row r="89" spans="1:10" x14ac:dyDescent="0.2">
      <c r="A89" s="112"/>
      <c r="B89" s="181"/>
      <c r="C89" s="182"/>
      <c r="D89" s="182"/>
      <c r="E89" s="183"/>
      <c r="G89" s="180"/>
    </row>
    <row r="90" spans="1:10" x14ac:dyDescent="0.2">
      <c r="A90" s="112"/>
      <c r="B90" s="181"/>
      <c r="C90" s="184"/>
      <c r="D90" s="184"/>
      <c r="E90" s="112"/>
      <c r="G90" s="180"/>
    </row>
    <row r="91" spans="1:10" x14ac:dyDescent="0.2">
      <c r="A91" s="112"/>
      <c r="B91" s="181"/>
      <c r="C91" s="185"/>
      <c r="D91" s="185"/>
      <c r="E91" s="112"/>
      <c r="G91" s="18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2B8E-EB32-465D-8EB3-36062261D277}">
  <dimension ref="A1:I62"/>
  <sheetViews>
    <sheetView tabSelected="1" zoomScaleNormal="100" workbookViewId="0">
      <selection activeCell="C10" sqref="C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5.75" x14ac:dyDescent="0.25">
      <c r="A1" s="275"/>
      <c r="B1" s="276"/>
      <c r="C1" s="393" t="s">
        <v>0</v>
      </c>
      <c r="D1" s="393"/>
      <c r="E1" s="393"/>
      <c r="F1" s="393"/>
      <c r="G1" s="393"/>
      <c r="H1" s="1" t="s">
        <v>1</v>
      </c>
      <c r="I1" s="2" t="s">
        <v>240</v>
      </c>
    </row>
    <row r="2" spans="1:9" ht="18" customHeight="1" thickBot="1" x14ac:dyDescent="0.3">
      <c r="A2" s="277"/>
      <c r="B2" s="278"/>
      <c r="C2" s="284" t="s">
        <v>2</v>
      </c>
      <c r="D2" s="285"/>
      <c r="E2" s="285"/>
      <c r="F2" s="285"/>
      <c r="G2" s="286"/>
      <c r="H2" s="3" t="s">
        <v>3</v>
      </c>
      <c r="I2" s="4" t="s">
        <v>226</v>
      </c>
    </row>
    <row r="3" spans="1:9" ht="31.5" customHeight="1" thickBot="1" x14ac:dyDescent="0.3">
      <c r="A3" s="277"/>
      <c r="B3" s="278"/>
      <c r="C3" s="394" t="s">
        <v>217</v>
      </c>
      <c r="D3" s="394"/>
      <c r="E3" s="394"/>
      <c r="F3" s="394"/>
      <c r="G3" s="394"/>
      <c r="H3" s="290" t="s">
        <v>4</v>
      </c>
      <c r="I3" s="266">
        <v>45617</v>
      </c>
    </row>
    <row r="4" spans="1:9" ht="18" customHeight="1" x14ac:dyDescent="0.25">
      <c r="A4" s="277"/>
      <c r="B4" s="278"/>
      <c r="C4" s="5" t="s">
        <v>5</v>
      </c>
      <c r="D4" s="269" t="s">
        <v>227</v>
      </c>
      <c r="E4" s="270"/>
      <c r="F4" s="270"/>
      <c r="G4" s="271"/>
      <c r="H4" s="291"/>
      <c r="I4" s="267"/>
    </row>
    <row r="5" spans="1:9" ht="15.75" thickBot="1" x14ac:dyDescent="0.3">
      <c r="A5" s="391"/>
      <c r="B5" s="392"/>
      <c r="C5" s="192" t="s">
        <v>6</v>
      </c>
      <c r="D5" s="388" t="s">
        <v>7</v>
      </c>
      <c r="E5" s="389"/>
      <c r="F5" s="389"/>
      <c r="G5" s="390"/>
      <c r="H5" s="292"/>
      <c r="I5" s="387"/>
    </row>
    <row r="6" spans="1:9" ht="18.75" thickBot="1" x14ac:dyDescent="0.3">
      <c r="A6" s="395" t="s">
        <v>8</v>
      </c>
      <c r="B6" s="395"/>
      <c r="C6" s="395"/>
      <c r="D6" s="396" t="s">
        <v>228</v>
      </c>
      <c r="E6" s="396"/>
      <c r="F6" s="396"/>
      <c r="G6" s="397" t="s">
        <v>9</v>
      </c>
      <c r="H6" s="397"/>
      <c r="I6" s="193" t="s">
        <v>228</v>
      </c>
    </row>
    <row r="7" spans="1:9" x14ac:dyDescent="0.25">
      <c r="A7" s="398" t="s">
        <v>10</v>
      </c>
      <c r="B7" s="400" t="s">
        <v>229</v>
      </c>
      <c r="C7" s="402" t="s">
        <v>11</v>
      </c>
      <c r="D7" s="402" t="s">
        <v>12</v>
      </c>
      <c r="E7" s="402" t="s">
        <v>120</v>
      </c>
      <c r="F7" s="402"/>
      <c r="G7" s="402" t="s">
        <v>13</v>
      </c>
      <c r="H7" s="402"/>
      <c r="I7" s="12" t="s">
        <v>14</v>
      </c>
    </row>
    <row r="8" spans="1:9" ht="27" thickBot="1" x14ac:dyDescent="0.3">
      <c r="A8" s="399"/>
      <c r="B8" s="401"/>
      <c r="C8" s="403"/>
      <c r="D8" s="403"/>
      <c r="E8" s="13" t="s">
        <v>15</v>
      </c>
      <c r="F8" s="14" t="s">
        <v>16</v>
      </c>
      <c r="G8" s="13" t="s">
        <v>15</v>
      </c>
      <c r="H8" s="14" t="s">
        <v>16</v>
      </c>
      <c r="I8" s="15" t="s">
        <v>17</v>
      </c>
    </row>
    <row r="9" spans="1:9" ht="18.600000000000001" customHeight="1" x14ac:dyDescent="0.25">
      <c r="A9" s="194"/>
      <c r="B9" s="195"/>
      <c r="C9" s="196" t="s">
        <v>230</v>
      </c>
      <c r="D9" s="197"/>
      <c r="E9" s="198"/>
      <c r="F9" s="199"/>
      <c r="G9" s="198"/>
      <c r="H9" s="199"/>
      <c r="I9" s="200"/>
    </row>
    <row r="10" spans="1:9" ht="18" customHeight="1" x14ac:dyDescent="0.25">
      <c r="A10" s="201"/>
      <c r="B10" s="202" t="s">
        <v>214</v>
      </c>
      <c r="C10" s="203" t="s">
        <v>231</v>
      </c>
      <c r="D10" s="73" t="s">
        <v>122</v>
      </c>
      <c r="E10" s="35">
        <v>7142</v>
      </c>
      <c r="F10" s="21" t="s">
        <v>18</v>
      </c>
      <c r="G10" s="204"/>
      <c r="H10" s="205"/>
      <c r="I10" s="200"/>
    </row>
    <row r="11" spans="1:9" x14ac:dyDescent="0.25">
      <c r="A11" s="201"/>
      <c r="B11" s="60" t="s">
        <v>215</v>
      </c>
      <c r="C11" s="203" t="s">
        <v>232</v>
      </c>
      <c r="D11" s="73" t="s">
        <v>124</v>
      </c>
      <c r="E11" s="35">
        <v>2857</v>
      </c>
      <c r="F11" s="21" t="s">
        <v>18</v>
      </c>
      <c r="G11" s="204"/>
      <c r="H11" s="205"/>
      <c r="I11" s="200"/>
    </row>
    <row r="12" spans="1:9" x14ac:dyDescent="0.25">
      <c r="A12" s="206">
        <v>90100131</v>
      </c>
      <c r="B12" s="207" t="s">
        <v>130</v>
      </c>
      <c r="C12" s="208" t="s">
        <v>233</v>
      </c>
      <c r="D12" s="34"/>
      <c r="E12" s="35">
        <v>2857</v>
      </c>
      <c r="F12" s="21" t="s">
        <v>18</v>
      </c>
      <c r="G12" s="209"/>
      <c r="H12" s="205"/>
      <c r="I12" s="200"/>
    </row>
    <row r="13" spans="1:9" ht="15.75" x14ac:dyDescent="0.25">
      <c r="A13" s="60">
        <v>1100022</v>
      </c>
      <c r="B13" s="60" t="s">
        <v>61</v>
      </c>
      <c r="C13" s="61" t="s">
        <v>234</v>
      </c>
      <c r="D13" s="210"/>
      <c r="E13" s="210">
        <v>30</v>
      </c>
      <c r="F13" s="210" t="s">
        <v>18</v>
      </c>
      <c r="G13" s="209"/>
      <c r="H13" s="205"/>
      <c r="I13" s="200"/>
    </row>
    <row r="14" spans="1:9" ht="15.75" x14ac:dyDescent="0.25">
      <c r="A14" s="211">
        <v>90100129</v>
      </c>
      <c r="B14" s="211" t="s">
        <v>131</v>
      </c>
      <c r="C14" s="212" t="s">
        <v>235</v>
      </c>
      <c r="D14" s="210"/>
      <c r="E14" s="210">
        <v>200</v>
      </c>
      <c r="F14" s="210" t="s">
        <v>18</v>
      </c>
      <c r="G14" s="209"/>
      <c r="H14" s="205"/>
      <c r="I14" s="200"/>
    </row>
    <row r="15" spans="1:9" ht="15.75" x14ac:dyDescent="0.25">
      <c r="A15" s="211">
        <v>1212410</v>
      </c>
      <c r="B15" s="211" t="s">
        <v>216</v>
      </c>
      <c r="C15" s="212" t="s">
        <v>236</v>
      </c>
      <c r="D15" s="210"/>
      <c r="E15" s="210">
        <v>10</v>
      </c>
      <c r="F15" s="210" t="s">
        <v>18</v>
      </c>
      <c r="G15" s="209"/>
      <c r="H15" s="205"/>
      <c r="I15" s="200"/>
    </row>
    <row r="16" spans="1:9" ht="15.75" x14ac:dyDescent="0.25">
      <c r="A16" s="211" t="s">
        <v>224</v>
      </c>
      <c r="B16" s="211"/>
      <c r="C16" s="212" t="s">
        <v>225</v>
      </c>
      <c r="D16" s="210" t="s">
        <v>38</v>
      </c>
      <c r="E16" s="210">
        <v>1000</v>
      </c>
      <c r="F16" s="210" t="s">
        <v>18</v>
      </c>
      <c r="G16" s="209"/>
      <c r="H16" s="205"/>
      <c r="I16" s="200"/>
    </row>
    <row r="17" spans="1:9" ht="15.75" x14ac:dyDescent="0.25">
      <c r="A17" s="211" t="s">
        <v>224</v>
      </c>
      <c r="B17" s="211"/>
      <c r="C17" s="212" t="s">
        <v>225</v>
      </c>
      <c r="D17" s="210" t="s">
        <v>38</v>
      </c>
      <c r="E17" s="210">
        <v>1600</v>
      </c>
      <c r="F17" s="210" t="s">
        <v>18</v>
      </c>
      <c r="G17" s="209"/>
      <c r="H17" s="205"/>
      <c r="I17" s="200"/>
    </row>
    <row r="18" spans="1:9" ht="15.75" x14ac:dyDescent="0.25">
      <c r="A18" s="211"/>
      <c r="B18" s="211"/>
      <c r="C18" s="212"/>
      <c r="D18" s="210"/>
      <c r="E18" s="210"/>
      <c r="F18" s="210"/>
      <c r="G18" s="209"/>
      <c r="H18" s="205"/>
      <c r="I18" s="200"/>
    </row>
    <row r="19" spans="1:9" ht="15.75" x14ac:dyDescent="0.25">
      <c r="A19" s="211"/>
      <c r="B19" s="211"/>
      <c r="C19" s="212"/>
      <c r="D19" s="210"/>
      <c r="E19" s="210"/>
      <c r="F19" s="210"/>
      <c r="G19" s="209"/>
      <c r="H19" s="205"/>
      <c r="I19" s="200"/>
    </row>
    <row r="20" spans="1:9" ht="15.75" x14ac:dyDescent="0.25">
      <c r="A20" s="211"/>
      <c r="B20" s="211"/>
      <c r="C20" s="212"/>
      <c r="D20" s="210"/>
      <c r="E20" s="210"/>
      <c r="F20" s="210"/>
      <c r="G20" s="209"/>
      <c r="H20" s="205"/>
      <c r="I20" s="200"/>
    </row>
    <row r="21" spans="1:9" ht="15.75" x14ac:dyDescent="0.25">
      <c r="A21" s="211"/>
      <c r="B21" s="211"/>
      <c r="C21" s="212"/>
      <c r="D21" s="210"/>
      <c r="E21" s="210"/>
      <c r="F21" s="210"/>
      <c r="G21" s="209"/>
      <c r="H21" s="205"/>
      <c r="I21" s="200"/>
    </row>
    <row r="22" spans="1:9" ht="15.75" x14ac:dyDescent="0.25">
      <c r="A22" s="60"/>
      <c r="B22" s="60"/>
      <c r="C22" s="75"/>
      <c r="D22" s="210"/>
      <c r="E22" s="210"/>
      <c r="F22" s="210"/>
      <c r="G22" s="209"/>
      <c r="H22" s="205"/>
      <c r="I22" s="200"/>
    </row>
    <row r="23" spans="1:9" ht="15.75" x14ac:dyDescent="0.25">
      <c r="A23" s="60"/>
      <c r="B23" s="60"/>
      <c r="C23" s="75"/>
      <c r="D23" s="210"/>
      <c r="E23" s="210"/>
      <c r="F23" s="210"/>
      <c r="G23" s="209"/>
      <c r="H23" s="205"/>
      <c r="I23" s="200"/>
    </row>
    <row r="24" spans="1:9" ht="15.75" x14ac:dyDescent="0.25">
      <c r="A24" s="213"/>
      <c r="B24" s="214"/>
      <c r="C24" s="215" t="s">
        <v>237</v>
      </c>
      <c r="D24" s="210"/>
      <c r="E24" s="210"/>
      <c r="F24" s="210"/>
      <c r="G24" s="209"/>
      <c r="H24" s="205"/>
      <c r="I24" s="200"/>
    </row>
    <row r="25" spans="1:9" x14ac:dyDescent="0.25">
      <c r="A25" s="216"/>
      <c r="B25" s="60"/>
      <c r="C25" s="75"/>
      <c r="D25" s="217"/>
      <c r="E25" s="217"/>
      <c r="F25" s="217"/>
      <c r="G25" s="198"/>
      <c r="H25" s="205"/>
      <c r="I25" s="200"/>
    </row>
    <row r="26" spans="1:9" ht="15.75" x14ac:dyDescent="0.25">
      <c r="A26" s="213"/>
      <c r="B26" s="214"/>
      <c r="C26" s="215"/>
      <c r="D26" s="218"/>
      <c r="E26" s="219"/>
      <c r="F26" s="220"/>
      <c r="G26" s="198"/>
      <c r="H26" s="205"/>
      <c r="I26" s="200"/>
    </row>
    <row r="27" spans="1:9" x14ac:dyDescent="0.25">
      <c r="A27" s="221"/>
      <c r="B27" s="222"/>
      <c r="C27" s="39"/>
      <c r="D27" s="223"/>
      <c r="E27" s="224"/>
      <c r="F27" s="225"/>
      <c r="G27" s="198"/>
      <c r="H27" s="205"/>
      <c r="I27" s="200"/>
    </row>
    <row r="28" spans="1:9" x14ac:dyDescent="0.25">
      <c r="A28" s="221"/>
      <c r="B28" s="222"/>
      <c r="C28" s="39"/>
      <c r="D28" s="223"/>
      <c r="E28" s="226"/>
      <c r="F28" s="225"/>
      <c r="G28" s="198"/>
      <c r="H28" s="199"/>
      <c r="I28" s="200"/>
    </row>
    <row r="29" spans="1:9" x14ac:dyDescent="0.25">
      <c r="A29" s="221"/>
      <c r="B29" s="222"/>
      <c r="C29" s="39"/>
      <c r="D29" s="223"/>
      <c r="E29" s="224"/>
      <c r="F29" s="225"/>
      <c r="G29" s="198"/>
      <c r="H29" s="199"/>
      <c r="I29" s="200"/>
    </row>
    <row r="30" spans="1:9" x14ac:dyDescent="0.25">
      <c r="A30" s="221"/>
      <c r="B30" s="222"/>
      <c r="C30" s="39"/>
      <c r="D30" s="223"/>
      <c r="E30" s="87"/>
      <c r="F30" s="88"/>
      <c r="G30" s="198"/>
      <c r="H30" s="199"/>
      <c r="I30" s="200"/>
    </row>
    <row r="31" spans="1:9" x14ac:dyDescent="0.25">
      <c r="A31" s="60"/>
      <c r="B31" s="60"/>
      <c r="C31" s="75"/>
      <c r="D31" s="227"/>
      <c r="E31" s="228"/>
      <c r="F31" s="229"/>
      <c r="G31" s="198"/>
      <c r="H31" s="199"/>
      <c r="I31" s="200"/>
    </row>
    <row r="32" spans="1:9" ht="15.75" x14ac:dyDescent="0.25">
      <c r="A32" s="230"/>
      <c r="B32" s="231"/>
      <c r="C32" s="232" t="s">
        <v>238</v>
      </c>
      <c r="D32" s="233"/>
      <c r="E32" s="234"/>
      <c r="F32" s="199"/>
      <c r="G32" s="198"/>
      <c r="I32" s="200"/>
    </row>
    <row r="33" spans="1:9" x14ac:dyDescent="0.25">
      <c r="A33" s="235">
        <v>512000003</v>
      </c>
      <c r="B33" s="236" t="s">
        <v>125</v>
      </c>
      <c r="C33" s="237" t="s">
        <v>239</v>
      </c>
      <c r="D33" s="238"/>
      <c r="E33" s="239">
        <v>1</v>
      </c>
      <c r="F33" s="240" t="s">
        <v>19</v>
      </c>
      <c r="G33" s="241"/>
      <c r="H33" s="199"/>
      <c r="I33" s="200"/>
    </row>
    <row r="34" spans="1:9" x14ac:dyDescent="0.25">
      <c r="A34" s="235"/>
      <c r="B34" s="236"/>
      <c r="C34" s="237"/>
      <c r="D34" s="238"/>
      <c r="E34" s="239"/>
      <c r="F34" s="240"/>
      <c r="G34" s="241"/>
      <c r="H34" s="199"/>
      <c r="I34" s="200"/>
    </row>
    <row r="35" spans="1:9" x14ac:dyDescent="0.25">
      <c r="A35" s="242"/>
      <c r="B35" s="243"/>
      <c r="C35" s="244"/>
      <c r="D35" s="238"/>
      <c r="E35" s="239"/>
      <c r="F35" s="240"/>
      <c r="G35" s="241"/>
      <c r="H35" s="199"/>
      <c r="I35" s="200"/>
    </row>
    <row r="36" spans="1:9" x14ac:dyDescent="0.25">
      <c r="A36" s="245"/>
      <c r="B36" s="245"/>
      <c r="C36" s="246"/>
      <c r="D36" s="238"/>
      <c r="E36" s="239"/>
      <c r="F36" s="240"/>
      <c r="G36" s="198"/>
      <c r="H36" s="199"/>
      <c r="I36" s="200"/>
    </row>
    <row r="37" spans="1:9" x14ac:dyDescent="0.25">
      <c r="A37" s="245"/>
      <c r="B37" s="245"/>
      <c r="C37" s="246"/>
      <c r="D37" s="238"/>
      <c r="E37" s="239"/>
      <c r="F37" s="240"/>
      <c r="G37" s="198"/>
      <c r="H37" s="199"/>
      <c r="I37" s="200"/>
    </row>
    <row r="38" spans="1:9" x14ac:dyDescent="0.25">
      <c r="A38" s="245"/>
      <c r="B38" s="245"/>
      <c r="C38" s="246"/>
      <c r="D38" s="238"/>
      <c r="E38" s="239"/>
      <c r="F38" s="240"/>
      <c r="G38" s="247"/>
      <c r="H38" s="199"/>
      <c r="I38" s="200"/>
    </row>
    <row r="39" spans="1:9" ht="15.75" x14ac:dyDescent="0.25">
      <c r="A39" s="245"/>
      <c r="B39" s="245"/>
      <c r="C39" s="246"/>
      <c r="D39" s="210"/>
      <c r="E39" s="239"/>
      <c r="F39" s="240"/>
      <c r="G39" s="248"/>
      <c r="H39" s="199"/>
      <c r="I39" s="200"/>
    </row>
    <row r="40" spans="1:9" x14ac:dyDescent="0.25">
      <c r="A40" s="249"/>
      <c r="B40" s="249"/>
      <c r="C40" s="250"/>
      <c r="D40" s="238"/>
      <c r="E40" s="229"/>
      <c r="F40" s="229"/>
      <c r="G40" s="248"/>
      <c r="H40" s="199"/>
      <c r="I40" s="200"/>
    </row>
    <row r="41" spans="1:9" x14ac:dyDescent="0.25">
      <c r="A41" s="251"/>
      <c r="B41" s="60"/>
      <c r="C41" s="252"/>
      <c r="D41" s="253"/>
      <c r="E41" s="228"/>
      <c r="F41" s="209"/>
      <c r="G41" s="248"/>
      <c r="H41" s="199"/>
      <c r="I41" s="200"/>
    </row>
    <row r="42" spans="1:9" ht="15.75" x14ac:dyDescent="0.25">
      <c r="A42" s="245"/>
      <c r="B42" s="245"/>
      <c r="C42" s="246"/>
      <c r="D42" s="238"/>
      <c r="E42" s="228"/>
      <c r="F42" s="209"/>
      <c r="G42" s="254"/>
      <c r="H42" s="199"/>
      <c r="I42" s="200"/>
    </row>
    <row r="43" spans="1:9" ht="15.75" x14ac:dyDescent="0.25">
      <c r="A43" s="213"/>
      <c r="B43" s="214"/>
      <c r="C43" s="255"/>
      <c r="D43" s="218"/>
      <c r="E43" s="218"/>
      <c r="F43" s="220"/>
      <c r="G43" s="256"/>
      <c r="H43" s="256"/>
      <c r="I43" s="200"/>
    </row>
    <row r="44" spans="1:9" ht="15.75" thickBot="1" x14ac:dyDescent="0.3">
      <c r="A44" s="257"/>
      <c r="B44" s="258"/>
      <c r="C44" s="259"/>
      <c r="D44" s="259"/>
      <c r="E44" s="260"/>
      <c r="F44" s="261"/>
      <c r="G44" s="259"/>
      <c r="H44" s="259"/>
      <c r="I44" s="25"/>
    </row>
    <row r="45" spans="1:9" ht="15.75" thickBot="1" x14ac:dyDescent="0.3">
      <c r="A45" s="26"/>
      <c r="B45" s="58"/>
      <c r="C45" s="27"/>
      <c r="D45" s="28" t="s">
        <v>15</v>
      </c>
      <c r="E45" s="29" t="s">
        <v>25</v>
      </c>
      <c r="F45" s="30"/>
      <c r="G45" s="27"/>
      <c r="H45" s="27"/>
      <c r="I45" s="31"/>
    </row>
    <row r="46" spans="1:9" x14ac:dyDescent="0.25">
      <c r="A46" s="404" t="s">
        <v>26</v>
      </c>
      <c r="B46" s="405"/>
      <c r="C46" s="406"/>
      <c r="D46" s="262">
        <v>13000</v>
      </c>
      <c r="E46" s="263" t="s">
        <v>18</v>
      </c>
      <c r="F46" s="407" t="s">
        <v>27</v>
      </c>
      <c r="G46" s="407"/>
      <c r="H46" s="408"/>
      <c r="I46" s="409"/>
    </row>
    <row r="47" spans="1:9" x14ac:dyDescent="0.25">
      <c r="A47" s="318" t="s">
        <v>28</v>
      </c>
      <c r="B47" s="319"/>
      <c r="C47" s="320"/>
      <c r="D47" s="228">
        <v>10</v>
      </c>
      <c r="E47" s="209" t="s">
        <v>29</v>
      </c>
      <c r="F47" s="410" t="s">
        <v>30</v>
      </c>
      <c r="G47" s="410"/>
      <c r="H47" s="323"/>
      <c r="I47" s="324"/>
    </row>
    <row r="48" spans="1:9" x14ac:dyDescent="0.25">
      <c r="A48" s="318" t="s">
        <v>31</v>
      </c>
      <c r="B48" s="319"/>
      <c r="C48" s="320"/>
      <c r="D48" s="228">
        <v>1</v>
      </c>
      <c r="E48" s="209" t="s">
        <v>18</v>
      </c>
      <c r="F48" s="410" t="s">
        <v>32</v>
      </c>
      <c r="G48" s="410"/>
      <c r="H48" s="323"/>
      <c r="I48" s="324"/>
    </row>
    <row r="49" spans="1:9" x14ac:dyDescent="0.25">
      <c r="A49" s="318" t="s">
        <v>33</v>
      </c>
      <c r="B49" s="319"/>
      <c r="C49" s="320"/>
      <c r="D49" s="228">
        <v>1</v>
      </c>
      <c r="E49" s="209" t="s">
        <v>18</v>
      </c>
      <c r="F49" s="329" t="s">
        <v>34</v>
      </c>
      <c r="G49" s="330"/>
      <c r="H49" s="412"/>
      <c r="I49" s="413"/>
    </row>
    <row r="50" spans="1:9" ht="15.75" thickBot="1" x14ac:dyDescent="0.3">
      <c r="A50" s="414" t="s">
        <v>35</v>
      </c>
      <c r="B50" s="333"/>
      <c r="C50" s="415"/>
      <c r="D50" s="264">
        <v>2696</v>
      </c>
      <c r="E50" s="265" t="s">
        <v>18</v>
      </c>
      <c r="F50" s="416"/>
      <c r="G50" s="416"/>
      <c r="H50" s="323"/>
      <c r="I50" s="324"/>
    </row>
    <row r="51" spans="1:9" ht="15.75" thickBot="1" x14ac:dyDescent="0.3">
      <c r="A51" s="417" t="s">
        <v>36</v>
      </c>
      <c r="B51" s="418"/>
      <c r="C51" s="418"/>
      <c r="D51" s="418"/>
      <c r="E51" s="418"/>
      <c r="F51" s="418"/>
      <c r="G51" s="418"/>
      <c r="H51" s="418"/>
      <c r="I51" s="419"/>
    </row>
    <row r="52" spans="1:9" ht="14.65" customHeight="1" x14ac:dyDescent="0.25">
      <c r="A52" s="411" t="s">
        <v>218</v>
      </c>
      <c r="B52" s="411"/>
      <c r="C52" s="411"/>
      <c r="D52" s="411"/>
      <c r="E52" s="411"/>
      <c r="F52" s="411"/>
      <c r="G52" s="411"/>
      <c r="H52" s="411"/>
      <c r="I52" s="411"/>
    </row>
    <row r="53" spans="1:9" ht="15.6" customHeight="1" x14ac:dyDescent="0.25">
      <c r="A53" s="411" t="s">
        <v>219</v>
      </c>
      <c r="B53" s="411"/>
      <c r="C53" s="411"/>
      <c r="D53" s="411"/>
      <c r="E53" s="411"/>
      <c r="F53" s="411"/>
      <c r="G53" s="411"/>
      <c r="H53" s="411"/>
      <c r="I53" s="411"/>
    </row>
    <row r="54" spans="1:9" ht="14.65" customHeight="1" x14ac:dyDescent="0.25">
      <c r="A54" s="411" t="s">
        <v>220</v>
      </c>
      <c r="B54" s="411"/>
      <c r="C54" s="411"/>
      <c r="D54" s="411"/>
      <c r="E54" s="411"/>
      <c r="F54" s="411"/>
      <c r="G54" s="411"/>
      <c r="H54" s="411"/>
      <c r="I54" s="411"/>
    </row>
    <row r="55" spans="1:9" ht="14.65" customHeight="1" x14ac:dyDescent="0.25">
      <c r="A55" s="424" t="s">
        <v>126</v>
      </c>
      <c r="B55" s="424"/>
      <c r="C55" s="424"/>
      <c r="D55" s="424"/>
      <c r="E55" s="424"/>
      <c r="F55" s="424"/>
      <c r="G55" s="424"/>
      <c r="H55" s="424"/>
      <c r="I55" s="424"/>
    </row>
    <row r="56" spans="1:9" ht="14.65" customHeight="1" x14ac:dyDescent="0.25">
      <c r="A56" s="411" t="s">
        <v>221</v>
      </c>
      <c r="B56" s="411"/>
      <c r="C56" s="411"/>
      <c r="D56" s="411"/>
      <c r="E56" s="411"/>
      <c r="F56" s="411"/>
      <c r="G56" s="411"/>
      <c r="H56" s="411"/>
      <c r="I56" s="411"/>
    </row>
    <row r="57" spans="1:9" ht="18" customHeight="1" x14ac:dyDescent="0.25">
      <c r="A57" s="425" t="s">
        <v>222</v>
      </c>
      <c r="B57" s="426"/>
      <c r="C57" s="426"/>
      <c r="D57" s="426"/>
      <c r="E57" s="426"/>
      <c r="F57" s="426"/>
      <c r="G57" s="426"/>
      <c r="H57" s="426"/>
      <c r="I57" s="427"/>
    </row>
    <row r="58" spans="1:9" x14ac:dyDescent="0.25">
      <c r="A58" s="425" t="s">
        <v>223</v>
      </c>
      <c r="B58" s="426"/>
      <c r="C58" s="426"/>
      <c r="D58" s="426"/>
      <c r="E58" s="426"/>
      <c r="F58" s="426"/>
      <c r="G58" s="426"/>
      <c r="H58" s="426"/>
      <c r="I58" s="427"/>
    </row>
    <row r="59" spans="1:9" ht="15.75" thickBot="1" x14ac:dyDescent="0.3">
      <c r="A59" s="428"/>
      <c r="B59" s="429"/>
      <c r="C59" s="429"/>
      <c r="D59" s="429"/>
      <c r="E59" s="429"/>
      <c r="F59" s="429"/>
      <c r="G59" s="429"/>
      <c r="H59" s="429"/>
      <c r="I59" s="430"/>
    </row>
    <row r="60" spans="1:9" x14ac:dyDescent="0.25">
      <c r="A60" s="420" t="s">
        <v>127</v>
      </c>
      <c r="B60" s="421"/>
      <c r="C60" s="421"/>
      <c r="D60" s="421"/>
      <c r="E60" s="421"/>
      <c r="F60" s="421"/>
      <c r="G60" s="421"/>
      <c r="H60" s="421"/>
      <c r="I60" s="421"/>
    </row>
    <row r="61" spans="1:9" x14ac:dyDescent="0.25">
      <c r="A61" s="422"/>
      <c r="B61" s="423"/>
      <c r="C61" s="423"/>
      <c r="D61" s="423"/>
      <c r="E61" s="423"/>
      <c r="F61" s="423"/>
      <c r="G61" s="423"/>
      <c r="H61" s="423"/>
      <c r="I61" s="423"/>
    </row>
    <row r="62" spans="1:9" x14ac:dyDescent="0.25">
      <c r="A62" s="422"/>
      <c r="B62" s="423"/>
      <c r="C62" s="423"/>
      <c r="D62" s="423"/>
      <c r="E62" s="423"/>
      <c r="F62" s="423"/>
      <c r="G62" s="423"/>
      <c r="H62" s="423"/>
      <c r="I62" s="423"/>
    </row>
  </sheetData>
  <mergeCells count="44"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3FF6-C432-43A6-9784-222C0FBB79FB}">
  <dimension ref="A1:Q91"/>
  <sheetViews>
    <sheetView topLeftCell="A3" workbookViewId="0">
      <selection activeCell="E8" sqref="E8"/>
    </sheetView>
  </sheetViews>
  <sheetFormatPr baseColWidth="10" defaultColWidth="8.42578125" defaultRowHeight="12.75" x14ac:dyDescent="0.25"/>
  <cols>
    <col min="1" max="1" width="10" style="94" bestFit="1" customWidth="1"/>
    <col min="2" max="2" width="44.28515625" style="94" bestFit="1" customWidth="1"/>
    <col min="3" max="3" width="10.42578125" style="94" bestFit="1" customWidth="1"/>
    <col min="4" max="4" width="10.42578125" style="94" customWidth="1"/>
    <col min="5" max="5" width="9.7109375" style="94" bestFit="1" customWidth="1"/>
    <col min="6" max="6" width="9.5703125" style="94" bestFit="1" customWidth="1"/>
    <col min="7" max="7" width="9.5703125" style="176" bestFit="1" customWidth="1"/>
    <col min="8" max="8" width="10.42578125" style="167" bestFit="1" customWidth="1"/>
    <col min="9" max="9" width="4.5703125" style="167" customWidth="1"/>
    <col min="10" max="10" width="1.7109375" style="93" customWidth="1"/>
    <col min="11" max="11" width="7" style="94" bestFit="1" customWidth="1"/>
    <col min="12" max="12" width="6.28515625" style="94" customWidth="1"/>
    <col min="13" max="13" width="20.42578125" style="94" customWidth="1"/>
    <col min="14" max="14" width="6.42578125" style="94" bestFit="1" customWidth="1"/>
    <col min="15" max="16" width="8.42578125" style="94"/>
    <col min="17" max="17" width="3.28515625" style="94" customWidth="1"/>
    <col min="18" max="256" width="8.42578125" style="94"/>
    <col min="257" max="257" width="10" style="94" bestFit="1" customWidth="1"/>
    <col min="258" max="258" width="44.28515625" style="94" bestFit="1" customWidth="1"/>
    <col min="259" max="259" width="10.42578125" style="94" bestFit="1" customWidth="1"/>
    <col min="260" max="260" width="10.42578125" style="94" customWidth="1"/>
    <col min="261" max="261" width="9.7109375" style="94" bestFit="1" customWidth="1"/>
    <col min="262" max="263" width="9.5703125" style="94" bestFit="1" customWidth="1"/>
    <col min="264" max="264" width="10.42578125" style="94" bestFit="1" customWidth="1"/>
    <col min="265" max="265" width="4.5703125" style="94" customWidth="1"/>
    <col min="266" max="266" width="1.7109375" style="94" customWidth="1"/>
    <col min="267" max="267" width="7" style="94" bestFit="1" customWidth="1"/>
    <col min="268" max="268" width="6.28515625" style="94" customWidth="1"/>
    <col min="269" max="269" width="20.42578125" style="94" customWidth="1"/>
    <col min="270" max="270" width="6.42578125" style="94" bestFit="1" customWidth="1"/>
    <col min="271" max="272" width="8.42578125" style="94"/>
    <col min="273" max="273" width="3.28515625" style="94" customWidth="1"/>
    <col min="274" max="512" width="8.42578125" style="94"/>
    <col min="513" max="513" width="10" style="94" bestFit="1" customWidth="1"/>
    <col min="514" max="514" width="44.28515625" style="94" bestFit="1" customWidth="1"/>
    <col min="515" max="515" width="10.42578125" style="94" bestFit="1" customWidth="1"/>
    <col min="516" max="516" width="10.42578125" style="94" customWidth="1"/>
    <col min="517" max="517" width="9.7109375" style="94" bestFit="1" customWidth="1"/>
    <col min="518" max="519" width="9.5703125" style="94" bestFit="1" customWidth="1"/>
    <col min="520" max="520" width="10.42578125" style="94" bestFit="1" customWidth="1"/>
    <col min="521" max="521" width="4.5703125" style="94" customWidth="1"/>
    <col min="522" max="522" width="1.7109375" style="94" customWidth="1"/>
    <col min="523" max="523" width="7" style="94" bestFit="1" customWidth="1"/>
    <col min="524" max="524" width="6.28515625" style="94" customWidth="1"/>
    <col min="525" max="525" width="20.42578125" style="94" customWidth="1"/>
    <col min="526" max="526" width="6.42578125" style="94" bestFit="1" customWidth="1"/>
    <col min="527" max="528" width="8.42578125" style="94"/>
    <col min="529" max="529" width="3.28515625" style="94" customWidth="1"/>
    <col min="530" max="768" width="8.42578125" style="94"/>
    <col min="769" max="769" width="10" style="94" bestFit="1" customWidth="1"/>
    <col min="770" max="770" width="44.28515625" style="94" bestFit="1" customWidth="1"/>
    <col min="771" max="771" width="10.42578125" style="94" bestFit="1" customWidth="1"/>
    <col min="772" max="772" width="10.42578125" style="94" customWidth="1"/>
    <col min="773" max="773" width="9.7109375" style="94" bestFit="1" customWidth="1"/>
    <col min="774" max="775" width="9.5703125" style="94" bestFit="1" customWidth="1"/>
    <col min="776" max="776" width="10.42578125" style="94" bestFit="1" customWidth="1"/>
    <col min="777" max="777" width="4.5703125" style="94" customWidth="1"/>
    <col min="778" max="778" width="1.7109375" style="94" customWidth="1"/>
    <col min="779" max="779" width="7" style="94" bestFit="1" customWidth="1"/>
    <col min="780" max="780" width="6.28515625" style="94" customWidth="1"/>
    <col min="781" max="781" width="20.42578125" style="94" customWidth="1"/>
    <col min="782" max="782" width="6.42578125" style="94" bestFit="1" customWidth="1"/>
    <col min="783" max="784" width="8.42578125" style="94"/>
    <col min="785" max="785" width="3.28515625" style="94" customWidth="1"/>
    <col min="786" max="1024" width="8.42578125" style="94"/>
    <col min="1025" max="1025" width="10" style="94" bestFit="1" customWidth="1"/>
    <col min="1026" max="1026" width="44.28515625" style="94" bestFit="1" customWidth="1"/>
    <col min="1027" max="1027" width="10.42578125" style="94" bestFit="1" customWidth="1"/>
    <col min="1028" max="1028" width="10.42578125" style="94" customWidth="1"/>
    <col min="1029" max="1029" width="9.7109375" style="94" bestFit="1" customWidth="1"/>
    <col min="1030" max="1031" width="9.5703125" style="94" bestFit="1" customWidth="1"/>
    <col min="1032" max="1032" width="10.42578125" style="94" bestFit="1" customWidth="1"/>
    <col min="1033" max="1033" width="4.5703125" style="94" customWidth="1"/>
    <col min="1034" max="1034" width="1.7109375" style="94" customWidth="1"/>
    <col min="1035" max="1035" width="7" style="94" bestFit="1" customWidth="1"/>
    <col min="1036" max="1036" width="6.28515625" style="94" customWidth="1"/>
    <col min="1037" max="1037" width="20.42578125" style="94" customWidth="1"/>
    <col min="1038" max="1038" width="6.42578125" style="94" bestFit="1" customWidth="1"/>
    <col min="1039" max="1040" width="8.42578125" style="94"/>
    <col min="1041" max="1041" width="3.28515625" style="94" customWidth="1"/>
    <col min="1042" max="1280" width="8.42578125" style="94"/>
    <col min="1281" max="1281" width="10" style="94" bestFit="1" customWidth="1"/>
    <col min="1282" max="1282" width="44.28515625" style="94" bestFit="1" customWidth="1"/>
    <col min="1283" max="1283" width="10.42578125" style="94" bestFit="1" customWidth="1"/>
    <col min="1284" max="1284" width="10.42578125" style="94" customWidth="1"/>
    <col min="1285" max="1285" width="9.7109375" style="94" bestFit="1" customWidth="1"/>
    <col min="1286" max="1287" width="9.5703125" style="94" bestFit="1" customWidth="1"/>
    <col min="1288" max="1288" width="10.42578125" style="94" bestFit="1" customWidth="1"/>
    <col min="1289" max="1289" width="4.5703125" style="94" customWidth="1"/>
    <col min="1290" max="1290" width="1.7109375" style="94" customWidth="1"/>
    <col min="1291" max="1291" width="7" style="94" bestFit="1" customWidth="1"/>
    <col min="1292" max="1292" width="6.28515625" style="94" customWidth="1"/>
    <col min="1293" max="1293" width="20.42578125" style="94" customWidth="1"/>
    <col min="1294" max="1294" width="6.42578125" style="94" bestFit="1" customWidth="1"/>
    <col min="1295" max="1296" width="8.42578125" style="94"/>
    <col min="1297" max="1297" width="3.28515625" style="94" customWidth="1"/>
    <col min="1298" max="1536" width="8.42578125" style="94"/>
    <col min="1537" max="1537" width="10" style="94" bestFit="1" customWidth="1"/>
    <col min="1538" max="1538" width="44.28515625" style="94" bestFit="1" customWidth="1"/>
    <col min="1539" max="1539" width="10.42578125" style="94" bestFit="1" customWidth="1"/>
    <col min="1540" max="1540" width="10.42578125" style="94" customWidth="1"/>
    <col min="1541" max="1541" width="9.7109375" style="94" bestFit="1" customWidth="1"/>
    <col min="1542" max="1543" width="9.5703125" style="94" bestFit="1" customWidth="1"/>
    <col min="1544" max="1544" width="10.42578125" style="94" bestFit="1" customWidth="1"/>
    <col min="1545" max="1545" width="4.5703125" style="94" customWidth="1"/>
    <col min="1546" max="1546" width="1.7109375" style="94" customWidth="1"/>
    <col min="1547" max="1547" width="7" style="94" bestFit="1" customWidth="1"/>
    <col min="1548" max="1548" width="6.28515625" style="94" customWidth="1"/>
    <col min="1549" max="1549" width="20.42578125" style="94" customWidth="1"/>
    <col min="1550" max="1550" width="6.42578125" style="94" bestFit="1" customWidth="1"/>
    <col min="1551" max="1552" width="8.42578125" style="94"/>
    <col min="1553" max="1553" width="3.28515625" style="94" customWidth="1"/>
    <col min="1554" max="1792" width="8.42578125" style="94"/>
    <col min="1793" max="1793" width="10" style="94" bestFit="1" customWidth="1"/>
    <col min="1794" max="1794" width="44.28515625" style="94" bestFit="1" customWidth="1"/>
    <col min="1795" max="1795" width="10.42578125" style="94" bestFit="1" customWidth="1"/>
    <col min="1796" max="1796" width="10.42578125" style="94" customWidth="1"/>
    <col min="1797" max="1797" width="9.7109375" style="94" bestFit="1" customWidth="1"/>
    <col min="1798" max="1799" width="9.5703125" style="94" bestFit="1" customWidth="1"/>
    <col min="1800" max="1800" width="10.42578125" style="94" bestFit="1" customWidth="1"/>
    <col min="1801" max="1801" width="4.5703125" style="94" customWidth="1"/>
    <col min="1802" max="1802" width="1.7109375" style="94" customWidth="1"/>
    <col min="1803" max="1803" width="7" style="94" bestFit="1" customWidth="1"/>
    <col min="1804" max="1804" width="6.28515625" style="94" customWidth="1"/>
    <col min="1805" max="1805" width="20.42578125" style="94" customWidth="1"/>
    <col min="1806" max="1806" width="6.42578125" style="94" bestFit="1" customWidth="1"/>
    <col min="1807" max="1808" width="8.42578125" style="94"/>
    <col min="1809" max="1809" width="3.28515625" style="94" customWidth="1"/>
    <col min="1810" max="2048" width="8.42578125" style="94"/>
    <col min="2049" max="2049" width="10" style="94" bestFit="1" customWidth="1"/>
    <col min="2050" max="2050" width="44.28515625" style="94" bestFit="1" customWidth="1"/>
    <col min="2051" max="2051" width="10.42578125" style="94" bestFit="1" customWidth="1"/>
    <col min="2052" max="2052" width="10.42578125" style="94" customWidth="1"/>
    <col min="2053" max="2053" width="9.7109375" style="94" bestFit="1" customWidth="1"/>
    <col min="2054" max="2055" width="9.5703125" style="94" bestFit="1" customWidth="1"/>
    <col min="2056" max="2056" width="10.42578125" style="94" bestFit="1" customWidth="1"/>
    <col min="2057" max="2057" width="4.5703125" style="94" customWidth="1"/>
    <col min="2058" max="2058" width="1.7109375" style="94" customWidth="1"/>
    <col min="2059" max="2059" width="7" style="94" bestFit="1" customWidth="1"/>
    <col min="2060" max="2060" width="6.28515625" style="94" customWidth="1"/>
    <col min="2061" max="2061" width="20.42578125" style="94" customWidth="1"/>
    <col min="2062" max="2062" width="6.42578125" style="94" bestFit="1" customWidth="1"/>
    <col min="2063" max="2064" width="8.42578125" style="94"/>
    <col min="2065" max="2065" width="3.28515625" style="94" customWidth="1"/>
    <col min="2066" max="2304" width="8.42578125" style="94"/>
    <col min="2305" max="2305" width="10" style="94" bestFit="1" customWidth="1"/>
    <col min="2306" max="2306" width="44.28515625" style="94" bestFit="1" customWidth="1"/>
    <col min="2307" max="2307" width="10.42578125" style="94" bestFit="1" customWidth="1"/>
    <col min="2308" max="2308" width="10.42578125" style="94" customWidth="1"/>
    <col min="2309" max="2309" width="9.7109375" style="94" bestFit="1" customWidth="1"/>
    <col min="2310" max="2311" width="9.5703125" style="94" bestFit="1" customWidth="1"/>
    <col min="2312" max="2312" width="10.42578125" style="94" bestFit="1" customWidth="1"/>
    <col min="2313" max="2313" width="4.5703125" style="94" customWidth="1"/>
    <col min="2314" max="2314" width="1.7109375" style="94" customWidth="1"/>
    <col min="2315" max="2315" width="7" style="94" bestFit="1" customWidth="1"/>
    <col min="2316" max="2316" width="6.28515625" style="94" customWidth="1"/>
    <col min="2317" max="2317" width="20.42578125" style="94" customWidth="1"/>
    <col min="2318" max="2318" width="6.42578125" style="94" bestFit="1" customWidth="1"/>
    <col min="2319" max="2320" width="8.42578125" style="94"/>
    <col min="2321" max="2321" width="3.28515625" style="94" customWidth="1"/>
    <col min="2322" max="2560" width="8.42578125" style="94"/>
    <col min="2561" max="2561" width="10" style="94" bestFit="1" customWidth="1"/>
    <col min="2562" max="2562" width="44.28515625" style="94" bestFit="1" customWidth="1"/>
    <col min="2563" max="2563" width="10.42578125" style="94" bestFit="1" customWidth="1"/>
    <col min="2564" max="2564" width="10.42578125" style="94" customWidth="1"/>
    <col min="2565" max="2565" width="9.7109375" style="94" bestFit="1" customWidth="1"/>
    <col min="2566" max="2567" width="9.5703125" style="94" bestFit="1" customWidth="1"/>
    <col min="2568" max="2568" width="10.42578125" style="94" bestFit="1" customWidth="1"/>
    <col min="2569" max="2569" width="4.5703125" style="94" customWidth="1"/>
    <col min="2570" max="2570" width="1.7109375" style="94" customWidth="1"/>
    <col min="2571" max="2571" width="7" style="94" bestFit="1" customWidth="1"/>
    <col min="2572" max="2572" width="6.28515625" style="94" customWidth="1"/>
    <col min="2573" max="2573" width="20.42578125" style="94" customWidth="1"/>
    <col min="2574" max="2574" width="6.42578125" style="94" bestFit="1" customWidth="1"/>
    <col min="2575" max="2576" width="8.42578125" style="94"/>
    <col min="2577" max="2577" width="3.28515625" style="94" customWidth="1"/>
    <col min="2578" max="2816" width="8.42578125" style="94"/>
    <col min="2817" max="2817" width="10" style="94" bestFit="1" customWidth="1"/>
    <col min="2818" max="2818" width="44.28515625" style="94" bestFit="1" customWidth="1"/>
    <col min="2819" max="2819" width="10.42578125" style="94" bestFit="1" customWidth="1"/>
    <col min="2820" max="2820" width="10.42578125" style="94" customWidth="1"/>
    <col min="2821" max="2821" width="9.7109375" style="94" bestFit="1" customWidth="1"/>
    <col min="2822" max="2823" width="9.5703125" style="94" bestFit="1" customWidth="1"/>
    <col min="2824" max="2824" width="10.42578125" style="94" bestFit="1" customWidth="1"/>
    <col min="2825" max="2825" width="4.5703125" style="94" customWidth="1"/>
    <col min="2826" max="2826" width="1.7109375" style="94" customWidth="1"/>
    <col min="2827" max="2827" width="7" style="94" bestFit="1" customWidth="1"/>
    <col min="2828" max="2828" width="6.28515625" style="94" customWidth="1"/>
    <col min="2829" max="2829" width="20.42578125" style="94" customWidth="1"/>
    <col min="2830" max="2830" width="6.42578125" style="94" bestFit="1" customWidth="1"/>
    <col min="2831" max="2832" width="8.42578125" style="94"/>
    <col min="2833" max="2833" width="3.28515625" style="94" customWidth="1"/>
    <col min="2834" max="3072" width="8.42578125" style="94"/>
    <col min="3073" max="3073" width="10" style="94" bestFit="1" customWidth="1"/>
    <col min="3074" max="3074" width="44.28515625" style="94" bestFit="1" customWidth="1"/>
    <col min="3075" max="3075" width="10.42578125" style="94" bestFit="1" customWidth="1"/>
    <col min="3076" max="3076" width="10.42578125" style="94" customWidth="1"/>
    <col min="3077" max="3077" width="9.7109375" style="94" bestFit="1" customWidth="1"/>
    <col min="3078" max="3079" width="9.5703125" style="94" bestFit="1" customWidth="1"/>
    <col min="3080" max="3080" width="10.42578125" style="94" bestFit="1" customWidth="1"/>
    <col min="3081" max="3081" width="4.5703125" style="94" customWidth="1"/>
    <col min="3082" max="3082" width="1.7109375" style="94" customWidth="1"/>
    <col min="3083" max="3083" width="7" style="94" bestFit="1" customWidth="1"/>
    <col min="3084" max="3084" width="6.28515625" style="94" customWidth="1"/>
    <col min="3085" max="3085" width="20.42578125" style="94" customWidth="1"/>
    <col min="3086" max="3086" width="6.42578125" style="94" bestFit="1" customWidth="1"/>
    <col min="3087" max="3088" width="8.42578125" style="94"/>
    <col min="3089" max="3089" width="3.28515625" style="94" customWidth="1"/>
    <col min="3090" max="3328" width="8.42578125" style="94"/>
    <col min="3329" max="3329" width="10" style="94" bestFit="1" customWidth="1"/>
    <col min="3330" max="3330" width="44.28515625" style="94" bestFit="1" customWidth="1"/>
    <col min="3331" max="3331" width="10.42578125" style="94" bestFit="1" customWidth="1"/>
    <col min="3332" max="3332" width="10.42578125" style="94" customWidth="1"/>
    <col min="3333" max="3333" width="9.7109375" style="94" bestFit="1" customWidth="1"/>
    <col min="3334" max="3335" width="9.5703125" style="94" bestFit="1" customWidth="1"/>
    <col min="3336" max="3336" width="10.42578125" style="94" bestFit="1" customWidth="1"/>
    <col min="3337" max="3337" width="4.5703125" style="94" customWidth="1"/>
    <col min="3338" max="3338" width="1.7109375" style="94" customWidth="1"/>
    <col min="3339" max="3339" width="7" style="94" bestFit="1" customWidth="1"/>
    <col min="3340" max="3340" width="6.28515625" style="94" customWidth="1"/>
    <col min="3341" max="3341" width="20.42578125" style="94" customWidth="1"/>
    <col min="3342" max="3342" width="6.42578125" style="94" bestFit="1" customWidth="1"/>
    <col min="3343" max="3344" width="8.42578125" style="94"/>
    <col min="3345" max="3345" width="3.28515625" style="94" customWidth="1"/>
    <col min="3346" max="3584" width="8.42578125" style="94"/>
    <col min="3585" max="3585" width="10" style="94" bestFit="1" customWidth="1"/>
    <col min="3586" max="3586" width="44.28515625" style="94" bestFit="1" customWidth="1"/>
    <col min="3587" max="3587" width="10.42578125" style="94" bestFit="1" customWidth="1"/>
    <col min="3588" max="3588" width="10.42578125" style="94" customWidth="1"/>
    <col min="3589" max="3589" width="9.7109375" style="94" bestFit="1" customWidth="1"/>
    <col min="3590" max="3591" width="9.5703125" style="94" bestFit="1" customWidth="1"/>
    <col min="3592" max="3592" width="10.42578125" style="94" bestFit="1" customWidth="1"/>
    <col min="3593" max="3593" width="4.5703125" style="94" customWidth="1"/>
    <col min="3594" max="3594" width="1.7109375" style="94" customWidth="1"/>
    <col min="3595" max="3595" width="7" style="94" bestFit="1" customWidth="1"/>
    <col min="3596" max="3596" width="6.28515625" style="94" customWidth="1"/>
    <col min="3597" max="3597" width="20.42578125" style="94" customWidth="1"/>
    <col min="3598" max="3598" width="6.42578125" style="94" bestFit="1" customWidth="1"/>
    <col min="3599" max="3600" width="8.42578125" style="94"/>
    <col min="3601" max="3601" width="3.28515625" style="94" customWidth="1"/>
    <col min="3602" max="3840" width="8.42578125" style="94"/>
    <col min="3841" max="3841" width="10" style="94" bestFit="1" customWidth="1"/>
    <col min="3842" max="3842" width="44.28515625" style="94" bestFit="1" customWidth="1"/>
    <col min="3843" max="3843" width="10.42578125" style="94" bestFit="1" customWidth="1"/>
    <col min="3844" max="3844" width="10.42578125" style="94" customWidth="1"/>
    <col min="3845" max="3845" width="9.7109375" style="94" bestFit="1" customWidth="1"/>
    <col min="3846" max="3847" width="9.5703125" style="94" bestFit="1" customWidth="1"/>
    <col min="3848" max="3848" width="10.42578125" style="94" bestFit="1" customWidth="1"/>
    <col min="3849" max="3849" width="4.5703125" style="94" customWidth="1"/>
    <col min="3850" max="3850" width="1.7109375" style="94" customWidth="1"/>
    <col min="3851" max="3851" width="7" style="94" bestFit="1" customWidth="1"/>
    <col min="3852" max="3852" width="6.28515625" style="94" customWidth="1"/>
    <col min="3853" max="3853" width="20.42578125" style="94" customWidth="1"/>
    <col min="3854" max="3854" width="6.42578125" style="94" bestFit="1" customWidth="1"/>
    <col min="3855" max="3856" width="8.42578125" style="94"/>
    <col min="3857" max="3857" width="3.28515625" style="94" customWidth="1"/>
    <col min="3858" max="4096" width="8.42578125" style="94"/>
    <col min="4097" max="4097" width="10" style="94" bestFit="1" customWidth="1"/>
    <col min="4098" max="4098" width="44.28515625" style="94" bestFit="1" customWidth="1"/>
    <col min="4099" max="4099" width="10.42578125" style="94" bestFit="1" customWidth="1"/>
    <col min="4100" max="4100" width="10.42578125" style="94" customWidth="1"/>
    <col min="4101" max="4101" width="9.7109375" style="94" bestFit="1" customWidth="1"/>
    <col min="4102" max="4103" width="9.5703125" style="94" bestFit="1" customWidth="1"/>
    <col min="4104" max="4104" width="10.42578125" style="94" bestFit="1" customWidth="1"/>
    <col min="4105" max="4105" width="4.5703125" style="94" customWidth="1"/>
    <col min="4106" max="4106" width="1.7109375" style="94" customWidth="1"/>
    <col min="4107" max="4107" width="7" style="94" bestFit="1" customWidth="1"/>
    <col min="4108" max="4108" width="6.28515625" style="94" customWidth="1"/>
    <col min="4109" max="4109" width="20.42578125" style="94" customWidth="1"/>
    <col min="4110" max="4110" width="6.42578125" style="94" bestFit="1" customWidth="1"/>
    <col min="4111" max="4112" width="8.42578125" style="94"/>
    <col min="4113" max="4113" width="3.28515625" style="94" customWidth="1"/>
    <col min="4114" max="4352" width="8.42578125" style="94"/>
    <col min="4353" max="4353" width="10" style="94" bestFit="1" customWidth="1"/>
    <col min="4354" max="4354" width="44.28515625" style="94" bestFit="1" customWidth="1"/>
    <col min="4355" max="4355" width="10.42578125" style="94" bestFit="1" customWidth="1"/>
    <col min="4356" max="4356" width="10.42578125" style="94" customWidth="1"/>
    <col min="4357" max="4357" width="9.7109375" style="94" bestFit="1" customWidth="1"/>
    <col min="4358" max="4359" width="9.5703125" style="94" bestFit="1" customWidth="1"/>
    <col min="4360" max="4360" width="10.42578125" style="94" bestFit="1" customWidth="1"/>
    <col min="4361" max="4361" width="4.5703125" style="94" customWidth="1"/>
    <col min="4362" max="4362" width="1.7109375" style="94" customWidth="1"/>
    <col min="4363" max="4363" width="7" style="94" bestFit="1" customWidth="1"/>
    <col min="4364" max="4364" width="6.28515625" style="94" customWidth="1"/>
    <col min="4365" max="4365" width="20.42578125" style="94" customWidth="1"/>
    <col min="4366" max="4366" width="6.42578125" style="94" bestFit="1" customWidth="1"/>
    <col min="4367" max="4368" width="8.42578125" style="94"/>
    <col min="4369" max="4369" width="3.28515625" style="94" customWidth="1"/>
    <col min="4370" max="4608" width="8.42578125" style="94"/>
    <col min="4609" max="4609" width="10" style="94" bestFit="1" customWidth="1"/>
    <col min="4610" max="4610" width="44.28515625" style="94" bestFit="1" customWidth="1"/>
    <col min="4611" max="4611" width="10.42578125" style="94" bestFit="1" customWidth="1"/>
    <col min="4612" max="4612" width="10.42578125" style="94" customWidth="1"/>
    <col min="4613" max="4613" width="9.7109375" style="94" bestFit="1" customWidth="1"/>
    <col min="4614" max="4615" width="9.5703125" style="94" bestFit="1" customWidth="1"/>
    <col min="4616" max="4616" width="10.42578125" style="94" bestFit="1" customWidth="1"/>
    <col min="4617" max="4617" width="4.5703125" style="94" customWidth="1"/>
    <col min="4618" max="4618" width="1.7109375" style="94" customWidth="1"/>
    <col min="4619" max="4619" width="7" style="94" bestFit="1" customWidth="1"/>
    <col min="4620" max="4620" width="6.28515625" style="94" customWidth="1"/>
    <col min="4621" max="4621" width="20.42578125" style="94" customWidth="1"/>
    <col min="4622" max="4622" width="6.42578125" style="94" bestFit="1" customWidth="1"/>
    <col min="4623" max="4624" width="8.42578125" style="94"/>
    <col min="4625" max="4625" width="3.28515625" style="94" customWidth="1"/>
    <col min="4626" max="4864" width="8.42578125" style="94"/>
    <col min="4865" max="4865" width="10" style="94" bestFit="1" customWidth="1"/>
    <col min="4866" max="4866" width="44.28515625" style="94" bestFit="1" customWidth="1"/>
    <col min="4867" max="4867" width="10.42578125" style="94" bestFit="1" customWidth="1"/>
    <col min="4868" max="4868" width="10.42578125" style="94" customWidth="1"/>
    <col min="4869" max="4869" width="9.7109375" style="94" bestFit="1" customWidth="1"/>
    <col min="4870" max="4871" width="9.5703125" style="94" bestFit="1" customWidth="1"/>
    <col min="4872" max="4872" width="10.42578125" style="94" bestFit="1" customWidth="1"/>
    <col min="4873" max="4873" width="4.5703125" style="94" customWidth="1"/>
    <col min="4874" max="4874" width="1.7109375" style="94" customWidth="1"/>
    <col min="4875" max="4875" width="7" style="94" bestFit="1" customWidth="1"/>
    <col min="4876" max="4876" width="6.28515625" style="94" customWidth="1"/>
    <col min="4877" max="4877" width="20.42578125" style="94" customWidth="1"/>
    <col min="4878" max="4878" width="6.42578125" style="94" bestFit="1" customWidth="1"/>
    <col min="4879" max="4880" width="8.42578125" style="94"/>
    <col min="4881" max="4881" width="3.28515625" style="94" customWidth="1"/>
    <col min="4882" max="5120" width="8.42578125" style="94"/>
    <col min="5121" max="5121" width="10" style="94" bestFit="1" customWidth="1"/>
    <col min="5122" max="5122" width="44.28515625" style="94" bestFit="1" customWidth="1"/>
    <col min="5123" max="5123" width="10.42578125" style="94" bestFit="1" customWidth="1"/>
    <col min="5124" max="5124" width="10.42578125" style="94" customWidth="1"/>
    <col min="5125" max="5125" width="9.7109375" style="94" bestFit="1" customWidth="1"/>
    <col min="5126" max="5127" width="9.5703125" style="94" bestFit="1" customWidth="1"/>
    <col min="5128" max="5128" width="10.42578125" style="94" bestFit="1" customWidth="1"/>
    <col min="5129" max="5129" width="4.5703125" style="94" customWidth="1"/>
    <col min="5130" max="5130" width="1.7109375" style="94" customWidth="1"/>
    <col min="5131" max="5131" width="7" style="94" bestFit="1" customWidth="1"/>
    <col min="5132" max="5132" width="6.28515625" style="94" customWidth="1"/>
    <col min="5133" max="5133" width="20.42578125" style="94" customWidth="1"/>
    <col min="5134" max="5134" width="6.42578125" style="94" bestFit="1" customWidth="1"/>
    <col min="5135" max="5136" width="8.42578125" style="94"/>
    <col min="5137" max="5137" width="3.28515625" style="94" customWidth="1"/>
    <col min="5138" max="5376" width="8.42578125" style="94"/>
    <col min="5377" max="5377" width="10" style="94" bestFit="1" customWidth="1"/>
    <col min="5378" max="5378" width="44.28515625" style="94" bestFit="1" customWidth="1"/>
    <col min="5379" max="5379" width="10.42578125" style="94" bestFit="1" customWidth="1"/>
    <col min="5380" max="5380" width="10.42578125" style="94" customWidth="1"/>
    <col min="5381" max="5381" width="9.7109375" style="94" bestFit="1" customWidth="1"/>
    <col min="5382" max="5383" width="9.5703125" style="94" bestFit="1" customWidth="1"/>
    <col min="5384" max="5384" width="10.42578125" style="94" bestFit="1" customWidth="1"/>
    <col min="5385" max="5385" width="4.5703125" style="94" customWidth="1"/>
    <col min="5386" max="5386" width="1.7109375" style="94" customWidth="1"/>
    <col min="5387" max="5387" width="7" style="94" bestFit="1" customWidth="1"/>
    <col min="5388" max="5388" width="6.28515625" style="94" customWidth="1"/>
    <col min="5389" max="5389" width="20.42578125" style="94" customWidth="1"/>
    <col min="5390" max="5390" width="6.42578125" style="94" bestFit="1" customWidth="1"/>
    <col min="5391" max="5392" width="8.42578125" style="94"/>
    <col min="5393" max="5393" width="3.28515625" style="94" customWidth="1"/>
    <col min="5394" max="5632" width="8.42578125" style="94"/>
    <col min="5633" max="5633" width="10" style="94" bestFit="1" customWidth="1"/>
    <col min="5634" max="5634" width="44.28515625" style="94" bestFit="1" customWidth="1"/>
    <col min="5635" max="5635" width="10.42578125" style="94" bestFit="1" customWidth="1"/>
    <col min="5636" max="5636" width="10.42578125" style="94" customWidth="1"/>
    <col min="5637" max="5637" width="9.7109375" style="94" bestFit="1" customWidth="1"/>
    <col min="5638" max="5639" width="9.5703125" style="94" bestFit="1" customWidth="1"/>
    <col min="5640" max="5640" width="10.42578125" style="94" bestFit="1" customWidth="1"/>
    <col min="5641" max="5641" width="4.5703125" style="94" customWidth="1"/>
    <col min="5642" max="5642" width="1.7109375" style="94" customWidth="1"/>
    <col min="5643" max="5643" width="7" style="94" bestFit="1" customWidth="1"/>
    <col min="5644" max="5644" width="6.28515625" style="94" customWidth="1"/>
    <col min="5645" max="5645" width="20.42578125" style="94" customWidth="1"/>
    <col min="5646" max="5646" width="6.42578125" style="94" bestFit="1" customWidth="1"/>
    <col min="5647" max="5648" width="8.42578125" style="94"/>
    <col min="5649" max="5649" width="3.28515625" style="94" customWidth="1"/>
    <col min="5650" max="5888" width="8.42578125" style="94"/>
    <col min="5889" max="5889" width="10" style="94" bestFit="1" customWidth="1"/>
    <col min="5890" max="5890" width="44.28515625" style="94" bestFit="1" customWidth="1"/>
    <col min="5891" max="5891" width="10.42578125" style="94" bestFit="1" customWidth="1"/>
    <col min="5892" max="5892" width="10.42578125" style="94" customWidth="1"/>
    <col min="5893" max="5893" width="9.7109375" style="94" bestFit="1" customWidth="1"/>
    <col min="5894" max="5895" width="9.5703125" style="94" bestFit="1" customWidth="1"/>
    <col min="5896" max="5896" width="10.42578125" style="94" bestFit="1" customWidth="1"/>
    <col min="5897" max="5897" width="4.5703125" style="94" customWidth="1"/>
    <col min="5898" max="5898" width="1.7109375" style="94" customWidth="1"/>
    <col min="5899" max="5899" width="7" style="94" bestFit="1" customWidth="1"/>
    <col min="5900" max="5900" width="6.28515625" style="94" customWidth="1"/>
    <col min="5901" max="5901" width="20.42578125" style="94" customWidth="1"/>
    <col min="5902" max="5902" width="6.42578125" style="94" bestFit="1" customWidth="1"/>
    <col min="5903" max="5904" width="8.42578125" style="94"/>
    <col min="5905" max="5905" width="3.28515625" style="94" customWidth="1"/>
    <col min="5906" max="6144" width="8.42578125" style="94"/>
    <col min="6145" max="6145" width="10" style="94" bestFit="1" customWidth="1"/>
    <col min="6146" max="6146" width="44.28515625" style="94" bestFit="1" customWidth="1"/>
    <col min="6147" max="6147" width="10.42578125" style="94" bestFit="1" customWidth="1"/>
    <col min="6148" max="6148" width="10.42578125" style="94" customWidth="1"/>
    <col min="6149" max="6149" width="9.7109375" style="94" bestFit="1" customWidth="1"/>
    <col min="6150" max="6151" width="9.5703125" style="94" bestFit="1" customWidth="1"/>
    <col min="6152" max="6152" width="10.42578125" style="94" bestFit="1" customWidth="1"/>
    <col min="6153" max="6153" width="4.5703125" style="94" customWidth="1"/>
    <col min="6154" max="6154" width="1.7109375" style="94" customWidth="1"/>
    <col min="6155" max="6155" width="7" style="94" bestFit="1" customWidth="1"/>
    <col min="6156" max="6156" width="6.28515625" style="94" customWidth="1"/>
    <col min="6157" max="6157" width="20.42578125" style="94" customWidth="1"/>
    <col min="6158" max="6158" width="6.42578125" style="94" bestFit="1" customWidth="1"/>
    <col min="6159" max="6160" width="8.42578125" style="94"/>
    <col min="6161" max="6161" width="3.28515625" style="94" customWidth="1"/>
    <col min="6162" max="6400" width="8.42578125" style="94"/>
    <col min="6401" max="6401" width="10" style="94" bestFit="1" customWidth="1"/>
    <col min="6402" max="6402" width="44.28515625" style="94" bestFit="1" customWidth="1"/>
    <col min="6403" max="6403" width="10.42578125" style="94" bestFit="1" customWidth="1"/>
    <col min="6404" max="6404" width="10.42578125" style="94" customWidth="1"/>
    <col min="6405" max="6405" width="9.7109375" style="94" bestFit="1" customWidth="1"/>
    <col min="6406" max="6407" width="9.5703125" style="94" bestFit="1" customWidth="1"/>
    <col min="6408" max="6408" width="10.42578125" style="94" bestFit="1" customWidth="1"/>
    <col min="6409" max="6409" width="4.5703125" style="94" customWidth="1"/>
    <col min="6410" max="6410" width="1.7109375" style="94" customWidth="1"/>
    <col min="6411" max="6411" width="7" style="94" bestFit="1" customWidth="1"/>
    <col min="6412" max="6412" width="6.28515625" style="94" customWidth="1"/>
    <col min="6413" max="6413" width="20.42578125" style="94" customWidth="1"/>
    <col min="6414" max="6414" width="6.42578125" style="94" bestFit="1" customWidth="1"/>
    <col min="6415" max="6416" width="8.42578125" style="94"/>
    <col min="6417" max="6417" width="3.28515625" style="94" customWidth="1"/>
    <col min="6418" max="6656" width="8.42578125" style="94"/>
    <col min="6657" max="6657" width="10" style="94" bestFit="1" customWidth="1"/>
    <col min="6658" max="6658" width="44.28515625" style="94" bestFit="1" customWidth="1"/>
    <col min="6659" max="6659" width="10.42578125" style="94" bestFit="1" customWidth="1"/>
    <col min="6660" max="6660" width="10.42578125" style="94" customWidth="1"/>
    <col min="6661" max="6661" width="9.7109375" style="94" bestFit="1" customWidth="1"/>
    <col min="6662" max="6663" width="9.5703125" style="94" bestFit="1" customWidth="1"/>
    <col min="6664" max="6664" width="10.42578125" style="94" bestFit="1" customWidth="1"/>
    <col min="6665" max="6665" width="4.5703125" style="94" customWidth="1"/>
    <col min="6666" max="6666" width="1.7109375" style="94" customWidth="1"/>
    <col min="6667" max="6667" width="7" style="94" bestFit="1" customWidth="1"/>
    <col min="6668" max="6668" width="6.28515625" style="94" customWidth="1"/>
    <col min="6669" max="6669" width="20.42578125" style="94" customWidth="1"/>
    <col min="6670" max="6670" width="6.42578125" style="94" bestFit="1" customWidth="1"/>
    <col min="6671" max="6672" width="8.42578125" style="94"/>
    <col min="6673" max="6673" width="3.28515625" style="94" customWidth="1"/>
    <col min="6674" max="6912" width="8.42578125" style="94"/>
    <col min="6913" max="6913" width="10" style="94" bestFit="1" customWidth="1"/>
    <col min="6914" max="6914" width="44.28515625" style="94" bestFit="1" customWidth="1"/>
    <col min="6915" max="6915" width="10.42578125" style="94" bestFit="1" customWidth="1"/>
    <col min="6916" max="6916" width="10.42578125" style="94" customWidth="1"/>
    <col min="6917" max="6917" width="9.7109375" style="94" bestFit="1" customWidth="1"/>
    <col min="6918" max="6919" width="9.5703125" style="94" bestFit="1" customWidth="1"/>
    <col min="6920" max="6920" width="10.42578125" style="94" bestFit="1" customWidth="1"/>
    <col min="6921" max="6921" width="4.5703125" style="94" customWidth="1"/>
    <col min="6922" max="6922" width="1.7109375" style="94" customWidth="1"/>
    <col min="6923" max="6923" width="7" style="94" bestFit="1" customWidth="1"/>
    <col min="6924" max="6924" width="6.28515625" style="94" customWidth="1"/>
    <col min="6925" max="6925" width="20.42578125" style="94" customWidth="1"/>
    <col min="6926" max="6926" width="6.42578125" style="94" bestFit="1" customWidth="1"/>
    <col min="6927" max="6928" width="8.42578125" style="94"/>
    <col min="6929" max="6929" width="3.28515625" style="94" customWidth="1"/>
    <col min="6930" max="7168" width="8.42578125" style="94"/>
    <col min="7169" max="7169" width="10" style="94" bestFit="1" customWidth="1"/>
    <col min="7170" max="7170" width="44.28515625" style="94" bestFit="1" customWidth="1"/>
    <col min="7171" max="7171" width="10.42578125" style="94" bestFit="1" customWidth="1"/>
    <col min="7172" max="7172" width="10.42578125" style="94" customWidth="1"/>
    <col min="7173" max="7173" width="9.7109375" style="94" bestFit="1" customWidth="1"/>
    <col min="7174" max="7175" width="9.5703125" style="94" bestFit="1" customWidth="1"/>
    <col min="7176" max="7176" width="10.42578125" style="94" bestFit="1" customWidth="1"/>
    <col min="7177" max="7177" width="4.5703125" style="94" customWidth="1"/>
    <col min="7178" max="7178" width="1.7109375" style="94" customWidth="1"/>
    <col min="7179" max="7179" width="7" style="94" bestFit="1" customWidth="1"/>
    <col min="7180" max="7180" width="6.28515625" style="94" customWidth="1"/>
    <col min="7181" max="7181" width="20.42578125" style="94" customWidth="1"/>
    <col min="7182" max="7182" width="6.42578125" style="94" bestFit="1" customWidth="1"/>
    <col min="7183" max="7184" width="8.42578125" style="94"/>
    <col min="7185" max="7185" width="3.28515625" style="94" customWidth="1"/>
    <col min="7186" max="7424" width="8.42578125" style="94"/>
    <col min="7425" max="7425" width="10" style="94" bestFit="1" customWidth="1"/>
    <col min="7426" max="7426" width="44.28515625" style="94" bestFit="1" customWidth="1"/>
    <col min="7427" max="7427" width="10.42578125" style="94" bestFit="1" customWidth="1"/>
    <col min="7428" max="7428" width="10.42578125" style="94" customWidth="1"/>
    <col min="7429" max="7429" width="9.7109375" style="94" bestFit="1" customWidth="1"/>
    <col min="7430" max="7431" width="9.5703125" style="94" bestFit="1" customWidth="1"/>
    <col min="7432" max="7432" width="10.42578125" style="94" bestFit="1" customWidth="1"/>
    <col min="7433" max="7433" width="4.5703125" style="94" customWidth="1"/>
    <col min="7434" max="7434" width="1.7109375" style="94" customWidth="1"/>
    <col min="7435" max="7435" width="7" style="94" bestFit="1" customWidth="1"/>
    <col min="7436" max="7436" width="6.28515625" style="94" customWidth="1"/>
    <col min="7437" max="7437" width="20.42578125" style="94" customWidth="1"/>
    <col min="7438" max="7438" width="6.42578125" style="94" bestFit="1" customWidth="1"/>
    <col min="7439" max="7440" width="8.42578125" style="94"/>
    <col min="7441" max="7441" width="3.28515625" style="94" customWidth="1"/>
    <col min="7442" max="7680" width="8.42578125" style="94"/>
    <col min="7681" max="7681" width="10" style="94" bestFit="1" customWidth="1"/>
    <col min="7682" max="7682" width="44.28515625" style="94" bestFit="1" customWidth="1"/>
    <col min="7683" max="7683" width="10.42578125" style="94" bestFit="1" customWidth="1"/>
    <col min="7684" max="7684" width="10.42578125" style="94" customWidth="1"/>
    <col min="7685" max="7685" width="9.7109375" style="94" bestFit="1" customWidth="1"/>
    <col min="7686" max="7687" width="9.5703125" style="94" bestFit="1" customWidth="1"/>
    <col min="7688" max="7688" width="10.42578125" style="94" bestFit="1" customWidth="1"/>
    <col min="7689" max="7689" width="4.5703125" style="94" customWidth="1"/>
    <col min="7690" max="7690" width="1.7109375" style="94" customWidth="1"/>
    <col min="7691" max="7691" width="7" style="94" bestFit="1" customWidth="1"/>
    <col min="7692" max="7692" width="6.28515625" style="94" customWidth="1"/>
    <col min="7693" max="7693" width="20.42578125" style="94" customWidth="1"/>
    <col min="7694" max="7694" width="6.42578125" style="94" bestFit="1" customWidth="1"/>
    <col min="7695" max="7696" width="8.42578125" style="94"/>
    <col min="7697" max="7697" width="3.28515625" style="94" customWidth="1"/>
    <col min="7698" max="7936" width="8.42578125" style="94"/>
    <col min="7937" max="7937" width="10" style="94" bestFit="1" customWidth="1"/>
    <col min="7938" max="7938" width="44.28515625" style="94" bestFit="1" customWidth="1"/>
    <col min="7939" max="7939" width="10.42578125" style="94" bestFit="1" customWidth="1"/>
    <col min="7940" max="7940" width="10.42578125" style="94" customWidth="1"/>
    <col min="7941" max="7941" width="9.7109375" style="94" bestFit="1" customWidth="1"/>
    <col min="7942" max="7943" width="9.5703125" style="94" bestFit="1" customWidth="1"/>
    <col min="7944" max="7944" width="10.42578125" style="94" bestFit="1" customWidth="1"/>
    <col min="7945" max="7945" width="4.5703125" style="94" customWidth="1"/>
    <col min="7946" max="7946" width="1.7109375" style="94" customWidth="1"/>
    <col min="7947" max="7947" width="7" style="94" bestFit="1" customWidth="1"/>
    <col min="7948" max="7948" width="6.28515625" style="94" customWidth="1"/>
    <col min="7949" max="7949" width="20.42578125" style="94" customWidth="1"/>
    <col min="7950" max="7950" width="6.42578125" style="94" bestFit="1" customWidth="1"/>
    <col min="7951" max="7952" width="8.42578125" style="94"/>
    <col min="7953" max="7953" width="3.28515625" style="94" customWidth="1"/>
    <col min="7954" max="8192" width="8.42578125" style="94"/>
    <col min="8193" max="8193" width="10" style="94" bestFit="1" customWidth="1"/>
    <col min="8194" max="8194" width="44.28515625" style="94" bestFit="1" customWidth="1"/>
    <col min="8195" max="8195" width="10.42578125" style="94" bestFit="1" customWidth="1"/>
    <col min="8196" max="8196" width="10.42578125" style="94" customWidth="1"/>
    <col min="8197" max="8197" width="9.7109375" style="94" bestFit="1" customWidth="1"/>
    <col min="8198" max="8199" width="9.5703125" style="94" bestFit="1" customWidth="1"/>
    <col min="8200" max="8200" width="10.42578125" style="94" bestFit="1" customWidth="1"/>
    <col min="8201" max="8201" width="4.5703125" style="94" customWidth="1"/>
    <col min="8202" max="8202" width="1.7109375" style="94" customWidth="1"/>
    <col min="8203" max="8203" width="7" style="94" bestFit="1" customWidth="1"/>
    <col min="8204" max="8204" width="6.28515625" style="94" customWidth="1"/>
    <col min="8205" max="8205" width="20.42578125" style="94" customWidth="1"/>
    <col min="8206" max="8206" width="6.42578125" style="94" bestFit="1" customWidth="1"/>
    <col min="8207" max="8208" width="8.42578125" style="94"/>
    <col min="8209" max="8209" width="3.28515625" style="94" customWidth="1"/>
    <col min="8210" max="8448" width="8.42578125" style="94"/>
    <col min="8449" max="8449" width="10" style="94" bestFit="1" customWidth="1"/>
    <col min="8450" max="8450" width="44.28515625" style="94" bestFit="1" customWidth="1"/>
    <col min="8451" max="8451" width="10.42578125" style="94" bestFit="1" customWidth="1"/>
    <col min="8452" max="8452" width="10.42578125" style="94" customWidth="1"/>
    <col min="8453" max="8453" width="9.7109375" style="94" bestFit="1" customWidth="1"/>
    <col min="8454" max="8455" width="9.5703125" style="94" bestFit="1" customWidth="1"/>
    <col min="8456" max="8456" width="10.42578125" style="94" bestFit="1" customWidth="1"/>
    <col min="8457" max="8457" width="4.5703125" style="94" customWidth="1"/>
    <col min="8458" max="8458" width="1.7109375" style="94" customWidth="1"/>
    <col min="8459" max="8459" width="7" style="94" bestFit="1" customWidth="1"/>
    <col min="8460" max="8460" width="6.28515625" style="94" customWidth="1"/>
    <col min="8461" max="8461" width="20.42578125" style="94" customWidth="1"/>
    <col min="8462" max="8462" width="6.42578125" style="94" bestFit="1" customWidth="1"/>
    <col min="8463" max="8464" width="8.42578125" style="94"/>
    <col min="8465" max="8465" width="3.28515625" style="94" customWidth="1"/>
    <col min="8466" max="8704" width="8.42578125" style="94"/>
    <col min="8705" max="8705" width="10" style="94" bestFit="1" customWidth="1"/>
    <col min="8706" max="8706" width="44.28515625" style="94" bestFit="1" customWidth="1"/>
    <col min="8707" max="8707" width="10.42578125" style="94" bestFit="1" customWidth="1"/>
    <col min="8708" max="8708" width="10.42578125" style="94" customWidth="1"/>
    <col min="8709" max="8709" width="9.7109375" style="94" bestFit="1" customWidth="1"/>
    <col min="8710" max="8711" width="9.5703125" style="94" bestFit="1" customWidth="1"/>
    <col min="8712" max="8712" width="10.42578125" style="94" bestFit="1" customWidth="1"/>
    <col min="8713" max="8713" width="4.5703125" style="94" customWidth="1"/>
    <col min="8714" max="8714" width="1.7109375" style="94" customWidth="1"/>
    <col min="8715" max="8715" width="7" style="94" bestFit="1" customWidth="1"/>
    <col min="8716" max="8716" width="6.28515625" style="94" customWidth="1"/>
    <col min="8717" max="8717" width="20.42578125" style="94" customWidth="1"/>
    <col min="8718" max="8718" width="6.42578125" style="94" bestFit="1" customWidth="1"/>
    <col min="8719" max="8720" width="8.42578125" style="94"/>
    <col min="8721" max="8721" width="3.28515625" style="94" customWidth="1"/>
    <col min="8722" max="8960" width="8.42578125" style="94"/>
    <col min="8961" max="8961" width="10" style="94" bestFit="1" customWidth="1"/>
    <col min="8962" max="8962" width="44.28515625" style="94" bestFit="1" customWidth="1"/>
    <col min="8963" max="8963" width="10.42578125" style="94" bestFit="1" customWidth="1"/>
    <col min="8964" max="8964" width="10.42578125" style="94" customWidth="1"/>
    <col min="8965" max="8965" width="9.7109375" style="94" bestFit="1" customWidth="1"/>
    <col min="8966" max="8967" width="9.5703125" style="94" bestFit="1" customWidth="1"/>
    <col min="8968" max="8968" width="10.42578125" style="94" bestFit="1" customWidth="1"/>
    <col min="8969" max="8969" width="4.5703125" style="94" customWidth="1"/>
    <col min="8970" max="8970" width="1.7109375" style="94" customWidth="1"/>
    <col min="8971" max="8971" width="7" style="94" bestFit="1" customWidth="1"/>
    <col min="8972" max="8972" width="6.28515625" style="94" customWidth="1"/>
    <col min="8973" max="8973" width="20.42578125" style="94" customWidth="1"/>
    <col min="8974" max="8974" width="6.42578125" style="94" bestFit="1" customWidth="1"/>
    <col min="8975" max="8976" width="8.42578125" style="94"/>
    <col min="8977" max="8977" width="3.28515625" style="94" customWidth="1"/>
    <col min="8978" max="9216" width="8.42578125" style="94"/>
    <col min="9217" max="9217" width="10" style="94" bestFit="1" customWidth="1"/>
    <col min="9218" max="9218" width="44.28515625" style="94" bestFit="1" customWidth="1"/>
    <col min="9219" max="9219" width="10.42578125" style="94" bestFit="1" customWidth="1"/>
    <col min="9220" max="9220" width="10.42578125" style="94" customWidth="1"/>
    <col min="9221" max="9221" width="9.7109375" style="94" bestFit="1" customWidth="1"/>
    <col min="9222" max="9223" width="9.5703125" style="94" bestFit="1" customWidth="1"/>
    <col min="9224" max="9224" width="10.42578125" style="94" bestFit="1" customWidth="1"/>
    <col min="9225" max="9225" width="4.5703125" style="94" customWidth="1"/>
    <col min="9226" max="9226" width="1.7109375" style="94" customWidth="1"/>
    <col min="9227" max="9227" width="7" style="94" bestFit="1" customWidth="1"/>
    <col min="9228" max="9228" width="6.28515625" style="94" customWidth="1"/>
    <col min="9229" max="9229" width="20.42578125" style="94" customWidth="1"/>
    <col min="9230" max="9230" width="6.42578125" style="94" bestFit="1" customWidth="1"/>
    <col min="9231" max="9232" width="8.42578125" style="94"/>
    <col min="9233" max="9233" width="3.28515625" style="94" customWidth="1"/>
    <col min="9234" max="9472" width="8.42578125" style="94"/>
    <col min="9473" max="9473" width="10" style="94" bestFit="1" customWidth="1"/>
    <col min="9474" max="9474" width="44.28515625" style="94" bestFit="1" customWidth="1"/>
    <col min="9475" max="9475" width="10.42578125" style="94" bestFit="1" customWidth="1"/>
    <col min="9476" max="9476" width="10.42578125" style="94" customWidth="1"/>
    <col min="9477" max="9477" width="9.7109375" style="94" bestFit="1" customWidth="1"/>
    <col min="9478" max="9479" width="9.5703125" style="94" bestFit="1" customWidth="1"/>
    <col min="9480" max="9480" width="10.42578125" style="94" bestFit="1" customWidth="1"/>
    <col min="9481" max="9481" width="4.5703125" style="94" customWidth="1"/>
    <col min="9482" max="9482" width="1.7109375" style="94" customWidth="1"/>
    <col min="9483" max="9483" width="7" style="94" bestFit="1" customWidth="1"/>
    <col min="9484" max="9484" width="6.28515625" style="94" customWidth="1"/>
    <col min="9485" max="9485" width="20.42578125" style="94" customWidth="1"/>
    <col min="9486" max="9486" width="6.42578125" style="94" bestFit="1" customWidth="1"/>
    <col min="9487" max="9488" width="8.42578125" style="94"/>
    <col min="9489" max="9489" width="3.28515625" style="94" customWidth="1"/>
    <col min="9490" max="9728" width="8.42578125" style="94"/>
    <col min="9729" max="9729" width="10" style="94" bestFit="1" customWidth="1"/>
    <col min="9730" max="9730" width="44.28515625" style="94" bestFit="1" customWidth="1"/>
    <col min="9731" max="9731" width="10.42578125" style="94" bestFit="1" customWidth="1"/>
    <col min="9732" max="9732" width="10.42578125" style="94" customWidth="1"/>
    <col min="9733" max="9733" width="9.7109375" style="94" bestFit="1" customWidth="1"/>
    <col min="9734" max="9735" width="9.5703125" style="94" bestFit="1" customWidth="1"/>
    <col min="9736" max="9736" width="10.42578125" style="94" bestFit="1" customWidth="1"/>
    <col min="9737" max="9737" width="4.5703125" style="94" customWidth="1"/>
    <col min="9738" max="9738" width="1.7109375" style="94" customWidth="1"/>
    <col min="9739" max="9739" width="7" style="94" bestFit="1" customWidth="1"/>
    <col min="9740" max="9740" width="6.28515625" style="94" customWidth="1"/>
    <col min="9741" max="9741" width="20.42578125" style="94" customWidth="1"/>
    <col min="9742" max="9742" width="6.42578125" style="94" bestFit="1" customWidth="1"/>
    <col min="9743" max="9744" width="8.42578125" style="94"/>
    <col min="9745" max="9745" width="3.28515625" style="94" customWidth="1"/>
    <col min="9746" max="9984" width="8.42578125" style="94"/>
    <col min="9985" max="9985" width="10" style="94" bestFit="1" customWidth="1"/>
    <col min="9986" max="9986" width="44.28515625" style="94" bestFit="1" customWidth="1"/>
    <col min="9987" max="9987" width="10.42578125" style="94" bestFit="1" customWidth="1"/>
    <col min="9988" max="9988" width="10.42578125" style="94" customWidth="1"/>
    <col min="9989" max="9989" width="9.7109375" style="94" bestFit="1" customWidth="1"/>
    <col min="9990" max="9991" width="9.5703125" style="94" bestFit="1" customWidth="1"/>
    <col min="9992" max="9992" width="10.42578125" style="94" bestFit="1" customWidth="1"/>
    <col min="9993" max="9993" width="4.5703125" style="94" customWidth="1"/>
    <col min="9994" max="9994" width="1.7109375" style="94" customWidth="1"/>
    <col min="9995" max="9995" width="7" style="94" bestFit="1" customWidth="1"/>
    <col min="9996" max="9996" width="6.28515625" style="94" customWidth="1"/>
    <col min="9997" max="9997" width="20.42578125" style="94" customWidth="1"/>
    <col min="9998" max="9998" width="6.42578125" style="94" bestFit="1" customWidth="1"/>
    <col min="9999" max="10000" width="8.42578125" style="94"/>
    <col min="10001" max="10001" width="3.28515625" style="94" customWidth="1"/>
    <col min="10002" max="10240" width="8.42578125" style="94"/>
    <col min="10241" max="10241" width="10" style="94" bestFit="1" customWidth="1"/>
    <col min="10242" max="10242" width="44.28515625" style="94" bestFit="1" customWidth="1"/>
    <col min="10243" max="10243" width="10.42578125" style="94" bestFit="1" customWidth="1"/>
    <col min="10244" max="10244" width="10.42578125" style="94" customWidth="1"/>
    <col min="10245" max="10245" width="9.7109375" style="94" bestFit="1" customWidth="1"/>
    <col min="10246" max="10247" width="9.5703125" style="94" bestFit="1" customWidth="1"/>
    <col min="10248" max="10248" width="10.42578125" style="94" bestFit="1" customWidth="1"/>
    <col min="10249" max="10249" width="4.5703125" style="94" customWidth="1"/>
    <col min="10250" max="10250" width="1.7109375" style="94" customWidth="1"/>
    <col min="10251" max="10251" width="7" style="94" bestFit="1" customWidth="1"/>
    <col min="10252" max="10252" width="6.28515625" style="94" customWidth="1"/>
    <col min="10253" max="10253" width="20.42578125" style="94" customWidth="1"/>
    <col min="10254" max="10254" width="6.42578125" style="94" bestFit="1" customWidth="1"/>
    <col min="10255" max="10256" width="8.42578125" style="94"/>
    <col min="10257" max="10257" width="3.28515625" style="94" customWidth="1"/>
    <col min="10258" max="10496" width="8.42578125" style="94"/>
    <col min="10497" max="10497" width="10" style="94" bestFit="1" customWidth="1"/>
    <col min="10498" max="10498" width="44.28515625" style="94" bestFit="1" customWidth="1"/>
    <col min="10499" max="10499" width="10.42578125" style="94" bestFit="1" customWidth="1"/>
    <col min="10500" max="10500" width="10.42578125" style="94" customWidth="1"/>
    <col min="10501" max="10501" width="9.7109375" style="94" bestFit="1" customWidth="1"/>
    <col min="10502" max="10503" width="9.5703125" style="94" bestFit="1" customWidth="1"/>
    <col min="10504" max="10504" width="10.42578125" style="94" bestFit="1" customWidth="1"/>
    <col min="10505" max="10505" width="4.5703125" style="94" customWidth="1"/>
    <col min="10506" max="10506" width="1.7109375" style="94" customWidth="1"/>
    <col min="10507" max="10507" width="7" style="94" bestFit="1" customWidth="1"/>
    <col min="10508" max="10508" width="6.28515625" style="94" customWidth="1"/>
    <col min="10509" max="10509" width="20.42578125" style="94" customWidth="1"/>
    <col min="10510" max="10510" width="6.42578125" style="94" bestFit="1" customWidth="1"/>
    <col min="10511" max="10512" width="8.42578125" style="94"/>
    <col min="10513" max="10513" width="3.28515625" style="94" customWidth="1"/>
    <col min="10514" max="10752" width="8.42578125" style="94"/>
    <col min="10753" max="10753" width="10" style="94" bestFit="1" customWidth="1"/>
    <col min="10754" max="10754" width="44.28515625" style="94" bestFit="1" customWidth="1"/>
    <col min="10755" max="10755" width="10.42578125" style="94" bestFit="1" customWidth="1"/>
    <col min="10756" max="10756" width="10.42578125" style="94" customWidth="1"/>
    <col min="10757" max="10757" width="9.7109375" style="94" bestFit="1" customWidth="1"/>
    <col min="10758" max="10759" width="9.5703125" style="94" bestFit="1" customWidth="1"/>
    <col min="10760" max="10760" width="10.42578125" style="94" bestFit="1" customWidth="1"/>
    <col min="10761" max="10761" width="4.5703125" style="94" customWidth="1"/>
    <col min="10762" max="10762" width="1.7109375" style="94" customWidth="1"/>
    <col min="10763" max="10763" width="7" style="94" bestFit="1" customWidth="1"/>
    <col min="10764" max="10764" width="6.28515625" style="94" customWidth="1"/>
    <col min="10765" max="10765" width="20.42578125" style="94" customWidth="1"/>
    <col min="10766" max="10766" width="6.42578125" style="94" bestFit="1" customWidth="1"/>
    <col min="10767" max="10768" width="8.42578125" style="94"/>
    <col min="10769" max="10769" width="3.28515625" style="94" customWidth="1"/>
    <col min="10770" max="11008" width="8.42578125" style="94"/>
    <col min="11009" max="11009" width="10" style="94" bestFit="1" customWidth="1"/>
    <col min="11010" max="11010" width="44.28515625" style="94" bestFit="1" customWidth="1"/>
    <col min="11011" max="11011" width="10.42578125" style="94" bestFit="1" customWidth="1"/>
    <col min="11012" max="11012" width="10.42578125" style="94" customWidth="1"/>
    <col min="11013" max="11013" width="9.7109375" style="94" bestFit="1" customWidth="1"/>
    <col min="11014" max="11015" width="9.5703125" style="94" bestFit="1" customWidth="1"/>
    <col min="11016" max="11016" width="10.42578125" style="94" bestFit="1" customWidth="1"/>
    <col min="11017" max="11017" width="4.5703125" style="94" customWidth="1"/>
    <col min="11018" max="11018" width="1.7109375" style="94" customWidth="1"/>
    <col min="11019" max="11019" width="7" style="94" bestFit="1" customWidth="1"/>
    <col min="11020" max="11020" width="6.28515625" style="94" customWidth="1"/>
    <col min="11021" max="11021" width="20.42578125" style="94" customWidth="1"/>
    <col min="11022" max="11022" width="6.42578125" style="94" bestFit="1" customWidth="1"/>
    <col min="11023" max="11024" width="8.42578125" style="94"/>
    <col min="11025" max="11025" width="3.28515625" style="94" customWidth="1"/>
    <col min="11026" max="11264" width="8.42578125" style="94"/>
    <col min="11265" max="11265" width="10" style="94" bestFit="1" customWidth="1"/>
    <col min="11266" max="11266" width="44.28515625" style="94" bestFit="1" customWidth="1"/>
    <col min="11267" max="11267" width="10.42578125" style="94" bestFit="1" customWidth="1"/>
    <col min="11268" max="11268" width="10.42578125" style="94" customWidth="1"/>
    <col min="11269" max="11269" width="9.7109375" style="94" bestFit="1" customWidth="1"/>
    <col min="11270" max="11271" width="9.5703125" style="94" bestFit="1" customWidth="1"/>
    <col min="11272" max="11272" width="10.42578125" style="94" bestFit="1" customWidth="1"/>
    <col min="11273" max="11273" width="4.5703125" style="94" customWidth="1"/>
    <col min="11274" max="11274" width="1.7109375" style="94" customWidth="1"/>
    <col min="11275" max="11275" width="7" style="94" bestFit="1" customWidth="1"/>
    <col min="11276" max="11276" width="6.28515625" style="94" customWidth="1"/>
    <col min="11277" max="11277" width="20.42578125" style="94" customWidth="1"/>
    <col min="11278" max="11278" width="6.42578125" style="94" bestFit="1" customWidth="1"/>
    <col min="11279" max="11280" width="8.42578125" style="94"/>
    <col min="11281" max="11281" width="3.28515625" style="94" customWidth="1"/>
    <col min="11282" max="11520" width="8.42578125" style="94"/>
    <col min="11521" max="11521" width="10" style="94" bestFit="1" customWidth="1"/>
    <col min="11522" max="11522" width="44.28515625" style="94" bestFit="1" customWidth="1"/>
    <col min="11523" max="11523" width="10.42578125" style="94" bestFit="1" customWidth="1"/>
    <col min="11524" max="11524" width="10.42578125" style="94" customWidth="1"/>
    <col min="11525" max="11525" width="9.7109375" style="94" bestFit="1" customWidth="1"/>
    <col min="11526" max="11527" width="9.5703125" style="94" bestFit="1" customWidth="1"/>
    <col min="11528" max="11528" width="10.42578125" style="94" bestFit="1" customWidth="1"/>
    <col min="11529" max="11529" width="4.5703125" style="94" customWidth="1"/>
    <col min="11530" max="11530" width="1.7109375" style="94" customWidth="1"/>
    <col min="11531" max="11531" width="7" style="94" bestFit="1" customWidth="1"/>
    <col min="11532" max="11532" width="6.28515625" style="94" customWidth="1"/>
    <col min="11533" max="11533" width="20.42578125" style="94" customWidth="1"/>
    <col min="11534" max="11534" width="6.42578125" style="94" bestFit="1" customWidth="1"/>
    <col min="11535" max="11536" width="8.42578125" style="94"/>
    <col min="11537" max="11537" width="3.28515625" style="94" customWidth="1"/>
    <col min="11538" max="11776" width="8.42578125" style="94"/>
    <col min="11777" max="11777" width="10" style="94" bestFit="1" customWidth="1"/>
    <col min="11778" max="11778" width="44.28515625" style="94" bestFit="1" customWidth="1"/>
    <col min="11779" max="11779" width="10.42578125" style="94" bestFit="1" customWidth="1"/>
    <col min="11780" max="11780" width="10.42578125" style="94" customWidth="1"/>
    <col min="11781" max="11781" width="9.7109375" style="94" bestFit="1" customWidth="1"/>
    <col min="11782" max="11783" width="9.5703125" style="94" bestFit="1" customWidth="1"/>
    <col min="11784" max="11784" width="10.42578125" style="94" bestFit="1" customWidth="1"/>
    <col min="11785" max="11785" width="4.5703125" style="94" customWidth="1"/>
    <col min="11786" max="11786" width="1.7109375" style="94" customWidth="1"/>
    <col min="11787" max="11787" width="7" style="94" bestFit="1" customWidth="1"/>
    <col min="11788" max="11788" width="6.28515625" style="94" customWidth="1"/>
    <col min="11789" max="11789" width="20.42578125" style="94" customWidth="1"/>
    <col min="11790" max="11790" width="6.42578125" style="94" bestFit="1" customWidth="1"/>
    <col min="11791" max="11792" width="8.42578125" style="94"/>
    <col min="11793" max="11793" width="3.28515625" style="94" customWidth="1"/>
    <col min="11794" max="12032" width="8.42578125" style="94"/>
    <col min="12033" max="12033" width="10" style="94" bestFit="1" customWidth="1"/>
    <col min="12034" max="12034" width="44.28515625" style="94" bestFit="1" customWidth="1"/>
    <col min="12035" max="12035" width="10.42578125" style="94" bestFit="1" customWidth="1"/>
    <col min="12036" max="12036" width="10.42578125" style="94" customWidth="1"/>
    <col min="12037" max="12037" width="9.7109375" style="94" bestFit="1" customWidth="1"/>
    <col min="12038" max="12039" width="9.5703125" style="94" bestFit="1" customWidth="1"/>
    <col min="12040" max="12040" width="10.42578125" style="94" bestFit="1" customWidth="1"/>
    <col min="12041" max="12041" width="4.5703125" style="94" customWidth="1"/>
    <col min="12042" max="12042" width="1.7109375" style="94" customWidth="1"/>
    <col min="12043" max="12043" width="7" style="94" bestFit="1" customWidth="1"/>
    <col min="12044" max="12044" width="6.28515625" style="94" customWidth="1"/>
    <col min="12045" max="12045" width="20.42578125" style="94" customWidth="1"/>
    <col min="12046" max="12046" width="6.42578125" style="94" bestFit="1" customWidth="1"/>
    <col min="12047" max="12048" width="8.42578125" style="94"/>
    <col min="12049" max="12049" width="3.28515625" style="94" customWidth="1"/>
    <col min="12050" max="12288" width="8.42578125" style="94"/>
    <col min="12289" max="12289" width="10" style="94" bestFit="1" customWidth="1"/>
    <col min="12290" max="12290" width="44.28515625" style="94" bestFit="1" customWidth="1"/>
    <col min="12291" max="12291" width="10.42578125" style="94" bestFit="1" customWidth="1"/>
    <col min="12292" max="12292" width="10.42578125" style="94" customWidth="1"/>
    <col min="12293" max="12293" width="9.7109375" style="94" bestFit="1" customWidth="1"/>
    <col min="12294" max="12295" width="9.5703125" style="94" bestFit="1" customWidth="1"/>
    <col min="12296" max="12296" width="10.42578125" style="94" bestFit="1" customWidth="1"/>
    <col min="12297" max="12297" width="4.5703125" style="94" customWidth="1"/>
    <col min="12298" max="12298" width="1.7109375" style="94" customWidth="1"/>
    <col min="12299" max="12299" width="7" style="94" bestFit="1" customWidth="1"/>
    <col min="12300" max="12300" width="6.28515625" style="94" customWidth="1"/>
    <col min="12301" max="12301" width="20.42578125" style="94" customWidth="1"/>
    <col min="12302" max="12302" width="6.42578125" style="94" bestFit="1" customWidth="1"/>
    <col min="12303" max="12304" width="8.42578125" style="94"/>
    <col min="12305" max="12305" width="3.28515625" style="94" customWidth="1"/>
    <col min="12306" max="12544" width="8.42578125" style="94"/>
    <col min="12545" max="12545" width="10" style="94" bestFit="1" customWidth="1"/>
    <col min="12546" max="12546" width="44.28515625" style="94" bestFit="1" customWidth="1"/>
    <col min="12547" max="12547" width="10.42578125" style="94" bestFit="1" customWidth="1"/>
    <col min="12548" max="12548" width="10.42578125" style="94" customWidth="1"/>
    <col min="12549" max="12549" width="9.7109375" style="94" bestFit="1" customWidth="1"/>
    <col min="12550" max="12551" width="9.5703125" style="94" bestFit="1" customWidth="1"/>
    <col min="12552" max="12552" width="10.42578125" style="94" bestFit="1" customWidth="1"/>
    <col min="12553" max="12553" width="4.5703125" style="94" customWidth="1"/>
    <col min="12554" max="12554" width="1.7109375" style="94" customWidth="1"/>
    <col min="12555" max="12555" width="7" style="94" bestFit="1" customWidth="1"/>
    <col min="12556" max="12556" width="6.28515625" style="94" customWidth="1"/>
    <col min="12557" max="12557" width="20.42578125" style="94" customWidth="1"/>
    <col min="12558" max="12558" width="6.42578125" style="94" bestFit="1" customWidth="1"/>
    <col min="12559" max="12560" width="8.42578125" style="94"/>
    <col min="12561" max="12561" width="3.28515625" style="94" customWidth="1"/>
    <col min="12562" max="12800" width="8.42578125" style="94"/>
    <col min="12801" max="12801" width="10" style="94" bestFit="1" customWidth="1"/>
    <col min="12802" max="12802" width="44.28515625" style="94" bestFit="1" customWidth="1"/>
    <col min="12803" max="12803" width="10.42578125" style="94" bestFit="1" customWidth="1"/>
    <col min="12804" max="12804" width="10.42578125" style="94" customWidth="1"/>
    <col min="12805" max="12805" width="9.7109375" style="94" bestFit="1" customWidth="1"/>
    <col min="12806" max="12807" width="9.5703125" style="94" bestFit="1" customWidth="1"/>
    <col min="12808" max="12808" width="10.42578125" style="94" bestFit="1" customWidth="1"/>
    <col min="12809" max="12809" width="4.5703125" style="94" customWidth="1"/>
    <col min="12810" max="12810" width="1.7109375" style="94" customWidth="1"/>
    <col min="12811" max="12811" width="7" style="94" bestFit="1" customWidth="1"/>
    <col min="12812" max="12812" width="6.28515625" style="94" customWidth="1"/>
    <col min="12813" max="12813" width="20.42578125" style="94" customWidth="1"/>
    <col min="12814" max="12814" width="6.42578125" style="94" bestFit="1" customWidth="1"/>
    <col min="12815" max="12816" width="8.42578125" style="94"/>
    <col min="12817" max="12817" width="3.28515625" style="94" customWidth="1"/>
    <col min="12818" max="13056" width="8.42578125" style="94"/>
    <col min="13057" max="13057" width="10" style="94" bestFit="1" customWidth="1"/>
    <col min="13058" max="13058" width="44.28515625" style="94" bestFit="1" customWidth="1"/>
    <col min="13059" max="13059" width="10.42578125" style="94" bestFit="1" customWidth="1"/>
    <col min="13060" max="13060" width="10.42578125" style="94" customWidth="1"/>
    <col min="13061" max="13061" width="9.7109375" style="94" bestFit="1" customWidth="1"/>
    <col min="13062" max="13063" width="9.5703125" style="94" bestFit="1" customWidth="1"/>
    <col min="13064" max="13064" width="10.42578125" style="94" bestFit="1" customWidth="1"/>
    <col min="13065" max="13065" width="4.5703125" style="94" customWidth="1"/>
    <col min="13066" max="13066" width="1.7109375" style="94" customWidth="1"/>
    <col min="13067" max="13067" width="7" style="94" bestFit="1" customWidth="1"/>
    <col min="13068" max="13068" width="6.28515625" style="94" customWidth="1"/>
    <col min="13069" max="13069" width="20.42578125" style="94" customWidth="1"/>
    <col min="13070" max="13070" width="6.42578125" style="94" bestFit="1" customWidth="1"/>
    <col min="13071" max="13072" width="8.42578125" style="94"/>
    <col min="13073" max="13073" width="3.28515625" style="94" customWidth="1"/>
    <col min="13074" max="13312" width="8.42578125" style="94"/>
    <col min="13313" max="13313" width="10" style="94" bestFit="1" customWidth="1"/>
    <col min="13314" max="13314" width="44.28515625" style="94" bestFit="1" customWidth="1"/>
    <col min="13315" max="13315" width="10.42578125" style="94" bestFit="1" customWidth="1"/>
    <col min="13316" max="13316" width="10.42578125" style="94" customWidth="1"/>
    <col min="13317" max="13317" width="9.7109375" style="94" bestFit="1" customWidth="1"/>
    <col min="13318" max="13319" width="9.5703125" style="94" bestFit="1" customWidth="1"/>
    <col min="13320" max="13320" width="10.42578125" style="94" bestFit="1" customWidth="1"/>
    <col min="13321" max="13321" width="4.5703125" style="94" customWidth="1"/>
    <col min="13322" max="13322" width="1.7109375" style="94" customWidth="1"/>
    <col min="13323" max="13323" width="7" style="94" bestFit="1" customWidth="1"/>
    <col min="13324" max="13324" width="6.28515625" style="94" customWidth="1"/>
    <col min="13325" max="13325" width="20.42578125" style="94" customWidth="1"/>
    <col min="13326" max="13326" width="6.42578125" style="94" bestFit="1" customWidth="1"/>
    <col min="13327" max="13328" width="8.42578125" style="94"/>
    <col min="13329" max="13329" width="3.28515625" style="94" customWidth="1"/>
    <col min="13330" max="13568" width="8.42578125" style="94"/>
    <col min="13569" max="13569" width="10" style="94" bestFit="1" customWidth="1"/>
    <col min="13570" max="13570" width="44.28515625" style="94" bestFit="1" customWidth="1"/>
    <col min="13571" max="13571" width="10.42578125" style="94" bestFit="1" customWidth="1"/>
    <col min="13572" max="13572" width="10.42578125" style="94" customWidth="1"/>
    <col min="13573" max="13573" width="9.7109375" style="94" bestFit="1" customWidth="1"/>
    <col min="13574" max="13575" width="9.5703125" style="94" bestFit="1" customWidth="1"/>
    <col min="13576" max="13576" width="10.42578125" style="94" bestFit="1" customWidth="1"/>
    <col min="13577" max="13577" width="4.5703125" style="94" customWidth="1"/>
    <col min="13578" max="13578" width="1.7109375" style="94" customWidth="1"/>
    <col min="13579" max="13579" width="7" style="94" bestFit="1" customWidth="1"/>
    <col min="13580" max="13580" width="6.28515625" style="94" customWidth="1"/>
    <col min="13581" max="13581" width="20.42578125" style="94" customWidth="1"/>
    <col min="13582" max="13582" width="6.42578125" style="94" bestFit="1" customWidth="1"/>
    <col min="13583" max="13584" width="8.42578125" style="94"/>
    <col min="13585" max="13585" width="3.28515625" style="94" customWidth="1"/>
    <col min="13586" max="13824" width="8.42578125" style="94"/>
    <col min="13825" max="13825" width="10" style="94" bestFit="1" customWidth="1"/>
    <col min="13826" max="13826" width="44.28515625" style="94" bestFit="1" customWidth="1"/>
    <col min="13827" max="13827" width="10.42578125" style="94" bestFit="1" customWidth="1"/>
    <col min="13828" max="13828" width="10.42578125" style="94" customWidth="1"/>
    <col min="13829" max="13829" width="9.7109375" style="94" bestFit="1" customWidth="1"/>
    <col min="13830" max="13831" width="9.5703125" style="94" bestFit="1" customWidth="1"/>
    <col min="13832" max="13832" width="10.42578125" style="94" bestFit="1" customWidth="1"/>
    <col min="13833" max="13833" width="4.5703125" style="94" customWidth="1"/>
    <col min="13834" max="13834" width="1.7109375" style="94" customWidth="1"/>
    <col min="13835" max="13835" width="7" style="94" bestFit="1" customWidth="1"/>
    <col min="13836" max="13836" width="6.28515625" style="94" customWidth="1"/>
    <col min="13837" max="13837" width="20.42578125" style="94" customWidth="1"/>
    <col min="13838" max="13838" width="6.42578125" style="94" bestFit="1" customWidth="1"/>
    <col min="13839" max="13840" width="8.42578125" style="94"/>
    <col min="13841" max="13841" width="3.28515625" style="94" customWidth="1"/>
    <col min="13842" max="14080" width="8.42578125" style="94"/>
    <col min="14081" max="14081" width="10" style="94" bestFit="1" customWidth="1"/>
    <col min="14082" max="14082" width="44.28515625" style="94" bestFit="1" customWidth="1"/>
    <col min="14083" max="14083" width="10.42578125" style="94" bestFit="1" customWidth="1"/>
    <col min="14084" max="14084" width="10.42578125" style="94" customWidth="1"/>
    <col min="14085" max="14085" width="9.7109375" style="94" bestFit="1" customWidth="1"/>
    <col min="14086" max="14087" width="9.5703125" style="94" bestFit="1" customWidth="1"/>
    <col min="14088" max="14088" width="10.42578125" style="94" bestFit="1" customWidth="1"/>
    <col min="14089" max="14089" width="4.5703125" style="94" customWidth="1"/>
    <col min="14090" max="14090" width="1.7109375" style="94" customWidth="1"/>
    <col min="14091" max="14091" width="7" style="94" bestFit="1" customWidth="1"/>
    <col min="14092" max="14092" width="6.28515625" style="94" customWidth="1"/>
    <col min="14093" max="14093" width="20.42578125" style="94" customWidth="1"/>
    <col min="14094" max="14094" width="6.42578125" style="94" bestFit="1" customWidth="1"/>
    <col min="14095" max="14096" width="8.42578125" style="94"/>
    <col min="14097" max="14097" width="3.28515625" style="94" customWidth="1"/>
    <col min="14098" max="14336" width="8.42578125" style="94"/>
    <col min="14337" max="14337" width="10" style="94" bestFit="1" customWidth="1"/>
    <col min="14338" max="14338" width="44.28515625" style="94" bestFit="1" customWidth="1"/>
    <col min="14339" max="14339" width="10.42578125" style="94" bestFit="1" customWidth="1"/>
    <col min="14340" max="14340" width="10.42578125" style="94" customWidth="1"/>
    <col min="14341" max="14341" width="9.7109375" style="94" bestFit="1" customWidth="1"/>
    <col min="14342" max="14343" width="9.5703125" style="94" bestFit="1" customWidth="1"/>
    <col min="14344" max="14344" width="10.42578125" style="94" bestFit="1" customWidth="1"/>
    <col min="14345" max="14345" width="4.5703125" style="94" customWidth="1"/>
    <col min="14346" max="14346" width="1.7109375" style="94" customWidth="1"/>
    <col min="14347" max="14347" width="7" style="94" bestFit="1" customWidth="1"/>
    <col min="14348" max="14348" width="6.28515625" style="94" customWidth="1"/>
    <col min="14349" max="14349" width="20.42578125" style="94" customWidth="1"/>
    <col min="14350" max="14350" width="6.42578125" style="94" bestFit="1" customWidth="1"/>
    <col min="14351" max="14352" width="8.42578125" style="94"/>
    <col min="14353" max="14353" width="3.28515625" style="94" customWidth="1"/>
    <col min="14354" max="14592" width="8.42578125" style="94"/>
    <col min="14593" max="14593" width="10" style="94" bestFit="1" customWidth="1"/>
    <col min="14594" max="14594" width="44.28515625" style="94" bestFit="1" customWidth="1"/>
    <col min="14595" max="14595" width="10.42578125" style="94" bestFit="1" customWidth="1"/>
    <col min="14596" max="14596" width="10.42578125" style="94" customWidth="1"/>
    <col min="14597" max="14597" width="9.7109375" style="94" bestFit="1" customWidth="1"/>
    <col min="14598" max="14599" width="9.5703125" style="94" bestFit="1" customWidth="1"/>
    <col min="14600" max="14600" width="10.42578125" style="94" bestFit="1" customWidth="1"/>
    <col min="14601" max="14601" width="4.5703125" style="94" customWidth="1"/>
    <col min="14602" max="14602" width="1.7109375" style="94" customWidth="1"/>
    <col min="14603" max="14603" width="7" style="94" bestFit="1" customWidth="1"/>
    <col min="14604" max="14604" width="6.28515625" style="94" customWidth="1"/>
    <col min="14605" max="14605" width="20.42578125" style="94" customWidth="1"/>
    <col min="14606" max="14606" width="6.42578125" style="94" bestFit="1" customWidth="1"/>
    <col min="14607" max="14608" width="8.42578125" style="94"/>
    <col min="14609" max="14609" width="3.28515625" style="94" customWidth="1"/>
    <col min="14610" max="14848" width="8.42578125" style="94"/>
    <col min="14849" max="14849" width="10" style="94" bestFit="1" customWidth="1"/>
    <col min="14850" max="14850" width="44.28515625" style="94" bestFit="1" customWidth="1"/>
    <col min="14851" max="14851" width="10.42578125" style="94" bestFit="1" customWidth="1"/>
    <col min="14852" max="14852" width="10.42578125" style="94" customWidth="1"/>
    <col min="14853" max="14853" width="9.7109375" style="94" bestFit="1" customWidth="1"/>
    <col min="14854" max="14855" width="9.5703125" style="94" bestFit="1" customWidth="1"/>
    <col min="14856" max="14856" width="10.42578125" style="94" bestFit="1" customWidth="1"/>
    <col min="14857" max="14857" width="4.5703125" style="94" customWidth="1"/>
    <col min="14858" max="14858" width="1.7109375" style="94" customWidth="1"/>
    <col min="14859" max="14859" width="7" style="94" bestFit="1" customWidth="1"/>
    <col min="14860" max="14860" width="6.28515625" style="94" customWidth="1"/>
    <col min="14861" max="14861" width="20.42578125" style="94" customWidth="1"/>
    <col min="14862" max="14862" width="6.42578125" style="94" bestFit="1" customWidth="1"/>
    <col min="14863" max="14864" width="8.42578125" style="94"/>
    <col min="14865" max="14865" width="3.28515625" style="94" customWidth="1"/>
    <col min="14866" max="15104" width="8.42578125" style="94"/>
    <col min="15105" max="15105" width="10" style="94" bestFit="1" customWidth="1"/>
    <col min="15106" max="15106" width="44.28515625" style="94" bestFit="1" customWidth="1"/>
    <col min="15107" max="15107" width="10.42578125" style="94" bestFit="1" customWidth="1"/>
    <col min="15108" max="15108" width="10.42578125" style="94" customWidth="1"/>
    <col min="15109" max="15109" width="9.7109375" style="94" bestFit="1" customWidth="1"/>
    <col min="15110" max="15111" width="9.5703125" style="94" bestFit="1" customWidth="1"/>
    <col min="15112" max="15112" width="10.42578125" style="94" bestFit="1" customWidth="1"/>
    <col min="15113" max="15113" width="4.5703125" style="94" customWidth="1"/>
    <col min="15114" max="15114" width="1.7109375" style="94" customWidth="1"/>
    <col min="15115" max="15115" width="7" style="94" bestFit="1" customWidth="1"/>
    <col min="15116" max="15116" width="6.28515625" style="94" customWidth="1"/>
    <col min="15117" max="15117" width="20.42578125" style="94" customWidth="1"/>
    <col min="15118" max="15118" width="6.42578125" style="94" bestFit="1" customWidth="1"/>
    <col min="15119" max="15120" width="8.42578125" style="94"/>
    <col min="15121" max="15121" width="3.28515625" style="94" customWidth="1"/>
    <col min="15122" max="15360" width="8.42578125" style="94"/>
    <col min="15361" max="15361" width="10" style="94" bestFit="1" customWidth="1"/>
    <col min="15362" max="15362" width="44.28515625" style="94" bestFit="1" customWidth="1"/>
    <col min="15363" max="15363" width="10.42578125" style="94" bestFit="1" customWidth="1"/>
    <col min="15364" max="15364" width="10.42578125" style="94" customWidth="1"/>
    <col min="15365" max="15365" width="9.7109375" style="94" bestFit="1" customWidth="1"/>
    <col min="15366" max="15367" width="9.5703125" style="94" bestFit="1" customWidth="1"/>
    <col min="15368" max="15368" width="10.42578125" style="94" bestFit="1" customWidth="1"/>
    <col min="15369" max="15369" width="4.5703125" style="94" customWidth="1"/>
    <col min="15370" max="15370" width="1.7109375" style="94" customWidth="1"/>
    <col min="15371" max="15371" width="7" style="94" bestFit="1" customWidth="1"/>
    <col min="15372" max="15372" width="6.28515625" style="94" customWidth="1"/>
    <col min="15373" max="15373" width="20.42578125" style="94" customWidth="1"/>
    <col min="15374" max="15374" width="6.42578125" style="94" bestFit="1" customWidth="1"/>
    <col min="15375" max="15376" width="8.42578125" style="94"/>
    <col min="15377" max="15377" width="3.28515625" style="94" customWidth="1"/>
    <col min="15378" max="15616" width="8.42578125" style="94"/>
    <col min="15617" max="15617" width="10" style="94" bestFit="1" customWidth="1"/>
    <col min="15618" max="15618" width="44.28515625" style="94" bestFit="1" customWidth="1"/>
    <col min="15619" max="15619" width="10.42578125" style="94" bestFit="1" customWidth="1"/>
    <col min="15620" max="15620" width="10.42578125" style="94" customWidth="1"/>
    <col min="15621" max="15621" width="9.7109375" style="94" bestFit="1" customWidth="1"/>
    <col min="15622" max="15623" width="9.5703125" style="94" bestFit="1" customWidth="1"/>
    <col min="15624" max="15624" width="10.42578125" style="94" bestFit="1" customWidth="1"/>
    <col min="15625" max="15625" width="4.5703125" style="94" customWidth="1"/>
    <col min="15626" max="15626" width="1.7109375" style="94" customWidth="1"/>
    <col min="15627" max="15627" width="7" style="94" bestFit="1" customWidth="1"/>
    <col min="15628" max="15628" width="6.28515625" style="94" customWidth="1"/>
    <col min="15629" max="15629" width="20.42578125" style="94" customWidth="1"/>
    <col min="15630" max="15630" width="6.42578125" style="94" bestFit="1" customWidth="1"/>
    <col min="15631" max="15632" width="8.42578125" style="94"/>
    <col min="15633" max="15633" width="3.28515625" style="94" customWidth="1"/>
    <col min="15634" max="15872" width="8.42578125" style="94"/>
    <col min="15873" max="15873" width="10" style="94" bestFit="1" customWidth="1"/>
    <col min="15874" max="15874" width="44.28515625" style="94" bestFit="1" customWidth="1"/>
    <col min="15875" max="15875" width="10.42578125" style="94" bestFit="1" customWidth="1"/>
    <col min="15876" max="15876" width="10.42578125" style="94" customWidth="1"/>
    <col min="15877" max="15877" width="9.7109375" style="94" bestFit="1" customWidth="1"/>
    <col min="15878" max="15879" width="9.5703125" style="94" bestFit="1" customWidth="1"/>
    <col min="15880" max="15880" width="10.42578125" style="94" bestFit="1" customWidth="1"/>
    <col min="15881" max="15881" width="4.5703125" style="94" customWidth="1"/>
    <col min="15882" max="15882" width="1.7109375" style="94" customWidth="1"/>
    <col min="15883" max="15883" width="7" style="94" bestFit="1" customWidth="1"/>
    <col min="15884" max="15884" width="6.28515625" style="94" customWidth="1"/>
    <col min="15885" max="15885" width="20.42578125" style="94" customWidth="1"/>
    <col min="15886" max="15886" width="6.42578125" style="94" bestFit="1" customWidth="1"/>
    <col min="15887" max="15888" width="8.42578125" style="94"/>
    <col min="15889" max="15889" width="3.28515625" style="94" customWidth="1"/>
    <col min="15890" max="16128" width="8.42578125" style="94"/>
    <col min="16129" max="16129" width="10" style="94" bestFit="1" customWidth="1"/>
    <col min="16130" max="16130" width="44.28515625" style="94" bestFit="1" customWidth="1"/>
    <col min="16131" max="16131" width="10.42578125" style="94" bestFit="1" customWidth="1"/>
    <col min="16132" max="16132" width="10.42578125" style="94" customWidth="1"/>
    <col min="16133" max="16133" width="9.7109375" style="94" bestFit="1" customWidth="1"/>
    <col min="16134" max="16135" width="9.5703125" style="94" bestFit="1" customWidth="1"/>
    <col min="16136" max="16136" width="10.42578125" style="94" bestFit="1" customWidth="1"/>
    <col min="16137" max="16137" width="4.5703125" style="94" customWidth="1"/>
    <col min="16138" max="16138" width="1.7109375" style="94" customWidth="1"/>
    <col min="16139" max="16139" width="7" style="94" bestFit="1" customWidth="1"/>
    <col min="16140" max="16140" width="6.28515625" style="94" customWidth="1"/>
    <col min="16141" max="16141" width="20.42578125" style="94" customWidth="1"/>
    <col min="16142" max="16142" width="6.42578125" style="94" bestFit="1" customWidth="1"/>
    <col min="16143" max="16144" width="8.42578125" style="94"/>
    <col min="16145" max="16145" width="3.28515625" style="94" customWidth="1"/>
    <col min="16146" max="16384" width="8.42578125" style="94"/>
  </cols>
  <sheetData>
    <row r="1" spans="1:10" ht="27.75" customHeight="1" x14ac:dyDescent="0.25">
      <c r="A1" s="89"/>
      <c r="B1" s="89"/>
      <c r="C1" s="89"/>
      <c r="D1" s="89"/>
      <c r="E1" s="90" t="s">
        <v>132</v>
      </c>
      <c r="F1" s="91" t="s">
        <v>133</v>
      </c>
      <c r="G1" s="91" t="s">
        <v>134</v>
      </c>
      <c r="H1" s="91" t="s">
        <v>135</v>
      </c>
      <c r="I1" s="92"/>
    </row>
    <row r="2" spans="1:10" ht="30.75" customHeight="1" x14ac:dyDescent="0.25">
      <c r="A2" s="89"/>
      <c r="B2" s="89"/>
      <c r="C2" s="89"/>
      <c r="D2" s="89"/>
      <c r="E2" s="95">
        <f>IFERROR(O62,"")</f>
        <v>67985.659467858059</v>
      </c>
      <c r="F2" s="95">
        <f>IFERROR(H53,"")</f>
        <v>66233.641380000001</v>
      </c>
      <c r="G2" s="95">
        <f>IFERROR(H54,"")</f>
        <v>98.060882796190469</v>
      </c>
      <c r="H2" s="95">
        <f>IFERROR(H56,"")</f>
        <v>847.82680259474284</v>
      </c>
      <c r="I2" s="96"/>
    </row>
    <row r="3" spans="1:10" ht="15" customHeight="1" x14ac:dyDescent="0.25">
      <c r="A3" s="89"/>
      <c r="B3" s="89"/>
      <c r="C3" s="89"/>
      <c r="D3" s="89"/>
      <c r="E3" s="89"/>
      <c r="F3" s="97"/>
      <c r="G3" s="97"/>
      <c r="H3" s="97"/>
      <c r="I3" s="97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8"/>
    </row>
    <row r="5" spans="1:10" ht="19.5" customHeight="1" thickBot="1" x14ac:dyDescent="0.3">
      <c r="A5" s="358" t="s">
        <v>136</v>
      </c>
      <c r="B5" s="359"/>
      <c r="C5" s="359"/>
      <c r="D5" s="359"/>
      <c r="E5" s="359"/>
      <c r="F5" s="359"/>
      <c r="G5" s="359"/>
      <c r="H5" s="360"/>
      <c r="I5" s="99"/>
    </row>
    <row r="6" spans="1:10" ht="19.5" thickBot="1" x14ac:dyDescent="0.3">
      <c r="A6" s="99"/>
      <c r="B6" s="99"/>
      <c r="C6" s="99"/>
      <c r="D6" s="99"/>
      <c r="E6" s="99"/>
      <c r="F6" s="361" t="s">
        <v>137</v>
      </c>
      <c r="G6" s="361"/>
      <c r="H6" s="100">
        <f ca="1">TODAY()</f>
        <v>45776</v>
      </c>
      <c r="I6" s="100"/>
    </row>
    <row r="7" spans="1:10" ht="26.25" thickBot="1" x14ac:dyDescent="0.3">
      <c r="A7" s="101" t="s">
        <v>138</v>
      </c>
      <c r="B7" s="102" t="s">
        <v>139</v>
      </c>
      <c r="C7" s="102" t="s">
        <v>138</v>
      </c>
      <c r="D7" s="103" t="s">
        <v>140</v>
      </c>
      <c r="E7" s="103" t="s">
        <v>141</v>
      </c>
      <c r="F7" s="103" t="s">
        <v>142</v>
      </c>
      <c r="G7" s="103" t="s">
        <v>143</v>
      </c>
      <c r="H7" s="104" t="s">
        <v>144</v>
      </c>
      <c r="I7" s="105"/>
    </row>
    <row r="8" spans="1:10" ht="13.5" x14ac:dyDescent="0.25">
      <c r="A8" s="106">
        <v>7142</v>
      </c>
      <c r="B8" s="94" t="s">
        <v>121</v>
      </c>
      <c r="C8" s="107">
        <f>+A8</f>
        <v>7142</v>
      </c>
      <c r="D8" s="108" t="s">
        <v>184</v>
      </c>
      <c r="E8" s="108">
        <v>7.03</v>
      </c>
      <c r="F8" s="108">
        <f>IFERROR(C8*E8,"")</f>
        <v>50208.26</v>
      </c>
      <c r="G8" s="109">
        <f t="shared" ref="G8:G14" si="0">IFERROR(F8/$F$66,"")</f>
        <v>0.73547569991105866</v>
      </c>
      <c r="H8" s="110"/>
      <c r="I8" s="110"/>
      <c r="J8" s="111"/>
    </row>
    <row r="9" spans="1:10" ht="13.5" x14ac:dyDescent="0.25">
      <c r="A9" s="106">
        <v>2857</v>
      </c>
      <c r="B9" s="94" t="s">
        <v>123</v>
      </c>
      <c r="C9" s="107">
        <f t="shared" ref="C9:C14" si="1">+A9</f>
        <v>2857</v>
      </c>
      <c r="D9" s="108" t="s">
        <v>184</v>
      </c>
      <c r="E9" s="108">
        <v>4.74</v>
      </c>
      <c r="F9" s="108">
        <f t="shared" ref="F9:F14" si="2">IFERROR(C9*E9,"")</f>
        <v>13542.18</v>
      </c>
      <c r="G9" s="109">
        <f t="shared" si="0"/>
        <v>0.19837262462036209</v>
      </c>
      <c r="H9" s="110"/>
      <c r="I9" s="110"/>
      <c r="J9" s="111"/>
    </row>
    <row r="10" spans="1:10" ht="13.5" x14ac:dyDescent="0.25">
      <c r="A10" s="106">
        <v>57</v>
      </c>
      <c r="B10" s="94" t="s">
        <v>62</v>
      </c>
      <c r="C10" s="107">
        <f t="shared" si="1"/>
        <v>57</v>
      </c>
      <c r="D10" s="108" t="s">
        <v>184</v>
      </c>
      <c r="E10" s="108">
        <v>13</v>
      </c>
      <c r="F10" s="108">
        <f t="shared" si="2"/>
        <v>741</v>
      </c>
      <c r="G10" s="109">
        <f t="shared" si="0"/>
        <v>1.0854538548718765E-2</v>
      </c>
      <c r="H10" s="110" t="s">
        <v>187</v>
      </c>
      <c r="I10" s="110"/>
      <c r="J10" s="111"/>
    </row>
    <row r="11" spans="1:10" ht="13.5" hidden="1" x14ac:dyDescent="0.25">
      <c r="A11" s="106"/>
      <c r="B11" s="94" t="str">
        <f>IFERROR(VLOOKUP(H11,'[1]Consolidado MP Planta'!$A$2:$M$823,3,0),"")</f>
        <v/>
      </c>
      <c r="C11" s="107">
        <f t="shared" si="1"/>
        <v>0</v>
      </c>
      <c r="D11" s="108" t="str">
        <f>IFERROR(VLOOKUP(H11,'[1]Consolidado MP Planta'!$A$2:$M$823,13,0),"")</f>
        <v/>
      </c>
      <c r="E11" s="108" t="str">
        <f>IFERROR(VLOOKUP(H11,'[1]Consolidado MP Planta'!$A$2:$M$823,12,0),"")</f>
        <v/>
      </c>
      <c r="F11" s="108" t="str">
        <f t="shared" si="2"/>
        <v/>
      </c>
      <c r="G11" s="109" t="str">
        <f t="shared" si="0"/>
        <v/>
      </c>
      <c r="H11" s="110"/>
      <c r="I11" s="110"/>
      <c r="J11" s="111"/>
    </row>
    <row r="12" spans="1:10" ht="13.5" hidden="1" x14ac:dyDescent="0.25">
      <c r="A12" s="106"/>
      <c r="B12" s="94" t="str">
        <f>IFERROR(VLOOKUP(H12,'[1]Consolidado MP Planta'!$A$2:$M$823,3,0),"")</f>
        <v/>
      </c>
      <c r="C12" s="107">
        <f t="shared" si="1"/>
        <v>0</v>
      </c>
      <c r="D12" s="108" t="str">
        <f>IFERROR(VLOOKUP(H12,'[1]Consolidado MP Planta'!$A$2:$M$823,13,0),"")</f>
        <v/>
      </c>
      <c r="E12" s="108" t="str">
        <f>IFERROR(VLOOKUP(H12,'[1]Consolidado MP Planta'!$A$2:$M$823,12,0),"")</f>
        <v/>
      </c>
      <c r="F12" s="108" t="str">
        <f t="shared" si="2"/>
        <v/>
      </c>
      <c r="G12" s="109" t="str">
        <f t="shared" si="0"/>
        <v/>
      </c>
      <c r="H12" s="110"/>
      <c r="I12" s="110"/>
      <c r="J12" s="111"/>
    </row>
    <row r="13" spans="1:10" ht="13.5" hidden="1" x14ac:dyDescent="0.25">
      <c r="A13" s="106"/>
      <c r="B13" s="94" t="str">
        <f>IFERROR(VLOOKUP(H13,'[1]Consolidado MP Planta'!$A$2:$M$823,3,0),"")</f>
        <v/>
      </c>
      <c r="C13" s="107">
        <f t="shared" si="1"/>
        <v>0</v>
      </c>
      <c r="D13" s="108" t="str">
        <f>IFERROR(VLOOKUP(H13,'[1]Consolidado MP Planta'!$A$2:$M$823,13,0),"")</f>
        <v/>
      </c>
      <c r="E13" s="108" t="str">
        <f>IFERROR(VLOOKUP(H13,'[1]Consolidado MP Planta'!$A$2:$M$823,12,0),"")</f>
        <v/>
      </c>
      <c r="F13" s="108" t="str">
        <f t="shared" si="2"/>
        <v/>
      </c>
      <c r="G13" s="109" t="str">
        <f t="shared" si="0"/>
        <v/>
      </c>
      <c r="H13" s="110"/>
      <c r="I13" s="110"/>
      <c r="J13" s="111"/>
    </row>
    <row r="14" spans="1:10" ht="13.5" hidden="1" x14ac:dyDescent="0.25">
      <c r="A14" s="106"/>
      <c r="B14" s="94" t="str">
        <f>IFERROR(VLOOKUP(H14,'[1]Consolidado MP Planta'!$A$2:$M$823,3,0),"")</f>
        <v/>
      </c>
      <c r="C14" s="107">
        <f t="shared" si="1"/>
        <v>0</v>
      </c>
      <c r="D14" s="108" t="str">
        <f>IFERROR(VLOOKUP(H14,'[1]Consolidado MP Planta'!$A$2:$M$823,13,0),"")</f>
        <v/>
      </c>
      <c r="E14" s="108" t="str">
        <f>IFERROR(VLOOKUP(H14,'[1]Consolidado MP Planta'!$A$2:$M$823,12,0),"")</f>
        <v/>
      </c>
      <c r="F14" s="108" t="str">
        <f t="shared" si="2"/>
        <v/>
      </c>
      <c r="G14" s="109" t="str">
        <f t="shared" si="0"/>
        <v/>
      </c>
      <c r="H14" s="110"/>
      <c r="I14" s="110"/>
      <c r="J14" s="111"/>
    </row>
    <row r="15" spans="1:10" ht="14.25" thickBot="1" x14ac:dyDescent="0.3">
      <c r="A15" s="106"/>
      <c r="B15" s="94" t="str">
        <f>IFERROR(VLOOKUP(H15,'[2]ARTICULOS MP PLANTA'!$A$2:$G$589,2,0),"")</f>
        <v/>
      </c>
      <c r="C15" s="107"/>
      <c r="D15" s="108"/>
      <c r="E15" s="108"/>
      <c r="F15" s="108"/>
      <c r="G15" s="109"/>
      <c r="H15" s="110"/>
      <c r="I15" s="110"/>
      <c r="J15" s="111"/>
    </row>
    <row r="16" spans="1:10" ht="26.25" thickBot="1" x14ac:dyDescent="0.3">
      <c r="A16" s="101" t="s">
        <v>138</v>
      </c>
      <c r="B16" s="102" t="s">
        <v>145</v>
      </c>
      <c r="C16" s="102" t="s">
        <v>138</v>
      </c>
      <c r="D16" s="103" t="s">
        <v>140</v>
      </c>
      <c r="E16" s="103" t="s">
        <v>141</v>
      </c>
      <c r="F16" s="103" t="s">
        <v>142</v>
      </c>
      <c r="G16" s="103" t="s">
        <v>143</v>
      </c>
      <c r="H16" s="104" t="s">
        <v>144</v>
      </c>
      <c r="I16" s="105"/>
      <c r="J16" s="111"/>
    </row>
    <row r="17" spans="1:12" ht="13.5" x14ac:dyDescent="0.25">
      <c r="A17" s="106">
        <v>2857</v>
      </c>
      <c r="B17" s="94" t="str">
        <f>IFERROR(VLOOKUP(H17,[1]SEMIELABORADOS!$A$2:$M$6000,2,0),"")</f>
        <v>AZUCAR BLANCO INDUSTRIAL KILO</v>
      </c>
      <c r="C17" s="107">
        <f>+A17</f>
        <v>2857</v>
      </c>
      <c r="D17" s="107" t="str">
        <f>IFERROR(VLOOKUP(H17,[1]SEMIELABORADOS!$A$2:$M$6000,6,0),"")</f>
        <v>Gramo</v>
      </c>
      <c r="E17" s="108">
        <f>IFERROR(VLOOKUP(H17,[1]SEMIELABORADOS!$A$2:$H$65536,8,0),"")</f>
        <v>0.39034000000000002</v>
      </c>
      <c r="F17" s="108">
        <f>IFERROR(E17*C17,"")</f>
        <v>1115.20138</v>
      </c>
      <c r="G17" s="109">
        <f t="shared" ref="G17:G24" si="3">IFERROR(F17/$F$66,"")</f>
        <v>1.6336027488251505E-2</v>
      </c>
      <c r="H17" s="110" t="s">
        <v>191</v>
      </c>
      <c r="I17" s="110"/>
      <c r="J17" s="111"/>
    </row>
    <row r="18" spans="1:12" ht="13.5" x14ac:dyDescent="0.25">
      <c r="A18" s="106">
        <v>285</v>
      </c>
      <c r="B18" s="94" t="str">
        <f>IFERROR(VLOOKUP(H18,[1]SEMIELABORADOS!$A$2:$M$6000,2,0),"")</f>
        <v>EMPAQUE ALMIDON MODIFICADO KILO</v>
      </c>
      <c r="C18" s="107">
        <f t="shared" ref="C18:C24" si="4">+A18</f>
        <v>285</v>
      </c>
      <c r="D18" s="107" t="str">
        <f>IFERROR(VLOOKUP(H18,[1]SEMIELABORADOS!$A$2:$M$6000,6,0),"")</f>
        <v>Gramo</v>
      </c>
      <c r="E18" s="108">
        <v>2.2000000000000002</v>
      </c>
      <c r="F18" s="108">
        <f t="shared" ref="F18:F24" si="5">IFERROR(E18*C18,"")</f>
        <v>627</v>
      </c>
      <c r="G18" s="109">
        <f t="shared" si="3"/>
        <v>9.184609541223571E-3</v>
      </c>
      <c r="H18" s="110" t="s">
        <v>192</v>
      </c>
      <c r="I18" s="110"/>
      <c r="J18" s="111"/>
    </row>
    <row r="19" spans="1:12" ht="13.5" hidden="1" x14ac:dyDescent="0.25">
      <c r="A19" s="106"/>
      <c r="B19" s="94" t="str">
        <f>IFERROR(VLOOKUP(H19,[1]SEMIELABORADOS!$A$2:$M$6000,2,0),"")</f>
        <v/>
      </c>
      <c r="C19" s="107">
        <f>+A19</f>
        <v>0</v>
      </c>
      <c r="D19" s="107" t="str">
        <f>IFERROR(VLOOKUP(H19,[1]SEMIELABORADOS!$A$2:$M$6000,6,0),"")</f>
        <v/>
      </c>
      <c r="E19" s="108" t="str">
        <f>IFERROR(VLOOKUP(H19,[1]SEMIELABORADOS!$A$2:$H$65536,8,0),"")</f>
        <v/>
      </c>
      <c r="F19" s="108" t="str">
        <f>IFERROR(E19*C19,"")</f>
        <v/>
      </c>
      <c r="G19" s="109" t="str">
        <f t="shared" si="3"/>
        <v/>
      </c>
      <c r="H19" s="110"/>
      <c r="I19" s="110"/>
      <c r="J19" s="111"/>
    </row>
    <row r="20" spans="1:12" ht="13.5" hidden="1" x14ac:dyDescent="0.25">
      <c r="A20" s="106"/>
      <c r="B20" s="94" t="str">
        <f>IFERROR(VLOOKUP(H20,[1]SEMIELABORADOS!$A$2:$M$6000,2,0),"")</f>
        <v/>
      </c>
      <c r="C20" s="107">
        <f>+A20</f>
        <v>0</v>
      </c>
      <c r="D20" s="107" t="str">
        <f>IFERROR(VLOOKUP(H20,[1]SEMIELABORADOS!$A$2:$M$6000,6,0),"")</f>
        <v/>
      </c>
      <c r="E20" s="108" t="str">
        <f>IFERROR(VLOOKUP(H20,[1]SEMIELABORADOS!$A$2:$H$65536,8,0),"")</f>
        <v/>
      </c>
      <c r="F20" s="108" t="str">
        <f>IFERROR(E20*C20,"")</f>
        <v/>
      </c>
      <c r="G20" s="109" t="str">
        <f t="shared" si="3"/>
        <v/>
      </c>
      <c r="H20" s="110"/>
      <c r="I20" s="110"/>
      <c r="J20" s="111"/>
    </row>
    <row r="21" spans="1:12" ht="13.5" hidden="1" x14ac:dyDescent="0.25">
      <c r="A21" s="106"/>
      <c r="B21" s="94" t="str">
        <f>IFERROR(VLOOKUP(H21,[1]SEMIELABORADOS!$A$2:$M$6000,2,0),"")</f>
        <v/>
      </c>
      <c r="C21" s="107">
        <f>+A21</f>
        <v>0</v>
      </c>
      <c r="D21" s="107" t="str">
        <f>IFERROR(VLOOKUP(H21,[1]SEMIELABORADOS!$A$2:$M$6000,6,0),"")</f>
        <v/>
      </c>
      <c r="E21" s="108" t="str">
        <f>IFERROR(VLOOKUP(H21,[1]SEMIELABORADOS!$A$2:$H$65536,8,0),"")</f>
        <v/>
      </c>
      <c r="F21" s="108" t="str">
        <f>IFERROR(E21*C21,"")</f>
        <v/>
      </c>
      <c r="G21" s="109" t="str">
        <f t="shared" si="3"/>
        <v/>
      </c>
      <c r="H21" s="110"/>
      <c r="I21" s="110"/>
      <c r="J21" s="111"/>
    </row>
    <row r="22" spans="1:12" ht="13.5" hidden="1" x14ac:dyDescent="0.25">
      <c r="A22" s="106"/>
      <c r="B22" s="94" t="str">
        <f>IFERROR(VLOOKUP(H22,[1]SEMIELABORADOS!$A$2:$M$6000,2,0),"")</f>
        <v/>
      </c>
      <c r="C22" s="107">
        <f t="shared" si="4"/>
        <v>0</v>
      </c>
      <c r="D22" s="107" t="str">
        <f>IFERROR(VLOOKUP(H22,[1]SEMIELABORADOS!$A$2:$M$6000,6,0),"")</f>
        <v/>
      </c>
      <c r="E22" s="108" t="str">
        <f>IFERROR(VLOOKUP(H22,[1]SEMIELABORADOS!$A$2:$H$65536,8,0),"")</f>
        <v/>
      </c>
      <c r="F22" s="108" t="str">
        <f t="shared" si="5"/>
        <v/>
      </c>
      <c r="G22" s="109" t="str">
        <f t="shared" si="3"/>
        <v/>
      </c>
      <c r="H22" s="110"/>
      <c r="I22" s="110"/>
      <c r="J22" s="111"/>
    </row>
    <row r="23" spans="1:12" ht="13.5" hidden="1" x14ac:dyDescent="0.25">
      <c r="A23" s="106"/>
      <c r="B23" s="94" t="str">
        <f>IFERROR(VLOOKUP(H23,[1]SEMIELABORADOS!$A$2:$M$6000,2,0),"")</f>
        <v/>
      </c>
      <c r="C23" s="107">
        <f t="shared" si="4"/>
        <v>0</v>
      </c>
      <c r="D23" s="107" t="str">
        <f>IFERROR(VLOOKUP(H23,[1]SEMIELABORADOS!$A$2:$M$6000,6,0),"")</f>
        <v/>
      </c>
      <c r="E23" s="108" t="str">
        <f>IFERROR(VLOOKUP(H23,[1]SEMIELABORADOS!$A$2:$H$65536,8,0),"")</f>
        <v/>
      </c>
      <c r="F23" s="108" t="str">
        <f t="shared" si="5"/>
        <v/>
      </c>
      <c r="G23" s="109" t="str">
        <f t="shared" si="3"/>
        <v/>
      </c>
      <c r="H23" s="110"/>
      <c r="I23" s="110"/>
      <c r="J23" s="111"/>
    </row>
    <row r="24" spans="1:12" ht="13.5" hidden="1" x14ac:dyDescent="0.25">
      <c r="A24" s="106"/>
      <c r="B24" s="94" t="str">
        <f>IFERROR(VLOOKUP(H24,[1]SEMIELABORADOS!$A$2:$M$6000,2,0),"")</f>
        <v/>
      </c>
      <c r="C24" s="107">
        <f t="shared" si="4"/>
        <v>0</v>
      </c>
      <c r="D24" s="107" t="str">
        <f>IFERROR(VLOOKUP(H24,[1]SEMIELABORADOS!$A$2:$M$6000,6,0),"")</f>
        <v/>
      </c>
      <c r="E24" s="108" t="str">
        <f>IFERROR(VLOOKUP(H24,[1]SEMIELABORADOS!$A$2:$H$65536,8,0),"")</f>
        <v/>
      </c>
      <c r="F24" s="108" t="str">
        <f t="shared" si="5"/>
        <v/>
      </c>
      <c r="G24" s="109" t="str">
        <f t="shared" si="3"/>
        <v/>
      </c>
      <c r="H24" s="110"/>
      <c r="I24" s="110"/>
      <c r="J24" s="111"/>
    </row>
    <row r="25" spans="1:12" ht="14.25" thickBot="1" x14ac:dyDescent="0.3">
      <c r="A25" s="106"/>
      <c r="C25" s="107"/>
      <c r="D25" s="107"/>
      <c r="E25" s="108"/>
      <c r="F25" s="108"/>
      <c r="G25" s="109"/>
      <c r="H25" s="110"/>
      <c r="I25" s="110"/>
      <c r="J25" s="111"/>
    </row>
    <row r="26" spans="1:12" ht="26.25" hidden="1" thickBot="1" x14ac:dyDescent="0.3">
      <c r="A26" s="101" t="s">
        <v>138</v>
      </c>
      <c r="B26" s="102" t="s">
        <v>20</v>
      </c>
      <c r="C26" s="102" t="s">
        <v>138</v>
      </c>
      <c r="D26" s="103" t="s">
        <v>140</v>
      </c>
      <c r="E26" s="103" t="s">
        <v>141</v>
      </c>
      <c r="F26" s="103" t="s">
        <v>142</v>
      </c>
      <c r="G26" s="103" t="s">
        <v>143</v>
      </c>
      <c r="H26" s="104" t="s">
        <v>144</v>
      </c>
      <c r="I26" s="105"/>
    </row>
    <row r="27" spans="1:12" ht="13.5" hidden="1" x14ac:dyDescent="0.25">
      <c r="A27" s="106">
        <v>0</v>
      </c>
      <c r="B27" s="112" t="str">
        <f>IFERROR(VLOOKUP(H27,'[1]Consolidado MP Planta'!$A$2:$M$823,3,0),"")</f>
        <v/>
      </c>
      <c r="C27" s="107">
        <f t="shared" ref="C27:C32" si="6">+A27</f>
        <v>0</v>
      </c>
      <c r="D27" s="108" t="str">
        <f>IFERROR(VLOOKUP(H27,'[1]Consolidado MP Planta'!$A$2:$M$823,13,0),"")</f>
        <v/>
      </c>
      <c r="E27" s="108" t="str">
        <f>IFERROR(VLOOKUP(H27,'[1]Consolidado MP Planta'!$A$2:$M$823,12,0),"")</f>
        <v/>
      </c>
      <c r="F27" s="108" t="str">
        <f t="shared" ref="F27:F32" si="7">IFERROR(C27*E27,"")</f>
        <v/>
      </c>
      <c r="G27" s="109" t="str">
        <f t="shared" ref="G27:G32" si="8">IFERROR(F27/$F$66,"")</f>
        <v/>
      </c>
      <c r="H27" s="113"/>
      <c r="I27" s="113"/>
      <c r="J27" s="111"/>
      <c r="K27" s="356"/>
      <c r="L27" s="356"/>
    </row>
    <row r="28" spans="1:12" ht="13.5" hidden="1" x14ac:dyDescent="0.25">
      <c r="A28" s="106"/>
      <c r="B28" s="112" t="str">
        <f>IFERROR(VLOOKUP(H28,'[1]Consolidado MP Planta'!$A$2:$M$823,3,0),"")</f>
        <v/>
      </c>
      <c r="C28" s="107">
        <f t="shared" si="6"/>
        <v>0</v>
      </c>
      <c r="D28" s="108" t="str">
        <f>IFERROR(VLOOKUP(H28,'[1]Consolidado MP Planta'!$A$2:$M$823,13,0),"")</f>
        <v/>
      </c>
      <c r="E28" s="108" t="str">
        <f>IFERROR(VLOOKUP(H28,'[1]Consolidado MP Planta'!$A$2:$M$823,12,0),"")</f>
        <v/>
      </c>
      <c r="F28" s="108" t="str">
        <f t="shared" si="7"/>
        <v/>
      </c>
      <c r="G28" s="109" t="str">
        <f t="shared" si="8"/>
        <v/>
      </c>
      <c r="H28" s="113"/>
      <c r="I28" s="113"/>
      <c r="J28" s="111"/>
      <c r="K28" s="356"/>
      <c r="L28" s="356"/>
    </row>
    <row r="29" spans="1:12" ht="13.5" hidden="1" x14ac:dyDescent="0.25">
      <c r="A29" s="106"/>
      <c r="B29" s="112" t="str">
        <f>IFERROR(VLOOKUP(H29,'[1]Consolidado MP Planta'!$A$2:$M$823,3,0),"")</f>
        <v/>
      </c>
      <c r="C29" s="107">
        <f t="shared" si="6"/>
        <v>0</v>
      </c>
      <c r="D29" s="108" t="str">
        <f>IFERROR(VLOOKUP(H29,'[1]Consolidado MP Planta'!$A$2:$M$823,13,0),"")</f>
        <v/>
      </c>
      <c r="E29" s="108" t="str">
        <f>IFERROR(VLOOKUP(H29,'[1]Consolidado MP Planta'!$A$2:$M$823,12,0),"")</f>
        <v/>
      </c>
      <c r="F29" s="108" t="str">
        <f t="shared" si="7"/>
        <v/>
      </c>
      <c r="G29" s="109" t="str">
        <f t="shared" si="8"/>
        <v/>
      </c>
      <c r="H29" s="113"/>
      <c r="I29" s="113"/>
      <c r="J29" s="111"/>
      <c r="K29" s="356"/>
      <c r="L29" s="356"/>
    </row>
    <row r="30" spans="1:12" ht="13.5" hidden="1" x14ac:dyDescent="0.25">
      <c r="A30" s="106"/>
      <c r="B30" s="112" t="str">
        <f>IFERROR(VLOOKUP(H30,'[1]Consolidado MP Planta'!$A$2:$M$823,3,0),"")</f>
        <v/>
      </c>
      <c r="C30" s="107">
        <f t="shared" si="6"/>
        <v>0</v>
      </c>
      <c r="D30" s="108" t="str">
        <f>IFERROR(VLOOKUP(H30,'[1]Consolidado MP Planta'!$A$2:$M$823,13,0),"")</f>
        <v/>
      </c>
      <c r="E30" s="108" t="str">
        <f>IFERROR(VLOOKUP(H30,'[1]Consolidado MP Planta'!$A$2:$M$823,12,0),"")</f>
        <v/>
      </c>
      <c r="F30" s="108" t="str">
        <f t="shared" si="7"/>
        <v/>
      </c>
      <c r="G30" s="109" t="str">
        <f t="shared" si="8"/>
        <v/>
      </c>
      <c r="H30" s="113"/>
      <c r="I30" s="113"/>
      <c r="J30" s="111"/>
      <c r="K30" s="356"/>
      <c r="L30" s="356"/>
    </row>
    <row r="31" spans="1:12" ht="13.5" hidden="1" x14ac:dyDescent="0.25">
      <c r="A31" s="106"/>
      <c r="B31" s="112" t="str">
        <f>IFERROR(VLOOKUP(H31,'[1]Consolidado MP Planta'!$A$2:$M$823,3,0),"")</f>
        <v/>
      </c>
      <c r="C31" s="107">
        <f t="shared" si="6"/>
        <v>0</v>
      </c>
      <c r="D31" s="108" t="str">
        <f>IFERROR(VLOOKUP(H31,'[1]Consolidado MP Planta'!$A$2:$M$823,13,0),"")</f>
        <v/>
      </c>
      <c r="E31" s="108" t="str">
        <f>IFERROR(VLOOKUP(H31,'[1]Consolidado MP Planta'!$A$2:$M$823,12,0),"")</f>
        <v/>
      </c>
      <c r="F31" s="108" t="str">
        <f t="shared" si="7"/>
        <v/>
      </c>
      <c r="G31" s="109" t="str">
        <f t="shared" si="8"/>
        <v/>
      </c>
      <c r="H31" s="113"/>
      <c r="I31" s="113"/>
      <c r="J31" s="111"/>
      <c r="K31" s="114"/>
      <c r="L31" s="115"/>
    </row>
    <row r="32" spans="1:12" ht="13.5" hidden="1" x14ac:dyDescent="0.25">
      <c r="A32" s="106"/>
      <c r="B32" s="112" t="str">
        <f>IFERROR(VLOOKUP(H32,'[1]Consolidado MP Planta'!$A$2:$M$823,3,0),"")</f>
        <v/>
      </c>
      <c r="C32" s="107">
        <f t="shared" si="6"/>
        <v>0</v>
      </c>
      <c r="D32" s="108" t="str">
        <f>IFERROR(VLOOKUP(H32,'[1]Consolidado MP Planta'!$A$2:$M$823,13,0),"")</f>
        <v/>
      </c>
      <c r="E32" s="108" t="str">
        <f>IFERROR(VLOOKUP(H32,'[1]Consolidado MP Planta'!$A$2:$M$823,12,0),"")</f>
        <v/>
      </c>
      <c r="F32" s="108" t="str">
        <f t="shared" si="7"/>
        <v/>
      </c>
      <c r="G32" s="109" t="str">
        <f t="shared" si="8"/>
        <v/>
      </c>
      <c r="H32" s="113"/>
      <c r="I32" s="113"/>
      <c r="J32" s="111"/>
    </row>
    <row r="33" spans="1:13" ht="14.25" hidden="1" thickBot="1" x14ac:dyDescent="0.3">
      <c r="A33" s="106"/>
      <c r="B33" s="112"/>
      <c r="C33" s="107"/>
      <c r="D33" s="108"/>
      <c r="E33" s="108"/>
      <c r="F33" s="108"/>
      <c r="G33" s="109"/>
      <c r="H33" s="113"/>
      <c r="I33" s="113"/>
      <c r="J33" s="111"/>
    </row>
    <row r="34" spans="1:13" ht="26.25" thickBot="1" x14ac:dyDescent="0.25">
      <c r="A34" s="101" t="s">
        <v>138</v>
      </c>
      <c r="B34" s="102" t="s">
        <v>146</v>
      </c>
      <c r="C34" s="102" t="s">
        <v>138</v>
      </c>
      <c r="D34" s="103" t="s">
        <v>140</v>
      </c>
      <c r="E34" s="103" t="s">
        <v>141</v>
      </c>
      <c r="F34" s="103" t="s">
        <v>142</v>
      </c>
      <c r="G34" s="103" t="s">
        <v>143</v>
      </c>
      <c r="H34" s="104" t="s">
        <v>144</v>
      </c>
      <c r="I34" s="113"/>
      <c r="J34" s="111"/>
    </row>
    <row r="35" spans="1:13" ht="13.5" x14ac:dyDescent="0.25">
      <c r="A35" s="106">
        <f>+A17</f>
        <v>2857</v>
      </c>
      <c r="B35" s="112" t="str">
        <f>IFERROR(VLOOKUP(H35,[1]SEMIELABORADOS!$A$2:$M$6000,2,0),"")</f>
        <v>AZUCAR BLANCO INDUSTRIAL KILO</v>
      </c>
      <c r="C35" s="107">
        <f>+A35</f>
        <v>2857</v>
      </c>
      <c r="D35" s="108" t="str">
        <f>IFERROR(VLOOKUP(H35,[1]SEMIELABORADOS!$A$2:$M$6000,6,0),"")</f>
        <v>Gramo</v>
      </c>
      <c r="E35" s="108">
        <f>IFERROR(VLOOKUP(H35,[1]SEMIELABORADOS!$A$2:$M$65536,10,0),"")</f>
        <v>3.3330521904761906E-2</v>
      </c>
      <c r="F35" s="108">
        <f>IFERROR(E35*C35,"")</f>
        <v>95.22530108190476</v>
      </c>
      <c r="G35" s="109">
        <f t="shared" ref="G35:G41" si="9">IFERROR(F35/$F$66,"")</f>
        <v>1.3949078291590905E-3</v>
      </c>
      <c r="H35" s="113" t="s">
        <v>191</v>
      </c>
      <c r="I35" s="113"/>
      <c r="J35" s="111"/>
    </row>
    <row r="36" spans="1:13" ht="13.5" x14ac:dyDescent="0.25">
      <c r="A36" s="106">
        <f t="shared" ref="A36:A41" si="10">+A18</f>
        <v>285</v>
      </c>
      <c r="B36" s="112" t="str">
        <f>IFERROR(VLOOKUP(H36,[1]SEMIELABORADOS!$A$2:$M$6000,2,0),"")</f>
        <v>EMPAQUE ALMIDON MODIFICADO KILO</v>
      </c>
      <c r="C36" s="107">
        <f t="shared" ref="C36:C41" si="11">+A36</f>
        <v>285</v>
      </c>
      <c r="D36" s="108" t="str">
        <f>IFERROR(VLOOKUP(H36,[1]SEMIELABORADOS!$A$2:$M$6000,6,0),"")</f>
        <v>Gramo</v>
      </c>
      <c r="E36" s="108">
        <f>IFERROR(VLOOKUP(H36,[1]SEMIELABORADOS!$A$2:$M$65536,10,0),"")</f>
        <v>9.9494095238095229E-3</v>
      </c>
      <c r="F36" s="108">
        <f t="shared" ref="F36:F41" si="12">IFERROR(E36*C36,"")</f>
        <v>2.835581714285714</v>
      </c>
      <c r="G36" s="109">
        <f t="shared" si="9"/>
        <v>4.1537018928146186E-5</v>
      </c>
      <c r="H36" s="113" t="s">
        <v>192</v>
      </c>
      <c r="I36" s="113"/>
      <c r="J36" s="111"/>
    </row>
    <row r="37" spans="1:13" ht="13.5" hidden="1" x14ac:dyDescent="0.25">
      <c r="A37" s="106">
        <f t="shared" si="10"/>
        <v>0</v>
      </c>
      <c r="B37" s="112" t="str">
        <f>IFERROR(VLOOKUP(H37,[1]SEMIELABORADOS!$A$2:$M$6000,2,0),"")</f>
        <v/>
      </c>
      <c r="C37" s="107">
        <f t="shared" si="11"/>
        <v>0</v>
      </c>
      <c r="D37" s="108" t="str">
        <f>IFERROR(VLOOKUP(H37,[1]SEMIELABORADOS!$A$2:$M$6000,6,0),"")</f>
        <v/>
      </c>
      <c r="E37" s="108" t="str">
        <f>IFERROR(VLOOKUP(H37,[1]SEMIELABORADOS!$A$2:$M$65536,10,0),"")</f>
        <v/>
      </c>
      <c r="F37" s="108" t="str">
        <f t="shared" si="12"/>
        <v/>
      </c>
      <c r="G37" s="109" t="str">
        <f t="shared" si="9"/>
        <v/>
      </c>
      <c r="H37" s="113"/>
      <c r="I37" s="113"/>
      <c r="J37" s="111"/>
    </row>
    <row r="38" spans="1:13" ht="13.5" hidden="1" x14ac:dyDescent="0.25">
      <c r="A38" s="106">
        <f t="shared" si="10"/>
        <v>0</v>
      </c>
      <c r="B38" s="112" t="str">
        <f>IFERROR(VLOOKUP(H38,[1]SEMIELABORADOS!$A$2:$M$6000,2,0),"")</f>
        <v/>
      </c>
      <c r="C38" s="107">
        <f>+A38</f>
        <v>0</v>
      </c>
      <c r="D38" s="108" t="str">
        <f>IFERROR(VLOOKUP(H38,[1]SEMIELABORADOS!$A$2:$M$6000,6,0),"")</f>
        <v/>
      </c>
      <c r="E38" s="108" t="str">
        <f>IFERROR(VLOOKUP(H38,[1]SEMIELABORADOS!$A$2:$M$65536,10,0),"")</f>
        <v/>
      </c>
      <c r="F38" s="108" t="str">
        <f>IFERROR(E38*C38,"")</f>
        <v/>
      </c>
      <c r="G38" s="109" t="str">
        <f t="shared" si="9"/>
        <v/>
      </c>
      <c r="H38" s="113"/>
      <c r="I38" s="113"/>
      <c r="J38" s="111"/>
    </row>
    <row r="39" spans="1:13" ht="13.5" hidden="1" x14ac:dyDescent="0.25">
      <c r="A39" s="106">
        <f t="shared" si="10"/>
        <v>0</v>
      </c>
      <c r="B39" s="112" t="str">
        <f>IFERROR(VLOOKUP(H39,[1]SEMIELABORADOS!$A$2:$M$6000,2,0),"")</f>
        <v/>
      </c>
      <c r="C39" s="107">
        <f>+A39</f>
        <v>0</v>
      </c>
      <c r="D39" s="108" t="str">
        <f>IFERROR(VLOOKUP(H39,[1]SEMIELABORADOS!$A$2:$M$6000,6,0),"")</f>
        <v/>
      </c>
      <c r="E39" s="108" t="str">
        <f>IFERROR(VLOOKUP(H39,[1]SEMIELABORADOS!$A$2:$M$65536,10,0),"")</f>
        <v/>
      </c>
      <c r="F39" s="108" t="str">
        <f>IFERROR(E39*C39,"")</f>
        <v/>
      </c>
      <c r="G39" s="109" t="str">
        <f t="shared" si="9"/>
        <v/>
      </c>
      <c r="H39" s="113"/>
      <c r="I39" s="113"/>
      <c r="J39" s="111"/>
    </row>
    <row r="40" spans="1:13" ht="13.5" hidden="1" x14ac:dyDescent="0.25">
      <c r="A40" s="106">
        <f t="shared" si="10"/>
        <v>0</v>
      </c>
      <c r="B40" s="112" t="str">
        <f>IFERROR(VLOOKUP(H40,[1]SEMIELABORADOS!$A$2:$M$6000,2,0),"")</f>
        <v/>
      </c>
      <c r="C40" s="107">
        <f t="shared" si="11"/>
        <v>0</v>
      </c>
      <c r="D40" s="108" t="str">
        <f>IFERROR(VLOOKUP(H40,[1]SEMIELABORADOS!$A$2:$M$6000,6,0),"")</f>
        <v/>
      </c>
      <c r="E40" s="108" t="str">
        <f>IFERROR(VLOOKUP(H40,[1]SEMIELABORADOS!$A$2:$M$65536,10,0),"")</f>
        <v/>
      </c>
      <c r="F40" s="108" t="str">
        <f t="shared" si="12"/>
        <v/>
      </c>
      <c r="G40" s="109" t="str">
        <f t="shared" si="9"/>
        <v/>
      </c>
      <c r="H40" s="113"/>
      <c r="I40" s="113"/>
      <c r="J40" s="111"/>
    </row>
    <row r="41" spans="1:13" ht="13.5" hidden="1" x14ac:dyDescent="0.25">
      <c r="A41" s="106">
        <f t="shared" si="10"/>
        <v>0</v>
      </c>
      <c r="B41" s="112" t="str">
        <f>IFERROR(VLOOKUP(H41,[1]SEMIELABORADOS!$A$2:$M$6000,2,0),"")</f>
        <v/>
      </c>
      <c r="C41" s="107">
        <f t="shared" si="11"/>
        <v>0</v>
      </c>
      <c r="D41" s="108" t="str">
        <f>IFERROR(VLOOKUP(H41,[1]SEMIELABORADOS!$A$2:$M$6000,6,0),"")</f>
        <v/>
      </c>
      <c r="E41" s="108" t="str">
        <f>IFERROR(VLOOKUP(H41,[1]SEMIELABORADOS!$A$2:$M$65536,10,0),"")</f>
        <v/>
      </c>
      <c r="F41" s="108" t="str">
        <f t="shared" si="12"/>
        <v/>
      </c>
      <c r="G41" s="109" t="str">
        <f t="shared" si="9"/>
        <v/>
      </c>
      <c r="H41" s="113"/>
      <c r="I41" s="113"/>
      <c r="J41" s="111"/>
    </row>
    <row r="42" spans="1:13" ht="14.25" thickBot="1" x14ac:dyDescent="0.3">
      <c r="A42" s="106"/>
      <c r="B42" s="112"/>
      <c r="C42" s="107"/>
      <c r="D42" s="108"/>
      <c r="E42" s="108"/>
      <c r="F42" s="108"/>
      <c r="G42" s="109"/>
      <c r="H42" s="113"/>
      <c r="I42" s="113"/>
      <c r="J42" s="111"/>
    </row>
    <row r="43" spans="1:13" ht="26.25" thickBot="1" x14ac:dyDescent="0.3">
      <c r="A43" s="101" t="s">
        <v>138</v>
      </c>
      <c r="B43" s="102" t="s">
        <v>147</v>
      </c>
      <c r="C43" s="102" t="s">
        <v>138</v>
      </c>
      <c r="D43" s="103" t="s">
        <v>140</v>
      </c>
      <c r="E43" s="103" t="s">
        <v>141</v>
      </c>
      <c r="F43" s="103" t="s">
        <v>142</v>
      </c>
      <c r="G43" s="103" t="s">
        <v>143</v>
      </c>
      <c r="H43" s="104" t="s">
        <v>144</v>
      </c>
      <c r="I43" s="105"/>
      <c r="J43" s="111"/>
    </row>
    <row r="44" spans="1:13" ht="13.5" x14ac:dyDescent="0.25">
      <c r="A44" s="106">
        <f>+A35</f>
        <v>2857</v>
      </c>
      <c r="B44" s="112" t="str">
        <f>IFERROR(VLOOKUP(H44,[1]SEMIELABORADOS!$A$2:$M$6000,2,0),"")</f>
        <v>AZUCAR BLANCO INDUSTRIAL KILO</v>
      </c>
      <c r="C44" s="107">
        <f>+A44</f>
        <v>2857</v>
      </c>
      <c r="D44" s="108" t="str">
        <f>IFERROR(VLOOKUP(H44,[1]SEMIELABORADOS!$A$2:$M$6000,6,0),"")</f>
        <v>Gramo</v>
      </c>
      <c r="E44" s="108">
        <f>IFERROR(VLOOKUP(H44,[1]SEMIELABORADOS!$A$2:$M$65536,12,0),"")</f>
        <v>7.6260693942857144E-2</v>
      </c>
      <c r="F44" s="108">
        <f>IFERROR(E44*C44,"")</f>
        <v>217.87680259474286</v>
      </c>
      <c r="G44" s="109">
        <f>IFERROR(F44/$F$66,"")</f>
        <v>3.1915683571339072E-3</v>
      </c>
      <c r="H44" s="113" t="s">
        <v>191</v>
      </c>
      <c r="I44" s="105"/>
      <c r="J44" s="111"/>
    </row>
    <row r="45" spans="1:13" ht="13.5" x14ac:dyDescent="0.25">
      <c r="A45" s="106">
        <f t="shared" ref="A45:A50" si="13">+A36</f>
        <v>285</v>
      </c>
      <c r="B45" s="112" t="str">
        <f>IFERROR(VLOOKUP(H45,[1]SEMIELABORADOS!$A$2:$M$6000,2,0),"")</f>
        <v>EMPAQUE ALMIDON MODIFICADO KILO</v>
      </c>
      <c r="C45" s="107">
        <f t="shared" ref="C45:C50" si="14">+A45</f>
        <v>285</v>
      </c>
      <c r="D45" s="108" t="str">
        <f>IFERROR(VLOOKUP(H45,[1]SEMIELABORADOS!$A$2:$M$6000,6,0),"")</f>
        <v>Gramo</v>
      </c>
      <c r="E45" s="108">
        <v>7.0000000000000007E-2</v>
      </c>
      <c r="F45" s="108">
        <f t="shared" ref="F45:F50" si="15">IFERROR(E45*C45,"")</f>
        <v>19.950000000000003</v>
      </c>
      <c r="G45" s="109">
        <f t="shared" ref="G45:G50" si="16">IFERROR(F45/$F$66,"")</f>
        <v>2.9223757631165914E-4</v>
      </c>
      <c r="H45" s="113" t="s">
        <v>192</v>
      </c>
      <c r="I45" s="105"/>
      <c r="J45" s="111"/>
      <c r="M45" s="116"/>
    </row>
    <row r="46" spans="1:13" ht="13.5" hidden="1" x14ac:dyDescent="0.25">
      <c r="A46" s="106">
        <f t="shared" si="13"/>
        <v>0</v>
      </c>
      <c r="B46" s="112" t="str">
        <f>IFERROR(VLOOKUP(H46,[1]SEMIELABORADOS!$A$2:$M$6000,2,0),"")</f>
        <v/>
      </c>
      <c r="C46" s="107">
        <f t="shared" si="14"/>
        <v>0</v>
      </c>
      <c r="D46" s="108" t="str">
        <f>IFERROR(VLOOKUP(H46,[1]SEMIELABORADOS!$A$2:$M$6000,6,0),"")</f>
        <v/>
      </c>
      <c r="E46" s="108" t="str">
        <f>IFERROR(VLOOKUP(H46,[1]SEMIELABORADOS!$A$2:$M$65536,12,0),"")</f>
        <v/>
      </c>
      <c r="F46" s="108" t="str">
        <f t="shared" si="15"/>
        <v/>
      </c>
      <c r="G46" s="109" t="str">
        <f t="shared" si="16"/>
        <v/>
      </c>
      <c r="H46" s="113"/>
      <c r="I46" s="105"/>
      <c r="J46" s="111"/>
    </row>
    <row r="47" spans="1:13" ht="13.5" hidden="1" x14ac:dyDescent="0.25">
      <c r="A47" s="106">
        <f t="shared" si="13"/>
        <v>0</v>
      </c>
      <c r="B47" s="112" t="str">
        <f>IFERROR(VLOOKUP(H47,[1]SEMIELABORADOS!$A$2:$M$6000,2,0),"")</f>
        <v/>
      </c>
      <c r="C47" s="107">
        <f t="shared" si="14"/>
        <v>0</v>
      </c>
      <c r="D47" s="108" t="str">
        <f>IFERROR(VLOOKUP(H47,[1]SEMIELABORADOS!$A$2:$M$6000,6,0),"")</f>
        <v/>
      </c>
      <c r="E47" s="108" t="str">
        <f>IFERROR(VLOOKUP(H47,[1]SEMIELABORADOS!$A$2:$M$65536,12,0),"")</f>
        <v/>
      </c>
      <c r="F47" s="108" t="str">
        <f t="shared" si="15"/>
        <v/>
      </c>
      <c r="G47" s="109" t="str">
        <f t="shared" si="16"/>
        <v/>
      </c>
      <c r="H47" s="113"/>
      <c r="I47" s="105"/>
      <c r="J47" s="111"/>
    </row>
    <row r="48" spans="1:13" ht="13.5" hidden="1" x14ac:dyDescent="0.25">
      <c r="A48" s="106">
        <f t="shared" si="13"/>
        <v>0</v>
      </c>
      <c r="B48" s="112" t="str">
        <f>IFERROR(VLOOKUP(H48,[1]SEMIELABORADOS!$A$2:$M$6000,2,0),"")</f>
        <v/>
      </c>
      <c r="C48" s="107">
        <f t="shared" si="14"/>
        <v>0</v>
      </c>
      <c r="D48" s="108" t="str">
        <f>IFERROR(VLOOKUP(H48,[1]SEMIELABORADOS!$A$2:$M$6000,6,0),"")</f>
        <v/>
      </c>
      <c r="E48" s="108" t="str">
        <f>IFERROR(VLOOKUP(H48,[1]SEMIELABORADOS!$A$2:$M$65536,12,0),"")</f>
        <v/>
      </c>
      <c r="F48" s="108" t="str">
        <f t="shared" si="15"/>
        <v/>
      </c>
      <c r="G48" s="109" t="str">
        <f t="shared" si="16"/>
        <v/>
      </c>
      <c r="H48" s="113"/>
      <c r="I48" s="105"/>
      <c r="J48" s="111"/>
    </row>
    <row r="49" spans="1:17" ht="13.5" hidden="1" x14ac:dyDescent="0.25">
      <c r="A49" s="106">
        <f t="shared" si="13"/>
        <v>0</v>
      </c>
      <c r="B49" s="112" t="str">
        <f>IFERROR(VLOOKUP(H49,[1]SEMIELABORADOS!$A$2:$M$6000,2,0),"")</f>
        <v/>
      </c>
      <c r="C49" s="107">
        <f t="shared" si="14"/>
        <v>0</v>
      </c>
      <c r="D49" s="108" t="str">
        <f>IFERROR(VLOOKUP(H49,[1]SEMIELABORADOS!$A$2:$M$6000,6,0),"")</f>
        <v/>
      </c>
      <c r="E49" s="108" t="str">
        <f>IFERROR(VLOOKUP(H49,[1]SEMIELABORADOS!$A$2:$M$65536,12,0),"")</f>
        <v/>
      </c>
      <c r="F49" s="108" t="str">
        <f t="shared" si="15"/>
        <v/>
      </c>
      <c r="G49" s="109" t="str">
        <f t="shared" si="16"/>
        <v/>
      </c>
      <c r="H49" s="113"/>
      <c r="I49" s="105"/>
      <c r="J49" s="111"/>
    </row>
    <row r="50" spans="1:17" ht="13.5" hidden="1" x14ac:dyDescent="0.25">
      <c r="A50" s="106">
        <f t="shared" si="13"/>
        <v>0</v>
      </c>
      <c r="B50" s="112" t="str">
        <f>IFERROR(VLOOKUP(H50,[1]SEMIELABORADOS!$A$2:$M$6000,2,0),"")</f>
        <v/>
      </c>
      <c r="C50" s="107">
        <f t="shared" si="14"/>
        <v>0</v>
      </c>
      <c r="D50" s="108" t="str">
        <f>IFERROR(VLOOKUP(H50,[1]SEMIELABORADOS!$A$2:$M$6000,6,0),"")</f>
        <v/>
      </c>
      <c r="E50" s="108" t="str">
        <f>IFERROR(VLOOKUP(H50,[1]SEMIELABORADOS!$A$2:$M$65536,12,0),"")</f>
        <v/>
      </c>
      <c r="F50" s="108" t="str">
        <f t="shared" si="15"/>
        <v/>
      </c>
      <c r="G50" s="109" t="str">
        <f t="shared" si="16"/>
        <v/>
      </c>
      <c r="H50" s="112"/>
      <c r="I50" s="105"/>
      <c r="J50" s="111"/>
    </row>
    <row r="51" spans="1:17" ht="13.5" x14ac:dyDescent="0.25">
      <c r="A51" s="106">
        <v>1</v>
      </c>
      <c r="B51" s="112" t="s">
        <v>148</v>
      </c>
      <c r="C51" s="107">
        <f>+A51</f>
        <v>1</v>
      </c>
      <c r="D51" s="107" t="s">
        <v>149</v>
      </c>
      <c r="E51" s="108">
        <f>+F65</f>
        <v>610</v>
      </c>
      <c r="F51" s="108">
        <f>IFERROR(C51*E51,"")</f>
        <v>610</v>
      </c>
      <c r="G51" s="109">
        <f>IFERROR(F51/$F$66,"")</f>
        <v>8.9355850401058659E-3</v>
      </c>
      <c r="H51" s="117"/>
      <c r="I51" s="117"/>
      <c r="J51" s="111"/>
    </row>
    <row r="52" spans="1:17" ht="14.25" thickBot="1" x14ac:dyDescent="0.3">
      <c r="A52" s="106"/>
      <c r="B52" s="112"/>
      <c r="C52" s="107"/>
      <c r="D52" s="107"/>
      <c r="E52" s="108"/>
      <c r="F52" s="108"/>
      <c r="G52" s="109"/>
      <c r="H52" s="117"/>
      <c r="I52" s="117"/>
      <c r="J52" s="111"/>
    </row>
    <row r="53" spans="1:17" ht="13.5" thickBot="1" x14ac:dyDescent="0.3">
      <c r="A53" s="118"/>
      <c r="B53" s="366" t="s">
        <v>150</v>
      </c>
      <c r="C53" s="366"/>
      <c r="D53" s="366"/>
      <c r="E53" s="366"/>
      <c r="F53" s="120">
        <f>SUM(F8:F14,F17:F24)</f>
        <v>66233.641380000001</v>
      </c>
      <c r="G53" s="109">
        <f>+F53/$F$66</f>
        <v>0.97022350010961456</v>
      </c>
      <c r="H53" s="121">
        <f>+F53/$D$60</f>
        <v>66233.641380000001</v>
      </c>
      <c r="I53" s="121"/>
      <c r="J53" s="122"/>
      <c r="K53" s="123"/>
      <c r="L53" s="123"/>
      <c r="M53" s="123"/>
      <c r="N53" s="123"/>
      <c r="O53" s="123"/>
      <c r="P53" s="123"/>
      <c r="Q53" s="124"/>
    </row>
    <row r="54" spans="1:17" x14ac:dyDescent="0.2">
      <c r="A54" s="118"/>
      <c r="B54" s="366" t="s">
        <v>151</v>
      </c>
      <c r="C54" s="366"/>
      <c r="D54" s="366"/>
      <c r="E54" s="366"/>
      <c r="F54" s="120">
        <f>SUM(F27:F32,F35:F41)</f>
        <v>98.060882796190469</v>
      </c>
      <c r="G54" s="109">
        <f>+F54/$F$66</f>
        <v>1.4364448480872366E-3</v>
      </c>
      <c r="H54" s="121">
        <f>+F54/$D$60</f>
        <v>98.060882796190469</v>
      </c>
      <c r="I54" s="121"/>
      <c r="J54" s="125"/>
      <c r="K54" s="367" t="s">
        <v>152</v>
      </c>
      <c r="L54" s="368"/>
      <c r="M54" s="368"/>
      <c r="N54" s="368"/>
      <c r="O54" s="126">
        <f>+F55</f>
        <v>66331.702262796185</v>
      </c>
      <c r="P54" s="126"/>
      <c r="Q54" s="127"/>
    </row>
    <row r="55" spans="1:17" x14ac:dyDescent="0.2">
      <c r="A55" s="118"/>
      <c r="B55" s="366" t="s">
        <v>153</v>
      </c>
      <c r="C55" s="366"/>
      <c r="D55" s="366"/>
      <c r="E55" s="366"/>
      <c r="F55" s="120">
        <f>+F53+F54</f>
        <v>66331.702262796185</v>
      </c>
      <c r="G55" s="109">
        <f>+F55/$F$66</f>
        <v>0.97165994495770169</v>
      </c>
      <c r="H55" s="121">
        <f>+F55/$D$60</f>
        <v>66331.702262796185</v>
      </c>
      <c r="I55" s="121"/>
      <c r="J55" s="128"/>
      <c r="K55" s="129"/>
      <c r="M55" s="130" t="s">
        <v>154</v>
      </c>
      <c r="N55" s="131"/>
      <c r="O55" s="126">
        <f>+H56</f>
        <v>847.82680259474284</v>
      </c>
      <c r="P55" s="126"/>
      <c r="Q55" s="127"/>
    </row>
    <row r="56" spans="1:17" ht="13.5" thickBot="1" x14ac:dyDescent="0.25">
      <c r="A56" s="118"/>
      <c r="B56" s="119"/>
      <c r="C56" s="366" t="s">
        <v>155</v>
      </c>
      <c r="D56" s="366"/>
      <c r="E56" s="366"/>
      <c r="F56" s="120">
        <f>SUM(F44:F51)</f>
        <v>847.82680259474284</v>
      </c>
      <c r="G56" s="109">
        <f>+F56/$F$66</f>
        <v>1.2419390973551433E-2</v>
      </c>
      <c r="H56" s="121">
        <f>+F56/$D$60</f>
        <v>847.82680259474284</v>
      </c>
      <c r="I56" s="121"/>
      <c r="J56" s="128"/>
      <c r="K56" s="129"/>
      <c r="L56" s="129"/>
      <c r="M56" s="129" t="s">
        <v>156</v>
      </c>
      <c r="N56" s="132"/>
      <c r="O56" s="126">
        <f>O54*N56</f>
        <v>0</v>
      </c>
      <c r="P56" s="126"/>
      <c r="Q56" s="127"/>
    </row>
    <row r="57" spans="1:17" ht="13.5" thickBot="1" x14ac:dyDescent="0.25">
      <c r="A57" s="118"/>
      <c r="B57" s="133"/>
      <c r="C57" s="133"/>
      <c r="D57" s="133"/>
      <c r="E57" s="133"/>
      <c r="F57" s="134"/>
      <c r="G57" s="109"/>
      <c r="H57" s="135"/>
      <c r="I57" s="121"/>
      <c r="J57" s="128"/>
      <c r="K57" s="136"/>
      <c r="M57" s="137" t="s">
        <v>157</v>
      </c>
      <c r="N57" s="138"/>
      <c r="O57" s="139">
        <f>SUM(O54:O56)</f>
        <v>67179.529065390932</v>
      </c>
      <c r="P57" s="140"/>
      <c r="Q57" s="127"/>
    </row>
    <row r="58" spans="1:17" x14ac:dyDescent="0.2">
      <c r="B58" s="369" t="s">
        <v>158</v>
      </c>
      <c r="C58" s="369"/>
      <c r="D58" s="141">
        <v>10000</v>
      </c>
      <c r="E58" s="142"/>
      <c r="G58" s="109"/>
      <c r="H58" s="135">
        <f>+H56/61</f>
        <v>13.898800042536768</v>
      </c>
      <c r="I58" s="143"/>
      <c r="J58" s="128"/>
      <c r="K58" s="136"/>
      <c r="L58" s="129"/>
      <c r="M58" s="129" t="s">
        <v>159</v>
      </c>
      <c r="N58" s="144"/>
      <c r="O58" s="126">
        <f>+H59</f>
        <v>806.13040246713251</v>
      </c>
      <c r="P58" s="126"/>
      <c r="Q58" s="127"/>
    </row>
    <row r="59" spans="1:17" x14ac:dyDescent="0.2">
      <c r="B59" s="369" t="s">
        <v>160</v>
      </c>
      <c r="C59" s="369"/>
      <c r="D59" s="145">
        <v>10000</v>
      </c>
      <c r="E59" s="142"/>
      <c r="G59" s="109"/>
      <c r="H59" s="135">
        <f>+H58*58</f>
        <v>806.13040246713251</v>
      </c>
      <c r="I59" s="143"/>
      <c r="J59" s="128"/>
      <c r="K59" s="136"/>
      <c r="L59" s="129"/>
      <c r="M59" s="370" t="s">
        <v>157</v>
      </c>
      <c r="N59" s="370"/>
      <c r="O59" s="126">
        <f>SUM(O57:O58)</f>
        <v>67985.659467858059</v>
      </c>
      <c r="P59" s="126"/>
      <c r="Q59" s="127"/>
    </row>
    <row r="60" spans="1:17" ht="13.5" thickBot="1" x14ac:dyDescent="0.25">
      <c r="B60" s="362" t="s">
        <v>161</v>
      </c>
      <c r="C60" s="362"/>
      <c r="D60" s="141">
        <f>+D58/D59</f>
        <v>1</v>
      </c>
      <c r="E60" s="142"/>
      <c r="F60" s="146"/>
      <c r="G60" s="109"/>
      <c r="H60" s="135"/>
      <c r="I60" s="143"/>
      <c r="J60" s="128"/>
      <c r="K60" s="136"/>
      <c r="L60" s="370"/>
      <c r="M60" s="370"/>
      <c r="N60" s="144"/>
      <c r="O60" s="126">
        <f>+O59*N60</f>
        <v>0</v>
      </c>
      <c r="P60" s="126"/>
      <c r="Q60" s="127"/>
    </row>
    <row r="61" spans="1:17" ht="13.5" thickBot="1" x14ac:dyDescent="0.25">
      <c r="B61" s="362" t="s">
        <v>162</v>
      </c>
      <c r="C61" s="362"/>
      <c r="D61" s="147"/>
      <c r="E61" s="142"/>
      <c r="F61" s="146"/>
      <c r="G61" s="109"/>
      <c r="H61" s="135"/>
      <c r="I61" s="143"/>
      <c r="J61" s="128"/>
      <c r="K61" s="363" t="s">
        <v>163</v>
      </c>
      <c r="L61" s="364"/>
      <c r="M61" s="364"/>
      <c r="N61" s="365"/>
      <c r="O61" s="139">
        <f>SUM(O59:O60)</f>
        <v>67985.659467858059</v>
      </c>
      <c r="P61" s="148" t="s">
        <v>164</v>
      </c>
      <c r="Q61" s="127"/>
    </row>
    <row r="62" spans="1:17" ht="13.5" thickBot="1" x14ac:dyDescent="0.25">
      <c r="C62" s="118" t="s">
        <v>43</v>
      </c>
      <c r="D62" s="149"/>
      <c r="E62" s="92" t="s">
        <v>165</v>
      </c>
      <c r="F62" s="150" t="s">
        <v>166</v>
      </c>
      <c r="G62" s="109"/>
      <c r="H62" s="135"/>
      <c r="I62" s="143"/>
      <c r="J62" s="151"/>
      <c r="K62" s="152"/>
      <c r="L62" s="376" t="s">
        <v>79</v>
      </c>
      <c r="M62" s="376"/>
      <c r="N62" s="376"/>
      <c r="O62" s="153">
        <f>+O61/D60</f>
        <v>67985.659467858059</v>
      </c>
      <c r="P62" s="154">
        <f>+O62/D59</f>
        <v>6.7985659467858062</v>
      </c>
      <c r="Q62" s="155"/>
    </row>
    <row r="63" spans="1:17" ht="13.5" thickBot="1" x14ac:dyDescent="0.25">
      <c r="B63" s="377" t="s">
        <v>153</v>
      </c>
      <c r="C63" s="377"/>
      <c r="D63" s="377"/>
      <c r="E63" s="156">
        <f>+F63/F63</f>
        <v>1</v>
      </c>
      <c r="F63" s="157">
        <f>SUM(F55)</f>
        <v>66331.702262796185</v>
      </c>
      <c r="G63" s="109">
        <f>+F63/$F$66</f>
        <v>0.97165994495770169</v>
      </c>
      <c r="H63" s="135"/>
      <c r="I63" s="143"/>
      <c r="K63" s="378"/>
      <c r="L63" s="379"/>
      <c r="M63" s="379"/>
      <c r="N63" s="379"/>
      <c r="O63" s="158"/>
      <c r="P63" s="159"/>
    </row>
    <row r="64" spans="1:17" ht="13.5" thickBot="1" x14ac:dyDescent="0.3">
      <c r="B64" s="380" t="s">
        <v>167</v>
      </c>
      <c r="C64" s="380"/>
      <c r="D64" s="380"/>
      <c r="E64" s="160">
        <v>0.02</v>
      </c>
      <c r="F64" s="157">
        <f>+F53*E64</f>
        <v>1324.6728276000001</v>
      </c>
      <c r="G64" s="109">
        <f>+F64/$F$66</f>
        <v>1.9404470002192295E-2</v>
      </c>
      <c r="H64" s="121"/>
      <c r="I64" s="143"/>
      <c r="J64" s="161"/>
      <c r="O64" s="162"/>
      <c r="P64" s="119"/>
    </row>
    <row r="65" spans="2:13" ht="13.5" thickBot="1" x14ac:dyDescent="0.3">
      <c r="B65" s="381" t="s">
        <v>168</v>
      </c>
      <c r="C65" s="382"/>
      <c r="D65" s="163">
        <v>10</v>
      </c>
      <c r="E65" s="164">
        <v>61</v>
      </c>
      <c r="F65" s="157">
        <f>+E65*D65</f>
        <v>610</v>
      </c>
      <c r="G65" s="109">
        <f>+F65/$F$66</f>
        <v>8.9355850401058659E-3</v>
      </c>
      <c r="H65" s="121"/>
      <c r="I65" s="121"/>
      <c r="J65" s="111"/>
    </row>
    <row r="66" spans="2:13" ht="13.5" thickBot="1" x14ac:dyDescent="0.3">
      <c r="B66" s="383" t="s">
        <v>169</v>
      </c>
      <c r="C66" s="384"/>
      <c r="D66" s="384"/>
      <c r="E66" s="385"/>
      <c r="F66" s="134">
        <f>SUM(F63:F65)</f>
        <v>68266.375090396192</v>
      </c>
      <c r="G66" s="109">
        <f>+F66/$F$66</f>
        <v>1</v>
      </c>
      <c r="H66" s="386"/>
      <c r="I66" s="121"/>
      <c r="J66" s="111"/>
      <c r="M66" s="94" t="s">
        <v>170</v>
      </c>
    </row>
    <row r="67" spans="2:13" x14ac:dyDescent="0.25">
      <c r="C67" s="116"/>
      <c r="D67" s="116"/>
      <c r="E67" s="166"/>
      <c r="F67" s="157"/>
      <c r="G67" s="109"/>
      <c r="H67" s="386"/>
      <c r="I67" s="165"/>
      <c r="J67" s="94"/>
      <c r="M67" s="94" t="s">
        <v>171</v>
      </c>
    </row>
    <row r="68" spans="2:13" ht="13.5" thickBot="1" x14ac:dyDescent="0.3">
      <c r="B68" s="371" t="s">
        <v>172</v>
      </c>
      <c r="C68" s="371"/>
      <c r="D68" s="371"/>
      <c r="E68" s="371"/>
      <c r="F68" s="371"/>
      <c r="G68" s="109"/>
      <c r="H68" s="168"/>
      <c r="I68" s="165"/>
      <c r="J68" s="94"/>
      <c r="M68" s="94" t="s">
        <v>173</v>
      </c>
    </row>
    <row r="69" spans="2:13" ht="13.5" thickBot="1" x14ac:dyDescent="0.3">
      <c r="B69" s="169" t="s">
        <v>174</v>
      </c>
      <c r="C69" s="170">
        <f>+F53</f>
        <v>66233.641380000001</v>
      </c>
      <c r="D69" s="170">
        <f>+D58</f>
        <v>10000</v>
      </c>
      <c r="E69" s="171">
        <f>+C69/D69</f>
        <v>6.6233641380000003</v>
      </c>
      <c r="F69" s="109"/>
      <c r="G69" s="168"/>
      <c r="H69" s="111"/>
      <c r="I69" s="168"/>
      <c r="J69" s="94"/>
    </row>
    <row r="70" spans="2:13" x14ac:dyDescent="0.25">
      <c r="B70" s="172"/>
      <c r="C70" s="173"/>
      <c r="D70" s="174"/>
      <c r="E70" s="157"/>
      <c r="F70" s="109"/>
      <c r="G70" s="168"/>
      <c r="H70" s="111"/>
      <c r="I70" s="111"/>
      <c r="J70" s="94"/>
    </row>
    <row r="71" spans="2:13" x14ac:dyDescent="0.25">
      <c r="B71" s="169" t="s">
        <v>175</v>
      </c>
      <c r="C71" s="170">
        <f>SUM(F63:F64)</f>
        <v>67656.375090396192</v>
      </c>
      <c r="D71" s="170">
        <f>+D58</f>
        <v>10000</v>
      </c>
      <c r="E71" s="175">
        <f>+C71/D71</f>
        <v>6.7656375090396192</v>
      </c>
      <c r="F71" s="109"/>
      <c r="G71" s="168"/>
      <c r="H71" s="111"/>
      <c r="I71" s="111"/>
      <c r="J71" s="94"/>
    </row>
    <row r="72" spans="2:13" x14ac:dyDescent="0.25">
      <c r="B72" s="169"/>
      <c r="C72" s="170"/>
      <c r="D72" s="170"/>
      <c r="E72" s="175"/>
      <c r="F72" s="109"/>
      <c r="G72" s="168"/>
      <c r="H72" s="111"/>
      <c r="I72" s="111"/>
      <c r="J72" s="94"/>
    </row>
    <row r="73" spans="2:13" ht="13.5" thickBot="1" x14ac:dyDescent="0.3">
      <c r="B73" s="169" t="s">
        <v>176</v>
      </c>
      <c r="C73" s="170">
        <f>+F65</f>
        <v>610</v>
      </c>
      <c r="D73" s="170">
        <f>+D58</f>
        <v>10000</v>
      </c>
      <c r="E73" s="175">
        <f>+C73/D73</f>
        <v>6.0999999999999999E-2</v>
      </c>
      <c r="F73" s="109"/>
      <c r="G73" s="168"/>
      <c r="H73" s="111"/>
      <c r="I73" s="111"/>
      <c r="J73" s="94"/>
    </row>
    <row r="74" spans="2:13" ht="13.5" thickBot="1" x14ac:dyDescent="0.3">
      <c r="B74" s="169" t="s">
        <v>177</v>
      </c>
      <c r="C74" s="170">
        <f>+F56</f>
        <v>847.82680259474284</v>
      </c>
      <c r="D74" s="170">
        <f>+D73</f>
        <v>10000</v>
      </c>
      <c r="E74" s="171">
        <f>+C74/D74</f>
        <v>8.4782680259474288E-2</v>
      </c>
      <c r="F74" s="109"/>
      <c r="G74" s="168"/>
      <c r="H74" s="111"/>
      <c r="I74" s="111"/>
      <c r="J74" s="94"/>
    </row>
    <row r="75" spans="2:13" ht="13.5" thickBot="1" x14ac:dyDescent="0.3">
      <c r="B75" s="133"/>
      <c r="C75" s="134"/>
      <c r="D75" s="134"/>
      <c r="E75" s="175"/>
      <c r="F75" s="109"/>
      <c r="G75" s="168"/>
      <c r="H75" s="111"/>
      <c r="I75" s="111"/>
      <c r="J75" s="94"/>
    </row>
    <row r="76" spans="2:13" ht="13.5" thickBot="1" x14ac:dyDescent="0.3">
      <c r="B76" s="169" t="s">
        <v>178</v>
      </c>
      <c r="C76" s="170">
        <f>+F54</f>
        <v>98.060882796190469</v>
      </c>
      <c r="D76" s="170">
        <f>+D74</f>
        <v>10000</v>
      </c>
      <c r="E76" s="171">
        <f>+C76/D76</f>
        <v>9.8060882796190477E-3</v>
      </c>
      <c r="F76" s="109"/>
      <c r="G76" s="168"/>
      <c r="H76" s="111"/>
      <c r="I76" s="111"/>
      <c r="J76" s="111"/>
    </row>
    <row r="77" spans="2:13" ht="13.5" thickBot="1" x14ac:dyDescent="0.3">
      <c r="B77" s="133"/>
      <c r="C77" s="134"/>
      <c r="D77" s="134"/>
      <c r="E77" s="175"/>
      <c r="F77" s="109"/>
      <c r="G77" s="168"/>
      <c r="H77" s="111"/>
      <c r="I77" s="111"/>
    </row>
    <row r="78" spans="2:13" ht="13.5" thickBot="1" x14ac:dyDescent="0.3">
      <c r="B78" s="372" t="s">
        <v>179</v>
      </c>
      <c r="C78" s="373"/>
      <c r="D78" s="374"/>
      <c r="E78" s="171">
        <f>+E69+E74</f>
        <v>6.7081468182594746</v>
      </c>
      <c r="G78" s="109"/>
      <c r="H78" s="168"/>
      <c r="I78" s="111"/>
      <c r="J78" s="175"/>
    </row>
    <row r="79" spans="2:13" x14ac:dyDescent="0.25">
      <c r="I79" s="168"/>
      <c r="J79" s="94"/>
    </row>
    <row r="80" spans="2:13" ht="13.5" thickBot="1" x14ac:dyDescent="0.3">
      <c r="B80" s="371" t="s">
        <v>180</v>
      </c>
      <c r="C80" s="371"/>
      <c r="D80" s="371"/>
      <c r="E80" s="371"/>
      <c r="F80" s="371"/>
      <c r="G80" s="109"/>
      <c r="H80" s="168"/>
      <c r="J80" s="94"/>
    </row>
    <row r="81" spans="1:10" ht="13.5" thickBot="1" x14ac:dyDescent="0.3">
      <c r="B81" s="169" t="s">
        <v>174</v>
      </c>
      <c r="C81" s="170">
        <f>+C69</f>
        <v>66233.641380000001</v>
      </c>
      <c r="D81" s="170">
        <f>+D60</f>
        <v>1</v>
      </c>
      <c r="E81" s="171">
        <f>+C81/D81</f>
        <v>66233.641380000001</v>
      </c>
      <c r="F81" s="109"/>
      <c r="G81" s="168"/>
      <c r="H81" s="111"/>
      <c r="I81" s="168"/>
      <c r="J81" s="94"/>
    </row>
    <row r="82" spans="1:10" x14ac:dyDescent="0.25">
      <c r="B82" s="172"/>
      <c r="C82" s="173"/>
      <c r="D82" s="174"/>
      <c r="E82" s="157"/>
      <c r="F82" s="109"/>
      <c r="G82" s="168"/>
      <c r="H82" s="111"/>
      <c r="I82" s="111"/>
      <c r="J82" s="94"/>
    </row>
    <row r="83" spans="1:10" x14ac:dyDescent="0.25">
      <c r="B83" s="169" t="s">
        <v>175</v>
      </c>
      <c r="C83" s="170">
        <f>+C71</f>
        <v>67656.375090396192</v>
      </c>
      <c r="D83" s="170">
        <f>+D60</f>
        <v>1</v>
      </c>
      <c r="E83" s="175">
        <f>+C83/D83</f>
        <v>67656.375090396192</v>
      </c>
      <c r="F83" s="109"/>
      <c r="G83" s="168"/>
      <c r="H83" s="111"/>
      <c r="I83" s="111"/>
      <c r="J83" s="94"/>
    </row>
    <row r="84" spans="1:10" x14ac:dyDescent="0.25">
      <c r="B84" s="169"/>
      <c r="C84" s="170"/>
      <c r="D84" s="170"/>
      <c r="E84" s="175"/>
      <c r="F84" s="109"/>
      <c r="G84" s="168"/>
      <c r="H84" s="111"/>
      <c r="I84" s="111"/>
      <c r="J84" s="94"/>
    </row>
    <row r="85" spans="1:10" ht="13.5" thickBot="1" x14ac:dyDescent="0.3">
      <c r="B85" s="169" t="s">
        <v>177</v>
      </c>
      <c r="C85" s="170">
        <f>+C73</f>
        <v>610</v>
      </c>
      <c r="D85" s="170">
        <f>+D60</f>
        <v>1</v>
      </c>
      <c r="E85" s="175">
        <f>+C85/D85</f>
        <v>610</v>
      </c>
      <c r="F85" s="177"/>
      <c r="G85" s="167"/>
      <c r="H85" s="93"/>
      <c r="I85" s="111"/>
    </row>
    <row r="86" spans="1:10" ht="13.5" thickBot="1" x14ac:dyDescent="0.3">
      <c r="B86" s="169" t="s">
        <v>177</v>
      </c>
      <c r="C86" s="170">
        <f>+C74</f>
        <v>847.82680259474284</v>
      </c>
      <c r="D86" s="170">
        <f>+D85</f>
        <v>1</v>
      </c>
      <c r="E86" s="171">
        <f>+C86/D86</f>
        <v>847.82680259474284</v>
      </c>
      <c r="F86" s="176"/>
      <c r="G86" s="167"/>
      <c r="H86" s="93"/>
      <c r="I86" s="93"/>
    </row>
    <row r="87" spans="1:10" x14ac:dyDescent="0.25">
      <c r="I87" s="93"/>
    </row>
    <row r="88" spans="1:10" x14ac:dyDescent="0.2">
      <c r="A88" s="375"/>
      <c r="B88" s="375"/>
      <c r="C88" s="178"/>
      <c r="D88" s="178"/>
      <c r="E88" s="179"/>
      <c r="G88" s="180"/>
    </row>
    <row r="89" spans="1:10" x14ac:dyDescent="0.2">
      <c r="A89" s="112"/>
      <c r="B89" s="181"/>
      <c r="C89" s="182"/>
      <c r="D89" s="182"/>
      <c r="E89" s="183"/>
      <c r="G89" s="180"/>
    </row>
    <row r="90" spans="1:10" x14ac:dyDescent="0.2">
      <c r="A90" s="112"/>
      <c r="B90" s="181"/>
      <c r="C90" s="184"/>
      <c r="D90" s="184"/>
      <c r="E90" s="112"/>
      <c r="G90" s="180"/>
    </row>
    <row r="91" spans="1:10" x14ac:dyDescent="0.2">
      <c r="A91" s="112"/>
      <c r="B91" s="181"/>
      <c r="C91" s="185"/>
      <c r="D91" s="185"/>
      <c r="E91" s="112"/>
      <c r="G91" s="18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E83F-4210-48D5-A8C5-98FFADCB1207}">
  <dimension ref="A1:Q91"/>
  <sheetViews>
    <sheetView topLeftCell="A33" workbookViewId="0">
      <selection activeCell="E44" sqref="E44"/>
    </sheetView>
  </sheetViews>
  <sheetFormatPr baseColWidth="10" defaultColWidth="8.42578125" defaultRowHeight="12.75" x14ac:dyDescent="0.25"/>
  <cols>
    <col min="1" max="1" width="10" style="94" bestFit="1" customWidth="1"/>
    <col min="2" max="2" width="44.28515625" style="94" bestFit="1" customWidth="1"/>
    <col min="3" max="3" width="10.42578125" style="94" bestFit="1" customWidth="1"/>
    <col min="4" max="4" width="10.42578125" style="94" customWidth="1"/>
    <col min="5" max="5" width="9.7109375" style="94" bestFit="1" customWidth="1"/>
    <col min="6" max="6" width="9.5703125" style="94" bestFit="1" customWidth="1"/>
    <col min="7" max="7" width="9.5703125" style="176" bestFit="1" customWidth="1"/>
    <col min="8" max="8" width="10.42578125" style="167" bestFit="1" customWidth="1"/>
    <col min="9" max="9" width="4.5703125" style="167" customWidth="1"/>
    <col min="10" max="10" width="1.7109375" style="93" customWidth="1"/>
    <col min="11" max="11" width="7" style="94" bestFit="1" customWidth="1"/>
    <col min="12" max="12" width="6.28515625" style="94" customWidth="1"/>
    <col min="13" max="13" width="20.42578125" style="94" customWidth="1"/>
    <col min="14" max="14" width="6.42578125" style="94" bestFit="1" customWidth="1"/>
    <col min="15" max="16" width="8.42578125" style="94"/>
    <col min="17" max="17" width="3.28515625" style="94" customWidth="1"/>
    <col min="18" max="256" width="8.42578125" style="94"/>
    <col min="257" max="257" width="10" style="94" bestFit="1" customWidth="1"/>
    <col min="258" max="258" width="44.28515625" style="94" bestFit="1" customWidth="1"/>
    <col min="259" max="259" width="10.42578125" style="94" bestFit="1" customWidth="1"/>
    <col min="260" max="260" width="10.42578125" style="94" customWidth="1"/>
    <col min="261" max="261" width="9.7109375" style="94" bestFit="1" customWidth="1"/>
    <col min="262" max="263" width="9.5703125" style="94" bestFit="1" customWidth="1"/>
    <col min="264" max="264" width="10.42578125" style="94" bestFit="1" customWidth="1"/>
    <col min="265" max="265" width="4.5703125" style="94" customWidth="1"/>
    <col min="266" max="266" width="1.7109375" style="94" customWidth="1"/>
    <col min="267" max="267" width="7" style="94" bestFit="1" customWidth="1"/>
    <col min="268" max="268" width="6.28515625" style="94" customWidth="1"/>
    <col min="269" max="269" width="20.42578125" style="94" customWidth="1"/>
    <col min="270" max="270" width="6.42578125" style="94" bestFit="1" customWidth="1"/>
    <col min="271" max="272" width="8.42578125" style="94"/>
    <col min="273" max="273" width="3.28515625" style="94" customWidth="1"/>
    <col min="274" max="512" width="8.42578125" style="94"/>
    <col min="513" max="513" width="10" style="94" bestFit="1" customWidth="1"/>
    <col min="514" max="514" width="44.28515625" style="94" bestFit="1" customWidth="1"/>
    <col min="515" max="515" width="10.42578125" style="94" bestFit="1" customWidth="1"/>
    <col min="516" max="516" width="10.42578125" style="94" customWidth="1"/>
    <col min="517" max="517" width="9.7109375" style="94" bestFit="1" customWidth="1"/>
    <col min="518" max="519" width="9.5703125" style="94" bestFit="1" customWidth="1"/>
    <col min="520" max="520" width="10.42578125" style="94" bestFit="1" customWidth="1"/>
    <col min="521" max="521" width="4.5703125" style="94" customWidth="1"/>
    <col min="522" max="522" width="1.7109375" style="94" customWidth="1"/>
    <col min="523" max="523" width="7" style="94" bestFit="1" customWidth="1"/>
    <col min="524" max="524" width="6.28515625" style="94" customWidth="1"/>
    <col min="525" max="525" width="20.42578125" style="94" customWidth="1"/>
    <col min="526" max="526" width="6.42578125" style="94" bestFit="1" customWidth="1"/>
    <col min="527" max="528" width="8.42578125" style="94"/>
    <col min="529" max="529" width="3.28515625" style="94" customWidth="1"/>
    <col min="530" max="768" width="8.42578125" style="94"/>
    <col min="769" max="769" width="10" style="94" bestFit="1" customWidth="1"/>
    <col min="770" max="770" width="44.28515625" style="94" bestFit="1" customWidth="1"/>
    <col min="771" max="771" width="10.42578125" style="94" bestFit="1" customWidth="1"/>
    <col min="772" max="772" width="10.42578125" style="94" customWidth="1"/>
    <col min="773" max="773" width="9.7109375" style="94" bestFit="1" customWidth="1"/>
    <col min="774" max="775" width="9.5703125" style="94" bestFit="1" customWidth="1"/>
    <col min="776" max="776" width="10.42578125" style="94" bestFit="1" customWidth="1"/>
    <col min="777" max="777" width="4.5703125" style="94" customWidth="1"/>
    <col min="778" max="778" width="1.7109375" style="94" customWidth="1"/>
    <col min="779" max="779" width="7" style="94" bestFit="1" customWidth="1"/>
    <col min="780" max="780" width="6.28515625" style="94" customWidth="1"/>
    <col min="781" max="781" width="20.42578125" style="94" customWidth="1"/>
    <col min="782" max="782" width="6.42578125" style="94" bestFit="1" customWidth="1"/>
    <col min="783" max="784" width="8.42578125" style="94"/>
    <col min="785" max="785" width="3.28515625" style="94" customWidth="1"/>
    <col min="786" max="1024" width="8.42578125" style="94"/>
    <col min="1025" max="1025" width="10" style="94" bestFit="1" customWidth="1"/>
    <col min="1026" max="1026" width="44.28515625" style="94" bestFit="1" customWidth="1"/>
    <col min="1027" max="1027" width="10.42578125" style="94" bestFit="1" customWidth="1"/>
    <col min="1028" max="1028" width="10.42578125" style="94" customWidth="1"/>
    <col min="1029" max="1029" width="9.7109375" style="94" bestFit="1" customWidth="1"/>
    <col min="1030" max="1031" width="9.5703125" style="94" bestFit="1" customWidth="1"/>
    <col min="1032" max="1032" width="10.42578125" style="94" bestFit="1" customWidth="1"/>
    <col min="1033" max="1033" width="4.5703125" style="94" customWidth="1"/>
    <col min="1034" max="1034" width="1.7109375" style="94" customWidth="1"/>
    <col min="1035" max="1035" width="7" style="94" bestFit="1" customWidth="1"/>
    <col min="1036" max="1036" width="6.28515625" style="94" customWidth="1"/>
    <col min="1037" max="1037" width="20.42578125" style="94" customWidth="1"/>
    <col min="1038" max="1038" width="6.42578125" style="94" bestFit="1" customWidth="1"/>
    <col min="1039" max="1040" width="8.42578125" style="94"/>
    <col min="1041" max="1041" width="3.28515625" style="94" customWidth="1"/>
    <col min="1042" max="1280" width="8.42578125" style="94"/>
    <col min="1281" max="1281" width="10" style="94" bestFit="1" customWidth="1"/>
    <col min="1282" max="1282" width="44.28515625" style="94" bestFit="1" customWidth="1"/>
    <col min="1283" max="1283" width="10.42578125" style="94" bestFit="1" customWidth="1"/>
    <col min="1284" max="1284" width="10.42578125" style="94" customWidth="1"/>
    <col min="1285" max="1285" width="9.7109375" style="94" bestFit="1" customWidth="1"/>
    <col min="1286" max="1287" width="9.5703125" style="94" bestFit="1" customWidth="1"/>
    <col min="1288" max="1288" width="10.42578125" style="94" bestFit="1" customWidth="1"/>
    <col min="1289" max="1289" width="4.5703125" style="94" customWidth="1"/>
    <col min="1290" max="1290" width="1.7109375" style="94" customWidth="1"/>
    <col min="1291" max="1291" width="7" style="94" bestFit="1" customWidth="1"/>
    <col min="1292" max="1292" width="6.28515625" style="94" customWidth="1"/>
    <col min="1293" max="1293" width="20.42578125" style="94" customWidth="1"/>
    <col min="1294" max="1294" width="6.42578125" style="94" bestFit="1" customWidth="1"/>
    <col min="1295" max="1296" width="8.42578125" style="94"/>
    <col min="1297" max="1297" width="3.28515625" style="94" customWidth="1"/>
    <col min="1298" max="1536" width="8.42578125" style="94"/>
    <col min="1537" max="1537" width="10" style="94" bestFit="1" customWidth="1"/>
    <col min="1538" max="1538" width="44.28515625" style="94" bestFit="1" customWidth="1"/>
    <col min="1539" max="1539" width="10.42578125" style="94" bestFit="1" customWidth="1"/>
    <col min="1540" max="1540" width="10.42578125" style="94" customWidth="1"/>
    <col min="1541" max="1541" width="9.7109375" style="94" bestFit="1" customWidth="1"/>
    <col min="1542" max="1543" width="9.5703125" style="94" bestFit="1" customWidth="1"/>
    <col min="1544" max="1544" width="10.42578125" style="94" bestFit="1" customWidth="1"/>
    <col min="1545" max="1545" width="4.5703125" style="94" customWidth="1"/>
    <col min="1546" max="1546" width="1.7109375" style="94" customWidth="1"/>
    <col min="1547" max="1547" width="7" style="94" bestFit="1" customWidth="1"/>
    <col min="1548" max="1548" width="6.28515625" style="94" customWidth="1"/>
    <col min="1549" max="1549" width="20.42578125" style="94" customWidth="1"/>
    <col min="1550" max="1550" width="6.42578125" style="94" bestFit="1" customWidth="1"/>
    <col min="1551" max="1552" width="8.42578125" style="94"/>
    <col min="1553" max="1553" width="3.28515625" style="94" customWidth="1"/>
    <col min="1554" max="1792" width="8.42578125" style="94"/>
    <col min="1793" max="1793" width="10" style="94" bestFit="1" customWidth="1"/>
    <col min="1794" max="1794" width="44.28515625" style="94" bestFit="1" customWidth="1"/>
    <col min="1795" max="1795" width="10.42578125" style="94" bestFit="1" customWidth="1"/>
    <col min="1796" max="1796" width="10.42578125" style="94" customWidth="1"/>
    <col min="1797" max="1797" width="9.7109375" style="94" bestFit="1" customWidth="1"/>
    <col min="1798" max="1799" width="9.5703125" style="94" bestFit="1" customWidth="1"/>
    <col min="1800" max="1800" width="10.42578125" style="94" bestFit="1" customWidth="1"/>
    <col min="1801" max="1801" width="4.5703125" style="94" customWidth="1"/>
    <col min="1802" max="1802" width="1.7109375" style="94" customWidth="1"/>
    <col min="1803" max="1803" width="7" style="94" bestFit="1" customWidth="1"/>
    <col min="1804" max="1804" width="6.28515625" style="94" customWidth="1"/>
    <col min="1805" max="1805" width="20.42578125" style="94" customWidth="1"/>
    <col min="1806" max="1806" width="6.42578125" style="94" bestFit="1" customWidth="1"/>
    <col min="1807" max="1808" width="8.42578125" style="94"/>
    <col min="1809" max="1809" width="3.28515625" style="94" customWidth="1"/>
    <col min="1810" max="2048" width="8.42578125" style="94"/>
    <col min="2049" max="2049" width="10" style="94" bestFit="1" customWidth="1"/>
    <col min="2050" max="2050" width="44.28515625" style="94" bestFit="1" customWidth="1"/>
    <col min="2051" max="2051" width="10.42578125" style="94" bestFit="1" customWidth="1"/>
    <col min="2052" max="2052" width="10.42578125" style="94" customWidth="1"/>
    <col min="2053" max="2053" width="9.7109375" style="94" bestFit="1" customWidth="1"/>
    <col min="2054" max="2055" width="9.5703125" style="94" bestFit="1" customWidth="1"/>
    <col min="2056" max="2056" width="10.42578125" style="94" bestFit="1" customWidth="1"/>
    <col min="2057" max="2057" width="4.5703125" style="94" customWidth="1"/>
    <col min="2058" max="2058" width="1.7109375" style="94" customWidth="1"/>
    <col min="2059" max="2059" width="7" style="94" bestFit="1" customWidth="1"/>
    <col min="2060" max="2060" width="6.28515625" style="94" customWidth="1"/>
    <col min="2061" max="2061" width="20.42578125" style="94" customWidth="1"/>
    <col min="2062" max="2062" width="6.42578125" style="94" bestFit="1" customWidth="1"/>
    <col min="2063" max="2064" width="8.42578125" style="94"/>
    <col min="2065" max="2065" width="3.28515625" style="94" customWidth="1"/>
    <col min="2066" max="2304" width="8.42578125" style="94"/>
    <col min="2305" max="2305" width="10" style="94" bestFit="1" customWidth="1"/>
    <col min="2306" max="2306" width="44.28515625" style="94" bestFit="1" customWidth="1"/>
    <col min="2307" max="2307" width="10.42578125" style="94" bestFit="1" customWidth="1"/>
    <col min="2308" max="2308" width="10.42578125" style="94" customWidth="1"/>
    <col min="2309" max="2309" width="9.7109375" style="94" bestFit="1" customWidth="1"/>
    <col min="2310" max="2311" width="9.5703125" style="94" bestFit="1" customWidth="1"/>
    <col min="2312" max="2312" width="10.42578125" style="94" bestFit="1" customWidth="1"/>
    <col min="2313" max="2313" width="4.5703125" style="94" customWidth="1"/>
    <col min="2314" max="2314" width="1.7109375" style="94" customWidth="1"/>
    <col min="2315" max="2315" width="7" style="94" bestFit="1" customWidth="1"/>
    <col min="2316" max="2316" width="6.28515625" style="94" customWidth="1"/>
    <col min="2317" max="2317" width="20.42578125" style="94" customWidth="1"/>
    <col min="2318" max="2318" width="6.42578125" style="94" bestFit="1" customWidth="1"/>
    <col min="2319" max="2320" width="8.42578125" style="94"/>
    <col min="2321" max="2321" width="3.28515625" style="94" customWidth="1"/>
    <col min="2322" max="2560" width="8.42578125" style="94"/>
    <col min="2561" max="2561" width="10" style="94" bestFit="1" customWidth="1"/>
    <col min="2562" max="2562" width="44.28515625" style="94" bestFit="1" customWidth="1"/>
    <col min="2563" max="2563" width="10.42578125" style="94" bestFit="1" customWidth="1"/>
    <col min="2564" max="2564" width="10.42578125" style="94" customWidth="1"/>
    <col min="2565" max="2565" width="9.7109375" style="94" bestFit="1" customWidth="1"/>
    <col min="2566" max="2567" width="9.5703125" style="94" bestFit="1" customWidth="1"/>
    <col min="2568" max="2568" width="10.42578125" style="94" bestFit="1" customWidth="1"/>
    <col min="2569" max="2569" width="4.5703125" style="94" customWidth="1"/>
    <col min="2570" max="2570" width="1.7109375" style="94" customWidth="1"/>
    <col min="2571" max="2571" width="7" style="94" bestFit="1" customWidth="1"/>
    <col min="2572" max="2572" width="6.28515625" style="94" customWidth="1"/>
    <col min="2573" max="2573" width="20.42578125" style="94" customWidth="1"/>
    <col min="2574" max="2574" width="6.42578125" style="94" bestFit="1" customWidth="1"/>
    <col min="2575" max="2576" width="8.42578125" style="94"/>
    <col min="2577" max="2577" width="3.28515625" style="94" customWidth="1"/>
    <col min="2578" max="2816" width="8.42578125" style="94"/>
    <col min="2817" max="2817" width="10" style="94" bestFit="1" customWidth="1"/>
    <col min="2818" max="2818" width="44.28515625" style="94" bestFit="1" customWidth="1"/>
    <col min="2819" max="2819" width="10.42578125" style="94" bestFit="1" customWidth="1"/>
    <col min="2820" max="2820" width="10.42578125" style="94" customWidth="1"/>
    <col min="2821" max="2821" width="9.7109375" style="94" bestFit="1" customWidth="1"/>
    <col min="2822" max="2823" width="9.5703125" style="94" bestFit="1" customWidth="1"/>
    <col min="2824" max="2824" width="10.42578125" style="94" bestFit="1" customWidth="1"/>
    <col min="2825" max="2825" width="4.5703125" style="94" customWidth="1"/>
    <col min="2826" max="2826" width="1.7109375" style="94" customWidth="1"/>
    <col min="2827" max="2827" width="7" style="94" bestFit="1" customWidth="1"/>
    <col min="2828" max="2828" width="6.28515625" style="94" customWidth="1"/>
    <col min="2829" max="2829" width="20.42578125" style="94" customWidth="1"/>
    <col min="2830" max="2830" width="6.42578125" style="94" bestFit="1" customWidth="1"/>
    <col min="2831" max="2832" width="8.42578125" style="94"/>
    <col min="2833" max="2833" width="3.28515625" style="94" customWidth="1"/>
    <col min="2834" max="3072" width="8.42578125" style="94"/>
    <col min="3073" max="3073" width="10" style="94" bestFit="1" customWidth="1"/>
    <col min="3074" max="3074" width="44.28515625" style="94" bestFit="1" customWidth="1"/>
    <col min="3075" max="3075" width="10.42578125" style="94" bestFit="1" customWidth="1"/>
    <col min="3076" max="3076" width="10.42578125" style="94" customWidth="1"/>
    <col min="3077" max="3077" width="9.7109375" style="94" bestFit="1" customWidth="1"/>
    <col min="3078" max="3079" width="9.5703125" style="94" bestFit="1" customWidth="1"/>
    <col min="3080" max="3080" width="10.42578125" style="94" bestFit="1" customWidth="1"/>
    <col min="3081" max="3081" width="4.5703125" style="94" customWidth="1"/>
    <col min="3082" max="3082" width="1.7109375" style="94" customWidth="1"/>
    <col min="3083" max="3083" width="7" style="94" bestFit="1" customWidth="1"/>
    <col min="3084" max="3084" width="6.28515625" style="94" customWidth="1"/>
    <col min="3085" max="3085" width="20.42578125" style="94" customWidth="1"/>
    <col min="3086" max="3086" width="6.42578125" style="94" bestFit="1" customWidth="1"/>
    <col min="3087" max="3088" width="8.42578125" style="94"/>
    <col min="3089" max="3089" width="3.28515625" style="94" customWidth="1"/>
    <col min="3090" max="3328" width="8.42578125" style="94"/>
    <col min="3329" max="3329" width="10" style="94" bestFit="1" customWidth="1"/>
    <col min="3330" max="3330" width="44.28515625" style="94" bestFit="1" customWidth="1"/>
    <col min="3331" max="3331" width="10.42578125" style="94" bestFit="1" customWidth="1"/>
    <col min="3332" max="3332" width="10.42578125" style="94" customWidth="1"/>
    <col min="3333" max="3333" width="9.7109375" style="94" bestFit="1" customWidth="1"/>
    <col min="3334" max="3335" width="9.5703125" style="94" bestFit="1" customWidth="1"/>
    <col min="3336" max="3336" width="10.42578125" style="94" bestFit="1" customWidth="1"/>
    <col min="3337" max="3337" width="4.5703125" style="94" customWidth="1"/>
    <col min="3338" max="3338" width="1.7109375" style="94" customWidth="1"/>
    <col min="3339" max="3339" width="7" style="94" bestFit="1" customWidth="1"/>
    <col min="3340" max="3340" width="6.28515625" style="94" customWidth="1"/>
    <col min="3341" max="3341" width="20.42578125" style="94" customWidth="1"/>
    <col min="3342" max="3342" width="6.42578125" style="94" bestFit="1" customWidth="1"/>
    <col min="3343" max="3344" width="8.42578125" style="94"/>
    <col min="3345" max="3345" width="3.28515625" style="94" customWidth="1"/>
    <col min="3346" max="3584" width="8.42578125" style="94"/>
    <col min="3585" max="3585" width="10" style="94" bestFit="1" customWidth="1"/>
    <col min="3586" max="3586" width="44.28515625" style="94" bestFit="1" customWidth="1"/>
    <col min="3587" max="3587" width="10.42578125" style="94" bestFit="1" customWidth="1"/>
    <col min="3588" max="3588" width="10.42578125" style="94" customWidth="1"/>
    <col min="3589" max="3589" width="9.7109375" style="94" bestFit="1" customWidth="1"/>
    <col min="3590" max="3591" width="9.5703125" style="94" bestFit="1" customWidth="1"/>
    <col min="3592" max="3592" width="10.42578125" style="94" bestFit="1" customWidth="1"/>
    <col min="3593" max="3593" width="4.5703125" style="94" customWidth="1"/>
    <col min="3594" max="3594" width="1.7109375" style="94" customWidth="1"/>
    <col min="3595" max="3595" width="7" style="94" bestFit="1" customWidth="1"/>
    <col min="3596" max="3596" width="6.28515625" style="94" customWidth="1"/>
    <col min="3597" max="3597" width="20.42578125" style="94" customWidth="1"/>
    <col min="3598" max="3598" width="6.42578125" style="94" bestFit="1" customWidth="1"/>
    <col min="3599" max="3600" width="8.42578125" style="94"/>
    <col min="3601" max="3601" width="3.28515625" style="94" customWidth="1"/>
    <col min="3602" max="3840" width="8.42578125" style="94"/>
    <col min="3841" max="3841" width="10" style="94" bestFit="1" customWidth="1"/>
    <col min="3842" max="3842" width="44.28515625" style="94" bestFit="1" customWidth="1"/>
    <col min="3843" max="3843" width="10.42578125" style="94" bestFit="1" customWidth="1"/>
    <col min="3844" max="3844" width="10.42578125" style="94" customWidth="1"/>
    <col min="3845" max="3845" width="9.7109375" style="94" bestFit="1" customWidth="1"/>
    <col min="3846" max="3847" width="9.5703125" style="94" bestFit="1" customWidth="1"/>
    <col min="3848" max="3848" width="10.42578125" style="94" bestFit="1" customWidth="1"/>
    <col min="3849" max="3849" width="4.5703125" style="94" customWidth="1"/>
    <col min="3850" max="3850" width="1.7109375" style="94" customWidth="1"/>
    <col min="3851" max="3851" width="7" style="94" bestFit="1" customWidth="1"/>
    <col min="3852" max="3852" width="6.28515625" style="94" customWidth="1"/>
    <col min="3853" max="3853" width="20.42578125" style="94" customWidth="1"/>
    <col min="3854" max="3854" width="6.42578125" style="94" bestFit="1" customWidth="1"/>
    <col min="3855" max="3856" width="8.42578125" style="94"/>
    <col min="3857" max="3857" width="3.28515625" style="94" customWidth="1"/>
    <col min="3858" max="4096" width="8.42578125" style="94"/>
    <col min="4097" max="4097" width="10" style="94" bestFit="1" customWidth="1"/>
    <col min="4098" max="4098" width="44.28515625" style="94" bestFit="1" customWidth="1"/>
    <col min="4099" max="4099" width="10.42578125" style="94" bestFit="1" customWidth="1"/>
    <col min="4100" max="4100" width="10.42578125" style="94" customWidth="1"/>
    <col min="4101" max="4101" width="9.7109375" style="94" bestFit="1" customWidth="1"/>
    <col min="4102" max="4103" width="9.5703125" style="94" bestFit="1" customWidth="1"/>
    <col min="4104" max="4104" width="10.42578125" style="94" bestFit="1" customWidth="1"/>
    <col min="4105" max="4105" width="4.5703125" style="94" customWidth="1"/>
    <col min="4106" max="4106" width="1.7109375" style="94" customWidth="1"/>
    <col min="4107" max="4107" width="7" style="94" bestFit="1" customWidth="1"/>
    <col min="4108" max="4108" width="6.28515625" style="94" customWidth="1"/>
    <col min="4109" max="4109" width="20.42578125" style="94" customWidth="1"/>
    <col min="4110" max="4110" width="6.42578125" style="94" bestFit="1" customWidth="1"/>
    <col min="4111" max="4112" width="8.42578125" style="94"/>
    <col min="4113" max="4113" width="3.28515625" style="94" customWidth="1"/>
    <col min="4114" max="4352" width="8.42578125" style="94"/>
    <col min="4353" max="4353" width="10" style="94" bestFit="1" customWidth="1"/>
    <col min="4354" max="4354" width="44.28515625" style="94" bestFit="1" customWidth="1"/>
    <col min="4355" max="4355" width="10.42578125" style="94" bestFit="1" customWidth="1"/>
    <col min="4356" max="4356" width="10.42578125" style="94" customWidth="1"/>
    <col min="4357" max="4357" width="9.7109375" style="94" bestFit="1" customWidth="1"/>
    <col min="4358" max="4359" width="9.5703125" style="94" bestFit="1" customWidth="1"/>
    <col min="4360" max="4360" width="10.42578125" style="94" bestFit="1" customWidth="1"/>
    <col min="4361" max="4361" width="4.5703125" style="94" customWidth="1"/>
    <col min="4362" max="4362" width="1.7109375" style="94" customWidth="1"/>
    <col min="4363" max="4363" width="7" style="94" bestFit="1" customWidth="1"/>
    <col min="4364" max="4364" width="6.28515625" style="94" customWidth="1"/>
    <col min="4365" max="4365" width="20.42578125" style="94" customWidth="1"/>
    <col min="4366" max="4366" width="6.42578125" style="94" bestFit="1" customWidth="1"/>
    <col min="4367" max="4368" width="8.42578125" style="94"/>
    <col min="4369" max="4369" width="3.28515625" style="94" customWidth="1"/>
    <col min="4370" max="4608" width="8.42578125" style="94"/>
    <col min="4609" max="4609" width="10" style="94" bestFit="1" customWidth="1"/>
    <col min="4610" max="4610" width="44.28515625" style="94" bestFit="1" customWidth="1"/>
    <col min="4611" max="4611" width="10.42578125" style="94" bestFit="1" customWidth="1"/>
    <col min="4612" max="4612" width="10.42578125" style="94" customWidth="1"/>
    <col min="4613" max="4613" width="9.7109375" style="94" bestFit="1" customWidth="1"/>
    <col min="4614" max="4615" width="9.5703125" style="94" bestFit="1" customWidth="1"/>
    <col min="4616" max="4616" width="10.42578125" style="94" bestFit="1" customWidth="1"/>
    <col min="4617" max="4617" width="4.5703125" style="94" customWidth="1"/>
    <col min="4618" max="4618" width="1.7109375" style="94" customWidth="1"/>
    <col min="4619" max="4619" width="7" style="94" bestFit="1" customWidth="1"/>
    <col min="4620" max="4620" width="6.28515625" style="94" customWidth="1"/>
    <col min="4621" max="4621" width="20.42578125" style="94" customWidth="1"/>
    <col min="4622" max="4622" width="6.42578125" style="94" bestFit="1" customWidth="1"/>
    <col min="4623" max="4624" width="8.42578125" style="94"/>
    <col min="4625" max="4625" width="3.28515625" style="94" customWidth="1"/>
    <col min="4626" max="4864" width="8.42578125" style="94"/>
    <col min="4865" max="4865" width="10" style="94" bestFit="1" customWidth="1"/>
    <col min="4866" max="4866" width="44.28515625" style="94" bestFit="1" customWidth="1"/>
    <col min="4867" max="4867" width="10.42578125" style="94" bestFit="1" customWidth="1"/>
    <col min="4868" max="4868" width="10.42578125" style="94" customWidth="1"/>
    <col min="4869" max="4869" width="9.7109375" style="94" bestFit="1" customWidth="1"/>
    <col min="4870" max="4871" width="9.5703125" style="94" bestFit="1" customWidth="1"/>
    <col min="4872" max="4872" width="10.42578125" style="94" bestFit="1" customWidth="1"/>
    <col min="4873" max="4873" width="4.5703125" style="94" customWidth="1"/>
    <col min="4874" max="4874" width="1.7109375" style="94" customWidth="1"/>
    <col min="4875" max="4875" width="7" style="94" bestFit="1" customWidth="1"/>
    <col min="4876" max="4876" width="6.28515625" style="94" customWidth="1"/>
    <col min="4877" max="4877" width="20.42578125" style="94" customWidth="1"/>
    <col min="4878" max="4878" width="6.42578125" style="94" bestFit="1" customWidth="1"/>
    <col min="4879" max="4880" width="8.42578125" style="94"/>
    <col min="4881" max="4881" width="3.28515625" style="94" customWidth="1"/>
    <col min="4882" max="5120" width="8.42578125" style="94"/>
    <col min="5121" max="5121" width="10" style="94" bestFit="1" customWidth="1"/>
    <col min="5122" max="5122" width="44.28515625" style="94" bestFit="1" customWidth="1"/>
    <col min="5123" max="5123" width="10.42578125" style="94" bestFit="1" customWidth="1"/>
    <col min="5124" max="5124" width="10.42578125" style="94" customWidth="1"/>
    <col min="5125" max="5125" width="9.7109375" style="94" bestFit="1" customWidth="1"/>
    <col min="5126" max="5127" width="9.5703125" style="94" bestFit="1" customWidth="1"/>
    <col min="5128" max="5128" width="10.42578125" style="94" bestFit="1" customWidth="1"/>
    <col min="5129" max="5129" width="4.5703125" style="94" customWidth="1"/>
    <col min="5130" max="5130" width="1.7109375" style="94" customWidth="1"/>
    <col min="5131" max="5131" width="7" style="94" bestFit="1" customWidth="1"/>
    <col min="5132" max="5132" width="6.28515625" style="94" customWidth="1"/>
    <col min="5133" max="5133" width="20.42578125" style="94" customWidth="1"/>
    <col min="5134" max="5134" width="6.42578125" style="94" bestFit="1" customWidth="1"/>
    <col min="5135" max="5136" width="8.42578125" style="94"/>
    <col min="5137" max="5137" width="3.28515625" style="94" customWidth="1"/>
    <col min="5138" max="5376" width="8.42578125" style="94"/>
    <col min="5377" max="5377" width="10" style="94" bestFit="1" customWidth="1"/>
    <col min="5378" max="5378" width="44.28515625" style="94" bestFit="1" customWidth="1"/>
    <col min="5379" max="5379" width="10.42578125" style="94" bestFit="1" customWidth="1"/>
    <col min="5380" max="5380" width="10.42578125" style="94" customWidth="1"/>
    <col min="5381" max="5381" width="9.7109375" style="94" bestFit="1" customWidth="1"/>
    <col min="5382" max="5383" width="9.5703125" style="94" bestFit="1" customWidth="1"/>
    <col min="5384" max="5384" width="10.42578125" style="94" bestFit="1" customWidth="1"/>
    <col min="5385" max="5385" width="4.5703125" style="94" customWidth="1"/>
    <col min="5386" max="5386" width="1.7109375" style="94" customWidth="1"/>
    <col min="5387" max="5387" width="7" style="94" bestFit="1" customWidth="1"/>
    <col min="5388" max="5388" width="6.28515625" style="94" customWidth="1"/>
    <col min="5389" max="5389" width="20.42578125" style="94" customWidth="1"/>
    <col min="5390" max="5390" width="6.42578125" style="94" bestFit="1" customWidth="1"/>
    <col min="5391" max="5392" width="8.42578125" style="94"/>
    <col min="5393" max="5393" width="3.28515625" style="94" customWidth="1"/>
    <col min="5394" max="5632" width="8.42578125" style="94"/>
    <col min="5633" max="5633" width="10" style="94" bestFit="1" customWidth="1"/>
    <col min="5634" max="5634" width="44.28515625" style="94" bestFit="1" customWidth="1"/>
    <col min="5635" max="5635" width="10.42578125" style="94" bestFit="1" customWidth="1"/>
    <col min="5636" max="5636" width="10.42578125" style="94" customWidth="1"/>
    <col min="5637" max="5637" width="9.7109375" style="94" bestFit="1" customWidth="1"/>
    <col min="5638" max="5639" width="9.5703125" style="94" bestFit="1" customWidth="1"/>
    <col min="5640" max="5640" width="10.42578125" style="94" bestFit="1" customWidth="1"/>
    <col min="5641" max="5641" width="4.5703125" style="94" customWidth="1"/>
    <col min="5642" max="5642" width="1.7109375" style="94" customWidth="1"/>
    <col min="5643" max="5643" width="7" style="94" bestFit="1" customWidth="1"/>
    <col min="5644" max="5644" width="6.28515625" style="94" customWidth="1"/>
    <col min="5645" max="5645" width="20.42578125" style="94" customWidth="1"/>
    <col min="5646" max="5646" width="6.42578125" style="94" bestFit="1" customWidth="1"/>
    <col min="5647" max="5648" width="8.42578125" style="94"/>
    <col min="5649" max="5649" width="3.28515625" style="94" customWidth="1"/>
    <col min="5650" max="5888" width="8.42578125" style="94"/>
    <col min="5889" max="5889" width="10" style="94" bestFit="1" customWidth="1"/>
    <col min="5890" max="5890" width="44.28515625" style="94" bestFit="1" customWidth="1"/>
    <col min="5891" max="5891" width="10.42578125" style="94" bestFit="1" customWidth="1"/>
    <col min="5892" max="5892" width="10.42578125" style="94" customWidth="1"/>
    <col min="5893" max="5893" width="9.7109375" style="94" bestFit="1" customWidth="1"/>
    <col min="5894" max="5895" width="9.5703125" style="94" bestFit="1" customWidth="1"/>
    <col min="5896" max="5896" width="10.42578125" style="94" bestFit="1" customWidth="1"/>
    <col min="5897" max="5897" width="4.5703125" style="94" customWidth="1"/>
    <col min="5898" max="5898" width="1.7109375" style="94" customWidth="1"/>
    <col min="5899" max="5899" width="7" style="94" bestFit="1" customWidth="1"/>
    <col min="5900" max="5900" width="6.28515625" style="94" customWidth="1"/>
    <col min="5901" max="5901" width="20.42578125" style="94" customWidth="1"/>
    <col min="5902" max="5902" width="6.42578125" style="94" bestFit="1" customWidth="1"/>
    <col min="5903" max="5904" width="8.42578125" style="94"/>
    <col min="5905" max="5905" width="3.28515625" style="94" customWidth="1"/>
    <col min="5906" max="6144" width="8.42578125" style="94"/>
    <col min="6145" max="6145" width="10" style="94" bestFit="1" customWidth="1"/>
    <col min="6146" max="6146" width="44.28515625" style="94" bestFit="1" customWidth="1"/>
    <col min="6147" max="6147" width="10.42578125" style="94" bestFit="1" customWidth="1"/>
    <col min="6148" max="6148" width="10.42578125" style="94" customWidth="1"/>
    <col min="6149" max="6149" width="9.7109375" style="94" bestFit="1" customWidth="1"/>
    <col min="6150" max="6151" width="9.5703125" style="94" bestFit="1" customWidth="1"/>
    <col min="6152" max="6152" width="10.42578125" style="94" bestFit="1" customWidth="1"/>
    <col min="6153" max="6153" width="4.5703125" style="94" customWidth="1"/>
    <col min="6154" max="6154" width="1.7109375" style="94" customWidth="1"/>
    <col min="6155" max="6155" width="7" style="94" bestFit="1" customWidth="1"/>
    <col min="6156" max="6156" width="6.28515625" style="94" customWidth="1"/>
    <col min="6157" max="6157" width="20.42578125" style="94" customWidth="1"/>
    <col min="6158" max="6158" width="6.42578125" style="94" bestFit="1" customWidth="1"/>
    <col min="6159" max="6160" width="8.42578125" style="94"/>
    <col min="6161" max="6161" width="3.28515625" style="94" customWidth="1"/>
    <col min="6162" max="6400" width="8.42578125" style="94"/>
    <col min="6401" max="6401" width="10" style="94" bestFit="1" customWidth="1"/>
    <col min="6402" max="6402" width="44.28515625" style="94" bestFit="1" customWidth="1"/>
    <col min="6403" max="6403" width="10.42578125" style="94" bestFit="1" customWidth="1"/>
    <col min="6404" max="6404" width="10.42578125" style="94" customWidth="1"/>
    <col min="6405" max="6405" width="9.7109375" style="94" bestFit="1" customWidth="1"/>
    <col min="6406" max="6407" width="9.5703125" style="94" bestFit="1" customWidth="1"/>
    <col min="6408" max="6408" width="10.42578125" style="94" bestFit="1" customWidth="1"/>
    <col min="6409" max="6409" width="4.5703125" style="94" customWidth="1"/>
    <col min="6410" max="6410" width="1.7109375" style="94" customWidth="1"/>
    <col min="6411" max="6411" width="7" style="94" bestFit="1" customWidth="1"/>
    <col min="6412" max="6412" width="6.28515625" style="94" customWidth="1"/>
    <col min="6413" max="6413" width="20.42578125" style="94" customWidth="1"/>
    <col min="6414" max="6414" width="6.42578125" style="94" bestFit="1" customWidth="1"/>
    <col min="6415" max="6416" width="8.42578125" style="94"/>
    <col min="6417" max="6417" width="3.28515625" style="94" customWidth="1"/>
    <col min="6418" max="6656" width="8.42578125" style="94"/>
    <col min="6657" max="6657" width="10" style="94" bestFit="1" customWidth="1"/>
    <col min="6658" max="6658" width="44.28515625" style="94" bestFit="1" customWidth="1"/>
    <col min="6659" max="6659" width="10.42578125" style="94" bestFit="1" customWidth="1"/>
    <col min="6660" max="6660" width="10.42578125" style="94" customWidth="1"/>
    <col min="6661" max="6661" width="9.7109375" style="94" bestFit="1" customWidth="1"/>
    <col min="6662" max="6663" width="9.5703125" style="94" bestFit="1" customWidth="1"/>
    <col min="6664" max="6664" width="10.42578125" style="94" bestFit="1" customWidth="1"/>
    <col min="6665" max="6665" width="4.5703125" style="94" customWidth="1"/>
    <col min="6666" max="6666" width="1.7109375" style="94" customWidth="1"/>
    <col min="6667" max="6667" width="7" style="94" bestFit="1" customWidth="1"/>
    <col min="6668" max="6668" width="6.28515625" style="94" customWidth="1"/>
    <col min="6669" max="6669" width="20.42578125" style="94" customWidth="1"/>
    <col min="6670" max="6670" width="6.42578125" style="94" bestFit="1" customWidth="1"/>
    <col min="6671" max="6672" width="8.42578125" style="94"/>
    <col min="6673" max="6673" width="3.28515625" style="94" customWidth="1"/>
    <col min="6674" max="6912" width="8.42578125" style="94"/>
    <col min="6913" max="6913" width="10" style="94" bestFit="1" customWidth="1"/>
    <col min="6914" max="6914" width="44.28515625" style="94" bestFit="1" customWidth="1"/>
    <col min="6915" max="6915" width="10.42578125" style="94" bestFit="1" customWidth="1"/>
    <col min="6916" max="6916" width="10.42578125" style="94" customWidth="1"/>
    <col min="6917" max="6917" width="9.7109375" style="94" bestFit="1" customWidth="1"/>
    <col min="6918" max="6919" width="9.5703125" style="94" bestFit="1" customWidth="1"/>
    <col min="6920" max="6920" width="10.42578125" style="94" bestFit="1" customWidth="1"/>
    <col min="6921" max="6921" width="4.5703125" style="94" customWidth="1"/>
    <col min="6922" max="6922" width="1.7109375" style="94" customWidth="1"/>
    <col min="6923" max="6923" width="7" style="94" bestFit="1" customWidth="1"/>
    <col min="6924" max="6924" width="6.28515625" style="94" customWidth="1"/>
    <col min="6925" max="6925" width="20.42578125" style="94" customWidth="1"/>
    <col min="6926" max="6926" width="6.42578125" style="94" bestFit="1" customWidth="1"/>
    <col min="6927" max="6928" width="8.42578125" style="94"/>
    <col min="6929" max="6929" width="3.28515625" style="94" customWidth="1"/>
    <col min="6930" max="7168" width="8.42578125" style="94"/>
    <col min="7169" max="7169" width="10" style="94" bestFit="1" customWidth="1"/>
    <col min="7170" max="7170" width="44.28515625" style="94" bestFit="1" customWidth="1"/>
    <col min="7171" max="7171" width="10.42578125" style="94" bestFit="1" customWidth="1"/>
    <col min="7172" max="7172" width="10.42578125" style="94" customWidth="1"/>
    <col min="7173" max="7173" width="9.7109375" style="94" bestFit="1" customWidth="1"/>
    <col min="7174" max="7175" width="9.5703125" style="94" bestFit="1" customWidth="1"/>
    <col min="7176" max="7176" width="10.42578125" style="94" bestFit="1" customWidth="1"/>
    <col min="7177" max="7177" width="4.5703125" style="94" customWidth="1"/>
    <col min="7178" max="7178" width="1.7109375" style="94" customWidth="1"/>
    <col min="7179" max="7179" width="7" style="94" bestFit="1" customWidth="1"/>
    <col min="7180" max="7180" width="6.28515625" style="94" customWidth="1"/>
    <col min="7181" max="7181" width="20.42578125" style="94" customWidth="1"/>
    <col min="7182" max="7182" width="6.42578125" style="94" bestFit="1" customWidth="1"/>
    <col min="7183" max="7184" width="8.42578125" style="94"/>
    <col min="7185" max="7185" width="3.28515625" style="94" customWidth="1"/>
    <col min="7186" max="7424" width="8.42578125" style="94"/>
    <col min="7425" max="7425" width="10" style="94" bestFit="1" customWidth="1"/>
    <col min="7426" max="7426" width="44.28515625" style="94" bestFit="1" customWidth="1"/>
    <col min="7427" max="7427" width="10.42578125" style="94" bestFit="1" customWidth="1"/>
    <col min="7428" max="7428" width="10.42578125" style="94" customWidth="1"/>
    <col min="7429" max="7429" width="9.7109375" style="94" bestFit="1" customWidth="1"/>
    <col min="7430" max="7431" width="9.5703125" style="94" bestFit="1" customWidth="1"/>
    <col min="7432" max="7432" width="10.42578125" style="94" bestFit="1" customWidth="1"/>
    <col min="7433" max="7433" width="4.5703125" style="94" customWidth="1"/>
    <col min="7434" max="7434" width="1.7109375" style="94" customWidth="1"/>
    <col min="7435" max="7435" width="7" style="94" bestFit="1" customWidth="1"/>
    <col min="7436" max="7436" width="6.28515625" style="94" customWidth="1"/>
    <col min="7437" max="7437" width="20.42578125" style="94" customWidth="1"/>
    <col min="7438" max="7438" width="6.42578125" style="94" bestFit="1" customWidth="1"/>
    <col min="7439" max="7440" width="8.42578125" style="94"/>
    <col min="7441" max="7441" width="3.28515625" style="94" customWidth="1"/>
    <col min="7442" max="7680" width="8.42578125" style="94"/>
    <col min="7681" max="7681" width="10" style="94" bestFit="1" customWidth="1"/>
    <col min="7682" max="7682" width="44.28515625" style="94" bestFit="1" customWidth="1"/>
    <col min="7683" max="7683" width="10.42578125" style="94" bestFit="1" customWidth="1"/>
    <col min="7684" max="7684" width="10.42578125" style="94" customWidth="1"/>
    <col min="7685" max="7685" width="9.7109375" style="94" bestFit="1" customWidth="1"/>
    <col min="7686" max="7687" width="9.5703125" style="94" bestFit="1" customWidth="1"/>
    <col min="7688" max="7688" width="10.42578125" style="94" bestFit="1" customWidth="1"/>
    <col min="7689" max="7689" width="4.5703125" style="94" customWidth="1"/>
    <col min="7690" max="7690" width="1.7109375" style="94" customWidth="1"/>
    <col min="7691" max="7691" width="7" style="94" bestFit="1" customWidth="1"/>
    <col min="7692" max="7692" width="6.28515625" style="94" customWidth="1"/>
    <col min="7693" max="7693" width="20.42578125" style="94" customWidth="1"/>
    <col min="7694" max="7694" width="6.42578125" style="94" bestFit="1" customWidth="1"/>
    <col min="7695" max="7696" width="8.42578125" style="94"/>
    <col min="7697" max="7697" width="3.28515625" style="94" customWidth="1"/>
    <col min="7698" max="7936" width="8.42578125" style="94"/>
    <col min="7937" max="7937" width="10" style="94" bestFit="1" customWidth="1"/>
    <col min="7938" max="7938" width="44.28515625" style="94" bestFit="1" customWidth="1"/>
    <col min="7939" max="7939" width="10.42578125" style="94" bestFit="1" customWidth="1"/>
    <col min="7940" max="7940" width="10.42578125" style="94" customWidth="1"/>
    <col min="7941" max="7941" width="9.7109375" style="94" bestFit="1" customWidth="1"/>
    <col min="7942" max="7943" width="9.5703125" style="94" bestFit="1" customWidth="1"/>
    <col min="7944" max="7944" width="10.42578125" style="94" bestFit="1" customWidth="1"/>
    <col min="7945" max="7945" width="4.5703125" style="94" customWidth="1"/>
    <col min="7946" max="7946" width="1.7109375" style="94" customWidth="1"/>
    <col min="7947" max="7947" width="7" style="94" bestFit="1" customWidth="1"/>
    <col min="7948" max="7948" width="6.28515625" style="94" customWidth="1"/>
    <col min="7949" max="7949" width="20.42578125" style="94" customWidth="1"/>
    <col min="7950" max="7950" width="6.42578125" style="94" bestFit="1" customWidth="1"/>
    <col min="7951" max="7952" width="8.42578125" style="94"/>
    <col min="7953" max="7953" width="3.28515625" style="94" customWidth="1"/>
    <col min="7954" max="8192" width="8.42578125" style="94"/>
    <col min="8193" max="8193" width="10" style="94" bestFit="1" customWidth="1"/>
    <col min="8194" max="8194" width="44.28515625" style="94" bestFit="1" customWidth="1"/>
    <col min="8195" max="8195" width="10.42578125" style="94" bestFit="1" customWidth="1"/>
    <col min="8196" max="8196" width="10.42578125" style="94" customWidth="1"/>
    <col min="8197" max="8197" width="9.7109375" style="94" bestFit="1" customWidth="1"/>
    <col min="8198" max="8199" width="9.5703125" style="94" bestFit="1" customWidth="1"/>
    <col min="8200" max="8200" width="10.42578125" style="94" bestFit="1" customWidth="1"/>
    <col min="8201" max="8201" width="4.5703125" style="94" customWidth="1"/>
    <col min="8202" max="8202" width="1.7109375" style="94" customWidth="1"/>
    <col min="8203" max="8203" width="7" style="94" bestFit="1" customWidth="1"/>
    <col min="8204" max="8204" width="6.28515625" style="94" customWidth="1"/>
    <col min="8205" max="8205" width="20.42578125" style="94" customWidth="1"/>
    <col min="8206" max="8206" width="6.42578125" style="94" bestFit="1" customWidth="1"/>
    <col min="8207" max="8208" width="8.42578125" style="94"/>
    <col min="8209" max="8209" width="3.28515625" style="94" customWidth="1"/>
    <col min="8210" max="8448" width="8.42578125" style="94"/>
    <col min="8449" max="8449" width="10" style="94" bestFit="1" customWidth="1"/>
    <col min="8450" max="8450" width="44.28515625" style="94" bestFit="1" customWidth="1"/>
    <col min="8451" max="8451" width="10.42578125" style="94" bestFit="1" customWidth="1"/>
    <col min="8452" max="8452" width="10.42578125" style="94" customWidth="1"/>
    <col min="8453" max="8453" width="9.7109375" style="94" bestFit="1" customWidth="1"/>
    <col min="8454" max="8455" width="9.5703125" style="94" bestFit="1" customWidth="1"/>
    <col min="8456" max="8456" width="10.42578125" style="94" bestFit="1" customWidth="1"/>
    <col min="8457" max="8457" width="4.5703125" style="94" customWidth="1"/>
    <col min="8458" max="8458" width="1.7109375" style="94" customWidth="1"/>
    <col min="8459" max="8459" width="7" style="94" bestFit="1" customWidth="1"/>
    <col min="8460" max="8460" width="6.28515625" style="94" customWidth="1"/>
    <col min="8461" max="8461" width="20.42578125" style="94" customWidth="1"/>
    <col min="8462" max="8462" width="6.42578125" style="94" bestFit="1" customWidth="1"/>
    <col min="8463" max="8464" width="8.42578125" style="94"/>
    <col min="8465" max="8465" width="3.28515625" style="94" customWidth="1"/>
    <col min="8466" max="8704" width="8.42578125" style="94"/>
    <col min="8705" max="8705" width="10" style="94" bestFit="1" customWidth="1"/>
    <col min="8706" max="8706" width="44.28515625" style="94" bestFit="1" customWidth="1"/>
    <col min="8707" max="8707" width="10.42578125" style="94" bestFit="1" customWidth="1"/>
    <col min="8708" max="8708" width="10.42578125" style="94" customWidth="1"/>
    <col min="8709" max="8709" width="9.7109375" style="94" bestFit="1" customWidth="1"/>
    <col min="8710" max="8711" width="9.5703125" style="94" bestFit="1" customWidth="1"/>
    <col min="8712" max="8712" width="10.42578125" style="94" bestFit="1" customWidth="1"/>
    <col min="8713" max="8713" width="4.5703125" style="94" customWidth="1"/>
    <col min="8714" max="8714" width="1.7109375" style="94" customWidth="1"/>
    <col min="8715" max="8715" width="7" style="94" bestFit="1" customWidth="1"/>
    <col min="8716" max="8716" width="6.28515625" style="94" customWidth="1"/>
    <col min="8717" max="8717" width="20.42578125" style="94" customWidth="1"/>
    <col min="8718" max="8718" width="6.42578125" style="94" bestFit="1" customWidth="1"/>
    <col min="8719" max="8720" width="8.42578125" style="94"/>
    <col min="8721" max="8721" width="3.28515625" style="94" customWidth="1"/>
    <col min="8722" max="8960" width="8.42578125" style="94"/>
    <col min="8961" max="8961" width="10" style="94" bestFit="1" customWidth="1"/>
    <col min="8962" max="8962" width="44.28515625" style="94" bestFit="1" customWidth="1"/>
    <col min="8963" max="8963" width="10.42578125" style="94" bestFit="1" customWidth="1"/>
    <col min="8964" max="8964" width="10.42578125" style="94" customWidth="1"/>
    <col min="8965" max="8965" width="9.7109375" style="94" bestFit="1" customWidth="1"/>
    <col min="8966" max="8967" width="9.5703125" style="94" bestFit="1" customWidth="1"/>
    <col min="8968" max="8968" width="10.42578125" style="94" bestFit="1" customWidth="1"/>
    <col min="8969" max="8969" width="4.5703125" style="94" customWidth="1"/>
    <col min="8970" max="8970" width="1.7109375" style="94" customWidth="1"/>
    <col min="8971" max="8971" width="7" style="94" bestFit="1" customWidth="1"/>
    <col min="8972" max="8972" width="6.28515625" style="94" customWidth="1"/>
    <col min="8973" max="8973" width="20.42578125" style="94" customWidth="1"/>
    <col min="8974" max="8974" width="6.42578125" style="94" bestFit="1" customWidth="1"/>
    <col min="8975" max="8976" width="8.42578125" style="94"/>
    <col min="8977" max="8977" width="3.28515625" style="94" customWidth="1"/>
    <col min="8978" max="9216" width="8.42578125" style="94"/>
    <col min="9217" max="9217" width="10" style="94" bestFit="1" customWidth="1"/>
    <col min="9218" max="9218" width="44.28515625" style="94" bestFit="1" customWidth="1"/>
    <col min="9219" max="9219" width="10.42578125" style="94" bestFit="1" customWidth="1"/>
    <col min="9220" max="9220" width="10.42578125" style="94" customWidth="1"/>
    <col min="9221" max="9221" width="9.7109375" style="94" bestFit="1" customWidth="1"/>
    <col min="9222" max="9223" width="9.5703125" style="94" bestFit="1" customWidth="1"/>
    <col min="9224" max="9224" width="10.42578125" style="94" bestFit="1" customWidth="1"/>
    <col min="9225" max="9225" width="4.5703125" style="94" customWidth="1"/>
    <col min="9226" max="9226" width="1.7109375" style="94" customWidth="1"/>
    <col min="9227" max="9227" width="7" style="94" bestFit="1" customWidth="1"/>
    <col min="9228" max="9228" width="6.28515625" style="94" customWidth="1"/>
    <col min="9229" max="9229" width="20.42578125" style="94" customWidth="1"/>
    <col min="9230" max="9230" width="6.42578125" style="94" bestFit="1" customWidth="1"/>
    <col min="9231" max="9232" width="8.42578125" style="94"/>
    <col min="9233" max="9233" width="3.28515625" style="94" customWidth="1"/>
    <col min="9234" max="9472" width="8.42578125" style="94"/>
    <col min="9473" max="9473" width="10" style="94" bestFit="1" customWidth="1"/>
    <col min="9474" max="9474" width="44.28515625" style="94" bestFit="1" customWidth="1"/>
    <col min="9475" max="9475" width="10.42578125" style="94" bestFit="1" customWidth="1"/>
    <col min="9476" max="9476" width="10.42578125" style="94" customWidth="1"/>
    <col min="9477" max="9477" width="9.7109375" style="94" bestFit="1" customWidth="1"/>
    <col min="9478" max="9479" width="9.5703125" style="94" bestFit="1" customWidth="1"/>
    <col min="9480" max="9480" width="10.42578125" style="94" bestFit="1" customWidth="1"/>
    <col min="9481" max="9481" width="4.5703125" style="94" customWidth="1"/>
    <col min="9482" max="9482" width="1.7109375" style="94" customWidth="1"/>
    <col min="9483" max="9483" width="7" style="94" bestFit="1" customWidth="1"/>
    <col min="9484" max="9484" width="6.28515625" style="94" customWidth="1"/>
    <col min="9485" max="9485" width="20.42578125" style="94" customWidth="1"/>
    <col min="9486" max="9486" width="6.42578125" style="94" bestFit="1" customWidth="1"/>
    <col min="9487" max="9488" width="8.42578125" style="94"/>
    <col min="9489" max="9489" width="3.28515625" style="94" customWidth="1"/>
    <col min="9490" max="9728" width="8.42578125" style="94"/>
    <col min="9729" max="9729" width="10" style="94" bestFit="1" customWidth="1"/>
    <col min="9730" max="9730" width="44.28515625" style="94" bestFit="1" customWidth="1"/>
    <col min="9731" max="9731" width="10.42578125" style="94" bestFit="1" customWidth="1"/>
    <col min="9732" max="9732" width="10.42578125" style="94" customWidth="1"/>
    <col min="9733" max="9733" width="9.7109375" style="94" bestFit="1" customWidth="1"/>
    <col min="9734" max="9735" width="9.5703125" style="94" bestFit="1" customWidth="1"/>
    <col min="9736" max="9736" width="10.42578125" style="94" bestFit="1" customWidth="1"/>
    <col min="9737" max="9737" width="4.5703125" style="94" customWidth="1"/>
    <col min="9738" max="9738" width="1.7109375" style="94" customWidth="1"/>
    <col min="9739" max="9739" width="7" style="94" bestFit="1" customWidth="1"/>
    <col min="9740" max="9740" width="6.28515625" style="94" customWidth="1"/>
    <col min="9741" max="9741" width="20.42578125" style="94" customWidth="1"/>
    <col min="9742" max="9742" width="6.42578125" style="94" bestFit="1" customWidth="1"/>
    <col min="9743" max="9744" width="8.42578125" style="94"/>
    <col min="9745" max="9745" width="3.28515625" style="94" customWidth="1"/>
    <col min="9746" max="9984" width="8.42578125" style="94"/>
    <col min="9985" max="9985" width="10" style="94" bestFit="1" customWidth="1"/>
    <col min="9986" max="9986" width="44.28515625" style="94" bestFit="1" customWidth="1"/>
    <col min="9987" max="9987" width="10.42578125" style="94" bestFit="1" customWidth="1"/>
    <col min="9988" max="9988" width="10.42578125" style="94" customWidth="1"/>
    <col min="9989" max="9989" width="9.7109375" style="94" bestFit="1" customWidth="1"/>
    <col min="9990" max="9991" width="9.5703125" style="94" bestFit="1" customWidth="1"/>
    <col min="9992" max="9992" width="10.42578125" style="94" bestFit="1" customWidth="1"/>
    <col min="9993" max="9993" width="4.5703125" style="94" customWidth="1"/>
    <col min="9994" max="9994" width="1.7109375" style="94" customWidth="1"/>
    <col min="9995" max="9995" width="7" style="94" bestFit="1" customWidth="1"/>
    <col min="9996" max="9996" width="6.28515625" style="94" customWidth="1"/>
    <col min="9997" max="9997" width="20.42578125" style="94" customWidth="1"/>
    <col min="9998" max="9998" width="6.42578125" style="94" bestFit="1" customWidth="1"/>
    <col min="9999" max="10000" width="8.42578125" style="94"/>
    <col min="10001" max="10001" width="3.28515625" style="94" customWidth="1"/>
    <col min="10002" max="10240" width="8.42578125" style="94"/>
    <col min="10241" max="10241" width="10" style="94" bestFit="1" customWidth="1"/>
    <col min="10242" max="10242" width="44.28515625" style="94" bestFit="1" customWidth="1"/>
    <col min="10243" max="10243" width="10.42578125" style="94" bestFit="1" customWidth="1"/>
    <col min="10244" max="10244" width="10.42578125" style="94" customWidth="1"/>
    <col min="10245" max="10245" width="9.7109375" style="94" bestFit="1" customWidth="1"/>
    <col min="10246" max="10247" width="9.5703125" style="94" bestFit="1" customWidth="1"/>
    <col min="10248" max="10248" width="10.42578125" style="94" bestFit="1" customWidth="1"/>
    <col min="10249" max="10249" width="4.5703125" style="94" customWidth="1"/>
    <col min="10250" max="10250" width="1.7109375" style="94" customWidth="1"/>
    <col min="10251" max="10251" width="7" style="94" bestFit="1" customWidth="1"/>
    <col min="10252" max="10252" width="6.28515625" style="94" customWidth="1"/>
    <col min="10253" max="10253" width="20.42578125" style="94" customWidth="1"/>
    <col min="10254" max="10254" width="6.42578125" style="94" bestFit="1" customWidth="1"/>
    <col min="10255" max="10256" width="8.42578125" style="94"/>
    <col min="10257" max="10257" width="3.28515625" style="94" customWidth="1"/>
    <col min="10258" max="10496" width="8.42578125" style="94"/>
    <col min="10497" max="10497" width="10" style="94" bestFit="1" customWidth="1"/>
    <col min="10498" max="10498" width="44.28515625" style="94" bestFit="1" customWidth="1"/>
    <col min="10499" max="10499" width="10.42578125" style="94" bestFit="1" customWidth="1"/>
    <col min="10500" max="10500" width="10.42578125" style="94" customWidth="1"/>
    <col min="10501" max="10501" width="9.7109375" style="94" bestFit="1" customWidth="1"/>
    <col min="10502" max="10503" width="9.5703125" style="94" bestFit="1" customWidth="1"/>
    <col min="10504" max="10504" width="10.42578125" style="94" bestFit="1" customWidth="1"/>
    <col min="10505" max="10505" width="4.5703125" style="94" customWidth="1"/>
    <col min="10506" max="10506" width="1.7109375" style="94" customWidth="1"/>
    <col min="10507" max="10507" width="7" style="94" bestFit="1" customWidth="1"/>
    <col min="10508" max="10508" width="6.28515625" style="94" customWidth="1"/>
    <col min="10509" max="10509" width="20.42578125" style="94" customWidth="1"/>
    <col min="10510" max="10510" width="6.42578125" style="94" bestFit="1" customWidth="1"/>
    <col min="10511" max="10512" width="8.42578125" style="94"/>
    <col min="10513" max="10513" width="3.28515625" style="94" customWidth="1"/>
    <col min="10514" max="10752" width="8.42578125" style="94"/>
    <col min="10753" max="10753" width="10" style="94" bestFit="1" customWidth="1"/>
    <col min="10754" max="10754" width="44.28515625" style="94" bestFit="1" customWidth="1"/>
    <col min="10755" max="10755" width="10.42578125" style="94" bestFit="1" customWidth="1"/>
    <col min="10756" max="10756" width="10.42578125" style="94" customWidth="1"/>
    <col min="10757" max="10757" width="9.7109375" style="94" bestFit="1" customWidth="1"/>
    <col min="10758" max="10759" width="9.5703125" style="94" bestFit="1" customWidth="1"/>
    <col min="10760" max="10760" width="10.42578125" style="94" bestFit="1" customWidth="1"/>
    <col min="10761" max="10761" width="4.5703125" style="94" customWidth="1"/>
    <col min="10762" max="10762" width="1.7109375" style="94" customWidth="1"/>
    <col min="10763" max="10763" width="7" style="94" bestFit="1" customWidth="1"/>
    <col min="10764" max="10764" width="6.28515625" style="94" customWidth="1"/>
    <col min="10765" max="10765" width="20.42578125" style="94" customWidth="1"/>
    <col min="10766" max="10766" width="6.42578125" style="94" bestFit="1" customWidth="1"/>
    <col min="10767" max="10768" width="8.42578125" style="94"/>
    <col min="10769" max="10769" width="3.28515625" style="94" customWidth="1"/>
    <col min="10770" max="11008" width="8.42578125" style="94"/>
    <col min="11009" max="11009" width="10" style="94" bestFit="1" customWidth="1"/>
    <col min="11010" max="11010" width="44.28515625" style="94" bestFit="1" customWidth="1"/>
    <col min="11011" max="11011" width="10.42578125" style="94" bestFit="1" customWidth="1"/>
    <col min="11012" max="11012" width="10.42578125" style="94" customWidth="1"/>
    <col min="11013" max="11013" width="9.7109375" style="94" bestFit="1" customWidth="1"/>
    <col min="11014" max="11015" width="9.5703125" style="94" bestFit="1" customWidth="1"/>
    <col min="11016" max="11016" width="10.42578125" style="94" bestFit="1" customWidth="1"/>
    <col min="11017" max="11017" width="4.5703125" style="94" customWidth="1"/>
    <col min="11018" max="11018" width="1.7109375" style="94" customWidth="1"/>
    <col min="11019" max="11019" width="7" style="94" bestFit="1" customWidth="1"/>
    <col min="11020" max="11020" width="6.28515625" style="94" customWidth="1"/>
    <col min="11021" max="11021" width="20.42578125" style="94" customWidth="1"/>
    <col min="11022" max="11022" width="6.42578125" style="94" bestFit="1" customWidth="1"/>
    <col min="11023" max="11024" width="8.42578125" style="94"/>
    <col min="11025" max="11025" width="3.28515625" style="94" customWidth="1"/>
    <col min="11026" max="11264" width="8.42578125" style="94"/>
    <col min="11265" max="11265" width="10" style="94" bestFit="1" customWidth="1"/>
    <col min="11266" max="11266" width="44.28515625" style="94" bestFit="1" customWidth="1"/>
    <col min="11267" max="11267" width="10.42578125" style="94" bestFit="1" customWidth="1"/>
    <col min="11268" max="11268" width="10.42578125" style="94" customWidth="1"/>
    <col min="11269" max="11269" width="9.7109375" style="94" bestFit="1" customWidth="1"/>
    <col min="11270" max="11271" width="9.5703125" style="94" bestFit="1" customWidth="1"/>
    <col min="11272" max="11272" width="10.42578125" style="94" bestFit="1" customWidth="1"/>
    <col min="11273" max="11273" width="4.5703125" style="94" customWidth="1"/>
    <col min="11274" max="11274" width="1.7109375" style="94" customWidth="1"/>
    <col min="11275" max="11275" width="7" style="94" bestFit="1" customWidth="1"/>
    <col min="11276" max="11276" width="6.28515625" style="94" customWidth="1"/>
    <col min="11277" max="11277" width="20.42578125" style="94" customWidth="1"/>
    <col min="11278" max="11278" width="6.42578125" style="94" bestFit="1" customWidth="1"/>
    <col min="11279" max="11280" width="8.42578125" style="94"/>
    <col min="11281" max="11281" width="3.28515625" style="94" customWidth="1"/>
    <col min="11282" max="11520" width="8.42578125" style="94"/>
    <col min="11521" max="11521" width="10" style="94" bestFit="1" customWidth="1"/>
    <col min="11522" max="11522" width="44.28515625" style="94" bestFit="1" customWidth="1"/>
    <col min="11523" max="11523" width="10.42578125" style="94" bestFit="1" customWidth="1"/>
    <col min="11524" max="11524" width="10.42578125" style="94" customWidth="1"/>
    <col min="11525" max="11525" width="9.7109375" style="94" bestFit="1" customWidth="1"/>
    <col min="11526" max="11527" width="9.5703125" style="94" bestFit="1" customWidth="1"/>
    <col min="11528" max="11528" width="10.42578125" style="94" bestFit="1" customWidth="1"/>
    <col min="11529" max="11529" width="4.5703125" style="94" customWidth="1"/>
    <col min="11530" max="11530" width="1.7109375" style="94" customWidth="1"/>
    <col min="11531" max="11531" width="7" style="94" bestFit="1" customWidth="1"/>
    <col min="11532" max="11532" width="6.28515625" style="94" customWidth="1"/>
    <col min="11533" max="11533" width="20.42578125" style="94" customWidth="1"/>
    <col min="11534" max="11534" width="6.42578125" style="94" bestFit="1" customWidth="1"/>
    <col min="11535" max="11536" width="8.42578125" style="94"/>
    <col min="11537" max="11537" width="3.28515625" style="94" customWidth="1"/>
    <col min="11538" max="11776" width="8.42578125" style="94"/>
    <col min="11777" max="11777" width="10" style="94" bestFit="1" customWidth="1"/>
    <col min="11778" max="11778" width="44.28515625" style="94" bestFit="1" customWidth="1"/>
    <col min="11779" max="11779" width="10.42578125" style="94" bestFit="1" customWidth="1"/>
    <col min="11780" max="11780" width="10.42578125" style="94" customWidth="1"/>
    <col min="11781" max="11781" width="9.7109375" style="94" bestFit="1" customWidth="1"/>
    <col min="11782" max="11783" width="9.5703125" style="94" bestFit="1" customWidth="1"/>
    <col min="11784" max="11784" width="10.42578125" style="94" bestFit="1" customWidth="1"/>
    <col min="11785" max="11785" width="4.5703125" style="94" customWidth="1"/>
    <col min="11786" max="11786" width="1.7109375" style="94" customWidth="1"/>
    <col min="11787" max="11787" width="7" style="94" bestFit="1" customWidth="1"/>
    <col min="11788" max="11788" width="6.28515625" style="94" customWidth="1"/>
    <col min="11789" max="11789" width="20.42578125" style="94" customWidth="1"/>
    <col min="11790" max="11790" width="6.42578125" style="94" bestFit="1" customWidth="1"/>
    <col min="11791" max="11792" width="8.42578125" style="94"/>
    <col min="11793" max="11793" width="3.28515625" style="94" customWidth="1"/>
    <col min="11794" max="12032" width="8.42578125" style="94"/>
    <col min="12033" max="12033" width="10" style="94" bestFit="1" customWidth="1"/>
    <col min="12034" max="12034" width="44.28515625" style="94" bestFit="1" customWidth="1"/>
    <col min="12035" max="12035" width="10.42578125" style="94" bestFit="1" customWidth="1"/>
    <col min="12036" max="12036" width="10.42578125" style="94" customWidth="1"/>
    <col min="12037" max="12037" width="9.7109375" style="94" bestFit="1" customWidth="1"/>
    <col min="12038" max="12039" width="9.5703125" style="94" bestFit="1" customWidth="1"/>
    <col min="12040" max="12040" width="10.42578125" style="94" bestFit="1" customWidth="1"/>
    <col min="12041" max="12041" width="4.5703125" style="94" customWidth="1"/>
    <col min="12042" max="12042" width="1.7109375" style="94" customWidth="1"/>
    <col min="12043" max="12043" width="7" style="94" bestFit="1" customWidth="1"/>
    <col min="12044" max="12044" width="6.28515625" style="94" customWidth="1"/>
    <col min="12045" max="12045" width="20.42578125" style="94" customWidth="1"/>
    <col min="12046" max="12046" width="6.42578125" style="94" bestFit="1" customWidth="1"/>
    <col min="12047" max="12048" width="8.42578125" style="94"/>
    <col min="12049" max="12049" width="3.28515625" style="94" customWidth="1"/>
    <col min="12050" max="12288" width="8.42578125" style="94"/>
    <col min="12289" max="12289" width="10" style="94" bestFit="1" customWidth="1"/>
    <col min="12290" max="12290" width="44.28515625" style="94" bestFit="1" customWidth="1"/>
    <col min="12291" max="12291" width="10.42578125" style="94" bestFit="1" customWidth="1"/>
    <col min="12292" max="12292" width="10.42578125" style="94" customWidth="1"/>
    <col min="12293" max="12293" width="9.7109375" style="94" bestFit="1" customWidth="1"/>
    <col min="12294" max="12295" width="9.5703125" style="94" bestFit="1" customWidth="1"/>
    <col min="12296" max="12296" width="10.42578125" style="94" bestFit="1" customWidth="1"/>
    <col min="12297" max="12297" width="4.5703125" style="94" customWidth="1"/>
    <col min="12298" max="12298" width="1.7109375" style="94" customWidth="1"/>
    <col min="12299" max="12299" width="7" style="94" bestFit="1" customWidth="1"/>
    <col min="12300" max="12300" width="6.28515625" style="94" customWidth="1"/>
    <col min="12301" max="12301" width="20.42578125" style="94" customWidth="1"/>
    <col min="12302" max="12302" width="6.42578125" style="94" bestFit="1" customWidth="1"/>
    <col min="12303" max="12304" width="8.42578125" style="94"/>
    <col min="12305" max="12305" width="3.28515625" style="94" customWidth="1"/>
    <col min="12306" max="12544" width="8.42578125" style="94"/>
    <col min="12545" max="12545" width="10" style="94" bestFit="1" customWidth="1"/>
    <col min="12546" max="12546" width="44.28515625" style="94" bestFit="1" customWidth="1"/>
    <col min="12547" max="12547" width="10.42578125" style="94" bestFit="1" customWidth="1"/>
    <col min="12548" max="12548" width="10.42578125" style="94" customWidth="1"/>
    <col min="12549" max="12549" width="9.7109375" style="94" bestFit="1" customWidth="1"/>
    <col min="12550" max="12551" width="9.5703125" style="94" bestFit="1" customWidth="1"/>
    <col min="12552" max="12552" width="10.42578125" style="94" bestFit="1" customWidth="1"/>
    <col min="12553" max="12553" width="4.5703125" style="94" customWidth="1"/>
    <col min="12554" max="12554" width="1.7109375" style="94" customWidth="1"/>
    <col min="12555" max="12555" width="7" style="94" bestFit="1" customWidth="1"/>
    <col min="12556" max="12556" width="6.28515625" style="94" customWidth="1"/>
    <col min="12557" max="12557" width="20.42578125" style="94" customWidth="1"/>
    <col min="12558" max="12558" width="6.42578125" style="94" bestFit="1" customWidth="1"/>
    <col min="12559" max="12560" width="8.42578125" style="94"/>
    <col min="12561" max="12561" width="3.28515625" style="94" customWidth="1"/>
    <col min="12562" max="12800" width="8.42578125" style="94"/>
    <col min="12801" max="12801" width="10" style="94" bestFit="1" customWidth="1"/>
    <col min="12802" max="12802" width="44.28515625" style="94" bestFit="1" customWidth="1"/>
    <col min="12803" max="12803" width="10.42578125" style="94" bestFit="1" customWidth="1"/>
    <col min="12804" max="12804" width="10.42578125" style="94" customWidth="1"/>
    <col min="12805" max="12805" width="9.7109375" style="94" bestFit="1" customWidth="1"/>
    <col min="12806" max="12807" width="9.5703125" style="94" bestFit="1" customWidth="1"/>
    <col min="12808" max="12808" width="10.42578125" style="94" bestFit="1" customWidth="1"/>
    <col min="12809" max="12809" width="4.5703125" style="94" customWidth="1"/>
    <col min="12810" max="12810" width="1.7109375" style="94" customWidth="1"/>
    <col min="12811" max="12811" width="7" style="94" bestFit="1" customWidth="1"/>
    <col min="12812" max="12812" width="6.28515625" style="94" customWidth="1"/>
    <col min="12813" max="12813" width="20.42578125" style="94" customWidth="1"/>
    <col min="12814" max="12814" width="6.42578125" style="94" bestFit="1" customWidth="1"/>
    <col min="12815" max="12816" width="8.42578125" style="94"/>
    <col min="12817" max="12817" width="3.28515625" style="94" customWidth="1"/>
    <col min="12818" max="13056" width="8.42578125" style="94"/>
    <col min="13057" max="13057" width="10" style="94" bestFit="1" customWidth="1"/>
    <col min="13058" max="13058" width="44.28515625" style="94" bestFit="1" customWidth="1"/>
    <col min="13059" max="13059" width="10.42578125" style="94" bestFit="1" customWidth="1"/>
    <col min="13060" max="13060" width="10.42578125" style="94" customWidth="1"/>
    <col min="13061" max="13061" width="9.7109375" style="94" bestFit="1" customWidth="1"/>
    <col min="13062" max="13063" width="9.5703125" style="94" bestFit="1" customWidth="1"/>
    <col min="13064" max="13064" width="10.42578125" style="94" bestFit="1" customWidth="1"/>
    <col min="13065" max="13065" width="4.5703125" style="94" customWidth="1"/>
    <col min="13066" max="13066" width="1.7109375" style="94" customWidth="1"/>
    <col min="13067" max="13067" width="7" style="94" bestFit="1" customWidth="1"/>
    <col min="13068" max="13068" width="6.28515625" style="94" customWidth="1"/>
    <col min="13069" max="13069" width="20.42578125" style="94" customWidth="1"/>
    <col min="13070" max="13070" width="6.42578125" style="94" bestFit="1" customWidth="1"/>
    <col min="13071" max="13072" width="8.42578125" style="94"/>
    <col min="13073" max="13073" width="3.28515625" style="94" customWidth="1"/>
    <col min="13074" max="13312" width="8.42578125" style="94"/>
    <col min="13313" max="13313" width="10" style="94" bestFit="1" customWidth="1"/>
    <col min="13314" max="13314" width="44.28515625" style="94" bestFit="1" customWidth="1"/>
    <col min="13315" max="13315" width="10.42578125" style="94" bestFit="1" customWidth="1"/>
    <col min="13316" max="13316" width="10.42578125" style="94" customWidth="1"/>
    <col min="13317" max="13317" width="9.7109375" style="94" bestFit="1" customWidth="1"/>
    <col min="13318" max="13319" width="9.5703125" style="94" bestFit="1" customWidth="1"/>
    <col min="13320" max="13320" width="10.42578125" style="94" bestFit="1" customWidth="1"/>
    <col min="13321" max="13321" width="4.5703125" style="94" customWidth="1"/>
    <col min="13322" max="13322" width="1.7109375" style="94" customWidth="1"/>
    <col min="13323" max="13323" width="7" style="94" bestFit="1" customWidth="1"/>
    <col min="13324" max="13324" width="6.28515625" style="94" customWidth="1"/>
    <col min="13325" max="13325" width="20.42578125" style="94" customWidth="1"/>
    <col min="13326" max="13326" width="6.42578125" style="94" bestFit="1" customWidth="1"/>
    <col min="13327" max="13328" width="8.42578125" style="94"/>
    <col min="13329" max="13329" width="3.28515625" style="94" customWidth="1"/>
    <col min="13330" max="13568" width="8.42578125" style="94"/>
    <col min="13569" max="13569" width="10" style="94" bestFit="1" customWidth="1"/>
    <col min="13570" max="13570" width="44.28515625" style="94" bestFit="1" customWidth="1"/>
    <col min="13571" max="13571" width="10.42578125" style="94" bestFit="1" customWidth="1"/>
    <col min="13572" max="13572" width="10.42578125" style="94" customWidth="1"/>
    <col min="13573" max="13573" width="9.7109375" style="94" bestFit="1" customWidth="1"/>
    <col min="13574" max="13575" width="9.5703125" style="94" bestFit="1" customWidth="1"/>
    <col min="13576" max="13576" width="10.42578125" style="94" bestFit="1" customWidth="1"/>
    <col min="13577" max="13577" width="4.5703125" style="94" customWidth="1"/>
    <col min="13578" max="13578" width="1.7109375" style="94" customWidth="1"/>
    <col min="13579" max="13579" width="7" style="94" bestFit="1" customWidth="1"/>
    <col min="13580" max="13580" width="6.28515625" style="94" customWidth="1"/>
    <col min="13581" max="13581" width="20.42578125" style="94" customWidth="1"/>
    <col min="13582" max="13582" width="6.42578125" style="94" bestFit="1" customWidth="1"/>
    <col min="13583" max="13584" width="8.42578125" style="94"/>
    <col min="13585" max="13585" width="3.28515625" style="94" customWidth="1"/>
    <col min="13586" max="13824" width="8.42578125" style="94"/>
    <col min="13825" max="13825" width="10" style="94" bestFit="1" customWidth="1"/>
    <col min="13826" max="13826" width="44.28515625" style="94" bestFit="1" customWidth="1"/>
    <col min="13827" max="13827" width="10.42578125" style="94" bestFit="1" customWidth="1"/>
    <col min="13828" max="13828" width="10.42578125" style="94" customWidth="1"/>
    <col min="13829" max="13829" width="9.7109375" style="94" bestFit="1" customWidth="1"/>
    <col min="13830" max="13831" width="9.5703125" style="94" bestFit="1" customWidth="1"/>
    <col min="13832" max="13832" width="10.42578125" style="94" bestFit="1" customWidth="1"/>
    <col min="13833" max="13833" width="4.5703125" style="94" customWidth="1"/>
    <col min="13834" max="13834" width="1.7109375" style="94" customWidth="1"/>
    <col min="13835" max="13835" width="7" style="94" bestFit="1" customWidth="1"/>
    <col min="13836" max="13836" width="6.28515625" style="94" customWidth="1"/>
    <col min="13837" max="13837" width="20.42578125" style="94" customWidth="1"/>
    <col min="13838" max="13838" width="6.42578125" style="94" bestFit="1" customWidth="1"/>
    <col min="13839" max="13840" width="8.42578125" style="94"/>
    <col min="13841" max="13841" width="3.28515625" style="94" customWidth="1"/>
    <col min="13842" max="14080" width="8.42578125" style="94"/>
    <col min="14081" max="14081" width="10" style="94" bestFit="1" customWidth="1"/>
    <col min="14082" max="14082" width="44.28515625" style="94" bestFit="1" customWidth="1"/>
    <col min="14083" max="14083" width="10.42578125" style="94" bestFit="1" customWidth="1"/>
    <col min="14084" max="14084" width="10.42578125" style="94" customWidth="1"/>
    <col min="14085" max="14085" width="9.7109375" style="94" bestFit="1" customWidth="1"/>
    <col min="14086" max="14087" width="9.5703125" style="94" bestFit="1" customWidth="1"/>
    <col min="14088" max="14088" width="10.42578125" style="94" bestFit="1" customWidth="1"/>
    <col min="14089" max="14089" width="4.5703125" style="94" customWidth="1"/>
    <col min="14090" max="14090" width="1.7109375" style="94" customWidth="1"/>
    <col min="14091" max="14091" width="7" style="94" bestFit="1" customWidth="1"/>
    <col min="14092" max="14092" width="6.28515625" style="94" customWidth="1"/>
    <col min="14093" max="14093" width="20.42578125" style="94" customWidth="1"/>
    <col min="14094" max="14094" width="6.42578125" style="94" bestFit="1" customWidth="1"/>
    <col min="14095" max="14096" width="8.42578125" style="94"/>
    <col min="14097" max="14097" width="3.28515625" style="94" customWidth="1"/>
    <col min="14098" max="14336" width="8.42578125" style="94"/>
    <col min="14337" max="14337" width="10" style="94" bestFit="1" customWidth="1"/>
    <col min="14338" max="14338" width="44.28515625" style="94" bestFit="1" customWidth="1"/>
    <col min="14339" max="14339" width="10.42578125" style="94" bestFit="1" customWidth="1"/>
    <col min="14340" max="14340" width="10.42578125" style="94" customWidth="1"/>
    <col min="14341" max="14341" width="9.7109375" style="94" bestFit="1" customWidth="1"/>
    <col min="14342" max="14343" width="9.5703125" style="94" bestFit="1" customWidth="1"/>
    <col min="14344" max="14344" width="10.42578125" style="94" bestFit="1" customWidth="1"/>
    <col min="14345" max="14345" width="4.5703125" style="94" customWidth="1"/>
    <col min="14346" max="14346" width="1.7109375" style="94" customWidth="1"/>
    <col min="14347" max="14347" width="7" style="94" bestFit="1" customWidth="1"/>
    <col min="14348" max="14348" width="6.28515625" style="94" customWidth="1"/>
    <col min="14349" max="14349" width="20.42578125" style="94" customWidth="1"/>
    <col min="14350" max="14350" width="6.42578125" style="94" bestFit="1" customWidth="1"/>
    <col min="14351" max="14352" width="8.42578125" style="94"/>
    <col min="14353" max="14353" width="3.28515625" style="94" customWidth="1"/>
    <col min="14354" max="14592" width="8.42578125" style="94"/>
    <col min="14593" max="14593" width="10" style="94" bestFit="1" customWidth="1"/>
    <col min="14594" max="14594" width="44.28515625" style="94" bestFit="1" customWidth="1"/>
    <col min="14595" max="14595" width="10.42578125" style="94" bestFit="1" customWidth="1"/>
    <col min="14596" max="14596" width="10.42578125" style="94" customWidth="1"/>
    <col min="14597" max="14597" width="9.7109375" style="94" bestFit="1" customWidth="1"/>
    <col min="14598" max="14599" width="9.5703125" style="94" bestFit="1" customWidth="1"/>
    <col min="14600" max="14600" width="10.42578125" style="94" bestFit="1" customWidth="1"/>
    <col min="14601" max="14601" width="4.5703125" style="94" customWidth="1"/>
    <col min="14602" max="14602" width="1.7109375" style="94" customWidth="1"/>
    <col min="14603" max="14603" width="7" style="94" bestFit="1" customWidth="1"/>
    <col min="14604" max="14604" width="6.28515625" style="94" customWidth="1"/>
    <col min="14605" max="14605" width="20.42578125" style="94" customWidth="1"/>
    <col min="14606" max="14606" width="6.42578125" style="94" bestFit="1" customWidth="1"/>
    <col min="14607" max="14608" width="8.42578125" style="94"/>
    <col min="14609" max="14609" width="3.28515625" style="94" customWidth="1"/>
    <col min="14610" max="14848" width="8.42578125" style="94"/>
    <col min="14849" max="14849" width="10" style="94" bestFit="1" customWidth="1"/>
    <col min="14850" max="14850" width="44.28515625" style="94" bestFit="1" customWidth="1"/>
    <col min="14851" max="14851" width="10.42578125" style="94" bestFit="1" customWidth="1"/>
    <col min="14852" max="14852" width="10.42578125" style="94" customWidth="1"/>
    <col min="14853" max="14853" width="9.7109375" style="94" bestFit="1" customWidth="1"/>
    <col min="14854" max="14855" width="9.5703125" style="94" bestFit="1" customWidth="1"/>
    <col min="14856" max="14856" width="10.42578125" style="94" bestFit="1" customWidth="1"/>
    <col min="14857" max="14857" width="4.5703125" style="94" customWidth="1"/>
    <col min="14858" max="14858" width="1.7109375" style="94" customWidth="1"/>
    <col min="14859" max="14859" width="7" style="94" bestFit="1" customWidth="1"/>
    <col min="14860" max="14860" width="6.28515625" style="94" customWidth="1"/>
    <col min="14861" max="14861" width="20.42578125" style="94" customWidth="1"/>
    <col min="14862" max="14862" width="6.42578125" style="94" bestFit="1" customWidth="1"/>
    <col min="14863" max="14864" width="8.42578125" style="94"/>
    <col min="14865" max="14865" width="3.28515625" style="94" customWidth="1"/>
    <col min="14866" max="15104" width="8.42578125" style="94"/>
    <col min="15105" max="15105" width="10" style="94" bestFit="1" customWidth="1"/>
    <col min="15106" max="15106" width="44.28515625" style="94" bestFit="1" customWidth="1"/>
    <col min="15107" max="15107" width="10.42578125" style="94" bestFit="1" customWidth="1"/>
    <col min="15108" max="15108" width="10.42578125" style="94" customWidth="1"/>
    <col min="15109" max="15109" width="9.7109375" style="94" bestFit="1" customWidth="1"/>
    <col min="15110" max="15111" width="9.5703125" style="94" bestFit="1" customWidth="1"/>
    <col min="15112" max="15112" width="10.42578125" style="94" bestFit="1" customWidth="1"/>
    <col min="15113" max="15113" width="4.5703125" style="94" customWidth="1"/>
    <col min="15114" max="15114" width="1.7109375" style="94" customWidth="1"/>
    <col min="15115" max="15115" width="7" style="94" bestFit="1" customWidth="1"/>
    <col min="15116" max="15116" width="6.28515625" style="94" customWidth="1"/>
    <col min="15117" max="15117" width="20.42578125" style="94" customWidth="1"/>
    <col min="15118" max="15118" width="6.42578125" style="94" bestFit="1" customWidth="1"/>
    <col min="15119" max="15120" width="8.42578125" style="94"/>
    <col min="15121" max="15121" width="3.28515625" style="94" customWidth="1"/>
    <col min="15122" max="15360" width="8.42578125" style="94"/>
    <col min="15361" max="15361" width="10" style="94" bestFit="1" customWidth="1"/>
    <col min="15362" max="15362" width="44.28515625" style="94" bestFit="1" customWidth="1"/>
    <col min="15363" max="15363" width="10.42578125" style="94" bestFit="1" customWidth="1"/>
    <col min="15364" max="15364" width="10.42578125" style="94" customWidth="1"/>
    <col min="15365" max="15365" width="9.7109375" style="94" bestFit="1" customWidth="1"/>
    <col min="15366" max="15367" width="9.5703125" style="94" bestFit="1" customWidth="1"/>
    <col min="15368" max="15368" width="10.42578125" style="94" bestFit="1" customWidth="1"/>
    <col min="15369" max="15369" width="4.5703125" style="94" customWidth="1"/>
    <col min="15370" max="15370" width="1.7109375" style="94" customWidth="1"/>
    <col min="15371" max="15371" width="7" style="94" bestFit="1" customWidth="1"/>
    <col min="15372" max="15372" width="6.28515625" style="94" customWidth="1"/>
    <col min="15373" max="15373" width="20.42578125" style="94" customWidth="1"/>
    <col min="15374" max="15374" width="6.42578125" style="94" bestFit="1" customWidth="1"/>
    <col min="15375" max="15376" width="8.42578125" style="94"/>
    <col min="15377" max="15377" width="3.28515625" style="94" customWidth="1"/>
    <col min="15378" max="15616" width="8.42578125" style="94"/>
    <col min="15617" max="15617" width="10" style="94" bestFit="1" customWidth="1"/>
    <col min="15618" max="15618" width="44.28515625" style="94" bestFit="1" customWidth="1"/>
    <col min="15619" max="15619" width="10.42578125" style="94" bestFit="1" customWidth="1"/>
    <col min="15620" max="15620" width="10.42578125" style="94" customWidth="1"/>
    <col min="15621" max="15621" width="9.7109375" style="94" bestFit="1" customWidth="1"/>
    <col min="15622" max="15623" width="9.5703125" style="94" bestFit="1" customWidth="1"/>
    <col min="15624" max="15624" width="10.42578125" style="94" bestFit="1" customWidth="1"/>
    <col min="15625" max="15625" width="4.5703125" style="94" customWidth="1"/>
    <col min="15626" max="15626" width="1.7109375" style="94" customWidth="1"/>
    <col min="15627" max="15627" width="7" style="94" bestFit="1" customWidth="1"/>
    <col min="15628" max="15628" width="6.28515625" style="94" customWidth="1"/>
    <col min="15629" max="15629" width="20.42578125" style="94" customWidth="1"/>
    <col min="15630" max="15630" width="6.42578125" style="94" bestFit="1" customWidth="1"/>
    <col min="15631" max="15632" width="8.42578125" style="94"/>
    <col min="15633" max="15633" width="3.28515625" style="94" customWidth="1"/>
    <col min="15634" max="15872" width="8.42578125" style="94"/>
    <col min="15873" max="15873" width="10" style="94" bestFit="1" customWidth="1"/>
    <col min="15874" max="15874" width="44.28515625" style="94" bestFit="1" customWidth="1"/>
    <col min="15875" max="15875" width="10.42578125" style="94" bestFit="1" customWidth="1"/>
    <col min="15876" max="15876" width="10.42578125" style="94" customWidth="1"/>
    <col min="15877" max="15877" width="9.7109375" style="94" bestFit="1" customWidth="1"/>
    <col min="15878" max="15879" width="9.5703125" style="94" bestFit="1" customWidth="1"/>
    <col min="15880" max="15880" width="10.42578125" style="94" bestFit="1" customWidth="1"/>
    <col min="15881" max="15881" width="4.5703125" style="94" customWidth="1"/>
    <col min="15882" max="15882" width="1.7109375" style="94" customWidth="1"/>
    <col min="15883" max="15883" width="7" style="94" bestFit="1" customWidth="1"/>
    <col min="15884" max="15884" width="6.28515625" style="94" customWidth="1"/>
    <col min="15885" max="15885" width="20.42578125" style="94" customWidth="1"/>
    <col min="15886" max="15886" width="6.42578125" style="94" bestFit="1" customWidth="1"/>
    <col min="15887" max="15888" width="8.42578125" style="94"/>
    <col min="15889" max="15889" width="3.28515625" style="94" customWidth="1"/>
    <col min="15890" max="16128" width="8.42578125" style="94"/>
    <col min="16129" max="16129" width="10" style="94" bestFit="1" customWidth="1"/>
    <col min="16130" max="16130" width="44.28515625" style="94" bestFit="1" customWidth="1"/>
    <col min="16131" max="16131" width="10.42578125" style="94" bestFit="1" customWidth="1"/>
    <col min="16132" max="16132" width="10.42578125" style="94" customWidth="1"/>
    <col min="16133" max="16133" width="9.7109375" style="94" bestFit="1" customWidth="1"/>
    <col min="16134" max="16135" width="9.5703125" style="94" bestFit="1" customWidth="1"/>
    <col min="16136" max="16136" width="10.42578125" style="94" bestFit="1" customWidth="1"/>
    <col min="16137" max="16137" width="4.5703125" style="94" customWidth="1"/>
    <col min="16138" max="16138" width="1.7109375" style="94" customWidth="1"/>
    <col min="16139" max="16139" width="7" style="94" bestFit="1" customWidth="1"/>
    <col min="16140" max="16140" width="6.28515625" style="94" customWidth="1"/>
    <col min="16141" max="16141" width="20.42578125" style="94" customWidth="1"/>
    <col min="16142" max="16142" width="6.42578125" style="94" bestFit="1" customWidth="1"/>
    <col min="16143" max="16144" width="8.42578125" style="94"/>
    <col min="16145" max="16145" width="3.28515625" style="94" customWidth="1"/>
    <col min="16146" max="16384" width="8.42578125" style="94"/>
  </cols>
  <sheetData>
    <row r="1" spans="1:10" ht="27.75" customHeight="1" x14ac:dyDescent="0.25">
      <c r="A1" s="89"/>
      <c r="B1" s="89"/>
      <c r="C1" s="89"/>
      <c r="D1" s="89"/>
      <c r="E1" s="90" t="s">
        <v>132</v>
      </c>
      <c r="F1" s="91" t="s">
        <v>133</v>
      </c>
      <c r="G1" s="91" t="s">
        <v>134</v>
      </c>
      <c r="H1" s="91" t="s">
        <v>135</v>
      </c>
      <c r="I1" s="92"/>
    </row>
    <row r="2" spans="1:10" ht="30.75" customHeight="1" x14ac:dyDescent="0.25">
      <c r="A2" s="89"/>
      <c r="B2" s="89"/>
      <c r="C2" s="89"/>
      <c r="D2" s="89"/>
      <c r="E2" s="95">
        <f>IFERROR(O62,"")</f>
        <v>34160.362114881413</v>
      </c>
      <c r="F2" s="95">
        <f>IFERROR(H53,"")</f>
        <v>33116.82069</v>
      </c>
      <c r="G2" s="95">
        <f>IFERROR(H54,"")</f>
        <v>97.562822350476196</v>
      </c>
      <c r="H2" s="95">
        <f>IFERROR(H56,"")</f>
        <v>484.91340129737142</v>
      </c>
      <c r="I2" s="96"/>
    </row>
    <row r="3" spans="1:10" ht="15" customHeight="1" x14ac:dyDescent="0.25">
      <c r="A3" s="89"/>
      <c r="B3" s="89"/>
      <c r="C3" s="89"/>
      <c r="D3" s="89"/>
      <c r="E3" s="89"/>
      <c r="F3" s="97"/>
      <c r="G3" s="97"/>
      <c r="H3" s="97"/>
      <c r="I3" s="97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8"/>
    </row>
    <row r="5" spans="1:10" ht="19.5" customHeight="1" thickBot="1" x14ac:dyDescent="0.3">
      <c r="A5" s="358" t="s">
        <v>136</v>
      </c>
      <c r="B5" s="359"/>
      <c r="C5" s="359"/>
      <c r="D5" s="359"/>
      <c r="E5" s="359"/>
      <c r="F5" s="359"/>
      <c r="G5" s="359"/>
      <c r="H5" s="360"/>
      <c r="I5" s="99"/>
    </row>
    <row r="6" spans="1:10" ht="19.5" thickBot="1" x14ac:dyDescent="0.3">
      <c r="A6" s="99"/>
      <c r="B6" s="99"/>
      <c r="C6" s="99"/>
      <c r="D6" s="99"/>
      <c r="E6" s="99"/>
      <c r="F6" s="361" t="s">
        <v>137</v>
      </c>
      <c r="G6" s="361"/>
      <c r="H6" s="100">
        <f ca="1">TODAY()</f>
        <v>45776</v>
      </c>
      <c r="I6" s="100"/>
    </row>
    <row r="7" spans="1:10" ht="26.25" hidden="1" thickBot="1" x14ac:dyDescent="0.3">
      <c r="A7" s="101" t="s">
        <v>138</v>
      </c>
      <c r="B7" s="102" t="s">
        <v>139</v>
      </c>
      <c r="C7" s="102" t="s">
        <v>138</v>
      </c>
      <c r="D7" s="103" t="s">
        <v>140</v>
      </c>
      <c r="E7" s="103" t="s">
        <v>141</v>
      </c>
      <c r="F7" s="103" t="s">
        <v>142</v>
      </c>
      <c r="G7" s="103" t="s">
        <v>143</v>
      </c>
      <c r="H7" s="104" t="s">
        <v>144</v>
      </c>
      <c r="I7" s="105"/>
    </row>
    <row r="8" spans="1:10" ht="13.5" hidden="1" x14ac:dyDescent="0.25">
      <c r="A8" s="106"/>
      <c r="B8" s="94" t="str">
        <f>IFERROR(VLOOKUP(H8,'[1]Consolidado MP Planta'!$A$2:$M$823,3,0),"")</f>
        <v/>
      </c>
      <c r="C8" s="107">
        <f>+A8</f>
        <v>0</v>
      </c>
      <c r="D8" s="108" t="str">
        <f>IFERROR(VLOOKUP(H8,'[1]Consolidado MP Planta'!$A$2:$M$823,13,0),"")</f>
        <v/>
      </c>
      <c r="E8" s="108" t="str">
        <f>IFERROR(VLOOKUP(H8,'[1]Consolidado MP Planta'!$A$2:$M$823,12,0),"")</f>
        <v/>
      </c>
      <c r="F8" s="108" t="str">
        <f>IFERROR(C8*E8,"")</f>
        <v/>
      </c>
      <c r="G8" s="109" t="str">
        <f t="shared" ref="G8:G14" si="0">IFERROR(F8/$F$66,"")</f>
        <v/>
      </c>
      <c r="H8" s="110"/>
      <c r="I8" s="110"/>
      <c r="J8" s="111"/>
    </row>
    <row r="9" spans="1:10" ht="13.5" hidden="1" x14ac:dyDescent="0.25">
      <c r="A9" s="106"/>
      <c r="B9" s="94" t="str">
        <f>IFERROR(VLOOKUP(H9,'[1]Consolidado MP Planta'!$A$2:$M$823,3,0),"")</f>
        <v/>
      </c>
      <c r="C9" s="107">
        <f t="shared" ref="C9:C14" si="1">+A9</f>
        <v>0</v>
      </c>
      <c r="D9" s="108" t="str">
        <f>IFERROR(VLOOKUP(H9,'[1]Consolidado MP Planta'!$A$2:$M$823,13,0),"")</f>
        <v/>
      </c>
      <c r="E9" s="108" t="str">
        <f>IFERROR(VLOOKUP(H9,'[1]Consolidado MP Planta'!$A$2:$M$823,12,0),"")</f>
        <v/>
      </c>
      <c r="F9" s="108" t="str">
        <f t="shared" ref="F9:F14" si="2">IFERROR(C9*E9,"")</f>
        <v/>
      </c>
      <c r="G9" s="109" t="str">
        <f t="shared" si="0"/>
        <v/>
      </c>
      <c r="H9" s="110"/>
      <c r="I9" s="110"/>
      <c r="J9" s="111"/>
    </row>
    <row r="10" spans="1:10" ht="13.5" hidden="1" x14ac:dyDescent="0.25">
      <c r="A10" s="106"/>
      <c r="B10" s="94" t="str">
        <f>IFERROR(VLOOKUP(H10,'[1]Consolidado MP Planta'!$A$2:$M$823,3,0),"")</f>
        <v/>
      </c>
      <c r="C10" s="107">
        <f t="shared" si="1"/>
        <v>0</v>
      </c>
      <c r="D10" s="108" t="str">
        <f>IFERROR(VLOOKUP(H10,'[1]Consolidado MP Planta'!$A$2:$M$823,13,0),"")</f>
        <v/>
      </c>
      <c r="E10" s="108" t="str">
        <f>IFERROR(VLOOKUP(H10,'[1]Consolidado MP Planta'!$A$2:$M$823,12,0),"")</f>
        <v/>
      </c>
      <c r="F10" s="108" t="str">
        <f t="shared" si="2"/>
        <v/>
      </c>
      <c r="G10" s="109" t="str">
        <f t="shared" si="0"/>
        <v/>
      </c>
      <c r="H10" s="110"/>
      <c r="I10" s="110"/>
      <c r="J10" s="111"/>
    </row>
    <row r="11" spans="1:10" ht="13.5" hidden="1" x14ac:dyDescent="0.25">
      <c r="A11" s="106"/>
      <c r="B11" s="94" t="str">
        <f>IFERROR(VLOOKUP(H11,'[1]Consolidado MP Planta'!$A$2:$M$823,3,0),"")</f>
        <v/>
      </c>
      <c r="C11" s="107">
        <f t="shared" si="1"/>
        <v>0</v>
      </c>
      <c r="D11" s="108" t="str">
        <f>IFERROR(VLOOKUP(H11,'[1]Consolidado MP Planta'!$A$2:$M$823,13,0),"")</f>
        <v/>
      </c>
      <c r="E11" s="108" t="str">
        <f>IFERROR(VLOOKUP(H11,'[1]Consolidado MP Planta'!$A$2:$M$823,12,0),"")</f>
        <v/>
      </c>
      <c r="F11" s="108" t="str">
        <f t="shared" si="2"/>
        <v/>
      </c>
      <c r="G11" s="109" t="str">
        <f t="shared" si="0"/>
        <v/>
      </c>
      <c r="H11" s="110"/>
      <c r="I11" s="110"/>
      <c r="J11" s="111"/>
    </row>
    <row r="12" spans="1:10" ht="13.5" hidden="1" x14ac:dyDescent="0.25">
      <c r="A12" s="106"/>
      <c r="B12" s="94" t="str">
        <f>IFERROR(VLOOKUP(H12,'[1]Consolidado MP Planta'!$A$2:$M$823,3,0),"")</f>
        <v/>
      </c>
      <c r="C12" s="107">
        <f t="shared" si="1"/>
        <v>0</v>
      </c>
      <c r="D12" s="108" t="str">
        <f>IFERROR(VLOOKUP(H12,'[1]Consolidado MP Planta'!$A$2:$M$823,13,0),"")</f>
        <v/>
      </c>
      <c r="E12" s="108" t="str">
        <f>IFERROR(VLOOKUP(H12,'[1]Consolidado MP Planta'!$A$2:$M$823,12,0),"")</f>
        <v/>
      </c>
      <c r="F12" s="108" t="str">
        <f t="shared" si="2"/>
        <v/>
      </c>
      <c r="G12" s="109" t="str">
        <f t="shared" si="0"/>
        <v/>
      </c>
      <c r="H12" s="110"/>
      <c r="I12" s="110"/>
      <c r="J12" s="111"/>
    </row>
    <row r="13" spans="1:10" ht="13.5" hidden="1" x14ac:dyDescent="0.25">
      <c r="A13" s="106"/>
      <c r="B13" s="94" t="str">
        <f>IFERROR(VLOOKUP(H13,'[1]Consolidado MP Planta'!$A$2:$M$823,3,0),"")</f>
        <v/>
      </c>
      <c r="C13" s="107">
        <f t="shared" si="1"/>
        <v>0</v>
      </c>
      <c r="D13" s="108" t="str">
        <f>IFERROR(VLOOKUP(H13,'[1]Consolidado MP Planta'!$A$2:$M$823,13,0),"")</f>
        <v/>
      </c>
      <c r="E13" s="108" t="str">
        <f>IFERROR(VLOOKUP(H13,'[1]Consolidado MP Planta'!$A$2:$M$823,12,0),"")</f>
        <v/>
      </c>
      <c r="F13" s="108" t="str">
        <f t="shared" si="2"/>
        <v/>
      </c>
      <c r="G13" s="109" t="str">
        <f t="shared" si="0"/>
        <v/>
      </c>
      <c r="H13" s="110"/>
      <c r="I13" s="110"/>
      <c r="J13" s="111"/>
    </row>
    <row r="14" spans="1:10" ht="13.5" hidden="1" x14ac:dyDescent="0.25">
      <c r="A14" s="106"/>
      <c r="B14" s="94" t="str">
        <f>IFERROR(VLOOKUP(H14,'[1]Consolidado MP Planta'!$A$2:$M$823,3,0),"")</f>
        <v/>
      </c>
      <c r="C14" s="107">
        <f t="shared" si="1"/>
        <v>0</v>
      </c>
      <c r="D14" s="108" t="str">
        <f>IFERROR(VLOOKUP(H14,'[1]Consolidado MP Planta'!$A$2:$M$823,13,0),"")</f>
        <v/>
      </c>
      <c r="E14" s="108" t="str">
        <f>IFERROR(VLOOKUP(H14,'[1]Consolidado MP Planta'!$A$2:$M$823,12,0),"")</f>
        <v/>
      </c>
      <c r="F14" s="108" t="str">
        <f t="shared" si="2"/>
        <v/>
      </c>
      <c r="G14" s="109" t="str">
        <f t="shared" si="0"/>
        <v/>
      </c>
      <c r="H14" s="110"/>
      <c r="I14" s="110"/>
      <c r="J14" s="111"/>
    </row>
    <row r="15" spans="1:10" ht="14.25" hidden="1" thickBot="1" x14ac:dyDescent="0.3">
      <c r="A15" s="106"/>
      <c r="B15" s="94" t="str">
        <f>IFERROR(VLOOKUP(H15,'[2]ARTICULOS MP PLANTA'!$A$2:$G$589,2,0),"")</f>
        <v/>
      </c>
      <c r="C15" s="107"/>
      <c r="D15" s="108"/>
      <c r="E15" s="108"/>
      <c r="F15" s="108"/>
      <c r="G15" s="109"/>
      <c r="H15" s="110"/>
      <c r="I15" s="110"/>
      <c r="J15" s="111"/>
    </row>
    <row r="16" spans="1:10" ht="26.25" thickBot="1" x14ac:dyDescent="0.3">
      <c r="A16" s="101" t="s">
        <v>138</v>
      </c>
      <c r="B16" s="102" t="s">
        <v>145</v>
      </c>
      <c r="C16" s="102" t="s">
        <v>138</v>
      </c>
      <c r="D16" s="103" t="s">
        <v>140</v>
      </c>
      <c r="E16" s="103" t="s">
        <v>141</v>
      </c>
      <c r="F16" s="103" t="s">
        <v>142</v>
      </c>
      <c r="G16" s="103" t="s">
        <v>143</v>
      </c>
      <c r="H16" s="104" t="s">
        <v>144</v>
      </c>
      <c r="I16" s="105"/>
      <c r="J16" s="111"/>
    </row>
    <row r="17" spans="1:12" ht="13.5" x14ac:dyDescent="0.25">
      <c r="A17" s="106">
        <v>5000</v>
      </c>
      <c r="B17" s="94" t="s">
        <v>119</v>
      </c>
      <c r="C17" s="107">
        <f>+A17</f>
        <v>5000</v>
      </c>
      <c r="D17" s="107" t="str">
        <f>IFERROR(VLOOKUP(H17,[1]SEMIELABORADOS!$A$2:$M$6000,6,0),"")</f>
        <v/>
      </c>
      <c r="E17" s="108">
        <f>+'costo relleno arandanos'!E69</f>
        <v>6.6233641380000003</v>
      </c>
      <c r="F17" s="108">
        <f>IFERROR(E17*C17,"")</f>
        <v>33116.82069</v>
      </c>
      <c r="G17" s="109">
        <f t="shared" ref="G17:G24" si="3">IFERROR(F17/$F$66,"")</f>
        <v>0.97581159730421552</v>
      </c>
      <c r="H17" s="110"/>
      <c r="I17" s="110"/>
      <c r="J17" s="111"/>
    </row>
    <row r="18" spans="1:12" ht="13.5" hidden="1" x14ac:dyDescent="0.25">
      <c r="A18" s="106"/>
      <c r="B18" s="94" t="str">
        <f>IFERROR(VLOOKUP(H18,[1]SEMIELABORADOS!$A$2:$M$6000,2,0),"")</f>
        <v/>
      </c>
      <c r="C18" s="107">
        <f t="shared" ref="C18:C24" si="4">+A18</f>
        <v>0</v>
      </c>
      <c r="D18" s="107" t="str">
        <f>IFERROR(VLOOKUP(H18,[1]SEMIELABORADOS!$A$2:$M$6000,6,0),"")</f>
        <v/>
      </c>
      <c r="E18" s="108" t="str">
        <f>IFERROR(VLOOKUP(H18,[1]SEMIELABORADOS!$A$2:$H$65536,8,0),"")</f>
        <v/>
      </c>
      <c r="F18" s="108" t="str">
        <f t="shared" ref="F18:F24" si="5">IFERROR(E18*C18,"")</f>
        <v/>
      </c>
      <c r="G18" s="109" t="str">
        <f t="shared" si="3"/>
        <v/>
      </c>
      <c r="H18" s="110"/>
      <c r="I18" s="110"/>
      <c r="J18" s="111"/>
    </row>
    <row r="19" spans="1:12" ht="13.5" hidden="1" x14ac:dyDescent="0.25">
      <c r="A19" s="106"/>
      <c r="B19" s="94" t="str">
        <f>IFERROR(VLOOKUP(H19,[1]SEMIELABORADOS!$A$2:$M$6000,2,0),"")</f>
        <v/>
      </c>
      <c r="C19" s="107">
        <f>+A19</f>
        <v>0</v>
      </c>
      <c r="D19" s="107" t="str">
        <f>IFERROR(VLOOKUP(H19,[1]SEMIELABORADOS!$A$2:$M$6000,6,0),"")</f>
        <v/>
      </c>
      <c r="E19" s="108" t="str">
        <f>IFERROR(VLOOKUP(H19,[1]SEMIELABORADOS!$A$2:$H$65536,8,0),"")</f>
        <v/>
      </c>
      <c r="F19" s="108" t="str">
        <f>IFERROR(E19*C19,"")</f>
        <v/>
      </c>
      <c r="G19" s="109" t="str">
        <f t="shared" si="3"/>
        <v/>
      </c>
      <c r="H19" s="110"/>
      <c r="I19" s="110"/>
      <c r="J19" s="111"/>
    </row>
    <row r="20" spans="1:12" ht="13.5" hidden="1" x14ac:dyDescent="0.25">
      <c r="A20" s="106"/>
      <c r="B20" s="94" t="str">
        <f>IFERROR(VLOOKUP(H20,[1]SEMIELABORADOS!$A$2:$M$6000,2,0),"")</f>
        <v/>
      </c>
      <c r="C20" s="107">
        <f>+A20</f>
        <v>0</v>
      </c>
      <c r="D20" s="107" t="str">
        <f>IFERROR(VLOOKUP(H20,[1]SEMIELABORADOS!$A$2:$M$6000,6,0),"")</f>
        <v/>
      </c>
      <c r="E20" s="108" t="str">
        <f>IFERROR(VLOOKUP(H20,[1]SEMIELABORADOS!$A$2:$H$65536,8,0),"")</f>
        <v/>
      </c>
      <c r="F20" s="108" t="str">
        <f>IFERROR(E20*C20,"")</f>
        <v/>
      </c>
      <c r="G20" s="109" t="str">
        <f t="shared" si="3"/>
        <v/>
      </c>
      <c r="H20" s="110"/>
      <c r="I20" s="110"/>
      <c r="J20" s="111"/>
    </row>
    <row r="21" spans="1:12" ht="13.5" hidden="1" x14ac:dyDescent="0.25">
      <c r="A21" s="106"/>
      <c r="B21" s="94" t="str">
        <f>IFERROR(VLOOKUP(H21,[1]SEMIELABORADOS!$A$2:$M$6000,2,0),"")</f>
        <v/>
      </c>
      <c r="C21" s="107">
        <f>+A21</f>
        <v>0</v>
      </c>
      <c r="D21" s="107" t="str">
        <f>IFERROR(VLOOKUP(H21,[1]SEMIELABORADOS!$A$2:$M$6000,6,0),"")</f>
        <v/>
      </c>
      <c r="E21" s="108" t="str">
        <f>IFERROR(VLOOKUP(H21,[1]SEMIELABORADOS!$A$2:$H$65536,8,0),"")</f>
        <v/>
      </c>
      <c r="F21" s="108" t="str">
        <f>IFERROR(E21*C21,"")</f>
        <v/>
      </c>
      <c r="G21" s="109" t="str">
        <f t="shared" si="3"/>
        <v/>
      </c>
      <c r="H21" s="110"/>
      <c r="I21" s="110"/>
      <c r="J21" s="111"/>
    </row>
    <row r="22" spans="1:12" ht="13.5" hidden="1" x14ac:dyDescent="0.25">
      <c r="A22" s="106"/>
      <c r="B22" s="94" t="str">
        <f>IFERROR(VLOOKUP(H22,[1]SEMIELABORADOS!$A$2:$M$6000,2,0),"")</f>
        <v/>
      </c>
      <c r="C22" s="107">
        <f t="shared" si="4"/>
        <v>0</v>
      </c>
      <c r="D22" s="107" t="str">
        <f>IFERROR(VLOOKUP(H22,[1]SEMIELABORADOS!$A$2:$M$6000,6,0),"")</f>
        <v/>
      </c>
      <c r="E22" s="108" t="str">
        <f>IFERROR(VLOOKUP(H22,[1]SEMIELABORADOS!$A$2:$H$65536,8,0),"")</f>
        <v/>
      </c>
      <c r="F22" s="108" t="str">
        <f t="shared" si="5"/>
        <v/>
      </c>
      <c r="G22" s="109" t="str">
        <f t="shared" si="3"/>
        <v/>
      </c>
      <c r="H22" s="110"/>
      <c r="I22" s="110"/>
      <c r="J22" s="111"/>
    </row>
    <row r="23" spans="1:12" ht="13.5" hidden="1" x14ac:dyDescent="0.25">
      <c r="A23" s="106"/>
      <c r="B23" s="94" t="str">
        <f>IFERROR(VLOOKUP(H23,[1]SEMIELABORADOS!$A$2:$M$6000,2,0),"")</f>
        <v/>
      </c>
      <c r="C23" s="107">
        <f t="shared" si="4"/>
        <v>0</v>
      </c>
      <c r="D23" s="107" t="str">
        <f>IFERROR(VLOOKUP(H23,[1]SEMIELABORADOS!$A$2:$M$6000,6,0),"")</f>
        <v/>
      </c>
      <c r="E23" s="108" t="str">
        <f>IFERROR(VLOOKUP(H23,[1]SEMIELABORADOS!$A$2:$H$65536,8,0),"")</f>
        <v/>
      </c>
      <c r="F23" s="108" t="str">
        <f t="shared" si="5"/>
        <v/>
      </c>
      <c r="G23" s="109" t="str">
        <f t="shared" si="3"/>
        <v/>
      </c>
      <c r="H23" s="110"/>
      <c r="I23" s="110"/>
      <c r="J23" s="111"/>
    </row>
    <row r="24" spans="1:12" ht="13.5" hidden="1" x14ac:dyDescent="0.25">
      <c r="A24" s="106"/>
      <c r="B24" s="94" t="str">
        <f>IFERROR(VLOOKUP(H24,[1]SEMIELABORADOS!$A$2:$M$6000,2,0),"")</f>
        <v/>
      </c>
      <c r="C24" s="107">
        <f t="shared" si="4"/>
        <v>0</v>
      </c>
      <c r="D24" s="107" t="str">
        <f>IFERROR(VLOOKUP(H24,[1]SEMIELABORADOS!$A$2:$M$6000,6,0),"")</f>
        <v/>
      </c>
      <c r="E24" s="108" t="str">
        <f>IFERROR(VLOOKUP(H24,[1]SEMIELABORADOS!$A$2:$H$65536,8,0),"")</f>
        <v/>
      </c>
      <c r="F24" s="108" t="str">
        <f t="shared" si="5"/>
        <v/>
      </c>
      <c r="G24" s="109" t="str">
        <f t="shared" si="3"/>
        <v/>
      </c>
      <c r="H24" s="110"/>
      <c r="I24" s="110"/>
      <c r="J24" s="111"/>
    </row>
    <row r="25" spans="1:12" ht="14.25" thickBot="1" x14ac:dyDescent="0.3">
      <c r="A25" s="106"/>
      <c r="C25" s="107"/>
      <c r="D25" s="107"/>
      <c r="E25" s="108"/>
      <c r="F25" s="108"/>
      <c r="G25" s="109"/>
      <c r="H25" s="110"/>
      <c r="I25" s="110"/>
      <c r="J25" s="111"/>
    </row>
    <row r="26" spans="1:12" ht="26.25" thickBot="1" x14ac:dyDescent="0.3">
      <c r="A26" s="101" t="s">
        <v>138</v>
      </c>
      <c r="B26" s="102" t="s">
        <v>20</v>
      </c>
      <c r="C26" s="102" t="s">
        <v>138</v>
      </c>
      <c r="D26" s="103" t="s">
        <v>140</v>
      </c>
      <c r="E26" s="103" t="s">
        <v>141</v>
      </c>
      <c r="F26" s="103" t="s">
        <v>142</v>
      </c>
      <c r="G26" s="103" t="s">
        <v>143</v>
      </c>
      <c r="H26" s="104" t="s">
        <v>144</v>
      </c>
      <c r="I26" s="105"/>
    </row>
    <row r="27" spans="1:12" ht="13.5" x14ac:dyDescent="0.25">
      <c r="A27" s="106">
        <v>1</v>
      </c>
      <c r="B27" s="112" t="str">
        <f>IFERROR(VLOOKUP(H27,'[1]Consolidado MP Planta'!$A$2:$M$823,3,0),"")</f>
        <v>BOLSA 17x25 TRANSP KILO</v>
      </c>
      <c r="C27" s="107">
        <f t="shared" ref="C27:C32" si="6">+A27</f>
        <v>1</v>
      </c>
      <c r="D27" s="108" t="str">
        <f>IFERROR(VLOOKUP(H27,'[1]Consolidado MP Planta'!$A$2:$M$823,13,0),"")</f>
        <v>Und</v>
      </c>
      <c r="E27" s="108">
        <f>IFERROR(VLOOKUP(H27,'[1]Consolidado MP Planta'!$A$2:$M$823,12,0),"")</f>
        <v>47.61904761904762</v>
      </c>
      <c r="F27" s="108">
        <f t="shared" ref="F27:F32" si="7">IFERROR(C27*E27,"")</f>
        <v>47.61904761904762</v>
      </c>
      <c r="G27" s="109">
        <f t="shared" ref="G27:G32" si="8">IFERROR(F27/$F$66,"")</f>
        <v>1.4031304319402757E-3</v>
      </c>
      <c r="H27" s="113" t="s">
        <v>106</v>
      </c>
      <c r="I27" s="113"/>
      <c r="J27" s="111"/>
      <c r="K27" s="356"/>
      <c r="L27" s="356"/>
    </row>
    <row r="28" spans="1:12" ht="13.5" x14ac:dyDescent="0.25">
      <c r="A28" s="106">
        <v>1</v>
      </c>
      <c r="B28" s="112" t="str">
        <f>IFERROR(VLOOKUP(H28,'[1]Consolidado MP Planta'!$A$2:$M$823,3,0),"")</f>
        <v>ETIQ.BLANCA 1 1/4 * 3/4 (UND)</v>
      </c>
      <c r="C28" s="107">
        <f t="shared" si="6"/>
        <v>1</v>
      </c>
      <c r="D28" s="108" t="str">
        <f>IFERROR(VLOOKUP(H28,'[1]Consolidado MP Planta'!$A$2:$M$823,13,0),"")</f>
        <v>Und</v>
      </c>
      <c r="E28" s="108">
        <f>IFERROR(VLOOKUP(H28,'[1]Consolidado MP Planta'!$A$2:$M$823,12,0),"")</f>
        <v>0.57999999999999996</v>
      </c>
      <c r="F28" s="108">
        <f t="shared" si="7"/>
        <v>0.57999999999999996</v>
      </c>
      <c r="G28" s="109">
        <f t="shared" si="8"/>
        <v>1.7090128661032556E-5</v>
      </c>
      <c r="H28" s="113" t="s">
        <v>90</v>
      </c>
      <c r="I28" s="113"/>
      <c r="J28" s="111"/>
      <c r="K28" s="356"/>
      <c r="L28" s="356"/>
    </row>
    <row r="29" spans="1:12" ht="13.5" x14ac:dyDescent="0.25">
      <c r="A29" s="106">
        <v>1</v>
      </c>
      <c r="B29" s="112" t="str">
        <f>IFERROR(VLOOKUP(H29,'[1]Consolidado MP Planta'!$A$2:$M$823,3,0),"")</f>
        <v>ETIQ.FECHA VENCIMIENTO BLANCO (ROLLO)</v>
      </c>
      <c r="C29" s="107">
        <f t="shared" si="6"/>
        <v>1</v>
      </c>
      <c r="D29" s="108" t="str">
        <f>IFERROR(VLOOKUP(H29,'[1]Consolidado MP Planta'!$A$2:$M$823,13,0),"")</f>
        <v>Gramos</v>
      </c>
      <c r="E29" s="108">
        <f>IFERROR(VLOOKUP(H29,'[1]Consolidado MP Planta'!$A$2:$M$823,12,0),"")</f>
        <v>0.33333333333333331</v>
      </c>
      <c r="F29" s="108">
        <f t="shared" si="7"/>
        <v>0.33333333333333331</v>
      </c>
      <c r="G29" s="109">
        <f t="shared" si="8"/>
        <v>9.821913023581928E-6</v>
      </c>
      <c r="H29" s="113" t="s">
        <v>193</v>
      </c>
      <c r="I29" s="113"/>
      <c r="J29" s="111"/>
      <c r="K29" s="356"/>
      <c r="L29" s="356"/>
    </row>
    <row r="30" spans="1:12" ht="13.5" hidden="1" x14ac:dyDescent="0.25">
      <c r="A30" s="106"/>
      <c r="B30" s="112" t="str">
        <f>IFERROR(VLOOKUP(H30,'[1]Consolidado MP Planta'!$A$2:$M$823,3,0),"")</f>
        <v/>
      </c>
      <c r="C30" s="107">
        <f t="shared" si="6"/>
        <v>0</v>
      </c>
      <c r="D30" s="108" t="str">
        <f>IFERROR(VLOOKUP(H30,'[1]Consolidado MP Planta'!$A$2:$M$823,13,0),"")</f>
        <v/>
      </c>
      <c r="E30" s="108" t="str">
        <f>IFERROR(VLOOKUP(H30,'[1]Consolidado MP Planta'!$A$2:$M$823,12,0),"")</f>
        <v/>
      </c>
      <c r="F30" s="108" t="str">
        <f t="shared" si="7"/>
        <v/>
      </c>
      <c r="G30" s="109" t="str">
        <f t="shared" si="8"/>
        <v/>
      </c>
      <c r="H30" s="113"/>
      <c r="I30" s="113"/>
      <c r="J30" s="111"/>
      <c r="K30" s="356"/>
      <c r="L30" s="356"/>
    </row>
    <row r="31" spans="1:12" ht="13.5" hidden="1" x14ac:dyDescent="0.25">
      <c r="A31" s="106"/>
      <c r="B31" s="112" t="str">
        <f>IFERROR(VLOOKUP(H31,'[1]Consolidado MP Planta'!$A$2:$M$823,3,0),"")</f>
        <v/>
      </c>
      <c r="C31" s="107">
        <f t="shared" si="6"/>
        <v>0</v>
      </c>
      <c r="D31" s="108" t="str">
        <f>IFERROR(VLOOKUP(H31,'[1]Consolidado MP Planta'!$A$2:$M$823,13,0),"")</f>
        <v/>
      </c>
      <c r="E31" s="108" t="str">
        <f>IFERROR(VLOOKUP(H31,'[1]Consolidado MP Planta'!$A$2:$M$823,12,0),"")</f>
        <v/>
      </c>
      <c r="F31" s="108" t="str">
        <f t="shared" si="7"/>
        <v/>
      </c>
      <c r="G31" s="109" t="str">
        <f t="shared" si="8"/>
        <v/>
      </c>
      <c r="H31" s="113"/>
      <c r="I31" s="113"/>
      <c r="J31" s="111"/>
      <c r="K31" s="114"/>
      <c r="L31" s="115"/>
    </row>
    <row r="32" spans="1:12" ht="13.5" hidden="1" x14ac:dyDescent="0.25">
      <c r="A32" s="106"/>
      <c r="B32" s="112" t="str">
        <f>IFERROR(VLOOKUP(H32,'[1]Consolidado MP Planta'!$A$2:$M$823,3,0),"")</f>
        <v/>
      </c>
      <c r="C32" s="107">
        <f t="shared" si="6"/>
        <v>0</v>
      </c>
      <c r="D32" s="108" t="str">
        <f>IFERROR(VLOOKUP(H32,'[1]Consolidado MP Planta'!$A$2:$M$823,13,0),"")</f>
        <v/>
      </c>
      <c r="E32" s="108" t="str">
        <f>IFERROR(VLOOKUP(H32,'[1]Consolidado MP Planta'!$A$2:$M$823,12,0),"")</f>
        <v/>
      </c>
      <c r="F32" s="108" t="str">
        <f t="shared" si="7"/>
        <v/>
      </c>
      <c r="G32" s="109" t="str">
        <f t="shared" si="8"/>
        <v/>
      </c>
      <c r="H32" s="113"/>
      <c r="I32" s="113"/>
      <c r="J32" s="111"/>
    </row>
    <row r="33" spans="1:13" ht="14.25" thickBot="1" x14ac:dyDescent="0.3">
      <c r="A33" s="106"/>
      <c r="B33" s="112"/>
      <c r="C33" s="107"/>
      <c r="D33" s="108"/>
      <c r="E33" s="108"/>
      <c r="F33" s="108"/>
      <c r="G33" s="109"/>
      <c r="H33" s="113"/>
      <c r="I33" s="113"/>
      <c r="J33" s="111"/>
    </row>
    <row r="34" spans="1:13" ht="26.25" thickBot="1" x14ac:dyDescent="0.25">
      <c r="A34" s="101" t="s">
        <v>138</v>
      </c>
      <c r="B34" s="102" t="s">
        <v>146</v>
      </c>
      <c r="C34" s="102" t="s">
        <v>138</v>
      </c>
      <c r="D34" s="103" t="s">
        <v>140</v>
      </c>
      <c r="E34" s="103" t="s">
        <v>141</v>
      </c>
      <c r="F34" s="103" t="s">
        <v>142</v>
      </c>
      <c r="G34" s="103" t="s">
        <v>143</v>
      </c>
      <c r="H34" s="104" t="s">
        <v>144</v>
      </c>
      <c r="I34" s="113"/>
      <c r="J34" s="111"/>
    </row>
    <row r="35" spans="1:13" ht="13.5" x14ac:dyDescent="0.25">
      <c r="A35" s="106">
        <f>+A17</f>
        <v>5000</v>
      </c>
      <c r="B35" s="112" t="s">
        <v>119</v>
      </c>
      <c r="C35" s="107">
        <f>+A35</f>
        <v>5000</v>
      </c>
      <c r="D35" s="108" t="str">
        <f>IFERROR(VLOOKUP(H35,[1]SEMIELABORADOS!$A$2:$M$6000,6,0),"")</f>
        <v/>
      </c>
      <c r="E35" s="108">
        <f>+'costo relleno arandanos'!E76</f>
        <v>9.8060882796190477E-3</v>
      </c>
      <c r="F35" s="108">
        <f>IFERROR(E35*C35,"")</f>
        <v>49.030441398095242</v>
      </c>
      <c r="G35" s="109">
        <f t="shared" ref="G35:G41" si="9">IFERROR(F35/$F$66,"")</f>
        <v>1.4447181927597667E-3</v>
      </c>
      <c r="H35" s="113"/>
      <c r="I35" s="113"/>
      <c r="J35" s="111"/>
    </row>
    <row r="36" spans="1:13" ht="13.5" hidden="1" x14ac:dyDescent="0.25">
      <c r="A36" s="106">
        <f t="shared" ref="A36:A41" si="10">+A18</f>
        <v>0</v>
      </c>
      <c r="B36" s="112" t="str">
        <f>IFERROR(VLOOKUP(H36,[1]SEMIELABORADOS!$A$2:$M$6000,2,0),"")</f>
        <v/>
      </c>
      <c r="C36" s="107">
        <f t="shared" ref="C36:C41" si="11">+A36</f>
        <v>0</v>
      </c>
      <c r="D36" s="108" t="str">
        <f>IFERROR(VLOOKUP(H36,[1]SEMIELABORADOS!$A$2:$M$6000,6,0),"")</f>
        <v/>
      </c>
      <c r="E36" s="108" t="str">
        <f>IFERROR(VLOOKUP(H36,[1]SEMIELABORADOS!$A$2:$M$65536,10,0),"")</f>
        <v/>
      </c>
      <c r="F36" s="108" t="str">
        <f t="shared" ref="F36:F41" si="12">IFERROR(E36*C36,"")</f>
        <v/>
      </c>
      <c r="G36" s="109" t="str">
        <f t="shared" si="9"/>
        <v/>
      </c>
      <c r="H36" s="113"/>
      <c r="I36" s="113"/>
      <c r="J36" s="111"/>
    </row>
    <row r="37" spans="1:13" ht="13.5" hidden="1" x14ac:dyDescent="0.25">
      <c r="A37" s="106">
        <f t="shared" si="10"/>
        <v>0</v>
      </c>
      <c r="B37" s="112" t="str">
        <f>IFERROR(VLOOKUP(H37,[1]SEMIELABORADOS!$A$2:$M$6000,2,0),"")</f>
        <v/>
      </c>
      <c r="C37" s="107">
        <f t="shared" si="11"/>
        <v>0</v>
      </c>
      <c r="D37" s="108" t="str">
        <f>IFERROR(VLOOKUP(H37,[1]SEMIELABORADOS!$A$2:$M$6000,6,0),"")</f>
        <v/>
      </c>
      <c r="E37" s="108" t="str">
        <f>IFERROR(VLOOKUP(H37,[1]SEMIELABORADOS!$A$2:$M$65536,10,0),"")</f>
        <v/>
      </c>
      <c r="F37" s="108" t="str">
        <f t="shared" si="12"/>
        <v/>
      </c>
      <c r="G37" s="109" t="str">
        <f t="shared" si="9"/>
        <v/>
      </c>
      <c r="H37" s="113"/>
      <c r="I37" s="113"/>
      <c r="J37" s="111"/>
    </row>
    <row r="38" spans="1:13" ht="13.5" hidden="1" x14ac:dyDescent="0.25">
      <c r="A38" s="106">
        <f t="shared" si="10"/>
        <v>0</v>
      </c>
      <c r="B38" s="112" t="str">
        <f>IFERROR(VLOOKUP(H38,[1]SEMIELABORADOS!$A$2:$M$6000,2,0),"")</f>
        <v/>
      </c>
      <c r="C38" s="107">
        <f>+A38</f>
        <v>0</v>
      </c>
      <c r="D38" s="108" t="str">
        <f>IFERROR(VLOOKUP(H38,[1]SEMIELABORADOS!$A$2:$M$6000,6,0),"")</f>
        <v/>
      </c>
      <c r="E38" s="108" t="str">
        <f>IFERROR(VLOOKUP(H38,[1]SEMIELABORADOS!$A$2:$M$65536,10,0),"")</f>
        <v/>
      </c>
      <c r="F38" s="108" t="str">
        <f>IFERROR(E38*C38,"")</f>
        <v/>
      </c>
      <c r="G38" s="109" t="str">
        <f t="shared" si="9"/>
        <v/>
      </c>
      <c r="H38" s="113"/>
      <c r="I38" s="113"/>
      <c r="J38" s="111"/>
    </row>
    <row r="39" spans="1:13" ht="13.5" hidden="1" x14ac:dyDescent="0.25">
      <c r="A39" s="106">
        <f t="shared" si="10"/>
        <v>0</v>
      </c>
      <c r="B39" s="112" t="str">
        <f>IFERROR(VLOOKUP(H39,[1]SEMIELABORADOS!$A$2:$M$6000,2,0),"")</f>
        <v/>
      </c>
      <c r="C39" s="107">
        <f>+A39</f>
        <v>0</v>
      </c>
      <c r="D39" s="108" t="str">
        <f>IFERROR(VLOOKUP(H39,[1]SEMIELABORADOS!$A$2:$M$6000,6,0),"")</f>
        <v/>
      </c>
      <c r="E39" s="108" t="str">
        <f>IFERROR(VLOOKUP(H39,[1]SEMIELABORADOS!$A$2:$M$65536,10,0),"")</f>
        <v/>
      </c>
      <c r="F39" s="108" t="str">
        <f>IFERROR(E39*C39,"")</f>
        <v/>
      </c>
      <c r="G39" s="109" t="str">
        <f t="shared" si="9"/>
        <v/>
      </c>
      <c r="H39" s="113"/>
      <c r="I39" s="113"/>
      <c r="J39" s="111"/>
    </row>
    <row r="40" spans="1:13" ht="13.5" hidden="1" x14ac:dyDescent="0.25">
      <c r="A40" s="106">
        <f t="shared" si="10"/>
        <v>0</v>
      </c>
      <c r="B40" s="112" t="str">
        <f>IFERROR(VLOOKUP(H40,[1]SEMIELABORADOS!$A$2:$M$6000,2,0),"")</f>
        <v/>
      </c>
      <c r="C40" s="107">
        <f t="shared" si="11"/>
        <v>0</v>
      </c>
      <c r="D40" s="108" t="str">
        <f>IFERROR(VLOOKUP(H40,[1]SEMIELABORADOS!$A$2:$M$6000,6,0),"")</f>
        <v/>
      </c>
      <c r="E40" s="108" t="str">
        <f>IFERROR(VLOOKUP(H40,[1]SEMIELABORADOS!$A$2:$M$65536,10,0),"")</f>
        <v/>
      </c>
      <c r="F40" s="108" t="str">
        <f t="shared" si="12"/>
        <v/>
      </c>
      <c r="G40" s="109" t="str">
        <f t="shared" si="9"/>
        <v/>
      </c>
      <c r="H40" s="113"/>
      <c r="I40" s="113"/>
      <c r="J40" s="111"/>
    </row>
    <row r="41" spans="1:13" ht="13.5" hidden="1" x14ac:dyDescent="0.25">
      <c r="A41" s="106">
        <f t="shared" si="10"/>
        <v>0</v>
      </c>
      <c r="B41" s="112" t="str">
        <f>IFERROR(VLOOKUP(H41,[1]SEMIELABORADOS!$A$2:$M$6000,2,0),"")</f>
        <v/>
      </c>
      <c r="C41" s="107">
        <f t="shared" si="11"/>
        <v>0</v>
      </c>
      <c r="D41" s="108" t="str">
        <f>IFERROR(VLOOKUP(H41,[1]SEMIELABORADOS!$A$2:$M$6000,6,0),"")</f>
        <v/>
      </c>
      <c r="E41" s="108" t="str">
        <f>IFERROR(VLOOKUP(H41,[1]SEMIELABORADOS!$A$2:$M$65536,10,0),"")</f>
        <v/>
      </c>
      <c r="F41" s="108" t="str">
        <f t="shared" si="12"/>
        <v/>
      </c>
      <c r="G41" s="109" t="str">
        <f t="shared" si="9"/>
        <v/>
      </c>
      <c r="H41" s="113"/>
      <c r="I41" s="113"/>
      <c r="J41" s="111"/>
    </row>
    <row r="42" spans="1:13" ht="14.25" thickBot="1" x14ac:dyDescent="0.3">
      <c r="A42" s="106"/>
      <c r="B42" s="112"/>
      <c r="C42" s="107"/>
      <c r="D42" s="108"/>
      <c r="E42" s="108"/>
      <c r="F42" s="108"/>
      <c r="G42" s="109"/>
      <c r="H42" s="113"/>
      <c r="I42" s="113"/>
      <c r="J42" s="111"/>
    </row>
    <row r="43" spans="1:13" ht="26.25" thickBot="1" x14ac:dyDescent="0.3">
      <c r="A43" s="101" t="s">
        <v>138</v>
      </c>
      <c r="B43" s="102" t="s">
        <v>147</v>
      </c>
      <c r="C43" s="102" t="s">
        <v>138</v>
      </c>
      <c r="D43" s="103" t="s">
        <v>140</v>
      </c>
      <c r="E43" s="103" t="s">
        <v>141</v>
      </c>
      <c r="F43" s="103" t="s">
        <v>142</v>
      </c>
      <c r="G43" s="103" t="s">
        <v>143</v>
      </c>
      <c r="H43" s="104" t="s">
        <v>144</v>
      </c>
      <c r="I43" s="105"/>
      <c r="J43" s="111"/>
    </row>
    <row r="44" spans="1:13" ht="13.5" x14ac:dyDescent="0.25">
      <c r="A44" s="106">
        <f>+A35</f>
        <v>5000</v>
      </c>
      <c r="B44" s="112" t="s">
        <v>119</v>
      </c>
      <c r="C44" s="107">
        <f>+A44</f>
        <v>5000</v>
      </c>
      <c r="D44" s="108" t="str">
        <f>IFERROR(VLOOKUP(H44,[1]SEMIELABORADOS!$A$2:$M$6000,6,0),"")</f>
        <v/>
      </c>
      <c r="E44" s="108">
        <f>+'costo relleno arandanos'!E74</f>
        <v>8.4782680259474288E-2</v>
      </c>
      <c r="F44" s="108">
        <f>IFERROR(E44*C44,"")</f>
        <v>423.91340129737142</v>
      </c>
      <c r="G44" s="109">
        <f>IFERROR(F44/$F$66,"")</f>
        <v>1.2490921671220696E-2</v>
      </c>
      <c r="H44" s="113"/>
      <c r="I44" s="105"/>
      <c r="J44" s="111"/>
    </row>
    <row r="45" spans="1:13" ht="13.5" hidden="1" x14ac:dyDescent="0.25">
      <c r="A45" s="106">
        <f t="shared" ref="A45:A50" si="13">+A36</f>
        <v>0</v>
      </c>
      <c r="B45" s="112" t="str">
        <f>IFERROR(VLOOKUP(H45,[1]SEMIELABORADOS!$A$2:$M$6000,2,0),"")</f>
        <v/>
      </c>
      <c r="C45" s="107">
        <f t="shared" ref="C45:C50" si="14">+A45</f>
        <v>0</v>
      </c>
      <c r="D45" s="108" t="str">
        <f>IFERROR(VLOOKUP(H45,[1]SEMIELABORADOS!$A$2:$M$6000,6,0),"")</f>
        <v/>
      </c>
      <c r="E45" s="108" t="str">
        <f>IFERROR(VLOOKUP(H45,[1]SEMIELABORADOS!$A$2:$M$65536,12,0),"")</f>
        <v/>
      </c>
      <c r="F45" s="108" t="str">
        <f t="shared" ref="F45:F50" si="15">IFERROR(E45*C45,"")</f>
        <v/>
      </c>
      <c r="G45" s="109" t="str">
        <f t="shared" ref="G45:G50" si="16">IFERROR(F45/$F$66,"")</f>
        <v/>
      </c>
      <c r="H45" s="113"/>
      <c r="I45" s="105"/>
      <c r="J45" s="111"/>
      <c r="M45" s="116"/>
    </row>
    <row r="46" spans="1:13" ht="13.5" hidden="1" x14ac:dyDescent="0.25">
      <c r="A46" s="106">
        <f t="shared" si="13"/>
        <v>0</v>
      </c>
      <c r="B46" s="112" t="str">
        <f>IFERROR(VLOOKUP(H46,[1]SEMIELABORADOS!$A$2:$M$6000,2,0),"")</f>
        <v/>
      </c>
      <c r="C46" s="107">
        <f t="shared" si="14"/>
        <v>0</v>
      </c>
      <c r="D46" s="108" t="str">
        <f>IFERROR(VLOOKUP(H46,[1]SEMIELABORADOS!$A$2:$M$6000,6,0),"")</f>
        <v/>
      </c>
      <c r="E46" s="108" t="str">
        <f>IFERROR(VLOOKUP(H46,[1]SEMIELABORADOS!$A$2:$M$65536,12,0),"")</f>
        <v/>
      </c>
      <c r="F46" s="108" t="str">
        <f t="shared" si="15"/>
        <v/>
      </c>
      <c r="G46" s="109" t="str">
        <f t="shared" si="16"/>
        <v/>
      </c>
      <c r="H46" s="113"/>
      <c r="I46" s="105"/>
      <c r="J46" s="111"/>
    </row>
    <row r="47" spans="1:13" ht="13.5" hidden="1" x14ac:dyDescent="0.25">
      <c r="A47" s="106">
        <f t="shared" si="13"/>
        <v>0</v>
      </c>
      <c r="B47" s="112" t="str">
        <f>IFERROR(VLOOKUP(H47,[1]SEMIELABORADOS!$A$2:$M$6000,2,0),"")</f>
        <v/>
      </c>
      <c r="C47" s="107">
        <f t="shared" si="14"/>
        <v>0</v>
      </c>
      <c r="D47" s="108" t="str">
        <f>IFERROR(VLOOKUP(H47,[1]SEMIELABORADOS!$A$2:$M$6000,6,0),"")</f>
        <v/>
      </c>
      <c r="E47" s="108" t="str">
        <f>IFERROR(VLOOKUP(H47,[1]SEMIELABORADOS!$A$2:$M$65536,12,0),"")</f>
        <v/>
      </c>
      <c r="F47" s="108" t="str">
        <f t="shared" si="15"/>
        <v/>
      </c>
      <c r="G47" s="109" t="str">
        <f t="shared" si="16"/>
        <v/>
      </c>
      <c r="H47" s="113"/>
      <c r="I47" s="105"/>
      <c r="J47" s="111"/>
    </row>
    <row r="48" spans="1:13" ht="13.5" hidden="1" x14ac:dyDescent="0.25">
      <c r="A48" s="106">
        <f t="shared" si="13"/>
        <v>0</v>
      </c>
      <c r="B48" s="112" t="str">
        <f>IFERROR(VLOOKUP(H48,[1]SEMIELABORADOS!$A$2:$M$6000,2,0),"")</f>
        <v/>
      </c>
      <c r="C48" s="107">
        <f t="shared" si="14"/>
        <v>0</v>
      </c>
      <c r="D48" s="108" t="str">
        <f>IFERROR(VLOOKUP(H48,[1]SEMIELABORADOS!$A$2:$M$6000,6,0),"")</f>
        <v/>
      </c>
      <c r="E48" s="108" t="str">
        <f>IFERROR(VLOOKUP(H48,[1]SEMIELABORADOS!$A$2:$M$65536,12,0),"")</f>
        <v/>
      </c>
      <c r="F48" s="108" t="str">
        <f t="shared" si="15"/>
        <v/>
      </c>
      <c r="G48" s="109" t="str">
        <f t="shared" si="16"/>
        <v/>
      </c>
      <c r="H48" s="113"/>
      <c r="I48" s="105"/>
      <c r="J48" s="111"/>
    </row>
    <row r="49" spans="1:17" ht="13.5" hidden="1" x14ac:dyDescent="0.25">
      <c r="A49" s="106">
        <f t="shared" si="13"/>
        <v>0</v>
      </c>
      <c r="B49" s="112" t="str">
        <f>IFERROR(VLOOKUP(H49,[1]SEMIELABORADOS!$A$2:$M$6000,2,0),"")</f>
        <v/>
      </c>
      <c r="C49" s="107">
        <f t="shared" si="14"/>
        <v>0</v>
      </c>
      <c r="D49" s="108" t="str">
        <f>IFERROR(VLOOKUP(H49,[1]SEMIELABORADOS!$A$2:$M$6000,6,0),"")</f>
        <v/>
      </c>
      <c r="E49" s="108" t="str">
        <f>IFERROR(VLOOKUP(H49,[1]SEMIELABORADOS!$A$2:$M$65536,12,0),"")</f>
        <v/>
      </c>
      <c r="F49" s="108" t="str">
        <f t="shared" si="15"/>
        <v/>
      </c>
      <c r="G49" s="109" t="str">
        <f t="shared" si="16"/>
        <v/>
      </c>
      <c r="H49" s="113"/>
      <c r="I49" s="105"/>
      <c r="J49" s="111"/>
    </row>
    <row r="50" spans="1:17" ht="13.5" hidden="1" x14ac:dyDescent="0.25">
      <c r="A50" s="106">
        <f t="shared" si="13"/>
        <v>0</v>
      </c>
      <c r="B50" s="112" t="str">
        <f>IFERROR(VLOOKUP(H50,[1]SEMIELABORADOS!$A$2:$M$6000,2,0),"")</f>
        <v/>
      </c>
      <c r="C50" s="107">
        <f t="shared" si="14"/>
        <v>0</v>
      </c>
      <c r="D50" s="108" t="str">
        <f>IFERROR(VLOOKUP(H50,[1]SEMIELABORADOS!$A$2:$M$6000,6,0),"")</f>
        <v/>
      </c>
      <c r="E50" s="108" t="str">
        <f>IFERROR(VLOOKUP(H50,[1]SEMIELABORADOS!$A$2:$M$65536,12,0),"")</f>
        <v/>
      </c>
      <c r="F50" s="108" t="str">
        <f t="shared" si="15"/>
        <v/>
      </c>
      <c r="G50" s="109" t="str">
        <f t="shared" si="16"/>
        <v/>
      </c>
      <c r="H50" s="112"/>
      <c r="I50" s="105"/>
      <c r="J50" s="111"/>
    </row>
    <row r="51" spans="1:17" ht="13.5" x14ac:dyDescent="0.25">
      <c r="A51" s="106">
        <v>1</v>
      </c>
      <c r="B51" s="112" t="s">
        <v>148</v>
      </c>
      <c r="C51" s="107">
        <f>+A51</f>
        <v>1</v>
      </c>
      <c r="D51" s="107" t="s">
        <v>149</v>
      </c>
      <c r="E51" s="108">
        <f>+F65</f>
        <v>61</v>
      </c>
      <c r="F51" s="108">
        <f>IFERROR(C51*E51,"")</f>
        <v>61</v>
      </c>
      <c r="G51" s="109">
        <f>IFERROR(F51/$F$66,"")</f>
        <v>1.7974100833154929E-3</v>
      </c>
      <c r="H51" s="117"/>
      <c r="I51" s="117"/>
      <c r="J51" s="111"/>
    </row>
    <row r="52" spans="1:17" ht="14.25" thickBot="1" x14ac:dyDescent="0.3">
      <c r="A52" s="106"/>
      <c r="B52" s="112"/>
      <c r="C52" s="107"/>
      <c r="D52" s="107"/>
      <c r="E52" s="108"/>
      <c r="F52" s="108"/>
      <c r="G52" s="109"/>
      <c r="H52" s="117"/>
      <c r="I52" s="117"/>
      <c r="J52" s="111"/>
    </row>
    <row r="53" spans="1:17" ht="13.5" thickBot="1" x14ac:dyDescent="0.3">
      <c r="A53" s="118"/>
      <c r="B53" s="366" t="s">
        <v>150</v>
      </c>
      <c r="C53" s="366"/>
      <c r="D53" s="366"/>
      <c r="E53" s="366"/>
      <c r="F53" s="120">
        <f>SUM(F8:F14,F17:F24)</f>
        <v>33116.82069</v>
      </c>
      <c r="G53" s="109">
        <f>+F53/$F$66</f>
        <v>0.97581159730421552</v>
      </c>
      <c r="H53" s="121">
        <f>+F53/$D$60</f>
        <v>33116.82069</v>
      </c>
      <c r="I53" s="121"/>
      <c r="J53" s="122"/>
      <c r="K53" s="123"/>
      <c r="L53" s="123"/>
      <c r="M53" s="123"/>
      <c r="N53" s="123"/>
      <c r="O53" s="123"/>
      <c r="P53" s="123"/>
      <c r="Q53" s="124"/>
    </row>
    <row r="54" spans="1:17" x14ac:dyDescent="0.2">
      <c r="A54" s="118"/>
      <c r="B54" s="366" t="s">
        <v>151</v>
      </c>
      <c r="C54" s="366"/>
      <c r="D54" s="366"/>
      <c r="E54" s="366"/>
      <c r="F54" s="120">
        <f>SUM(F27:F32,F35:F41)</f>
        <v>97.562822350476196</v>
      </c>
      <c r="G54" s="109">
        <f>+F54/$F$66</f>
        <v>2.8747606663846567E-3</v>
      </c>
      <c r="H54" s="121">
        <f>+F54/$D$60</f>
        <v>97.562822350476196</v>
      </c>
      <c r="I54" s="121"/>
      <c r="J54" s="125"/>
      <c r="K54" s="367" t="s">
        <v>152</v>
      </c>
      <c r="L54" s="368"/>
      <c r="M54" s="368"/>
      <c r="N54" s="368"/>
      <c r="O54" s="126">
        <f>+F55</f>
        <v>33214.383512350476</v>
      </c>
      <c r="P54" s="126"/>
      <c r="Q54" s="127"/>
    </row>
    <row r="55" spans="1:17" x14ac:dyDescent="0.2">
      <c r="A55" s="118"/>
      <c r="B55" s="366" t="s">
        <v>153</v>
      </c>
      <c r="C55" s="366"/>
      <c r="D55" s="366"/>
      <c r="E55" s="366"/>
      <c r="F55" s="120">
        <f>+F53+F54</f>
        <v>33214.383512350476</v>
      </c>
      <c r="G55" s="109">
        <f>+F55/$F$66</f>
        <v>0.97868635797060011</v>
      </c>
      <c r="H55" s="121">
        <f>+F55/$D$60</f>
        <v>33214.383512350476</v>
      </c>
      <c r="I55" s="121"/>
      <c r="J55" s="128"/>
      <c r="K55" s="129"/>
      <c r="M55" s="130" t="s">
        <v>154</v>
      </c>
      <c r="N55" s="131"/>
      <c r="O55" s="126">
        <f>+H56</f>
        <v>484.91340129737142</v>
      </c>
      <c r="P55" s="126"/>
      <c r="Q55" s="127"/>
    </row>
    <row r="56" spans="1:17" ht="13.5" thickBot="1" x14ac:dyDescent="0.25">
      <c r="A56" s="118"/>
      <c r="B56" s="119"/>
      <c r="C56" s="366" t="s">
        <v>155</v>
      </c>
      <c r="D56" s="366"/>
      <c r="E56" s="366"/>
      <c r="F56" s="120">
        <f>SUM(F44:F51)</f>
        <v>484.91340129737142</v>
      </c>
      <c r="G56" s="109">
        <f>+F56/$F$66</f>
        <v>1.4288331754536188E-2</v>
      </c>
      <c r="H56" s="121">
        <f>+F56/$D$60</f>
        <v>484.91340129737142</v>
      </c>
      <c r="I56" s="121"/>
      <c r="J56" s="128"/>
      <c r="K56" s="129"/>
      <c r="L56" s="129"/>
      <c r="M56" s="129" t="s">
        <v>156</v>
      </c>
      <c r="N56" s="132"/>
      <c r="O56" s="126">
        <f>O54*N56</f>
        <v>0</v>
      </c>
      <c r="P56" s="126"/>
      <c r="Q56" s="127"/>
    </row>
    <row r="57" spans="1:17" ht="13.5" thickBot="1" x14ac:dyDescent="0.25">
      <c r="A57" s="118"/>
      <c r="B57" s="133"/>
      <c r="C57" s="133"/>
      <c r="D57" s="133"/>
      <c r="E57" s="133"/>
      <c r="F57" s="134"/>
      <c r="G57" s="109"/>
      <c r="H57" s="135"/>
      <c r="I57" s="121"/>
      <c r="J57" s="128"/>
      <c r="K57" s="136"/>
      <c r="M57" s="137" t="s">
        <v>157</v>
      </c>
      <c r="N57" s="138"/>
      <c r="O57" s="139">
        <f>SUM(O54:O56)</f>
        <v>33699.29691364785</v>
      </c>
      <c r="P57" s="140"/>
      <c r="Q57" s="127"/>
    </row>
    <row r="58" spans="1:17" x14ac:dyDescent="0.2">
      <c r="B58" s="369" t="s">
        <v>158</v>
      </c>
      <c r="C58" s="369"/>
      <c r="D58" s="141">
        <v>5000</v>
      </c>
      <c r="E58" s="142"/>
      <c r="G58" s="109"/>
      <c r="H58" s="135">
        <f>+H56/61</f>
        <v>7.9494000212683842</v>
      </c>
      <c r="I58" s="143"/>
      <c r="J58" s="128"/>
      <c r="K58" s="136"/>
      <c r="L58" s="129"/>
      <c r="M58" s="129" t="s">
        <v>159</v>
      </c>
      <c r="N58" s="144"/>
      <c r="O58" s="126">
        <f>+H59</f>
        <v>461.06520123356626</v>
      </c>
      <c r="P58" s="126"/>
      <c r="Q58" s="127"/>
    </row>
    <row r="59" spans="1:17" x14ac:dyDescent="0.2">
      <c r="B59" s="369" t="s">
        <v>160</v>
      </c>
      <c r="C59" s="369"/>
      <c r="D59" s="145">
        <v>5000</v>
      </c>
      <c r="E59" s="142"/>
      <c r="G59" s="109"/>
      <c r="H59" s="135">
        <f>+H58*58</f>
        <v>461.06520123356626</v>
      </c>
      <c r="I59" s="143"/>
      <c r="J59" s="128"/>
      <c r="K59" s="136"/>
      <c r="L59" s="129"/>
      <c r="M59" s="370" t="s">
        <v>157</v>
      </c>
      <c r="N59" s="370"/>
      <c r="O59" s="126">
        <f>SUM(O57:O58)</f>
        <v>34160.362114881413</v>
      </c>
      <c r="P59" s="126"/>
      <c r="Q59" s="127"/>
    </row>
    <row r="60" spans="1:17" ht="13.5" thickBot="1" x14ac:dyDescent="0.25">
      <c r="B60" s="362" t="s">
        <v>161</v>
      </c>
      <c r="C60" s="362"/>
      <c r="D60" s="141">
        <f>+D58/D59</f>
        <v>1</v>
      </c>
      <c r="E60" s="142"/>
      <c r="F60" s="146"/>
      <c r="G60" s="109"/>
      <c r="H60" s="135"/>
      <c r="I60" s="143"/>
      <c r="J60" s="128"/>
      <c r="K60" s="136"/>
      <c r="L60" s="370"/>
      <c r="M60" s="370"/>
      <c r="N60" s="144"/>
      <c r="O60" s="126">
        <f>+O59*N60</f>
        <v>0</v>
      </c>
      <c r="P60" s="126"/>
      <c r="Q60" s="127"/>
    </row>
    <row r="61" spans="1:17" ht="13.5" thickBot="1" x14ac:dyDescent="0.25">
      <c r="B61" s="362" t="s">
        <v>162</v>
      </c>
      <c r="C61" s="362"/>
      <c r="D61" s="147"/>
      <c r="E61" s="142"/>
      <c r="F61" s="146"/>
      <c r="G61" s="109"/>
      <c r="H61" s="135"/>
      <c r="I61" s="143"/>
      <c r="J61" s="128"/>
      <c r="K61" s="363" t="s">
        <v>163</v>
      </c>
      <c r="L61" s="364"/>
      <c r="M61" s="364"/>
      <c r="N61" s="365"/>
      <c r="O61" s="139">
        <f>SUM(O59:O60)</f>
        <v>34160.362114881413</v>
      </c>
      <c r="P61" s="148" t="s">
        <v>164</v>
      </c>
      <c r="Q61" s="127"/>
    </row>
    <row r="62" spans="1:17" ht="13.5" thickBot="1" x14ac:dyDescent="0.25">
      <c r="C62" s="118" t="s">
        <v>43</v>
      </c>
      <c r="D62" s="149"/>
      <c r="E62" s="92" t="s">
        <v>165</v>
      </c>
      <c r="F62" s="150" t="s">
        <v>166</v>
      </c>
      <c r="G62" s="109"/>
      <c r="H62" s="135"/>
      <c r="I62" s="143"/>
      <c r="J62" s="151"/>
      <c r="K62" s="152"/>
      <c r="L62" s="376" t="s">
        <v>79</v>
      </c>
      <c r="M62" s="376"/>
      <c r="N62" s="376"/>
      <c r="O62" s="153">
        <f>+O61/D60</f>
        <v>34160.362114881413</v>
      </c>
      <c r="P62" s="154">
        <f>+O62/D59</f>
        <v>6.8320724229762826</v>
      </c>
      <c r="Q62" s="155"/>
    </row>
    <row r="63" spans="1:17" ht="13.5" thickBot="1" x14ac:dyDescent="0.25">
      <c r="B63" s="377" t="s">
        <v>153</v>
      </c>
      <c r="C63" s="377"/>
      <c r="D63" s="377"/>
      <c r="E63" s="156">
        <f>+F63/F63</f>
        <v>1</v>
      </c>
      <c r="F63" s="157">
        <f>SUM(F55)</f>
        <v>33214.383512350476</v>
      </c>
      <c r="G63" s="109">
        <f>+F63/$F$66</f>
        <v>0.97868635797060011</v>
      </c>
      <c r="H63" s="135"/>
      <c r="I63" s="143"/>
      <c r="K63" s="378"/>
      <c r="L63" s="379"/>
      <c r="M63" s="379"/>
      <c r="N63" s="379"/>
      <c r="O63" s="158"/>
      <c r="P63" s="159"/>
    </row>
    <row r="64" spans="1:17" ht="13.5" thickBot="1" x14ac:dyDescent="0.3">
      <c r="B64" s="380" t="s">
        <v>167</v>
      </c>
      <c r="C64" s="380"/>
      <c r="D64" s="380"/>
      <c r="E64" s="160">
        <v>0.02</v>
      </c>
      <c r="F64" s="157">
        <f>+F53*E64</f>
        <v>662.33641380000006</v>
      </c>
      <c r="G64" s="109">
        <f>+F64/$F$66</f>
        <v>1.951623194608431E-2</v>
      </c>
      <c r="H64" s="121"/>
      <c r="I64" s="143"/>
      <c r="J64" s="161"/>
      <c r="O64" s="162"/>
      <c r="P64" s="119"/>
    </row>
    <row r="65" spans="2:13" ht="13.5" thickBot="1" x14ac:dyDescent="0.3">
      <c r="B65" s="381" t="s">
        <v>168</v>
      </c>
      <c r="C65" s="382"/>
      <c r="D65" s="163">
        <v>1</v>
      </c>
      <c r="E65" s="164">
        <v>61</v>
      </c>
      <c r="F65" s="157">
        <f>+E65*D65</f>
        <v>61</v>
      </c>
      <c r="G65" s="109">
        <f>+F65/$F$66</f>
        <v>1.7974100833154929E-3</v>
      </c>
      <c r="H65" s="121"/>
      <c r="I65" s="121"/>
      <c r="J65" s="111"/>
    </row>
    <row r="66" spans="2:13" ht="13.5" thickBot="1" x14ac:dyDescent="0.3">
      <c r="B66" s="383" t="s">
        <v>169</v>
      </c>
      <c r="C66" s="384"/>
      <c r="D66" s="384"/>
      <c r="E66" s="385"/>
      <c r="F66" s="134">
        <f>SUM(F63:F65)</f>
        <v>33937.719926150479</v>
      </c>
      <c r="G66" s="109">
        <f>+F66/$F$66</f>
        <v>1</v>
      </c>
      <c r="H66" s="386"/>
      <c r="I66" s="121"/>
      <c r="J66" s="111"/>
      <c r="M66" s="94" t="s">
        <v>170</v>
      </c>
    </row>
    <row r="67" spans="2:13" x14ac:dyDescent="0.25">
      <c r="C67" s="116"/>
      <c r="D67" s="116"/>
      <c r="E67" s="166"/>
      <c r="F67" s="157"/>
      <c r="G67" s="109"/>
      <c r="H67" s="386"/>
      <c r="I67" s="165"/>
      <c r="J67" s="94"/>
      <c r="M67" s="94" t="s">
        <v>171</v>
      </c>
    </row>
    <row r="68" spans="2:13" ht="13.5" thickBot="1" x14ac:dyDescent="0.3">
      <c r="B68" s="371" t="s">
        <v>172</v>
      </c>
      <c r="C68" s="371"/>
      <c r="D68" s="371"/>
      <c r="E68" s="371"/>
      <c r="F68" s="371"/>
      <c r="G68" s="109"/>
      <c r="H68" s="168"/>
      <c r="I68" s="165"/>
      <c r="J68" s="94"/>
      <c r="M68" s="94" t="s">
        <v>173</v>
      </c>
    </row>
    <row r="69" spans="2:13" ht="13.5" thickBot="1" x14ac:dyDescent="0.3">
      <c r="B69" s="169" t="s">
        <v>174</v>
      </c>
      <c r="C69" s="170">
        <f>+F53</f>
        <v>33116.82069</v>
      </c>
      <c r="D69" s="170">
        <f>+D58</f>
        <v>5000</v>
      </c>
      <c r="E69" s="171">
        <f>+C69/D69</f>
        <v>6.6233641380000003</v>
      </c>
      <c r="F69" s="109"/>
      <c r="G69" s="168"/>
      <c r="H69" s="111"/>
      <c r="I69" s="168"/>
      <c r="J69" s="94"/>
    </row>
    <row r="70" spans="2:13" x14ac:dyDescent="0.25">
      <c r="B70" s="172"/>
      <c r="C70" s="173"/>
      <c r="D70" s="174"/>
      <c r="E70" s="157"/>
      <c r="F70" s="109"/>
      <c r="G70" s="168"/>
      <c r="H70" s="111"/>
      <c r="I70" s="111"/>
      <c r="J70" s="94"/>
    </row>
    <row r="71" spans="2:13" x14ac:dyDescent="0.25">
      <c r="B71" s="169" t="s">
        <v>175</v>
      </c>
      <c r="C71" s="170">
        <f>SUM(F63:F64)</f>
        <v>33876.719926150479</v>
      </c>
      <c r="D71" s="170">
        <f>+D58</f>
        <v>5000</v>
      </c>
      <c r="E71" s="175">
        <f>+C71/D71</f>
        <v>6.7753439852300961</v>
      </c>
      <c r="F71" s="109"/>
      <c r="G71" s="168"/>
      <c r="H71" s="111"/>
      <c r="I71" s="111"/>
      <c r="J71" s="94"/>
    </row>
    <row r="72" spans="2:13" x14ac:dyDescent="0.25">
      <c r="B72" s="169"/>
      <c r="C72" s="170"/>
      <c r="D72" s="170"/>
      <c r="E72" s="175"/>
      <c r="F72" s="109"/>
      <c r="G72" s="168"/>
      <c r="H72" s="111"/>
      <c r="I72" s="111"/>
      <c r="J72" s="94"/>
    </row>
    <row r="73" spans="2:13" ht="13.5" thickBot="1" x14ac:dyDescent="0.3">
      <c r="B73" s="169" t="s">
        <v>176</v>
      </c>
      <c r="C73" s="170">
        <f>+F65</f>
        <v>61</v>
      </c>
      <c r="D73" s="170">
        <f>+D58</f>
        <v>5000</v>
      </c>
      <c r="E73" s="175">
        <f>+C73/D73</f>
        <v>1.2200000000000001E-2</v>
      </c>
      <c r="F73" s="109"/>
      <c r="G73" s="168"/>
      <c r="H73" s="111"/>
      <c r="I73" s="111"/>
      <c r="J73" s="94"/>
    </row>
    <row r="74" spans="2:13" ht="13.5" thickBot="1" x14ac:dyDescent="0.3">
      <c r="B74" s="169" t="s">
        <v>177</v>
      </c>
      <c r="C74" s="170">
        <f>+F56</f>
        <v>484.91340129737142</v>
      </c>
      <c r="D74" s="170">
        <f>+D73</f>
        <v>5000</v>
      </c>
      <c r="E74" s="171">
        <f>+C74/D74</f>
        <v>9.6982680259474291E-2</v>
      </c>
      <c r="F74" s="109"/>
      <c r="G74" s="168"/>
      <c r="H74" s="111"/>
      <c r="I74" s="111"/>
      <c r="J74" s="94"/>
    </row>
    <row r="75" spans="2:13" ht="13.5" thickBot="1" x14ac:dyDescent="0.3">
      <c r="B75" s="133"/>
      <c r="C75" s="134"/>
      <c r="D75" s="134"/>
      <c r="E75" s="175"/>
      <c r="F75" s="109"/>
      <c r="G75" s="168"/>
      <c r="H75" s="111"/>
      <c r="I75" s="111"/>
      <c r="J75" s="94"/>
    </row>
    <row r="76" spans="2:13" ht="13.5" thickBot="1" x14ac:dyDescent="0.3">
      <c r="B76" s="169" t="s">
        <v>178</v>
      </c>
      <c r="C76" s="170">
        <f>+F54</f>
        <v>97.562822350476196</v>
      </c>
      <c r="D76" s="170">
        <f>+D74</f>
        <v>5000</v>
      </c>
      <c r="E76" s="171">
        <f>+C76/D76</f>
        <v>1.951256447009524E-2</v>
      </c>
      <c r="F76" s="109"/>
      <c r="G76" s="168"/>
      <c r="H76" s="111"/>
      <c r="I76" s="111"/>
      <c r="J76" s="111"/>
    </row>
    <row r="77" spans="2:13" ht="13.5" thickBot="1" x14ac:dyDescent="0.3">
      <c r="B77" s="133"/>
      <c r="C77" s="134"/>
      <c r="D77" s="134"/>
      <c r="E77" s="175"/>
      <c r="F77" s="109"/>
      <c r="G77" s="168"/>
      <c r="H77" s="111"/>
      <c r="I77" s="111"/>
    </row>
    <row r="78" spans="2:13" ht="13.5" thickBot="1" x14ac:dyDescent="0.3">
      <c r="B78" s="372" t="s">
        <v>179</v>
      </c>
      <c r="C78" s="373"/>
      <c r="D78" s="374"/>
      <c r="E78" s="171">
        <f>+E69+E74</f>
        <v>6.7203468182594746</v>
      </c>
      <c r="G78" s="109"/>
      <c r="H78" s="168"/>
      <c r="I78" s="111"/>
      <c r="J78" s="175"/>
    </row>
    <row r="79" spans="2:13" x14ac:dyDescent="0.25">
      <c r="I79" s="168"/>
      <c r="J79" s="94"/>
    </row>
    <row r="80" spans="2:13" ht="13.5" thickBot="1" x14ac:dyDescent="0.3">
      <c r="B80" s="371" t="s">
        <v>180</v>
      </c>
      <c r="C80" s="371"/>
      <c r="D80" s="371"/>
      <c r="E80" s="371"/>
      <c r="F80" s="371"/>
      <c r="G80" s="109"/>
      <c r="H80" s="168"/>
      <c r="J80" s="94"/>
    </row>
    <row r="81" spans="1:10" ht="13.5" thickBot="1" x14ac:dyDescent="0.3">
      <c r="B81" s="169" t="s">
        <v>174</v>
      </c>
      <c r="C81" s="170">
        <f>+C69</f>
        <v>33116.82069</v>
      </c>
      <c r="D81" s="170">
        <f>+D60</f>
        <v>1</v>
      </c>
      <c r="E81" s="171">
        <f>+C81/D81</f>
        <v>33116.82069</v>
      </c>
      <c r="F81" s="109"/>
      <c r="G81" s="168"/>
      <c r="H81" s="111"/>
      <c r="I81" s="168"/>
      <c r="J81" s="94"/>
    </row>
    <row r="82" spans="1:10" x14ac:dyDescent="0.25">
      <c r="B82" s="172"/>
      <c r="C82" s="173"/>
      <c r="D82" s="174"/>
      <c r="E82" s="157"/>
      <c r="F82" s="109"/>
      <c r="G82" s="168"/>
      <c r="H82" s="111"/>
      <c r="I82" s="111"/>
      <c r="J82" s="94"/>
    </row>
    <row r="83" spans="1:10" x14ac:dyDescent="0.25">
      <c r="B83" s="169" t="s">
        <v>175</v>
      </c>
      <c r="C83" s="170">
        <f>+C71</f>
        <v>33876.719926150479</v>
      </c>
      <c r="D83" s="170">
        <f>+D60</f>
        <v>1</v>
      </c>
      <c r="E83" s="175">
        <f>+C83/D83</f>
        <v>33876.719926150479</v>
      </c>
      <c r="F83" s="109"/>
      <c r="G83" s="168"/>
      <c r="H83" s="111"/>
      <c r="I83" s="111"/>
      <c r="J83" s="94"/>
    </row>
    <row r="84" spans="1:10" x14ac:dyDescent="0.25">
      <c r="B84" s="169"/>
      <c r="C84" s="170"/>
      <c r="D84" s="170"/>
      <c r="E84" s="175"/>
      <c r="F84" s="109"/>
      <c r="G84" s="168"/>
      <c r="H84" s="111"/>
      <c r="I84" s="111"/>
      <c r="J84" s="94"/>
    </row>
    <row r="85" spans="1:10" ht="13.5" thickBot="1" x14ac:dyDescent="0.3">
      <c r="B85" s="169" t="s">
        <v>177</v>
      </c>
      <c r="C85" s="170">
        <f>+C73</f>
        <v>61</v>
      </c>
      <c r="D85" s="170">
        <f>+D60</f>
        <v>1</v>
      </c>
      <c r="E85" s="175">
        <f>+C85/D85</f>
        <v>61</v>
      </c>
      <c r="F85" s="177"/>
      <c r="G85" s="167"/>
      <c r="H85" s="93"/>
      <c r="I85" s="111"/>
    </row>
    <row r="86" spans="1:10" ht="13.5" thickBot="1" x14ac:dyDescent="0.3">
      <c r="B86" s="169" t="s">
        <v>177</v>
      </c>
      <c r="C86" s="170">
        <f>+C74</f>
        <v>484.91340129737142</v>
      </c>
      <c r="D86" s="170">
        <f>+D85</f>
        <v>1</v>
      </c>
      <c r="E86" s="171">
        <f>+C86/D86</f>
        <v>484.91340129737142</v>
      </c>
      <c r="F86" s="176"/>
      <c r="G86" s="167"/>
      <c r="H86" s="93"/>
      <c r="I86" s="93"/>
    </row>
    <row r="87" spans="1:10" x14ac:dyDescent="0.25">
      <c r="I87" s="93"/>
    </row>
    <row r="88" spans="1:10" x14ac:dyDescent="0.2">
      <c r="A88" s="375"/>
      <c r="B88" s="375"/>
      <c r="C88" s="178"/>
      <c r="D88" s="178"/>
      <c r="E88" s="179"/>
      <c r="G88" s="180"/>
    </row>
    <row r="89" spans="1:10" x14ac:dyDescent="0.2">
      <c r="A89" s="112"/>
      <c r="B89" s="181"/>
      <c r="C89" s="182"/>
      <c r="D89" s="182"/>
      <c r="E89" s="183"/>
      <c r="G89" s="180"/>
    </row>
    <row r="90" spans="1:10" x14ac:dyDescent="0.2">
      <c r="A90" s="112"/>
      <c r="B90" s="181"/>
      <c r="C90" s="184"/>
      <c r="D90" s="184"/>
      <c r="E90" s="112"/>
      <c r="G90" s="180"/>
    </row>
    <row r="91" spans="1:10" x14ac:dyDescent="0.2">
      <c r="A91" s="112"/>
      <c r="B91" s="181"/>
      <c r="C91" s="185"/>
      <c r="D91" s="185"/>
      <c r="E91" s="112"/>
      <c r="G91" s="18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03D9-2432-4D6B-98FB-05E0C5E9C024}">
  <dimension ref="A1:K41"/>
  <sheetViews>
    <sheetView topLeftCell="A3" workbookViewId="0">
      <selection activeCell="F15" sqref="F15"/>
    </sheetView>
  </sheetViews>
  <sheetFormatPr baseColWidth="10" defaultColWidth="11.42578125" defaultRowHeight="15" x14ac:dyDescent="0.25"/>
  <cols>
    <col min="2" max="2" width="15.7109375" customWidth="1"/>
    <col min="3" max="3" width="34.5703125" customWidth="1"/>
    <col min="4" max="4" width="15.28515625" customWidth="1"/>
    <col min="5" max="6" width="9.28515625" customWidth="1"/>
    <col min="7" max="7" width="14.7109375" customWidth="1"/>
    <col min="8" max="8" width="14.28515625" customWidth="1"/>
    <col min="9" max="9" width="18.7109375" customWidth="1"/>
    <col min="10" max="256" width="9.28515625" customWidth="1"/>
    <col min="259" max="259" width="47.7109375" customWidth="1"/>
    <col min="260" max="260" width="25.42578125" customWidth="1"/>
    <col min="261" max="512" width="9.28515625" customWidth="1"/>
    <col min="515" max="515" width="47.7109375" customWidth="1"/>
    <col min="516" max="516" width="25.42578125" customWidth="1"/>
    <col min="517" max="768" width="9.28515625" customWidth="1"/>
    <col min="771" max="771" width="47.7109375" customWidth="1"/>
    <col min="772" max="772" width="25.42578125" customWidth="1"/>
    <col min="773" max="1024" width="9.28515625" customWidth="1"/>
    <col min="1027" max="1027" width="47.7109375" customWidth="1"/>
    <col min="1028" max="1028" width="25.42578125" customWidth="1"/>
    <col min="1029" max="1280" width="9.28515625" customWidth="1"/>
    <col min="1283" max="1283" width="47.7109375" customWidth="1"/>
    <col min="1284" max="1284" width="25.42578125" customWidth="1"/>
    <col min="1285" max="1536" width="9.28515625" customWidth="1"/>
    <col min="1539" max="1539" width="47.7109375" customWidth="1"/>
    <col min="1540" max="1540" width="25.42578125" customWidth="1"/>
    <col min="1541" max="1792" width="9.28515625" customWidth="1"/>
    <col min="1795" max="1795" width="47.7109375" customWidth="1"/>
    <col min="1796" max="1796" width="25.42578125" customWidth="1"/>
    <col min="1797" max="2048" width="9.28515625" customWidth="1"/>
    <col min="2051" max="2051" width="47.7109375" customWidth="1"/>
    <col min="2052" max="2052" width="25.42578125" customWidth="1"/>
    <col min="2053" max="2304" width="9.28515625" customWidth="1"/>
    <col min="2307" max="2307" width="47.7109375" customWidth="1"/>
    <col min="2308" max="2308" width="25.42578125" customWidth="1"/>
    <col min="2309" max="2560" width="9.28515625" customWidth="1"/>
    <col min="2563" max="2563" width="47.7109375" customWidth="1"/>
    <col min="2564" max="2564" width="25.42578125" customWidth="1"/>
    <col min="2565" max="2816" width="9.28515625" customWidth="1"/>
    <col min="2819" max="2819" width="47.7109375" customWidth="1"/>
    <col min="2820" max="2820" width="25.42578125" customWidth="1"/>
    <col min="2821" max="3072" width="9.28515625" customWidth="1"/>
    <col min="3075" max="3075" width="47.7109375" customWidth="1"/>
    <col min="3076" max="3076" width="25.42578125" customWidth="1"/>
    <col min="3077" max="3328" width="9.28515625" customWidth="1"/>
    <col min="3331" max="3331" width="47.7109375" customWidth="1"/>
    <col min="3332" max="3332" width="25.42578125" customWidth="1"/>
    <col min="3333" max="3584" width="9.28515625" customWidth="1"/>
    <col min="3587" max="3587" width="47.7109375" customWidth="1"/>
    <col min="3588" max="3588" width="25.42578125" customWidth="1"/>
    <col min="3589" max="3840" width="9.28515625" customWidth="1"/>
    <col min="3843" max="3843" width="47.7109375" customWidth="1"/>
    <col min="3844" max="3844" width="25.42578125" customWidth="1"/>
    <col min="3845" max="4096" width="9.28515625" customWidth="1"/>
    <col min="4099" max="4099" width="47.7109375" customWidth="1"/>
    <col min="4100" max="4100" width="25.42578125" customWidth="1"/>
    <col min="4101" max="4352" width="9.28515625" customWidth="1"/>
    <col min="4355" max="4355" width="47.7109375" customWidth="1"/>
    <col min="4356" max="4356" width="25.42578125" customWidth="1"/>
    <col min="4357" max="4608" width="9.28515625" customWidth="1"/>
    <col min="4611" max="4611" width="47.7109375" customWidth="1"/>
    <col min="4612" max="4612" width="25.42578125" customWidth="1"/>
    <col min="4613" max="4864" width="9.28515625" customWidth="1"/>
    <col min="4867" max="4867" width="47.7109375" customWidth="1"/>
    <col min="4868" max="4868" width="25.42578125" customWidth="1"/>
    <col min="4869" max="5120" width="9.28515625" customWidth="1"/>
    <col min="5123" max="5123" width="47.7109375" customWidth="1"/>
    <col min="5124" max="5124" width="25.42578125" customWidth="1"/>
    <col min="5125" max="5376" width="9.28515625" customWidth="1"/>
    <col min="5379" max="5379" width="47.7109375" customWidth="1"/>
    <col min="5380" max="5380" width="25.42578125" customWidth="1"/>
    <col min="5381" max="5632" width="9.28515625" customWidth="1"/>
    <col min="5635" max="5635" width="47.7109375" customWidth="1"/>
    <col min="5636" max="5636" width="25.42578125" customWidth="1"/>
    <col min="5637" max="5888" width="9.28515625" customWidth="1"/>
    <col min="5891" max="5891" width="47.7109375" customWidth="1"/>
    <col min="5892" max="5892" width="25.42578125" customWidth="1"/>
    <col min="5893" max="6144" width="9.28515625" customWidth="1"/>
    <col min="6147" max="6147" width="47.7109375" customWidth="1"/>
    <col min="6148" max="6148" width="25.42578125" customWidth="1"/>
    <col min="6149" max="6400" width="9.28515625" customWidth="1"/>
    <col min="6403" max="6403" width="47.7109375" customWidth="1"/>
    <col min="6404" max="6404" width="25.42578125" customWidth="1"/>
    <col min="6405" max="6656" width="9.28515625" customWidth="1"/>
    <col min="6659" max="6659" width="47.7109375" customWidth="1"/>
    <col min="6660" max="6660" width="25.42578125" customWidth="1"/>
    <col min="6661" max="6912" width="9.28515625" customWidth="1"/>
    <col min="6915" max="6915" width="47.7109375" customWidth="1"/>
    <col min="6916" max="6916" width="25.42578125" customWidth="1"/>
    <col min="6917" max="7168" width="9.28515625" customWidth="1"/>
    <col min="7171" max="7171" width="47.7109375" customWidth="1"/>
    <col min="7172" max="7172" width="25.42578125" customWidth="1"/>
    <col min="7173" max="7424" width="9.28515625" customWidth="1"/>
    <col min="7427" max="7427" width="47.7109375" customWidth="1"/>
    <col min="7428" max="7428" width="25.42578125" customWidth="1"/>
    <col min="7429" max="7680" width="9.28515625" customWidth="1"/>
    <col min="7683" max="7683" width="47.7109375" customWidth="1"/>
    <col min="7684" max="7684" width="25.42578125" customWidth="1"/>
    <col min="7685" max="7936" width="9.28515625" customWidth="1"/>
    <col min="7939" max="7939" width="47.7109375" customWidth="1"/>
    <col min="7940" max="7940" width="25.42578125" customWidth="1"/>
    <col min="7941" max="8192" width="9.28515625" customWidth="1"/>
    <col min="8195" max="8195" width="47.7109375" customWidth="1"/>
    <col min="8196" max="8196" width="25.42578125" customWidth="1"/>
    <col min="8197" max="8448" width="9.28515625" customWidth="1"/>
    <col min="8451" max="8451" width="47.7109375" customWidth="1"/>
    <col min="8452" max="8452" width="25.42578125" customWidth="1"/>
    <col min="8453" max="8704" width="9.28515625" customWidth="1"/>
    <col min="8707" max="8707" width="47.7109375" customWidth="1"/>
    <col min="8708" max="8708" width="25.42578125" customWidth="1"/>
    <col min="8709" max="8960" width="9.28515625" customWidth="1"/>
    <col min="8963" max="8963" width="47.7109375" customWidth="1"/>
    <col min="8964" max="8964" width="25.42578125" customWidth="1"/>
    <col min="8965" max="9216" width="9.28515625" customWidth="1"/>
    <col min="9219" max="9219" width="47.7109375" customWidth="1"/>
    <col min="9220" max="9220" width="25.42578125" customWidth="1"/>
    <col min="9221" max="9472" width="9.28515625" customWidth="1"/>
    <col min="9475" max="9475" width="47.7109375" customWidth="1"/>
    <col min="9476" max="9476" width="25.42578125" customWidth="1"/>
    <col min="9477" max="9728" width="9.28515625" customWidth="1"/>
    <col min="9731" max="9731" width="47.7109375" customWidth="1"/>
    <col min="9732" max="9732" width="25.42578125" customWidth="1"/>
    <col min="9733" max="9984" width="9.28515625" customWidth="1"/>
    <col min="9987" max="9987" width="47.7109375" customWidth="1"/>
    <col min="9988" max="9988" width="25.42578125" customWidth="1"/>
    <col min="9989" max="10240" width="9.28515625" customWidth="1"/>
    <col min="10243" max="10243" width="47.7109375" customWidth="1"/>
    <col min="10244" max="10244" width="25.42578125" customWidth="1"/>
    <col min="10245" max="10496" width="9.28515625" customWidth="1"/>
    <col min="10499" max="10499" width="47.7109375" customWidth="1"/>
    <col min="10500" max="10500" width="25.42578125" customWidth="1"/>
    <col min="10501" max="10752" width="9.28515625" customWidth="1"/>
    <col min="10755" max="10755" width="47.7109375" customWidth="1"/>
    <col min="10756" max="10756" width="25.42578125" customWidth="1"/>
    <col min="10757" max="11008" width="9.28515625" customWidth="1"/>
    <col min="11011" max="11011" width="47.7109375" customWidth="1"/>
    <col min="11012" max="11012" width="25.42578125" customWidth="1"/>
    <col min="11013" max="11264" width="9.28515625" customWidth="1"/>
    <col min="11267" max="11267" width="47.7109375" customWidth="1"/>
    <col min="11268" max="11268" width="25.42578125" customWidth="1"/>
    <col min="11269" max="11520" width="9.28515625" customWidth="1"/>
    <col min="11523" max="11523" width="47.7109375" customWidth="1"/>
    <col min="11524" max="11524" width="25.42578125" customWidth="1"/>
    <col min="11525" max="11776" width="9.28515625" customWidth="1"/>
    <col min="11779" max="11779" width="47.7109375" customWidth="1"/>
    <col min="11780" max="11780" width="25.42578125" customWidth="1"/>
    <col min="11781" max="12032" width="9.28515625" customWidth="1"/>
    <col min="12035" max="12035" width="47.7109375" customWidth="1"/>
    <col min="12036" max="12036" width="25.42578125" customWidth="1"/>
    <col min="12037" max="12288" width="9.28515625" customWidth="1"/>
    <col min="12291" max="12291" width="47.7109375" customWidth="1"/>
    <col min="12292" max="12292" width="25.42578125" customWidth="1"/>
    <col min="12293" max="12544" width="9.28515625" customWidth="1"/>
    <col min="12547" max="12547" width="47.7109375" customWidth="1"/>
    <col min="12548" max="12548" width="25.42578125" customWidth="1"/>
    <col min="12549" max="12800" width="9.28515625" customWidth="1"/>
    <col min="12803" max="12803" width="47.7109375" customWidth="1"/>
    <col min="12804" max="12804" width="25.42578125" customWidth="1"/>
    <col min="12805" max="13056" width="9.28515625" customWidth="1"/>
    <col min="13059" max="13059" width="47.7109375" customWidth="1"/>
    <col min="13060" max="13060" width="25.42578125" customWidth="1"/>
    <col min="13061" max="13312" width="9.28515625" customWidth="1"/>
    <col min="13315" max="13315" width="47.7109375" customWidth="1"/>
    <col min="13316" max="13316" width="25.42578125" customWidth="1"/>
    <col min="13317" max="13568" width="9.28515625" customWidth="1"/>
    <col min="13571" max="13571" width="47.7109375" customWidth="1"/>
    <col min="13572" max="13572" width="25.42578125" customWidth="1"/>
    <col min="13573" max="13824" width="9.28515625" customWidth="1"/>
    <col min="13827" max="13827" width="47.7109375" customWidth="1"/>
    <col min="13828" max="13828" width="25.42578125" customWidth="1"/>
    <col min="13829" max="14080" width="9.28515625" customWidth="1"/>
    <col min="14083" max="14083" width="47.7109375" customWidth="1"/>
    <col min="14084" max="14084" width="25.42578125" customWidth="1"/>
    <col min="14085" max="14336" width="9.28515625" customWidth="1"/>
    <col min="14339" max="14339" width="47.7109375" customWidth="1"/>
    <col min="14340" max="14340" width="25.42578125" customWidth="1"/>
    <col min="14341" max="14592" width="9.28515625" customWidth="1"/>
    <col min="14595" max="14595" width="47.7109375" customWidth="1"/>
    <col min="14596" max="14596" width="25.42578125" customWidth="1"/>
    <col min="14597" max="14848" width="9.28515625" customWidth="1"/>
    <col min="14851" max="14851" width="47.7109375" customWidth="1"/>
    <col min="14852" max="14852" width="25.42578125" customWidth="1"/>
    <col min="14853" max="15104" width="9.28515625" customWidth="1"/>
    <col min="15107" max="15107" width="47.7109375" customWidth="1"/>
    <col min="15108" max="15108" width="25.42578125" customWidth="1"/>
    <col min="15109" max="15360" width="9.28515625" customWidth="1"/>
    <col min="15363" max="15363" width="47.7109375" customWidth="1"/>
    <col min="15364" max="15364" width="25.42578125" customWidth="1"/>
    <col min="15365" max="15616" width="9.28515625" customWidth="1"/>
    <col min="15619" max="15619" width="47.7109375" customWidth="1"/>
    <col min="15620" max="15620" width="25.42578125" customWidth="1"/>
    <col min="15621" max="15872" width="9.28515625" customWidth="1"/>
    <col min="15875" max="15875" width="47.7109375" customWidth="1"/>
    <col min="15876" max="15876" width="25.42578125" customWidth="1"/>
    <col min="15877" max="16128" width="9.28515625" customWidth="1"/>
    <col min="16131" max="16131" width="47.7109375" customWidth="1"/>
    <col min="16132" max="16132" width="25.42578125" customWidth="1"/>
    <col min="16133" max="16384" width="9.28515625" customWidth="1"/>
  </cols>
  <sheetData>
    <row r="1" spans="1:9" ht="15.75" x14ac:dyDescent="0.25">
      <c r="A1" s="275"/>
      <c r="B1" s="276"/>
      <c r="C1" s="281" t="s">
        <v>0</v>
      </c>
      <c r="D1" s="282"/>
      <c r="E1" s="282"/>
      <c r="F1" s="282"/>
      <c r="G1" s="283"/>
      <c r="H1" s="1" t="s">
        <v>1</v>
      </c>
      <c r="I1" s="2"/>
    </row>
    <row r="2" spans="1:9" ht="16.5" thickBot="1" x14ac:dyDescent="0.3">
      <c r="A2" s="277"/>
      <c r="B2" s="278"/>
      <c r="C2" s="284" t="s">
        <v>2</v>
      </c>
      <c r="D2" s="285"/>
      <c r="E2" s="285"/>
      <c r="F2" s="285"/>
      <c r="G2" s="286"/>
      <c r="H2" s="3" t="s">
        <v>3</v>
      </c>
      <c r="I2" s="4"/>
    </row>
    <row r="3" spans="1:9" ht="50.1" customHeight="1" thickBot="1" x14ac:dyDescent="0.3">
      <c r="A3" s="277"/>
      <c r="B3" s="278"/>
      <c r="C3" s="287" t="s">
        <v>55</v>
      </c>
      <c r="D3" s="288"/>
      <c r="E3" s="288"/>
      <c r="F3" s="288"/>
      <c r="G3" s="289"/>
      <c r="H3" s="290" t="s">
        <v>4</v>
      </c>
      <c r="I3" s="266"/>
    </row>
    <row r="4" spans="1:9" x14ac:dyDescent="0.25">
      <c r="A4" s="277"/>
      <c r="B4" s="278"/>
      <c r="C4" s="5" t="s">
        <v>5</v>
      </c>
      <c r="D4" s="269" t="s">
        <v>42</v>
      </c>
      <c r="E4" s="270"/>
      <c r="F4" s="270"/>
      <c r="G4" s="271"/>
      <c r="H4" s="291"/>
      <c r="I4" s="267"/>
    </row>
    <row r="5" spans="1:9" ht="15.75" thickBot="1" x14ac:dyDescent="0.3">
      <c r="A5" s="279"/>
      <c r="B5" s="280"/>
      <c r="C5" s="6" t="s">
        <v>6</v>
      </c>
      <c r="D5" s="272" t="s">
        <v>7</v>
      </c>
      <c r="E5" s="273"/>
      <c r="F5" s="273"/>
      <c r="G5" s="274"/>
      <c r="H5" s="292"/>
      <c r="I5" s="268"/>
    </row>
    <row r="6" spans="1:9" x14ac:dyDescent="0.25">
      <c r="A6" s="7"/>
      <c r="B6" s="7"/>
      <c r="C6" s="8"/>
      <c r="D6" s="9"/>
      <c r="E6" s="9"/>
      <c r="F6" s="9"/>
      <c r="G6" s="9"/>
      <c r="H6" s="10"/>
      <c r="I6" s="11"/>
    </row>
    <row r="7" spans="1:9" ht="15.75" thickBot="1" x14ac:dyDescent="0.3">
      <c r="A7" s="293" t="s">
        <v>8</v>
      </c>
      <c r="B7" s="293"/>
      <c r="C7" s="293"/>
      <c r="D7" s="294" t="s">
        <v>68</v>
      </c>
      <c r="E7" s="294"/>
      <c r="F7" s="294"/>
      <c r="G7" s="295" t="s">
        <v>9</v>
      </c>
      <c r="H7" s="295"/>
      <c r="I7" s="40" t="s">
        <v>68</v>
      </c>
    </row>
    <row r="8" spans="1:9" x14ac:dyDescent="0.25">
      <c r="A8" s="296" t="s">
        <v>10</v>
      </c>
      <c r="B8" s="298" t="s">
        <v>39</v>
      </c>
      <c r="C8" s="300" t="s">
        <v>11</v>
      </c>
      <c r="D8" s="300" t="s">
        <v>12</v>
      </c>
      <c r="E8" s="302"/>
      <c r="F8" s="303"/>
      <c r="G8" s="302" t="s">
        <v>13</v>
      </c>
      <c r="H8" s="303"/>
      <c r="I8" s="12" t="s">
        <v>14</v>
      </c>
    </row>
    <row r="9" spans="1:9" ht="27" thickBot="1" x14ac:dyDescent="0.3">
      <c r="A9" s="297"/>
      <c r="B9" s="299"/>
      <c r="C9" s="301"/>
      <c r="D9" s="301"/>
      <c r="E9" s="13" t="s">
        <v>15</v>
      </c>
      <c r="F9" s="14" t="s">
        <v>16</v>
      </c>
      <c r="G9" s="13" t="s">
        <v>15</v>
      </c>
      <c r="H9" s="14" t="s">
        <v>16</v>
      </c>
      <c r="I9" s="15" t="s">
        <v>17</v>
      </c>
    </row>
    <row r="10" spans="1:9" x14ac:dyDescent="0.25">
      <c r="A10" s="60" t="s">
        <v>103</v>
      </c>
      <c r="B10" s="60" t="s">
        <v>104</v>
      </c>
      <c r="C10" s="75" t="s">
        <v>105</v>
      </c>
      <c r="D10" s="17" t="s">
        <v>38</v>
      </c>
      <c r="E10" s="71">
        <v>1600</v>
      </c>
      <c r="F10" s="72" t="s">
        <v>18</v>
      </c>
      <c r="G10" s="433" t="s">
        <v>111</v>
      </c>
      <c r="H10" s="434"/>
      <c r="I10" s="435"/>
    </row>
    <row r="11" spans="1:9" x14ac:dyDescent="0.25">
      <c r="A11" s="74" t="s">
        <v>108</v>
      </c>
      <c r="B11" s="74" t="s">
        <v>109</v>
      </c>
      <c r="C11" t="s">
        <v>110</v>
      </c>
      <c r="D11" s="34" t="s">
        <v>38</v>
      </c>
      <c r="E11" s="35">
        <v>3300</v>
      </c>
      <c r="F11" s="21" t="s">
        <v>18</v>
      </c>
      <c r="G11" s="436"/>
      <c r="H11" s="437"/>
      <c r="I11" s="438"/>
    </row>
    <row r="12" spans="1:9" x14ac:dyDescent="0.25">
      <c r="A12" s="77">
        <v>11400031</v>
      </c>
      <c r="B12" s="74" t="s">
        <v>59</v>
      </c>
      <c r="C12" t="s">
        <v>60</v>
      </c>
      <c r="D12" s="34" t="s">
        <v>38</v>
      </c>
      <c r="E12" s="35">
        <v>2500</v>
      </c>
      <c r="F12" s="21" t="s">
        <v>18</v>
      </c>
      <c r="G12" s="439"/>
      <c r="H12" s="440"/>
      <c r="I12" s="441"/>
    </row>
    <row r="13" spans="1:9" x14ac:dyDescent="0.25">
      <c r="A13" s="77">
        <v>11400031</v>
      </c>
      <c r="B13" s="74" t="s">
        <v>59</v>
      </c>
      <c r="C13" t="s">
        <v>60</v>
      </c>
      <c r="D13" s="34" t="s">
        <v>38</v>
      </c>
      <c r="E13" s="35">
        <v>3300</v>
      </c>
      <c r="F13" s="21" t="s">
        <v>18</v>
      </c>
      <c r="G13" s="431" t="s">
        <v>112</v>
      </c>
      <c r="H13" s="442"/>
      <c r="I13" s="443"/>
    </row>
    <row r="14" spans="1:9" x14ac:dyDescent="0.25">
      <c r="A14" s="64"/>
      <c r="B14" s="53"/>
      <c r="C14" s="52"/>
      <c r="D14" s="34"/>
      <c r="E14" s="35"/>
      <c r="F14" s="21"/>
      <c r="G14" s="431"/>
      <c r="H14" s="432"/>
      <c r="I14" s="22"/>
    </row>
    <row r="15" spans="1:9" x14ac:dyDescent="0.25">
      <c r="A15" s="64"/>
      <c r="B15" s="53"/>
      <c r="C15" s="39"/>
      <c r="D15" s="34"/>
      <c r="E15" s="35"/>
      <c r="F15" s="21"/>
      <c r="G15" s="62"/>
      <c r="H15" s="63"/>
      <c r="I15" s="22"/>
    </row>
    <row r="16" spans="1:9" x14ac:dyDescent="0.25">
      <c r="A16" s="64"/>
      <c r="B16" s="53"/>
      <c r="C16" s="66"/>
      <c r="D16" s="34"/>
      <c r="E16" s="35"/>
      <c r="F16" s="21"/>
      <c r="G16" s="62"/>
      <c r="H16" s="63"/>
      <c r="I16" s="22"/>
    </row>
    <row r="17" spans="1:11" x14ac:dyDescent="0.25">
      <c r="A17" s="46"/>
      <c r="B17" s="55"/>
      <c r="C17" s="42"/>
      <c r="D17" s="34"/>
      <c r="E17" s="35"/>
      <c r="F17" s="21"/>
      <c r="G17" s="35"/>
      <c r="H17" s="34"/>
      <c r="I17" s="22"/>
    </row>
    <row r="18" spans="1:11" x14ac:dyDescent="0.25">
      <c r="A18" s="46"/>
      <c r="B18" s="55"/>
      <c r="C18" s="41"/>
      <c r="D18" s="34"/>
      <c r="E18" s="35"/>
      <c r="F18" s="21"/>
      <c r="G18" s="21"/>
      <c r="H18" s="21"/>
      <c r="I18" s="22"/>
    </row>
    <row r="19" spans="1:11" ht="15.75" thickBot="1" x14ac:dyDescent="0.3">
      <c r="A19" s="23"/>
      <c r="B19" s="57"/>
      <c r="C19" s="48"/>
      <c r="D19" s="48"/>
      <c r="E19" s="49"/>
      <c r="F19" s="50"/>
      <c r="G19" s="48"/>
      <c r="H19" s="48"/>
      <c r="I19" s="25"/>
      <c r="J19" s="24"/>
      <c r="K19" s="24"/>
    </row>
    <row r="20" spans="1:11" ht="15.75" thickBot="1" x14ac:dyDescent="0.3">
      <c r="A20" s="26"/>
      <c r="B20" s="58"/>
      <c r="C20" s="27"/>
      <c r="D20" s="28" t="s">
        <v>15</v>
      </c>
      <c r="E20" s="29" t="s">
        <v>25</v>
      </c>
      <c r="F20" s="30"/>
      <c r="G20" s="27"/>
      <c r="H20" s="27"/>
      <c r="I20" s="31"/>
      <c r="J20" s="24"/>
      <c r="K20" s="24"/>
    </row>
    <row r="21" spans="1:11" x14ac:dyDescent="0.25">
      <c r="A21" s="311" t="s">
        <v>26</v>
      </c>
      <c r="B21" s="312"/>
      <c r="C21" s="313"/>
      <c r="D21" s="32">
        <v>10000</v>
      </c>
      <c r="E21" s="33" t="s">
        <v>18</v>
      </c>
      <c r="F21" s="314" t="s">
        <v>27</v>
      </c>
      <c r="G21" s="315"/>
      <c r="H21" s="316"/>
      <c r="I21" s="317"/>
      <c r="J21" s="24"/>
      <c r="K21" s="24"/>
    </row>
    <row r="22" spans="1:11" x14ac:dyDescent="0.25">
      <c r="A22" s="318" t="s">
        <v>28</v>
      </c>
      <c r="B22" s="319"/>
      <c r="C22" s="320"/>
      <c r="D22" s="34">
        <v>20</v>
      </c>
      <c r="E22" s="34" t="s">
        <v>29</v>
      </c>
      <c r="F22" s="321" t="s">
        <v>30</v>
      </c>
      <c r="G22" s="322"/>
      <c r="H22" s="323"/>
      <c r="I22" s="324"/>
      <c r="J22" s="24"/>
      <c r="K22" s="24"/>
    </row>
    <row r="23" spans="1:11" x14ac:dyDescent="0.25">
      <c r="A23" s="318" t="s">
        <v>31</v>
      </c>
      <c r="B23" s="319"/>
      <c r="C23" s="320"/>
      <c r="D23" s="34">
        <v>1</v>
      </c>
      <c r="E23" s="34" t="s">
        <v>19</v>
      </c>
      <c r="F23" s="321" t="s">
        <v>32</v>
      </c>
      <c r="G23" s="322"/>
      <c r="H23" s="323"/>
      <c r="I23" s="324"/>
      <c r="J23" s="24"/>
      <c r="K23" s="24"/>
    </row>
    <row r="24" spans="1:11" x14ac:dyDescent="0.25">
      <c r="A24" s="318" t="s">
        <v>33</v>
      </c>
      <c r="B24" s="319"/>
      <c r="C24" s="320"/>
      <c r="D24" s="35">
        <f>D21</f>
        <v>10000</v>
      </c>
      <c r="E24" s="34" t="s">
        <v>18</v>
      </c>
      <c r="F24" s="329" t="s">
        <v>34</v>
      </c>
      <c r="G24" s="330"/>
      <c r="H24" s="323"/>
      <c r="I24" s="324"/>
      <c r="J24" s="24"/>
      <c r="K24" s="36"/>
    </row>
    <row r="25" spans="1:11" ht="15.75" thickBot="1" x14ac:dyDescent="0.3">
      <c r="A25" s="331" t="s">
        <v>35</v>
      </c>
      <c r="B25" s="332"/>
      <c r="C25" s="333"/>
      <c r="D25" s="37">
        <f>SUM(E10:E13)-D21</f>
        <v>700</v>
      </c>
      <c r="E25" s="38" t="s">
        <v>18</v>
      </c>
      <c r="F25" s="334" t="s">
        <v>44</v>
      </c>
      <c r="G25" s="335"/>
      <c r="H25" s="336"/>
      <c r="I25" s="337"/>
      <c r="J25" s="24"/>
      <c r="K25" s="24"/>
    </row>
    <row r="26" spans="1:11" x14ac:dyDescent="0.25">
      <c r="A26" s="338" t="s">
        <v>36</v>
      </c>
      <c r="B26" s="339"/>
      <c r="C26" s="339"/>
      <c r="D26" s="339"/>
      <c r="E26" s="339"/>
      <c r="F26" s="339"/>
      <c r="G26" s="339"/>
      <c r="H26" s="339"/>
      <c r="I26" s="340"/>
      <c r="J26" s="24"/>
      <c r="K26" s="24"/>
    </row>
    <row r="27" spans="1:11" x14ac:dyDescent="0.25">
      <c r="A27" s="325" t="s">
        <v>113</v>
      </c>
      <c r="B27" s="326"/>
      <c r="C27" s="327"/>
      <c r="D27" s="327"/>
      <c r="E27" s="327"/>
      <c r="F27" s="327"/>
      <c r="G27" s="327"/>
      <c r="H27" s="327"/>
      <c r="I27" s="328"/>
      <c r="J27" s="24"/>
      <c r="K27" s="24"/>
    </row>
    <row r="28" spans="1:11" x14ac:dyDescent="0.25">
      <c r="A28" s="325" t="s">
        <v>115</v>
      </c>
      <c r="B28" s="326"/>
      <c r="C28" s="327"/>
      <c r="D28" s="327"/>
      <c r="E28" s="327"/>
      <c r="F28" s="327"/>
      <c r="G28" s="327"/>
      <c r="H28" s="327"/>
      <c r="I28" s="328"/>
      <c r="J28" s="24" t="s">
        <v>45</v>
      </c>
      <c r="K28" s="24"/>
    </row>
    <row r="29" spans="1:11" x14ac:dyDescent="0.25">
      <c r="A29" s="325" t="s">
        <v>114</v>
      </c>
      <c r="B29" s="326"/>
      <c r="C29" s="327"/>
      <c r="D29" s="327"/>
      <c r="E29" s="327"/>
      <c r="F29" s="327"/>
      <c r="G29" s="327"/>
      <c r="H29" s="327"/>
      <c r="I29" s="328"/>
      <c r="J29" s="24"/>
      <c r="K29" s="24"/>
    </row>
    <row r="30" spans="1:11" x14ac:dyDescent="0.25">
      <c r="A30" s="325" t="s">
        <v>116</v>
      </c>
      <c r="B30" s="326"/>
      <c r="C30" s="327"/>
      <c r="D30" s="327"/>
      <c r="E30" s="327"/>
      <c r="F30" s="327"/>
      <c r="G30" s="327"/>
      <c r="H30" s="327"/>
      <c r="I30" s="328"/>
      <c r="J30" s="24"/>
      <c r="K30" s="24"/>
    </row>
    <row r="31" spans="1:11" x14ac:dyDescent="0.25">
      <c r="A31" s="325"/>
      <c r="B31" s="326"/>
      <c r="C31" s="327"/>
      <c r="D31" s="327"/>
      <c r="E31" s="327"/>
      <c r="F31" s="327"/>
      <c r="G31" s="327"/>
      <c r="H31" s="327"/>
      <c r="I31" s="328"/>
      <c r="J31" s="24"/>
      <c r="K31" s="24"/>
    </row>
    <row r="32" spans="1:11" x14ac:dyDescent="0.25">
      <c r="A32" s="67"/>
      <c r="B32" s="68"/>
      <c r="C32" s="69"/>
      <c r="D32" s="69"/>
      <c r="E32" s="69"/>
      <c r="F32" s="69"/>
      <c r="G32" s="69"/>
      <c r="H32" s="69"/>
      <c r="I32" s="70"/>
      <c r="J32" s="24"/>
      <c r="K32" s="24"/>
    </row>
    <row r="33" spans="1:11" x14ac:dyDescent="0.25">
      <c r="A33" s="325"/>
      <c r="B33" s="326"/>
      <c r="C33" s="327"/>
      <c r="D33" s="327"/>
      <c r="E33" s="327"/>
      <c r="F33" s="327"/>
      <c r="G33" s="327"/>
      <c r="H33" s="327"/>
      <c r="I33" s="328"/>
      <c r="J33" s="24"/>
      <c r="K33" s="24"/>
    </row>
    <row r="34" spans="1:11" ht="15.75" thickBot="1" x14ac:dyDescent="0.3">
      <c r="A34" s="345" t="s">
        <v>37</v>
      </c>
      <c r="B34" s="346"/>
      <c r="C34" s="346"/>
      <c r="D34" s="346"/>
      <c r="E34" s="346"/>
      <c r="F34" s="346"/>
      <c r="G34" s="346"/>
      <c r="H34" s="346"/>
      <c r="I34" s="347"/>
      <c r="J34" s="24"/>
      <c r="K34" s="24"/>
    </row>
    <row r="35" spans="1:11" x14ac:dyDescent="0.25">
      <c r="A35" s="348" t="s">
        <v>43</v>
      </c>
      <c r="B35" s="349"/>
      <c r="C35" s="350"/>
      <c r="D35" s="350"/>
      <c r="E35" s="350"/>
      <c r="F35" s="350"/>
      <c r="G35" s="350"/>
      <c r="H35" s="350"/>
      <c r="I35" s="351"/>
      <c r="J35" s="24"/>
      <c r="K35" s="24"/>
    </row>
    <row r="36" spans="1:11" x14ac:dyDescent="0.25">
      <c r="A36" s="341"/>
      <c r="B36" s="342"/>
      <c r="C36" s="343"/>
      <c r="D36" s="343"/>
      <c r="E36" s="343"/>
      <c r="F36" s="343"/>
      <c r="G36" s="343"/>
      <c r="H36" s="343"/>
      <c r="I36" s="344"/>
    </row>
    <row r="37" spans="1:11" x14ac:dyDescent="0.25">
      <c r="A37" s="341"/>
      <c r="B37" s="342"/>
      <c r="C37" s="343"/>
      <c r="D37" s="343"/>
      <c r="E37" s="343"/>
      <c r="F37" s="343"/>
      <c r="G37" s="343"/>
      <c r="H37" s="343"/>
      <c r="I37" s="344"/>
    </row>
    <row r="38" spans="1:11" x14ac:dyDescent="0.25">
      <c r="A38" s="341"/>
      <c r="B38" s="342"/>
      <c r="C38" s="343"/>
      <c r="D38" s="343"/>
      <c r="E38" s="343"/>
      <c r="F38" s="343"/>
      <c r="G38" s="343"/>
      <c r="H38" s="343"/>
      <c r="I38" s="344"/>
    </row>
    <row r="39" spans="1:11" x14ac:dyDescent="0.25">
      <c r="A39" s="444"/>
      <c r="B39" s="445"/>
      <c r="C39" s="446"/>
      <c r="D39" s="446"/>
      <c r="E39" s="446"/>
      <c r="F39" s="446"/>
      <c r="G39" s="446"/>
      <c r="H39" s="446"/>
      <c r="I39" s="447"/>
    </row>
    <row r="40" spans="1:11" ht="15.75" thickBot="1" x14ac:dyDescent="0.3">
      <c r="A40" s="352"/>
      <c r="B40" s="353"/>
      <c r="C40" s="354"/>
      <c r="D40" s="354"/>
      <c r="E40" s="354"/>
      <c r="F40" s="354"/>
      <c r="G40" s="354"/>
      <c r="H40" s="354"/>
      <c r="I40" s="355"/>
    </row>
    <row r="41" spans="1:11" ht="15.75" thickBot="1" x14ac:dyDescent="0.3">
      <c r="A41" s="352"/>
      <c r="B41" s="353"/>
      <c r="C41" s="354"/>
      <c r="D41" s="354"/>
      <c r="E41" s="354"/>
      <c r="F41" s="354"/>
      <c r="G41" s="354"/>
      <c r="H41" s="354"/>
      <c r="I41" s="355"/>
    </row>
  </sheetData>
  <mergeCells count="50">
    <mergeCell ref="A39:I39"/>
    <mergeCell ref="A40:I40"/>
    <mergeCell ref="A41:I41"/>
    <mergeCell ref="A33:I33"/>
    <mergeCell ref="A34:I34"/>
    <mergeCell ref="A35:I35"/>
    <mergeCell ref="A36:I36"/>
    <mergeCell ref="A37:I37"/>
    <mergeCell ref="A38:I38"/>
    <mergeCell ref="A31:I31"/>
    <mergeCell ref="A24:C24"/>
    <mergeCell ref="F24:G24"/>
    <mergeCell ref="H24:I24"/>
    <mergeCell ref="A25:C25"/>
    <mergeCell ref="F25:G25"/>
    <mergeCell ref="H25:I25"/>
    <mergeCell ref="A26:I26"/>
    <mergeCell ref="A27:I27"/>
    <mergeCell ref="A28:I28"/>
    <mergeCell ref="A29:I29"/>
    <mergeCell ref="A30:I30"/>
    <mergeCell ref="A22:C22"/>
    <mergeCell ref="F22:G22"/>
    <mergeCell ref="H22:I22"/>
    <mergeCell ref="A23:C23"/>
    <mergeCell ref="F23:G23"/>
    <mergeCell ref="H23:I23"/>
    <mergeCell ref="G14:H14"/>
    <mergeCell ref="A21:C21"/>
    <mergeCell ref="F21:G21"/>
    <mergeCell ref="H21:I21"/>
    <mergeCell ref="G10:I12"/>
    <mergeCell ref="G13:I13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A384-22D8-4C1D-99A8-1A2C6D808C93}">
  <dimension ref="A1:Q91"/>
  <sheetViews>
    <sheetView topLeftCell="A43" workbookViewId="0">
      <selection activeCell="A12" sqref="A12:H12"/>
    </sheetView>
  </sheetViews>
  <sheetFormatPr baseColWidth="10" defaultColWidth="8.42578125" defaultRowHeight="12.75" x14ac:dyDescent="0.25"/>
  <cols>
    <col min="1" max="1" width="10" style="94" bestFit="1" customWidth="1"/>
    <col min="2" max="2" width="44.28515625" style="94" bestFit="1" customWidth="1"/>
    <col min="3" max="3" width="10.42578125" style="94" bestFit="1" customWidth="1"/>
    <col min="4" max="4" width="10.42578125" style="94" customWidth="1"/>
    <col min="5" max="5" width="9.7109375" style="94" bestFit="1" customWidth="1"/>
    <col min="6" max="6" width="9.5703125" style="94" bestFit="1" customWidth="1"/>
    <col min="7" max="7" width="9.5703125" style="176" bestFit="1" customWidth="1"/>
    <col min="8" max="8" width="10.42578125" style="167" bestFit="1" customWidth="1"/>
    <col min="9" max="9" width="4.5703125" style="167" customWidth="1"/>
    <col min="10" max="10" width="1.7109375" style="93" customWidth="1"/>
    <col min="11" max="11" width="7" style="94" bestFit="1" customWidth="1"/>
    <col min="12" max="12" width="6.28515625" style="94" customWidth="1"/>
    <col min="13" max="13" width="20.42578125" style="94" customWidth="1"/>
    <col min="14" max="14" width="6.42578125" style="94" bestFit="1" customWidth="1"/>
    <col min="15" max="16" width="8.42578125" style="94"/>
    <col min="17" max="17" width="3.28515625" style="94" customWidth="1"/>
    <col min="18" max="256" width="8.42578125" style="94"/>
    <col min="257" max="257" width="10" style="94" bestFit="1" customWidth="1"/>
    <col min="258" max="258" width="44.28515625" style="94" bestFit="1" customWidth="1"/>
    <col min="259" max="259" width="10.42578125" style="94" bestFit="1" customWidth="1"/>
    <col min="260" max="260" width="10.42578125" style="94" customWidth="1"/>
    <col min="261" max="261" width="9.7109375" style="94" bestFit="1" customWidth="1"/>
    <col min="262" max="263" width="9.5703125" style="94" bestFit="1" customWidth="1"/>
    <col min="264" max="264" width="10.42578125" style="94" bestFit="1" customWidth="1"/>
    <col min="265" max="265" width="4.5703125" style="94" customWidth="1"/>
    <col min="266" max="266" width="1.7109375" style="94" customWidth="1"/>
    <col min="267" max="267" width="7" style="94" bestFit="1" customWidth="1"/>
    <col min="268" max="268" width="6.28515625" style="94" customWidth="1"/>
    <col min="269" max="269" width="20.42578125" style="94" customWidth="1"/>
    <col min="270" max="270" width="6.42578125" style="94" bestFit="1" customWidth="1"/>
    <col min="271" max="272" width="8.42578125" style="94"/>
    <col min="273" max="273" width="3.28515625" style="94" customWidth="1"/>
    <col min="274" max="512" width="8.42578125" style="94"/>
    <col min="513" max="513" width="10" style="94" bestFit="1" customWidth="1"/>
    <col min="514" max="514" width="44.28515625" style="94" bestFit="1" customWidth="1"/>
    <col min="515" max="515" width="10.42578125" style="94" bestFit="1" customWidth="1"/>
    <col min="516" max="516" width="10.42578125" style="94" customWidth="1"/>
    <col min="517" max="517" width="9.7109375" style="94" bestFit="1" customWidth="1"/>
    <col min="518" max="519" width="9.5703125" style="94" bestFit="1" customWidth="1"/>
    <col min="520" max="520" width="10.42578125" style="94" bestFit="1" customWidth="1"/>
    <col min="521" max="521" width="4.5703125" style="94" customWidth="1"/>
    <col min="522" max="522" width="1.7109375" style="94" customWidth="1"/>
    <col min="523" max="523" width="7" style="94" bestFit="1" customWidth="1"/>
    <col min="524" max="524" width="6.28515625" style="94" customWidth="1"/>
    <col min="525" max="525" width="20.42578125" style="94" customWidth="1"/>
    <col min="526" max="526" width="6.42578125" style="94" bestFit="1" customWidth="1"/>
    <col min="527" max="528" width="8.42578125" style="94"/>
    <col min="529" max="529" width="3.28515625" style="94" customWidth="1"/>
    <col min="530" max="768" width="8.42578125" style="94"/>
    <col min="769" max="769" width="10" style="94" bestFit="1" customWidth="1"/>
    <col min="770" max="770" width="44.28515625" style="94" bestFit="1" customWidth="1"/>
    <col min="771" max="771" width="10.42578125" style="94" bestFit="1" customWidth="1"/>
    <col min="772" max="772" width="10.42578125" style="94" customWidth="1"/>
    <col min="773" max="773" width="9.7109375" style="94" bestFit="1" customWidth="1"/>
    <col min="774" max="775" width="9.5703125" style="94" bestFit="1" customWidth="1"/>
    <col min="776" max="776" width="10.42578125" style="94" bestFit="1" customWidth="1"/>
    <col min="777" max="777" width="4.5703125" style="94" customWidth="1"/>
    <col min="778" max="778" width="1.7109375" style="94" customWidth="1"/>
    <col min="779" max="779" width="7" style="94" bestFit="1" customWidth="1"/>
    <col min="780" max="780" width="6.28515625" style="94" customWidth="1"/>
    <col min="781" max="781" width="20.42578125" style="94" customWidth="1"/>
    <col min="782" max="782" width="6.42578125" style="94" bestFit="1" customWidth="1"/>
    <col min="783" max="784" width="8.42578125" style="94"/>
    <col min="785" max="785" width="3.28515625" style="94" customWidth="1"/>
    <col min="786" max="1024" width="8.42578125" style="94"/>
    <col min="1025" max="1025" width="10" style="94" bestFit="1" customWidth="1"/>
    <col min="1026" max="1026" width="44.28515625" style="94" bestFit="1" customWidth="1"/>
    <col min="1027" max="1027" width="10.42578125" style="94" bestFit="1" customWidth="1"/>
    <col min="1028" max="1028" width="10.42578125" style="94" customWidth="1"/>
    <col min="1029" max="1029" width="9.7109375" style="94" bestFit="1" customWidth="1"/>
    <col min="1030" max="1031" width="9.5703125" style="94" bestFit="1" customWidth="1"/>
    <col min="1032" max="1032" width="10.42578125" style="94" bestFit="1" customWidth="1"/>
    <col min="1033" max="1033" width="4.5703125" style="94" customWidth="1"/>
    <col min="1034" max="1034" width="1.7109375" style="94" customWidth="1"/>
    <col min="1035" max="1035" width="7" style="94" bestFit="1" customWidth="1"/>
    <col min="1036" max="1036" width="6.28515625" style="94" customWidth="1"/>
    <col min="1037" max="1037" width="20.42578125" style="94" customWidth="1"/>
    <col min="1038" max="1038" width="6.42578125" style="94" bestFit="1" customWidth="1"/>
    <col min="1039" max="1040" width="8.42578125" style="94"/>
    <col min="1041" max="1041" width="3.28515625" style="94" customWidth="1"/>
    <col min="1042" max="1280" width="8.42578125" style="94"/>
    <col min="1281" max="1281" width="10" style="94" bestFit="1" customWidth="1"/>
    <col min="1282" max="1282" width="44.28515625" style="94" bestFit="1" customWidth="1"/>
    <col min="1283" max="1283" width="10.42578125" style="94" bestFit="1" customWidth="1"/>
    <col min="1284" max="1284" width="10.42578125" style="94" customWidth="1"/>
    <col min="1285" max="1285" width="9.7109375" style="94" bestFit="1" customWidth="1"/>
    <col min="1286" max="1287" width="9.5703125" style="94" bestFit="1" customWidth="1"/>
    <col min="1288" max="1288" width="10.42578125" style="94" bestFit="1" customWidth="1"/>
    <col min="1289" max="1289" width="4.5703125" style="94" customWidth="1"/>
    <col min="1290" max="1290" width="1.7109375" style="94" customWidth="1"/>
    <col min="1291" max="1291" width="7" style="94" bestFit="1" customWidth="1"/>
    <col min="1292" max="1292" width="6.28515625" style="94" customWidth="1"/>
    <col min="1293" max="1293" width="20.42578125" style="94" customWidth="1"/>
    <col min="1294" max="1294" width="6.42578125" style="94" bestFit="1" customWidth="1"/>
    <col min="1295" max="1296" width="8.42578125" style="94"/>
    <col min="1297" max="1297" width="3.28515625" style="94" customWidth="1"/>
    <col min="1298" max="1536" width="8.42578125" style="94"/>
    <col min="1537" max="1537" width="10" style="94" bestFit="1" customWidth="1"/>
    <col min="1538" max="1538" width="44.28515625" style="94" bestFit="1" customWidth="1"/>
    <col min="1539" max="1539" width="10.42578125" style="94" bestFit="1" customWidth="1"/>
    <col min="1540" max="1540" width="10.42578125" style="94" customWidth="1"/>
    <col min="1541" max="1541" width="9.7109375" style="94" bestFit="1" customWidth="1"/>
    <col min="1542" max="1543" width="9.5703125" style="94" bestFit="1" customWidth="1"/>
    <col min="1544" max="1544" width="10.42578125" style="94" bestFit="1" customWidth="1"/>
    <col min="1545" max="1545" width="4.5703125" style="94" customWidth="1"/>
    <col min="1546" max="1546" width="1.7109375" style="94" customWidth="1"/>
    <col min="1547" max="1547" width="7" style="94" bestFit="1" customWidth="1"/>
    <col min="1548" max="1548" width="6.28515625" style="94" customWidth="1"/>
    <col min="1549" max="1549" width="20.42578125" style="94" customWidth="1"/>
    <col min="1550" max="1550" width="6.42578125" style="94" bestFit="1" customWidth="1"/>
    <col min="1551" max="1552" width="8.42578125" style="94"/>
    <col min="1553" max="1553" width="3.28515625" style="94" customWidth="1"/>
    <col min="1554" max="1792" width="8.42578125" style="94"/>
    <col min="1793" max="1793" width="10" style="94" bestFit="1" customWidth="1"/>
    <col min="1794" max="1794" width="44.28515625" style="94" bestFit="1" customWidth="1"/>
    <col min="1795" max="1795" width="10.42578125" style="94" bestFit="1" customWidth="1"/>
    <col min="1796" max="1796" width="10.42578125" style="94" customWidth="1"/>
    <col min="1797" max="1797" width="9.7109375" style="94" bestFit="1" customWidth="1"/>
    <col min="1798" max="1799" width="9.5703125" style="94" bestFit="1" customWidth="1"/>
    <col min="1800" max="1800" width="10.42578125" style="94" bestFit="1" customWidth="1"/>
    <col min="1801" max="1801" width="4.5703125" style="94" customWidth="1"/>
    <col min="1802" max="1802" width="1.7109375" style="94" customWidth="1"/>
    <col min="1803" max="1803" width="7" style="94" bestFit="1" customWidth="1"/>
    <col min="1804" max="1804" width="6.28515625" style="94" customWidth="1"/>
    <col min="1805" max="1805" width="20.42578125" style="94" customWidth="1"/>
    <col min="1806" max="1806" width="6.42578125" style="94" bestFit="1" customWidth="1"/>
    <col min="1807" max="1808" width="8.42578125" style="94"/>
    <col min="1809" max="1809" width="3.28515625" style="94" customWidth="1"/>
    <col min="1810" max="2048" width="8.42578125" style="94"/>
    <col min="2049" max="2049" width="10" style="94" bestFit="1" customWidth="1"/>
    <col min="2050" max="2050" width="44.28515625" style="94" bestFit="1" customWidth="1"/>
    <col min="2051" max="2051" width="10.42578125" style="94" bestFit="1" customWidth="1"/>
    <col min="2052" max="2052" width="10.42578125" style="94" customWidth="1"/>
    <col min="2053" max="2053" width="9.7109375" style="94" bestFit="1" customWidth="1"/>
    <col min="2054" max="2055" width="9.5703125" style="94" bestFit="1" customWidth="1"/>
    <col min="2056" max="2056" width="10.42578125" style="94" bestFit="1" customWidth="1"/>
    <col min="2057" max="2057" width="4.5703125" style="94" customWidth="1"/>
    <col min="2058" max="2058" width="1.7109375" style="94" customWidth="1"/>
    <col min="2059" max="2059" width="7" style="94" bestFit="1" customWidth="1"/>
    <col min="2060" max="2060" width="6.28515625" style="94" customWidth="1"/>
    <col min="2061" max="2061" width="20.42578125" style="94" customWidth="1"/>
    <col min="2062" max="2062" width="6.42578125" style="94" bestFit="1" customWidth="1"/>
    <col min="2063" max="2064" width="8.42578125" style="94"/>
    <col min="2065" max="2065" width="3.28515625" style="94" customWidth="1"/>
    <col min="2066" max="2304" width="8.42578125" style="94"/>
    <col min="2305" max="2305" width="10" style="94" bestFit="1" customWidth="1"/>
    <col min="2306" max="2306" width="44.28515625" style="94" bestFit="1" customWidth="1"/>
    <col min="2307" max="2307" width="10.42578125" style="94" bestFit="1" customWidth="1"/>
    <col min="2308" max="2308" width="10.42578125" style="94" customWidth="1"/>
    <col min="2309" max="2309" width="9.7109375" style="94" bestFit="1" customWidth="1"/>
    <col min="2310" max="2311" width="9.5703125" style="94" bestFit="1" customWidth="1"/>
    <col min="2312" max="2312" width="10.42578125" style="94" bestFit="1" customWidth="1"/>
    <col min="2313" max="2313" width="4.5703125" style="94" customWidth="1"/>
    <col min="2314" max="2314" width="1.7109375" style="94" customWidth="1"/>
    <col min="2315" max="2315" width="7" style="94" bestFit="1" customWidth="1"/>
    <col min="2316" max="2316" width="6.28515625" style="94" customWidth="1"/>
    <col min="2317" max="2317" width="20.42578125" style="94" customWidth="1"/>
    <col min="2318" max="2318" width="6.42578125" style="94" bestFit="1" customWidth="1"/>
    <col min="2319" max="2320" width="8.42578125" style="94"/>
    <col min="2321" max="2321" width="3.28515625" style="94" customWidth="1"/>
    <col min="2322" max="2560" width="8.42578125" style="94"/>
    <col min="2561" max="2561" width="10" style="94" bestFit="1" customWidth="1"/>
    <col min="2562" max="2562" width="44.28515625" style="94" bestFit="1" customWidth="1"/>
    <col min="2563" max="2563" width="10.42578125" style="94" bestFit="1" customWidth="1"/>
    <col min="2564" max="2564" width="10.42578125" style="94" customWidth="1"/>
    <col min="2565" max="2565" width="9.7109375" style="94" bestFit="1" customWidth="1"/>
    <col min="2566" max="2567" width="9.5703125" style="94" bestFit="1" customWidth="1"/>
    <col min="2568" max="2568" width="10.42578125" style="94" bestFit="1" customWidth="1"/>
    <col min="2569" max="2569" width="4.5703125" style="94" customWidth="1"/>
    <col min="2570" max="2570" width="1.7109375" style="94" customWidth="1"/>
    <col min="2571" max="2571" width="7" style="94" bestFit="1" customWidth="1"/>
    <col min="2572" max="2572" width="6.28515625" style="94" customWidth="1"/>
    <col min="2573" max="2573" width="20.42578125" style="94" customWidth="1"/>
    <col min="2574" max="2574" width="6.42578125" style="94" bestFit="1" customWidth="1"/>
    <col min="2575" max="2576" width="8.42578125" style="94"/>
    <col min="2577" max="2577" width="3.28515625" style="94" customWidth="1"/>
    <col min="2578" max="2816" width="8.42578125" style="94"/>
    <col min="2817" max="2817" width="10" style="94" bestFit="1" customWidth="1"/>
    <col min="2818" max="2818" width="44.28515625" style="94" bestFit="1" customWidth="1"/>
    <col min="2819" max="2819" width="10.42578125" style="94" bestFit="1" customWidth="1"/>
    <col min="2820" max="2820" width="10.42578125" style="94" customWidth="1"/>
    <col min="2821" max="2821" width="9.7109375" style="94" bestFit="1" customWidth="1"/>
    <col min="2822" max="2823" width="9.5703125" style="94" bestFit="1" customWidth="1"/>
    <col min="2824" max="2824" width="10.42578125" style="94" bestFit="1" customWidth="1"/>
    <col min="2825" max="2825" width="4.5703125" style="94" customWidth="1"/>
    <col min="2826" max="2826" width="1.7109375" style="94" customWidth="1"/>
    <col min="2827" max="2827" width="7" style="94" bestFit="1" customWidth="1"/>
    <col min="2828" max="2828" width="6.28515625" style="94" customWidth="1"/>
    <col min="2829" max="2829" width="20.42578125" style="94" customWidth="1"/>
    <col min="2830" max="2830" width="6.42578125" style="94" bestFit="1" customWidth="1"/>
    <col min="2831" max="2832" width="8.42578125" style="94"/>
    <col min="2833" max="2833" width="3.28515625" style="94" customWidth="1"/>
    <col min="2834" max="3072" width="8.42578125" style="94"/>
    <col min="3073" max="3073" width="10" style="94" bestFit="1" customWidth="1"/>
    <col min="3074" max="3074" width="44.28515625" style="94" bestFit="1" customWidth="1"/>
    <col min="3075" max="3075" width="10.42578125" style="94" bestFit="1" customWidth="1"/>
    <col min="3076" max="3076" width="10.42578125" style="94" customWidth="1"/>
    <col min="3077" max="3077" width="9.7109375" style="94" bestFit="1" customWidth="1"/>
    <col min="3078" max="3079" width="9.5703125" style="94" bestFit="1" customWidth="1"/>
    <col min="3080" max="3080" width="10.42578125" style="94" bestFit="1" customWidth="1"/>
    <col min="3081" max="3081" width="4.5703125" style="94" customWidth="1"/>
    <col min="3082" max="3082" width="1.7109375" style="94" customWidth="1"/>
    <col min="3083" max="3083" width="7" style="94" bestFit="1" customWidth="1"/>
    <col min="3084" max="3084" width="6.28515625" style="94" customWidth="1"/>
    <col min="3085" max="3085" width="20.42578125" style="94" customWidth="1"/>
    <col min="3086" max="3086" width="6.42578125" style="94" bestFit="1" customWidth="1"/>
    <col min="3087" max="3088" width="8.42578125" style="94"/>
    <col min="3089" max="3089" width="3.28515625" style="94" customWidth="1"/>
    <col min="3090" max="3328" width="8.42578125" style="94"/>
    <col min="3329" max="3329" width="10" style="94" bestFit="1" customWidth="1"/>
    <col min="3330" max="3330" width="44.28515625" style="94" bestFit="1" customWidth="1"/>
    <col min="3331" max="3331" width="10.42578125" style="94" bestFit="1" customWidth="1"/>
    <col min="3332" max="3332" width="10.42578125" style="94" customWidth="1"/>
    <col min="3333" max="3333" width="9.7109375" style="94" bestFit="1" customWidth="1"/>
    <col min="3334" max="3335" width="9.5703125" style="94" bestFit="1" customWidth="1"/>
    <col min="3336" max="3336" width="10.42578125" style="94" bestFit="1" customWidth="1"/>
    <col min="3337" max="3337" width="4.5703125" style="94" customWidth="1"/>
    <col min="3338" max="3338" width="1.7109375" style="94" customWidth="1"/>
    <col min="3339" max="3339" width="7" style="94" bestFit="1" customWidth="1"/>
    <col min="3340" max="3340" width="6.28515625" style="94" customWidth="1"/>
    <col min="3341" max="3341" width="20.42578125" style="94" customWidth="1"/>
    <col min="3342" max="3342" width="6.42578125" style="94" bestFit="1" customWidth="1"/>
    <col min="3343" max="3344" width="8.42578125" style="94"/>
    <col min="3345" max="3345" width="3.28515625" style="94" customWidth="1"/>
    <col min="3346" max="3584" width="8.42578125" style="94"/>
    <col min="3585" max="3585" width="10" style="94" bestFit="1" customWidth="1"/>
    <col min="3586" max="3586" width="44.28515625" style="94" bestFit="1" customWidth="1"/>
    <col min="3587" max="3587" width="10.42578125" style="94" bestFit="1" customWidth="1"/>
    <col min="3588" max="3588" width="10.42578125" style="94" customWidth="1"/>
    <col min="3589" max="3589" width="9.7109375" style="94" bestFit="1" customWidth="1"/>
    <col min="3590" max="3591" width="9.5703125" style="94" bestFit="1" customWidth="1"/>
    <col min="3592" max="3592" width="10.42578125" style="94" bestFit="1" customWidth="1"/>
    <col min="3593" max="3593" width="4.5703125" style="94" customWidth="1"/>
    <col min="3594" max="3594" width="1.7109375" style="94" customWidth="1"/>
    <col min="3595" max="3595" width="7" style="94" bestFit="1" customWidth="1"/>
    <col min="3596" max="3596" width="6.28515625" style="94" customWidth="1"/>
    <col min="3597" max="3597" width="20.42578125" style="94" customWidth="1"/>
    <col min="3598" max="3598" width="6.42578125" style="94" bestFit="1" customWidth="1"/>
    <col min="3599" max="3600" width="8.42578125" style="94"/>
    <col min="3601" max="3601" width="3.28515625" style="94" customWidth="1"/>
    <col min="3602" max="3840" width="8.42578125" style="94"/>
    <col min="3841" max="3841" width="10" style="94" bestFit="1" customWidth="1"/>
    <col min="3842" max="3842" width="44.28515625" style="94" bestFit="1" customWidth="1"/>
    <col min="3843" max="3843" width="10.42578125" style="94" bestFit="1" customWidth="1"/>
    <col min="3844" max="3844" width="10.42578125" style="94" customWidth="1"/>
    <col min="3845" max="3845" width="9.7109375" style="94" bestFit="1" customWidth="1"/>
    <col min="3846" max="3847" width="9.5703125" style="94" bestFit="1" customWidth="1"/>
    <col min="3848" max="3848" width="10.42578125" style="94" bestFit="1" customWidth="1"/>
    <col min="3849" max="3849" width="4.5703125" style="94" customWidth="1"/>
    <col min="3850" max="3850" width="1.7109375" style="94" customWidth="1"/>
    <col min="3851" max="3851" width="7" style="94" bestFit="1" customWidth="1"/>
    <col min="3852" max="3852" width="6.28515625" style="94" customWidth="1"/>
    <col min="3853" max="3853" width="20.42578125" style="94" customWidth="1"/>
    <col min="3854" max="3854" width="6.42578125" style="94" bestFit="1" customWidth="1"/>
    <col min="3855" max="3856" width="8.42578125" style="94"/>
    <col min="3857" max="3857" width="3.28515625" style="94" customWidth="1"/>
    <col min="3858" max="4096" width="8.42578125" style="94"/>
    <col min="4097" max="4097" width="10" style="94" bestFit="1" customWidth="1"/>
    <col min="4098" max="4098" width="44.28515625" style="94" bestFit="1" customWidth="1"/>
    <col min="4099" max="4099" width="10.42578125" style="94" bestFit="1" customWidth="1"/>
    <col min="4100" max="4100" width="10.42578125" style="94" customWidth="1"/>
    <col min="4101" max="4101" width="9.7109375" style="94" bestFit="1" customWidth="1"/>
    <col min="4102" max="4103" width="9.5703125" style="94" bestFit="1" customWidth="1"/>
    <col min="4104" max="4104" width="10.42578125" style="94" bestFit="1" customWidth="1"/>
    <col min="4105" max="4105" width="4.5703125" style="94" customWidth="1"/>
    <col min="4106" max="4106" width="1.7109375" style="94" customWidth="1"/>
    <col min="4107" max="4107" width="7" style="94" bestFit="1" customWidth="1"/>
    <col min="4108" max="4108" width="6.28515625" style="94" customWidth="1"/>
    <col min="4109" max="4109" width="20.42578125" style="94" customWidth="1"/>
    <col min="4110" max="4110" width="6.42578125" style="94" bestFit="1" customWidth="1"/>
    <col min="4111" max="4112" width="8.42578125" style="94"/>
    <col min="4113" max="4113" width="3.28515625" style="94" customWidth="1"/>
    <col min="4114" max="4352" width="8.42578125" style="94"/>
    <col min="4353" max="4353" width="10" style="94" bestFit="1" customWidth="1"/>
    <col min="4354" max="4354" width="44.28515625" style="94" bestFit="1" customWidth="1"/>
    <col min="4355" max="4355" width="10.42578125" style="94" bestFit="1" customWidth="1"/>
    <col min="4356" max="4356" width="10.42578125" style="94" customWidth="1"/>
    <col min="4357" max="4357" width="9.7109375" style="94" bestFit="1" customWidth="1"/>
    <col min="4358" max="4359" width="9.5703125" style="94" bestFit="1" customWidth="1"/>
    <col min="4360" max="4360" width="10.42578125" style="94" bestFit="1" customWidth="1"/>
    <col min="4361" max="4361" width="4.5703125" style="94" customWidth="1"/>
    <col min="4362" max="4362" width="1.7109375" style="94" customWidth="1"/>
    <col min="4363" max="4363" width="7" style="94" bestFit="1" customWidth="1"/>
    <col min="4364" max="4364" width="6.28515625" style="94" customWidth="1"/>
    <col min="4365" max="4365" width="20.42578125" style="94" customWidth="1"/>
    <col min="4366" max="4366" width="6.42578125" style="94" bestFit="1" customWidth="1"/>
    <col min="4367" max="4368" width="8.42578125" style="94"/>
    <col min="4369" max="4369" width="3.28515625" style="94" customWidth="1"/>
    <col min="4370" max="4608" width="8.42578125" style="94"/>
    <col min="4609" max="4609" width="10" style="94" bestFit="1" customWidth="1"/>
    <col min="4610" max="4610" width="44.28515625" style="94" bestFit="1" customWidth="1"/>
    <col min="4611" max="4611" width="10.42578125" style="94" bestFit="1" customWidth="1"/>
    <col min="4612" max="4612" width="10.42578125" style="94" customWidth="1"/>
    <col min="4613" max="4613" width="9.7109375" style="94" bestFit="1" customWidth="1"/>
    <col min="4614" max="4615" width="9.5703125" style="94" bestFit="1" customWidth="1"/>
    <col min="4616" max="4616" width="10.42578125" style="94" bestFit="1" customWidth="1"/>
    <col min="4617" max="4617" width="4.5703125" style="94" customWidth="1"/>
    <col min="4618" max="4618" width="1.7109375" style="94" customWidth="1"/>
    <col min="4619" max="4619" width="7" style="94" bestFit="1" customWidth="1"/>
    <col min="4620" max="4620" width="6.28515625" style="94" customWidth="1"/>
    <col min="4621" max="4621" width="20.42578125" style="94" customWidth="1"/>
    <col min="4622" max="4622" width="6.42578125" style="94" bestFit="1" customWidth="1"/>
    <col min="4623" max="4624" width="8.42578125" style="94"/>
    <col min="4625" max="4625" width="3.28515625" style="94" customWidth="1"/>
    <col min="4626" max="4864" width="8.42578125" style="94"/>
    <col min="4865" max="4865" width="10" style="94" bestFit="1" customWidth="1"/>
    <col min="4866" max="4866" width="44.28515625" style="94" bestFit="1" customWidth="1"/>
    <col min="4867" max="4867" width="10.42578125" style="94" bestFit="1" customWidth="1"/>
    <col min="4868" max="4868" width="10.42578125" style="94" customWidth="1"/>
    <col min="4869" max="4869" width="9.7109375" style="94" bestFit="1" customWidth="1"/>
    <col min="4870" max="4871" width="9.5703125" style="94" bestFit="1" customWidth="1"/>
    <col min="4872" max="4872" width="10.42578125" style="94" bestFit="1" customWidth="1"/>
    <col min="4873" max="4873" width="4.5703125" style="94" customWidth="1"/>
    <col min="4874" max="4874" width="1.7109375" style="94" customWidth="1"/>
    <col min="4875" max="4875" width="7" style="94" bestFit="1" customWidth="1"/>
    <col min="4876" max="4876" width="6.28515625" style="94" customWidth="1"/>
    <col min="4877" max="4877" width="20.42578125" style="94" customWidth="1"/>
    <col min="4878" max="4878" width="6.42578125" style="94" bestFit="1" customWidth="1"/>
    <col min="4879" max="4880" width="8.42578125" style="94"/>
    <col min="4881" max="4881" width="3.28515625" style="94" customWidth="1"/>
    <col min="4882" max="5120" width="8.42578125" style="94"/>
    <col min="5121" max="5121" width="10" style="94" bestFit="1" customWidth="1"/>
    <col min="5122" max="5122" width="44.28515625" style="94" bestFit="1" customWidth="1"/>
    <col min="5123" max="5123" width="10.42578125" style="94" bestFit="1" customWidth="1"/>
    <col min="5124" max="5124" width="10.42578125" style="94" customWidth="1"/>
    <col min="5125" max="5125" width="9.7109375" style="94" bestFit="1" customWidth="1"/>
    <col min="5126" max="5127" width="9.5703125" style="94" bestFit="1" customWidth="1"/>
    <col min="5128" max="5128" width="10.42578125" style="94" bestFit="1" customWidth="1"/>
    <col min="5129" max="5129" width="4.5703125" style="94" customWidth="1"/>
    <col min="5130" max="5130" width="1.7109375" style="94" customWidth="1"/>
    <col min="5131" max="5131" width="7" style="94" bestFit="1" customWidth="1"/>
    <col min="5132" max="5132" width="6.28515625" style="94" customWidth="1"/>
    <col min="5133" max="5133" width="20.42578125" style="94" customWidth="1"/>
    <col min="5134" max="5134" width="6.42578125" style="94" bestFit="1" customWidth="1"/>
    <col min="5135" max="5136" width="8.42578125" style="94"/>
    <col min="5137" max="5137" width="3.28515625" style="94" customWidth="1"/>
    <col min="5138" max="5376" width="8.42578125" style="94"/>
    <col min="5377" max="5377" width="10" style="94" bestFit="1" customWidth="1"/>
    <col min="5378" max="5378" width="44.28515625" style="94" bestFit="1" customWidth="1"/>
    <col min="5379" max="5379" width="10.42578125" style="94" bestFit="1" customWidth="1"/>
    <col min="5380" max="5380" width="10.42578125" style="94" customWidth="1"/>
    <col min="5381" max="5381" width="9.7109375" style="94" bestFit="1" customWidth="1"/>
    <col min="5382" max="5383" width="9.5703125" style="94" bestFit="1" customWidth="1"/>
    <col min="5384" max="5384" width="10.42578125" style="94" bestFit="1" customWidth="1"/>
    <col min="5385" max="5385" width="4.5703125" style="94" customWidth="1"/>
    <col min="5386" max="5386" width="1.7109375" style="94" customWidth="1"/>
    <col min="5387" max="5387" width="7" style="94" bestFit="1" customWidth="1"/>
    <col min="5388" max="5388" width="6.28515625" style="94" customWidth="1"/>
    <col min="5389" max="5389" width="20.42578125" style="94" customWidth="1"/>
    <col min="5390" max="5390" width="6.42578125" style="94" bestFit="1" customWidth="1"/>
    <col min="5391" max="5392" width="8.42578125" style="94"/>
    <col min="5393" max="5393" width="3.28515625" style="94" customWidth="1"/>
    <col min="5394" max="5632" width="8.42578125" style="94"/>
    <col min="5633" max="5633" width="10" style="94" bestFit="1" customWidth="1"/>
    <col min="5634" max="5634" width="44.28515625" style="94" bestFit="1" customWidth="1"/>
    <col min="5635" max="5635" width="10.42578125" style="94" bestFit="1" customWidth="1"/>
    <col min="5636" max="5636" width="10.42578125" style="94" customWidth="1"/>
    <col min="5637" max="5637" width="9.7109375" style="94" bestFit="1" customWidth="1"/>
    <col min="5638" max="5639" width="9.5703125" style="94" bestFit="1" customWidth="1"/>
    <col min="5640" max="5640" width="10.42578125" style="94" bestFit="1" customWidth="1"/>
    <col min="5641" max="5641" width="4.5703125" style="94" customWidth="1"/>
    <col min="5642" max="5642" width="1.7109375" style="94" customWidth="1"/>
    <col min="5643" max="5643" width="7" style="94" bestFit="1" customWidth="1"/>
    <col min="5644" max="5644" width="6.28515625" style="94" customWidth="1"/>
    <col min="5645" max="5645" width="20.42578125" style="94" customWidth="1"/>
    <col min="5646" max="5646" width="6.42578125" style="94" bestFit="1" customWidth="1"/>
    <col min="5647" max="5648" width="8.42578125" style="94"/>
    <col min="5649" max="5649" width="3.28515625" style="94" customWidth="1"/>
    <col min="5650" max="5888" width="8.42578125" style="94"/>
    <col min="5889" max="5889" width="10" style="94" bestFit="1" customWidth="1"/>
    <col min="5890" max="5890" width="44.28515625" style="94" bestFit="1" customWidth="1"/>
    <col min="5891" max="5891" width="10.42578125" style="94" bestFit="1" customWidth="1"/>
    <col min="5892" max="5892" width="10.42578125" style="94" customWidth="1"/>
    <col min="5893" max="5893" width="9.7109375" style="94" bestFit="1" customWidth="1"/>
    <col min="5894" max="5895" width="9.5703125" style="94" bestFit="1" customWidth="1"/>
    <col min="5896" max="5896" width="10.42578125" style="94" bestFit="1" customWidth="1"/>
    <col min="5897" max="5897" width="4.5703125" style="94" customWidth="1"/>
    <col min="5898" max="5898" width="1.7109375" style="94" customWidth="1"/>
    <col min="5899" max="5899" width="7" style="94" bestFit="1" customWidth="1"/>
    <col min="5900" max="5900" width="6.28515625" style="94" customWidth="1"/>
    <col min="5901" max="5901" width="20.42578125" style="94" customWidth="1"/>
    <col min="5902" max="5902" width="6.42578125" style="94" bestFit="1" customWidth="1"/>
    <col min="5903" max="5904" width="8.42578125" style="94"/>
    <col min="5905" max="5905" width="3.28515625" style="94" customWidth="1"/>
    <col min="5906" max="6144" width="8.42578125" style="94"/>
    <col min="6145" max="6145" width="10" style="94" bestFit="1" customWidth="1"/>
    <col min="6146" max="6146" width="44.28515625" style="94" bestFit="1" customWidth="1"/>
    <col min="6147" max="6147" width="10.42578125" style="94" bestFit="1" customWidth="1"/>
    <col min="6148" max="6148" width="10.42578125" style="94" customWidth="1"/>
    <col min="6149" max="6149" width="9.7109375" style="94" bestFit="1" customWidth="1"/>
    <col min="6150" max="6151" width="9.5703125" style="94" bestFit="1" customWidth="1"/>
    <col min="6152" max="6152" width="10.42578125" style="94" bestFit="1" customWidth="1"/>
    <col min="6153" max="6153" width="4.5703125" style="94" customWidth="1"/>
    <col min="6154" max="6154" width="1.7109375" style="94" customWidth="1"/>
    <col min="6155" max="6155" width="7" style="94" bestFit="1" customWidth="1"/>
    <col min="6156" max="6156" width="6.28515625" style="94" customWidth="1"/>
    <col min="6157" max="6157" width="20.42578125" style="94" customWidth="1"/>
    <col min="6158" max="6158" width="6.42578125" style="94" bestFit="1" customWidth="1"/>
    <col min="6159" max="6160" width="8.42578125" style="94"/>
    <col min="6161" max="6161" width="3.28515625" style="94" customWidth="1"/>
    <col min="6162" max="6400" width="8.42578125" style="94"/>
    <col min="6401" max="6401" width="10" style="94" bestFit="1" customWidth="1"/>
    <col min="6402" max="6402" width="44.28515625" style="94" bestFit="1" customWidth="1"/>
    <col min="6403" max="6403" width="10.42578125" style="94" bestFit="1" customWidth="1"/>
    <col min="6404" max="6404" width="10.42578125" style="94" customWidth="1"/>
    <col min="6405" max="6405" width="9.7109375" style="94" bestFit="1" customWidth="1"/>
    <col min="6406" max="6407" width="9.5703125" style="94" bestFit="1" customWidth="1"/>
    <col min="6408" max="6408" width="10.42578125" style="94" bestFit="1" customWidth="1"/>
    <col min="6409" max="6409" width="4.5703125" style="94" customWidth="1"/>
    <col min="6410" max="6410" width="1.7109375" style="94" customWidth="1"/>
    <col min="6411" max="6411" width="7" style="94" bestFit="1" customWidth="1"/>
    <col min="6412" max="6412" width="6.28515625" style="94" customWidth="1"/>
    <col min="6413" max="6413" width="20.42578125" style="94" customWidth="1"/>
    <col min="6414" max="6414" width="6.42578125" style="94" bestFit="1" customWidth="1"/>
    <col min="6415" max="6416" width="8.42578125" style="94"/>
    <col min="6417" max="6417" width="3.28515625" style="94" customWidth="1"/>
    <col min="6418" max="6656" width="8.42578125" style="94"/>
    <col min="6657" max="6657" width="10" style="94" bestFit="1" customWidth="1"/>
    <col min="6658" max="6658" width="44.28515625" style="94" bestFit="1" customWidth="1"/>
    <col min="6659" max="6659" width="10.42578125" style="94" bestFit="1" customWidth="1"/>
    <col min="6660" max="6660" width="10.42578125" style="94" customWidth="1"/>
    <col min="6661" max="6661" width="9.7109375" style="94" bestFit="1" customWidth="1"/>
    <col min="6662" max="6663" width="9.5703125" style="94" bestFit="1" customWidth="1"/>
    <col min="6664" max="6664" width="10.42578125" style="94" bestFit="1" customWidth="1"/>
    <col min="6665" max="6665" width="4.5703125" style="94" customWidth="1"/>
    <col min="6666" max="6666" width="1.7109375" style="94" customWidth="1"/>
    <col min="6667" max="6667" width="7" style="94" bestFit="1" customWidth="1"/>
    <col min="6668" max="6668" width="6.28515625" style="94" customWidth="1"/>
    <col min="6669" max="6669" width="20.42578125" style="94" customWidth="1"/>
    <col min="6670" max="6670" width="6.42578125" style="94" bestFit="1" customWidth="1"/>
    <col min="6671" max="6672" width="8.42578125" style="94"/>
    <col min="6673" max="6673" width="3.28515625" style="94" customWidth="1"/>
    <col min="6674" max="6912" width="8.42578125" style="94"/>
    <col min="6913" max="6913" width="10" style="94" bestFit="1" customWidth="1"/>
    <col min="6914" max="6914" width="44.28515625" style="94" bestFit="1" customWidth="1"/>
    <col min="6915" max="6915" width="10.42578125" style="94" bestFit="1" customWidth="1"/>
    <col min="6916" max="6916" width="10.42578125" style="94" customWidth="1"/>
    <col min="6917" max="6917" width="9.7109375" style="94" bestFit="1" customWidth="1"/>
    <col min="6918" max="6919" width="9.5703125" style="94" bestFit="1" customWidth="1"/>
    <col min="6920" max="6920" width="10.42578125" style="94" bestFit="1" customWidth="1"/>
    <col min="6921" max="6921" width="4.5703125" style="94" customWidth="1"/>
    <col min="6922" max="6922" width="1.7109375" style="94" customWidth="1"/>
    <col min="6923" max="6923" width="7" style="94" bestFit="1" customWidth="1"/>
    <col min="6924" max="6924" width="6.28515625" style="94" customWidth="1"/>
    <col min="6925" max="6925" width="20.42578125" style="94" customWidth="1"/>
    <col min="6926" max="6926" width="6.42578125" style="94" bestFit="1" customWidth="1"/>
    <col min="6927" max="6928" width="8.42578125" style="94"/>
    <col min="6929" max="6929" width="3.28515625" style="94" customWidth="1"/>
    <col min="6930" max="7168" width="8.42578125" style="94"/>
    <col min="7169" max="7169" width="10" style="94" bestFit="1" customWidth="1"/>
    <col min="7170" max="7170" width="44.28515625" style="94" bestFit="1" customWidth="1"/>
    <col min="7171" max="7171" width="10.42578125" style="94" bestFit="1" customWidth="1"/>
    <col min="7172" max="7172" width="10.42578125" style="94" customWidth="1"/>
    <col min="7173" max="7173" width="9.7109375" style="94" bestFit="1" customWidth="1"/>
    <col min="7174" max="7175" width="9.5703125" style="94" bestFit="1" customWidth="1"/>
    <col min="7176" max="7176" width="10.42578125" style="94" bestFit="1" customWidth="1"/>
    <col min="7177" max="7177" width="4.5703125" style="94" customWidth="1"/>
    <col min="7178" max="7178" width="1.7109375" style="94" customWidth="1"/>
    <col min="7179" max="7179" width="7" style="94" bestFit="1" customWidth="1"/>
    <col min="7180" max="7180" width="6.28515625" style="94" customWidth="1"/>
    <col min="7181" max="7181" width="20.42578125" style="94" customWidth="1"/>
    <col min="7182" max="7182" width="6.42578125" style="94" bestFit="1" customWidth="1"/>
    <col min="7183" max="7184" width="8.42578125" style="94"/>
    <col min="7185" max="7185" width="3.28515625" style="94" customWidth="1"/>
    <col min="7186" max="7424" width="8.42578125" style="94"/>
    <col min="7425" max="7425" width="10" style="94" bestFit="1" customWidth="1"/>
    <col min="7426" max="7426" width="44.28515625" style="94" bestFit="1" customWidth="1"/>
    <col min="7427" max="7427" width="10.42578125" style="94" bestFit="1" customWidth="1"/>
    <col min="7428" max="7428" width="10.42578125" style="94" customWidth="1"/>
    <col min="7429" max="7429" width="9.7109375" style="94" bestFit="1" customWidth="1"/>
    <col min="7430" max="7431" width="9.5703125" style="94" bestFit="1" customWidth="1"/>
    <col min="7432" max="7432" width="10.42578125" style="94" bestFit="1" customWidth="1"/>
    <col min="7433" max="7433" width="4.5703125" style="94" customWidth="1"/>
    <col min="7434" max="7434" width="1.7109375" style="94" customWidth="1"/>
    <col min="7435" max="7435" width="7" style="94" bestFit="1" customWidth="1"/>
    <col min="7436" max="7436" width="6.28515625" style="94" customWidth="1"/>
    <col min="7437" max="7437" width="20.42578125" style="94" customWidth="1"/>
    <col min="7438" max="7438" width="6.42578125" style="94" bestFit="1" customWidth="1"/>
    <col min="7439" max="7440" width="8.42578125" style="94"/>
    <col min="7441" max="7441" width="3.28515625" style="94" customWidth="1"/>
    <col min="7442" max="7680" width="8.42578125" style="94"/>
    <col min="7681" max="7681" width="10" style="94" bestFit="1" customWidth="1"/>
    <col min="7682" max="7682" width="44.28515625" style="94" bestFit="1" customWidth="1"/>
    <col min="7683" max="7683" width="10.42578125" style="94" bestFit="1" customWidth="1"/>
    <col min="7684" max="7684" width="10.42578125" style="94" customWidth="1"/>
    <col min="7685" max="7685" width="9.7109375" style="94" bestFit="1" customWidth="1"/>
    <col min="7686" max="7687" width="9.5703125" style="94" bestFit="1" customWidth="1"/>
    <col min="7688" max="7688" width="10.42578125" style="94" bestFit="1" customWidth="1"/>
    <col min="7689" max="7689" width="4.5703125" style="94" customWidth="1"/>
    <col min="7690" max="7690" width="1.7109375" style="94" customWidth="1"/>
    <col min="7691" max="7691" width="7" style="94" bestFit="1" customWidth="1"/>
    <col min="7692" max="7692" width="6.28515625" style="94" customWidth="1"/>
    <col min="7693" max="7693" width="20.42578125" style="94" customWidth="1"/>
    <col min="7694" max="7694" width="6.42578125" style="94" bestFit="1" customWidth="1"/>
    <col min="7695" max="7696" width="8.42578125" style="94"/>
    <col min="7697" max="7697" width="3.28515625" style="94" customWidth="1"/>
    <col min="7698" max="7936" width="8.42578125" style="94"/>
    <col min="7937" max="7937" width="10" style="94" bestFit="1" customWidth="1"/>
    <col min="7938" max="7938" width="44.28515625" style="94" bestFit="1" customWidth="1"/>
    <col min="7939" max="7939" width="10.42578125" style="94" bestFit="1" customWidth="1"/>
    <col min="7940" max="7940" width="10.42578125" style="94" customWidth="1"/>
    <col min="7941" max="7941" width="9.7109375" style="94" bestFit="1" customWidth="1"/>
    <col min="7942" max="7943" width="9.5703125" style="94" bestFit="1" customWidth="1"/>
    <col min="7944" max="7944" width="10.42578125" style="94" bestFit="1" customWidth="1"/>
    <col min="7945" max="7945" width="4.5703125" style="94" customWidth="1"/>
    <col min="7946" max="7946" width="1.7109375" style="94" customWidth="1"/>
    <col min="7947" max="7947" width="7" style="94" bestFit="1" customWidth="1"/>
    <col min="7948" max="7948" width="6.28515625" style="94" customWidth="1"/>
    <col min="7949" max="7949" width="20.42578125" style="94" customWidth="1"/>
    <col min="7950" max="7950" width="6.42578125" style="94" bestFit="1" customWidth="1"/>
    <col min="7951" max="7952" width="8.42578125" style="94"/>
    <col min="7953" max="7953" width="3.28515625" style="94" customWidth="1"/>
    <col min="7954" max="8192" width="8.42578125" style="94"/>
    <col min="8193" max="8193" width="10" style="94" bestFit="1" customWidth="1"/>
    <col min="8194" max="8194" width="44.28515625" style="94" bestFit="1" customWidth="1"/>
    <col min="8195" max="8195" width="10.42578125" style="94" bestFit="1" customWidth="1"/>
    <col min="8196" max="8196" width="10.42578125" style="94" customWidth="1"/>
    <col min="8197" max="8197" width="9.7109375" style="94" bestFit="1" customWidth="1"/>
    <col min="8198" max="8199" width="9.5703125" style="94" bestFit="1" customWidth="1"/>
    <col min="8200" max="8200" width="10.42578125" style="94" bestFit="1" customWidth="1"/>
    <col min="8201" max="8201" width="4.5703125" style="94" customWidth="1"/>
    <col min="8202" max="8202" width="1.7109375" style="94" customWidth="1"/>
    <col min="8203" max="8203" width="7" style="94" bestFit="1" customWidth="1"/>
    <col min="8204" max="8204" width="6.28515625" style="94" customWidth="1"/>
    <col min="8205" max="8205" width="20.42578125" style="94" customWidth="1"/>
    <col min="8206" max="8206" width="6.42578125" style="94" bestFit="1" customWidth="1"/>
    <col min="8207" max="8208" width="8.42578125" style="94"/>
    <col min="8209" max="8209" width="3.28515625" style="94" customWidth="1"/>
    <col min="8210" max="8448" width="8.42578125" style="94"/>
    <col min="8449" max="8449" width="10" style="94" bestFit="1" customWidth="1"/>
    <col min="8450" max="8450" width="44.28515625" style="94" bestFit="1" customWidth="1"/>
    <col min="8451" max="8451" width="10.42578125" style="94" bestFit="1" customWidth="1"/>
    <col min="8452" max="8452" width="10.42578125" style="94" customWidth="1"/>
    <col min="8453" max="8453" width="9.7109375" style="94" bestFit="1" customWidth="1"/>
    <col min="8454" max="8455" width="9.5703125" style="94" bestFit="1" customWidth="1"/>
    <col min="8456" max="8456" width="10.42578125" style="94" bestFit="1" customWidth="1"/>
    <col min="8457" max="8457" width="4.5703125" style="94" customWidth="1"/>
    <col min="8458" max="8458" width="1.7109375" style="94" customWidth="1"/>
    <col min="8459" max="8459" width="7" style="94" bestFit="1" customWidth="1"/>
    <col min="8460" max="8460" width="6.28515625" style="94" customWidth="1"/>
    <col min="8461" max="8461" width="20.42578125" style="94" customWidth="1"/>
    <col min="8462" max="8462" width="6.42578125" style="94" bestFit="1" customWidth="1"/>
    <col min="8463" max="8464" width="8.42578125" style="94"/>
    <col min="8465" max="8465" width="3.28515625" style="94" customWidth="1"/>
    <col min="8466" max="8704" width="8.42578125" style="94"/>
    <col min="8705" max="8705" width="10" style="94" bestFit="1" customWidth="1"/>
    <col min="8706" max="8706" width="44.28515625" style="94" bestFit="1" customWidth="1"/>
    <col min="8707" max="8707" width="10.42578125" style="94" bestFit="1" customWidth="1"/>
    <col min="8708" max="8708" width="10.42578125" style="94" customWidth="1"/>
    <col min="8709" max="8709" width="9.7109375" style="94" bestFit="1" customWidth="1"/>
    <col min="8710" max="8711" width="9.5703125" style="94" bestFit="1" customWidth="1"/>
    <col min="8712" max="8712" width="10.42578125" style="94" bestFit="1" customWidth="1"/>
    <col min="8713" max="8713" width="4.5703125" style="94" customWidth="1"/>
    <col min="8714" max="8714" width="1.7109375" style="94" customWidth="1"/>
    <col min="8715" max="8715" width="7" style="94" bestFit="1" customWidth="1"/>
    <col min="8716" max="8716" width="6.28515625" style="94" customWidth="1"/>
    <col min="8717" max="8717" width="20.42578125" style="94" customWidth="1"/>
    <col min="8718" max="8718" width="6.42578125" style="94" bestFit="1" customWidth="1"/>
    <col min="8719" max="8720" width="8.42578125" style="94"/>
    <col min="8721" max="8721" width="3.28515625" style="94" customWidth="1"/>
    <col min="8722" max="8960" width="8.42578125" style="94"/>
    <col min="8961" max="8961" width="10" style="94" bestFit="1" customWidth="1"/>
    <col min="8962" max="8962" width="44.28515625" style="94" bestFit="1" customWidth="1"/>
    <col min="8963" max="8963" width="10.42578125" style="94" bestFit="1" customWidth="1"/>
    <col min="8964" max="8964" width="10.42578125" style="94" customWidth="1"/>
    <col min="8965" max="8965" width="9.7109375" style="94" bestFit="1" customWidth="1"/>
    <col min="8966" max="8967" width="9.5703125" style="94" bestFit="1" customWidth="1"/>
    <col min="8968" max="8968" width="10.42578125" style="94" bestFit="1" customWidth="1"/>
    <col min="8969" max="8969" width="4.5703125" style="94" customWidth="1"/>
    <col min="8970" max="8970" width="1.7109375" style="94" customWidth="1"/>
    <col min="8971" max="8971" width="7" style="94" bestFit="1" customWidth="1"/>
    <col min="8972" max="8972" width="6.28515625" style="94" customWidth="1"/>
    <col min="8973" max="8973" width="20.42578125" style="94" customWidth="1"/>
    <col min="8974" max="8974" width="6.42578125" style="94" bestFit="1" customWidth="1"/>
    <col min="8975" max="8976" width="8.42578125" style="94"/>
    <col min="8977" max="8977" width="3.28515625" style="94" customWidth="1"/>
    <col min="8978" max="9216" width="8.42578125" style="94"/>
    <col min="9217" max="9217" width="10" style="94" bestFit="1" customWidth="1"/>
    <col min="9218" max="9218" width="44.28515625" style="94" bestFit="1" customWidth="1"/>
    <col min="9219" max="9219" width="10.42578125" style="94" bestFit="1" customWidth="1"/>
    <col min="9220" max="9220" width="10.42578125" style="94" customWidth="1"/>
    <col min="9221" max="9221" width="9.7109375" style="94" bestFit="1" customWidth="1"/>
    <col min="9222" max="9223" width="9.5703125" style="94" bestFit="1" customWidth="1"/>
    <col min="9224" max="9224" width="10.42578125" style="94" bestFit="1" customWidth="1"/>
    <col min="9225" max="9225" width="4.5703125" style="94" customWidth="1"/>
    <col min="9226" max="9226" width="1.7109375" style="94" customWidth="1"/>
    <col min="9227" max="9227" width="7" style="94" bestFit="1" customWidth="1"/>
    <col min="9228" max="9228" width="6.28515625" style="94" customWidth="1"/>
    <col min="9229" max="9229" width="20.42578125" style="94" customWidth="1"/>
    <col min="9230" max="9230" width="6.42578125" style="94" bestFit="1" customWidth="1"/>
    <col min="9231" max="9232" width="8.42578125" style="94"/>
    <col min="9233" max="9233" width="3.28515625" style="94" customWidth="1"/>
    <col min="9234" max="9472" width="8.42578125" style="94"/>
    <col min="9473" max="9473" width="10" style="94" bestFit="1" customWidth="1"/>
    <col min="9474" max="9474" width="44.28515625" style="94" bestFit="1" customWidth="1"/>
    <col min="9475" max="9475" width="10.42578125" style="94" bestFit="1" customWidth="1"/>
    <col min="9476" max="9476" width="10.42578125" style="94" customWidth="1"/>
    <col min="9477" max="9477" width="9.7109375" style="94" bestFit="1" customWidth="1"/>
    <col min="9478" max="9479" width="9.5703125" style="94" bestFit="1" customWidth="1"/>
    <col min="9480" max="9480" width="10.42578125" style="94" bestFit="1" customWidth="1"/>
    <col min="9481" max="9481" width="4.5703125" style="94" customWidth="1"/>
    <col min="9482" max="9482" width="1.7109375" style="94" customWidth="1"/>
    <col min="9483" max="9483" width="7" style="94" bestFit="1" customWidth="1"/>
    <col min="9484" max="9484" width="6.28515625" style="94" customWidth="1"/>
    <col min="9485" max="9485" width="20.42578125" style="94" customWidth="1"/>
    <col min="9486" max="9486" width="6.42578125" style="94" bestFit="1" customWidth="1"/>
    <col min="9487" max="9488" width="8.42578125" style="94"/>
    <col min="9489" max="9489" width="3.28515625" style="94" customWidth="1"/>
    <col min="9490" max="9728" width="8.42578125" style="94"/>
    <col min="9729" max="9729" width="10" style="94" bestFit="1" customWidth="1"/>
    <col min="9730" max="9730" width="44.28515625" style="94" bestFit="1" customWidth="1"/>
    <col min="9731" max="9731" width="10.42578125" style="94" bestFit="1" customWidth="1"/>
    <col min="9732" max="9732" width="10.42578125" style="94" customWidth="1"/>
    <col min="9733" max="9733" width="9.7109375" style="94" bestFit="1" customWidth="1"/>
    <col min="9734" max="9735" width="9.5703125" style="94" bestFit="1" customWidth="1"/>
    <col min="9736" max="9736" width="10.42578125" style="94" bestFit="1" customWidth="1"/>
    <col min="9737" max="9737" width="4.5703125" style="94" customWidth="1"/>
    <col min="9738" max="9738" width="1.7109375" style="94" customWidth="1"/>
    <col min="9739" max="9739" width="7" style="94" bestFit="1" customWidth="1"/>
    <col min="9740" max="9740" width="6.28515625" style="94" customWidth="1"/>
    <col min="9741" max="9741" width="20.42578125" style="94" customWidth="1"/>
    <col min="9742" max="9742" width="6.42578125" style="94" bestFit="1" customWidth="1"/>
    <col min="9743" max="9744" width="8.42578125" style="94"/>
    <col min="9745" max="9745" width="3.28515625" style="94" customWidth="1"/>
    <col min="9746" max="9984" width="8.42578125" style="94"/>
    <col min="9985" max="9985" width="10" style="94" bestFit="1" customWidth="1"/>
    <col min="9986" max="9986" width="44.28515625" style="94" bestFit="1" customWidth="1"/>
    <col min="9987" max="9987" width="10.42578125" style="94" bestFit="1" customWidth="1"/>
    <col min="9988" max="9988" width="10.42578125" style="94" customWidth="1"/>
    <col min="9989" max="9989" width="9.7109375" style="94" bestFit="1" customWidth="1"/>
    <col min="9990" max="9991" width="9.5703125" style="94" bestFit="1" customWidth="1"/>
    <col min="9992" max="9992" width="10.42578125" style="94" bestFit="1" customWidth="1"/>
    <col min="9993" max="9993" width="4.5703125" style="94" customWidth="1"/>
    <col min="9994" max="9994" width="1.7109375" style="94" customWidth="1"/>
    <col min="9995" max="9995" width="7" style="94" bestFit="1" customWidth="1"/>
    <col min="9996" max="9996" width="6.28515625" style="94" customWidth="1"/>
    <col min="9997" max="9997" width="20.42578125" style="94" customWidth="1"/>
    <col min="9998" max="9998" width="6.42578125" style="94" bestFit="1" customWidth="1"/>
    <col min="9999" max="10000" width="8.42578125" style="94"/>
    <col min="10001" max="10001" width="3.28515625" style="94" customWidth="1"/>
    <col min="10002" max="10240" width="8.42578125" style="94"/>
    <col min="10241" max="10241" width="10" style="94" bestFit="1" customWidth="1"/>
    <col min="10242" max="10242" width="44.28515625" style="94" bestFit="1" customWidth="1"/>
    <col min="10243" max="10243" width="10.42578125" style="94" bestFit="1" customWidth="1"/>
    <col min="10244" max="10244" width="10.42578125" style="94" customWidth="1"/>
    <col min="10245" max="10245" width="9.7109375" style="94" bestFit="1" customWidth="1"/>
    <col min="10246" max="10247" width="9.5703125" style="94" bestFit="1" customWidth="1"/>
    <col min="10248" max="10248" width="10.42578125" style="94" bestFit="1" customWidth="1"/>
    <col min="10249" max="10249" width="4.5703125" style="94" customWidth="1"/>
    <col min="10250" max="10250" width="1.7109375" style="94" customWidth="1"/>
    <col min="10251" max="10251" width="7" style="94" bestFit="1" customWidth="1"/>
    <col min="10252" max="10252" width="6.28515625" style="94" customWidth="1"/>
    <col min="10253" max="10253" width="20.42578125" style="94" customWidth="1"/>
    <col min="10254" max="10254" width="6.42578125" style="94" bestFit="1" customWidth="1"/>
    <col min="10255" max="10256" width="8.42578125" style="94"/>
    <col min="10257" max="10257" width="3.28515625" style="94" customWidth="1"/>
    <col min="10258" max="10496" width="8.42578125" style="94"/>
    <col min="10497" max="10497" width="10" style="94" bestFit="1" customWidth="1"/>
    <col min="10498" max="10498" width="44.28515625" style="94" bestFit="1" customWidth="1"/>
    <col min="10499" max="10499" width="10.42578125" style="94" bestFit="1" customWidth="1"/>
    <col min="10500" max="10500" width="10.42578125" style="94" customWidth="1"/>
    <col min="10501" max="10501" width="9.7109375" style="94" bestFit="1" customWidth="1"/>
    <col min="10502" max="10503" width="9.5703125" style="94" bestFit="1" customWidth="1"/>
    <col min="10504" max="10504" width="10.42578125" style="94" bestFit="1" customWidth="1"/>
    <col min="10505" max="10505" width="4.5703125" style="94" customWidth="1"/>
    <col min="10506" max="10506" width="1.7109375" style="94" customWidth="1"/>
    <col min="10507" max="10507" width="7" style="94" bestFit="1" customWidth="1"/>
    <col min="10508" max="10508" width="6.28515625" style="94" customWidth="1"/>
    <col min="10509" max="10509" width="20.42578125" style="94" customWidth="1"/>
    <col min="10510" max="10510" width="6.42578125" style="94" bestFit="1" customWidth="1"/>
    <col min="10511" max="10512" width="8.42578125" style="94"/>
    <col min="10513" max="10513" width="3.28515625" style="94" customWidth="1"/>
    <col min="10514" max="10752" width="8.42578125" style="94"/>
    <col min="10753" max="10753" width="10" style="94" bestFit="1" customWidth="1"/>
    <col min="10754" max="10754" width="44.28515625" style="94" bestFit="1" customWidth="1"/>
    <col min="10755" max="10755" width="10.42578125" style="94" bestFit="1" customWidth="1"/>
    <col min="10756" max="10756" width="10.42578125" style="94" customWidth="1"/>
    <col min="10757" max="10757" width="9.7109375" style="94" bestFit="1" customWidth="1"/>
    <col min="10758" max="10759" width="9.5703125" style="94" bestFit="1" customWidth="1"/>
    <col min="10760" max="10760" width="10.42578125" style="94" bestFit="1" customWidth="1"/>
    <col min="10761" max="10761" width="4.5703125" style="94" customWidth="1"/>
    <col min="10762" max="10762" width="1.7109375" style="94" customWidth="1"/>
    <col min="10763" max="10763" width="7" style="94" bestFit="1" customWidth="1"/>
    <col min="10764" max="10764" width="6.28515625" style="94" customWidth="1"/>
    <col min="10765" max="10765" width="20.42578125" style="94" customWidth="1"/>
    <col min="10766" max="10766" width="6.42578125" style="94" bestFit="1" customWidth="1"/>
    <col min="10767" max="10768" width="8.42578125" style="94"/>
    <col min="10769" max="10769" width="3.28515625" style="94" customWidth="1"/>
    <col min="10770" max="11008" width="8.42578125" style="94"/>
    <col min="11009" max="11009" width="10" style="94" bestFit="1" customWidth="1"/>
    <col min="11010" max="11010" width="44.28515625" style="94" bestFit="1" customWidth="1"/>
    <col min="11011" max="11011" width="10.42578125" style="94" bestFit="1" customWidth="1"/>
    <col min="11012" max="11012" width="10.42578125" style="94" customWidth="1"/>
    <col min="11013" max="11013" width="9.7109375" style="94" bestFit="1" customWidth="1"/>
    <col min="11014" max="11015" width="9.5703125" style="94" bestFit="1" customWidth="1"/>
    <col min="11016" max="11016" width="10.42578125" style="94" bestFit="1" customWidth="1"/>
    <col min="11017" max="11017" width="4.5703125" style="94" customWidth="1"/>
    <col min="11018" max="11018" width="1.7109375" style="94" customWidth="1"/>
    <col min="11019" max="11019" width="7" style="94" bestFit="1" customWidth="1"/>
    <col min="11020" max="11020" width="6.28515625" style="94" customWidth="1"/>
    <col min="11021" max="11021" width="20.42578125" style="94" customWidth="1"/>
    <col min="11022" max="11022" width="6.42578125" style="94" bestFit="1" customWidth="1"/>
    <col min="11023" max="11024" width="8.42578125" style="94"/>
    <col min="11025" max="11025" width="3.28515625" style="94" customWidth="1"/>
    <col min="11026" max="11264" width="8.42578125" style="94"/>
    <col min="11265" max="11265" width="10" style="94" bestFit="1" customWidth="1"/>
    <col min="11266" max="11266" width="44.28515625" style="94" bestFit="1" customWidth="1"/>
    <col min="11267" max="11267" width="10.42578125" style="94" bestFit="1" customWidth="1"/>
    <col min="11268" max="11268" width="10.42578125" style="94" customWidth="1"/>
    <col min="11269" max="11269" width="9.7109375" style="94" bestFit="1" customWidth="1"/>
    <col min="11270" max="11271" width="9.5703125" style="94" bestFit="1" customWidth="1"/>
    <col min="11272" max="11272" width="10.42578125" style="94" bestFit="1" customWidth="1"/>
    <col min="11273" max="11273" width="4.5703125" style="94" customWidth="1"/>
    <col min="11274" max="11274" width="1.7109375" style="94" customWidth="1"/>
    <col min="11275" max="11275" width="7" style="94" bestFit="1" customWidth="1"/>
    <col min="11276" max="11276" width="6.28515625" style="94" customWidth="1"/>
    <col min="11277" max="11277" width="20.42578125" style="94" customWidth="1"/>
    <col min="11278" max="11278" width="6.42578125" style="94" bestFit="1" customWidth="1"/>
    <col min="11279" max="11280" width="8.42578125" style="94"/>
    <col min="11281" max="11281" width="3.28515625" style="94" customWidth="1"/>
    <col min="11282" max="11520" width="8.42578125" style="94"/>
    <col min="11521" max="11521" width="10" style="94" bestFit="1" customWidth="1"/>
    <col min="11522" max="11522" width="44.28515625" style="94" bestFit="1" customWidth="1"/>
    <col min="11523" max="11523" width="10.42578125" style="94" bestFit="1" customWidth="1"/>
    <col min="11524" max="11524" width="10.42578125" style="94" customWidth="1"/>
    <col min="11525" max="11525" width="9.7109375" style="94" bestFit="1" customWidth="1"/>
    <col min="11526" max="11527" width="9.5703125" style="94" bestFit="1" customWidth="1"/>
    <col min="11528" max="11528" width="10.42578125" style="94" bestFit="1" customWidth="1"/>
    <col min="11529" max="11529" width="4.5703125" style="94" customWidth="1"/>
    <col min="11530" max="11530" width="1.7109375" style="94" customWidth="1"/>
    <col min="11531" max="11531" width="7" style="94" bestFit="1" customWidth="1"/>
    <col min="11532" max="11532" width="6.28515625" style="94" customWidth="1"/>
    <col min="11533" max="11533" width="20.42578125" style="94" customWidth="1"/>
    <col min="11534" max="11534" width="6.42578125" style="94" bestFit="1" customWidth="1"/>
    <col min="11535" max="11536" width="8.42578125" style="94"/>
    <col min="11537" max="11537" width="3.28515625" style="94" customWidth="1"/>
    <col min="11538" max="11776" width="8.42578125" style="94"/>
    <col min="11777" max="11777" width="10" style="94" bestFit="1" customWidth="1"/>
    <col min="11778" max="11778" width="44.28515625" style="94" bestFit="1" customWidth="1"/>
    <col min="11779" max="11779" width="10.42578125" style="94" bestFit="1" customWidth="1"/>
    <col min="11780" max="11780" width="10.42578125" style="94" customWidth="1"/>
    <col min="11781" max="11781" width="9.7109375" style="94" bestFit="1" customWidth="1"/>
    <col min="11782" max="11783" width="9.5703125" style="94" bestFit="1" customWidth="1"/>
    <col min="11784" max="11784" width="10.42578125" style="94" bestFit="1" customWidth="1"/>
    <col min="11785" max="11785" width="4.5703125" style="94" customWidth="1"/>
    <col min="11786" max="11786" width="1.7109375" style="94" customWidth="1"/>
    <col min="11787" max="11787" width="7" style="94" bestFit="1" customWidth="1"/>
    <col min="11788" max="11788" width="6.28515625" style="94" customWidth="1"/>
    <col min="11789" max="11789" width="20.42578125" style="94" customWidth="1"/>
    <col min="11790" max="11790" width="6.42578125" style="94" bestFit="1" customWidth="1"/>
    <col min="11791" max="11792" width="8.42578125" style="94"/>
    <col min="11793" max="11793" width="3.28515625" style="94" customWidth="1"/>
    <col min="11794" max="12032" width="8.42578125" style="94"/>
    <col min="12033" max="12033" width="10" style="94" bestFit="1" customWidth="1"/>
    <col min="12034" max="12034" width="44.28515625" style="94" bestFit="1" customWidth="1"/>
    <col min="12035" max="12035" width="10.42578125" style="94" bestFit="1" customWidth="1"/>
    <col min="12036" max="12036" width="10.42578125" style="94" customWidth="1"/>
    <col min="12037" max="12037" width="9.7109375" style="94" bestFit="1" customWidth="1"/>
    <col min="12038" max="12039" width="9.5703125" style="94" bestFit="1" customWidth="1"/>
    <col min="12040" max="12040" width="10.42578125" style="94" bestFit="1" customWidth="1"/>
    <col min="12041" max="12041" width="4.5703125" style="94" customWidth="1"/>
    <col min="12042" max="12042" width="1.7109375" style="94" customWidth="1"/>
    <col min="12043" max="12043" width="7" style="94" bestFit="1" customWidth="1"/>
    <col min="12044" max="12044" width="6.28515625" style="94" customWidth="1"/>
    <col min="12045" max="12045" width="20.42578125" style="94" customWidth="1"/>
    <col min="12046" max="12046" width="6.42578125" style="94" bestFit="1" customWidth="1"/>
    <col min="12047" max="12048" width="8.42578125" style="94"/>
    <col min="12049" max="12049" width="3.28515625" style="94" customWidth="1"/>
    <col min="12050" max="12288" width="8.42578125" style="94"/>
    <col min="12289" max="12289" width="10" style="94" bestFit="1" customWidth="1"/>
    <col min="12290" max="12290" width="44.28515625" style="94" bestFit="1" customWidth="1"/>
    <col min="12291" max="12291" width="10.42578125" style="94" bestFit="1" customWidth="1"/>
    <col min="12292" max="12292" width="10.42578125" style="94" customWidth="1"/>
    <col min="12293" max="12293" width="9.7109375" style="94" bestFit="1" customWidth="1"/>
    <col min="12294" max="12295" width="9.5703125" style="94" bestFit="1" customWidth="1"/>
    <col min="12296" max="12296" width="10.42578125" style="94" bestFit="1" customWidth="1"/>
    <col min="12297" max="12297" width="4.5703125" style="94" customWidth="1"/>
    <col min="12298" max="12298" width="1.7109375" style="94" customWidth="1"/>
    <col min="12299" max="12299" width="7" style="94" bestFit="1" customWidth="1"/>
    <col min="12300" max="12300" width="6.28515625" style="94" customWidth="1"/>
    <col min="12301" max="12301" width="20.42578125" style="94" customWidth="1"/>
    <col min="12302" max="12302" width="6.42578125" style="94" bestFit="1" customWidth="1"/>
    <col min="12303" max="12304" width="8.42578125" style="94"/>
    <col min="12305" max="12305" width="3.28515625" style="94" customWidth="1"/>
    <col min="12306" max="12544" width="8.42578125" style="94"/>
    <col min="12545" max="12545" width="10" style="94" bestFit="1" customWidth="1"/>
    <col min="12546" max="12546" width="44.28515625" style="94" bestFit="1" customWidth="1"/>
    <col min="12547" max="12547" width="10.42578125" style="94" bestFit="1" customWidth="1"/>
    <col min="12548" max="12548" width="10.42578125" style="94" customWidth="1"/>
    <col min="12549" max="12549" width="9.7109375" style="94" bestFit="1" customWidth="1"/>
    <col min="12550" max="12551" width="9.5703125" style="94" bestFit="1" customWidth="1"/>
    <col min="12552" max="12552" width="10.42578125" style="94" bestFit="1" customWidth="1"/>
    <col min="12553" max="12553" width="4.5703125" style="94" customWidth="1"/>
    <col min="12554" max="12554" width="1.7109375" style="94" customWidth="1"/>
    <col min="12555" max="12555" width="7" style="94" bestFit="1" customWidth="1"/>
    <col min="12556" max="12556" width="6.28515625" style="94" customWidth="1"/>
    <col min="12557" max="12557" width="20.42578125" style="94" customWidth="1"/>
    <col min="12558" max="12558" width="6.42578125" style="94" bestFit="1" customWidth="1"/>
    <col min="12559" max="12560" width="8.42578125" style="94"/>
    <col min="12561" max="12561" width="3.28515625" style="94" customWidth="1"/>
    <col min="12562" max="12800" width="8.42578125" style="94"/>
    <col min="12801" max="12801" width="10" style="94" bestFit="1" customWidth="1"/>
    <col min="12802" max="12802" width="44.28515625" style="94" bestFit="1" customWidth="1"/>
    <col min="12803" max="12803" width="10.42578125" style="94" bestFit="1" customWidth="1"/>
    <col min="12804" max="12804" width="10.42578125" style="94" customWidth="1"/>
    <col min="12805" max="12805" width="9.7109375" style="94" bestFit="1" customWidth="1"/>
    <col min="12806" max="12807" width="9.5703125" style="94" bestFit="1" customWidth="1"/>
    <col min="12808" max="12808" width="10.42578125" style="94" bestFit="1" customWidth="1"/>
    <col min="12809" max="12809" width="4.5703125" style="94" customWidth="1"/>
    <col min="12810" max="12810" width="1.7109375" style="94" customWidth="1"/>
    <col min="12811" max="12811" width="7" style="94" bestFit="1" customWidth="1"/>
    <col min="12812" max="12812" width="6.28515625" style="94" customWidth="1"/>
    <col min="12813" max="12813" width="20.42578125" style="94" customWidth="1"/>
    <col min="12814" max="12814" width="6.42578125" style="94" bestFit="1" customWidth="1"/>
    <col min="12815" max="12816" width="8.42578125" style="94"/>
    <col min="12817" max="12817" width="3.28515625" style="94" customWidth="1"/>
    <col min="12818" max="13056" width="8.42578125" style="94"/>
    <col min="13057" max="13057" width="10" style="94" bestFit="1" customWidth="1"/>
    <col min="13058" max="13058" width="44.28515625" style="94" bestFit="1" customWidth="1"/>
    <col min="13059" max="13059" width="10.42578125" style="94" bestFit="1" customWidth="1"/>
    <col min="13060" max="13060" width="10.42578125" style="94" customWidth="1"/>
    <col min="13061" max="13061" width="9.7109375" style="94" bestFit="1" customWidth="1"/>
    <col min="13062" max="13063" width="9.5703125" style="94" bestFit="1" customWidth="1"/>
    <col min="13064" max="13064" width="10.42578125" style="94" bestFit="1" customWidth="1"/>
    <col min="13065" max="13065" width="4.5703125" style="94" customWidth="1"/>
    <col min="13066" max="13066" width="1.7109375" style="94" customWidth="1"/>
    <col min="13067" max="13067" width="7" style="94" bestFit="1" customWidth="1"/>
    <col min="13068" max="13068" width="6.28515625" style="94" customWidth="1"/>
    <col min="13069" max="13069" width="20.42578125" style="94" customWidth="1"/>
    <col min="13070" max="13070" width="6.42578125" style="94" bestFit="1" customWidth="1"/>
    <col min="13071" max="13072" width="8.42578125" style="94"/>
    <col min="13073" max="13073" width="3.28515625" style="94" customWidth="1"/>
    <col min="13074" max="13312" width="8.42578125" style="94"/>
    <col min="13313" max="13313" width="10" style="94" bestFit="1" customWidth="1"/>
    <col min="13314" max="13314" width="44.28515625" style="94" bestFit="1" customWidth="1"/>
    <col min="13315" max="13315" width="10.42578125" style="94" bestFit="1" customWidth="1"/>
    <col min="13316" max="13316" width="10.42578125" style="94" customWidth="1"/>
    <col min="13317" max="13317" width="9.7109375" style="94" bestFit="1" customWidth="1"/>
    <col min="13318" max="13319" width="9.5703125" style="94" bestFit="1" customWidth="1"/>
    <col min="13320" max="13320" width="10.42578125" style="94" bestFit="1" customWidth="1"/>
    <col min="13321" max="13321" width="4.5703125" style="94" customWidth="1"/>
    <col min="13322" max="13322" width="1.7109375" style="94" customWidth="1"/>
    <col min="13323" max="13323" width="7" style="94" bestFit="1" customWidth="1"/>
    <col min="13324" max="13324" width="6.28515625" style="94" customWidth="1"/>
    <col min="13325" max="13325" width="20.42578125" style="94" customWidth="1"/>
    <col min="13326" max="13326" width="6.42578125" style="94" bestFit="1" customWidth="1"/>
    <col min="13327" max="13328" width="8.42578125" style="94"/>
    <col min="13329" max="13329" width="3.28515625" style="94" customWidth="1"/>
    <col min="13330" max="13568" width="8.42578125" style="94"/>
    <col min="13569" max="13569" width="10" style="94" bestFit="1" customWidth="1"/>
    <col min="13570" max="13570" width="44.28515625" style="94" bestFit="1" customWidth="1"/>
    <col min="13571" max="13571" width="10.42578125" style="94" bestFit="1" customWidth="1"/>
    <col min="13572" max="13572" width="10.42578125" style="94" customWidth="1"/>
    <col min="13573" max="13573" width="9.7109375" style="94" bestFit="1" customWidth="1"/>
    <col min="13574" max="13575" width="9.5703125" style="94" bestFit="1" customWidth="1"/>
    <col min="13576" max="13576" width="10.42578125" style="94" bestFit="1" customWidth="1"/>
    <col min="13577" max="13577" width="4.5703125" style="94" customWidth="1"/>
    <col min="13578" max="13578" width="1.7109375" style="94" customWidth="1"/>
    <col min="13579" max="13579" width="7" style="94" bestFit="1" customWidth="1"/>
    <col min="13580" max="13580" width="6.28515625" style="94" customWidth="1"/>
    <col min="13581" max="13581" width="20.42578125" style="94" customWidth="1"/>
    <col min="13582" max="13582" width="6.42578125" style="94" bestFit="1" customWidth="1"/>
    <col min="13583" max="13584" width="8.42578125" style="94"/>
    <col min="13585" max="13585" width="3.28515625" style="94" customWidth="1"/>
    <col min="13586" max="13824" width="8.42578125" style="94"/>
    <col min="13825" max="13825" width="10" style="94" bestFit="1" customWidth="1"/>
    <col min="13826" max="13826" width="44.28515625" style="94" bestFit="1" customWidth="1"/>
    <col min="13827" max="13827" width="10.42578125" style="94" bestFit="1" customWidth="1"/>
    <col min="13828" max="13828" width="10.42578125" style="94" customWidth="1"/>
    <col min="13829" max="13829" width="9.7109375" style="94" bestFit="1" customWidth="1"/>
    <col min="13830" max="13831" width="9.5703125" style="94" bestFit="1" customWidth="1"/>
    <col min="13832" max="13832" width="10.42578125" style="94" bestFit="1" customWidth="1"/>
    <col min="13833" max="13833" width="4.5703125" style="94" customWidth="1"/>
    <col min="13834" max="13834" width="1.7109375" style="94" customWidth="1"/>
    <col min="13835" max="13835" width="7" style="94" bestFit="1" customWidth="1"/>
    <col min="13836" max="13836" width="6.28515625" style="94" customWidth="1"/>
    <col min="13837" max="13837" width="20.42578125" style="94" customWidth="1"/>
    <col min="13838" max="13838" width="6.42578125" style="94" bestFit="1" customWidth="1"/>
    <col min="13839" max="13840" width="8.42578125" style="94"/>
    <col min="13841" max="13841" width="3.28515625" style="94" customWidth="1"/>
    <col min="13842" max="14080" width="8.42578125" style="94"/>
    <col min="14081" max="14081" width="10" style="94" bestFit="1" customWidth="1"/>
    <col min="14082" max="14082" width="44.28515625" style="94" bestFit="1" customWidth="1"/>
    <col min="14083" max="14083" width="10.42578125" style="94" bestFit="1" customWidth="1"/>
    <col min="14084" max="14084" width="10.42578125" style="94" customWidth="1"/>
    <col min="14085" max="14085" width="9.7109375" style="94" bestFit="1" customWidth="1"/>
    <col min="14086" max="14087" width="9.5703125" style="94" bestFit="1" customWidth="1"/>
    <col min="14088" max="14088" width="10.42578125" style="94" bestFit="1" customWidth="1"/>
    <col min="14089" max="14089" width="4.5703125" style="94" customWidth="1"/>
    <col min="14090" max="14090" width="1.7109375" style="94" customWidth="1"/>
    <col min="14091" max="14091" width="7" style="94" bestFit="1" customWidth="1"/>
    <col min="14092" max="14092" width="6.28515625" style="94" customWidth="1"/>
    <col min="14093" max="14093" width="20.42578125" style="94" customWidth="1"/>
    <col min="14094" max="14094" width="6.42578125" style="94" bestFit="1" customWidth="1"/>
    <col min="14095" max="14096" width="8.42578125" style="94"/>
    <col min="14097" max="14097" width="3.28515625" style="94" customWidth="1"/>
    <col min="14098" max="14336" width="8.42578125" style="94"/>
    <col min="14337" max="14337" width="10" style="94" bestFit="1" customWidth="1"/>
    <col min="14338" max="14338" width="44.28515625" style="94" bestFit="1" customWidth="1"/>
    <col min="14339" max="14339" width="10.42578125" style="94" bestFit="1" customWidth="1"/>
    <col min="14340" max="14340" width="10.42578125" style="94" customWidth="1"/>
    <col min="14341" max="14341" width="9.7109375" style="94" bestFit="1" customWidth="1"/>
    <col min="14342" max="14343" width="9.5703125" style="94" bestFit="1" customWidth="1"/>
    <col min="14344" max="14344" width="10.42578125" style="94" bestFit="1" customWidth="1"/>
    <col min="14345" max="14345" width="4.5703125" style="94" customWidth="1"/>
    <col min="14346" max="14346" width="1.7109375" style="94" customWidth="1"/>
    <col min="14347" max="14347" width="7" style="94" bestFit="1" customWidth="1"/>
    <col min="14348" max="14348" width="6.28515625" style="94" customWidth="1"/>
    <col min="14349" max="14349" width="20.42578125" style="94" customWidth="1"/>
    <col min="14350" max="14350" width="6.42578125" style="94" bestFit="1" customWidth="1"/>
    <col min="14351" max="14352" width="8.42578125" style="94"/>
    <col min="14353" max="14353" width="3.28515625" style="94" customWidth="1"/>
    <col min="14354" max="14592" width="8.42578125" style="94"/>
    <col min="14593" max="14593" width="10" style="94" bestFit="1" customWidth="1"/>
    <col min="14594" max="14594" width="44.28515625" style="94" bestFit="1" customWidth="1"/>
    <col min="14595" max="14595" width="10.42578125" style="94" bestFit="1" customWidth="1"/>
    <col min="14596" max="14596" width="10.42578125" style="94" customWidth="1"/>
    <col min="14597" max="14597" width="9.7109375" style="94" bestFit="1" customWidth="1"/>
    <col min="14598" max="14599" width="9.5703125" style="94" bestFit="1" customWidth="1"/>
    <col min="14600" max="14600" width="10.42578125" style="94" bestFit="1" customWidth="1"/>
    <col min="14601" max="14601" width="4.5703125" style="94" customWidth="1"/>
    <col min="14602" max="14602" width="1.7109375" style="94" customWidth="1"/>
    <col min="14603" max="14603" width="7" style="94" bestFit="1" customWidth="1"/>
    <col min="14604" max="14604" width="6.28515625" style="94" customWidth="1"/>
    <col min="14605" max="14605" width="20.42578125" style="94" customWidth="1"/>
    <col min="14606" max="14606" width="6.42578125" style="94" bestFit="1" customWidth="1"/>
    <col min="14607" max="14608" width="8.42578125" style="94"/>
    <col min="14609" max="14609" width="3.28515625" style="94" customWidth="1"/>
    <col min="14610" max="14848" width="8.42578125" style="94"/>
    <col min="14849" max="14849" width="10" style="94" bestFit="1" customWidth="1"/>
    <col min="14850" max="14850" width="44.28515625" style="94" bestFit="1" customWidth="1"/>
    <col min="14851" max="14851" width="10.42578125" style="94" bestFit="1" customWidth="1"/>
    <col min="14852" max="14852" width="10.42578125" style="94" customWidth="1"/>
    <col min="14853" max="14853" width="9.7109375" style="94" bestFit="1" customWidth="1"/>
    <col min="14854" max="14855" width="9.5703125" style="94" bestFit="1" customWidth="1"/>
    <col min="14856" max="14856" width="10.42578125" style="94" bestFit="1" customWidth="1"/>
    <col min="14857" max="14857" width="4.5703125" style="94" customWidth="1"/>
    <col min="14858" max="14858" width="1.7109375" style="94" customWidth="1"/>
    <col min="14859" max="14859" width="7" style="94" bestFit="1" customWidth="1"/>
    <col min="14860" max="14860" width="6.28515625" style="94" customWidth="1"/>
    <col min="14861" max="14861" width="20.42578125" style="94" customWidth="1"/>
    <col min="14862" max="14862" width="6.42578125" style="94" bestFit="1" customWidth="1"/>
    <col min="14863" max="14864" width="8.42578125" style="94"/>
    <col min="14865" max="14865" width="3.28515625" style="94" customWidth="1"/>
    <col min="14866" max="15104" width="8.42578125" style="94"/>
    <col min="15105" max="15105" width="10" style="94" bestFit="1" customWidth="1"/>
    <col min="15106" max="15106" width="44.28515625" style="94" bestFit="1" customWidth="1"/>
    <col min="15107" max="15107" width="10.42578125" style="94" bestFit="1" customWidth="1"/>
    <col min="15108" max="15108" width="10.42578125" style="94" customWidth="1"/>
    <col min="15109" max="15109" width="9.7109375" style="94" bestFit="1" customWidth="1"/>
    <col min="15110" max="15111" width="9.5703125" style="94" bestFit="1" customWidth="1"/>
    <col min="15112" max="15112" width="10.42578125" style="94" bestFit="1" customWidth="1"/>
    <col min="15113" max="15113" width="4.5703125" style="94" customWidth="1"/>
    <col min="15114" max="15114" width="1.7109375" style="94" customWidth="1"/>
    <col min="15115" max="15115" width="7" style="94" bestFit="1" customWidth="1"/>
    <col min="15116" max="15116" width="6.28515625" style="94" customWidth="1"/>
    <col min="15117" max="15117" width="20.42578125" style="94" customWidth="1"/>
    <col min="15118" max="15118" width="6.42578125" style="94" bestFit="1" customWidth="1"/>
    <col min="15119" max="15120" width="8.42578125" style="94"/>
    <col min="15121" max="15121" width="3.28515625" style="94" customWidth="1"/>
    <col min="15122" max="15360" width="8.42578125" style="94"/>
    <col min="15361" max="15361" width="10" style="94" bestFit="1" customWidth="1"/>
    <col min="15362" max="15362" width="44.28515625" style="94" bestFit="1" customWidth="1"/>
    <col min="15363" max="15363" width="10.42578125" style="94" bestFit="1" customWidth="1"/>
    <col min="15364" max="15364" width="10.42578125" style="94" customWidth="1"/>
    <col min="15365" max="15365" width="9.7109375" style="94" bestFit="1" customWidth="1"/>
    <col min="15366" max="15367" width="9.5703125" style="94" bestFit="1" customWidth="1"/>
    <col min="15368" max="15368" width="10.42578125" style="94" bestFit="1" customWidth="1"/>
    <col min="15369" max="15369" width="4.5703125" style="94" customWidth="1"/>
    <col min="15370" max="15370" width="1.7109375" style="94" customWidth="1"/>
    <col min="15371" max="15371" width="7" style="94" bestFit="1" customWidth="1"/>
    <col min="15372" max="15372" width="6.28515625" style="94" customWidth="1"/>
    <col min="15373" max="15373" width="20.42578125" style="94" customWidth="1"/>
    <col min="15374" max="15374" width="6.42578125" style="94" bestFit="1" customWidth="1"/>
    <col min="15375" max="15376" width="8.42578125" style="94"/>
    <col min="15377" max="15377" width="3.28515625" style="94" customWidth="1"/>
    <col min="15378" max="15616" width="8.42578125" style="94"/>
    <col min="15617" max="15617" width="10" style="94" bestFit="1" customWidth="1"/>
    <col min="15618" max="15618" width="44.28515625" style="94" bestFit="1" customWidth="1"/>
    <col min="15619" max="15619" width="10.42578125" style="94" bestFit="1" customWidth="1"/>
    <col min="15620" max="15620" width="10.42578125" style="94" customWidth="1"/>
    <col min="15621" max="15621" width="9.7109375" style="94" bestFit="1" customWidth="1"/>
    <col min="15622" max="15623" width="9.5703125" style="94" bestFit="1" customWidth="1"/>
    <col min="15624" max="15624" width="10.42578125" style="94" bestFit="1" customWidth="1"/>
    <col min="15625" max="15625" width="4.5703125" style="94" customWidth="1"/>
    <col min="15626" max="15626" width="1.7109375" style="94" customWidth="1"/>
    <col min="15627" max="15627" width="7" style="94" bestFit="1" customWidth="1"/>
    <col min="15628" max="15628" width="6.28515625" style="94" customWidth="1"/>
    <col min="15629" max="15629" width="20.42578125" style="94" customWidth="1"/>
    <col min="15630" max="15630" width="6.42578125" style="94" bestFit="1" customWidth="1"/>
    <col min="15631" max="15632" width="8.42578125" style="94"/>
    <col min="15633" max="15633" width="3.28515625" style="94" customWidth="1"/>
    <col min="15634" max="15872" width="8.42578125" style="94"/>
    <col min="15873" max="15873" width="10" style="94" bestFit="1" customWidth="1"/>
    <col min="15874" max="15874" width="44.28515625" style="94" bestFit="1" customWidth="1"/>
    <col min="15875" max="15875" width="10.42578125" style="94" bestFit="1" customWidth="1"/>
    <col min="15876" max="15876" width="10.42578125" style="94" customWidth="1"/>
    <col min="15877" max="15877" width="9.7109375" style="94" bestFit="1" customWidth="1"/>
    <col min="15878" max="15879" width="9.5703125" style="94" bestFit="1" customWidth="1"/>
    <col min="15880" max="15880" width="10.42578125" style="94" bestFit="1" customWidth="1"/>
    <col min="15881" max="15881" width="4.5703125" style="94" customWidth="1"/>
    <col min="15882" max="15882" width="1.7109375" style="94" customWidth="1"/>
    <col min="15883" max="15883" width="7" style="94" bestFit="1" customWidth="1"/>
    <col min="15884" max="15884" width="6.28515625" style="94" customWidth="1"/>
    <col min="15885" max="15885" width="20.42578125" style="94" customWidth="1"/>
    <col min="15886" max="15886" width="6.42578125" style="94" bestFit="1" customWidth="1"/>
    <col min="15887" max="15888" width="8.42578125" style="94"/>
    <col min="15889" max="15889" width="3.28515625" style="94" customWidth="1"/>
    <col min="15890" max="16128" width="8.42578125" style="94"/>
    <col min="16129" max="16129" width="10" style="94" bestFit="1" customWidth="1"/>
    <col min="16130" max="16130" width="44.28515625" style="94" bestFit="1" customWidth="1"/>
    <col min="16131" max="16131" width="10.42578125" style="94" bestFit="1" customWidth="1"/>
    <col min="16132" max="16132" width="10.42578125" style="94" customWidth="1"/>
    <col min="16133" max="16133" width="9.7109375" style="94" bestFit="1" customWidth="1"/>
    <col min="16134" max="16135" width="9.5703125" style="94" bestFit="1" customWidth="1"/>
    <col min="16136" max="16136" width="10.42578125" style="94" bestFit="1" customWidth="1"/>
    <col min="16137" max="16137" width="4.5703125" style="94" customWidth="1"/>
    <col min="16138" max="16138" width="1.7109375" style="94" customWidth="1"/>
    <col min="16139" max="16139" width="7" style="94" bestFit="1" customWidth="1"/>
    <col min="16140" max="16140" width="6.28515625" style="94" customWidth="1"/>
    <col min="16141" max="16141" width="20.42578125" style="94" customWidth="1"/>
    <col min="16142" max="16142" width="6.42578125" style="94" bestFit="1" customWidth="1"/>
    <col min="16143" max="16144" width="8.42578125" style="94"/>
    <col min="16145" max="16145" width="3.28515625" style="94" customWidth="1"/>
    <col min="16146" max="16384" width="8.42578125" style="94"/>
  </cols>
  <sheetData>
    <row r="1" spans="1:10" ht="27.75" customHeight="1" x14ac:dyDescent="0.25">
      <c r="A1" s="89"/>
      <c r="B1" s="89"/>
      <c r="C1" s="89"/>
      <c r="D1" s="89"/>
      <c r="E1" s="90" t="s">
        <v>132</v>
      </c>
      <c r="F1" s="91" t="s">
        <v>133</v>
      </c>
      <c r="G1" s="91" t="s">
        <v>134</v>
      </c>
      <c r="H1" s="91" t="s">
        <v>135</v>
      </c>
      <c r="I1" s="92"/>
    </row>
    <row r="2" spans="1:10" ht="30.75" customHeight="1" x14ac:dyDescent="0.25">
      <c r="A2" s="89"/>
      <c r="B2" s="89"/>
      <c r="C2" s="89"/>
      <c r="D2" s="89"/>
      <c r="E2" s="95">
        <f>IFERROR(O62,"")</f>
        <v>46739.75</v>
      </c>
      <c r="F2" s="95">
        <f>IFERROR(H53,"")</f>
        <v>44359.75</v>
      </c>
      <c r="G2" s="95">
        <f>IFERROR(H54,"")</f>
        <v>0</v>
      </c>
      <c r="H2" s="95">
        <f>IFERROR(H56,"")</f>
        <v>1220</v>
      </c>
      <c r="I2" s="96"/>
    </row>
    <row r="3" spans="1:10" ht="15" customHeight="1" x14ac:dyDescent="0.25">
      <c r="A3" s="89"/>
      <c r="B3" s="89"/>
      <c r="C3" s="89"/>
      <c r="D3" s="89"/>
      <c r="E3" s="89"/>
      <c r="F3" s="97"/>
      <c r="G3" s="97"/>
      <c r="H3" s="97"/>
      <c r="I3" s="97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8"/>
    </row>
    <row r="5" spans="1:10" ht="19.5" customHeight="1" thickBot="1" x14ac:dyDescent="0.3">
      <c r="A5" s="358" t="s">
        <v>136</v>
      </c>
      <c r="B5" s="359"/>
      <c r="C5" s="359"/>
      <c r="D5" s="359"/>
      <c r="E5" s="359"/>
      <c r="F5" s="359"/>
      <c r="G5" s="359"/>
      <c r="H5" s="360"/>
      <c r="I5" s="99"/>
    </row>
    <row r="6" spans="1:10" ht="19.5" thickBot="1" x14ac:dyDescent="0.3">
      <c r="A6" s="99"/>
      <c r="B6" s="99"/>
      <c r="C6" s="99"/>
      <c r="D6" s="99"/>
      <c r="E6" s="99"/>
      <c r="F6" s="361" t="s">
        <v>137</v>
      </c>
      <c r="G6" s="361"/>
      <c r="H6" s="100">
        <f ca="1">TODAY()</f>
        <v>45776</v>
      </c>
      <c r="I6" s="100"/>
    </row>
    <row r="7" spans="1:10" ht="26.25" thickBot="1" x14ac:dyDescent="0.3">
      <c r="A7" s="101" t="s">
        <v>138</v>
      </c>
      <c r="B7" s="102" t="s">
        <v>139</v>
      </c>
      <c r="C7" s="102" t="s">
        <v>138</v>
      </c>
      <c r="D7" s="103" t="s">
        <v>140</v>
      </c>
      <c r="E7" s="103" t="s">
        <v>141</v>
      </c>
      <c r="F7" s="103" t="s">
        <v>142</v>
      </c>
      <c r="G7" s="103" t="s">
        <v>143</v>
      </c>
      <c r="H7" s="104" t="s">
        <v>144</v>
      </c>
      <c r="I7" s="105"/>
    </row>
    <row r="8" spans="1:10" ht="13.5" x14ac:dyDescent="0.25">
      <c r="A8" s="106">
        <v>0</v>
      </c>
      <c r="B8" s="94" t="str">
        <f>IFERROR(VLOOKUP(H8,'[1]Consolidado MP Planta'!$A$2:$M$823,3,0),"")</f>
        <v>COBERTURA CHOCOLATE LECHE (PAQ:5 K)</v>
      </c>
      <c r="C8" s="107">
        <f>+A8</f>
        <v>0</v>
      </c>
      <c r="D8" s="108" t="str">
        <f>IFERROR(VLOOKUP(H8,'[1]Consolidado MP Planta'!$A$2:$M$823,13,0),"")</f>
        <v>Gramos</v>
      </c>
      <c r="E8" s="108">
        <f>IFERROR(VLOOKUP(H8,'[1]Consolidado MP Planta'!$A$2:$M$823,12,0),"")</f>
        <v>4.49</v>
      </c>
      <c r="F8" s="108">
        <f>IFERROR(C8*E8,"")</f>
        <v>0</v>
      </c>
      <c r="G8" s="109">
        <f t="shared" ref="G8:G14" si="0">IFERROR(F8/$F$66,"")</f>
        <v>0</v>
      </c>
      <c r="H8" s="110" t="s">
        <v>103</v>
      </c>
      <c r="I8" s="110"/>
      <c r="J8" s="111"/>
    </row>
    <row r="9" spans="1:10" ht="13.5" x14ac:dyDescent="0.25">
      <c r="A9" s="106">
        <v>3300</v>
      </c>
      <c r="B9" s="94" t="s">
        <v>110</v>
      </c>
      <c r="C9" s="107">
        <f t="shared" ref="C9:C14" si="1">+A9</f>
        <v>3300</v>
      </c>
      <c r="D9" s="108" t="s">
        <v>184</v>
      </c>
      <c r="E9" s="108">
        <v>4.4000000000000004</v>
      </c>
      <c r="F9" s="108">
        <f t="shared" ref="F9:F14" si="2">IFERROR(C9*E9,"")</f>
        <v>14520.000000000002</v>
      </c>
      <c r="G9" s="109">
        <f t="shared" si="0"/>
        <v>0.31248019425421669</v>
      </c>
      <c r="H9" s="110" t="s">
        <v>108</v>
      </c>
      <c r="I9" s="110"/>
      <c r="J9" s="111"/>
    </row>
    <row r="10" spans="1:10" ht="13.5" x14ac:dyDescent="0.25">
      <c r="A10" s="106">
        <v>2500</v>
      </c>
      <c r="B10" s="94" t="str">
        <f>IFERROR(VLOOKUP(H10,'[1]Consolidado MP Planta'!$A$2:$M$823,3,0),"")</f>
        <v>CREMA PRESTIGE GRAND (UND:4 K) *</v>
      </c>
      <c r="C10" s="107">
        <f t="shared" si="1"/>
        <v>2500</v>
      </c>
      <c r="D10" s="108" t="str">
        <f>IFERROR(VLOOKUP(H10,'[1]Consolidado MP Planta'!$A$2:$M$823,13,0),"")</f>
        <v>Gramos</v>
      </c>
      <c r="E10" s="108">
        <f>IFERROR(VLOOKUP(H10,'[1]Consolidado MP Planta'!$A$2:$M$823,12,0),"")</f>
        <v>2.2537500000000001</v>
      </c>
      <c r="F10" s="108">
        <f t="shared" si="2"/>
        <v>5634.375</v>
      </c>
      <c r="G10" s="109">
        <f t="shared" si="0"/>
        <v>0.12125555058547534</v>
      </c>
      <c r="H10" s="110" t="s">
        <v>185</v>
      </c>
      <c r="I10" s="110"/>
      <c r="J10" s="111"/>
    </row>
    <row r="11" spans="1:10" ht="13.5" x14ac:dyDescent="0.25">
      <c r="A11" s="106">
        <v>3300</v>
      </c>
      <c r="B11" s="94" t="str">
        <f>IFERROR(VLOOKUP(H11,'[1]Consolidado MP Planta'!$A$2:$M$823,3,0),"")</f>
        <v>CREMA PRESTIGE GRAND (UND:4 K) *</v>
      </c>
      <c r="C11" s="107">
        <f t="shared" si="1"/>
        <v>3300</v>
      </c>
      <c r="D11" s="108" t="str">
        <f>IFERROR(VLOOKUP(H11,'[1]Consolidado MP Planta'!$A$2:$M$823,13,0),"")</f>
        <v>Gramos</v>
      </c>
      <c r="E11" s="108">
        <f>IFERROR(VLOOKUP(H11,'[1]Consolidado MP Planta'!$A$2:$M$823,12,0),"")</f>
        <v>2.2537500000000001</v>
      </c>
      <c r="F11" s="108">
        <f t="shared" si="2"/>
        <v>7437.3750000000009</v>
      </c>
      <c r="G11" s="109">
        <f t="shared" si="0"/>
        <v>0.16005732677282747</v>
      </c>
      <c r="H11" s="110" t="s">
        <v>185</v>
      </c>
      <c r="I11" s="110"/>
      <c r="J11" s="111"/>
    </row>
    <row r="12" spans="1:10" ht="13.5" x14ac:dyDescent="0.25">
      <c r="A12" s="106">
        <v>1600</v>
      </c>
      <c r="B12" s="94" t="s">
        <v>212</v>
      </c>
      <c r="C12" s="107">
        <v>1600</v>
      </c>
      <c r="D12" s="108" t="s">
        <v>213</v>
      </c>
      <c r="E12" s="108">
        <v>10.48</v>
      </c>
      <c r="F12" s="108">
        <v>16768</v>
      </c>
      <c r="G12" s="109">
        <v>0.37171999171876668</v>
      </c>
      <c r="H12" s="110"/>
      <c r="I12" s="110"/>
      <c r="J12" s="111"/>
    </row>
    <row r="13" spans="1:10" ht="13.5" x14ac:dyDescent="0.25">
      <c r="A13" s="106"/>
      <c r="B13" s="94" t="str">
        <f>IFERROR(VLOOKUP(H13,'[1]Consolidado MP Planta'!$A$2:$M$823,3,0),"")</f>
        <v/>
      </c>
      <c r="C13" s="107">
        <f t="shared" si="1"/>
        <v>0</v>
      </c>
      <c r="D13" s="108" t="str">
        <f>IFERROR(VLOOKUP(H13,'[1]Consolidado MP Planta'!$A$2:$M$823,13,0),"")</f>
        <v/>
      </c>
      <c r="E13" s="108" t="str">
        <f>IFERROR(VLOOKUP(H13,'[1]Consolidado MP Planta'!$A$2:$M$823,12,0),"")</f>
        <v/>
      </c>
      <c r="F13" s="108" t="str">
        <f t="shared" si="2"/>
        <v/>
      </c>
      <c r="G13" s="109" t="str">
        <f t="shared" si="0"/>
        <v/>
      </c>
      <c r="H13" s="110"/>
      <c r="I13" s="110"/>
      <c r="J13" s="111"/>
    </row>
    <row r="14" spans="1:10" ht="13.5" x14ac:dyDescent="0.25">
      <c r="A14" s="106"/>
      <c r="B14" s="94" t="str">
        <f>IFERROR(VLOOKUP(H14,'[1]Consolidado MP Planta'!$A$2:$M$823,3,0),"")</f>
        <v/>
      </c>
      <c r="C14" s="107">
        <f t="shared" si="1"/>
        <v>0</v>
      </c>
      <c r="D14" s="108" t="str">
        <f>IFERROR(VLOOKUP(H14,'[1]Consolidado MP Planta'!$A$2:$M$823,13,0),"")</f>
        <v/>
      </c>
      <c r="E14" s="108" t="str">
        <f>IFERROR(VLOOKUP(H14,'[1]Consolidado MP Planta'!$A$2:$M$823,12,0),"")</f>
        <v/>
      </c>
      <c r="F14" s="108" t="str">
        <f t="shared" si="2"/>
        <v/>
      </c>
      <c r="G14" s="109" t="str">
        <f t="shared" si="0"/>
        <v/>
      </c>
      <c r="H14" s="110"/>
      <c r="I14" s="110"/>
      <c r="J14" s="111"/>
    </row>
    <row r="15" spans="1:10" ht="14.25" thickBot="1" x14ac:dyDescent="0.3">
      <c r="A15" s="106"/>
      <c r="B15" s="94" t="str">
        <f>IFERROR(VLOOKUP(H15,'[2]ARTICULOS MP PLANTA'!$A$2:$G$589,2,0),"")</f>
        <v/>
      </c>
      <c r="C15" s="107"/>
      <c r="D15" s="108"/>
      <c r="E15" s="108"/>
      <c r="F15" s="108"/>
      <c r="G15" s="109"/>
      <c r="H15" s="110"/>
      <c r="I15" s="110"/>
      <c r="J15" s="111"/>
    </row>
    <row r="16" spans="1:10" ht="26.25" hidden="1" thickBot="1" x14ac:dyDescent="0.3">
      <c r="A16" s="101" t="s">
        <v>138</v>
      </c>
      <c r="B16" s="102" t="s">
        <v>145</v>
      </c>
      <c r="C16" s="102" t="s">
        <v>138</v>
      </c>
      <c r="D16" s="103" t="s">
        <v>140</v>
      </c>
      <c r="E16" s="103" t="s">
        <v>141</v>
      </c>
      <c r="F16" s="103" t="s">
        <v>142</v>
      </c>
      <c r="G16" s="103" t="s">
        <v>143</v>
      </c>
      <c r="H16" s="104" t="s">
        <v>144</v>
      </c>
      <c r="I16" s="105"/>
      <c r="J16" s="111"/>
    </row>
    <row r="17" spans="1:12" ht="13.5" hidden="1" x14ac:dyDescent="0.25">
      <c r="A17" s="106"/>
      <c r="B17" s="94" t="str">
        <f>IFERROR(VLOOKUP(H17,[1]SEMIELABORADOS!$A$2:$M$6000,2,0),"")</f>
        <v/>
      </c>
      <c r="C17" s="107">
        <f>+A17</f>
        <v>0</v>
      </c>
      <c r="D17" s="107" t="str">
        <f>IFERROR(VLOOKUP(H17,[1]SEMIELABORADOS!$A$2:$M$6000,6,0),"")</f>
        <v/>
      </c>
      <c r="E17" s="108" t="str">
        <f>IFERROR(VLOOKUP(H17,[1]SEMIELABORADOS!$A$2:$H$65536,8,0),"")</f>
        <v/>
      </c>
      <c r="F17" s="108" t="str">
        <f>IFERROR(E17*C17,"")</f>
        <v/>
      </c>
      <c r="G17" s="109" t="str">
        <f t="shared" ref="G17:G24" si="3">IFERROR(F17/$F$66,"")</f>
        <v/>
      </c>
      <c r="H17" s="110"/>
      <c r="I17" s="110"/>
      <c r="J17" s="111"/>
    </row>
    <row r="18" spans="1:12" ht="13.5" hidden="1" x14ac:dyDescent="0.25">
      <c r="A18" s="106"/>
      <c r="B18" s="94" t="str">
        <f>IFERROR(VLOOKUP(H18,[1]SEMIELABORADOS!$A$2:$M$6000,2,0),"")</f>
        <v/>
      </c>
      <c r="C18" s="107">
        <f t="shared" ref="C18:C24" si="4">+A18</f>
        <v>0</v>
      </c>
      <c r="D18" s="107" t="str">
        <f>IFERROR(VLOOKUP(H18,[1]SEMIELABORADOS!$A$2:$M$6000,6,0),"")</f>
        <v/>
      </c>
      <c r="E18" s="108" t="str">
        <f>IFERROR(VLOOKUP(H18,[1]SEMIELABORADOS!$A$2:$H$65536,8,0),"")</f>
        <v/>
      </c>
      <c r="F18" s="108" t="str">
        <f t="shared" ref="F18:F24" si="5">IFERROR(E18*C18,"")</f>
        <v/>
      </c>
      <c r="G18" s="109" t="str">
        <f t="shared" si="3"/>
        <v/>
      </c>
      <c r="H18" s="110"/>
      <c r="I18" s="110"/>
      <c r="J18" s="111"/>
    </row>
    <row r="19" spans="1:12" ht="13.5" hidden="1" x14ac:dyDescent="0.25">
      <c r="A19" s="106"/>
      <c r="B19" s="94" t="str">
        <f>IFERROR(VLOOKUP(H19,[1]SEMIELABORADOS!$A$2:$M$6000,2,0),"")</f>
        <v/>
      </c>
      <c r="C19" s="107">
        <f>+A19</f>
        <v>0</v>
      </c>
      <c r="D19" s="107" t="str">
        <f>IFERROR(VLOOKUP(H19,[1]SEMIELABORADOS!$A$2:$M$6000,6,0),"")</f>
        <v/>
      </c>
      <c r="E19" s="108" t="str">
        <f>IFERROR(VLOOKUP(H19,[1]SEMIELABORADOS!$A$2:$H$65536,8,0),"")</f>
        <v/>
      </c>
      <c r="F19" s="108" t="str">
        <f>IFERROR(E19*C19,"")</f>
        <v/>
      </c>
      <c r="G19" s="109" t="str">
        <f t="shared" si="3"/>
        <v/>
      </c>
      <c r="H19" s="110"/>
      <c r="I19" s="110"/>
      <c r="J19" s="111"/>
    </row>
    <row r="20" spans="1:12" ht="13.5" hidden="1" x14ac:dyDescent="0.25">
      <c r="A20" s="106"/>
      <c r="B20" s="94" t="str">
        <f>IFERROR(VLOOKUP(H20,[1]SEMIELABORADOS!$A$2:$M$6000,2,0),"")</f>
        <v/>
      </c>
      <c r="C20" s="107">
        <f>+A20</f>
        <v>0</v>
      </c>
      <c r="D20" s="107" t="str">
        <f>IFERROR(VLOOKUP(H20,[1]SEMIELABORADOS!$A$2:$M$6000,6,0),"")</f>
        <v/>
      </c>
      <c r="E20" s="108" t="str">
        <f>IFERROR(VLOOKUP(H20,[1]SEMIELABORADOS!$A$2:$H$65536,8,0),"")</f>
        <v/>
      </c>
      <c r="F20" s="108" t="str">
        <f>IFERROR(E20*C20,"")</f>
        <v/>
      </c>
      <c r="G20" s="109" t="str">
        <f t="shared" si="3"/>
        <v/>
      </c>
      <c r="H20" s="110"/>
      <c r="I20" s="110"/>
      <c r="J20" s="111"/>
    </row>
    <row r="21" spans="1:12" ht="13.5" hidden="1" x14ac:dyDescent="0.25">
      <c r="A21" s="106"/>
      <c r="B21" s="94" t="str">
        <f>IFERROR(VLOOKUP(H21,[1]SEMIELABORADOS!$A$2:$M$6000,2,0),"")</f>
        <v/>
      </c>
      <c r="C21" s="107">
        <f>+A21</f>
        <v>0</v>
      </c>
      <c r="D21" s="107" t="str">
        <f>IFERROR(VLOOKUP(H21,[1]SEMIELABORADOS!$A$2:$M$6000,6,0),"")</f>
        <v/>
      </c>
      <c r="E21" s="108" t="str">
        <f>IFERROR(VLOOKUP(H21,[1]SEMIELABORADOS!$A$2:$H$65536,8,0),"")</f>
        <v/>
      </c>
      <c r="F21" s="108" t="str">
        <f>IFERROR(E21*C21,"")</f>
        <v/>
      </c>
      <c r="G21" s="109" t="str">
        <f t="shared" si="3"/>
        <v/>
      </c>
      <c r="H21" s="110"/>
      <c r="I21" s="110"/>
      <c r="J21" s="111"/>
    </row>
    <row r="22" spans="1:12" ht="13.5" hidden="1" x14ac:dyDescent="0.25">
      <c r="A22" s="106"/>
      <c r="B22" s="94" t="str">
        <f>IFERROR(VLOOKUP(H22,[1]SEMIELABORADOS!$A$2:$M$6000,2,0),"")</f>
        <v/>
      </c>
      <c r="C22" s="107">
        <f t="shared" si="4"/>
        <v>0</v>
      </c>
      <c r="D22" s="107" t="str">
        <f>IFERROR(VLOOKUP(H22,[1]SEMIELABORADOS!$A$2:$M$6000,6,0),"")</f>
        <v/>
      </c>
      <c r="E22" s="108" t="str">
        <f>IFERROR(VLOOKUP(H22,[1]SEMIELABORADOS!$A$2:$H$65536,8,0),"")</f>
        <v/>
      </c>
      <c r="F22" s="108" t="str">
        <f t="shared" si="5"/>
        <v/>
      </c>
      <c r="G22" s="109" t="str">
        <f t="shared" si="3"/>
        <v/>
      </c>
      <c r="H22" s="110"/>
      <c r="I22" s="110"/>
      <c r="J22" s="111"/>
    </row>
    <row r="23" spans="1:12" ht="13.5" hidden="1" x14ac:dyDescent="0.25">
      <c r="A23" s="106"/>
      <c r="B23" s="94" t="str">
        <f>IFERROR(VLOOKUP(H23,[1]SEMIELABORADOS!$A$2:$M$6000,2,0),"")</f>
        <v/>
      </c>
      <c r="C23" s="107">
        <f t="shared" si="4"/>
        <v>0</v>
      </c>
      <c r="D23" s="107" t="str">
        <f>IFERROR(VLOOKUP(H23,[1]SEMIELABORADOS!$A$2:$M$6000,6,0),"")</f>
        <v/>
      </c>
      <c r="E23" s="108" t="str">
        <f>IFERROR(VLOOKUP(H23,[1]SEMIELABORADOS!$A$2:$H$65536,8,0),"")</f>
        <v/>
      </c>
      <c r="F23" s="108" t="str">
        <f t="shared" si="5"/>
        <v/>
      </c>
      <c r="G23" s="109" t="str">
        <f t="shared" si="3"/>
        <v/>
      </c>
      <c r="H23" s="110"/>
      <c r="I23" s="110"/>
      <c r="J23" s="111"/>
    </row>
    <row r="24" spans="1:12" ht="13.5" hidden="1" x14ac:dyDescent="0.25">
      <c r="A24" s="106"/>
      <c r="B24" s="94" t="str">
        <f>IFERROR(VLOOKUP(H24,[1]SEMIELABORADOS!$A$2:$M$6000,2,0),"")</f>
        <v/>
      </c>
      <c r="C24" s="107">
        <f t="shared" si="4"/>
        <v>0</v>
      </c>
      <c r="D24" s="107" t="str">
        <f>IFERROR(VLOOKUP(H24,[1]SEMIELABORADOS!$A$2:$M$6000,6,0),"")</f>
        <v/>
      </c>
      <c r="E24" s="108" t="str">
        <f>IFERROR(VLOOKUP(H24,[1]SEMIELABORADOS!$A$2:$H$65536,8,0),"")</f>
        <v/>
      </c>
      <c r="F24" s="108" t="str">
        <f t="shared" si="5"/>
        <v/>
      </c>
      <c r="G24" s="109" t="str">
        <f t="shared" si="3"/>
        <v/>
      </c>
      <c r="H24" s="110"/>
      <c r="I24" s="110"/>
      <c r="J24" s="111"/>
    </row>
    <row r="25" spans="1:12" ht="14.25" hidden="1" thickBot="1" x14ac:dyDescent="0.3">
      <c r="A25" s="106"/>
      <c r="C25" s="107"/>
      <c r="D25" s="107"/>
      <c r="E25" s="108"/>
      <c r="F25" s="108"/>
      <c r="G25" s="109"/>
      <c r="H25" s="110"/>
      <c r="I25" s="110"/>
      <c r="J25" s="111"/>
    </row>
    <row r="26" spans="1:12" ht="26.25" hidden="1" thickBot="1" x14ac:dyDescent="0.3">
      <c r="A26" s="101" t="s">
        <v>138</v>
      </c>
      <c r="B26" s="102" t="s">
        <v>20</v>
      </c>
      <c r="C26" s="102" t="s">
        <v>138</v>
      </c>
      <c r="D26" s="103" t="s">
        <v>140</v>
      </c>
      <c r="E26" s="103" t="s">
        <v>141</v>
      </c>
      <c r="F26" s="103" t="s">
        <v>142</v>
      </c>
      <c r="G26" s="103" t="s">
        <v>143</v>
      </c>
      <c r="H26" s="104" t="s">
        <v>144</v>
      </c>
      <c r="I26" s="105"/>
    </row>
    <row r="27" spans="1:12" ht="13.5" hidden="1" x14ac:dyDescent="0.25">
      <c r="A27" s="106">
        <v>0</v>
      </c>
      <c r="B27" s="112" t="str">
        <f>IFERROR(VLOOKUP(H27,'[1]Consolidado MP Planta'!$A$2:$M$823,3,0),"")</f>
        <v/>
      </c>
      <c r="C27" s="107">
        <f t="shared" ref="C27:C32" si="6">+A27</f>
        <v>0</v>
      </c>
      <c r="D27" s="108" t="str">
        <f>IFERROR(VLOOKUP(H27,'[1]Consolidado MP Planta'!$A$2:$M$823,13,0),"")</f>
        <v/>
      </c>
      <c r="E27" s="108" t="str">
        <f>IFERROR(VLOOKUP(H27,'[1]Consolidado MP Planta'!$A$2:$M$823,12,0),"")</f>
        <v/>
      </c>
      <c r="F27" s="108" t="str">
        <f t="shared" ref="F27:F32" si="7">IFERROR(C27*E27,"")</f>
        <v/>
      </c>
      <c r="G27" s="109" t="str">
        <f t="shared" ref="G27:G32" si="8">IFERROR(F27/$F$66,"")</f>
        <v/>
      </c>
      <c r="H27" s="113"/>
      <c r="I27" s="113"/>
      <c r="J27" s="111"/>
      <c r="K27" s="356"/>
      <c r="L27" s="356"/>
    </row>
    <row r="28" spans="1:12" ht="13.5" hidden="1" x14ac:dyDescent="0.25">
      <c r="A28" s="106"/>
      <c r="B28" s="112" t="str">
        <f>IFERROR(VLOOKUP(H28,'[1]Consolidado MP Planta'!$A$2:$M$823,3,0),"")</f>
        <v/>
      </c>
      <c r="C28" s="107">
        <f t="shared" si="6"/>
        <v>0</v>
      </c>
      <c r="D28" s="108" t="str">
        <f>IFERROR(VLOOKUP(H28,'[1]Consolidado MP Planta'!$A$2:$M$823,13,0),"")</f>
        <v/>
      </c>
      <c r="E28" s="108" t="str">
        <f>IFERROR(VLOOKUP(H28,'[1]Consolidado MP Planta'!$A$2:$M$823,12,0),"")</f>
        <v/>
      </c>
      <c r="F28" s="108" t="str">
        <f t="shared" si="7"/>
        <v/>
      </c>
      <c r="G28" s="109" t="str">
        <f t="shared" si="8"/>
        <v/>
      </c>
      <c r="H28" s="113"/>
      <c r="I28" s="113"/>
      <c r="J28" s="111"/>
      <c r="K28" s="356"/>
      <c r="L28" s="356"/>
    </row>
    <row r="29" spans="1:12" ht="13.5" hidden="1" x14ac:dyDescent="0.25">
      <c r="A29" s="106"/>
      <c r="B29" s="112" t="str">
        <f>IFERROR(VLOOKUP(H29,'[1]Consolidado MP Planta'!$A$2:$M$823,3,0),"")</f>
        <v/>
      </c>
      <c r="C29" s="107">
        <f t="shared" si="6"/>
        <v>0</v>
      </c>
      <c r="D29" s="108" t="str">
        <f>IFERROR(VLOOKUP(H29,'[1]Consolidado MP Planta'!$A$2:$M$823,13,0),"")</f>
        <v/>
      </c>
      <c r="E29" s="108" t="str">
        <f>IFERROR(VLOOKUP(H29,'[1]Consolidado MP Planta'!$A$2:$M$823,12,0),"")</f>
        <v/>
      </c>
      <c r="F29" s="108" t="str">
        <f t="shared" si="7"/>
        <v/>
      </c>
      <c r="G29" s="109" t="str">
        <f t="shared" si="8"/>
        <v/>
      </c>
      <c r="H29" s="113"/>
      <c r="I29" s="113"/>
      <c r="J29" s="111"/>
      <c r="K29" s="356"/>
      <c r="L29" s="356"/>
    </row>
    <row r="30" spans="1:12" ht="13.5" hidden="1" x14ac:dyDescent="0.25">
      <c r="A30" s="106"/>
      <c r="B30" s="112" t="str">
        <f>IFERROR(VLOOKUP(H30,'[1]Consolidado MP Planta'!$A$2:$M$823,3,0),"")</f>
        <v/>
      </c>
      <c r="C30" s="107">
        <f t="shared" si="6"/>
        <v>0</v>
      </c>
      <c r="D30" s="108" t="str">
        <f>IFERROR(VLOOKUP(H30,'[1]Consolidado MP Planta'!$A$2:$M$823,13,0),"")</f>
        <v/>
      </c>
      <c r="E30" s="108" t="str">
        <f>IFERROR(VLOOKUP(H30,'[1]Consolidado MP Planta'!$A$2:$M$823,12,0),"")</f>
        <v/>
      </c>
      <c r="F30" s="108" t="str">
        <f t="shared" si="7"/>
        <v/>
      </c>
      <c r="G30" s="109" t="str">
        <f t="shared" si="8"/>
        <v/>
      </c>
      <c r="H30" s="113"/>
      <c r="I30" s="113"/>
      <c r="J30" s="111"/>
      <c r="K30" s="356"/>
      <c r="L30" s="356"/>
    </row>
    <row r="31" spans="1:12" ht="13.5" hidden="1" x14ac:dyDescent="0.25">
      <c r="A31" s="106"/>
      <c r="B31" s="112" t="str">
        <f>IFERROR(VLOOKUP(H31,'[1]Consolidado MP Planta'!$A$2:$M$823,3,0),"")</f>
        <v/>
      </c>
      <c r="C31" s="107">
        <f t="shared" si="6"/>
        <v>0</v>
      </c>
      <c r="D31" s="108" t="str">
        <f>IFERROR(VLOOKUP(H31,'[1]Consolidado MP Planta'!$A$2:$M$823,13,0),"")</f>
        <v/>
      </c>
      <c r="E31" s="108" t="str">
        <f>IFERROR(VLOOKUP(H31,'[1]Consolidado MP Planta'!$A$2:$M$823,12,0),"")</f>
        <v/>
      </c>
      <c r="F31" s="108" t="str">
        <f t="shared" si="7"/>
        <v/>
      </c>
      <c r="G31" s="109" t="str">
        <f t="shared" si="8"/>
        <v/>
      </c>
      <c r="H31" s="113"/>
      <c r="I31" s="113"/>
      <c r="J31" s="111"/>
      <c r="K31" s="114"/>
      <c r="L31" s="115"/>
    </row>
    <row r="32" spans="1:12" ht="13.5" hidden="1" x14ac:dyDescent="0.25">
      <c r="A32" s="106"/>
      <c r="B32" s="112" t="str">
        <f>IFERROR(VLOOKUP(H32,'[1]Consolidado MP Planta'!$A$2:$M$823,3,0),"")</f>
        <v/>
      </c>
      <c r="C32" s="107">
        <f t="shared" si="6"/>
        <v>0</v>
      </c>
      <c r="D32" s="108" t="str">
        <f>IFERROR(VLOOKUP(H32,'[1]Consolidado MP Planta'!$A$2:$M$823,13,0),"")</f>
        <v/>
      </c>
      <c r="E32" s="108" t="str">
        <f>IFERROR(VLOOKUP(H32,'[1]Consolidado MP Planta'!$A$2:$M$823,12,0),"")</f>
        <v/>
      </c>
      <c r="F32" s="108" t="str">
        <f t="shared" si="7"/>
        <v/>
      </c>
      <c r="G32" s="109" t="str">
        <f t="shared" si="8"/>
        <v/>
      </c>
      <c r="H32" s="113"/>
      <c r="I32" s="113"/>
      <c r="J32" s="111"/>
    </row>
    <row r="33" spans="1:13" ht="14.25" hidden="1" thickBot="1" x14ac:dyDescent="0.3">
      <c r="A33" s="106"/>
      <c r="B33" s="112"/>
      <c r="C33" s="107"/>
      <c r="D33" s="108"/>
      <c r="E33" s="108"/>
      <c r="F33" s="108"/>
      <c r="G33" s="109"/>
      <c r="H33" s="113"/>
      <c r="I33" s="113"/>
      <c r="J33" s="111"/>
    </row>
    <row r="34" spans="1:13" ht="26.25" hidden="1" thickBot="1" x14ac:dyDescent="0.25">
      <c r="A34" s="101" t="s">
        <v>138</v>
      </c>
      <c r="B34" s="102" t="s">
        <v>146</v>
      </c>
      <c r="C34" s="102" t="s">
        <v>138</v>
      </c>
      <c r="D34" s="103" t="s">
        <v>140</v>
      </c>
      <c r="E34" s="103" t="s">
        <v>141</v>
      </c>
      <c r="F34" s="103" t="s">
        <v>142</v>
      </c>
      <c r="G34" s="103" t="s">
        <v>143</v>
      </c>
      <c r="H34" s="104" t="s">
        <v>144</v>
      </c>
      <c r="I34" s="113"/>
      <c r="J34" s="111"/>
    </row>
    <row r="35" spans="1:13" ht="13.5" hidden="1" x14ac:dyDescent="0.25">
      <c r="A35" s="106">
        <f>+A17</f>
        <v>0</v>
      </c>
      <c r="B35" s="112" t="str">
        <f>IFERROR(VLOOKUP(H35,[1]SEMIELABORADOS!$A$2:$M$6000,2,0),"")</f>
        <v/>
      </c>
      <c r="C35" s="107">
        <f>+A35</f>
        <v>0</v>
      </c>
      <c r="D35" s="108" t="str">
        <f>IFERROR(VLOOKUP(H35,[1]SEMIELABORADOS!$A$2:$M$6000,6,0),"")</f>
        <v/>
      </c>
      <c r="E35" s="108" t="str">
        <f>IFERROR(VLOOKUP(H35,[1]SEMIELABORADOS!$A$2:$M$65536,10,0),"")</f>
        <v/>
      </c>
      <c r="F35" s="108" t="str">
        <f>IFERROR(E35*C35,"")</f>
        <v/>
      </c>
      <c r="G35" s="109" t="str">
        <f t="shared" ref="G35:G41" si="9">IFERROR(F35/$F$66,"")</f>
        <v/>
      </c>
      <c r="H35" s="113"/>
      <c r="I35" s="113"/>
      <c r="J35" s="111"/>
    </row>
    <row r="36" spans="1:13" ht="13.5" hidden="1" x14ac:dyDescent="0.25">
      <c r="A36" s="106">
        <f t="shared" ref="A36:A41" si="10">+A18</f>
        <v>0</v>
      </c>
      <c r="B36" s="112" t="str">
        <f>IFERROR(VLOOKUP(H36,[1]SEMIELABORADOS!$A$2:$M$6000,2,0),"")</f>
        <v/>
      </c>
      <c r="C36" s="107">
        <f t="shared" ref="C36:C41" si="11">+A36</f>
        <v>0</v>
      </c>
      <c r="D36" s="108" t="str">
        <f>IFERROR(VLOOKUP(H36,[1]SEMIELABORADOS!$A$2:$M$6000,6,0),"")</f>
        <v/>
      </c>
      <c r="E36" s="108" t="str">
        <f>IFERROR(VLOOKUP(H36,[1]SEMIELABORADOS!$A$2:$M$65536,10,0),"")</f>
        <v/>
      </c>
      <c r="F36" s="108" t="str">
        <f t="shared" ref="F36:F41" si="12">IFERROR(E36*C36,"")</f>
        <v/>
      </c>
      <c r="G36" s="109" t="str">
        <f t="shared" si="9"/>
        <v/>
      </c>
      <c r="H36" s="113"/>
      <c r="I36" s="113"/>
      <c r="J36" s="111"/>
    </row>
    <row r="37" spans="1:13" ht="13.5" hidden="1" x14ac:dyDescent="0.25">
      <c r="A37" s="106">
        <f t="shared" si="10"/>
        <v>0</v>
      </c>
      <c r="B37" s="112" t="str">
        <f>IFERROR(VLOOKUP(H37,[1]SEMIELABORADOS!$A$2:$M$6000,2,0),"")</f>
        <v/>
      </c>
      <c r="C37" s="107">
        <f t="shared" si="11"/>
        <v>0</v>
      </c>
      <c r="D37" s="108" t="str">
        <f>IFERROR(VLOOKUP(H37,[1]SEMIELABORADOS!$A$2:$M$6000,6,0),"")</f>
        <v/>
      </c>
      <c r="E37" s="108" t="str">
        <f>IFERROR(VLOOKUP(H37,[1]SEMIELABORADOS!$A$2:$M$65536,10,0),"")</f>
        <v/>
      </c>
      <c r="F37" s="108" t="str">
        <f t="shared" si="12"/>
        <v/>
      </c>
      <c r="G37" s="109" t="str">
        <f t="shared" si="9"/>
        <v/>
      </c>
      <c r="H37" s="113"/>
      <c r="I37" s="113"/>
      <c r="J37" s="111"/>
    </row>
    <row r="38" spans="1:13" ht="13.5" hidden="1" x14ac:dyDescent="0.25">
      <c r="A38" s="106">
        <f t="shared" si="10"/>
        <v>0</v>
      </c>
      <c r="B38" s="112" t="str">
        <f>IFERROR(VLOOKUP(H38,[1]SEMIELABORADOS!$A$2:$M$6000,2,0),"")</f>
        <v/>
      </c>
      <c r="C38" s="107">
        <f>+A38</f>
        <v>0</v>
      </c>
      <c r="D38" s="108" t="str">
        <f>IFERROR(VLOOKUP(H38,[1]SEMIELABORADOS!$A$2:$M$6000,6,0),"")</f>
        <v/>
      </c>
      <c r="E38" s="108" t="str">
        <f>IFERROR(VLOOKUP(H38,[1]SEMIELABORADOS!$A$2:$M$65536,10,0),"")</f>
        <v/>
      </c>
      <c r="F38" s="108" t="str">
        <f>IFERROR(E38*C38,"")</f>
        <v/>
      </c>
      <c r="G38" s="109" t="str">
        <f t="shared" si="9"/>
        <v/>
      </c>
      <c r="H38" s="113"/>
      <c r="I38" s="113"/>
      <c r="J38" s="111"/>
    </row>
    <row r="39" spans="1:13" ht="13.5" hidden="1" x14ac:dyDescent="0.25">
      <c r="A39" s="106">
        <f t="shared" si="10"/>
        <v>0</v>
      </c>
      <c r="B39" s="112" t="str">
        <f>IFERROR(VLOOKUP(H39,[1]SEMIELABORADOS!$A$2:$M$6000,2,0),"")</f>
        <v/>
      </c>
      <c r="C39" s="107">
        <f>+A39</f>
        <v>0</v>
      </c>
      <c r="D39" s="108" t="str">
        <f>IFERROR(VLOOKUP(H39,[1]SEMIELABORADOS!$A$2:$M$6000,6,0),"")</f>
        <v/>
      </c>
      <c r="E39" s="108" t="str">
        <f>IFERROR(VLOOKUP(H39,[1]SEMIELABORADOS!$A$2:$M$65536,10,0),"")</f>
        <v/>
      </c>
      <c r="F39" s="108" t="str">
        <f>IFERROR(E39*C39,"")</f>
        <v/>
      </c>
      <c r="G39" s="109" t="str">
        <f t="shared" si="9"/>
        <v/>
      </c>
      <c r="H39" s="113"/>
      <c r="I39" s="113"/>
      <c r="J39" s="111"/>
    </row>
    <row r="40" spans="1:13" ht="13.5" hidden="1" x14ac:dyDescent="0.25">
      <c r="A40" s="106">
        <f t="shared" si="10"/>
        <v>0</v>
      </c>
      <c r="B40" s="112" t="str">
        <f>IFERROR(VLOOKUP(H40,[1]SEMIELABORADOS!$A$2:$M$6000,2,0),"")</f>
        <v/>
      </c>
      <c r="C40" s="107">
        <f t="shared" si="11"/>
        <v>0</v>
      </c>
      <c r="D40" s="108" t="str">
        <f>IFERROR(VLOOKUP(H40,[1]SEMIELABORADOS!$A$2:$M$6000,6,0),"")</f>
        <v/>
      </c>
      <c r="E40" s="108" t="str">
        <f>IFERROR(VLOOKUP(H40,[1]SEMIELABORADOS!$A$2:$M$65536,10,0),"")</f>
        <v/>
      </c>
      <c r="F40" s="108" t="str">
        <f t="shared" si="12"/>
        <v/>
      </c>
      <c r="G40" s="109" t="str">
        <f t="shared" si="9"/>
        <v/>
      </c>
      <c r="H40" s="113"/>
      <c r="I40" s="113"/>
      <c r="J40" s="111"/>
    </row>
    <row r="41" spans="1:13" ht="13.5" hidden="1" x14ac:dyDescent="0.25">
      <c r="A41" s="106">
        <f t="shared" si="10"/>
        <v>0</v>
      </c>
      <c r="B41" s="112" t="str">
        <f>IFERROR(VLOOKUP(H41,[1]SEMIELABORADOS!$A$2:$M$6000,2,0),"")</f>
        <v/>
      </c>
      <c r="C41" s="107">
        <f t="shared" si="11"/>
        <v>0</v>
      </c>
      <c r="D41" s="108" t="str">
        <f>IFERROR(VLOOKUP(H41,[1]SEMIELABORADOS!$A$2:$M$6000,6,0),"")</f>
        <v/>
      </c>
      <c r="E41" s="108" t="str">
        <f>IFERROR(VLOOKUP(H41,[1]SEMIELABORADOS!$A$2:$M$65536,10,0),"")</f>
        <v/>
      </c>
      <c r="F41" s="108" t="str">
        <f t="shared" si="12"/>
        <v/>
      </c>
      <c r="G41" s="109" t="str">
        <f t="shared" si="9"/>
        <v/>
      </c>
      <c r="H41" s="113"/>
      <c r="I41" s="113"/>
      <c r="J41" s="111"/>
    </row>
    <row r="42" spans="1:13" ht="14.25" hidden="1" thickBot="1" x14ac:dyDescent="0.3">
      <c r="A42" s="106"/>
      <c r="B42" s="112"/>
      <c r="C42" s="107"/>
      <c r="D42" s="108"/>
      <c r="E42" s="108"/>
      <c r="F42" s="108"/>
      <c r="G42" s="109"/>
      <c r="H42" s="113"/>
      <c r="I42" s="113"/>
      <c r="J42" s="111"/>
    </row>
    <row r="43" spans="1:13" ht="26.25" thickBot="1" x14ac:dyDescent="0.3">
      <c r="A43" s="101" t="s">
        <v>138</v>
      </c>
      <c r="B43" s="102" t="s">
        <v>147</v>
      </c>
      <c r="C43" s="102" t="s">
        <v>138</v>
      </c>
      <c r="D43" s="103" t="s">
        <v>140</v>
      </c>
      <c r="E43" s="103" t="s">
        <v>141</v>
      </c>
      <c r="F43" s="103" t="s">
        <v>142</v>
      </c>
      <c r="G43" s="103" t="s">
        <v>143</v>
      </c>
      <c r="H43" s="104" t="s">
        <v>144</v>
      </c>
      <c r="I43" s="105"/>
      <c r="J43" s="111"/>
    </row>
    <row r="44" spans="1:13" ht="13.5" hidden="1" x14ac:dyDescent="0.25">
      <c r="A44" s="106">
        <f>+A35</f>
        <v>0</v>
      </c>
      <c r="B44" s="112" t="str">
        <f>IFERROR(VLOOKUP(H44,[1]SEMIELABORADOS!$A$2:$M$6000,2,0),"")</f>
        <v/>
      </c>
      <c r="C44" s="107">
        <f>+A44</f>
        <v>0</v>
      </c>
      <c r="D44" s="108" t="str">
        <f>IFERROR(VLOOKUP(H44,[1]SEMIELABORADOS!$A$2:$M$6000,6,0),"")</f>
        <v/>
      </c>
      <c r="E44" s="108" t="str">
        <f>IFERROR(VLOOKUP(H44,[1]SEMIELABORADOS!$A$2:$M$65536,12,0),"")</f>
        <v/>
      </c>
      <c r="F44" s="108" t="str">
        <f>IFERROR(E44*C44,"")</f>
        <v/>
      </c>
      <c r="G44" s="109" t="str">
        <f>IFERROR(F44/$F$66,"")</f>
        <v/>
      </c>
      <c r="H44" s="113"/>
      <c r="I44" s="105"/>
      <c r="J44" s="111"/>
    </row>
    <row r="45" spans="1:13" ht="13.5" hidden="1" x14ac:dyDescent="0.25">
      <c r="A45" s="106">
        <f t="shared" ref="A45:A50" si="13">+A36</f>
        <v>0</v>
      </c>
      <c r="B45" s="112" t="str">
        <f>IFERROR(VLOOKUP(H45,[1]SEMIELABORADOS!$A$2:$M$6000,2,0),"")</f>
        <v/>
      </c>
      <c r="C45" s="107">
        <f t="shared" ref="C45:C50" si="14">+A45</f>
        <v>0</v>
      </c>
      <c r="D45" s="108" t="str">
        <f>IFERROR(VLOOKUP(H45,[1]SEMIELABORADOS!$A$2:$M$6000,6,0),"")</f>
        <v/>
      </c>
      <c r="E45" s="108" t="str">
        <f>IFERROR(VLOOKUP(H45,[1]SEMIELABORADOS!$A$2:$M$65536,12,0),"")</f>
        <v/>
      </c>
      <c r="F45" s="108" t="str">
        <f t="shared" ref="F45:F50" si="15">IFERROR(E45*C45,"")</f>
        <v/>
      </c>
      <c r="G45" s="109" t="str">
        <f t="shared" ref="G45:G50" si="16">IFERROR(F45/$F$66,"")</f>
        <v/>
      </c>
      <c r="H45" s="113"/>
      <c r="I45" s="105"/>
      <c r="J45" s="111"/>
      <c r="M45" s="116"/>
    </row>
    <row r="46" spans="1:13" ht="13.5" hidden="1" x14ac:dyDescent="0.25">
      <c r="A46" s="106">
        <f t="shared" si="13"/>
        <v>0</v>
      </c>
      <c r="B46" s="112" t="str">
        <f>IFERROR(VLOOKUP(H46,[1]SEMIELABORADOS!$A$2:$M$6000,2,0),"")</f>
        <v/>
      </c>
      <c r="C46" s="107">
        <f t="shared" si="14"/>
        <v>0</v>
      </c>
      <c r="D46" s="108" t="str">
        <f>IFERROR(VLOOKUP(H46,[1]SEMIELABORADOS!$A$2:$M$6000,6,0),"")</f>
        <v/>
      </c>
      <c r="E46" s="108" t="str">
        <f>IFERROR(VLOOKUP(H46,[1]SEMIELABORADOS!$A$2:$M$65536,12,0),"")</f>
        <v/>
      </c>
      <c r="F46" s="108" t="str">
        <f t="shared" si="15"/>
        <v/>
      </c>
      <c r="G46" s="109" t="str">
        <f t="shared" si="16"/>
        <v/>
      </c>
      <c r="H46" s="113"/>
      <c r="I46" s="105"/>
      <c r="J46" s="111"/>
    </row>
    <row r="47" spans="1:13" ht="13.5" hidden="1" x14ac:dyDescent="0.25">
      <c r="A47" s="106">
        <f t="shared" si="13"/>
        <v>0</v>
      </c>
      <c r="B47" s="112" t="str">
        <f>IFERROR(VLOOKUP(H47,[1]SEMIELABORADOS!$A$2:$M$6000,2,0),"")</f>
        <v/>
      </c>
      <c r="C47" s="107">
        <f t="shared" si="14"/>
        <v>0</v>
      </c>
      <c r="D47" s="108" t="str">
        <f>IFERROR(VLOOKUP(H47,[1]SEMIELABORADOS!$A$2:$M$6000,6,0),"")</f>
        <v/>
      </c>
      <c r="E47" s="108" t="str">
        <f>IFERROR(VLOOKUP(H47,[1]SEMIELABORADOS!$A$2:$M$65536,12,0),"")</f>
        <v/>
      </c>
      <c r="F47" s="108" t="str">
        <f t="shared" si="15"/>
        <v/>
      </c>
      <c r="G47" s="109" t="str">
        <f t="shared" si="16"/>
        <v/>
      </c>
      <c r="H47" s="113"/>
      <c r="I47" s="105"/>
      <c r="J47" s="111"/>
    </row>
    <row r="48" spans="1:13" ht="13.5" hidden="1" x14ac:dyDescent="0.25">
      <c r="A48" s="106">
        <f t="shared" si="13"/>
        <v>0</v>
      </c>
      <c r="B48" s="112" t="str">
        <f>IFERROR(VLOOKUP(H48,[1]SEMIELABORADOS!$A$2:$M$6000,2,0),"")</f>
        <v/>
      </c>
      <c r="C48" s="107">
        <f t="shared" si="14"/>
        <v>0</v>
      </c>
      <c r="D48" s="108" t="str">
        <f>IFERROR(VLOOKUP(H48,[1]SEMIELABORADOS!$A$2:$M$6000,6,0),"")</f>
        <v/>
      </c>
      <c r="E48" s="108" t="str">
        <f>IFERROR(VLOOKUP(H48,[1]SEMIELABORADOS!$A$2:$M$65536,12,0),"")</f>
        <v/>
      </c>
      <c r="F48" s="108" t="str">
        <f t="shared" si="15"/>
        <v/>
      </c>
      <c r="G48" s="109" t="str">
        <f t="shared" si="16"/>
        <v/>
      </c>
      <c r="H48" s="113"/>
      <c r="I48" s="105"/>
      <c r="J48" s="111"/>
    </row>
    <row r="49" spans="1:17" ht="13.5" hidden="1" x14ac:dyDescent="0.25">
      <c r="A49" s="106">
        <f t="shared" si="13"/>
        <v>0</v>
      </c>
      <c r="B49" s="112" t="str">
        <f>IFERROR(VLOOKUP(H49,[1]SEMIELABORADOS!$A$2:$M$6000,2,0),"")</f>
        <v/>
      </c>
      <c r="C49" s="107">
        <f t="shared" si="14"/>
        <v>0</v>
      </c>
      <c r="D49" s="108" t="str">
        <f>IFERROR(VLOOKUP(H49,[1]SEMIELABORADOS!$A$2:$M$6000,6,0),"")</f>
        <v/>
      </c>
      <c r="E49" s="108" t="str">
        <f>IFERROR(VLOOKUP(H49,[1]SEMIELABORADOS!$A$2:$M$65536,12,0),"")</f>
        <v/>
      </c>
      <c r="F49" s="108" t="str">
        <f t="shared" si="15"/>
        <v/>
      </c>
      <c r="G49" s="109" t="str">
        <f t="shared" si="16"/>
        <v/>
      </c>
      <c r="H49" s="113"/>
      <c r="I49" s="105"/>
      <c r="J49" s="111"/>
    </row>
    <row r="50" spans="1:17" ht="13.5" hidden="1" x14ac:dyDescent="0.25">
      <c r="A50" s="106">
        <f t="shared" si="13"/>
        <v>0</v>
      </c>
      <c r="B50" s="112" t="str">
        <f>IFERROR(VLOOKUP(H50,[1]SEMIELABORADOS!$A$2:$M$6000,2,0),"")</f>
        <v/>
      </c>
      <c r="C50" s="107">
        <f t="shared" si="14"/>
        <v>0</v>
      </c>
      <c r="D50" s="108" t="str">
        <f>IFERROR(VLOOKUP(H50,[1]SEMIELABORADOS!$A$2:$M$6000,6,0),"")</f>
        <v/>
      </c>
      <c r="E50" s="108" t="str">
        <f>IFERROR(VLOOKUP(H50,[1]SEMIELABORADOS!$A$2:$M$65536,12,0),"")</f>
        <v/>
      </c>
      <c r="F50" s="108" t="str">
        <f t="shared" si="15"/>
        <v/>
      </c>
      <c r="G50" s="109" t="str">
        <f t="shared" si="16"/>
        <v/>
      </c>
      <c r="H50" s="112"/>
      <c r="I50" s="105"/>
      <c r="J50" s="111"/>
    </row>
    <row r="51" spans="1:17" ht="13.5" x14ac:dyDescent="0.25">
      <c r="A51" s="106">
        <v>1</v>
      </c>
      <c r="B51" s="112" t="s">
        <v>148</v>
      </c>
      <c r="C51" s="107">
        <f>+A51</f>
        <v>1</v>
      </c>
      <c r="D51" s="107" t="s">
        <v>149</v>
      </c>
      <c r="E51" s="108">
        <f>+F65</f>
        <v>1220</v>
      </c>
      <c r="F51" s="108">
        <f>IFERROR(C51*E51,"")</f>
        <v>1220</v>
      </c>
      <c r="G51" s="109">
        <f>IFERROR(F51/$F$66,"")</f>
        <v>2.6255222933205528E-2</v>
      </c>
      <c r="H51" s="117"/>
      <c r="I51" s="117"/>
      <c r="J51" s="111"/>
    </row>
    <row r="52" spans="1:17" ht="14.25" thickBot="1" x14ac:dyDescent="0.3">
      <c r="A52" s="106"/>
      <c r="B52" s="112"/>
      <c r="C52" s="107"/>
      <c r="D52" s="107"/>
      <c r="E52" s="108"/>
      <c r="F52" s="108"/>
      <c r="G52" s="109"/>
      <c r="H52" s="117"/>
      <c r="I52" s="117"/>
      <c r="J52" s="111"/>
    </row>
    <row r="53" spans="1:17" ht="13.5" thickBot="1" x14ac:dyDescent="0.3">
      <c r="A53" s="118"/>
      <c r="B53" s="366" t="s">
        <v>150</v>
      </c>
      <c r="C53" s="366"/>
      <c r="D53" s="366"/>
      <c r="E53" s="366"/>
      <c r="F53" s="120">
        <f>SUM(F8:F14,F17:F24)</f>
        <v>44359.75</v>
      </c>
      <c r="G53" s="109">
        <f>+F53/$F$66</f>
        <v>0.9546517422223475</v>
      </c>
      <c r="H53" s="121">
        <f>+F53/$D$60</f>
        <v>44359.75</v>
      </c>
      <c r="I53" s="121"/>
      <c r="J53" s="122"/>
      <c r="K53" s="123"/>
      <c r="L53" s="123"/>
      <c r="M53" s="123"/>
      <c r="N53" s="123"/>
      <c r="O53" s="123"/>
      <c r="P53" s="123"/>
      <c r="Q53" s="124"/>
    </row>
    <row r="54" spans="1:17" x14ac:dyDescent="0.2">
      <c r="A54" s="118"/>
      <c r="B54" s="366" t="s">
        <v>151</v>
      </c>
      <c r="C54" s="366"/>
      <c r="D54" s="366"/>
      <c r="E54" s="366"/>
      <c r="F54" s="120">
        <f>SUM(F27:F32,F35:F41)</f>
        <v>0</v>
      </c>
      <c r="G54" s="109">
        <f>+F54/$F$66</f>
        <v>0</v>
      </c>
      <c r="H54" s="121">
        <f>+F54/$D$60</f>
        <v>0</v>
      </c>
      <c r="I54" s="121"/>
      <c r="J54" s="125"/>
      <c r="K54" s="367" t="s">
        <v>152</v>
      </c>
      <c r="L54" s="368"/>
      <c r="M54" s="368"/>
      <c r="N54" s="368"/>
      <c r="O54" s="126">
        <f>+F55</f>
        <v>44359.75</v>
      </c>
      <c r="P54" s="126"/>
      <c r="Q54" s="127"/>
    </row>
    <row r="55" spans="1:17" x14ac:dyDescent="0.2">
      <c r="A55" s="118"/>
      <c r="B55" s="366" t="s">
        <v>153</v>
      </c>
      <c r="C55" s="366"/>
      <c r="D55" s="366"/>
      <c r="E55" s="366"/>
      <c r="F55" s="120">
        <f>+F53+F54</f>
        <v>44359.75</v>
      </c>
      <c r="G55" s="109">
        <f>+F55/$F$66</f>
        <v>0.9546517422223475</v>
      </c>
      <c r="H55" s="121">
        <f>+F55/$D$60</f>
        <v>44359.75</v>
      </c>
      <c r="I55" s="121"/>
      <c r="J55" s="128"/>
      <c r="K55" s="129"/>
      <c r="M55" s="130" t="s">
        <v>154</v>
      </c>
      <c r="N55" s="131"/>
      <c r="O55" s="126">
        <f>+H56</f>
        <v>1220</v>
      </c>
      <c r="P55" s="126"/>
      <c r="Q55" s="127"/>
    </row>
    <row r="56" spans="1:17" ht="13.5" thickBot="1" x14ac:dyDescent="0.25">
      <c r="A56" s="118"/>
      <c r="B56" s="119"/>
      <c r="C56" s="366" t="s">
        <v>155</v>
      </c>
      <c r="D56" s="366"/>
      <c r="E56" s="366"/>
      <c r="F56" s="120">
        <f>SUM(F44:F51)</f>
        <v>1220</v>
      </c>
      <c r="G56" s="109">
        <f>+F56/$F$66</f>
        <v>2.6255222933205528E-2</v>
      </c>
      <c r="H56" s="121">
        <f>+F56/$D$60</f>
        <v>1220</v>
      </c>
      <c r="I56" s="121"/>
      <c r="J56" s="128"/>
      <c r="K56" s="129"/>
      <c r="L56" s="129"/>
      <c r="M56" s="129" t="s">
        <v>156</v>
      </c>
      <c r="N56" s="132"/>
      <c r="O56" s="126">
        <f>O54*N56</f>
        <v>0</v>
      </c>
      <c r="P56" s="126"/>
      <c r="Q56" s="127"/>
    </row>
    <row r="57" spans="1:17" ht="13.5" thickBot="1" x14ac:dyDescent="0.25">
      <c r="A57" s="118"/>
      <c r="B57" s="133"/>
      <c r="C57" s="133"/>
      <c r="D57" s="133"/>
      <c r="E57" s="133"/>
      <c r="F57" s="134"/>
      <c r="G57" s="109"/>
      <c r="H57" s="135"/>
      <c r="I57" s="121"/>
      <c r="J57" s="128"/>
      <c r="K57" s="136"/>
      <c r="M57" s="137" t="s">
        <v>157</v>
      </c>
      <c r="N57" s="138"/>
      <c r="O57" s="139">
        <f>SUM(O54:O56)</f>
        <v>45579.75</v>
      </c>
      <c r="P57" s="140"/>
      <c r="Q57" s="127"/>
    </row>
    <row r="58" spans="1:17" x14ac:dyDescent="0.2">
      <c r="B58" s="369" t="s">
        <v>158</v>
      </c>
      <c r="C58" s="369"/>
      <c r="D58" s="141">
        <v>10000</v>
      </c>
      <c r="E58" s="142"/>
      <c r="G58" s="109"/>
      <c r="H58" s="135">
        <f>+H56/61</f>
        <v>20</v>
      </c>
      <c r="I58" s="143"/>
      <c r="J58" s="128"/>
      <c r="K58" s="136"/>
      <c r="L58" s="129"/>
      <c r="M58" s="129" t="s">
        <v>159</v>
      </c>
      <c r="N58" s="144"/>
      <c r="O58" s="126">
        <f>+H59</f>
        <v>1160</v>
      </c>
      <c r="P58" s="126"/>
      <c r="Q58" s="127"/>
    </row>
    <row r="59" spans="1:17" x14ac:dyDescent="0.2">
      <c r="B59" s="369" t="s">
        <v>160</v>
      </c>
      <c r="C59" s="369"/>
      <c r="D59" s="145">
        <v>10000</v>
      </c>
      <c r="E59" s="142"/>
      <c r="G59" s="109"/>
      <c r="H59" s="135">
        <f>+H58*58</f>
        <v>1160</v>
      </c>
      <c r="I59" s="143"/>
      <c r="J59" s="128"/>
      <c r="K59" s="136"/>
      <c r="L59" s="129"/>
      <c r="M59" s="370" t="s">
        <v>157</v>
      </c>
      <c r="N59" s="370"/>
      <c r="O59" s="126">
        <f>SUM(O57:O58)</f>
        <v>46739.75</v>
      </c>
      <c r="P59" s="126"/>
      <c r="Q59" s="127"/>
    </row>
    <row r="60" spans="1:17" ht="13.5" thickBot="1" x14ac:dyDescent="0.25">
      <c r="B60" s="362" t="s">
        <v>161</v>
      </c>
      <c r="C60" s="362"/>
      <c r="D60" s="141">
        <f>+D58/D59</f>
        <v>1</v>
      </c>
      <c r="E60" s="142"/>
      <c r="F60" s="146"/>
      <c r="G60" s="109"/>
      <c r="H60" s="135"/>
      <c r="I60" s="143"/>
      <c r="J60" s="128"/>
      <c r="K60" s="136"/>
      <c r="L60" s="370"/>
      <c r="M60" s="370"/>
      <c r="N60" s="144"/>
      <c r="O60" s="126">
        <f>+O59*N60</f>
        <v>0</v>
      </c>
      <c r="P60" s="126"/>
      <c r="Q60" s="127"/>
    </row>
    <row r="61" spans="1:17" ht="13.5" thickBot="1" x14ac:dyDescent="0.25">
      <c r="B61" s="362" t="s">
        <v>162</v>
      </c>
      <c r="C61" s="362"/>
      <c r="D61" s="147"/>
      <c r="E61" s="142"/>
      <c r="F61" s="146"/>
      <c r="G61" s="109"/>
      <c r="H61" s="135"/>
      <c r="I61" s="143"/>
      <c r="J61" s="128"/>
      <c r="K61" s="363" t="s">
        <v>163</v>
      </c>
      <c r="L61" s="364"/>
      <c r="M61" s="364"/>
      <c r="N61" s="365"/>
      <c r="O61" s="139">
        <f>SUM(O59:O60)</f>
        <v>46739.75</v>
      </c>
      <c r="P61" s="148" t="s">
        <v>164</v>
      </c>
      <c r="Q61" s="127"/>
    </row>
    <row r="62" spans="1:17" ht="13.5" thickBot="1" x14ac:dyDescent="0.25">
      <c r="C62" s="118" t="s">
        <v>43</v>
      </c>
      <c r="D62" s="149"/>
      <c r="E62" s="92" t="s">
        <v>165</v>
      </c>
      <c r="F62" s="150" t="s">
        <v>166</v>
      </c>
      <c r="G62" s="109"/>
      <c r="H62" s="135"/>
      <c r="I62" s="143"/>
      <c r="J62" s="151"/>
      <c r="K62" s="152"/>
      <c r="L62" s="376" t="s">
        <v>79</v>
      </c>
      <c r="M62" s="376"/>
      <c r="N62" s="376"/>
      <c r="O62" s="153">
        <f>+O61/D60</f>
        <v>46739.75</v>
      </c>
      <c r="P62" s="154">
        <f>+O62/D59</f>
        <v>4.6739750000000004</v>
      </c>
      <c r="Q62" s="155"/>
    </row>
    <row r="63" spans="1:17" ht="13.5" thickBot="1" x14ac:dyDescent="0.25">
      <c r="B63" s="377" t="s">
        <v>153</v>
      </c>
      <c r="C63" s="377"/>
      <c r="D63" s="377"/>
      <c r="E63" s="156">
        <f>+F63/F63</f>
        <v>1</v>
      </c>
      <c r="F63" s="157">
        <f>SUM(F55)</f>
        <v>44359.75</v>
      </c>
      <c r="G63" s="109">
        <f>+F63/$F$66</f>
        <v>0.9546517422223475</v>
      </c>
      <c r="H63" s="135"/>
      <c r="I63" s="143"/>
      <c r="K63" s="378"/>
      <c r="L63" s="379"/>
      <c r="M63" s="379"/>
      <c r="N63" s="379"/>
      <c r="O63" s="158"/>
      <c r="P63" s="159"/>
    </row>
    <row r="64" spans="1:17" ht="13.5" thickBot="1" x14ac:dyDescent="0.3">
      <c r="B64" s="380" t="s">
        <v>167</v>
      </c>
      <c r="C64" s="380"/>
      <c r="D64" s="380"/>
      <c r="E64" s="160">
        <v>0.02</v>
      </c>
      <c r="F64" s="157">
        <f>+F53*E64</f>
        <v>887.19500000000005</v>
      </c>
      <c r="G64" s="109">
        <f>+F64/$F$66</f>
        <v>1.9093034844446952E-2</v>
      </c>
      <c r="H64" s="121"/>
      <c r="I64" s="143"/>
      <c r="J64" s="161"/>
      <c r="O64" s="162"/>
      <c r="P64" s="119"/>
    </row>
    <row r="65" spans="2:13" ht="13.5" thickBot="1" x14ac:dyDescent="0.3">
      <c r="B65" s="381" t="s">
        <v>168</v>
      </c>
      <c r="C65" s="382"/>
      <c r="D65" s="163">
        <v>20</v>
      </c>
      <c r="E65" s="164">
        <v>61</v>
      </c>
      <c r="F65" s="157">
        <f>+E65*D65</f>
        <v>1220</v>
      </c>
      <c r="G65" s="109">
        <f>+F65/$F$66</f>
        <v>2.6255222933205528E-2</v>
      </c>
      <c r="H65" s="121"/>
      <c r="I65" s="121"/>
      <c r="J65" s="111"/>
    </row>
    <row r="66" spans="2:13" ht="13.5" thickBot="1" x14ac:dyDescent="0.3">
      <c r="B66" s="383" t="s">
        <v>169</v>
      </c>
      <c r="C66" s="384"/>
      <c r="D66" s="384"/>
      <c r="E66" s="385"/>
      <c r="F66" s="134">
        <f>SUM(F63:F65)</f>
        <v>46466.945</v>
      </c>
      <c r="G66" s="109">
        <f>+F66/$F$66</f>
        <v>1</v>
      </c>
      <c r="H66" s="386"/>
      <c r="I66" s="121"/>
      <c r="J66" s="111"/>
      <c r="M66" s="94" t="s">
        <v>170</v>
      </c>
    </row>
    <row r="67" spans="2:13" x14ac:dyDescent="0.25">
      <c r="C67" s="116"/>
      <c r="D67" s="116"/>
      <c r="E67" s="166"/>
      <c r="F67" s="157"/>
      <c r="G67" s="109"/>
      <c r="H67" s="386"/>
      <c r="I67" s="165"/>
      <c r="J67" s="94"/>
      <c r="M67" s="94" t="s">
        <v>171</v>
      </c>
    </row>
    <row r="68" spans="2:13" ht="13.5" thickBot="1" x14ac:dyDescent="0.3">
      <c r="B68" s="371" t="s">
        <v>172</v>
      </c>
      <c r="C68" s="371"/>
      <c r="D68" s="371"/>
      <c r="E68" s="371"/>
      <c r="F68" s="371"/>
      <c r="G68" s="109"/>
      <c r="H68" s="168"/>
      <c r="I68" s="165"/>
      <c r="J68" s="94"/>
      <c r="M68" s="94" t="s">
        <v>173</v>
      </c>
    </row>
    <row r="69" spans="2:13" ht="13.5" thickBot="1" x14ac:dyDescent="0.3">
      <c r="B69" s="169" t="s">
        <v>174</v>
      </c>
      <c r="C69" s="170">
        <f>+F53</f>
        <v>44359.75</v>
      </c>
      <c r="D69" s="170">
        <f>+D58</f>
        <v>10000</v>
      </c>
      <c r="E69" s="171">
        <f>+C69/D69</f>
        <v>4.435975</v>
      </c>
      <c r="F69" s="109"/>
      <c r="G69" s="168"/>
      <c r="H69" s="111"/>
      <c r="I69" s="168"/>
      <c r="J69" s="94"/>
    </row>
    <row r="70" spans="2:13" x14ac:dyDescent="0.25">
      <c r="B70" s="172"/>
      <c r="C70" s="173"/>
      <c r="D70" s="174"/>
      <c r="E70" s="157"/>
      <c r="F70" s="109"/>
      <c r="G70" s="168"/>
      <c r="H70" s="111"/>
      <c r="I70" s="111"/>
      <c r="J70" s="94"/>
    </row>
    <row r="71" spans="2:13" x14ac:dyDescent="0.25">
      <c r="B71" s="169" t="s">
        <v>175</v>
      </c>
      <c r="C71" s="170">
        <f>SUM(F63:F64)</f>
        <v>45246.945</v>
      </c>
      <c r="D71" s="170">
        <f>+D58</f>
        <v>10000</v>
      </c>
      <c r="E71" s="175">
        <f>+C71/D71</f>
        <v>4.5246944999999998</v>
      </c>
      <c r="F71" s="109"/>
      <c r="G71" s="168"/>
      <c r="H71" s="111"/>
      <c r="I71" s="111"/>
      <c r="J71" s="94"/>
    </row>
    <row r="72" spans="2:13" x14ac:dyDescent="0.25">
      <c r="B72" s="169"/>
      <c r="C72" s="170"/>
      <c r="D72" s="170"/>
      <c r="E72" s="175"/>
      <c r="F72" s="109"/>
      <c r="G72" s="168"/>
      <c r="H72" s="111"/>
      <c r="I72" s="111"/>
      <c r="J72" s="94"/>
    </row>
    <row r="73" spans="2:13" ht="13.5" thickBot="1" x14ac:dyDescent="0.3">
      <c r="B73" s="169" t="s">
        <v>176</v>
      </c>
      <c r="C73" s="170">
        <f>+F65</f>
        <v>1220</v>
      </c>
      <c r="D73" s="170">
        <f>+D58</f>
        <v>10000</v>
      </c>
      <c r="E73" s="175">
        <f>+C73/D73</f>
        <v>0.122</v>
      </c>
      <c r="F73" s="109"/>
      <c r="G73" s="168"/>
      <c r="H73" s="111"/>
      <c r="I73" s="111"/>
      <c r="J73" s="94"/>
    </row>
    <row r="74" spans="2:13" ht="13.5" thickBot="1" x14ac:dyDescent="0.3">
      <c r="B74" s="169" t="s">
        <v>177</v>
      </c>
      <c r="C74" s="170">
        <f>+F56</f>
        <v>1220</v>
      </c>
      <c r="D74" s="170">
        <f>+D73</f>
        <v>10000</v>
      </c>
      <c r="E74" s="171">
        <f>+C74/D74</f>
        <v>0.122</v>
      </c>
      <c r="F74" s="109"/>
      <c r="G74" s="168"/>
      <c r="H74" s="111"/>
      <c r="I74" s="111"/>
      <c r="J74" s="94"/>
    </row>
    <row r="75" spans="2:13" ht="13.5" thickBot="1" x14ac:dyDescent="0.3">
      <c r="B75" s="133"/>
      <c r="C75" s="134"/>
      <c r="D75" s="134"/>
      <c r="E75" s="175"/>
      <c r="F75" s="109"/>
      <c r="G75" s="168"/>
      <c r="H75" s="111"/>
      <c r="I75" s="111"/>
      <c r="J75" s="94"/>
    </row>
    <row r="76" spans="2:13" ht="13.5" thickBot="1" x14ac:dyDescent="0.3">
      <c r="B76" s="169" t="s">
        <v>178</v>
      </c>
      <c r="C76" s="170">
        <f>+F54</f>
        <v>0</v>
      </c>
      <c r="D76" s="170">
        <f>+D74</f>
        <v>10000</v>
      </c>
      <c r="E76" s="171">
        <f>+C76/D76</f>
        <v>0</v>
      </c>
      <c r="F76" s="109"/>
      <c r="G76" s="168"/>
      <c r="H76" s="111"/>
      <c r="I76" s="111"/>
      <c r="J76" s="111"/>
    </row>
    <row r="77" spans="2:13" ht="13.5" thickBot="1" x14ac:dyDescent="0.3">
      <c r="B77" s="133"/>
      <c r="C77" s="134"/>
      <c r="D77" s="134"/>
      <c r="E77" s="175"/>
      <c r="F77" s="109"/>
      <c r="G77" s="168"/>
      <c r="H77" s="111"/>
      <c r="I77" s="111"/>
    </row>
    <row r="78" spans="2:13" ht="13.5" thickBot="1" x14ac:dyDescent="0.3">
      <c r="B78" s="372" t="s">
        <v>179</v>
      </c>
      <c r="C78" s="373"/>
      <c r="D78" s="374"/>
      <c r="E78" s="171">
        <f>+E69+E74</f>
        <v>4.5579749999999999</v>
      </c>
      <c r="G78" s="109"/>
      <c r="H78" s="168"/>
      <c r="I78" s="111"/>
      <c r="J78" s="175"/>
    </row>
    <row r="79" spans="2:13" x14ac:dyDescent="0.25">
      <c r="I79" s="168"/>
      <c r="J79" s="94"/>
    </row>
    <row r="80" spans="2:13" ht="13.5" thickBot="1" x14ac:dyDescent="0.3">
      <c r="B80" s="371" t="s">
        <v>180</v>
      </c>
      <c r="C80" s="371"/>
      <c r="D80" s="371"/>
      <c r="E80" s="371"/>
      <c r="F80" s="371"/>
      <c r="G80" s="109"/>
      <c r="H80" s="168"/>
      <c r="J80" s="94"/>
    </row>
    <row r="81" spans="1:10" ht="13.5" thickBot="1" x14ac:dyDescent="0.3">
      <c r="B81" s="169" t="s">
        <v>174</v>
      </c>
      <c r="C81" s="170">
        <f>+C69</f>
        <v>44359.75</v>
      </c>
      <c r="D81" s="170">
        <f>+D60</f>
        <v>1</v>
      </c>
      <c r="E81" s="171">
        <f>+C81/D81</f>
        <v>44359.75</v>
      </c>
      <c r="F81" s="109"/>
      <c r="G81" s="168"/>
      <c r="H81" s="111"/>
      <c r="I81" s="168"/>
      <c r="J81" s="94"/>
    </row>
    <row r="82" spans="1:10" x14ac:dyDescent="0.25">
      <c r="B82" s="172"/>
      <c r="C82" s="173"/>
      <c r="D82" s="174"/>
      <c r="E82" s="157"/>
      <c r="F82" s="109"/>
      <c r="G82" s="168"/>
      <c r="H82" s="111"/>
      <c r="I82" s="111"/>
      <c r="J82" s="94"/>
    </row>
    <row r="83" spans="1:10" x14ac:dyDescent="0.25">
      <c r="B83" s="169" t="s">
        <v>175</v>
      </c>
      <c r="C83" s="170">
        <f>+C71</f>
        <v>45246.945</v>
      </c>
      <c r="D83" s="170">
        <f>+D60</f>
        <v>1</v>
      </c>
      <c r="E83" s="175">
        <f>+C83/D83</f>
        <v>45246.945</v>
      </c>
      <c r="F83" s="109"/>
      <c r="G83" s="168"/>
      <c r="H83" s="111"/>
      <c r="I83" s="111"/>
      <c r="J83" s="94"/>
    </row>
    <row r="84" spans="1:10" x14ac:dyDescent="0.25">
      <c r="B84" s="169"/>
      <c r="C84" s="170"/>
      <c r="D84" s="170"/>
      <c r="E84" s="175"/>
      <c r="F84" s="109"/>
      <c r="G84" s="168"/>
      <c r="H84" s="111"/>
      <c r="I84" s="111"/>
      <c r="J84" s="94"/>
    </row>
    <row r="85" spans="1:10" ht="13.5" thickBot="1" x14ac:dyDescent="0.3">
      <c r="B85" s="169" t="s">
        <v>177</v>
      </c>
      <c r="C85" s="170">
        <f>+C73</f>
        <v>1220</v>
      </c>
      <c r="D85" s="170">
        <f>+D60</f>
        <v>1</v>
      </c>
      <c r="E85" s="175">
        <f>+C85/D85</f>
        <v>1220</v>
      </c>
      <c r="F85" s="177"/>
      <c r="G85" s="167"/>
      <c r="H85" s="93"/>
      <c r="I85" s="111"/>
    </row>
    <row r="86" spans="1:10" ht="13.5" thickBot="1" x14ac:dyDescent="0.3">
      <c r="B86" s="169" t="s">
        <v>177</v>
      </c>
      <c r="C86" s="170">
        <f>+C74</f>
        <v>1220</v>
      </c>
      <c r="D86" s="170">
        <f>+D85</f>
        <v>1</v>
      </c>
      <c r="E86" s="171">
        <f>+C86/D86</f>
        <v>1220</v>
      </c>
      <c r="F86" s="176"/>
      <c r="G86" s="167"/>
      <c r="H86" s="93"/>
      <c r="I86" s="93"/>
    </row>
    <row r="87" spans="1:10" x14ac:dyDescent="0.25">
      <c r="I87" s="93"/>
    </row>
    <row r="88" spans="1:10" x14ac:dyDescent="0.2">
      <c r="A88" s="375"/>
      <c r="B88" s="375"/>
      <c r="C88" s="178"/>
      <c r="D88" s="178"/>
      <c r="E88" s="179"/>
      <c r="G88" s="180"/>
    </row>
    <row r="89" spans="1:10" x14ac:dyDescent="0.2">
      <c r="A89" s="112"/>
      <c r="B89" s="181"/>
      <c r="C89" s="182"/>
      <c r="D89" s="182"/>
      <c r="E89" s="183"/>
      <c r="G89" s="180"/>
    </row>
    <row r="90" spans="1:10" x14ac:dyDescent="0.2">
      <c r="A90" s="112"/>
      <c r="B90" s="181"/>
      <c r="C90" s="184"/>
      <c r="D90" s="184"/>
      <c r="E90" s="112"/>
      <c r="G90" s="180"/>
    </row>
    <row r="91" spans="1:10" x14ac:dyDescent="0.2">
      <c r="A91" s="112"/>
      <c r="B91" s="181"/>
      <c r="C91" s="185"/>
      <c r="D91" s="185"/>
      <c r="E91" s="112"/>
      <c r="G91" s="18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F6E1-C361-4757-8803-8190D40B1FB0}">
  <dimension ref="A1:K36"/>
  <sheetViews>
    <sheetView topLeftCell="A4" workbookViewId="0">
      <selection activeCell="E14" sqref="E14"/>
    </sheetView>
  </sheetViews>
  <sheetFormatPr baseColWidth="10" defaultColWidth="11.42578125" defaultRowHeight="15" x14ac:dyDescent="0.25"/>
  <cols>
    <col min="2" max="2" width="10.7109375" customWidth="1"/>
    <col min="3" max="3" width="34.7109375" customWidth="1"/>
    <col min="4" max="4" width="8.28515625" customWidth="1"/>
    <col min="5" max="5" width="5.7109375" customWidth="1"/>
    <col min="6" max="6" width="5.5703125" customWidth="1"/>
    <col min="7" max="7" width="14.7109375" customWidth="1"/>
    <col min="8" max="8" width="14.28515625" customWidth="1"/>
    <col min="9" max="9" width="18.7109375" customWidth="1"/>
    <col min="10" max="256" width="9.28515625" customWidth="1"/>
    <col min="259" max="259" width="47.7109375" customWidth="1"/>
    <col min="260" max="260" width="25.42578125" customWidth="1"/>
    <col min="261" max="512" width="9.28515625" customWidth="1"/>
    <col min="515" max="515" width="47.7109375" customWidth="1"/>
    <col min="516" max="516" width="25.42578125" customWidth="1"/>
    <col min="517" max="768" width="9.28515625" customWidth="1"/>
    <col min="771" max="771" width="47.7109375" customWidth="1"/>
    <col min="772" max="772" width="25.42578125" customWidth="1"/>
    <col min="773" max="1024" width="9.28515625" customWidth="1"/>
    <col min="1027" max="1027" width="47.7109375" customWidth="1"/>
    <col min="1028" max="1028" width="25.42578125" customWidth="1"/>
    <col min="1029" max="1280" width="9.28515625" customWidth="1"/>
    <col min="1283" max="1283" width="47.7109375" customWidth="1"/>
    <col min="1284" max="1284" width="25.42578125" customWidth="1"/>
    <col min="1285" max="1536" width="9.28515625" customWidth="1"/>
    <col min="1539" max="1539" width="47.7109375" customWidth="1"/>
    <col min="1540" max="1540" width="25.42578125" customWidth="1"/>
    <col min="1541" max="1792" width="9.28515625" customWidth="1"/>
    <col min="1795" max="1795" width="47.7109375" customWidth="1"/>
    <col min="1796" max="1796" width="25.42578125" customWidth="1"/>
    <col min="1797" max="2048" width="9.28515625" customWidth="1"/>
    <col min="2051" max="2051" width="47.7109375" customWidth="1"/>
    <col min="2052" max="2052" width="25.42578125" customWidth="1"/>
    <col min="2053" max="2304" width="9.28515625" customWidth="1"/>
    <col min="2307" max="2307" width="47.7109375" customWidth="1"/>
    <col min="2308" max="2308" width="25.42578125" customWidth="1"/>
    <col min="2309" max="2560" width="9.28515625" customWidth="1"/>
    <col min="2563" max="2563" width="47.7109375" customWidth="1"/>
    <col min="2564" max="2564" width="25.42578125" customWidth="1"/>
    <col min="2565" max="2816" width="9.28515625" customWidth="1"/>
    <col min="2819" max="2819" width="47.7109375" customWidth="1"/>
    <col min="2820" max="2820" width="25.42578125" customWidth="1"/>
    <col min="2821" max="3072" width="9.28515625" customWidth="1"/>
    <col min="3075" max="3075" width="47.7109375" customWidth="1"/>
    <col min="3076" max="3076" width="25.42578125" customWidth="1"/>
    <col min="3077" max="3328" width="9.28515625" customWidth="1"/>
    <col min="3331" max="3331" width="47.7109375" customWidth="1"/>
    <col min="3332" max="3332" width="25.42578125" customWidth="1"/>
    <col min="3333" max="3584" width="9.28515625" customWidth="1"/>
    <col min="3587" max="3587" width="47.7109375" customWidth="1"/>
    <col min="3588" max="3588" width="25.42578125" customWidth="1"/>
    <col min="3589" max="3840" width="9.28515625" customWidth="1"/>
    <col min="3843" max="3843" width="47.7109375" customWidth="1"/>
    <col min="3844" max="3844" width="25.42578125" customWidth="1"/>
    <col min="3845" max="4096" width="9.28515625" customWidth="1"/>
    <col min="4099" max="4099" width="47.7109375" customWidth="1"/>
    <col min="4100" max="4100" width="25.42578125" customWidth="1"/>
    <col min="4101" max="4352" width="9.28515625" customWidth="1"/>
    <col min="4355" max="4355" width="47.7109375" customWidth="1"/>
    <col min="4356" max="4356" width="25.42578125" customWidth="1"/>
    <col min="4357" max="4608" width="9.28515625" customWidth="1"/>
    <col min="4611" max="4611" width="47.7109375" customWidth="1"/>
    <col min="4612" max="4612" width="25.42578125" customWidth="1"/>
    <col min="4613" max="4864" width="9.28515625" customWidth="1"/>
    <col min="4867" max="4867" width="47.7109375" customWidth="1"/>
    <col min="4868" max="4868" width="25.42578125" customWidth="1"/>
    <col min="4869" max="5120" width="9.28515625" customWidth="1"/>
    <col min="5123" max="5123" width="47.7109375" customWidth="1"/>
    <col min="5124" max="5124" width="25.42578125" customWidth="1"/>
    <col min="5125" max="5376" width="9.28515625" customWidth="1"/>
    <col min="5379" max="5379" width="47.7109375" customWidth="1"/>
    <col min="5380" max="5380" width="25.42578125" customWidth="1"/>
    <col min="5381" max="5632" width="9.28515625" customWidth="1"/>
    <col min="5635" max="5635" width="47.7109375" customWidth="1"/>
    <col min="5636" max="5636" width="25.42578125" customWidth="1"/>
    <col min="5637" max="5888" width="9.28515625" customWidth="1"/>
    <col min="5891" max="5891" width="47.7109375" customWidth="1"/>
    <col min="5892" max="5892" width="25.42578125" customWidth="1"/>
    <col min="5893" max="6144" width="9.28515625" customWidth="1"/>
    <col min="6147" max="6147" width="47.7109375" customWidth="1"/>
    <col min="6148" max="6148" width="25.42578125" customWidth="1"/>
    <col min="6149" max="6400" width="9.28515625" customWidth="1"/>
    <col min="6403" max="6403" width="47.7109375" customWidth="1"/>
    <col min="6404" max="6404" width="25.42578125" customWidth="1"/>
    <col min="6405" max="6656" width="9.28515625" customWidth="1"/>
    <col min="6659" max="6659" width="47.7109375" customWidth="1"/>
    <col min="6660" max="6660" width="25.42578125" customWidth="1"/>
    <col min="6661" max="6912" width="9.28515625" customWidth="1"/>
    <col min="6915" max="6915" width="47.7109375" customWidth="1"/>
    <col min="6916" max="6916" width="25.42578125" customWidth="1"/>
    <col min="6917" max="7168" width="9.28515625" customWidth="1"/>
    <col min="7171" max="7171" width="47.7109375" customWidth="1"/>
    <col min="7172" max="7172" width="25.42578125" customWidth="1"/>
    <col min="7173" max="7424" width="9.28515625" customWidth="1"/>
    <col min="7427" max="7427" width="47.7109375" customWidth="1"/>
    <col min="7428" max="7428" width="25.42578125" customWidth="1"/>
    <col min="7429" max="7680" width="9.28515625" customWidth="1"/>
    <col min="7683" max="7683" width="47.7109375" customWidth="1"/>
    <col min="7684" max="7684" width="25.42578125" customWidth="1"/>
    <col min="7685" max="7936" width="9.28515625" customWidth="1"/>
    <col min="7939" max="7939" width="47.7109375" customWidth="1"/>
    <col min="7940" max="7940" width="25.42578125" customWidth="1"/>
    <col min="7941" max="8192" width="9.28515625" customWidth="1"/>
    <col min="8195" max="8195" width="47.7109375" customWidth="1"/>
    <col min="8196" max="8196" width="25.42578125" customWidth="1"/>
    <col min="8197" max="8448" width="9.28515625" customWidth="1"/>
    <col min="8451" max="8451" width="47.7109375" customWidth="1"/>
    <col min="8452" max="8452" width="25.42578125" customWidth="1"/>
    <col min="8453" max="8704" width="9.28515625" customWidth="1"/>
    <col min="8707" max="8707" width="47.7109375" customWidth="1"/>
    <col min="8708" max="8708" width="25.42578125" customWidth="1"/>
    <col min="8709" max="8960" width="9.28515625" customWidth="1"/>
    <col min="8963" max="8963" width="47.7109375" customWidth="1"/>
    <col min="8964" max="8964" width="25.42578125" customWidth="1"/>
    <col min="8965" max="9216" width="9.28515625" customWidth="1"/>
    <col min="9219" max="9219" width="47.7109375" customWidth="1"/>
    <col min="9220" max="9220" width="25.42578125" customWidth="1"/>
    <col min="9221" max="9472" width="9.28515625" customWidth="1"/>
    <col min="9475" max="9475" width="47.7109375" customWidth="1"/>
    <col min="9476" max="9476" width="25.42578125" customWidth="1"/>
    <col min="9477" max="9728" width="9.28515625" customWidth="1"/>
    <col min="9731" max="9731" width="47.7109375" customWidth="1"/>
    <col min="9732" max="9732" width="25.42578125" customWidth="1"/>
    <col min="9733" max="9984" width="9.28515625" customWidth="1"/>
    <col min="9987" max="9987" width="47.7109375" customWidth="1"/>
    <col min="9988" max="9988" width="25.42578125" customWidth="1"/>
    <col min="9989" max="10240" width="9.28515625" customWidth="1"/>
    <col min="10243" max="10243" width="47.7109375" customWidth="1"/>
    <col min="10244" max="10244" width="25.42578125" customWidth="1"/>
    <col min="10245" max="10496" width="9.28515625" customWidth="1"/>
    <col min="10499" max="10499" width="47.7109375" customWidth="1"/>
    <col min="10500" max="10500" width="25.42578125" customWidth="1"/>
    <col min="10501" max="10752" width="9.28515625" customWidth="1"/>
    <col min="10755" max="10755" width="47.7109375" customWidth="1"/>
    <col min="10756" max="10756" width="25.42578125" customWidth="1"/>
    <col min="10757" max="11008" width="9.28515625" customWidth="1"/>
    <col min="11011" max="11011" width="47.7109375" customWidth="1"/>
    <col min="11012" max="11012" width="25.42578125" customWidth="1"/>
    <col min="11013" max="11264" width="9.28515625" customWidth="1"/>
    <col min="11267" max="11267" width="47.7109375" customWidth="1"/>
    <col min="11268" max="11268" width="25.42578125" customWidth="1"/>
    <col min="11269" max="11520" width="9.28515625" customWidth="1"/>
    <col min="11523" max="11523" width="47.7109375" customWidth="1"/>
    <col min="11524" max="11524" width="25.42578125" customWidth="1"/>
    <col min="11525" max="11776" width="9.28515625" customWidth="1"/>
    <col min="11779" max="11779" width="47.7109375" customWidth="1"/>
    <col min="11780" max="11780" width="25.42578125" customWidth="1"/>
    <col min="11781" max="12032" width="9.28515625" customWidth="1"/>
    <col min="12035" max="12035" width="47.7109375" customWidth="1"/>
    <col min="12036" max="12036" width="25.42578125" customWidth="1"/>
    <col min="12037" max="12288" width="9.28515625" customWidth="1"/>
    <col min="12291" max="12291" width="47.7109375" customWidth="1"/>
    <col min="12292" max="12292" width="25.42578125" customWidth="1"/>
    <col min="12293" max="12544" width="9.28515625" customWidth="1"/>
    <col min="12547" max="12547" width="47.7109375" customWidth="1"/>
    <col min="12548" max="12548" width="25.42578125" customWidth="1"/>
    <col min="12549" max="12800" width="9.28515625" customWidth="1"/>
    <col min="12803" max="12803" width="47.7109375" customWidth="1"/>
    <col min="12804" max="12804" width="25.42578125" customWidth="1"/>
    <col min="12805" max="13056" width="9.28515625" customWidth="1"/>
    <col min="13059" max="13059" width="47.7109375" customWidth="1"/>
    <col min="13060" max="13060" width="25.42578125" customWidth="1"/>
    <col min="13061" max="13312" width="9.28515625" customWidth="1"/>
    <col min="13315" max="13315" width="47.7109375" customWidth="1"/>
    <col min="13316" max="13316" width="25.42578125" customWidth="1"/>
    <col min="13317" max="13568" width="9.28515625" customWidth="1"/>
    <col min="13571" max="13571" width="47.7109375" customWidth="1"/>
    <col min="13572" max="13572" width="25.42578125" customWidth="1"/>
    <col min="13573" max="13824" width="9.28515625" customWidth="1"/>
    <col min="13827" max="13827" width="47.7109375" customWidth="1"/>
    <col min="13828" max="13828" width="25.42578125" customWidth="1"/>
    <col min="13829" max="14080" width="9.28515625" customWidth="1"/>
    <col min="14083" max="14083" width="47.7109375" customWidth="1"/>
    <col min="14084" max="14084" width="25.42578125" customWidth="1"/>
    <col min="14085" max="14336" width="9.28515625" customWidth="1"/>
    <col min="14339" max="14339" width="47.7109375" customWidth="1"/>
    <col min="14340" max="14340" width="25.42578125" customWidth="1"/>
    <col min="14341" max="14592" width="9.28515625" customWidth="1"/>
    <col min="14595" max="14595" width="47.7109375" customWidth="1"/>
    <col min="14596" max="14596" width="25.42578125" customWidth="1"/>
    <col min="14597" max="14848" width="9.28515625" customWidth="1"/>
    <col min="14851" max="14851" width="47.7109375" customWidth="1"/>
    <col min="14852" max="14852" width="25.42578125" customWidth="1"/>
    <col min="14853" max="15104" width="9.28515625" customWidth="1"/>
    <col min="15107" max="15107" width="47.7109375" customWidth="1"/>
    <col min="15108" max="15108" width="25.42578125" customWidth="1"/>
    <col min="15109" max="15360" width="9.28515625" customWidth="1"/>
    <col min="15363" max="15363" width="47.7109375" customWidth="1"/>
    <col min="15364" max="15364" width="25.42578125" customWidth="1"/>
    <col min="15365" max="15616" width="9.28515625" customWidth="1"/>
    <col min="15619" max="15619" width="47.7109375" customWidth="1"/>
    <col min="15620" max="15620" width="25.42578125" customWidth="1"/>
    <col min="15621" max="15872" width="9.28515625" customWidth="1"/>
    <col min="15875" max="15875" width="47.7109375" customWidth="1"/>
    <col min="15876" max="15876" width="25.42578125" customWidth="1"/>
    <col min="15877" max="16128" width="9.28515625" customWidth="1"/>
    <col min="16131" max="16131" width="47.7109375" customWidth="1"/>
    <col min="16132" max="16132" width="25.42578125" customWidth="1"/>
    <col min="16133" max="16384" width="9.28515625" customWidth="1"/>
  </cols>
  <sheetData>
    <row r="1" spans="1:11" ht="15.75" x14ac:dyDescent="0.25">
      <c r="A1" s="275"/>
      <c r="B1" s="276"/>
      <c r="C1" s="281" t="s">
        <v>0</v>
      </c>
      <c r="D1" s="282"/>
      <c r="E1" s="282"/>
      <c r="F1" s="282"/>
      <c r="G1" s="283"/>
      <c r="H1" s="1" t="s">
        <v>1</v>
      </c>
      <c r="I1" s="2"/>
    </row>
    <row r="2" spans="1:11" ht="16.5" thickBot="1" x14ac:dyDescent="0.3">
      <c r="A2" s="277"/>
      <c r="B2" s="278"/>
      <c r="C2" s="284" t="s">
        <v>2</v>
      </c>
      <c r="D2" s="285"/>
      <c r="E2" s="285"/>
      <c r="F2" s="285"/>
      <c r="G2" s="286"/>
      <c r="H2" s="3" t="s">
        <v>3</v>
      </c>
      <c r="I2" s="4"/>
    </row>
    <row r="3" spans="1:11" ht="50.1" customHeight="1" thickBot="1" x14ac:dyDescent="0.3">
      <c r="A3" s="277"/>
      <c r="B3" s="278"/>
      <c r="C3" s="287" t="s">
        <v>72</v>
      </c>
      <c r="D3" s="288"/>
      <c r="E3" s="288"/>
      <c r="F3" s="288"/>
      <c r="G3" s="289"/>
      <c r="H3" s="290" t="s">
        <v>71</v>
      </c>
      <c r="I3" s="266"/>
    </row>
    <row r="4" spans="1:11" x14ac:dyDescent="0.25">
      <c r="A4" s="277"/>
      <c r="B4" s="278"/>
      <c r="C4" s="5" t="s">
        <v>5</v>
      </c>
      <c r="D4" s="269" t="s">
        <v>42</v>
      </c>
      <c r="E4" s="270"/>
      <c r="F4" s="270"/>
      <c r="G4" s="271"/>
      <c r="H4" s="291"/>
      <c r="I4" s="267"/>
    </row>
    <row r="5" spans="1:11" ht="15.75" thickBot="1" x14ac:dyDescent="0.3">
      <c r="A5" s="279"/>
      <c r="B5" s="280"/>
      <c r="C5" s="6" t="s">
        <v>6</v>
      </c>
      <c r="D5" s="272" t="s">
        <v>7</v>
      </c>
      <c r="E5" s="273"/>
      <c r="F5" s="273"/>
      <c r="G5" s="274"/>
      <c r="H5" s="292"/>
      <c r="I5" s="268"/>
    </row>
    <row r="6" spans="1:11" x14ac:dyDescent="0.25">
      <c r="A6" s="7"/>
      <c r="B6" s="7"/>
      <c r="C6" s="8"/>
      <c r="D6" s="9"/>
      <c r="E6" s="9"/>
      <c r="F6" s="9"/>
      <c r="G6" s="9"/>
      <c r="H6" s="10"/>
      <c r="I6" s="11"/>
    </row>
    <row r="7" spans="1:11" ht="15.75" thickBot="1" x14ac:dyDescent="0.3">
      <c r="A7" s="293" t="s">
        <v>8</v>
      </c>
      <c r="B7" s="293"/>
      <c r="C7" s="293"/>
      <c r="D7" s="294" t="s">
        <v>68</v>
      </c>
      <c r="E7" s="294"/>
      <c r="F7" s="294"/>
      <c r="G7" s="295" t="s">
        <v>9</v>
      </c>
      <c r="H7" s="295"/>
      <c r="I7" s="40" t="s">
        <v>68</v>
      </c>
    </row>
    <row r="8" spans="1:11" x14ac:dyDescent="0.25">
      <c r="A8" s="296" t="s">
        <v>10</v>
      </c>
      <c r="B8" s="298" t="s">
        <v>39</v>
      </c>
      <c r="C8" s="300" t="s">
        <v>11</v>
      </c>
      <c r="D8" s="300" t="s">
        <v>12</v>
      </c>
      <c r="E8" s="302"/>
      <c r="F8" s="303"/>
      <c r="G8" s="302" t="s">
        <v>13</v>
      </c>
      <c r="H8" s="303"/>
      <c r="I8" s="12" t="s">
        <v>14</v>
      </c>
    </row>
    <row r="9" spans="1:11" ht="52.5" thickBot="1" x14ac:dyDescent="0.3">
      <c r="A9" s="297"/>
      <c r="B9" s="299"/>
      <c r="C9" s="301"/>
      <c r="D9" s="301"/>
      <c r="E9" s="13" t="s">
        <v>15</v>
      </c>
      <c r="F9" s="14" t="s">
        <v>16</v>
      </c>
      <c r="G9" s="13" t="s">
        <v>15</v>
      </c>
      <c r="H9" s="14" t="s">
        <v>16</v>
      </c>
      <c r="I9" s="15" t="s">
        <v>17</v>
      </c>
    </row>
    <row r="10" spans="1:11" x14ac:dyDescent="0.25">
      <c r="A10" s="59"/>
      <c r="B10" s="54"/>
      <c r="C10" s="16" t="s">
        <v>48</v>
      </c>
      <c r="D10" s="17"/>
      <c r="E10" s="18"/>
      <c r="F10" s="19"/>
      <c r="G10" s="18"/>
      <c r="H10" s="19"/>
      <c r="I10" s="20"/>
    </row>
    <row r="11" spans="1:11" x14ac:dyDescent="0.25">
      <c r="A11" s="60"/>
      <c r="B11" s="60"/>
      <c r="C11" s="61"/>
      <c r="D11" s="34"/>
      <c r="E11" s="35"/>
      <c r="F11" s="21"/>
      <c r="G11" s="431"/>
      <c r="H11" s="432"/>
      <c r="I11" s="22"/>
    </row>
    <row r="12" spans="1:11" x14ac:dyDescent="0.25">
      <c r="A12" s="64">
        <v>907000317</v>
      </c>
      <c r="B12" s="53" t="s">
        <v>69</v>
      </c>
      <c r="C12" s="51" t="s">
        <v>47</v>
      </c>
      <c r="D12" s="34" t="s">
        <v>38</v>
      </c>
      <c r="E12" s="35">
        <v>95</v>
      </c>
      <c r="F12" s="21" t="s">
        <v>18</v>
      </c>
      <c r="G12" s="431" t="s">
        <v>70</v>
      </c>
      <c r="H12" s="432"/>
      <c r="I12" s="22"/>
    </row>
    <row r="13" spans="1:11" x14ac:dyDescent="0.25">
      <c r="A13" s="64"/>
      <c r="B13" s="53"/>
      <c r="C13" s="52" t="s">
        <v>55</v>
      </c>
      <c r="D13" s="34" t="s">
        <v>38</v>
      </c>
      <c r="E13" s="35">
        <v>200</v>
      </c>
      <c r="F13" s="21" t="s">
        <v>18</v>
      </c>
      <c r="G13" s="62"/>
      <c r="H13" s="63"/>
      <c r="I13" s="22"/>
    </row>
    <row r="14" spans="1:11" x14ac:dyDescent="0.25">
      <c r="A14" s="64"/>
      <c r="B14" s="53"/>
      <c r="C14" s="52" t="s">
        <v>128</v>
      </c>
      <c r="D14" s="34" t="s">
        <v>38</v>
      </c>
      <c r="E14" s="35">
        <v>150</v>
      </c>
      <c r="F14" s="21" t="s">
        <v>18</v>
      </c>
      <c r="G14" s="62"/>
      <c r="H14" s="63"/>
      <c r="I14" s="22"/>
    </row>
    <row r="15" spans="1:11" ht="15.75" thickBot="1" x14ac:dyDescent="0.3">
      <c r="A15" s="23"/>
      <c r="B15" s="57"/>
      <c r="C15" s="48"/>
      <c r="D15" s="48"/>
      <c r="E15" s="49"/>
      <c r="F15" s="50"/>
      <c r="G15" s="48"/>
      <c r="H15" s="48"/>
      <c r="I15" s="25"/>
      <c r="J15" s="24"/>
      <c r="K15" s="24"/>
    </row>
    <row r="16" spans="1:11" ht="15.75" thickBot="1" x14ac:dyDescent="0.3">
      <c r="A16" s="26"/>
      <c r="B16" s="58"/>
      <c r="C16" s="27"/>
      <c r="D16" s="28" t="s">
        <v>15</v>
      </c>
      <c r="E16" s="29" t="s">
        <v>25</v>
      </c>
      <c r="F16" s="30"/>
      <c r="G16" s="27"/>
      <c r="H16" s="27"/>
      <c r="I16" s="31"/>
      <c r="J16" s="24"/>
      <c r="K16" s="24"/>
    </row>
    <row r="17" spans="1:11" x14ac:dyDescent="0.25">
      <c r="A17" s="311" t="s">
        <v>26</v>
      </c>
      <c r="B17" s="312"/>
      <c r="C17" s="313"/>
      <c r="D17" s="32">
        <v>440</v>
      </c>
      <c r="E17" s="33" t="s">
        <v>18</v>
      </c>
      <c r="F17" s="314" t="s">
        <v>27</v>
      </c>
      <c r="G17" s="315"/>
      <c r="H17" s="316"/>
      <c r="I17" s="317"/>
      <c r="J17" s="24"/>
      <c r="K17" s="24"/>
    </row>
    <row r="18" spans="1:11" x14ac:dyDescent="0.25">
      <c r="A18" s="318" t="s">
        <v>28</v>
      </c>
      <c r="B18" s="319"/>
      <c r="C18" s="320"/>
      <c r="D18" s="34">
        <v>3</v>
      </c>
      <c r="E18" s="34" t="s">
        <v>29</v>
      </c>
      <c r="F18" s="321" t="s">
        <v>30</v>
      </c>
      <c r="G18" s="322"/>
      <c r="H18" s="323"/>
      <c r="I18" s="324"/>
      <c r="J18" s="24"/>
      <c r="K18" s="24"/>
    </row>
    <row r="19" spans="1:11" x14ac:dyDescent="0.25">
      <c r="A19" s="318" t="s">
        <v>31</v>
      </c>
      <c r="B19" s="319"/>
      <c r="C19" s="320"/>
      <c r="D19" s="34">
        <v>1</v>
      </c>
      <c r="E19" s="34" t="s">
        <v>19</v>
      </c>
      <c r="F19" s="321" t="s">
        <v>32</v>
      </c>
      <c r="G19" s="322"/>
      <c r="H19" s="323"/>
      <c r="I19" s="324"/>
      <c r="J19" s="24"/>
      <c r="K19" s="24"/>
    </row>
    <row r="20" spans="1:11" x14ac:dyDescent="0.25">
      <c r="A20" s="318" t="s">
        <v>33</v>
      </c>
      <c r="B20" s="319"/>
      <c r="C20" s="320"/>
      <c r="D20" s="35">
        <f>D17</f>
        <v>440</v>
      </c>
      <c r="E20" s="34" t="s">
        <v>18</v>
      </c>
      <c r="F20" s="329" t="s">
        <v>34</v>
      </c>
      <c r="G20" s="330"/>
      <c r="H20" s="323"/>
      <c r="I20" s="324"/>
      <c r="J20" s="24"/>
      <c r="K20" s="36"/>
    </row>
    <row r="21" spans="1:11" ht="15.75" thickBot="1" x14ac:dyDescent="0.3">
      <c r="A21" s="331" t="s">
        <v>35</v>
      </c>
      <c r="B21" s="332"/>
      <c r="C21" s="333"/>
      <c r="D21" s="37">
        <f>SUM(E12:E14)-D17</f>
        <v>5</v>
      </c>
      <c r="E21" s="38" t="s">
        <v>18</v>
      </c>
      <c r="F21" s="334"/>
      <c r="G21" s="335"/>
      <c r="H21" s="336"/>
      <c r="I21" s="337"/>
      <c r="J21" s="24"/>
      <c r="K21" s="24"/>
    </row>
    <row r="22" spans="1:11" x14ac:dyDescent="0.25">
      <c r="A22" s="338" t="s">
        <v>36</v>
      </c>
      <c r="B22" s="339"/>
      <c r="C22" s="339"/>
      <c r="D22" s="339"/>
      <c r="E22" s="339"/>
      <c r="F22" s="339"/>
      <c r="G22" s="339"/>
      <c r="H22" s="339"/>
      <c r="I22" s="340"/>
      <c r="J22" s="24"/>
      <c r="K22" s="24"/>
    </row>
    <row r="23" spans="1:11" x14ac:dyDescent="0.25">
      <c r="A23" s="325" t="s">
        <v>73</v>
      </c>
      <c r="B23" s="326"/>
      <c r="C23" s="327"/>
      <c r="D23" s="327"/>
      <c r="E23" s="327"/>
      <c r="F23" s="327"/>
      <c r="G23" s="327"/>
      <c r="H23" s="327"/>
      <c r="I23" s="328"/>
      <c r="J23" s="24"/>
      <c r="K23" s="24"/>
    </row>
    <row r="24" spans="1:11" x14ac:dyDescent="0.25">
      <c r="A24" s="325" t="s">
        <v>129</v>
      </c>
      <c r="B24" s="326"/>
      <c r="C24" s="327"/>
      <c r="D24" s="327"/>
      <c r="E24" s="327"/>
      <c r="F24" s="327"/>
      <c r="G24" s="327"/>
      <c r="H24" s="327"/>
      <c r="I24" s="328"/>
      <c r="J24" s="24"/>
      <c r="K24" s="24"/>
    </row>
    <row r="25" spans="1:11" x14ac:dyDescent="0.25">
      <c r="A25" s="325" t="s">
        <v>50</v>
      </c>
      <c r="B25" s="326"/>
      <c r="C25" s="327"/>
      <c r="D25" s="327"/>
      <c r="E25" s="327"/>
      <c r="F25" s="327"/>
      <c r="G25" s="327"/>
      <c r="H25" s="327"/>
      <c r="I25" s="328"/>
      <c r="J25" s="24"/>
      <c r="K25" s="24"/>
    </row>
    <row r="26" spans="1:11" x14ac:dyDescent="0.25">
      <c r="A26" s="325"/>
      <c r="B26" s="326"/>
      <c r="C26" s="327"/>
      <c r="D26" s="327"/>
      <c r="E26" s="327"/>
      <c r="F26" s="327"/>
      <c r="G26" s="327"/>
      <c r="H26" s="327"/>
      <c r="I26" s="328"/>
      <c r="J26" s="24"/>
      <c r="K26" s="24"/>
    </row>
    <row r="27" spans="1:11" x14ac:dyDescent="0.25">
      <c r="A27" s="76"/>
      <c r="B27" s="76"/>
      <c r="C27" s="76"/>
      <c r="D27" s="76"/>
      <c r="E27" s="76"/>
      <c r="F27" s="76"/>
      <c r="G27" s="76"/>
      <c r="H27" s="76"/>
      <c r="I27" s="76"/>
      <c r="J27" s="24"/>
      <c r="K27" s="24"/>
    </row>
    <row r="28" spans="1:11" ht="16.350000000000001" customHeight="1" x14ac:dyDescent="0.25">
      <c r="A28" s="448"/>
      <c r="B28" s="449"/>
      <c r="C28" s="450"/>
      <c r="D28" s="450"/>
      <c r="E28" s="450"/>
      <c r="F28" s="450"/>
      <c r="G28" s="450"/>
      <c r="H28" s="450"/>
      <c r="I28" s="451"/>
      <c r="J28" s="24"/>
      <c r="K28" s="24"/>
    </row>
    <row r="29" spans="1:11" ht="15.75" thickBot="1" x14ac:dyDescent="0.3">
      <c r="A29" s="345" t="s">
        <v>37</v>
      </c>
      <c r="B29" s="346"/>
      <c r="C29" s="346"/>
      <c r="D29" s="346"/>
      <c r="E29" s="346"/>
      <c r="F29" s="346"/>
      <c r="G29" s="346"/>
      <c r="H29" s="346"/>
      <c r="I29" s="347"/>
      <c r="J29" s="24"/>
      <c r="K29" s="24"/>
    </row>
    <row r="30" spans="1:11" x14ac:dyDescent="0.25">
      <c r="A30" s="348" t="s">
        <v>43</v>
      </c>
      <c r="B30" s="349"/>
      <c r="C30" s="350"/>
      <c r="D30" s="350"/>
      <c r="E30" s="350"/>
      <c r="F30" s="350"/>
      <c r="G30" s="350"/>
      <c r="H30" s="350"/>
      <c r="I30" s="351"/>
      <c r="J30" s="24"/>
      <c r="K30" s="24"/>
    </row>
    <row r="31" spans="1:11" x14ac:dyDescent="0.25">
      <c r="A31" s="341"/>
      <c r="B31" s="342"/>
      <c r="C31" s="343"/>
      <c r="D31" s="343"/>
      <c r="E31" s="343"/>
      <c r="F31" s="343"/>
      <c r="G31" s="343"/>
      <c r="H31" s="343"/>
      <c r="I31" s="344"/>
    </row>
    <row r="32" spans="1:11" x14ac:dyDescent="0.25">
      <c r="A32" s="341"/>
      <c r="B32" s="342"/>
      <c r="C32" s="343"/>
      <c r="D32" s="343"/>
      <c r="E32" s="343"/>
      <c r="F32" s="343"/>
      <c r="G32" s="343"/>
      <c r="H32" s="343"/>
      <c r="I32" s="344"/>
    </row>
    <row r="33" spans="1:9" x14ac:dyDescent="0.25">
      <c r="A33" s="341"/>
      <c r="B33" s="342"/>
      <c r="C33" s="343"/>
      <c r="D33" s="343"/>
      <c r="E33" s="343"/>
      <c r="F33" s="343"/>
      <c r="G33" s="343"/>
      <c r="H33" s="343"/>
      <c r="I33" s="344"/>
    </row>
    <row r="34" spans="1:9" x14ac:dyDescent="0.25">
      <c r="A34" s="444"/>
      <c r="B34" s="445"/>
      <c r="C34" s="446"/>
      <c r="D34" s="446"/>
      <c r="E34" s="446"/>
      <c r="F34" s="446"/>
      <c r="G34" s="446"/>
      <c r="H34" s="446"/>
      <c r="I34" s="447"/>
    </row>
    <row r="35" spans="1:9" ht="15.75" thickBot="1" x14ac:dyDescent="0.3">
      <c r="A35" s="352"/>
      <c r="B35" s="353"/>
      <c r="C35" s="354"/>
      <c r="D35" s="354"/>
      <c r="E35" s="354"/>
      <c r="F35" s="354"/>
      <c r="G35" s="354"/>
      <c r="H35" s="354"/>
      <c r="I35" s="355"/>
    </row>
    <row r="36" spans="1:9" ht="15.75" thickBot="1" x14ac:dyDescent="0.3">
      <c r="A36" s="352"/>
      <c r="B36" s="353"/>
      <c r="C36" s="354"/>
      <c r="D36" s="354"/>
      <c r="E36" s="354"/>
      <c r="F36" s="354"/>
      <c r="G36" s="354"/>
      <c r="H36" s="354"/>
      <c r="I36" s="355"/>
    </row>
  </sheetData>
  <mergeCells count="48">
    <mergeCell ref="A32:I32"/>
    <mergeCell ref="A33:I33"/>
    <mergeCell ref="A34:I34"/>
    <mergeCell ref="A35:I35"/>
    <mergeCell ref="A36:I36"/>
    <mergeCell ref="A31:I31"/>
    <mergeCell ref="A21:C21"/>
    <mergeCell ref="F21:G21"/>
    <mergeCell ref="H21:I21"/>
    <mergeCell ref="A22:I22"/>
    <mergeCell ref="A23:I23"/>
    <mergeCell ref="A24:I24"/>
    <mergeCell ref="A25:I25"/>
    <mergeCell ref="A26:I26"/>
    <mergeCell ref="A28:I28"/>
    <mergeCell ref="A29:I29"/>
    <mergeCell ref="A30:I30"/>
    <mergeCell ref="A19:C19"/>
    <mergeCell ref="F19:G19"/>
    <mergeCell ref="H19:I19"/>
    <mergeCell ref="A20:C20"/>
    <mergeCell ref="F20:G20"/>
    <mergeCell ref="H20:I20"/>
    <mergeCell ref="A17:C17"/>
    <mergeCell ref="F17:G17"/>
    <mergeCell ref="H17:I17"/>
    <mergeCell ref="A18:C18"/>
    <mergeCell ref="F18:G18"/>
    <mergeCell ref="H18:I18"/>
    <mergeCell ref="G11:H11"/>
    <mergeCell ref="G12:H12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15D6-D9CD-4490-9101-A175909E7BED}">
  <dimension ref="A1:Q91"/>
  <sheetViews>
    <sheetView topLeftCell="A2" workbookViewId="0">
      <selection activeCell="E18" sqref="E18"/>
    </sheetView>
  </sheetViews>
  <sheetFormatPr baseColWidth="10" defaultColWidth="8.42578125" defaultRowHeight="12.75" x14ac:dyDescent="0.25"/>
  <cols>
    <col min="1" max="1" width="10" style="94" bestFit="1" customWidth="1"/>
    <col min="2" max="2" width="44.28515625" style="94" bestFit="1" customWidth="1"/>
    <col min="3" max="3" width="10.42578125" style="94" bestFit="1" customWidth="1"/>
    <col min="4" max="4" width="10.42578125" style="94" customWidth="1"/>
    <col min="5" max="5" width="9.7109375" style="94" bestFit="1" customWidth="1"/>
    <col min="6" max="6" width="9.5703125" style="94" bestFit="1" customWidth="1"/>
    <col min="7" max="7" width="9.5703125" style="176" bestFit="1" customWidth="1"/>
    <col min="8" max="8" width="10.42578125" style="167" bestFit="1" customWidth="1"/>
    <col min="9" max="9" width="4.5703125" style="167" customWidth="1"/>
    <col min="10" max="10" width="1.7109375" style="93" customWidth="1"/>
    <col min="11" max="11" width="7" style="94" bestFit="1" customWidth="1"/>
    <col min="12" max="12" width="6.28515625" style="94" customWidth="1"/>
    <col min="13" max="13" width="20.42578125" style="94" customWidth="1"/>
    <col min="14" max="14" width="6.42578125" style="94" bestFit="1" customWidth="1"/>
    <col min="15" max="16" width="8.42578125" style="94"/>
    <col min="17" max="17" width="3.28515625" style="94" customWidth="1"/>
    <col min="18" max="256" width="8.42578125" style="94"/>
    <col min="257" max="257" width="10" style="94" bestFit="1" customWidth="1"/>
    <col min="258" max="258" width="44.28515625" style="94" bestFit="1" customWidth="1"/>
    <col min="259" max="259" width="10.42578125" style="94" bestFit="1" customWidth="1"/>
    <col min="260" max="260" width="10.42578125" style="94" customWidth="1"/>
    <col min="261" max="261" width="9.7109375" style="94" bestFit="1" customWidth="1"/>
    <col min="262" max="263" width="9.5703125" style="94" bestFit="1" customWidth="1"/>
    <col min="264" max="264" width="10.42578125" style="94" bestFit="1" customWidth="1"/>
    <col min="265" max="265" width="4.5703125" style="94" customWidth="1"/>
    <col min="266" max="266" width="1.7109375" style="94" customWidth="1"/>
    <col min="267" max="267" width="7" style="94" bestFit="1" customWidth="1"/>
    <col min="268" max="268" width="6.28515625" style="94" customWidth="1"/>
    <col min="269" max="269" width="20.42578125" style="94" customWidth="1"/>
    <col min="270" max="270" width="6.42578125" style="94" bestFit="1" customWidth="1"/>
    <col min="271" max="272" width="8.42578125" style="94"/>
    <col min="273" max="273" width="3.28515625" style="94" customWidth="1"/>
    <col min="274" max="512" width="8.42578125" style="94"/>
    <col min="513" max="513" width="10" style="94" bestFit="1" customWidth="1"/>
    <col min="514" max="514" width="44.28515625" style="94" bestFit="1" customWidth="1"/>
    <col min="515" max="515" width="10.42578125" style="94" bestFit="1" customWidth="1"/>
    <col min="516" max="516" width="10.42578125" style="94" customWidth="1"/>
    <col min="517" max="517" width="9.7109375" style="94" bestFit="1" customWidth="1"/>
    <col min="518" max="519" width="9.5703125" style="94" bestFit="1" customWidth="1"/>
    <col min="520" max="520" width="10.42578125" style="94" bestFit="1" customWidth="1"/>
    <col min="521" max="521" width="4.5703125" style="94" customWidth="1"/>
    <col min="522" max="522" width="1.7109375" style="94" customWidth="1"/>
    <col min="523" max="523" width="7" style="94" bestFit="1" customWidth="1"/>
    <col min="524" max="524" width="6.28515625" style="94" customWidth="1"/>
    <col min="525" max="525" width="20.42578125" style="94" customWidth="1"/>
    <col min="526" max="526" width="6.42578125" style="94" bestFit="1" customWidth="1"/>
    <col min="527" max="528" width="8.42578125" style="94"/>
    <col min="529" max="529" width="3.28515625" style="94" customWidth="1"/>
    <col min="530" max="768" width="8.42578125" style="94"/>
    <col min="769" max="769" width="10" style="94" bestFit="1" customWidth="1"/>
    <col min="770" max="770" width="44.28515625" style="94" bestFit="1" customWidth="1"/>
    <col min="771" max="771" width="10.42578125" style="94" bestFit="1" customWidth="1"/>
    <col min="772" max="772" width="10.42578125" style="94" customWidth="1"/>
    <col min="773" max="773" width="9.7109375" style="94" bestFit="1" customWidth="1"/>
    <col min="774" max="775" width="9.5703125" style="94" bestFit="1" customWidth="1"/>
    <col min="776" max="776" width="10.42578125" style="94" bestFit="1" customWidth="1"/>
    <col min="777" max="777" width="4.5703125" style="94" customWidth="1"/>
    <col min="778" max="778" width="1.7109375" style="94" customWidth="1"/>
    <col min="779" max="779" width="7" style="94" bestFit="1" customWidth="1"/>
    <col min="780" max="780" width="6.28515625" style="94" customWidth="1"/>
    <col min="781" max="781" width="20.42578125" style="94" customWidth="1"/>
    <col min="782" max="782" width="6.42578125" style="94" bestFit="1" customWidth="1"/>
    <col min="783" max="784" width="8.42578125" style="94"/>
    <col min="785" max="785" width="3.28515625" style="94" customWidth="1"/>
    <col min="786" max="1024" width="8.42578125" style="94"/>
    <col min="1025" max="1025" width="10" style="94" bestFit="1" customWidth="1"/>
    <col min="1026" max="1026" width="44.28515625" style="94" bestFit="1" customWidth="1"/>
    <col min="1027" max="1027" width="10.42578125" style="94" bestFit="1" customWidth="1"/>
    <col min="1028" max="1028" width="10.42578125" style="94" customWidth="1"/>
    <col min="1029" max="1029" width="9.7109375" style="94" bestFit="1" customWidth="1"/>
    <col min="1030" max="1031" width="9.5703125" style="94" bestFit="1" customWidth="1"/>
    <col min="1032" max="1032" width="10.42578125" style="94" bestFit="1" customWidth="1"/>
    <col min="1033" max="1033" width="4.5703125" style="94" customWidth="1"/>
    <col min="1034" max="1034" width="1.7109375" style="94" customWidth="1"/>
    <col min="1035" max="1035" width="7" style="94" bestFit="1" customWidth="1"/>
    <col min="1036" max="1036" width="6.28515625" style="94" customWidth="1"/>
    <col min="1037" max="1037" width="20.42578125" style="94" customWidth="1"/>
    <col min="1038" max="1038" width="6.42578125" style="94" bestFit="1" customWidth="1"/>
    <col min="1039" max="1040" width="8.42578125" style="94"/>
    <col min="1041" max="1041" width="3.28515625" style="94" customWidth="1"/>
    <col min="1042" max="1280" width="8.42578125" style="94"/>
    <col min="1281" max="1281" width="10" style="94" bestFit="1" customWidth="1"/>
    <col min="1282" max="1282" width="44.28515625" style="94" bestFit="1" customWidth="1"/>
    <col min="1283" max="1283" width="10.42578125" style="94" bestFit="1" customWidth="1"/>
    <col min="1284" max="1284" width="10.42578125" style="94" customWidth="1"/>
    <col min="1285" max="1285" width="9.7109375" style="94" bestFit="1" customWidth="1"/>
    <col min="1286" max="1287" width="9.5703125" style="94" bestFit="1" customWidth="1"/>
    <col min="1288" max="1288" width="10.42578125" style="94" bestFit="1" customWidth="1"/>
    <col min="1289" max="1289" width="4.5703125" style="94" customWidth="1"/>
    <col min="1290" max="1290" width="1.7109375" style="94" customWidth="1"/>
    <col min="1291" max="1291" width="7" style="94" bestFit="1" customWidth="1"/>
    <col min="1292" max="1292" width="6.28515625" style="94" customWidth="1"/>
    <col min="1293" max="1293" width="20.42578125" style="94" customWidth="1"/>
    <col min="1294" max="1294" width="6.42578125" style="94" bestFit="1" customWidth="1"/>
    <col min="1295" max="1296" width="8.42578125" style="94"/>
    <col min="1297" max="1297" width="3.28515625" style="94" customWidth="1"/>
    <col min="1298" max="1536" width="8.42578125" style="94"/>
    <col min="1537" max="1537" width="10" style="94" bestFit="1" customWidth="1"/>
    <col min="1538" max="1538" width="44.28515625" style="94" bestFit="1" customWidth="1"/>
    <col min="1539" max="1539" width="10.42578125" style="94" bestFit="1" customWidth="1"/>
    <col min="1540" max="1540" width="10.42578125" style="94" customWidth="1"/>
    <col min="1541" max="1541" width="9.7109375" style="94" bestFit="1" customWidth="1"/>
    <col min="1542" max="1543" width="9.5703125" style="94" bestFit="1" customWidth="1"/>
    <col min="1544" max="1544" width="10.42578125" style="94" bestFit="1" customWidth="1"/>
    <col min="1545" max="1545" width="4.5703125" style="94" customWidth="1"/>
    <col min="1546" max="1546" width="1.7109375" style="94" customWidth="1"/>
    <col min="1547" max="1547" width="7" style="94" bestFit="1" customWidth="1"/>
    <col min="1548" max="1548" width="6.28515625" style="94" customWidth="1"/>
    <col min="1549" max="1549" width="20.42578125" style="94" customWidth="1"/>
    <col min="1550" max="1550" width="6.42578125" style="94" bestFit="1" customWidth="1"/>
    <col min="1551" max="1552" width="8.42578125" style="94"/>
    <col min="1553" max="1553" width="3.28515625" style="94" customWidth="1"/>
    <col min="1554" max="1792" width="8.42578125" style="94"/>
    <col min="1793" max="1793" width="10" style="94" bestFit="1" customWidth="1"/>
    <col min="1794" max="1794" width="44.28515625" style="94" bestFit="1" customWidth="1"/>
    <col min="1795" max="1795" width="10.42578125" style="94" bestFit="1" customWidth="1"/>
    <col min="1796" max="1796" width="10.42578125" style="94" customWidth="1"/>
    <col min="1797" max="1797" width="9.7109375" style="94" bestFit="1" customWidth="1"/>
    <col min="1798" max="1799" width="9.5703125" style="94" bestFit="1" customWidth="1"/>
    <col min="1800" max="1800" width="10.42578125" style="94" bestFit="1" customWidth="1"/>
    <col min="1801" max="1801" width="4.5703125" style="94" customWidth="1"/>
    <col min="1802" max="1802" width="1.7109375" style="94" customWidth="1"/>
    <col min="1803" max="1803" width="7" style="94" bestFit="1" customWidth="1"/>
    <col min="1804" max="1804" width="6.28515625" style="94" customWidth="1"/>
    <col min="1805" max="1805" width="20.42578125" style="94" customWidth="1"/>
    <col min="1806" max="1806" width="6.42578125" style="94" bestFit="1" customWidth="1"/>
    <col min="1807" max="1808" width="8.42578125" style="94"/>
    <col min="1809" max="1809" width="3.28515625" style="94" customWidth="1"/>
    <col min="1810" max="2048" width="8.42578125" style="94"/>
    <col min="2049" max="2049" width="10" style="94" bestFit="1" customWidth="1"/>
    <col min="2050" max="2050" width="44.28515625" style="94" bestFit="1" customWidth="1"/>
    <col min="2051" max="2051" width="10.42578125" style="94" bestFit="1" customWidth="1"/>
    <col min="2052" max="2052" width="10.42578125" style="94" customWidth="1"/>
    <col min="2053" max="2053" width="9.7109375" style="94" bestFit="1" customWidth="1"/>
    <col min="2054" max="2055" width="9.5703125" style="94" bestFit="1" customWidth="1"/>
    <col min="2056" max="2056" width="10.42578125" style="94" bestFit="1" customWidth="1"/>
    <col min="2057" max="2057" width="4.5703125" style="94" customWidth="1"/>
    <col min="2058" max="2058" width="1.7109375" style="94" customWidth="1"/>
    <col min="2059" max="2059" width="7" style="94" bestFit="1" customWidth="1"/>
    <col min="2060" max="2060" width="6.28515625" style="94" customWidth="1"/>
    <col min="2061" max="2061" width="20.42578125" style="94" customWidth="1"/>
    <col min="2062" max="2062" width="6.42578125" style="94" bestFit="1" customWidth="1"/>
    <col min="2063" max="2064" width="8.42578125" style="94"/>
    <col min="2065" max="2065" width="3.28515625" style="94" customWidth="1"/>
    <col min="2066" max="2304" width="8.42578125" style="94"/>
    <col min="2305" max="2305" width="10" style="94" bestFit="1" customWidth="1"/>
    <col min="2306" max="2306" width="44.28515625" style="94" bestFit="1" customWidth="1"/>
    <col min="2307" max="2307" width="10.42578125" style="94" bestFit="1" customWidth="1"/>
    <col min="2308" max="2308" width="10.42578125" style="94" customWidth="1"/>
    <col min="2309" max="2309" width="9.7109375" style="94" bestFit="1" customWidth="1"/>
    <col min="2310" max="2311" width="9.5703125" style="94" bestFit="1" customWidth="1"/>
    <col min="2312" max="2312" width="10.42578125" style="94" bestFit="1" customWidth="1"/>
    <col min="2313" max="2313" width="4.5703125" style="94" customWidth="1"/>
    <col min="2314" max="2314" width="1.7109375" style="94" customWidth="1"/>
    <col min="2315" max="2315" width="7" style="94" bestFit="1" customWidth="1"/>
    <col min="2316" max="2316" width="6.28515625" style="94" customWidth="1"/>
    <col min="2317" max="2317" width="20.42578125" style="94" customWidth="1"/>
    <col min="2318" max="2318" width="6.42578125" style="94" bestFit="1" customWidth="1"/>
    <col min="2319" max="2320" width="8.42578125" style="94"/>
    <col min="2321" max="2321" width="3.28515625" style="94" customWidth="1"/>
    <col min="2322" max="2560" width="8.42578125" style="94"/>
    <col min="2561" max="2561" width="10" style="94" bestFit="1" customWidth="1"/>
    <col min="2562" max="2562" width="44.28515625" style="94" bestFit="1" customWidth="1"/>
    <col min="2563" max="2563" width="10.42578125" style="94" bestFit="1" customWidth="1"/>
    <col min="2564" max="2564" width="10.42578125" style="94" customWidth="1"/>
    <col min="2565" max="2565" width="9.7109375" style="94" bestFit="1" customWidth="1"/>
    <col min="2566" max="2567" width="9.5703125" style="94" bestFit="1" customWidth="1"/>
    <col min="2568" max="2568" width="10.42578125" style="94" bestFit="1" customWidth="1"/>
    <col min="2569" max="2569" width="4.5703125" style="94" customWidth="1"/>
    <col min="2570" max="2570" width="1.7109375" style="94" customWidth="1"/>
    <col min="2571" max="2571" width="7" style="94" bestFit="1" customWidth="1"/>
    <col min="2572" max="2572" width="6.28515625" style="94" customWidth="1"/>
    <col min="2573" max="2573" width="20.42578125" style="94" customWidth="1"/>
    <col min="2574" max="2574" width="6.42578125" style="94" bestFit="1" customWidth="1"/>
    <col min="2575" max="2576" width="8.42578125" style="94"/>
    <col min="2577" max="2577" width="3.28515625" style="94" customWidth="1"/>
    <col min="2578" max="2816" width="8.42578125" style="94"/>
    <col min="2817" max="2817" width="10" style="94" bestFit="1" customWidth="1"/>
    <col min="2818" max="2818" width="44.28515625" style="94" bestFit="1" customWidth="1"/>
    <col min="2819" max="2819" width="10.42578125" style="94" bestFit="1" customWidth="1"/>
    <col min="2820" max="2820" width="10.42578125" style="94" customWidth="1"/>
    <col min="2821" max="2821" width="9.7109375" style="94" bestFit="1" customWidth="1"/>
    <col min="2822" max="2823" width="9.5703125" style="94" bestFit="1" customWidth="1"/>
    <col min="2824" max="2824" width="10.42578125" style="94" bestFit="1" customWidth="1"/>
    <col min="2825" max="2825" width="4.5703125" style="94" customWidth="1"/>
    <col min="2826" max="2826" width="1.7109375" style="94" customWidth="1"/>
    <col min="2827" max="2827" width="7" style="94" bestFit="1" customWidth="1"/>
    <col min="2828" max="2828" width="6.28515625" style="94" customWidth="1"/>
    <col min="2829" max="2829" width="20.42578125" style="94" customWidth="1"/>
    <col min="2830" max="2830" width="6.42578125" style="94" bestFit="1" customWidth="1"/>
    <col min="2831" max="2832" width="8.42578125" style="94"/>
    <col min="2833" max="2833" width="3.28515625" style="94" customWidth="1"/>
    <col min="2834" max="3072" width="8.42578125" style="94"/>
    <col min="3073" max="3073" width="10" style="94" bestFit="1" customWidth="1"/>
    <col min="3074" max="3074" width="44.28515625" style="94" bestFit="1" customWidth="1"/>
    <col min="3075" max="3075" width="10.42578125" style="94" bestFit="1" customWidth="1"/>
    <col min="3076" max="3076" width="10.42578125" style="94" customWidth="1"/>
    <col min="3077" max="3077" width="9.7109375" style="94" bestFit="1" customWidth="1"/>
    <col min="3078" max="3079" width="9.5703125" style="94" bestFit="1" customWidth="1"/>
    <col min="3080" max="3080" width="10.42578125" style="94" bestFit="1" customWidth="1"/>
    <col min="3081" max="3081" width="4.5703125" style="94" customWidth="1"/>
    <col min="3082" max="3082" width="1.7109375" style="94" customWidth="1"/>
    <col min="3083" max="3083" width="7" style="94" bestFit="1" customWidth="1"/>
    <col min="3084" max="3084" width="6.28515625" style="94" customWidth="1"/>
    <col min="3085" max="3085" width="20.42578125" style="94" customWidth="1"/>
    <col min="3086" max="3086" width="6.42578125" style="94" bestFit="1" customWidth="1"/>
    <col min="3087" max="3088" width="8.42578125" style="94"/>
    <col min="3089" max="3089" width="3.28515625" style="94" customWidth="1"/>
    <col min="3090" max="3328" width="8.42578125" style="94"/>
    <col min="3329" max="3329" width="10" style="94" bestFit="1" customWidth="1"/>
    <col min="3330" max="3330" width="44.28515625" style="94" bestFit="1" customWidth="1"/>
    <col min="3331" max="3331" width="10.42578125" style="94" bestFit="1" customWidth="1"/>
    <col min="3332" max="3332" width="10.42578125" style="94" customWidth="1"/>
    <col min="3333" max="3333" width="9.7109375" style="94" bestFit="1" customWidth="1"/>
    <col min="3334" max="3335" width="9.5703125" style="94" bestFit="1" customWidth="1"/>
    <col min="3336" max="3336" width="10.42578125" style="94" bestFit="1" customWidth="1"/>
    <col min="3337" max="3337" width="4.5703125" style="94" customWidth="1"/>
    <col min="3338" max="3338" width="1.7109375" style="94" customWidth="1"/>
    <col min="3339" max="3339" width="7" style="94" bestFit="1" customWidth="1"/>
    <col min="3340" max="3340" width="6.28515625" style="94" customWidth="1"/>
    <col min="3341" max="3341" width="20.42578125" style="94" customWidth="1"/>
    <col min="3342" max="3342" width="6.42578125" style="94" bestFit="1" customWidth="1"/>
    <col min="3343" max="3344" width="8.42578125" style="94"/>
    <col min="3345" max="3345" width="3.28515625" style="94" customWidth="1"/>
    <col min="3346" max="3584" width="8.42578125" style="94"/>
    <col min="3585" max="3585" width="10" style="94" bestFit="1" customWidth="1"/>
    <col min="3586" max="3586" width="44.28515625" style="94" bestFit="1" customWidth="1"/>
    <col min="3587" max="3587" width="10.42578125" style="94" bestFit="1" customWidth="1"/>
    <col min="3588" max="3588" width="10.42578125" style="94" customWidth="1"/>
    <col min="3589" max="3589" width="9.7109375" style="94" bestFit="1" customWidth="1"/>
    <col min="3590" max="3591" width="9.5703125" style="94" bestFit="1" customWidth="1"/>
    <col min="3592" max="3592" width="10.42578125" style="94" bestFit="1" customWidth="1"/>
    <col min="3593" max="3593" width="4.5703125" style="94" customWidth="1"/>
    <col min="3594" max="3594" width="1.7109375" style="94" customWidth="1"/>
    <col min="3595" max="3595" width="7" style="94" bestFit="1" customWidth="1"/>
    <col min="3596" max="3596" width="6.28515625" style="94" customWidth="1"/>
    <col min="3597" max="3597" width="20.42578125" style="94" customWidth="1"/>
    <col min="3598" max="3598" width="6.42578125" style="94" bestFit="1" customWidth="1"/>
    <col min="3599" max="3600" width="8.42578125" style="94"/>
    <col min="3601" max="3601" width="3.28515625" style="94" customWidth="1"/>
    <col min="3602" max="3840" width="8.42578125" style="94"/>
    <col min="3841" max="3841" width="10" style="94" bestFit="1" customWidth="1"/>
    <col min="3842" max="3842" width="44.28515625" style="94" bestFit="1" customWidth="1"/>
    <col min="3843" max="3843" width="10.42578125" style="94" bestFit="1" customWidth="1"/>
    <col min="3844" max="3844" width="10.42578125" style="94" customWidth="1"/>
    <col min="3845" max="3845" width="9.7109375" style="94" bestFit="1" customWidth="1"/>
    <col min="3846" max="3847" width="9.5703125" style="94" bestFit="1" customWidth="1"/>
    <col min="3848" max="3848" width="10.42578125" style="94" bestFit="1" customWidth="1"/>
    <col min="3849" max="3849" width="4.5703125" style="94" customWidth="1"/>
    <col min="3850" max="3850" width="1.7109375" style="94" customWidth="1"/>
    <col min="3851" max="3851" width="7" style="94" bestFit="1" customWidth="1"/>
    <col min="3852" max="3852" width="6.28515625" style="94" customWidth="1"/>
    <col min="3853" max="3853" width="20.42578125" style="94" customWidth="1"/>
    <col min="3854" max="3854" width="6.42578125" style="94" bestFit="1" customWidth="1"/>
    <col min="3855" max="3856" width="8.42578125" style="94"/>
    <col min="3857" max="3857" width="3.28515625" style="94" customWidth="1"/>
    <col min="3858" max="4096" width="8.42578125" style="94"/>
    <col min="4097" max="4097" width="10" style="94" bestFit="1" customWidth="1"/>
    <col min="4098" max="4098" width="44.28515625" style="94" bestFit="1" customWidth="1"/>
    <col min="4099" max="4099" width="10.42578125" style="94" bestFit="1" customWidth="1"/>
    <col min="4100" max="4100" width="10.42578125" style="94" customWidth="1"/>
    <col min="4101" max="4101" width="9.7109375" style="94" bestFit="1" customWidth="1"/>
    <col min="4102" max="4103" width="9.5703125" style="94" bestFit="1" customWidth="1"/>
    <col min="4104" max="4104" width="10.42578125" style="94" bestFit="1" customWidth="1"/>
    <col min="4105" max="4105" width="4.5703125" style="94" customWidth="1"/>
    <col min="4106" max="4106" width="1.7109375" style="94" customWidth="1"/>
    <col min="4107" max="4107" width="7" style="94" bestFit="1" customWidth="1"/>
    <col min="4108" max="4108" width="6.28515625" style="94" customWidth="1"/>
    <col min="4109" max="4109" width="20.42578125" style="94" customWidth="1"/>
    <col min="4110" max="4110" width="6.42578125" style="94" bestFit="1" customWidth="1"/>
    <col min="4111" max="4112" width="8.42578125" style="94"/>
    <col min="4113" max="4113" width="3.28515625" style="94" customWidth="1"/>
    <col min="4114" max="4352" width="8.42578125" style="94"/>
    <col min="4353" max="4353" width="10" style="94" bestFit="1" customWidth="1"/>
    <col min="4354" max="4354" width="44.28515625" style="94" bestFit="1" customWidth="1"/>
    <col min="4355" max="4355" width="10.42578125" style="94" bestFit="1" customWidth="1"/>
    <col min="4356" max="4356" width="10.42578125" style="94" customWidth="1"/>
    <col min="4357" max="4357" width="9.7109375" style="94" bestFit="1" customWidth="1"/>
    <col min="4358" max="4359" width="9.5703125" style="94" bestFit="1" customWidth="1"/>
    <col min="4360" max="4360" width="10.42578125" style="94" bestFit="1" customWidth="1"/>
    <col min="4361" max="4361" width="4.5703125" style="94" customWidth="1"/>
    <col min="4362" max="4362" width="1.7109375" style="94" customWidth="1"/>
    <col min="4363" max="4363" width="7" style="94" bestFit="1" customWidth="1"/>
    <col min="4364" max="4364" width="6.28515625" style="94" customWidth="1"/>
    <col min="4365" max="4365" width="20.42578125" style="94" customWidth="1"/>
    <col min="4366" max="4366" width="6.42578125" style="94" bestFit="1" customWidth="1"/>
    <col min="4367" max="4368" width="8.42578125" style="94"/>
    <col min="4369" max="4369" width="3.28515625" style="94" customWidth="1"/>
    <col min="4370" max="4608" width="8.42578125" style="94"/>
    <col min="4609" max="4609" width="10" style="94" bestFit="1" customWidth="1"/>
    <col min="4610" max="4610" width="44.28515625" style="94" bestFit="1" customWidth="1"/>
    <col min="4611" max="4611" width="10.42578125" style="94" bestFit="1" customWidth="1"/>
    <col min="4612" max="4612" width="10.42578125" style="94" customWidth="1"/>
    <col min="4613" max="4613" width="9.7109375" style="94" bestFit="1" customWidth="1"/>
    <col min="4614" max="4615" width="9.5703125" style="94" bestFit="1" customWidth="1"/>
    <col min="4616" max="4616" width="10.42578125" style="94" bestFit="1" customWidth="1"/>
    <col min="4617" max="4617" width="4.5703125" style="94" customWidth="1"/>
    <col min="4618" max="4618" width="1.7109375" style="94" customWidth="1"/>
    <col min="4619" max="4619" width="7" style="94" bestFit="1" customWidth="1"/>
    <col min="4620" max="4620" width="6.28515625" style="94" customWidth="1"/>
    <col min="4621" max="4621" width="20.42578125" style="94" customWidth="1"/>
    <col min="4622" max="4622" width="6.42578125" style="94" bestFit="1" customWidth="1"/>
    <col min="4623" max="4624" width="8.42578125" style="94"/>
    <col min="4625" max="4625" width="3.28515625" style="94" customWidth="1"/>
    <col min="4626" max="4864" width="8.42578125" style="94"/>
    <col min="4865" max="4865" width="10" style="94" bestFit="1" customWidth="1"/>
    <col min="4866" max="4866" width="44.28515625" style="94" bestFit="1" customWidth="1"/>
    <col min="4867" max="4867" width="10.42578125" style="94" bestFit="1" customWidth="1"/>
    <col min="4868" max="4868" width="10.42578125" style="94" customWidth="1"/>
    <col min="4869" max="4869" width="9.7109375" style="94" bestFit="1" customWidth="1"/>
    <col min="4870" max="4871" width="9.5703125" style="94" bestFit="1" customWidth="1"/>
    <col min="4872" max="4872" width="10.42578125" style="94" bestFit="1" customWidth="1"/>
    <col min="4873" max="4873" width="4.5703125" style="94" customWidth="1"/>
    <col min="4874" max="4874" width="1.7109375" style="94" customWidth="1"/>
    <col min="4875" max="4875" width="7" style="94" bestFit="1" customWidth="1"/>
    <col min="4876" max="4876" width="6.28515625" style="94" customWidth="1"/>
    <col min="4877" max="4877" width="20.42578125" style="94" customWidth="1"/>
    <col min="4878" max="4878" width="6.42578125" style="94" bestFit="1" customWidth="1"/>
    <col min="4879" max="4880" width="8.42578125" style="94"/>
    <col min="4881" max="4881" width="3.28515625" style="94" customWidth="1"/>
    <col min="4882" max="5120" width="8.42578125" style="94"/>
    <col min="5121" max="5121" width="10" style="94" bestFit="1" customWidth="1"/>
    <col min="5122" max="5122" width="44.28515625" style="94" bestFit="1" customWidth="1"/>
    <col min="5123" max="5123" width="10.42578125" style="94" bestFit="1" customWidth="1"/>
    <col min="5124" max="5124" width="10.42578125" style="94" customWidth="1"/>
    <col min="5125" max="5125" width="9.7109375" style="94" bestFit="1" customWidth="1"/>
    <col min="5126" max="5127" width="9.5703125" style="94" bestFit="1" customWidth="1"/>
    <col min="5128" max="5128" width="10.42578125" style="94" bestFit="1" customWidth="1"/>
    <col min="5129" max="5129" width="4.5703125" style="94" customWidth="1"/>
    <col min="5130" max="5130" width="1.7109375" style="94" customWidth="1"/>
    <col min="5131" max="5131" width="7" style="94" bestFit="1" customWidth="1"/>
    <col min="5132" max="5132" width="6.28515625" style="94" customWidth="1"/>
    <col min="5133" max="5133" width="20.42578125" style="94" customWidth="1"/>
    <col min="5134" max="5134" width="6.42578125" style="94" bestFit="1" customWidth="1"/>
    <col min="5135" max="5136" width="8.42578125" style="94"/>
    <col min="5137" max="5137" width="3.28515625" style="94" customWidth="1"/>
    <col min="5138" max="5376" width="8.42578125" style="94"/>
    <col min="5377" max="5377" width="10" style="94" bestFit="1" customWidth="1"/>
    <col min="5378" max="5378" width="44.28515625" style="94" bestFit="1" customWidth="1"/>
    <col min="5379" max="5379" width="10.42578125" style="94" bestFit="1" customWidth="1"/>
    <col min="5380" max="5380" width="10.42578125" style="94" customWidth="1"/>
    <col min="5381" max="5381" width="9.7109375" style="94" bestFit="1" customWidth="1"/>
    <col min="5382" max="5383" width="9.5703125" style="94" bestFit="1" customWidth="1"/>
    <col min="5384" max="5384" width="10.42578125" style="94" bestFit="1" customWidth="1"/>
    <col min="5385" max="5385" width="4.5703125" style="94" customWidth="1"/>
    <col min="5386" max="5386" width="1.7109375" style="94" customWidth="1"/>
    <col min="5387" max="5387" width="7" style="94" bestFit="1" customWidth="1"/>
    <col min="5388" max="5388" width="6.28515625" style="94" customWidth="1"/>
    <col min="5389" max="5389" width="20.42578125" style="94" customWidth="1"/>
    <col min="5390" max="5390" width="6.42578125" style="94" bestFit="1" customWidth="1"/>
    <col min="5391" max="5392" width="8.42578125" style="94"/>
    <col min="5393" max="5393" width="3.28515625" style="94" customWidth="1"/>
    <col min="5394" max="5632" width="8.42578125" style="94"/>
    <col min="5633" max="5633" width="10" style="94" bestFit="1" customWidth="1"/>
    <col min="5634" max="5634" width="44.28515625" style="94" bestFit="1" customWidth="1"/>
    <col min="5635" max="5635" width="10.42578125" style="94" bestFit="1" customWidth="1"/>
    <col min="5636" max="5636" width="10.42578125" style="94" customWidth="1"/>
    <col min="5637" max="5637" width="9.7109375" style="94" bestFit="1" customWidth="1"/>
    <col min="5638" max="5639" width="9.5703125" style="94" bestFit="1" customWidth="1"/>
    <col min="5640" max="5640" width="10.42578125" style="94" bestFit="1" customWidth="1"/>
    <col min="5641" max="5641" width="4.5703125" style="94" customWidth="1"/>
    <col min="5642" max="5642" width="1.7109375" style="94" customWidth="1"/>
    <col min="5643" max="5643" width="7" style="94" bestFit="1" customWidth="1"/>
    <col min="5644" max="5644" width="6.28515625" style="94" customWidth="1"/>
    <col min="5645" max="5645" width="20.42578125" style="94" customWidth="1"/>
    <col min="5646" max="5646" width="6.42578125" style="94" bestFit="1" customWidth="1"/>
    <col min="5647" max="5648" width="8.42578125" style="94"/>
    <col min="5649" max="5649" width="3.28515625" style="94" customWidth="1"/>
    <col min="5650" max="5888" width="8.42578125" style="94"/>
    <col min="5889" max="5889" width="10" style="94" bestFit="1" customWidth="1"/>
    <col min="5890" max="5890" width="44.28515625" style="94" bestFit="1" customWidth="1"/>
    <col min="5891" max="5891" width="10.42578125" style="94" bestFit="1" customWidth="1"/>
    <col min="5892" max="5892" width="10.42578125" style="94" customWidth="1"/>
    <col min="5893" max="5893" width="9.7109375" style="94" bestFit="1" customWidth="1"/>
    <col min="5894" max="5895" width="9.5703125" style="94" bestFit="1" customWidth="1"/>
    <col min="5896" max="5896" width="10.42578125" style="94" bestFit="1" customWidth="1"/>
    <col min="5897" max="5897" width="4.5703125" style="94" customWidth="1"/>
    <col min="5898" max="5898" width="1.7109375" style="94" customWidth="1"/>
    <col min="5899" max="5899" width="7" style="94" bestFit="1" customWidth="1"/>
    <col min="5900" max="5900" width="6.28515625" style="94" customWidth="1"/>
    <col min="5901" max="5901" width="20.42578125" style="94" customWidth="1"/>
    <col min="5902" max="5902" width="6.42578125" style="94" bestFit="1" customWidth="1"/>
    <col min="5903" max="5904" width="8.42578125" style="94"/>
    <col min="5905" max="5905" width="3.28515625" style="94" customWidth="1"/>
    <col min="5906" max="6144" width="8.42578125" style="94"/>
    <col min="6145" max="6145" width="10" style="94" bestFit="1" customWidth="1"/>
    <col min="6146" max="6146" width="44.28515625" style="94" bestFit="1" customWidth="1"/>
    <col min="6147" max="6147" width="10.42578125" style="94" bestFit="1" customWidth="1"/>
    <col min="6148" max="6148" width="10.42578125" style="94" customWidth="1"/>
    <col min="6149" max="6149" width="9.7109375" style="94" bestFit="1" customWidth="1"/>
    <col min="6150" max="6151" width="9.5703125" style="94" bestFit="1" customWidth="1"/>
    <col min="6152" max="6152" width="10.42578125" style="94" bestFit="1" customWidth="1"/>
    <col min="6153" max="6153" width="4.5703125" style="94" customWidth="1"/>
    <col min="6154" max="6154" width="1.7109375" style="94" customWidth="1"/>
    <col min="6155" max="6155" width="7" style="94" bestFit="1" customWidth="1"/>
    <col min="6156" max="6156" width="6.28515625" style="94" customWidth="1"/>
    <col min="6157" max="6157" width="20.42578125" style="94" customWidth="1"/>
    <col min="6158" max="6158" width="6.42578125" style="94" bestFit="1" customWidth="1"/>
    <col min="6159" max="6160" width="8.42578125" style="94"/>
    <col min="6161" max="6161" width="3.28515625" style="94" customWidth="1"/>
    <col min="6162" max="6400" width="8.42578125" style="94"/>
    <col min="6401" max="6401" width="10" style="94" bestFit="1" customWidth="1"/>
    <col min="6402" max="6402" width="44.28515625" style="94" bestFit="1" customWidth="1"/>
    <col min="6403" max="6403" width="10.42578125" style="94" bestFit="1" customWidth="1"/>
    <col min="6404" max="6404" width="10.42578125" style="94" customWidth="1"/>
    <col min="6405" max="6405" width="9.7109375" style="94" bestFit="1" customWidth="1"/>
    <col min="6406" max="6407" width="9.5703125" style="94" bestFit="1" customWidth="1"/>
    <col min="6408" max="6408" width="10.42578125" style="94" bestFit="1" customWidth="1"/>
    <col min="6409" max="6409" width="4.5703125" style="94" customWidth="1"/>
    <col min="6410" max="6410" width="1.7109375" style="94" customWidth="1"/>
    <col min="6411" max="6411" width="7" style="94" bestFit="1" customWidth="1"/>
    <col min="6412" max="6412" width="6.28515625" style="94" customWidth="1"/>
    <col min="6413" max="6413" width="20.42578125" style="94" customWidth="1"/>
    <col min="6414" max="6414" width="6.42578125" style="94" bestFit="1" customWidth="1"/>
    <col min="6415" max="6416" width="8.42578125" style="94"/>
    <col min="6417" max="6417" width="3.28515625" style="94" customWidth="1"/>
    <col min="6418" max="6656" width="8.42578125" style="94"/>
    <col min="6657" max="6657" width="10" style="94" bestFit="1" customWidth="1"/>
    <col min="6658" max="6658" width="44.28515625" style="94" bestFit="1" customWidth="1"/>
    <col min="6659" max="6659" width="10.42578125" style="94" bestFit="1" customWidth="1"/>
    <col min="6660" max="6660" width="10.42578125" style="94" customWidth="1"/>
    <col min="6661" max="6661" width="9.7109375" style="94" bestFit="1" customWidth="1"/>
    <col min="6662" max="6663" width="9.5703125" style="94" bestFit="1" customWidth="1"/>
    <col min="6664" max="6664" width="10.42578125" style="94" bestFit="1" customWidth="1"/>
    <col min="6665" max="6665" width="4.5703125" style="94" customWidth="1"/>
    <col min="6666" max="6666" width="1.7109375" style="94" customWidth="1"/>
    <col min="6667" max="6667" width="7" style="94" bestFit="1" customWidth="1"/>
    <col min="6668" max="6668" width="6.28515625" style="94" customWidth="1"/>
    <col min="6669" max="6669" width="20.42578125" style="94" customWidth="1"/>
    <col min="6670" max="6670" width="6.42578125" style="94" bestFit="1" customWidth="1"/>
    <col min="6671" max="6672" width="8.42578125" style="94"/>
    <col min="6673" max="6673" width="3.28515625" style="94" customWidth="1"/>
    <col min="6674" max="6912" width="8.42578125" style="94"/>
    <col min="6913" max="6913" width="10" style="94" bestFit="1" customWidth="1"/>
    <col min="6914" max="6914" width="44.28515625" style="94" bestFit="1" customWidth="1"/>
    <col min="6915" max="6915" width="10.42578125" style="94" bestFit="1" customWidth="1"/>
    <col min="6916" max="6916" width="10.42578125" style="94" customWidth="1"/>
    <col min="6917" max="6917" width="9.7109375" style="94" bestFit="1" customWidth="1"/>
    <col min="6918" max="6919" width="9.5703125" style="94" bestFit="1" customWidth="1"/>
    <col min="6920" max="6920" width="10.42578125" style="94" bestFit="1" customWidth="1"/>
    <col min="6921" max="6921" width="4.5703125" style="94" customWidth="1"/>
    <col min="6922" max="6922" width="1.7109375" style="94" customWidth="1"/>
    <col min="6923" max="6923" width="7" style="94" bestFit="1" customWidth="1"/>
    <col min="6924" max="6924" width="6.28515625" style="94" customWidth="1"/>
    <col min="6925" max="6925" width="20.42578125" style="94" customWidth="1"/>
    <col min="6926" max="6926" width="6.42578125" style="94" bestFit="1" customWidth="1"/>
    <col min="6927" max="6928" width="8.42578125" style="94"/>
    <col min="6929" max="6929" width="3.28515625" style="94" customWidth="1"/>
    <col min="6930" max="7168" width="8.42578125" style="94"/>
    <col min="7169" max="7169" width="10" style="94" bestFit="1" customWidth="1"/>
    <col min="7170" max="7170" width="44.28515625" style="94" bestFit="1" customWidth="1"/>
    <col min="7171" max="7171" width="10.42578125" style="94" bestFit="1" customWidth="1"/>
    <col min="7172" max="7172" width="10.42578125" style="94" customWidth="1"/>
    <col min="7173" max="7173" width="9.7109375" style="94" bestFit="1" customWidth="1"/>
    <col min="7174" max="7175" width="9.5703125" style="94" bestFit="1" customWidth="1"/>
    <col min="7176" max="7176" width="10.42578125" style="94" bestFit="1" customWidth="1"/>
    <col min="7177" max="7177" width="4.5703125" style="94" customWidth="1"/>
    <col min="7178" max="7178" width="1.7109375" style="94" customWidth="1"/>
    <col min="7179" max="7179" width="7" style="94" bestFit="1" customWidth="1"/>
    <col min="7180" max="7180" width="6.28515625" style="94" customWidth="1"/>
    <col min="7181" max="7181" width="20.42578125" style="94" customWidth="1"/>
    <col min="7182" max="7182" width="6.42578125" style="94" bestFit="1" customWidth="1"/>
    <col min="7183" max="7184" width="8.42578125" style="94"/>
    <col min="7185" max="7185" width="3.28515625" style="94" customWidth="1"/>
    <col min="7186" max="7424" width="8.42578125" style="94"/>
    <col min="7425" max="7425" width="10" style="94" bestFit="1" customWidth="1"/>
    <col min="7426" max="7426" width="44.28515625" style="94" bestFit="1" customWidth="1"/>
    <col min="7427" max="7427" width="10.42578125" style="94" bestFit="1" customWidth="1"/>
    <col min="7428" max="7428" width="10.42578125" style="94" customWidth="1"/>
    <col min="7429" max="7429" width="9.7109375" style="94" bestFit="1" customWidth="1"/>
    <col min="7430" max="7431" width="9.5703125" style="94" bestFit="1" customWidth="1"/>
    <col min="7432" max="7432" width="10.42578125" style="94" bestFit="1" customWidth="1"/>
    <col min="7433" max="7433" width="4.5703125" style="94" customWidth="1"/>
    <col min="7434" max="7434" width="1.7109375" style="94" customWidth="1"/>
    <col min="7435" max="7435" width="7" style="94" bestFit="1" customWidth="1"/>
    <col min="7436" max="7436" width="6.28515625" style="94" customWidth="1"/>
    <col min="7437" max="7437" width="20.42578125" style="94" customWidth="1"/>
    <col min="7438" max="7438" width="6.42578125" style="94" bestFit="1" customWidth="1"/>
    <col min="7439" max="7440" width="8.42578125" style="94"/>
    <col min="7441" max="7441" width="3.28515625" style="94" customWidth="1"/>
    <col min="7442" max="7680" width="8.42578125" style="94"/>
    <col min="7681" max="7681" width="10" style="94" bestFit="1" customWidth="1"/>
    <col min="7682" max="7682" width="44.28515625" style="94" bestFit="1" customWidth="1"/>
    <col min="7683" max="7683" width="10.42578125" style="94" bestFit="1" customWidth="1"/>
    <col min="7684" max="7684" width="10.42578125" style="94" customWidth="1"/>
    <col min="7685" max="7685" width="9.7109375" style="94" bestFit="1" customWidth="1"/>
    <col min="7686" max="7687" width="9.5703125" style="94" bestFit="1" customWidth="1"/>
    <col min="7688" max="7688" width="10.42578125" style="94" bestFit="1" customWidth="1"/>
    <col min="7689" max="7689" width="4.5703125" style="94" customWidth="1"/>
    <col min="7690" max="7690" width="1.7109375" style="94" customWidth="1"/>
    <col min="7691" max="7691" width="7" style="94" bestFit="1" customWidth="1"/>
    <col min="7692" max="7692" width="6.28515625" style="94" customWidth="1"/>
    <col min="7693" max="7693" width="20.42578125" style="94" customWidth="1"/>
    <col min="7694" max="7694" width="6.42578125" style="94" bestFit="1" customWidth="1"/>
    <col min="7695" max="7696" width="8.42578125" style="94"/>
    <col min="7697" max="7697" width="3.28515625" style="94" customWidth="1"/>
    <col min="7698" max="7936" width="8.42578125" style="94"/>
    <col min="7937" max="7937" width="10" style="94" bestFit="1" customWidth="1"/>
    <col min="7938" max="7938" width="44.28515625" style="94" bestFit="1" customWidth="1"/>
    <col min="7939" max="7939" width="10.42578125" style="94" bestFit="1" customWidth="1"/>
    <col min="7940" max="7940" width="10.42578125" style="94" customWidth="1"/>
    <col min="7941" max="7941" width="9.7109375" style="94" bestFit="1" customWidth="1"/>
    <col min="7942" max="7943" width="9.5703125" style="94" bestFit="1" customWidth="1"/>
    <col min="7944" max="7944" width="10.42578125" style="94" bestFit="1" customWidth="1"/>
    <col min="7945" max="7945" width="4.5703125" style="94" customWidth="1"/>
    <col min="7946" max="7946" width="1.7109375" style="94" customWidth="1"/>
    <col min="7947" max="7947" width="7" style="94" bestFit="1" customWidth="1"/>
    <col min="7948" max="7948" width="6.28515625" style="94" customWidth="1"/>
    <col min="7949" max="7949" width="20.42578125" style="94" customWidth="1"/>
    <col min="7950" max="7950" width="6.42578125" style="94" bestFit="1" customWidth="1"/>
    <col min="7951" max="7952" width="8.42578125" style="94"/>
    <col min="7953" max="7953" width="3.28515625" style="94" customWidth="1"/>
    <col min="7954" max="8192" width="8.42578125" style="94"/>
    <col min="8193" max="8193" width="10" style="94" bestFit="1" customWidth="1"/>
    <col min="8194" max="8194" width="44.28515625" style="94" bestFit="1" customWidth="1"/>
    <col min="8195" max="8195" width="10.42578125" style="94" bestFit="1" customWidth="1"/>
    <col min="8196" max="8196" width="10.42578125" style="94" customWidth="1"/>
    <col min="8197" max="8197" width="9.7109375" style="94" bestFit="1" customWidth="1"/>
    <col min="8198" max="8199" width="9.5703125" style="94" bestFit="1" customWidth="1"/>
    <col min="8200" max="8200" width="10.42578125" style="94" bestFit="1" customWidth="1"/>
    <col min="8201" max="8201" width="4.5703125" style="94" customWidth="1"/>
    <col min="8202" max="8202" width="1.7109375" style="94" customWidth="1"/>
    <col min="8203" max="8203" width="7" style="94" bestFit="1" customWidth="1"/>
    <col min="8204" max="8204" width="6.28515625" style="94" customWidth="1"/>
    <col min="8205" max="8205" width="20.42578125" style="94" customWidth="1"/>
    <col min="8206" max="8206" width="6.42578125" style="94" bestFit="1" customWidth="1"/>
    <col min="8207" max="8208" width="8.42578125" style="94"/>
    <col min="8209" max="8209" width="3.28515625" style="94" customWidth="1"/>
    <col min="8210" max="8448" width="8.42578125" style="94"/>
    <col min="8449" max="8449" width="10" style="94" bestFit="1" customWidth="1"/>
    <col min="8450" max="8450" width="44.28515625" style="94" bestFit="1" customWidth="1"/>
    <col min="8451" max="8451" width="10.42578125" style="94" bestFit="1" customWidth="1"/>
    <col min="8452" max="8452" width="10.42578125" style="94" customWidth="1"/>
    <col min="8453" max="8453" width="9.7109375" style="94" bestFit="1" customWidth="1"/>
    <col min="8454" max="8455" width="9.5703125" style="94" bestFit="1" customWidth="1"/>
    <col min="8456" max="8456" width="10.42578125" style="94" bestFit="1" customWidth="1"/>
    <col min="8457" max="8457" width="4.5703125" style="94" customWidth="1"/>
    <col min="8458" max="8458" width="1.7109375" style="94" customWidth="1"/>
    <col min="8459" max="8459" width="7" style="94" bestFit="1" customWidth="1"/>
    <col min="8460" max="8460" width="6.28515625" style="94" customWidth="1"/>
    <col min="8461" max="8461" width="20.42578125" style="94" customWidth="1"/>
    <col min="8462" max="8462" width="6.42578125" style="94" bestFit="1" customWidth="1"/>
    <col min="8463" max="8464" width="8.42578125" style="94"/>
    <col min="8465" max="8465" width="3.28515625" style="94" customWidth="1"/>
    <col min="8466" max="8704" width="8.42578125" style="94"/>
    <col min="8705" max="8705" width="10" style="94" bestFit="1" customWidth="1"/>
    <col min="8706" max="8706" width="44.28515625" style="94" bestFit="1" customWidth="1"/>
    <col min="8707" max="8707" width="10.42578125" style="94" bestFit="1" customWidth="1"/>
    <col min="8708" max="8708" width="10.42578125" style="94" customWidth="1"/>
    <col min="8709" max="8709" width="9.7109375" style="94" bestFit="1" customWidth="1"/>
    <col min="8710" max="8711" width="9.5703125" style="94" bestFit="1" customWidth="1"/>
    <col min="8712" max="8712" width="10.42578125" style="94" bestFit="1" customWidth="1"/>
    <col min="8713" max="8713" width="4.5703125" style="94" customWidth="1"/>
    <col min="8714" max="8714" width="1.7109375" style="94" customWidth="1"/>
    <col min="8715" max="8715" width="7" style="94" bestFit="1" customWidth="1"/>
    <col min="8716" max="8716" width="6.28515625" style="94" customWidth="1"/>
    <col min="8717" max="8717" width="20.42578125" style="94" customWidth="1"/>
    <col min="8718" max="8718" width="6.42578125" style="94" bestFit="1" customWidth="1"/>
    <col min="8719" max="8720" width="8.42578125" style="94"/>
    <col min="8721" max="8721" width="3.28515625" style="94" customWidth="1"/>
    <col min="8722" max="8960" width="8.42578125" style="94"/>
    <col min="8961" max="8961" width="10" style="94" bestFit="1" customWidth="1"/>
    <col min="8962" max="8962" width="44.28515625" style="94" bestFit="1" customWidth="1"/>
    <col min="8963" max="8963" width="10.42578125" style="94" bestFit="1" customWidth="1"/>
    <col min="8964" max="8964" width="10.42578125" style="94" customWidth="1"/>
    <col min="8965" max="8965" width="9.7109375" style="94" bestFit="1" customWidth="1"/>
    <col min="8966" max="8967" width="9.5703125" style="94" bestFit="1" customWidth="1"/>
    <col min="8968" max="8968" width="10.42578125" style="94" bestFit="1" customWidth="1"/>
    <col min="8969" max="8969" width="4.5703125" style="94" customWidth="1"/>
    <col min="8970" max="8970" width="1.7109375" style="94" customWidth="1"/>
    <col min="8971" max="8971" width="7" style="94" bestFit="1" customWidth="1"/>
    <col min="8972" max="8972" width="6.28515625" style="94" customWidth="1"/>
    <col min="8973" max="8973" width="20.42578125" style="94" customWidth="1"/>
    <col min="8974" max="8974" width="6.42578125" style="94" bestFit="1" customWidth="1"/>
    <col min="8975" max="8976" width="8.42578125" style="94"/>
    <col min="8977" max="8977" width="3.28515625" style="94" customWidth="1"/>
    <col min="8978" max="9216" width="8.42578125" style="94"/>
    <col min="9217" max="9217" width="10" style="94" bestFit="1" customWidth="1"/>
    <col min="9218" max="9218" width="44.28515625" style="94" bestFit="1" customWidth="1"/>
    <col min="9219" max="9219" width="10.42578125" style="94" bestFit="1" customWidth="1"/>
    <col min="9220" max="9220" width="10.42578125" style="94" customWidth="1"/>
    <col min="9221" max="9221" width="9.7109375" style="94" bestFit="1" customWidth="1"/>
    <col min="9222" max="9223" width="9.5703125" style="94" bestFit="1" customWidth="1"/>
    <col min="9224" max="9224" width="10.42578125" style="94" bestFit="1" customWidth="1"/>
    <col min="9225" max="9225" width="4.5703125" style="94" customWidth="1"/>
    <col min="9226" max="9226" width="1.7109375" style="94" customWidth="1"/>
    <col min="9227" max="9227" width="7" style="94" bestFit="1" customWidth="1"/>
    <col min="9228" max="9228" width="6.28515625" style="94" customWidth="1"/>
    <col min="9229" max="9229" width="20.42578125" style="94" customWidth="1"/>
    <col min="9230" max="9230" width="6.42578125" style="94" bestFit="1" customWidth="1"/>
    <col min="9231" max="9232" width="8.42578125" style="94"/>
    <col min="9233" max="9233" width="3.28515625" style="94" customWidth="1"/>
    <col min="9234" max="9472" width="8.42578125" style="94"/>
    <col min="9473" max="9473" width="10" style="94" bestFit="1" customWidth="1"/>
    <col min="9474" max="9474" width="44.28515625" style="94" bestFit="1" customWidth="1"/>
    <col min="9475" max="9475" width="10.42578125" style="94" bestFit="1" customWidth="1"/>
    <col min="9476" max="9476" width="10.42578125" style="94" customWidth="1"/>
    <col min="9477" max="9477" width="9.7109375" style="94" bestFit="1" customWidth="1"/>
    <col min="9478" max="9479" width="9.5703125" style="94" bestFit="1" customWidth="1"/>
    <col min="9480" max="9480" width="10.42578125" style="94" bestFit="1" customWidth="1"/>
    <col min="9481" max="9481" width="4.5703125" style="94" customWidth="1"/>
    <col min="9482" max="9482" width="1.7109375" style="94" customWidth="1"/>
    <col min="9483" max="9483" width="7" style="94" bestFit="1" customWidth="1"/>
    <col min="9484" max="9484" width="6.28515625" style="94" customWidth="1"/>
    <col min="9485" max="9485" width="20.42578125" style="94" customWidth="1"/>
    <col min="9486" max="9486" width="6.42578125" style="94" bestFit="1" customWidth="1"/>
    <col min="9487" max="9488" width="8.42578125" style="94"/>
    <col min="9489" max="9489" width="3.28515625" style="94" customWidth="1"/>
    <col min="9490" max="9728" width="8.42578125" style="94"/>
    <col min="9729" max="9729" width="10" style="94" bestFit="1" customWidth="1"/>
    <col min="9730" max="9730" width="44.28515625" style="94" bestFit="1" customWidth="1"/>
    <col min="9731" max="9731" width="10.42578125" style="94" bestFit="1" customWidth="1"/>
    <col min="9732" max="9732" width="10.42578125" style="94" customWidth="1"/>
    <col min="9733" max="9733" width="9.7109375" style="94" bestFit="1" customWidth="1"/>
    <col min="9734" max="9735" width="9.5703125" style="94" bestFit="1" customWidth="1"/>
    <col min="9736" max="9736" width="10.42578125" style="94" bestFit="1" customWidth="1"/>
    <col min="9737" max="9737" width="4.5703125" style="94" customWidth="1"/>
    <col min="9738" max="9738" width="1.7109375" style="94" customWidth="1"/>
    <col min="9739" max="9739" width="7" style="94" bestFit="1" customWidth="1"/>
    <col min="9740" max="9740" width="6.28515625" style="94" customWidth="1"/>
    <col min="9741" max="9741" width="20.42578125" style="94" customWidth="1"/>
    <col min="9742" max="9742" width="6.42578125" style="94" bestFit="1" customWidth="1"/>
    <col min="9743" max="9744" width="8.42578125" style="94"/>
    <col min="9745" max="9745" width="3.28515625" style="94" customWidth="1"/>
    <col min="9746" max="9984" width="8.42578125" style="94"/>
    <col min="9985" max="9985" width="10" style="94" bestFit="1" customWidth="1"/>
    <col min="9986" max="9986" width="44.28515625" style="94" bestFit="1" customWidth="1"/>
    <col min="9987" max="9987" width="10.42578125" style="94" bestFit="1" customWidth="1"/>
    <col min="9988" max="9988" width="10.42578125" style="94" customWidth="1"/>
    <col min="9989" max="9989" width="9.7109375" style="94" bestFit="1" customWidth="1"/>
    <col min="9990" max="9991" width="9.5703125" style="94" bestFit="1" customWidth="1"/>
    <col min="9992" max="9992" width="10.42578125" style="94" bestFit="1" customWidth="1"/>
    <col min="9993" max="9993" width="4.5703125" style="94" customWidth="1"/>
    <col min="9994" max="9994" width="1.7109375" style="94" customWidth="1"/>
    <col min="9995" max="9995" width="7" style="94" bestFit="1" customWidth="1"/>
    <col min="9996" max="9996" width="6.28515625" style="94" customWidth="1"/>
    <col min="9997" max="9997" width="20.42578125" style="94" customWidth="1"/>
    <col min="9998" max="9998" width="6.42578125" style="94" bestFit="1" customWidth="1"/>
    <col min="9999" max="10000" width="8.42578125" style="94"/>
    <col min="10001" max="10001" width="3.28515625" style="94" customWidth="1"/>
    <col min="10002" max="10240" width="8.42578125" style="94"/>
    <col min="10241" max="10241" width="10" style="94" bestFit="1" customWidth="1"/>
    <col min="10242" max="10242" width="44.28515625" style="94" bestFit="1" customWidth="1"/>
    <col min="10243" max="10243" width="10.42578125" style="94" bestFit="1" customWidth="1"/>
    <col min="10244" max="10244" width="10.42578125" style="94" customWidth="1"/>
    <col min="10245" max="10245" width="9.7109375" style="94" bestFit="1" customWidth="1"/>
    <col min="10246" max="10247" width="9.5703125" style="94" bestFit="1" customWidth="1"/>
    <col min="10248" max="10248" width="10.42578125" style="94" bestFit="1" customWidth="1"/>
    <col min="10249" max="10249" width="4.5703125" style="94" customWidth="1"/>
    <col min="10250" max="10250" width="1.7109375" style="94" customWidth="1"/>
    <col min="10251" max="10251" width="7" style="94" bestFit="1" customWidth="1"/>
    <col min="10252" max="10252" width="6.28515625" style="94" customWidth="1"/>
    <col min="10253" max="10253" width="20.42578125" style="94" customWidth="1"/>
    <col min="10254" max="10254" width="6.42578125" style="94" bestFit="1" customWidth="1"/>
    <col min="10255" max="10256" width="8.42578125" style="94"/>
    <col min="10257" max="10257" width="3.28515625" style="94" customWidth="1"/>
    <col min="10258" max="10496" width="8.42578125" style="94"/>
    <col min="10497" max="10497" width="10" style="94" bestFit="1" customWidth="1"/>
    <col min="10498" max="10498" width="44.28515625" style="94" bestFit="1" customWidth="1"/>
    <col min="10499" max="10499" width="10.42578125" style="94" bestFit="1" customWidth="1"/>
    <col min="10500" max="10500" width="10.42578125" style="94" customWidth="1"/>
    <col min="10501" max="10501" width="9.7109375" style="94" bestFit="1" customWidth="1"/>
    <col min="10502" max="10503" width="9.5703125" style="94" bestFit="1" customWidth="1"/>
    <col min="10504" max="10504" width="10.42578125" style="94" bestFit="1" customWidth="1"/>
    <col min="10505" max="10505" width="4.5703125" style="94" customWidth="1"/>
    <col min="10506" max="10506" width="1.7109375" style="94" customWidth="1"/>
    <col min="10507" max="10507" width="7" style="94" bestFit="1" customWidth="1"/>
    <col min="10508" max="10508" width="6.28515625" style="94" customWidth="1"/>
    <col min="10509" max="10509" width="20.42578125" style="94" customWidth="1"/>
    <col min="10510" max="10510" width="6.42578125" style="94" bestFit="1" customWidth="1"/>
    <col min="10511" max="10512" width="8.42578125" style="94"/>
    <col min="10513" max="10513" width="3.28515625" style="94" customWidth="1"/>
    <col min="10514" max="10752" width="8.42578125" style="94"/>
    <col min="10753" max="10753" width="10" style="94" bestFit="1" customWidth="1"/>
    <col min="10754" max="10754" width="44.28515625" style="94" bestFit="1" customWidth="1"/>
    <col min="10755" max="10755" width="10.42578125" style="94" bestFit="1" customWidth="1"/>
    <col min="10756" max="10756" width="10.42578125" style="94" customWidth="1"/>
    <col min="10757" max="10757" width="9.7109375" style="94" bestFit="1" customWidth="1"/>
    <col min="10758" max="10759" width="9.5703125" style="94" bestFit="1" customWidth="1"/>
    <col min="10760" max="10760" width="10.42578125" style="94" bestFit="1" customWidth="1"/>
    <col min="10761" max="10761" width="4.5703125" style="94" customWidth="1"/>
    <col min="10762" max="10762" width="1.7109375" style="94" customWidth="1"/>
    <col min="10763" max="10763" width="7" style="94" bestFit="1" customWidth="1"/>
    <col min="10764" max="10764" width="6.28515625" style="94" customWidth="1"/>
    <col min="10765" max="10765" width="20.42578125" style="94" customWidth="1"/>
    <col min="10766" max="10766" width="6.42578125" style="94" bestFit="1" customWidth="1"/>
    <col min="10767" max="10768" width="8.42578125" style="94"/>
    <col min="10769" max="10769" width="3.28515625" style="94" customWidth="1"/>
    <col min="10770" max="11008" width="8.42578125" style="94"/>
    <col min="11009" max="11009" width="10" style="94" bestFit="1" customWidth="1"/>
    <col min="11010" max="11010" width="44.28515625" style="94" bestFit="1" customWidth="1"/>
    <col min="11011" max="11011" width="10.42578125" style="94" bestFit="1" customWidth="1"/>
    <col min="11012" max="11012" width="10.42578125" style="94" customWidth="1"/>
    <col min="11013" max="11013" width="9.7109375" style="94" bestFit="1" customWidth="1"/>
    <col min="11014" max="11015" width="9.5703125" style="94" bestFit="1" customWidth="1"/>
    <col min="11016" max="11016" width="10.42578125" style="94" bestFit="1" customWidth="1"/>
    <col min="11017" max="11017" width="4.5703125" style="94" customWidth="1"/>
    <col min="11018" max="11018" width="1.7109375" style="94" customWidth="1"/>
    <col min="11019" max="11019" width="7" style="94" bestFit="1" customWidth="1"/>
    <col min="11020" max="11020" width="6.28515625" style="94" customWidth="1"/>
    <col min="11021" max="11021" width="20.42578125" style="94" customWidth="1"/>
    <col min="11022" max="11022" width="6.42578125" style="94" bestFit="1" customWidth="1"/>
    <col min="11023" max="11024" width="8.42578125" style="94"/>
    <col min="11025" max="11025" width="3.28515625" style="94" customWidth="1"/>
    <col min="11026" max="11264" width="8.42578125" style="94"/>
    <col min="11265" max="11265" width="10" style="94" bestFit="1" customWidth="1"/>
    <col min="11266" max="11266" width="44.28515625" style="94" bestFit="1" customWidth="1"/>
    <col min="11267" max="11267" width="10.42578125" style="94" bestFit="1" customWidth="1"/>
    <col min="11268" max="11268" width="10.42578125" style="94" customWidth="1"/>
    <col min="11269" max="11269" width="9.7109375" style="94" bestFit="1" customWidth="1"/>
    <col min="11270" max="11271" width="9.5703125" style="94" bestFit="1" customWidth="1"/>
    <col min="11272" max="11272" width="10.42578125" style="94" bestFit="1" customWidth="1"/>
    <col min="11273" max="11273" width="4.5703125" style="94" customWidth="1"/>
    <col min="11274" max="11274" width="1.7109375" style="94" customWidth="1"/>
    <col min="11275" max="11275" width="7" style="94" bestFit="1" customWidth="1"/>
    <col min="11276" max="11276" width="6.28515625" style="94" customWidth="1"/>
    <col min="11277" max="11277" width="20.42578125" style="94" customWidth="1"/>
    <col min="11278" max="11278" width="6.42578125" style="94" bestFit="1" customWidth="1"/>
    <col min="11279" max="11280" width="8.42578125" style="94"/>
    <col min="11281" max="11281" width="3.28515625" style="94" customWidth="1"/>
    <col min="11282" max="11520" width="8.42578125" style="94"/>
    <col min="11521" max="11521" width="10" style="94" bestFit="1" customWidth="1"/>
    <col min="11522" max="11522" width="44.28515625" style="94" bestFit="1" customWidth="1"/>
    <col min="11523" max="11523" width="10.42578125" style="94" bestFit="1" customWidth="1"/>
    <col min="11524" max="11524" width="10.42578125" style="94" customWidth="1"/>
    <col min="11525" max="11525" width="9.7109375" style="94" bestFit="1" customWidth="1"/>
    <col min="11526" max="11527" width="9.5703125" style="94" bestFit="1" customWidth="1"/>
    <col min="11528" max="11528" width="10.42578125" style="94" bestFit="1" customWidth="1"/>
    <col min="11529" max="11529" width="4.5703125" style="94" customWidth="1"/>
    <col min="11530" max="11530" width="1.7109375" style="94" customWidth="1"/>
    <col min="11531" max="11531" width="7" style="94" bestFit="1" customWidth="1"/>
    <col min="11532" max="11532" width="6.28515625" style="94" customWidth="1"/>
    <col min="11533" max="11533" width="20.42578125" style="94" customWidth="1"/>
    <col min="11534" max="11534" width="6.42578125" style="94" bestFit="1" customWidth="1"/>
    <col min="11535" max="11536" width="8.42578125" style="94"/>
    <col min="11537" max="11537" width="3.28515625" style="94" customWidth="1"/>
    <col min="11538" max="11776" width="8.42578125" style="94"/>
    <col min="11777" max="11777" width="10" style="94" bestFit="1" customWidth="1"/>
    <col min="11778" max="11778" width="44.28515625" style="94" bestFit="1" customWidth="1"/>
    <col min="11779" max="11779" width="10.42578125" style="94" bestFit="1" customWidth="1"/>
    <col min="11780" max="11780" width="10.42578125" style="94" customWidth="1"/>
    <col min="11781" max="11781" width="9.7109375" style="94" bestFit="1" customWidth="1"/>
    <col min="11782" max="11783" width="9.5703125" style="94" bestFit="1" customWidth="1"/>
    <col min="11784" max="11784" width="10.42578125" style="94" bestFit="1" customWidth="1"/>
    <col min="11785" max="11785" width="4.5703125" style="94" customWidth="1"/>
    <col min="11786" max="11786" width="1.7109375" style="94" customWidth="1"/>
    <col min="11787" max="11787" width="7" style="94" bestFit="1" customWidth="1"/>
    <col min="11788" max="11788" width="6.28515625" style="94" customWidth="1"/>
    <col min="11789" max="11789" width="20.42578125" style="94" customWidth="1"/>
    <col min="11790" max="11790" width="6.42578125" style="94" bestFit="1" customWidth="1"/>
    <col min="11791" max="11792" width="8.42578125" style="94"/>
    <col min="11793" max="11793" width="3.28515625" style="94" customWidth="1"/>
    <col min="11794" max="12032" width="8.42578125" style="94"/>
    <col min="12033" max="12033" width="10" style="94" bestFit="1" customWidth="1"/>
    <col min="12034" max="12034" width="44.28515625" style="94" bestFit="1" customWidth="1"/>
    <col min="12035" max="12035" width="10.42578125" style="94" bestFit="1" customWidth="1"/>
    <col min="12036" max="12036" width="10.42578125" style="94" customWidth="1"/>
    <col min="12037" max="12037" width="9.7109375" style="94" bestFit="1" customWidth="1"/>
    <col min="12038" max="12039" width="9.5703125" style="94" bestFit="1" customWidth="1"/>
    <col min="12040" max="12040" width="10.42578125" style="94" bestFit="1" customWidth="1"/>
    <col min="12041" max="12041" width="4.5703125" style="94" customWidth="1"/>
    <col min="12042" max="12042" width="1.7109375" style="94" customWidth="1"/>
    <col min="12043" max="12043" width="7" style="94" bestFit="1" customWidth="1"/>
    <col min="12044" max="12044" width="6.28515625" style="94" customWidth="1"/>
    <col min="12045" max="12045" width="20.42578125" style="94" customWidth="1"/>
    <col min="12046" max="12046" width="6.42578125" style="94" bestFit="1" customWidth="1"/>
    <col min="12047" max="12048" width="8.42578125" style="94"/>
    <col min="12049" max="12049" width="3.28515625" style="94" customWidth="1"/>
    <col min="12050" max="12288" width="8.42578125" style="94"/>
    <col min="12289" max="12289" width="10" style="94" bestFit="1" customWidth="1"/>
    <col min="12290" max="12290" width="44.28515625" style="94" bestFit="1" customWidth="1"/>
    <col min="12291" max="12291" width="10.42578125" style="94" bestFit="1" customWidth="1"/>
    <col min="12292" max="12292" width="10.42578125" style="94" customWidth="1"/>
    <col min="12293" max="12293" width="9.7109375" style="94" bestFit="1" customWidth="1"/>
    <col min="12294" max="12295" width="9.5703125" style="94" bestFit="1" customWidth="1"/>
    <col min="12296" max="12296" width="10.42578125" style="94" bestFit="1" customWidth="1"/>
    <col min="12297" max="12297" width="4.5703125" style="94" customWidth="1"/>
    <col min="12298" max="12298" width="1.7109375" style="94" customWidth="1"/>
    <col min="12299" max="12299" width="7" style="94" bestFit="1" customWidth="1"/>
    <col min="12300" max="12300" width="6.28515625" style="94" customWidth="1"/>
    <col min="12301" max="12301" width="20.42578125" style="94" customWidth="1"/>
    <col min="12302" max="12302" width="6.42578125" style="94" bestFit="1" customWidth="1"/>
    <col min="12303" max="12304" width="8.42578125" style="94"/>
    <col min="12305" max="12305" width="3.28515625" style="94" customWidth="1"/>
    <col min="12306" max="12544" width="8.42578125" style="94"/>
    <col min="12545" max="12545" width="10" style="94" bestFit="1" customWidth="1"/>
    <col min="12546" max="12546" width="44.28515625" style="94" bestFit="1" customWidth="1"/>
    <col min="12547" max="12547" width="10.42578125" style="94" bestFit="1" customWidth="1"/>
    <col min="12548" max="12548" width="10.42578125" style="94" customWidth="1"/>
    <col min="12549" max="12549" width="9.7109375" style="94" bestFit="1" customWidth="1"/>
    <col min="12550" max="12551" width="9.5703125" style="94" bestFit="1" customWidth="1"/>
    <col min="12552" max="12552" width="10.42578125" style="94" bestFit="1" customWidth="1"/>
    <col min="12553" max="12553" width="4.5703125" style="94" customWidth="1"/>
    <col min="12554" max="12554" width="1.7109375" style="94" customWidth="1"/>
    <col min="12555" max="12555" width="7" style="94" bestFit="1" customWidth="1"/>
    <col min="12556" max="12556" width="6.28515625" style="94" customWidth="1"/>
    <col min="12557" max="12557" width="20.42578125" style="94" customWidth="1"/>
    <col min="12558" max="12558" width="6.42578125" style="94" bestFit="1" customWidth="1"/>
    <col min="12559" max="12560" width="8.42578125" style="94"/>
    <col min="12561" max="12561" width="3.28515625" style="94" customWidth="1"/>
    <col min="12562" max="12800" width="8.42578125" style="94"/>
    <col min="12801" max="12801" width="10" style="94" bestFit="1" customWidth="1"/>
    <col min="12802" max="12802" width="44.28515625" style="94" bestFit="1" customWidth="1"/>
    <col min="12803" max="12803" width="10.42578125" style="94" bestFit="1" customWidth="1"/>
    <col min="12804" max="12804" width="10.42578125" style="94" customWidth="1"/>
    <col min="12805" max="12805" width="9.7109375" style="94" bestFit="1" customWidth="1"/>
    <col min="12806" max="12807" width="9.5703125" style="94" bestFit="1" customWidth="1"/>
    <col min="12808" max="12808" width="10.42578125" style="94" bestFit="1" customWidth="1"/>
    <col min="12809" max="12809" width="4.5703125" style="94" customWidth="1"/>
    <col min="12810" max="12810" width="1.7109375" style="94" customWidth="1"/>
    <col min="12811" max="12811" width="7" style="94" bestFit="1" customWidth="1"/>
    <col min="12812" max="12812" width="6.28515625" style="94" customWidth="1"/>
    <col min="12813" max="12813" width="20.42578125" style="94" customWidth="1"/>
    <col min="12814" max="12814" width="6.42578125" style="94" bestFit="1" customWidth="1"/>
    <col min="12815" max="12816" width="8.42578125" style="94"/>
    <col min="12817" max="12817" width="3.28515625" style="94" customWidth="1"/>
    <col min="12818" max="13056" width="8.42578125" style="94"/>
    <col min="13057" max="13057" width="10" style="94" bestFit="1" customWidth="1"/>
    <col min="13058" max="13058" width="44.28515625" style="94" bestFit="1" customWidth="1"/>
    <col min="13059" max="13059" width="10.42578125" style="94" bestFit="1" customWidth="1"/>
    <col min="13060" max="13060" width="10.42578125" style="94" customWidth="1"/>
    <col min="13061" max="13061" width="9.7109375" style="94" bestFit="1" customWidth="1"/>
    <col min="13062" max="13063" width="9.5703125" style="94" bestFit="1" customWidth="1"/>
    <col min="13064" max="13064" width="10.42578125" style="94" bestFit="1" customWidth="1"/>
    <col min="13065" max="13065" width="4.5703125" style="94" customWidth="1"/>
    <col min="13066" max="13066" width="1.7109375" style="94" customWidth="1"/>
    <col min="13067" max="13067" width="7" style="94" bestFit="1" customWidth="1"/>
    <col min="13068" max="13068" width="6.28515625" style="94" customWidth="1"/>
    <col min="13069" max="13069" width="20.42578125" style="94" customWidth="1"/>
    <col min="13070" max="13070" width="6.42578125" style="94" bestFit="1" customWidth="1"/>
    <col min="13071" max="13072" width="8.42578125" style="94"/>
    <col min="13073" max="13073" width="3.28515625" style="94" customWidth="1"/>
    <col min="13074" max="13312" width="8.42578125" style="94"/>
    <col min="13313" max="13313" width="10" style="94" bestFit="1" customWidth="1"/>
    <col min="13314" max="13314" width="44.28515625" style="94" bestFit="1" customWidth="1"/>
    <col min="13315" max="13315" width="10.42578125" style="94" bestFit="1" customWidth="1"/>
    <col min="13316" max="13316" width="10.42578125" style="94" customWidth="1"/>
    <col min="13317" max="13317" width="9.7109375" style="94" bestFit="1" customWidth="1"/>
    <col min="13318" max="13319" width="9.5703125" style="94" bestFit="1" customWidth="1"/>
    <col min="13320" max="13320" width="10.42578125" style="94" bestFit="1" customWidth="1"/>
    <col min="13321" max="13321" width="4.5703125" style="94" customWidth="1"/>
    <col min="13322" max="13322" width="1.7109375" style="94" customWidth="1"/>
    <col min="13323" max="13323" width="7" style="94" bestFit="1" customWidth="1"/>
    <col min="13324" max="13324" width="6.28515625" style="94" customWidth="1"/>
    <col min="13325" max="13325" width="20.42578125" style="94" customWidth="1"/>
    <col min="13326" max="13326" width="6.42578125" style="94" bestFit="1" customWidth="1"/>
    <col min="13327" max="13328" width="8.42578125" style="94"/>
    <col min="13329" max="13329" width="3.28515625" style="94" customWidth="1"/>
    <col min="13330" max="13568" width="8.42578125" style="94"/>
    <col min="13569" max="13569" width="10" style="94" bestFit="1" customWidth="1"/>
    <col min="13570" max="13570" width="44.28515625" style="94" bestFit="1" customWidth="1"/>
    <col min="13571" max="13571" width="10.42578125" style="94" bestFit="1" customWidth="1"/>
    <col min="13572" max="13572" width="10.42578125" style="94" customWidth="1"/>
    <col min="13573" max="13573" width="9.7109375" style="94" bestFit="1" customWidth="1"/>
    <col min="13574" max="13575" width="9.5703125" style="94" bestFit="1" customWidth="1"/>
    <col min="13576" max="13576" width="10.42578125" style="94" bestFit="1" customWidth="1"/>
    <col min="13577" max="13577" width="4.5703125" style="94" customWidth="1"/>
    <col min="13578" max="13578" width="1.7109375" style="94" customWidth="1"/>
    <col min="13579" max="13579" width="7" style="94" bestFit="1" customWidth="1"/>
    <col min="13580" max="13580" width="6.28515625" style="94" customWidth="1"/>
    <col min="13581" max="13581" width="20.42578125" style="94" customWidth="1"/>
    <col min="13582" max="13582" width="6.42578125" style="94" bestFit="1" customWidth="1"/>
    <col min="13583" max="13584" width="8.42578125" style="94"/>
    <col min="13585" max="13585" width="3.28515625" style="94" customWidth="1"/>
    <col min="13586" max="13824" width="8.42578125" style="94"/>
    <col min="13825" max="13825" width="10" style="94" bestFit="1" customWidth="1"/>
    <col min="13826" max="13826" width="44.28515625" style="94" bestFit="1" customWidth="1"/>
    <col min="13827" max="13827" width="10.42578125" style="94" bestFit="1" customWidth="1"/>
    <col min="13828" max="13828" width="10.42578125" style="94" customWidth="1"/>
    <col min="13829" max="13829" width="9.7109375" style="94" bestFit="1" customWidth="1"/>
    <col min="13830" max="13831" width="9.5703125" style="94" bestFit="1" customWidth="1"/>
    <col min="13832" max="13832" width="10.42578125" style="94" bestFit="1" customWidth="1"/>
    <col min="13833" max="13833" width="4.5703125" style="94" customWidth="1"/>
    <col min="13834" max="13834" width="1.7109375" style="94" customWidth="1"/>
    <col min="13835" max="13835" width="7" style="94" bestFit="1" customWidth="1"/>
    <col min="13836" max="13836" width="6.28515625" style="94" customWidth="1"/>
    <col min="13837" max="13837" width="20.42578125" style="94" customWidth="1"/>
    <col min="13838" max="13838" width="6.42578125" style="94" bestFit="1" customWidth="1"/>
    <col min="13839" max="13840" width="8.42578125" style="94"/>
    <col min="13841" max="13841" width="3.28515625" style="94" customWidth="1"/>
    <col min="13842" max="14080" width="8.42578125" style="94"/>
    <col min="14081" max="14081" width="10" style="94" bestFit="1" customWidth="1"/>
    <col min="14082" max="14082" width="44.28515625" style="94" bestFit="1" customWidth="1"/>
    <col min="14083" max="14083" width="10.42578125" style="94" bestFit="1" customWidth="1"/>
    <col min="14084" max="14084" width="10.42578125" style="94" customWidth="1"/>
    <col min="14085" max="14085" width="9.7109375" style="94" bestFit="1" customWidth="1"/>
    <col min="14086" max="14087" width="9.5703125" style="94" bestFit="1" customWidth="1"/>
    <col min="14088" max="14088" width="10.42578125" style="94" bestFit="1" customWidth="1"/>
    <col min="14089" max="14089" width="4.5703125" style="94" customWidth="1"/>
    <col min="14090" max="14090" width="1.7109375" style="94" customWidth="1"/>
    <col min="14091" max="14091" width="7" style="94" bestFit="1" customWidth="1"/>
    <col min="14092" max="14092" width="6.28515625" style="94" customWidth="1"/>
    <col min="14093" max="14093" width="20.42578125" style="94" customWidth="1"/>
    <col min="14094" max="14094" width="6.42578125" style="94" bestFit="1" customWidth="1"/>
    <col min="14095" max="14096" width="8.42578125" style="94"/>
    <col min="14097" max="14097" width="3.28515625" style="94" customWidth="1"/>
    <col min="14098" max="14336" width="8.42578125" style="94"/>
    <col min="14337" max="14337" width="10" style="94" bestFit="1" customWidth="1"/>
    <col min="14338" max="14338" width="44.28515625" style="94" bestFit="1" customWidth="1"/>
    <col min="14339" max="14339" width="10.42578125" style="94" bestFit="1" customWidth="1"/>
    <col min="14340" max="14340" width="10.42578125" style="94" customWidth="1"/>
    <col min="14341" max="14341" width="9.7109375" style="94" bestFit="1" customWidth="1"/>
    <col min="14342" max="14343" width="9.5703125" style="94" bestFit="1" customWidth="1"/>
    <col min="14344" max="14344" width="10.42578125" style="94" bestFit="1" customWidth="1"/>
    <col min="14345" max="14345" width="4.5703125" style="94" customWidth="1"/>
    <col min="14346" max="14346" width="1.7109375" style="94" customWidth="1"/>
    <col min="14347" max="14347" width="7" style="94" bestFit="1" customWidth="1"/>
    <col min="14348" max="14348" width="6.28515625" style="94" customWidth="1"/>
    <col min="14349" max="14349" width="20.42578125" style="94" customWidth="1"/>
    <col min="14350" max="14350" width="6.42578125" style="94" bestFit="1" customWidth="1"/>
    <col min="14351" max="14352" width="8.42578125" style="94"/>
    <col min="14353" max="14353" width="3.28515625" style="94" customWidth="1"/>
    <col min="14354" max="14592" width="8.42578125" style="94"/>
    <col min="14593" max="14593" width="10" style="94" bestFit="1" customWidth="1"/>
    <col min="14594" max="14594" width="44.28515625" style="94" bestFit="1" customWidth="1"/>
    <col min="14595" max="14595" width="10.42578125" style="94" bestFit="1" customWidth="1"/>
    <col min="14596" max="14596" width="10.42578125" style="94" customWidth="1"/>
    <col min="14597" max="14597" width="9.7109375" style="94" bestFit="1" customWidth="1"/>
    <col min="14598" max="14599" width="9.5703125" style="94" bestFit="1" customWidth="1"/>
    <col min="14600" max="14600" width="10.42578125" style="94" bestFit="1" customWidth="1"/>
    <col min="14601" max="14601" width="4.5703125" style="94" customWidth="1"/>
    <col min="14602" max="14602" width="1.7109375" style="94" customWidth="1"/>
    <col min="14603" max="14603" width="7" style="94" bestFit="1" customWidth="1"/>
    <col min="14604" max="14604" width="6.28515625" style="94" customWidth="1"/>
    <col min="14605" max="14605" width="20.42578125" style="94" customWidth="1"/>
    <col min="14606" max="14606" width="6.42578125" style="94" bestFit="1" customWidth="1"/>
    <col min="14607" max="14608" width="8.42578125" style="94"/>
    <col min="14609" max="14609" width="3.28515625" style="94" customWidth="1"/>
    <col min="14610" max="14848" width="8.42578125" style="94"/>
    <col min="14849" max="14849" width="10" style="94" bestFit="1" customWidth="1"/>
    <col min="14850" max="14850" width="44.28515625" style="94" bestFit="1" customWidth="1"/>
    <col min="14851" max="14851" width="10.42578125" style="94" bestFit="1" customWidth="1"/>
    <col min="14852" max="14852" width="10.42578125" style="94" customWidth="1"/>
    <col min="14853" max="14853" width="9.7109375" style="94" bestFit="1" customWidth="1"/>
    <col min="14854" max="14855" width="9.5703125" style="94" bestFit="1" customWidth="1"/>
    <col min="14856" max="14856" width="10.42578125" style="94" bestFit="1" customWidth="1"/>
    <col min="14857" max="14857" width="4.5703125" style="94" customWidth="1"/>
    <col min="14858" max="14858" width="1.7109375" style="94" customWidth="1"/>
    <col min="14859" max="14859" width="7" style="94" bestFit="1" customWidth="1"/>
    <col min="14860" max="14860" width="6.28515625" style="94" customWidth="1"/>
    <col min="14861" max="14861" width="20.42578125" style="94" customWidth="1"/>
    <col min="14862" max="14862" width="6.42578125" style="94" bestFit="1" customWidth="1"/>
    <col min="14863" max="14864" width="8.42578125" style="94"/>
    <col min="14865" max="14865" width="3.28515625" style="94" customWidth="1"/>
    <col min="14866" max="15104" width="8.42578125" style="94"/>
    <col min="15105" max="15105" width="10" style="94" bestFit="1" customWidth="1"/>
    <col min="15106" max="15106" width="44.28515625" style="94" bestFit="1" customWidth="1"/>
    <col min="15107" max="15107" width="10.42578125" style="94" bestFit="1" customWidth="1"/>
    <col min="15108" max="15108" width="10.42578125" style="94" customWidth="1"/>
    <col min="15109" max="15109" width="9.7109375" style="94" bestFit="1" customWidth="1"/>
    <col min="15110" max="15111" width="9.5703125" style="94" bestFit="1" customWidth="1"/>
    <col min="15112" max="15112" width="10.42578125" style="94" bestFit="1" customWidth="1"/>
    <col min="15113" max="15113" width="4.5703125" style="94" customWidth="1"/>
    <col min="15114" max="15114" width="1.7109375" style="94" customWidth="1"/>
    <col min="15115" max="15115" width="7" style="94" bestFit="1" customWidth="1"/>
    <col min="15116" max="15116" width="6.28515625" style="94" customWidth="1"/>
    <col min="15117" max="15117" width="20.42578125" style="94" customWidth="1"/>
    <col min="15118" max="15118" width="6.42578125" style="94" bestFit="1" customWidth="1"/>
    <col min="15119" max="15120" width="8.42578125" style="94"/>
    <col min="15121" max="15121" width="3.28515625" style="94" customWidth="1"/>
    <col min="15122" max="15360" width="8.42578125" style="94"/>
    <col min="15361" max="15361" width="10" style="94" bestFit="1" customWidth="1"/>
    <col min="15362" max="15362" width="44.28515625" style="94" bestFit="1" customWidth="1"/>
    <col min="15363" max="15363" width="10.42578125" style="94" bestFit="1" customWidth="1"/>
    <col min="15364" max="15364" width="10.42578125" style="94" customWidth="1"/>
    <col min="15365" max="15365" width="9.7109375" style="94" bestFit="1" customWidth="1"/>
    <col min="15366" max="15367" width="9.5703125" style="94" bestFit="1" customWidth="1"/>
    <col min="15368" max="15368" width="10.42578125" style="94" bestFit="1" customWidth="1"/>
    <col min="15369" max="15369" width="4.5703125" style="94" customWidth="1"/>
    <col min="15370" max="15370" width="1.7109375" style="94" customWidth="1"/>
    <col min="15371" max="15371" width="7" style="94" bestFit="1" customWidth="1"/>
    <col min="15372" max="15372" width="6.28515625" style="94" customWidth="1"/>
    <col min="15373" max="15373" width="20.42578125" style="94" customWidth="1"/>
    <col min="15374" max="15374" width="6.42578125" style="94" bestFit="1" customWidth="1"/>
    <col min="15375" max="15376" width="8.42578125" style="94"/>
    <col min="15377" max="15377" width="3.28515625" style="94" customWidth="1"/>
    <col min="15378" max="15616" width="8.42578125" style="94"/>
    <col min="15617" max="15617" width="10" style="94" bestFit="1" customWidth="1"/>
    <col min="15618" max="15618" width="44.28515625" style="94" bestFit="1" customWidth="1"/>
    <col min="15619" max="15619" width="10.42578125" style="94" bestFit="1" customWidth="1"/>
    <col min="15620" max="15620" width="10.42578125" style="94" customWidth="1"/>
    <col min="15621" max="15621" width="9.7109375" style="94" bestFit="1" customWidth="1"/>
    <col min="15622" max="15623" width="9.5703125" style="94" bestFit="1" customWidth="1"/>
    <col min="15624" max="15624" width="10.42578125" style="94" bestFit="1" customWidth="1"/>
    <col min="15625" max="15625" width="4.5703125" style="94" customWidth="1"/>
    <col min="15626" max="15626" width="1.7109375" style="94" customWidth="1"/>
    <col min="15627" max="15627" width="7" style="94" bestFit="1" customWidth="1"/>
    <col min="15628" max="15628" width="6.28515625" style="94" customWidth="1"/>
    <col min="15629" max="15629" width="20.42578125" style="94" customWidth="1"/>
    <col min="15630" max="15630" width="6.42578125" style="94" bestFit="1" customWidth="1"/>
    <col min="15631" max="15632" width="8.42578125" style="94"/>
    <col min="15633" max="15633" width="3.28515625" style="94" customWidth="1"/>
    <col min="15634" max="15872" width="8.42578125" style="94"/>
    <col min="15873" max="15873" width="10" style="94" bestFit="1" customWidth="1"/>
    <col min="15874" max="15874" width="44.28515625" style="94" bestFit="1" customWidth="1"/>
    <col min="15875" max="15875" width="10.42578125" style="94" bestFit="1" customWidth="1"/>
    <col min="15876" max="15876" width="10.42578125" style="94" customWidth="1"/>
    <col min="15877" max="15877" width="9.7109375" style="94" bestFit="1" customWidth="1"/>
    <col min="15878" max="15879" width="9.5703125" style="94" bestFit="1" customWidth="1"/>
    <col min="15880" max="15880" width="10.42578125" style="94" bestFit="1" customWidth="1"/>
    <col min="15881" max="15881" width="4.5703125" style="94" customWidth="1"/>
    <col min="15882" max="15882" width="1.7109375" style="94" customWidth="1"/>
    <col min="15883" max="15883" width="7" style="94" bestFit="1" customWidth="1"/>
    <col min="15884" max="15884" width="6.28515625" style="94" customWidth="1"/>
    <col min="15885" max="15885" width="20.42578125" style="94" customWidth="1"/>
    <col min="15886" max="15886" width="6.42578125" style="94" bestFit="1" customWidth="1"/>
    <col min="15887" max="15888" width="8.42578125" style="94"/>
    <col min="15889" max="15889" width="3.28515625" style="94" customWidth="1"/>
    <col min="15890" max="16128" width="8.42578125" style="94"/>
    <col min="16129" max="16129" width="10" style="94" bestFit="1" customWidth="1"/>
    <col min="16130" max="16130" width="44.28515625" style="94" bestFit="1" customWidth="1"/>
    <col min="16131" max="16131" width="10.42578125" style="94" bestFit="1" customWidth="1"/>
    <col min="16132" max="16132" width="10.42578125" style="94" customWidth="1"/>
    <col min="16133" max="16133" width="9.7109375" style="94" bestFit="1" customWidth="1"/>
    <col min="16134" max="16135" width="9.5703125" style="94" bestFit="1" customWidth="1"/>
    <col min="16136" max="16136" width="10.42578125" style="94" bestFit="1" customWidth="1"/>
    <col min="16137" max="16137" width="4.5703125" style="94" customWidth="1"/>
    <col min="16138" max="16138" width="1.7109375" style="94" customWidth="1"/>
    <col min="16139" max="16139" width="7" style="94" bestFit="1" customWidth="1"/>
    <col min="16140" max="16140" width="6.28515625" style="94" customWidth="1"/>
    <col min="16141" max="16141" width="20.42578125" style="94" customWidth="1"/>
    <col min="16142" max="16142" width="6.42578125" style="94" bestFit="1" customWidth="1"/>
    <col min="16143" max="16144" width="8.42578125" style="94"/>
    <col min="16145" max="16145" width="3.28515625" style="94" customWidth="1"/>
    <col min="16146" max="16384" width="8.42578125" style="94"/>
  </cols>
  <sheetData>
    <row r="1" spans="1:10" ht="27.75" customHeight="1" x14ac:dyDescent="0.25">
      <c r="A1" s="89"/>
      <c r="B1" s="89"/>
      <c r="C1" s="89"/>
      <c r="D1" s="89"/>
      <c r="E1" s="90" t="s">
        <v>132</v>
      </c>
      <c r="F1" s="91" t="s">
        <v>133</v>
      </c>
      <c r="G1" s="91" t="s">
        <v>134</v>
      </c>
      <c r="H1" s="91" t="s">
        <v>135</v>
      </c>
      <c r="I1" s="92"/>
    </row>
    <row r="2" spans="1:10" ht="30.75" customHeight="1" x14ac:dyDescent="0.25">
      <c r="A2" s="89"/>
      <c r="B2" s="89"/>
      <c r="C2" s="89"/>
      <c r="D2" s="89"/>
      <c r="E2" s="95">
        <f>IFERROR(O62,"")</f>
        <v>1953.0306234451693</v>
      </c>
      <c r="F2" s="95">
        <f>IFERROR(H53,"")</f>
        <v>1467.2326638</v>
      </c>
      <c r="G2" s="95">
        <f>IFERROR(H54,"")</f>
        <v>2.4662564470095241</v>
      </c>
      <c r="H2" s="95">
        <f>IFERROR(H56,"")</f>
        <v>247.75826802594742</v>
      </c>
      <c r="I2" s="96"/>
    </row>
    <row r="3" spans="1:10" ht="15" customHeight="1" x14ac:dyDescent="0.25">
      <c r="A3" s="89"/>
      <c r="B3" s="89"/>
      <c r="C3" s="89"/>
      <c r="D3" s="89"/>
      <c r="E3" s="89"/>
      <c r="F3" s="97"/>
      <c r="G3" s="97"/>
      <c r="H3" s="97"/>
      <c r="I3" s="97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8"/>
    </row>
    <row r="5" spans="1:10" ht="19.5" customHeight="1" thickBot="1" x14ac:dyDescent="0.3">
      <c r="A5" s="358" t="s">
        <v>136</v>
      </c>
      <c r="B5" s="359"/>
      <c r="C5" s="359"/>
      <c r="D5" s="359"/>
      <c r="E5" s="359"/>
      <c r="F5" s="359"/>
      <c r="G5" s="359"/>
      <c r="H5" s="360"/>
      <c r="I5" s="99"/>
    </row>
    <row r="6" spans="1:10" ht="19.5" thickBot="1" x14ac:dyDescent="0.3">
      <c r="A6" s="99"/>
      <c r="B6" s="99"/>
      <c r="C6" s="99"/>
      <c r="D6" s="99"/>
      <c r="E6" s="99"/>
      <c r="F6" s="361" t="s">
        <v>137</v>
      </c>
      <c r="G6" s="361"/>
      <c r="H6" s="100">
        <f ca="1">TODAY()</f>
        <v>45776</v>
      </c>
      <c r="I6" s="100"/>
    </row>
    <row r="7" spans="1:10" ht="26.25" hidden="1" thickBot="1" x14ac:dyDescent="0.3">
      <c r="A7" s="101" t="s">
        <v>138</v>
      </c>
      <c r="B7" s="102" t="s">
        <v>139</v>
      </c>
      <c r="C7" s="102" t="s">
        <v>138</v>
      </c>
      <c r="D7" s="103" t="s">
        <v>140</v>
      </c>
      <c r="E7" s="103" t="s">
        <v>141</v>
      </c>
      <c r="F7" s="103" t="s">
        <v>142</v>
      </c>
      <c r="G7" s="103" t="s">
        <v>143</v>
      </c>
      <c r="H7" s="104" t="s">
        <v>144</v>
      </c>
      <c r="I7" s="105"/>
    </row>
    <row r="8" spans="1:10" ht="13.5" hidden="1" x14ac:dyDescent="0.25">
      <c r="A8" s="106"/>
      <c r="B8" s="94" t="str">
        <f>IFERROR(VLOOKUP(H8,'[1]Consolidado MP Planta'!$A$2:$M$823,3,0),"")</f>
        <v/>
      </c>
      <c r="C8" s="107">
        <f>+A8</f>
        <v>0</v>
      </c>
      <c r="D8" s="108" t="str">
        <f>IFERROR(VLOOKUP(H8,'[1]Consolidado MP Planta'!$A$2:$M$823,13,0),"")</f>
        <v/>
      </c>
      <c r="E8" s="108" t="str">
        <f>IFERROR(VLOOKUP(H8,'[1]Consolidado MP Planta'!$A$2:$M$823,12,0),"")</f>
        <v/>
      </c>
      <c r="F8" s="108" t="str">
        <f>IFERROR(C8*E8,"")</f>
        <v/>
      </c>
      <c r="G8" s="109" t="str">
        <f t="shared" ref="G8:G14" si="0">IFERROR(F8/$F$66,"")</f>
        <v/>
      </c>
      <c r="H8" s="110"/>
      <c r="I8" s="110"/>
      <c r="J8" s="111"/>
    </row>
    <row r="9" spans="1:10" ht="13.5" hidden="1" x14ac:dyDescent="0.25">
      <c r="A9" s="106"/>
      <c r="B9" s="94" t="str">
        <f>IFERROR(VLOOKUP(H9,'[1]Consolidado MP Planta'!$A$2:$M$823,3,0),"")</f>
        <v/>
      </c>
      <c r="C9" s="107">
        <f t="shared" ref="C9:C14" si="1">+A9</f>
        <v>0</v>
      </c>
      <c r="D9" s="108" t="str">
        <f>IFERROR(VLOOKUP(H9,'[1]Consolidado MP Planta'!$A$2:$M$823,13,0),"")</f>
        <v/>
      </c>
      <c r="E9" s="108" t="str">
        <f>IFERROR(VLOOKUP(H9,'[1]Consolidado MP Planta'!$A$2:$M$823,12,0),"")</f>
        <v/>
      </c>
      <c r="F9" s="108" t="str">
        <f t="shared" ref="F9:F14" si="2">IFERROR(C9*E9,"")</f>
        <v/>
      </c>
      <c r="G9" s="109" t="str">
        <f t="shared" si="0"/>
        <v/>
      </c>
      <c r="H9" s="110"/>
      <c r="I9" s="110"/>
      <c r="J9" s="111"/>
    </row>
    <row r="10" spans="1:10" ht="13.5" hidden="1" x14ac:dyDescent="0.25">
      <c r="A10" s="106"/>
      <c r="B10" s="94" t="str">
        <f>IFERROR(VLOOKUP(H10,'[1]Consolidado MP Planta'!$A$2:$M$823,3,0),"")</f>
        <v/>
      </c>
      <c r="C10" s="107">
        <f t="shared" si="1"/>
        <v>0</v>
      </c>
      <c r="D10" s="108" t="str">
        <f>IFERROR(VLOOKUP(H10,'[1]Consolidado MP Planta'!$A$2:$M$823,13,0),"")</f>
        <v/>
      </c>
      <c r="E10" s="108" t="str">
        <f>IFERROR(VLOOKUP(H10,'[1]Consolidado MP Planta'!$A$2:$M$823,12,0),"")</f>
        <v/>
      </c>
      <c r="F10" s="108" t="str">
        <f t="shared" si="2"/>
        <v/>
      </c>
      <c r="G10" s="109" t="str">
        <f t="shared" si="0"/>
        <v/>
      </c>
      <c r="H10" s="110"/>
      <c r="I10" s="110"/>
      <c r="J10" s="111"/>
    </row>
    <row r="11" spans="1:10" ht="13.5" hidden="1" x14ac:dyDescent="0.25">
      <c r="A11" s="106"/>
      <c r="B11" s="94" t="str">
        <f>IFERROR(VLOOKUP(H11,'[1]Consolidado MP Planta'!$A$2:$M$823,3,0),"")</f>
        <v/>
      </c>
      <c r="C11" s="107">
        <f t="shared" si="1"/>
        <v>0</v>
      </c>
      <c r="D11" s="108" t="str">
        <f>IFERROR(VLOOKUP(H11,'[1]Consolidado MP Planta'!$A$2:$M$823,13,0),"")</f>
        <v/>
      </c>
      <c r="E11" s="108" t="str">
        <f>IFERROR(VLOOKUP(H11,'[1]Consolidado MP Planta'!$A$2:$M$823,12,0),"")</f>
        <v/>
      </c>
      <c r="F11" s="108" t="str">
        <f t="shared" si="2"/>
        <v/>
      </c>
      <c r="G11" s="109" t="str">
        <f t="shared" si="0"/>
        <v/>
      </c>
      <c r="H11" s="110"/>
      <c r="I11" s="110"/>
      <c r="J11" s="111"/>
    </row>
    <row r="12" spans="1:10" ht="13.5" hidden="1" x14ac:dyDescent="0.25">
      <c r="A12" s="106"/>
      <c r="B12" s="94" t="str">
        <f>IFERROR(VLOOKUP(H12,'[1]Consolidado MP Planta'!$A$2:$M$823,3,0),"")</f>
        <v/>
      </c>
      <c r="C12" s="107">
        <f t="shared" si="1"/>
        <v>0</v>
      </c>
      <c r="D12" s="108" t="str">
        <f>IFERROR(VLOOKUP(H12,'[1]Consolidado MP Planta'!$A$2:$M$823,13,0),"")</f>
        <v/>
      </c>
      <c r="E12" s="108" t="str">
        <f>IFERROR(VLOOKUP(H12,'[1]Consolidado MP Planta'!$A$2:$M$823,12,0),"")</f>
        <v/>
      </c>
      <c r="F12" s="108" t="str">
        <f t="shared" si="2"/>
        <v/>
      </c>
      <c r="G12" s="109" t="str">
        <f t="shared" si="0"/>
        <v/>
      </c>
      <c r="H12" s="110"/>
      <c r="I12" s="110"/>
      <c r="J12" s="111"/>
    </row>
    <row r="13" spans="1:10" ht="13.5" hidden="1" x14ac:dyDescent="0.25">
      <c r="A13" s="106"/>
      <c r="B13" s="94" t="str">
        <f>IFERROR(VLOOKUP(H13,'[1]Consolidado MP Planta'!$A$2:$M$823,3,0),"")</f>
        <v/>
      </c>
      <c r="C13" s="107">
        <f t="shared" si="1"/>
        <v>0</v>
      </c>
      <c r="D13" s="108" t="str">
        <f>IFERROR(VLOOKUP(H13,'[1]Consolidado MP Planta'!$A$2:$M$823,13,0),"")</f>
        <v/>
      </c>
      <c r="E13" s="108" t="str">
        <f>IFERROR(VLOOKUP(H13,'[1]Consolidado MP Planta'!$A$2:$M$823,12,0),"")</f>
        <v/>
      </c>
      <c r="F13" s="108" t="str">
        <f t="shared" si="2"/>
        <v/>
      </c>
      <c r="G13" s="109" t="str">
        <f t="shared" si="0"/>
        <v/>
      </c>
      <c r="H13" s="110"/>
      <c r="I13" s="110"/>
      <c r="J13" s="111"/>
    </row>
    <row r="14" spans="1:10" ht="13.5" hidden="1" x14ac:dyDescent="0.25">
      <c r="A14" s="106"/>
      <c r="B14" s="94" t="str">
        <f>IFERROR(VLOOKUP(H14,'[1]Consolidado MP Planta'!$A$2:$M$823,3,0),"")</f>
        <v/>
      </c>
      <c r="C14" s="107">
        <f t="shared" si="1"/>
        <v>0</v>
      </c>
      <c r="D14" s="108" t="str">
        <f>IFERROR(VLOOKUP(H14,'[1]Consolidado MP Planta'!$A$2:$M$823,13,0),"")</f>
        <v/>
      </c>
      <c r="E14" s="108" t="str">
        <f>IFERROR(VLOOKUP(H14,'[1]Consolidado MP Planta'!$A$2:$M$823,12,0),"")</f>
        <v/>
      </c>
      <c r="F14" s="108" t="str">
        <f t="shared" si="2"/>
        <v/>
      </c>
      <c r="G14" s="109" t="str">
        <f t="shared" si="0"/>
        <v/>
      </c>
      <c r="H14" s="110"/>
      <c r="I14" s="110"/>
      <c r="J14" s="111"/>
    </row>
    <row r="15" spans="1:10" ht="14.25" hidden="1" thickBot="1" x14ac:dyDescent="0.3">
      <c r="A15" s="106"/>
      <c r="B15" s="94" t="str">
        <f>IFERROR(VLOOKUP(H15,'[2]ARTICULOS MP PLANTA'!$A$2:$G$589,2,0),"")</f>
        <v/>
      </c>
      <c r="C15" s="107"/>
      <c r="D15" s="108"/>
      <c r="E15" s="108"/>
      <c r="F15" s="108"/>
      <c r="G15" s="109"/>
      <c r="H15" s="110"/>
      <c r="I15" s="110"/>
      <c r="J15" s="111"/>
    </row>
    <row r="16" spans="1:10" ht="26.25" thickBot="1" x14ac:dyDescent="0.3">
      <c r="A16" s="101" t="s">
        <v>138</v>
      </c>
      <c r="B16" s="102" t="s">
        <v>145</v>
      </c>
      <c r="C16" s="102" t="s">
        <v>138</v>
      </c>
      <c r="D16" s="103" t="s">
        <v>140</v>
      </c>
      <c r="E16" s="103" t="s">
        <v>141</v>
      </c>
      <c r="F16" s="103" t="s">
        <v>142</v>
      </c>
      <c r="G16" s="103" t="s">
        <v>143</v>
      </c>
      <c r="H16" s="104" t="s">
        <v>144</v>
      </c>
      <c r="I16" s="105"/>
      <c r="J16" s="111"/>
    </row>
    <row r="17" spans="1:12" ht="13.5" x14ac:dyDescent="0.25">
      <c r="A17" s="106">
        <v>0.5</v>
      </c>
      <c r="B17" s="94" t="s">
        <v>47</v>
      </c>
      <c r="C17" s="107">
        <f>+A17</f>
        <v>0.5</v>
      </c>
      <c r="D17" s="107" t="s">
        <v>190</v>
      </c>
      <c r="E17" s="108">
        <v>279</v>
      </c>
      <c r="F17" s="108">
        <f>IFERROR(E17*C17,"")</f>
        <v>139.5</v>
      </c>
      <c r="G17" s="109">
        <f t="shared" ref="G17:G24" si="3">IFERROR(F17/$F$66,"")</f>
        <v>8.2934831294423486E-2</v>
      </c>
      <c r="H17" s="110" t="s">
        <v>189</v>
      </c>
      <c r="I17" s="110"/>
      <c r="J17" s="111"/>
    </row>
    <row r="18" spans="1:12" ht="13.5" x14ac:dyDescent="0.25">
      <c r="A18" s="106">
        <v>150</v>
      </c>
      <c r="B18" s="94" t="s">
        <v>55</v>
      </c>
      <c r="C18" s="107">
        <f t="shared" ref="C18:C24" si="4">+A18</f>
        <v>150</v>
      </c>
      <c r="D18" s="107" t="s">
        <v>184</v>
      </c>
      <c r="E18" s="108">
        <f>+'Costo Mousse choco'!E69</f>
        <v>4.435975</v>
      </c>
      <c r="F18" s="108">
        <f t="shared" ref="F18:F24" si="5">IFERROR(E18*C18,"")</f>
        <v>665.39625000000001</v>
      </c>
      <c r="G18" s="109">
        <f t="shared" si="3"/>
        <v>0.39558799811965617</v>
      </c>
      <c r="H18" s="110"/>
      <c r="I18" s="110"/>
      <c r="J18" s="111"/>
    </row>
    <row r="19" spans="1:12" ht="13.5" x14ac:dyDescent="0.25">
      <c r="A19" s="106">
        <v>100</v>
      </c>
      <c r="B19" s="94" t="s">
        <v>128</v>
      </c>
      <c r="C19" s="107">
        <f>+A19</f>
        <v>100</v>
      </c>
      <c r="D19" s="107" t="s">
        <v>184</v>
      </c>
      <c r="E19" s="108">
        <f>+'Costo Empaque Relleno Arand'!E69</f>
        <v>6.6233641380000003</v>
      </c>
      <c r="F19" s="108">
        <f>IFERROR(E19*C19,"")</f>
        <v>662.33641380000006</v>
      </c>
      <c r="G19" s="109">
        <f t="shared" si="3"/>
        <v>0.39376887984699982</v>
      </c>
      <c r="H19" s="110"/>
      <c r="I19" s="110"/>
      <c r="J19" s="111"/>
    </row>
    <row r="20" spans="1:12" ht="13.5" hidden="1" x14ac:dyDescent="0.25">
      <c r="A20" s="106"/>
      <c r="B20" s="94" t="str">
        <f>IFERROR(VLOOKUP(H20,[1]SEMIELABORADOS!$A$2:$M$6000,2,0),"")</f>
        <v/>
      </c>
      <c r="C20" s="107">
        <f>+A20</f>
        <v>0</v>
      </c>
      <c r="D20" s="107" t="str">
        <f>IFERROR(VLOOKUP(H20,[1]SEMIELABORADOS!$A$2:$M$6000,6,0),"")</f>
        <v/>
      </c>
      <c r="E20" s="108" t="str">
        <f>IFERROR(VLOOKUP(H20,[1]SEMIELABORADOS!$A$2:$H$65536,8,0),"")</f>
        <v/>
      </c>
      <c r="F20" s="108" t="str">
        <f>IFERROR(E20*C20,"")</f>
        <v/>
      </c>
      <c r="G20" s="109" t="str">
        <f t="shared" si="3"/>
        <v/>
      </c>
      <c r="H20" s="110"/>
      <c r="I20" s="110"/>
      <c r="J20" s="111"/>
    </row>
    <row r="21" spans="1:12" ht="13.5" hidden="1" x14ac:dyDescent="0.25">
      <c r="A21" s="106"/>
      <c r="B21" s="94" t="str">
        <f>IFERROR(VLOOKUP(H21,[1]SEMIELABORADOS!$A$2:$M$6000,2,0),"")</f>
        <v/>
      </c>
      <c r="C21" s="107">
        <f>+A21</f>
        <v>0</v>
      </c>
      <c r="D21" s="107" t="str">
        <f>IFERROR(VLOOKUP(H21,[1]SEMIELABORADOS!$A$2:$M$6000,6,0),"")</f>
        <v/>
      </c>
      <c r="E21" s="108" t="str">
        <f>IFERROR(VLOOKUP(H21,[1]SEMIELABORADOS!$A$2:$H$65536,8,0),"")</f>
        <v/>
      </c>
      <c r="F21" s="108" t="str">
        <f>IFERROR(E21*C21,"")</f>
        <v/>
      </c>
      <c r="G21" s="109" t="str">
        <f t="shared" si="3"/>
        <v/>
      </c>
      <c r="H21" s="110"/>
      <c r="I21" s="110"/>
      <c r="J21" s="111"/>
    </row>
    <row r="22" spans="1:12" ht="13.5" hidden="1" x14ac:dyDescent="0.25">
      <c r="A22" s="106"/>
      <c r="B22" s="94" t="str">
        <f>IFERROR(VLOOKUP(H22,[1]SEMIELABORADOS!$A$2:$M$6000,2,0),"")</f>
        <v/>
      </c>
      <c r="C22" s="107">
        <f t="shared" si="4"/>
        <v>0</v>
      </c>
      <c r="D22" s="107" t="str">
        <f>IFERROR(VLOOKUP(H22,[1]SEMIELABORADOS!$A$2:$M$6000,6,0),"")</f>
        <v/>
      </c>
      <c r="E22" s="108" t="str">
        <f>IFERROR(VLOOKUP(H22,[1]SEMIELABORADOS!$A$2:$H$65536,8,0),"")</f>
        <v/>
      </c>
      <c r="F22" s="108" t="str">
        <f t="shared" si="5"/>
        <v/>
      </c>
      <c r="G22" s="109" t="str">
        <f t="shared" si="3"/>
        <v/>
      </c>
      <c r="H22" s="110"/>
      <c r="I22" s="110"/>
      <c r="J22" s="111"/>
    </row>
    <row r="23" spans="1:12" ht="13.5" hidden="1" x14ac:dyDescent="0.25">
      <c r="A23" s="106"/>
      <c r="B23" s="94" t="str">
        <f>IFERROR(VLOOKUP(H23,[1]SEMIELABORADOS!$A$2:$M$6000,2,0),"")</f>
        <v/>
      </c>
      <c r="C23" s="107">
        <f t="shared" si="4"/>
        <v>0</v>
      </c>
      <c r="D23" s="107" t="str">
        <f>IFERROR(VLOOKUP(H23,[1]SEMIELABORADOS!$A$2:$M$6000,6,0),"")</f>
        <v/>
      </c>
      <c r="E23" s="108" t="str">
        <f>IFERROR(VLOOKUP(H23,[1]SEMIELABORADOS!$A$2:$H$65536,8,0),"")</f>
        <v/>
      </c>
      <c r="F23" s="108" t="str">
        <f t="shared" si="5"/>
        <v/>
      </c>
      <c r="G23" s="109" t="str">
        <f t="shared" si="3"/>
        <v/>
      </c>
      <c r="H23" s="110"/>
      <c r="I23" s="110"/>
      <c r="J23" s="111"/>
    </row>
    <row r="24" spans="1:12" ht="13.5" hidden="1" x14ac:dyDescent="0.25">
      <c r="A24" s="106"/>
      <c r="B24" s="94" t="str">
        <f>IFERROR(VLOOKUP(H24,[1]SEMIELABORADOS!$A$2:$M$6000,2,0),"")</f>
        <v/>
      </c>
      <c r="C24" s="107">
        <f t="shared" si="4"/>
        <v>0</v>
      </c>
      <c r="D24" s="107" t="str">
        <f>IFERROR(VLOOKUP(H24,[1]SEMIELABORADOS!$A$2:$M$6000,6,0),"")</f>
        <v/>
      </c>
      <c r="E24" s="108" t="str">
        <f>IFERROR(VLOOKUP(H24,[1]SEMIELABORADOS!$A$2:$H$65536,8,0),"")</f>
        <v/>
      </c>
      <c r="F24" s="108" t="str">
        <f t="shared" si="5"/>
        <v/>
      </c>
      <c r="G24" s="109" t="str">
        <f t="shared" si="3"/>
        <v/>
      </c>
      <c r="H24" s="110"/>
      <c r="I24" s="110"/>
      <c r="J24" s="111"/>
    </row>
    <row r="25" spans="1:12" ht="14.25" thickBot="1" x14ac:dyDescent="0.3">
      <c r="A25" s="106"/>
      <c r="C25" s="107"/>
      <c r="D25" s="107"/>
      <c r="E25" s="108"/>
      <c r="F25" s="108"/>
      <c r="G25" s="109"/>
      <c r="H25" s="110"/>
      <c r="I25" s="110"/>
      <c r="J25" s="111"/>
    </row>
    <row r="26" spans="1:12" ht="26.25" hidden="1" thickBot="1" x14ac:dyDescent="0.3">
      <c r="A26" s="101" t="s">
        <v>138</v>
      </c>
      <c r="B26" s="102" t="s">
        <v>20</v>
      </c>
      <c r="C26" s="102" t="s">
        <v>138</v>
      </c>
      <c r="D26" s="103" t="s">
        <v>140</v>
      </c>
      <c r="E26" s="103" t="s">
        <v>141</v>
      </c>
      <c r="F26" s="103" t="s">
        <v>142</v>
      </c>
      <c r="G26" s="103" t="s">
        <v>143</v>
      </c>
      <c r="H26" s="104" t="s">
        <v>144</v>
      </c>
      <c r="I26" s="105"/>
    </row>
    <row r="27" spans="1:12" ht="13.5" hidden="1" x14ac:dyDescent="0.25">
      <c r="A27" s="106">
        <v>0</v>
      </c>
      <c r="B27" s="112" t="str">
        <f>IFERROR(VLOOKUP(H27,'[1]Consolidado MP Planta'!$A$2:$M$823,3,0),"")</f>
        <v/>
      </c>
      <c r="C27" s="107">
        <f t="shared" ref="C27:C32" si="6">+A27</f>
        <v>0</v>
      </c>
      <c r="D27" s="108" t="str">
        <f>IFERROR(VLOOKUP(H27,'[1]Consolidado MP Planta'!$A$2:$M$823,13,0),"")</f>
        <v/>
      </c>
      <c r="E27" s="108" t="str">
        <f>IFERROR(VLOOKUP(H27,'[1]Consolidado MP Planta'!$A$2:$M$823,12,0),"")</f>
        <v/>
      </c>
      <c r="F27" s="108" t="str">
        <f t="shared" ref="F27:F32" si="7">IFERROR(C27*E27,"")</f>
        <v/>
      </c>
      <c r="G27" s="109" t="str">
        <f t="shared" ref="G27:G32" si="8">IFERROR(F27/$F$66,"")</f>
        <v/>
      </c>
      <c r="H27" s="113"/>
      <c r="I27" s="113"/>
      <c r="J27" s="111"/>
      <c r="K27" s="356"/>
      <c r="L27" s="356"/>
    </row>
    <row r="28" spans="1:12" ht="13.5" hidden="1" x14ac:dyDescent="0.25">
      <c r="A28" s="106"/>
      <c r="B28" s="112" t="str">
        <f>IFERROR(VLOOKUP(H28,'[1]Consolidado MP Planta'!$A$2:$M$823,3,0),"")</f>
        <v/>
      </c>
      <c r="C28" s="107">
        <f t="shared" si="6"/>
        <v>0</v>
      </c>
      <c r="D28" s="108" t="str">
        <f>IFERROR(VLOOKUP(H28,'[1]Consolidado MP Planta'!$A$2:$M$823,13,0),"")</f>
        <v/>
      </c>
      <c r="E28" s="108" t="str">
        <f>IFERROR(VLOOKUP(H28,'[1]Consolidado MP Planta'!$A$2:$M$823,12,0),"")</f>
        <v/>
      </c>
      <c r="F28" s="108" t="str">
        <f t="shared" si="7"/>
        <v/>
      </c>
      <c r="G28" s="109" t="str">
        <f t="shared" si="8"/>
        <v/>
      </c>
      <c r="H28" s="113"/>
      <c r="I28" s="113"/>
      <c r="J28" s="111"/>
      <c r="K28" s="356"/>
      <c r="L28" s="356"/>
    </row>
    <row r="29" spans="1:12" ht="13.5" hidden="1" x14ac:dyDescent="0.25">
      <c r="A29" s="106"/>
      <c r="B29" s="112" t="str">
        <f>IFERROR(VLOOKUP(H29,'[1]Consolidado MP Planta'!$A$2:$M$823,3,0),"")</f>
        <v/>
      </c>
      <c r="C29" s="107">
        <f t="shared" si="6"/>
        <v>0</v>
      </c>
      <c r="D29" s="108" t="str">
        <f>IFERROR(VLOOKUP(H29,'[1]Consolidado MP Planta'!$A$2:$M$823,13,0),"")</f>
        <v/>
      </c>
      <c r="E29" s="108" t="str">
        <f>IFERROR(VLOOKUP(H29,'[1]Consolidado MP Planta'!$A$2:$M$823,12,0),"")</f>
        <v/>
      </c>
      <c r="F29" s="108" t="str">
        <f t="shared" si="7"/>
        <v/>
      </c>
      <c r="G29" s="109" t="str">
        <f t="shared" si="8"/>
        <v/>
      </c>
      <c r="H29" s="113"/>
      <c r="I29" s="113"/>
      <c r="J29" s="111"/>
      <c r="K29" s="356"/>
      <c r="L29" s="356"/>
    </row>
    <row r="30" spans="1:12" ht="13.5" hidden="1" x14ac:dyDescent="0.25">
      <c r="A30" s="106"/>
      <c r="B30" s="112" t="str">
        <f>IFERROR(VLOOKUP(H30,'[1]Consolidado MP Planta'!$A$2:$M$823,3,0),"")</f>
        <v/>
      </c>
      <c r="C30" s="107">
        <f t="shared" si="6"/>
        <v>0</v>
      </c>
      <c r="D30" s="108" t="str">
        <f>IFERROR(VLOOKUP(H30,'[1]Consolidado MP Planta'!$A$2:$M$823,13,0),"")</f>
        <v/>
      </c>
      <c r="E30" s="108" t="str">
        <f>IFERROR(VLOOKUP(H30,'[1]Consolidado MP Planta'!$A$2:$M$823,12,0),"")</f>
        <v/>
      </c>
      <c r="F30" s="108" t="str">
        <f t="shared" si="7"/>
        <v/>
      </c>
      <c r="G30" s="109" t="str">
        <f t="shared" si="8"/>
        <v/>
      </c>
      <c r="H30" s="113"/>
      <c r="I30" s="113"/>
      <c r="J30" s="111"/>
      <c r="K30" s="356"/>
      <c r="L30" s="356"/>
    </row>
    <row r="31" spans="1:12" ht="13.5" hidden="1" x14ac:dyDescent="0.25">
      <c r="A31" s="106"/>
      <c r="B31" s="112" t="str">
        <f>IFERROR(VLOOKUP(H31,'[1]Consolidado MP Planta'!$A$2:$M$823,3,0),"")</f>
        <v/>
      </c>
      <c r="C31" s="107">
        <f t="shared" si="6"/>
        <v>0</v>
      </c>
      <c r="D31" s="108" t="str">
        <f>IFERROR(VLOOKUP(H31,'[1]Consolidado MP Planta'!$A$2:$M$823,13,0),"")</f>
        <v/>
      </c>
      <c r="E31" s="108" t="str">
        <f>IFERROR(VLOOKUP(H31,'[1]Consolidado MP Planta'!$A$2:$M$823,12,0),"")</f>
        <v/>
      </c>
      <c r="F31" s="108" t="str">
        <f t="shared" si="7"/>
        <v/>
      </c>
      <c r="G31" s="109" t="str">
        <f t="shared" si="8"/>
        <v/>
      </c>
      <c r="H31" s="113"/>
      <c r="I31" s="113"/>
      <c r="J31" s="111"/>
      <c r="K31" s="114"/>
      <c r="L31" s="115"/>
    </row>
    <row r="32" spans="1:12" ht="13.5" hidden="1" x14ac:dyDescent="0.25">
      <c r="A32" s="106"/>
      <c r="B32" s="112" t="str">
        <f>IFERROR(VLOOKUP(H32,'[1]Consolidado MP Planta'!$A$2:$M$823,3,0),"")</f>
        <v/>
      </c>
      <c r="C32" s="107">
        <f t="shared" si="6"/>
        <v>0</v>
      </c>
      <c r="D32" s="108" t="str">
        <f>IFERROR(VLOOKUP(H32,'[1]Consolidado MP Planta'!$A$2:$M$823,13,0),"")</f>
        <v/>
      </c>
      <c r="E32" s="108" t="str">
        <f>IFERROR(VLOOKUP(H32,'[1]Consolidado MP Planta'!$A$2:$M$823,12,0),"")</f>
        <v/>
      </c>
      <c r="F32" s="108" t="str">
        <f t="shared" si="7"/>
        <v/>
      </c>
      <c r="G32" s="109" t="str">
        <f t="shared" si="8"/>
        <v/>
      </c>
      <c r="H32" s="113"/>
      <c r="I32" s="113"/>
      <c r="J32" s="111"/>
    </row>
    <row r="33" spans="1:13" ht="14.25" hidden="1" thickBot="1" x14ac:dyDescent="0.3">
      <c r="A33" s="106"/>
      <c r="B33" s="112"/>
      <c r="C33" s="107"/>
      <c r="D33" s="108"/>
      <c r="E33" s="108"/>
      <c r="F33" s="108"/>
      <c r="G33" s="109"/>
      <c r="H33" s="113"/>
      <c r="I33" s="113"/>
      <c r="J33" s="111"/>
    </row>
    <row r="34" spans="1:13" ht="26.25" thickBot="1" x14ac:dyDescent="0.25">
      <c r="A34" s="101" t="s">
        <v>138</v>
      </c>
      <c r="B34" s="102" t="s">
        <v>146</v>
      </c>
      <c r="C34" s="102" t="s">
        <v>138</v>
      </c>
      <c r="D34" s="103" t="s">
        <v>140</v>
      </c>
      <c r="E34" s="103" t="s">
        <v>141</v>
      </c>
      <c r="F34" s="103" t="s">
        <v>142</v>
      </c>
      <c r="G34" s="103" t="s">
        <v>143</v>
      </c>
      <c r="H34" s="104" t="s">
        <v>144</v>
      </c>
      <c r="I34" s="113"/>
      <c r="J34" s="111"/>
    </row>
    <row r="35" spans="1:13" ht="13.5" x14ac:dyDescent="0.25">
      <c r="A35" s="106">
        <f>+A17</f>
        <v>0.5</v>
      </c>
      <c r="B35" s="112" t="s">
        <v>47</v>
      </c>
      <c r="C35" s="107">
        <f>+A35</f>
        <v>0.5</v>
      </c>
      <c r="D35" s="108" t="str">
        <f>IFERROR(VLOOKUP(H35,[1]SEMIELABORADOS!$A$2:$M$6000,6,0),"")</f>
        <v/>
      </c>
      <c r="E35" s="108">
        <v>1.03</v>
      </c>
      <c r="F35" s="108">
        <f>IFERROR(E35*C35,"")</f>
        <v>0.51500000000000001</v>
      </c>
      <c r="G35" s="109">
        <f t="shared" ref="G35:G41" si="9">IFERROR(F35/$F$66,"")</f>
        <v>3.0617518363174263E-4</v>
      </c>
      <c r="H35" s="113" t="s">
        <v>189</v>
      </c>
      <c r="I35" s="113"/>
      <c r="J35" s="111"/>
    </row>
    <row r="36" spans="1:13" ht="13.5" x14ac:dyDescent="0.25">
      <c r="A36" s="106">
        <f t="shared" ref="A36:A41" si="10">+A18</f>
        <v>150</v>
      </c>
      <c r="B36" s="112" t="s">
        <v>55</v>
      </c>
      <c r="C36" s="107">
        <f t="shared" ref="C36:C41" si="11">+A36</f>
        <v>150</v>
      </c>
      <c r="D36" s="108" t="str">
        <f>IFERROR(VLOOKUP(H36,[1]SEMIELABORADOS!$A$2:$M$6000,6,0),"")</f>
        <v/>
      </c>
      <c r="E36" s="108">
        <f>+'Costo Mousse pastelera'!E76</f>
        <v>0</v>
      </c>
      <c r="F36" s="108">
        <f t="shared" ref="F36:F41" si="12">IFERROR(E36*C36,"")</f>
        <v>0</v>
      </c>
      <c r="G36" s="109">
        <f t="shared" si="9"/>
        <v>0</v>
      </c>
      <c r="H36" s="113"/>
      <c r="I36" s="113"/>
      <c r="J36" s="111"/>
    </row>
    <row r="37" spans="1:13" ht="13.5" x14ac:dyDescent="0.25">
      <c r="A37" s="106">
        <f t="shared" si="10"/>
        <v>100</v>
      </c>
      <c r="B37" s="112" t="s">
        <v>128</v>
      </c>
      <c r="C37" s="107">
        <f t="shared" si="11"/>
        <v>100</v>
      </c>
      <c r="D37" s="108" t="str">
        <f>IFERROR(VLOOKUP(H37,[1]SEMIELABORADOS!$A$2:$M$6000,6,0),"")</f>
        <v/>
      </c>
      <c r="E37" s="108">
        <f>+'Costo Empaque Relleno Arand'!E76</f>
        <v>1.951256447009524E-2</v>
      </c>
      <c r="F37" s="108">
        <f t="shared" si="12"/>
        <v>1.9512564470095239</v>
      </c>
      <c r="G37" s="109">
        <f t="shared" si="9"/>
        <v>1.1600510698558499E-3</v>
      </c>
      <c r="H37" s="113"/>
      <c r="I37" s="113"/>
      <c r="J37" s="111"/>
    </row>
    <row r="38" spans="1:13" ht="13.5" hidden="1" x14ac:dyDescent="0.25">
      <c r="A38" s="106">
        <f t="shared" si="10"/>
        <v>0</v>
      </c>
      <c r="B38" s="112" t="str">
        <f>IFERROR(VLOOKUP(H38,[1]SEMIELABORADOS!$A$2:$M$6000,2,0),"")</f>
        <v/>
      </c>
      <c r="C38" s="107">
        <f>+A38</f>
        <v>0</v>
      </c>
      <c r="D38" s="108" t="str">
        <f>IFERROR(VLOOKUP(H38,[1]SEMIELABORADOS!$A$2:$M$6000,6,0),"")</f>
        <v/>
      </c>
      <c r="E38" s="108" t="str">
        <f>IFERROR(VLOOKUP(H38,[1]SEMIELABORADOS!$A$2:$M$65536,10,0),"")</f>
        <v/>
      </c>
      <c r="F38" s="108" t="str">
        <f>IFERROR(E38*C38,"")</f>
        <v/>
      </c>
      <c r="G38" s="109" t="str">
        <f t="shared" si="9"/>
        <v/>
      </c>
      <c r="H38" s="113"/>
      <c r="I38" s="113"/>
      <c r="J38" s="111"/>
    </row>
    <row r="39" spans="1:13" ht="13.5" hidden="1" x14ac:dyDescent="0.25">
      <c r="A39" s="106">
        <f t="shared" si="10"/>
        <v>0</v>
      </c>
      <c r="B39" s="112" t="str">
        <f>IFERROR(VLOOKUP(H39,[1]SEMIELABORADOS!$A$2:$M$6000,2,0),"")</f>
        <v/>
      </c>
      <c r="C39" s="107">
        <f>+A39</f>
        <v>0</v>
      </c>
      <c r="D39" s="108" t="str">
        <f>IFERROR(VLOOKUP(H39,[1]SEMIELABORADOS!$A$2:$M$6000,6,0),"")</f>
        <v/>
      </c>
      <c r="E39" s="108" t="str">
        <f>IFERROR(VLOOKUP(H39,[1]SEMIELABORADOS!$A$2:$M$65536,10,0),"")</f>
        <v/>
      </c>
      <c r="F39" s="108" t="str">
        <f>IFERROR(E39*C39,"")</f>
        <v/>
      </c>
      <c r="G39" s="109" t="str">
        <f t="shared" si="9"/>
        <v/>
      </c>
      <c r="H39" s="113"/>
      <c r="I39" s="113"/>
      <c r="J39" s="111"/>
    </row>
    <row r="40" spans="1:13" ht="13.5" hidden="1" x14ac:dyDescent="0.25">
      <c r="A40" s="106">
        <f t="shared" si="10"/>
        <v>0</v>
      </c>
      <c r="B40" s="112" t="str">
        <f>IFERROR(VLOOKUP(H40,[1]SEMIELABORADOS!$A$2:$M$6000,2,0),"")</f>
        <v/>
      </c>
      <c r="C40" s="107">
        <f t="shared" si="11"/>
        <v>0</v>
      </c>
      <c r="D40" s="108" t="str">
        <f>IFERROR(VLOOKUP(H40,[1]SEMIELABORADOS!$A$2:$M$6000,6,0),"")</f>
        <v/>
      </c>
      <c r="E40" s="108" t="str">
        <f>IFERROR(VLOOKUP(H40,[1]SEMIELABORADOS!$A$2:$M$65536,10,0),"")</f>
        <v/>
      </c>
      <c r="F40" s="108" t="str">
        <f t="shared" si="12"/>
        <v/>
      </c>
      <c r="G40" s="109" t="str">
        <f t="shared" si="9"/>
        <v/>
      </c>
      <c r="H40" s="113"/>
      <c r="I40" s="113"/>
      <c r="J40" s="111"/>
    </row>
    <row r="41" spans="1:13" ht="13.5" hidden="1" x14ac:dyDescent="0.25">
      <c r="A41" s="106">
        <f t="shared" si="10"/>
        <v>0</v>
      </c>
      <c r="B41" s="94" t="str">
        <f>IFERROR(VLOOKUP(H41,'[1]Consolidado MP Planta'!$A$2:$M$823,3,0),"")</f>
        <v/>
      </c>
      <c r="C41" s="107">
        <f t="shared" si="11"/>
        <v>0</v>
      </c>
      <c r="D41" s="108" t="str">
        <f>IFERROR(VLOOKUP(H41,[1]SEMIELABORADOS!$A$2:$M$6000,6,0),"")</f>
        <v/>
      </c>
      <c r="E41" s="108" t="str">
        <f>IFERROR(VLOOKUP(H41,[1]SEMIELABORADOS!$A$2:$M$65536,10,0),"")</f>
        <v/>
      </c>
      <c r="F41" s="108" t="str">
        <f t="shared" si="12"/>
        <v/>
      </c>
      <c r="G41" s="109" t="str">
        <f t="shared" si="9"/>
        <v/>
      </c>
      <c r="H41" s="113"/>
      <c r="I41" s="113"/>
      <c r="J41" s="111"/>
    </row>
    <row r="42" spans="1:13" ht="14.25" thickBot="1" x14ac:dyDescent="0.3">
      <c r="A42" s="106"/>
      <c r="B42" s="112"/>
      <c r="C42" s="107"/>
      <c r="D42" s="108"/>
      <c r="E42" s="108"/>
      <c r="F42" s="108"/>
      <c r="G42" s="109"/>
      <c r="H42" s="113"/>
      <c r="I42" s="113"/>
      <c r="J42" s="111"/>
    </row>
    <row r="43" spans="1:13" ht="26.25" thickBot="1" x14ac:dyDescent="0.3">
      <c r="A43" s="101" t="s">
        <v>138</v>
      </c>
      <c r="B43" s="102" t="s">
        <v>147</v>
      </c>
      <c r="C43" s="102" t="s">
        <v>138</v>
      </c>
      <c r="D43" s="103" t="s">
        <v>140</v>
      </c>
      <c r="E43" s="103" t="s">
        <v>141</v>
      </c>
      <c r="F43" s="103" t="s">
        <v>142</v>
      </c>
      <c r="G43" s="103" t="s">
        <v>143</v>
      </c>
      <c r="H43" s="104" t="s">
        <v>144</v>
      </c>
      <c r="I43" s="105"/>
      <c r="J43" s="111"/>
    </row>
    <row r="44" spans="1:13" ht="13.5" x14ac:dyDescent="0.25">
      <c r="A44" s="106">
        <f>+A35</f>
        <v>0.5</v>
      </c>
      <c r="B44" s="112" t="s">
        <v>47</v>
      </c>
      <c r="C44" s="107">
        <f>+A44</f>
        <v>0.5</v>
      </c>
      <c r="D44" s="108" t="str">
        <f>IFERROR(VLOOKUP(H44,[1]SEMIELABORADOS!$A$2:$M$6000,6,0),"")</f>
        <v/>
      </c>
      <c r="E44" s="108">
        <v>68.03</v>
      </c>
      <c r="F44" s="108">
        <f>IFERROR(E44*C44,"")</f>
        <v>34.015000000000001</v>
      </c>
      <c r="G44" s="109">
        <f>IFERROR(F44/$F$66,"")</f>
        <v>2.0222424992686845E-2</v>
      </c>
      <c r="H44" s="113" t="s">
        <v>189</v>
      </c>
      <c r="I44" s="105"/>
      <c r="J44" s="111"/>
    </row>
    <row r="45" spans="1:13" ht="13.5" x14ac:dyDescent="0.25">
      <c r="A45" s="106">
        <f t="shared" ref="A45:A50" si="13">+A36</f>
        <v>150</v>
      </c>
      <c r="B45" s="112" t="s">
        <v>55</v>
      </c>
      <c r="C45" s="107">
        <f t="shared" ref="C45:C50" si="14">+A45</f>
        <v>150</v>
      </c>
      <c r="D45" s="108" t="str">
        <f>IFERROR(VLOOKUP(H45,[1]SEMIELABORADOS!$A$2:$M$6000,6,0),"")</f>
        <v/>
      </c>
      <c r="E45" s="108">
        <f>+'Costo Mousse pastelera'!E74</f>
        <v>0.14030000000000001</v>
      </c>
      <c r="F45" s="108">
        <f t="shared" ref="F45:F50" si="15">IFERROR(E45*C45,"")</f>
        <v>21.045000000000002</v>
      </c>
      <c r="G45" s="109">
        <f t="shared" ref="G45:G50" si="16">IFERROR(F45/$F$66,"")</f>
        <v>1.2511566484524318E-2</v>
      </c>
      <c r="H45" s="113"/>
      <c r="I45" s="105"/>
      <c r="J45" s="111"/>
      <c r="M45" s="116"/>
    </row>
    <row r="46" spans="1:13" ht="13.5" x14ac:dyDescent="0.25">
      <c r="A46" s="106">
        <f t="shared" si="13"/>
        <v>100</v>
      </c>
      <c r="B46" s="112" t="s">
        <v>128</v>
      </c>
      <c r="C46" s="107">
        <f t="shared" si="14"/>
        <v>100</v>
      </c>
      <c r="D46" s="108" t="str">
        <f>IFERROR(VLOOKUP(H46,[1]SEMIELABORADOS!$A$2:$M$6000,6,0),"")</f>
        <v/>
      </c>
      <c r="E46" s="108">
        <f>+'Costo Empaque Relleno Arand'!E74</f>
        <v>9.6982680259474291E-2</v>
      </c>
      <c r="F46" s="108">
        <f t="shared" si="15"/>
        <v>9.6982680259474296</v>
      </c>
      <c r="G46" s="109">
        <f t="shared" si="16"/>
        <v>5.7657650364161409E-3</v>
      </c>
      <c r="H46" s="113"/>
      <c r="I46" s="105"/>
      <c r="J46" s="111"/>
    </row>
    <row r="47" spans="1:13" ht="13.5" hidden="1" x14ac:dyDescent="0.25">
      <c r="A47" s="106">
        <f t="shared" si="13"/>
        <v>0</v>
      </c>
      <c r="B47" s="112" t="str">
        <f>IFERROR(VLOOKUP(H47,[1]SEMIELABORADOS!$A$2:$M$6000,2,0),"")</f>
        <v/>
      </c>
      <c r="C47" s="107">
        <f t="shared" si="14"/>
        <v>0</v>
      </c>
      <c r="D47" s="108" t="str">
        <f>IFERROR(VLOOKUP(H47,[1]SEMIELABORADOS!$A$2:$M$6000,6,0),"")</f>
        <v/>
      </c>
      <c r="E47" s="108" t="str">
        <f>IFERROR(VLOOKUP(H47,[1]SEMIELABORADOS!$A$2:$M$65536,12,0),"")</f>
        <v/>
      </c>
      <c r="F47" s="108" t="str">
        <f t="shared" si="15"/>
        <v/>
      </c>
      <c r="G47" s="109" t="str">
        <f t="shared" si="16"/>
        <v/>
      </c>
      <c r="H47" s="113"/>
      <c r="I47" s="105"/>
      <c r="J47" s="111"/>
    </row>
    <row r="48" spans="1:13" ht="13.5" hidden="1" x14ac:dyDescent="0.25">
      <c r="A48" s="106">
        <f t="shared" si="13"/>
        <v>0</v>
      </c>
      <c r="B48" s="112" t="str">
        <f>IFERROR(VLOOKUP(H48,[1]SEMIELABORADOS!$A$2:$M$6000,2,0),"")</f>
        <v/>
      </c>
      <c r="C48" s="107">
        <f t="shared" si="14"/>
        <v>0</v>
      </c>
      <c r="D48" s="108" t="str">
        <f>IFERROR(VLOOKUP(H48,[1]SEMIELABORADOS!$A$2:$M$6000,6,0),"")</f>
        <v/>
      </c>
      <c r="E48" s="108" t="str">
        <f>IFERROR(VLOOKUP(H48,[1]SEMIELABORADOS!$A$2:$M$65536,12,0),"")</f>
        <v/>
      </c>
      <c r="F48" s="108" t="str">
        <f t="shared" si="15"/>
        <v/>
      </c>
      <c r="G48" s="109" t="str">
        <f t="shared" si="16"/>
        <v/>
      </c>
      <c r="H48" s="113"/>
      <c r="I48" s="105"/>
      <c r="J48" s="111"/>
    </row>
    <row r="49" spans="1:17" ht="13.5" hidden="1" x14ac:dyDescent="0.25">
      <c r="A49" s="106">
        <f t="shared" si="13"/>
        <v>0</v>
      </c>
      <c r="B49" s="112" t="str">
        <f>IFERROR(VLOOKUP(H49,[1]SEMIELABORADOS!$A$2:$M$6000,2,0),"")</f>
        <v/>
      </c>
      <c r="C49" s="107">
        <f t="shared" si="14"/>
        <v>0</v>
      </c>
      <c r="D49" s="108" t="str">
        <f>IFERROR(VLOOKUP(H49,[1]SEMIELABORADOS!$A$2:$M$6000,6,0),"")</f>
        <v/>
      </c>
      <c r="E49" s="108" t="str">
        <f>IFERROR(VLOOKUP(H49,[1]SEMIELABORADOS!$A$2:$M$65536,12,0),"")</f>
        <v/>
      </c>
      <c r="F49" s="108" t="str">
        <f t="shared" si="15"/>
        <v/>
      </c>
      <c r="G49" s="109" t="str">
        <f t="shared" si="16"/>
        <v/>
      </c>
      <c r="H49" s="113"/>
      <c r="I49" s="105"/>
      <c r="J49" s="111"/>
    </row>
    <row r="50" spans="1:17" ht="13.5" hidden="1" x14ac:dyDescent="0.25">
      <c r="A50" s="106">
        <f t="shared" si="13"/>
        <v>0</v>
      </c>
      <c r="B50" s="112" t="str">
        <f>IFERROR(VLOOKUP(H50,[1]SEMIELABORADOS!$A$2:$M$6000,2,0),"")</f>
        <v/>
      </c>
      <c r="C50" s="107">
        <f t="shared" si="14"/>
        <v>0</v>
      </c>
      <c r="D50" s="108" t="str">
        <f>IFERROR(VLOOKUP(H50,[1]SEMIELABORADOS!$A$2:$M$6000,6,0),"")</f>
        <v/>
      </c>
      <c r="E50" s="108" t="str">
        <f>IFERROR(VLOOKUP(H50,[1]SEMIELABORADOS!$A$2:$M$65536,12,0),"")</f>
        <v/>
      </c>
      <c r="F50" s="108" t="str">
        <f t="shared" si="15"/>
        <v/>
      </c>
      <c r="G50" s="109" t="str">
        <f t="shared" si="16"/>
        <v/>
      </c>
      <c r="H50" s="112"/>
      <c r="I50" s="105"/>
      <c r="J50" s="111"/>
    </row>
    <row r="51" spans="1:17" ht="13.5" x14ac:dyDescent="0.25">
      <c r="A51" s="106">
        <v>1</v>
      </c>
      <c r="B51" s="112" t="s">
        <v>148</v>
      </c>
      <c r="C51" s="107">
        <f>+A51</f>
        <v>1</v>
      </c>
      <c r="D51" s="107" t="s">
        <v>149</v>
      </c>
      <c r="E51" s="108">
        <f>+F65</f>
        <v>183</v>
      </c>
      <c r="F51" s="108">
        <f>IFERROR(C51*E51,"")</f>
        <v>183</v>
      </c>
      <c r="G51" s="109">
        <f>IFERROR(F51/$F$66,"")</f>
        <v>0.10879623030021146</v>
      </c>
      <c r="H51" s="117"/>
      <c r="I51" s="117"/>
      <c r="J51" s="111"/>
    </row>
    <row r="52" spans="1:17" ht="14.25" thickBot="1" x14ac:dyDescent="0.3">
      <c r="A52" s="106"/>
      <c r="B52" s="112"/>
      <c r="C52" s="107"/>
      <c r="D52" s="107"/>
      <c r="E52" s="108"/>
      <c r="F52" s="108"/>
      <c r="G52" s="109"/>
      <c r="H52" s="117"/>
      <c r="I52" s="117"/>
      <c r="J52" s="111"/>
    </row>
    <row r="53" spans="1:17" ht="13.5" thickBot="1" x14ac:dyDescent="0.3">
      <c r="A53" s="118"/>
      <c r="B53" s="366" t="s">
        <v>150</v>
      </c>
      <c r="C53" s="366"/>
      <c r="D53" s="366"/>
      <c r="E53" s="366"/>
      <c r="F53" s="120">
        <f>SUM(F8:F14,F17:F24)</f>
        <v>1467.2326638</v>
      </c>
      <c r="G53" s="109">
        <f>+F53/$F$66</f>
        <v>0.87229170926107935</v>
      </c>
      <c r="H53" s="121">
        <f>+F53/$D$60</f>
        <v>1467.2326638</v>
      </c>
      <c r="I53" s="121"/>
      <c r="J53" s="122"/>
      <c r="K53" s="123"/>
      <c r="L53" s="123"/>
      <c r="M53" s="123"/>
      <c r="N53" s="123"/>
      <c r="O53" s="123"/>
      <c r="P53" s="123"/>
      <c r="Q53" s="124"/>
    </row>
    <row r="54" spans="1:17" x14ac:dyDescent="0.2">
      <c r="A54" s="118"/>
      <c r="B54" s="366" t="s">
        <v>151</v>
      </c>
      <c r="C54" s="366"/>
      <c r="D54" s="366"/>
      <c r="E54" s="366"/>
      <c r="F54" s="120">
        <f>SUM(F27:F32,F35:F41)</f>
        <v>2.4662564470095241</v>
      </c>
      <c r="G54" s="109">
        <f>+F54/$F$66</f>
        <v>1.4662262534875926E-3</v>
      </c>
      <c r="H54" s="121">
        <f>+F54/$D$60</f>
        <v>2.4662564470095241</v>
      </c>
      <c r="I54" s="121"/>
      <c r="J54" s="125"/>
      <c r="K54" s="367" t="s">
        <v>152</v>
      </c>
      <c r="L54" s="368"/>
      <c r="M54" s="368"/>
      <c r="N54" s="368"/>
      <c r="O54" s="126">
        <f>+F55</f>
        <v>1469.6989202470095</v>
      </c>
      <c r="P54" s="126"/>
      <c r="Q54" s="127"/>
    </row>
    <row r="55" spans="1:17" x14ac:dyDescent="0.2">
      <c r="A55" s="118"/>
      <c r="B55" s="366" t="s">
        <v>153</v>
      </c>
      <c r="C55" s="366"/>
      <c r="D55" s="366"/>
      <c r="E55" s="366"/>
      <c r="F55" s="120">
        <f>+F53+F54</f>
        <v>1469.6989202470095</v>
      </c>
      <c r="G55" s="109">
        <f>+F55/$F$66</f>
        <v>0.87375793551456704</v>
      </c>
      <c r="H55" s="121">
        <f>+F55/$D$60</f>
        <v>1469.6989202470095</v>
      </c>
      <c r="I55" s="121"/>
      <c r="J55" s="128"/>
      <c r="K55" s="129"/>
      <c r="M55" s="130" t="s">
        <v>154</v>
      </c>
      <c r="N55" s="131"/>
      <c r="O55" s="126">
        <f>+H56</f>
        <v>247.75826802594742</v>
      </c>
      <c r="P55" s="126"/>
      <c r="Q55" s="127"/>
    </row>
    <row r="56" spans="1:17" ht="13.5" thickBot="1" x14ac:dyDescent="0.25">
      <c r="A56" s="118"/>
      <c r="B56" s="119"/>
      <c r="C56" s="366" t="s">
        <v>155</v>
      </c>
      <c r="D56" s="366"/>
      <c r="E56" s="366"/>
      <c r="F56" s="120">
        <f>SUM(F44:F51)</f>
        <v>247.75826802594742</v>
      </c>
      <c r="G56" s="109">
        <f>+F56/$F$66</f>
        <v>0.14729598681383876</v>
      </c>
      <c r="H56" s="121">
        <f>+F56/$D$60</f>
        <v>247.75826802594742</v>
      </c>
      <c r="I56" s="121"/>
      <c r="J56" s="128"/>
      <c r="K56" s="129"/>
      <c r="L56" s="129"/>
      <c r="M56" s="129" t="s">
        <v>156</v>
      </c>
      <c r="N56" s="132"/>
      <c r="O56" s="126">
        <f>O54*N56</f>
        <v>0</v>
      </c>
      <c r="P56" s="126"/>
      <c r="Q56" s="127"/>
    </row>
    <row r="57" spans="1:17" ht="13.5" thickBot="1" x14ac:dyDescent="0.25">
      <c r="A57" s="118"/>
      <c r="B57" s="133"/>
      <c r="C57" s="133"/>
      <c r="D57" s="133"/>
      <c r="E57" s="133"/>
      <c r="F57" s="134"/>
      <c r="G57" s="109"/>
      <c r="H57" s="135"/>
      <c r="I57" s="121"/>
      <c r="J57" s="128"/>
      <c r="K57" s="136"/>
      <c r="M57" s="137" t="s">
        <v>157</v>
      </c>
      <c r="N57" s="138"/>
      <c r="O57" s="139">
        <f>SUM(O54:O56)</f>
        <v>1717.457188272957</v>
      </c>
      <c r="P57" s="140"/>
      <c r="Q57" s="127"/>
    </row>
    <row r="58" spans="1:17" x14ac:dyDescent="0.2">
      <c r="B58" s="369" t="s">
        <v>158</v>
      </c>
      <c r="C58" s="369"/>
      <c r="D58" s="141">
        <v>340</v>
      </c>
      <c r="E58" s="142"/>
      <c r="G58" s="109"/>
      <c r="H58" s="135">
        <f>+H56/61</f>
        <v>4.06161095124504</v>
      </c>
      <c r="I58" s="143"/>
      <c r="J58" s="128"/>
      <c r="K58" s="136"/>
      <c r="L58" s="129"/>
      <c r="M58" s="129" t="s">
        <v>159</v>
      </c>
      <c r="N58" s="144"/>
      <c r="O58" s="126">
        <f>+H59</f>
        <v>235.57343517221233</v>
      </c>
      <c r="P58" s="126"/>
      <c r="Q58" s="127"/>
    </row>
    <row r="59" spans="1:17" x14ac:dyDescent="0.2">
      <c r="B59" s="369" t="s">
        <v>160</v>
      </c>
      <c r="C59" s="369"/>
      <c r="D59" s="145">
        <v>340</v>
      </c>
      <c r="E59" s="142"/>
      <c r="G59" s="109"/>
      <c r="H59" s="135">
        <f>+H58*58</f>
        <v>235.57343517221233</v>
      </c>
      <c r="I59" s="143"/>
      <c r="J59" s="128"/>
      <c r="K59" s="136"/>
      <c r="L59" s="129"/>
      <c r="M59" s="370" t="s">
        <v>157</v>
      </c>
      <c r="N59" s="370"/>
      <c r="O59" s="126">
        <f>SUM(O57:O58)</f>
        <v>1953.0306234451693</v>
      </c>
      <c r="P59" s="126"/>
      <c r="Q59" s="127"/>
    </row>
    <row r="60" spans="1:17" ht="13.5" thickBot="1" x14ac:dyDescent="0.25">
      <c r="B60" s="362" t="s">
        <v>161</v>
      </c>
      <c r="C60" s="362"/>
      <c r="D60" s="141">
        <f>+D58/D59</f>
        <v>1</v>
      </c>
      <c r="E60" s="142"/>
      <c r="F60" s="146"/>
      <c r="G60" s="109"/>
      <c r="H60" s="135"/>
      <c r="I60" s="143"/>
      <c r="J60" s="128"/>
      <c r="K60" s="136"/>
      <c r="L60" s="370"/>
      <c r="M60" s="370"/>
      <c r="N60" s="144"/>
      <c r="O60" s="126">
        <f>+O59*N60</f>
        <v>0</v>
      </c>
      <c r="P60" s="126"/>
      <c r="Q60" s="127"/>
    </row>
    <row r="61" spans="1:17" ht="13.5" thickBot="1" x14ac:dyDescent="0.25">
      <c r="B61" s="362" t="s">
        <v>162</v>
      </c>
      <c r="C61" s="362"/>
      <c r="D61" s="147"/>
      <c r="E61" s="142"/>
      <c r="F61" s="146"/>
      <c r="G61" s="109"/>
      <c r="H61" s="135"/>
      <c r="I61" s="143"/>
      <c r="J61" s="128"/>
      <c r="K61" s="363" t="s">
        <v>163</v>
      </c>
      <c r="L61" s="364"/>
      <c r="M61" s="364"/>
      <c r="N61" s="365"/>
      <c r="O61" s="139">
        <f>SUM(O59:O60)</f>
        <v>1953.0306234451693</v>
      </c>
      <c r="P61" s="148" t="s">
        <v>164</v>
      </c>
      <c r="Q61" s="127"/>
    </row>
    <row r="62" spans="1:17" ht="13.5" thickBot="1" x14ac:dyDescent="0.25">
      <c r="C62" s="118" t="s">
        <v>43</v>
      </c>
      <c r="D62" s="149"/>
      <c r="E62" s="92" t="s">
        <v>165</v>
      </c>
      <c r="F62" s="150" t="s">
        <v>166</v>
      </c>
      <c r="G62" s="109"/>
      <c r="H62" s="135"/>
      <c r="I62" s="143"/>
      <c r="J62" s="151"/>
      <c r="K62" s="152"/>
      <c r="L62" s="376" t="s">
        <v>79</v>
      </c>
      <c r="M62" s="376"/>
      <c r="N62" s="376"/>
      <c r="O62" s="153">
        <f>+O61/D60</f>
        <v>1953.0306234451693</v>
      </c>
      <c r="P62" s="154">
        <f>+O62/D59</f>
        <v>5.7442077160152039</v>
      </c>
      <c r="Q62" s="155"/>
    </row>
    <row r="63" spans="1:17" ht="13.5" thickBot="1" x14ac:dyDescent="0.25">
      <c r="B63" s="377" t="s">
        <v>153</v>
      </c>
      <c r="C63" s="377"/>
      <c r="D63" s="377"/>
      <c r="E63" s="156">
        <f>+F63/F63</f>
        <v>1</v>
      </c>
      <c r="F63" s="157">
        <f>SUM(F55)</f>
        <v>1469.6989202470095</v>
      </c>
      <c r="G63" s="109">
        <f>+F63/$F$66</f>
        <v>0.87375793551456704</v>
      </c>
      <c r="H63" s="135"/>
      <c r="I63" s="143"/>
      <c r="K63" s="378"/>
      <c r="L63" s="379"/>
      <c r="M63" s="379"/>
      <c r="N63" s="379"/>
      <c r="O63" s="158"/>
      <c r="P63" s="159"/>
    </row>
    <row r="64" spans="1:17" ht="13.5" thickBot="1" x14ac:dyDescent="0.3">
      <c r="B64" s="380" t="s">
        <v>167</v>
      </c>
      <c r="C64" s="380"/>
      <c r="D64" s="380"/>
      <c r="E64" s="160">
        <v>0.02</v>
      </c>
      <c r="F64" s="157">
        <f>+F53*E64</f>
        <v>29.344653275999999</v>
      </c>
      <c r="G64" s="109">
        <f>+F64/$F$66</f>
        <v>1.7445834185221588E-2</v>
      </c>
      <c r="H64" s="121"/>
      <c r="I64" s="143"/>
      <c r="J64" s="161"/>
      <c r="O64" s="162"/>
      <c r="P64" s="119"/>
    </row>
    <row r="65" spans="2:13" ht="13.5" thickBot="1" x14ac:dyDescent="0.3">
      <c r="B65" s="381" t="s">
        <v>168</v>
      </c>
      <c r="C65" s="382"/>
      <c r="D65" s="163">
        <v>3</v>
      </c>
      <c r="E65" s="164">
        <v>61</v>
      </c>
      <c r="F65" s="157">
        <f>+E65*D65</f>
        <v>183</v>
      </c>
      <c r="G65" s="109">
        <f>+F65/$F$66</f>
        <v>0.10879623030021146</v>
      </c>
      <c r="H65" s="121"/>
      <c r="I65" s="121"/>
      <c r="J65" s="111"/>
    </row>
    <row r="66" spans="2:13" ht="13.5" thickBot="1" x14ac:dyDescent="0.3">
      <c r="B66" s="383" t="s">
        <v>169</v>
      </c>
      <c r="C66" s="384"/>
      <c r="D66" s="384"/>
      <c r="E66" s="385"/>
      <c r="F66" s="134">
        <f>SUM(F63:F65)</f>
        <v>1682.0435735230094</v>
      </c>
      <c r="G66" s="109">
        <f>+F66/$F$66</f>
        <v>1</v>
      </c>
      <c r="H66" s="386"/>
      <c r="I66" s="121"/>
      <c r="J66" s="111"/>
      <c r="M66" s="94" t="s">
        <v>170</v>
      </c>
    </row>
    <row r="67" spans="2:13" x14ac:dyDescent="0.25">
      <c r="C67" s="116"/>
      <c r="D67" s="116"/>
      <c r="E67" s="166"/>
      <c r="F67" s="157"/>
      <c r="G67" s="109"/>
      <c r="H67" s="386"/>
      <c r="I67" s="165"/>
      <c r="J67" s="94"/>
      <c r="M67" s="94" t="s">
        <v>171</v>
      </c>
    </row>
    <row r="68" spans="2:13" ht="13.5" thickBot="1" x14ac:dyDescent="0.3">
      <c r="B68" s="371" t="s">
        <v>172</v>
      </c>
      <c r="C68" s="371"/>
      <c r="D68" s="371"/>
      <c r="E68" s="371"/>
      <c r="F68" s="371"/>
      <c r="G68" s="109"/>
      <c r="H68" s="168"/>
      <c r="I68" s="165"/>
      <c r="J68" s="94"/>
      <c r="M68" s="94" t="s">
        <v>173</v>
      </c>
    </row>
    <row r="69" spans="2:13" ht="13.5" thickBot="1" x14ac:dyDescent="0.3">
      <c r="B69" s="169" t="s">
        <v>174</v>
      </c>
      <c r="C69" s="170">
        <f>+F53</f>
        <v>1467.2326638</v>
      </c>
      <c r="D69" s="170">
        <f>+D58</f>
        <v>340</v>
      </c>
      <c r="E69" s="171">
        <f>+C69/D69</f>
        <v>4.3153901876470586</v>
      </c>
      <c r="F69" s="109"/>
      <c r="G69" s="168"/>
      <c r="H69" s="111"/>
      <c r="I69" s="168"/>
      <c r="J69" s="94"/>
    </row>
    <row r="70" spans="2:13" x14ac:dyDescent="0.25">
      <c r="B70" s="172"/>
      <c r="C70" s="173"/>
      <c r="D70" s="174"/>
      <c r="E70" s="157"/>
      <c r="F70" s="109"/>
      <c r="G70" s="168"/>
      <c r="H70" s="111"/>
      <c r="I70" s="111"/>
      <c r="J70" s="94"/>
    </row>
    <row r="71" spans="2:13" x14ac:dyDescent="0.25">
      <c r="B71" s="169" t="s">
        <v>175</v>
      </c>
      <c r="C71" s="170">
        <f>SUM(F63:F64)</f>
        <v>1499.0435735230094</v>
      </c>
      <c r="D71" s="170">
        <f>+D58</f>
        <v>340</v>
      </c>
      <c r="E71" s="175">
        <f>+C71/D71</f>
        <v>4.4089516868323804</v>
      </c>
      <c r="F71" s="109"/>
      <c r="G71" s="168"/>
      <c r="H71" s="111"/>
      <c r="I71" s="111"/>
      <c r="J71" s="94"/>
    </row>
    <row r="72" spans="2:13" x14ac:dyDescent="0.25">
      <c r="B72" s="169"/>
      <c r="C72" s="170"/>
      <c r="D72" s="170"/>
      <c r="E72" s="175"/>
      <c r="F72" s="109"/>
      <c r="G72" s="168"/>
      <c r="H72" s="111"/>
      <c r="I72" s="111"/>
      <c r="J72" s="94"/>
    </row>
    <row r="73" spans="2:13" ht="13.5" thickBot="1" x14ac:dyDescent="0.3">
      <c r="B73" s="169" t="s">
        <v>176</v>
      </c>
      <c r="C73" s="170">
        <f>+F65</f>
        <v>183</v>
      </c>
      <c r="D73" s="170">
        <f>+D58</f>
        <v>340</v>
      </c>
      <c r="E73" s="175">
        <f>+C73/D73</f>
        <v>0.53823529411764703</v>
      </c>
      <c r="F73" s="109"/>
      <c r="G73" s="168"/>
      <c r="H73" s="111"/>
      <c r="I73" s="111"/>
      <c r="J73" s="94"/>
    </row>
    <row r="74" spans="2:13" ht="13.5" thickBot="1" x14ac:dyDescent="0.3">
      <c r="B74" s="169" t="s">
        <v>177</v>
      </c>
      <c r="C74" s="170">
        <f>+F56</f>
        <v>247.75826802594742</v>
      </c>
      <c r="D74" s="170">
        <f>+D73</f>
        <v>340</v>
      </c>
      <c r="E74" s="171">
        <f>+C74/D74</f>
        <v>0.72870078831161</v>
      </c>
      <c r="F74" s="109"/>
      <c r="G74" s="168"/>
      <c r="H74" s="111"/>
      <c r="I74" s="111"/>
      <c r="J74" s="94"/>
    </row>
    <row r="75" spans="2:13" ht="13.5" thickBot="1" x14ac:dyDescent="0.3">
      <c r="B75" s="133"/>
      <c r="C75" s="134"/>
      <c r="D75" s="134"/>
      <c r="E75" s="175"/>
      <c r="F75" s="109"/>
      <c r="G75" s="168"/>
      <c r="H75" s="111"/>
      <c r="I75" s="111"/>
      <c r="J75" s="94"/>
    </row>
    <row r="76" spans="2:13" ht="13.5" thickBot="1" x14ac:dyDescent="0.3">
      <c r="B76" s="169" t="s">
        <v>178</v>
      </c>
      <c r="C76" s="170">
        <f>+F54</f>
        <v>2.4662564470095241</v>
      </c>
      <c r="D76" s="170">
        <f>+D74</f>
        <v>340</v>
      </c>
      <c r="E76" s="171">
        <f>+C76/D76</f>
        <v>7.2536954323809532E-3</v>
      </c>
      <c r="F76" s="109"/>
      <c r="G76" s="168"/>
      <c r="H76" s="111"/>
      <c r="I76" s="111"/>
      <c r="J76" s="111"/>
    </row>
    <row r="77" spans="2:13" ht="13.5" thickBot="1" x14ac:dyDescent="0.3">
      <c r="B77" s="133"/>
      <c r="C77" s="134"/>
      <c r="D77" s="134"/>
      <c r="E77" s="175"/>
      <c r="F77" s="109"/>
      <c r="G77" s="168"/>
      <c r="H77" s="111"/>
      <c r="I77" s="111"/>
    </row>
    <row r="78" spans="2:13" ht="13.5" thickBot="1" x14ac:dyDescent="0.3">
      <c r="B78" s="372" t="s">
        <v>179</v>
      </c>
      <c r="C78" s="373"/>
      <c r="D78" s="374"/>
      <c r="E78" s="171">
        <f>+E69+E74</f>
        <v>5.0440909759586683</v>
      </c>
      <c r="G78" s="109"/>
      <c r="H78" s="168"/>
      <c r="I78" s="111"/>
      <c r="J78" s="175"/>
    </row>
    <row r="79" spans="2:13" x14ac:dyDescent="0.25">
      <c r="I79" s="168"/>
      <c r="J79" s="94"/>
    </row>
    <row r="80" spans="2:13" ht="13.5" thickBot="1" x14ac:dyDescent="0.3">
      <c r="B80" s="371" t="s">
        <v>180</v>
      </c>
      <c r="C80" s="371"/>
      <c r="D80" s="371"/>
      <c r="E80" s="371"/>
      <c r="F80" s="371"/>
      <c r="G80" s="109"/>
      <c r="H80" s="168"/>
      <c r="J80" s="94"/>
    </row>
    <row r="81" spans="1:10" ht="13.5" thickBot="1" x14ac:dyDescent="0.3">
      <c r="B81" s="169" t="s">
        <v>174</v>
      </c>
      <c r="C81" s="170">
        <f>+C69</f>
        <v>1467.2326638</v>
      </c>
      <c r="D81" s="170">
        <f>+D60</f>
        <v>1</v>
      </c>
      <c r="E81" s="171">
        <f>+C81/D81</f>
        <v>1467.2326638</v>
      </c>
      <c r="F81" s="109"/>
      <c r="G81" s="168"/>
      <c r="H81" s="111"/>
      <c r="I81" s="168"/>
      <c r="J81" s="94"/>
    </row>
    <row r="82" spans="1:10" x14ac:dyDescent="0.25">
      <c r="B82" s="172"/>
      <c r="C82" s="173"/>
      <c r="D82" s="174"/>
      <c r="E82" s="157"/>
      <c r="F82" s="109"/>
      <c r="G82" s="168"/>
      <c r="H82" s="111"/>
      <c r="I82" s="111"/>
      <c r="J82" s="94"/>
    </row>
    <row r="83" spans="1:10" x14ac:dyDescent="0.25">
      <c r="B83" s="169" t="s">
        <v>175</v>
      </c>
      <c r="C83" s="170">
        <f>+C71</f>
        <v>1499.0435735230094</v>
      </c>
      <c r="D83" s="170">
        <f>+D60</f>
        <v>1</v>
      </c>
      <c r="E83" s="175">
        <f>+C83/D83</f>
        <v>1499.0435735230094</v>
      </c>
      <c r="F83" s="109"/>
      <c r="G83" s="168"/>
      <c r="H83" s="111"/>
      <c r="I83" s="111"/>
      <c r="J83" s="94"/>
    </row>
    <row r="84" spans="1:10" x14ac:dyDescent="0.25">
      <c r="B84" s="169"/>
      <c r="C84" s="170"/>
      <c r="D84" s="170"/>
      <c r="E84" s="175"/>
      <c r="F84" s="109"/>
      <c r="G84" s="168"/>
      <c r="H84" s="111"/>
      <c r="I84" s="111"/>
      <c r="J84" s="94"/>
    </row>
    <row r="85" spans="1:10" ht="13.5" thickBot="1" x14ac:dyDescent="0.3">
      <c r="B85" s="169" t="s">
        <v>177</v>
      </c>
      <c r="C85" s="170">
        <f>+C73</f>
        <v>183</v>
      </c>
      <c r="D85" s="170">
        <f>+D60</f>
        <v>1</v>
      </c>
      <c r="E85" s="175">
        <f>+C85/D85</f>
        <v>183</v>
      </c>
      <c r="F85" s="177"/>
      <c r="G85" s="167"/>
      <c r="H85" s="93"/>
      <c r="I85" s="111"/>
    </row>
    <row r="86" spans="1:10" ht="13.5" thickBot="1" x14ac:dyDescent="0.3">
      <c r="B86" s="169" t="s">
        <v>177</v>
      </c>
      <c r="C86" s="170">
        <f>+C74</f>
        <v>247.75826802594742</v>
      </c>
      <c r="D86" s="170">
        <f>+D85</f>
        <v>1</v>
      </c>
      <c r="E86" s="171">
        <f>+C86/D86</f>
        <v>247.75826802594742</v>
      </c>
      <c r="F86" s="176"/>
      <c r="G86" s="167"/>
      <c r="H86" s="93"/>
      <c r="I86" s="93"/>
    </row>
    <row r="87" spans="1:10" x14ac:dyDescent="0.25">
      <c r="I87" s="93"/>
    </row>
    <row r="88" spans="1:10" x14ac:dyDescent="0.2">
      <c r="A88" s="375"/>
      <c r="B88" s="375"/>
      <c r="C88" s="178"/>
      <c r="D88" s="178"/>
      <c r="E88" s="179"/>
      <c r="G88" s="180"/>
    </row>
    <row r="89" spans="1:10" x14ac:dyDescent="0.2">
      <c r="A89" s="112"/>
      <c r="B89" s="181"/>
      <c r="C89" s="182"/>
      <c r="D89" s="182"/>
      <c r="E89" s="183"/>
      <c r="G89" s="180"/>
    </row>
    <row r="90" spans="1:10" x14ac:dyDescent="0.2">
      <c r="A90" s="112"/>
      <c r="B90" s="181"/>
      <c r="C90" s="184"/>
      <c r="D90" s="184"/>
      <c r="E90" s="112"/>
      <c r="G90" s="180"/>
    </row>
    <row r="91" spans="1:10" x14ac:dyDescent="0.2">
      <c r="A91" s="112"/>
      <c r="B91" s="181"/>
      <c r="C91" s="185"/>
      <c r="D91" s="185"/>
      <c r="E91" s="112"/>
      <c r="G91" s="18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8941-C9B9-4026-AA3B-7254D916EB93}">
  <dimension ref="A1:Q91"/>
  <sheetViews>
    <sheetView topLeftCell="A43" workbookViewId="0">
      <selection activeCell="B66" sqref="B66:E66"/>
    </sheetView>
  </sheetViews>
  <sheetFormatPr baseColWidth="10" defaultColWidth="8.42578125" defaultRowHeight="12.75" x14ac:dyDescent="0.25"/>
  <cols>
    <col min="1" max="1" width="10" style="94" bestFit="1" customWidth="1"/>
    <col min="2" max="2" width="44.28515625" style="94" bestFit="1" customWidth="1"/>
    <col min="3" max="3" width="10.42578125" style="94" bestFit="1" customWidth="1"/>
    <col min="4" max="4" width="10.42578125" style="94" customWidth="1"/>
    <col min="5" max="5" width="9.7109375" style="94" bestFit="1" customWidth="1"/>
    <col min="6" max="6" width="9.5703125" style="94" bestFit="1" customWidth="1"/>
    <col min="7" max="7" width="9.5703125" style="176" bestFit="1" customWidth="1"/>
    <col min="8" max="8" width="10.42578125" style="167" bestFit="1" customWidth="1"/>
    <col min="9" max="9" width="4.5703125" style="167" customWidth="1"/>
    <col min="10" max="10" width="1.7109375" style="93" customWidth="1"/>
    <col min="11" max="11" width="7" style="94" bestFit="1" customWidth="1"/>
    <col min="12" max="12" width="6.28515625" style="94" customWidth="1"/>
    <col min="13" max="13" width="20.42578125" style="94" customWidth="1"/>
    <col min="14" max="14" width="6.42578125" style="94" bestFit="1" customWidth="1"/>
    <col min="15" max="16" width="8.42578125" style="94"/>
    <col min="17" max="17" width="3.28515625" style="94" customWidth="1"/>
    <col min="18" max="256" width="8.42578125" style="94"/>
    <col min="257" max="257" width="10" style="94" bestFit="1" customWidth="1"/>
    <col min="258" max="258" width="44.28515625" style="94" bestFit="1" customWidth="1"/>
    <col min="259" max="259" width="10.42578125" style="94" bestFit="1" customWidth="1"/>
    <col min="260" max="260" width="10.42578125" style="94" customWidth="1"/>
    <col min="261" max="261" width="9.7109375" style="94" bestFit="1" customWidth="1"/>
    <col min="262" max="263" width="9.5703125" style="94" bestFit="1" customWidth="1"/>
    <col min="264" max="264" width="10.42578125" style="94" bestFit="1" customWidth="1"/>
    <col min="265" max="265" width="4.5703125" style="94" customWidth="1"/>
    <col min="266" max="266" width="1.7109375" style="94" customWidth="1"/>
    <col min="267" max="267" width="7" style="94" bestFit="1" customWidth="1"/>
    <col min="268" max="268" width="6.28515625" style="94" customWidth="1"/>
    <col min="269" max="269" width="20.42578125" style="94" customWidth="1"/>
    <col min="270" max="270" width="6.42578125" style="94" bestFit="1" customWidth="1"/>
    <col min="271" max="272" width="8.42578125" style="94"/>
    <col min="273" max="273" width="3.28515625" style="94" customWidth="1"/>
    <col min="274" max="512" width="8.42578125" style="94"/>
    <col min="513" max="513" width="10" style="94" bestFit="1" customWidth="1"/>
    <col min="514" max="514" width="44.28515625" style="94" bestFit="1" customWidth="1"/>
    <col min="515" max="515" width="10.42578125" style="94" bestFit="1" customWidth="1"/>
    <col min="516" max="516" width="10.42578125" style="94" customWidth="1"/>
    <col min="517" max="517" width="9.7109375" style="94" bestFit="1" customWidth="1"/>
    <col min="518" max="519" width="9.5703125" style="94" bestFit="1" customWidth="1"/>
    <col min="520" max="520" width="10.42578125" style="94" bestFit="1" customWidth="1"/>
    <col min="521" max="521" width="4.5703125" style="94" customWidth="1"/>
    <col min="522" max="522" width="1.7109375" style="94" customWidth="1"/>
    <col min="523" max="523" width="7" style="94" bestFit="1" customWidth="1"/>
    <col min="524" max="524" width="6.28515625" style="94" customWidth="1"/>
    <col min="525" max="525" width="20.42578125" style="94" customWidth="1"/>
    <col min="526" max="526" width="6.42578125" style="94" bestFit="1" customWidth="1"/>
    <col min="527" max="528" width="8.42578125" style="94"/>
    <col min="529" max="529" width="3.28515625" style="94" customWidth="1"/>
    <col min="530" max="768" width="8.42578125" style="94"/>
    <col min="769" max="769" width="10" style="94" bestFit="1" customWidth="1"/>
    <col min="770" max="770" width="44.28515625" style="94" bestFit="1" customWidth="1"/>
    <col min="771" max="771" width="10.42578125" style="94" bestFit="1" customWidth="1"/>
    <col min="772" max="772" width="10.42578125" style="94" customWidth="1"/>
    <col min="773" max="773" width="9.7109375" style="94" bestFit="1" customWidth="1"/>
    <col min="774" max="775" width="9.5703125" style="94" bestFit="1" customWidth="1"/>
    <col min="776" max="776" width="10.42578125" style="94" bestFit="1" customWidth="1"/>
    <col min="777" max="777" width="4.5703125" style="94" customWidth="1"/>
    <col min="778" max="778" width="1.7109375" style="94" customWidth="1"/>
    <col min="779" max="779" width="7" style="94" bestFit="1" customWidth="1"/>
    <col min="780" max="780" width="6.28515625" style="94" customWidth="1"/>
    <col min="781" max="781" width="20.42578125" style="94" customWidth="1"/>
    <col min="782" max="782" width="6.42578125" style="94" bestFit="1" customWidth="1"/>
    <col min="783" max="784" width="8.42578125" style="94"/>
    <col min="785" max="785" width="3.28515625" style="94" customWidth="1"/>
    <col min="786" max="1024" width="8.42578125" style="94"/>
    <col min="1025" max="1025" width="10" style="94" bestFit="1" customWidth="1"/>
    <col min="1026" max="1026" width="44.28515625" style="94" bestFit="1" customWidth="1"/>
    <col min="1027" max="1027" width="10.42578125" style="94" bestFit="1" customWidth="1"/>
    <col min="1028" max="1028" width="10.42578125" style="94" customWidth="1"/>
    <col min="1029" max="1029" width="9.7109375" style="94" bestFit="1" customWidth="1"/>
    <col min="1030" max="1031" width="9.5703125" style="94" bestFit="1" customWidth="1"/>
    <col min="1032" max="1032" width="10.42578125" style="94" bestFit="1" customWidth="1"/>
    <col min="1033" max="1033" width="4.5703125" style="94" customWidth="1"/>
    <col min="1034" max="1034" width="1.7109375" style="94" customWidth="1"/>
    <col min="1035" max="1035" width="7" style="94" bestFit="1" customWidth="1"/>
    <col min="1036" max="1036" width="6.28515625" style="94" customWidth="1"/>
    <col min="1037" max="1037" width="20.42578125" style="94" customWidth="1"/>
    <col min="1038" max="1038" width="6.42578125" style="94" bestFit="1" customWidth="1"/>
    <col min="1039" max="1040" width="8.42578125" style="94"/>
    <col min="1041" max="1041" width="3.28515625" style="94" customWidth="1"/>
    <col min="1042" max="1280" width="8.42578125" style="94"/>
    <col min="1281" max="1281" width="10" style="94" bestFit="1" customWidth="1"/>
    <col min="1282" max="1282" width="44.28515625" style="94" bestFit="1" customWidth="1"/>
    <col min="1283" max="1283" width="10.42578125" style="94" bestFit="1" customWidth="1"/>
    <col min="1284" max="1284" width="10.42578125" style="94" customWidth="1"/>
    <col min="1285" max="1285" width="9.7109375" style="94" bestFit="1" customWidth="1"/>
    <col min="1286" max="1287" width="9.5703125" style="94" bestFit="1" customWidth="1"/>
    <col min="1288" max="1288" width="10.42578125" style="94" bestFit="1" customWidth="1"/>
    <col min="1289" max="1289" width="4.5703125" style="94" customWidth="1"/>
    <col min="1290" max="1290" width="1.7109375" style="94" customWidth="1"/>
    <col min="1291" max="1291" width="7" style="94" bestFit="1" customWidth="1"/>
    <col min="1292" max="1292" width="6.28515625" style="94" customWidth="1"/>
    <col min="1293" max="1293" width="20.42578125" style="94" customWidth="1"/>
    <col min="1294" max="1294" width="6.42578125" style="94" bestFit="1" customWidth="1"/>
    <col min="1295" max="1296" width="8.42578125" style="94"/>
    <col min="1297" max="1297" width="3.28515625" style="94" customWidth="1"/>
    <col min="1298" max="1536" width="8.42578125" style="94"/>
    <col min="1537" max="1537" width="10" style="94" bestFit="1" customWidth="1"/>
    <col min="1538" max="1538" width="44.28515625" style="94" bestFit="1" customWidth="1"/>
    <col min="1539" max="1539" width="10.42578125" style="94" bestFit="1" customWidth="1"/>
    <col min="1540" max="1540" width="10.42578125" style="94" customWidth="1"/>
    <col min="1541" max="1541" width="9.7109375" style="94" bestFit="1" customWidth="1"/>
    <col min="1542" max="1543" width="9.5703125" style="94" bestFit="1" customWidth="1"/>
    <col min="1544" max="1544" width="10.42578125" style="94" bestFit="1" customWidth="1"/>
    <col min="1545" max="1545" width="4.5703125" style="94" customWidth="1"/>
    <col min="1546" max="1546" width="1.7109375" style="94" customWidth="1"/>
    <col min="1547" max="1547" width="7" style="94" bestFit="1" customWidth="1"/>
    <col min="1548" max="1548" width="6.28515625" style="94" customWidth="1"/>
    <col min="1549" max="1549" width="20.42578125" style="94" customWidth="1"/>
    <col min="1550" max="1550" width="6.42578125" style="94" bestFit="1" customWidth="1"/>
    <col min="1551" max="1552" width="8.42578125" style="94"/>
    <col min="1553" max="1553" width="3.28515625" style="94" customWidth="1"/>
    <col min="1554" max="1792" width="8.42578125" style="94"/>
    <col min="1793" max="1793" width="10" style="94" bestFit="1" customWidth="1"/>
    <col min="1794" max="1794" width="44.28515625" style="94" bestFit="1" customWidth="1"/>
    <col min="1795" max="1795" width="10.42578125" style="94" bestFit="1" customWidth="1"/>
    <col min="1796" max="1796" width="10.42578125" style="94" customWidth="1"/>
    <col min="1797" max="1797" width="9.7109375" style="94" bestFit="1" customWidth="1"/>
    <col min="1798" max="1799" width="9.5703125" style="94" bestFit="1" customWidth="1"/>
    <col min="1800" max="1800" width="10.42578125" style="94" bestFit="1" customWidth="1"/>
    <col min="1801" max="1801" width="4.5703125" style="94" customWidth="1"/>
    <col min="1802" max="1802" width="1.7109375" style="94" customWidth="1"/>
    <col min="1803" max="1803" width="7" style="94" bestFit="1" customWidth="1"/>
    <col min="1804" max="1804" width="6.28515625" style="94" customWidth="1"/>
    <col min="1805" max="1805" width="20.42578125" style="94" customWidth="1"/>
    <col min="1806" max="1806" width="6.42578125" style="94" bestFit="1" customWidth="1"/>
    <col min="1807" max="1808" width="8.42578125" style="94"/>
    <col min="1809" max="1809" width="3.28515625" style="94" customWidth="1"/>
    <col min="1810" max="2048" width="8.42578125" style="94"/>
    <col min="2049" max="2049" width="10" style="94" bestFit="1" customWidth="1"/>
    <col min="2050" max="2050" width="44.28515625" style="94" bestFit="1" customWidth="1"/>
    <col min="2051" max="2051" width="10.42578125" style="94" bestFit="1" customWidth="1"/>
    <col min="2052" max="2052" width="10.42578125" style="94" customWidth="1"/>
    <col min="2053" max="2053" width="9.7109375" style="94" bestFit="1" customWidth="1"/>
    <col min="2054" max="2055" width="9.5703125" style="94" bestFit="1" customWidth="1"/>
    <col min="2056" max="2056" width="10.42578125" style="94" bestFit="1" customWidth="1"/>
    <col min="2057" max="2057" width="4.5703125" style="94" customWidth="1"/>
    <col min="2058" max="2058" width="1.7109375" style="94" customWidth="1"/>
    <col min="2059" max="2059" width="7" style="94" bestFit="1" customWidth="1"/>
    <col min="2060" max="2060" width="6.28515625" style="94" customWidth="1"/>
    <col min="2061" max="2061" width="20.42578125" style="94" customWidth="1"/>
    <col min="2062" max="2062" width="6.42578125" style="94" bestFit="1" customWidth="1"/>
    <col min="2063" max="2064" width="8.42578125" style="94"/>
    <col min="2065" max="2065" width="3.28515625" style="94" customWidth="1"/>
    <col min="2066" max="2304" width="8.42578125" style="94"/>
    <col min="2305" max="2305" width="10" style="94" bestFit="1" customWidth="1"/>
    <col min="2306" max="2306" width="44.28515625" style="94" bestFit="1" customWidth="1"/>
    <col min="2307" max="2307" width="10.42578125" style="94" bestFit="1" customWidth="1"/>
    <col min="2308" max="2308" width="10.42578125" style="94" customWidth="1"/>
    <col min="2309" max="2309" width="9.7109375" style="94" bestFit="1" customWidth="1"/>
    <col min="2310" max="2311" width="9.5703125" style="94" bestFit="1" customWidth="1"/>
    <col min="2312" max="2312" width="10.42578125" style="94" bestFit="1" customWidth="1"/>
    <col min="2313" max="2313" width="4.5703125" style="94" customWidth="1"/>
    <col min="2314" max="2314" width="1.7109375" style="94" customWidth="1"/>
    <col min="2315" max="2315" width="7" style="94" bestFit="1" customWidth="1"/>
    <col min="2316" max="2316" width="6.28515625" style="94" customWidth="1"/>
    <col min="2317" max="2317" width="20.42578125" style="94" customWidth="1"/>
    <col min="2318" max="2318" width="6.42578125" style="94" bestFit="1" customWidth="1"/>
    <col min="2319" max="2320" width="8.42578125" style="94"/>
    <col min="2321" max="2321" width="3.28515625" style="94" customWidth="1"/>
    <col min="2322" max="2560" width="8.42578125" style="94"/>
    <col min="2561" max="2561" width="10" style="94" bestFit="1" customWidth="1"/>
    <col min="2562" max="2562" width="44.28515625" style="94" bestFit="1" customWidth="1"/>
    <col min="2563" max="2563" width="10.42578125" style="94" bestFit="1" customWidth="1"/>
    <col min="2564" max="2564" width="10.42578125" style="94" customWidth="1"/>
    <col min="2565" max="2565" width="9.7109375" style="94" bestFit="1" customWidth="1"/>
    <col min="2566" max="2567" width="9.5703125" style="94" bestFit="1" customWidth="1"/>
    <col min="2568" max="2568" width="10.42578125" style="94" bestFit="1" customWidth="1"/>
    <col min="2569" max="2569" width="4.5703125" style="94" customWidth="1"/>
    <col min="2570" max="2570" width="1.7109375" style="94" customWidth="1"/>
    <col min="2571" max="2571" width="7" style="94" bestFit="1" customWidth="1"/>
    <col min="2572" max="2572" width="6.28515625" style="94" customWidth="1"/>
    <col min="2573" max="2573" width="20.42578125" style="94" customWidth="1"/>
    <col min="2574" max="2574" width="6.42578125" style="94" bestFit="1" customWidth="1"/>
    <col min="2575" max="2576" width="8.42578125" style="94"/>
    <col min="2577" max="2577" width="3.28515625" style="94" customWidth="1"/>
    <col min="2578" max="2816" width="8.42578125" style="94"/>
    <col min="2817" max="2817" width="10" style="94" bestFit="1" customWidth="1"/>
    <col min="2818" max="2818" width="44.28515625" style="94" bestFit="1" customWidth="1"/>
    <col min="2819" max="2819" width="10.42578125" style="94" bestFit="1" customWidth="1"/>
    <col min="2820" max="2820" width="10.42578125" style="94" customWidth="1"/>
    <col min="2821" max="2821" width="9.7109375" style="94" bestFit="1" customWidth="1"/>
    <col min="2822" max="2823" width="9.5703125" style="94" bestFit="1" customWidth="1"/>
    <col min="2824" max="2824" width="10.42578125" style="94" bestFit="1" customWidth="1"/>
    <col min="2825" max="2825" width="4.5703125" style="94" customWidth="1"/>
    <col min="2826" max="2826" width="1.7109375" style="94" customWidth="1"/>
    <col min="2827" max="2827" width="7" style="94" bestFit="1" customWidth="1"/>
    <col min="2828" max="2828" width="6.28515625" style="94" customWidth="1"/>
    <col min="2829" max="2829" width="20.42578125" style="94" customWidth="1"/>
    <col min="2830" max="2830" width="6.42578125" style="94" bestFit="1" customWidth="1"/>
    <col min="2831" max="2832" width="8.42578125" style="94"/>
    <col min="2833" max="2833" width="3.28515625" style="94" customWidth="1"/>
    <col min="2834" max="3072" width="8.42578125" style="94"/>
    <col min="3073" max="3073" width="10" style="94" bestFit="1" customWidth="1"/>
    <col min="3074" max="3074" width="44.28515625" style="94" bestFit="1" customWidth="1"/>
    <col min="3075" max="3075" width="10.42578125" style="94" bestFit="1" customWidth="1"/>
    <col min="3076" max="3076" width="10.42578125" style="94" customWidth="1"/>
    <col min="3077" max="3077" width="9.7109375" style="94" bestFit="1" customWidth="1"/>
    <col min="3078" max="3079" width="9.5703125" style="94" bestFit="1" customWidth="1"/>
    <col min="3080" max="3080" width="10.42578125" style="94" bestFit="1" customWidth="1"/>
    <col min="3081" max="3081" width="4.5703125" style="94" customWidth="1"/>
    <col min="3082" max="3082" width="1.7109375" style="94" customWidth="1"/>
    <col min="3083" max="3083" width="7" style="94" bestFit="1" customWidth="1"/>
    <col min="3084" max="3084" width="6.28515625" style="94" customWidth="1"/>
    <col min="3085" max="3085" width="20.42578125" style="94" customWidth="1"/>
    <col min="3086" max="3086" width="6.42578125" style="94" bestFit="1" customWidth="1"/>
    <col min="3087" max="3088" width="8.42578125" style="94"/>
    <col min="3089" max="3089" width="3.28515625" style="94" customWidth="1"/>
    <col min="3090" max="3328" width="8.42578125" style="94"/>
    <col min="3329" max="3329" width="10" style="94" bestFit="1" customWidth="1"/>
    <col min="3330" max="3330" width="44.28515625" style="94" bestFit="1" customWidth="1"/>
    <col min="3331" max="3331" width="10.42578125" style="94" bestFit="1" customWidth="1"/>
    <col min="3332" max="3332" width="10.42578125" style="94" customWidth="1"/>
    <col min="3333" max="3333" width="9.7109375" style="94" bestFit="1" customWidth="1"/>
    <col min="3334" max="3335" width="9.5703125" style="94" bestFit="1" customWidth="1"/>
    <col min="3336" max="3336" width="10.42578125" style="94" bestFit="1" customWidth="1"/>
    <col min="3337" max="3337" width="4.5703125" style="94" customWidth="1"/>
    <col min="3338" max="3338" width="1.7109375" style="94" customWidth="1"/>
    <col min="3339" max="3339" width="7" style="94" bestFit="1" customWidth="1"/>
    <col min="3340" max="3340" width="6.28515625" style="94" customWidth="1"/>
    <col min="3341" max="3341" width="20.42578125" style="94" customWidth="1"/>
    <col min="3342" max="3342" width="6.42578125" style="94" bestFit="1" customWidth="1"/>
    <col min="3343" max="3344" width="8.42578125" style="94"/>
    <col min="3345" max="3345" width="3.28515625" style="94" customWidth="1"/>
    <col min="3346" max="3584" width="8.42578125" style="94"/>
    <col min="3585" max="3585" width="10" style="94" bestFit="1" customWidth="1"/>
    <col min="3586" max="3586" width="44.28515625" style="94" bestFit="1" customWidth="1"/>
    <col min="3587" max="3587" width="10.42578125" style="94" bestFit="1" customWidth="1"/>
    <col min="3588" max="3588" width="10.42578125" style="94" customWidth="1"/>
    <col min="3589" max="3589" width="9.7109375" style="94" bestFit="1" customWidth="1"/>
    <col min="3590" max="3591" width="9.5703125" style="94" bestFit="1" customWidth="1"/>
    <col min="3592" max="3592" width="10.42578125" style="94" bestFit="1" customWidth="1"/>
    <col min="3593" max="3593" width="4.5703125" style="94" customWidth="1"/>
    <col min="3594" max="3594" width="1.7109375" style="94" customWidth="1"/>
    <col min="3595" max="3595" width="7" style="94" bestFit="1" customWidth="1"/>
    <col min="3596" max="3596" width="6.28515625" style="94" customWidth="1"/>
    <col min="3597" max="3597" width="20.42578125" style="94" customWidth="1"/>
    <col min="3598" max="3598" width="6.42578125" style="94" bestFit="1" customWidth="1"/>
    <col min="3599" max="3600" width="8.42578125" style="94"/>
    <col min="3601" max="3601" width="3.28515625" style="94" customWidth="1"/>
    <col min="3602" max="3840" width="8.42578125" style="94"/>
    <col min="3841" max="3841" width="10" style="94" bestFit="1" customWidth="1"/>
    <col min="3842" max="3842" width="44.28515625" style="94" bestFit="1" customWidth="1"/>
    <col min="3843" max="3843" width="10.42578125" style="94" bestFit="1" customWidth="1"/>
    <col min="3844" max="3844" width="10.42578125" style="94" customWidth="1"/>
    <col min="3845" max="3845" width="9.7109375" style="94" bestFit="1" customWidth="1"/>
    <col min="3846" max="3847" width="9.5703125" style="94" bestFit="1" customWidth="1"/>
    <col min="3848" max="3848" width="10.42578125" style="94" bestFit="1" customWidth="1"/>
    <col min="3849" max="3849" width="4.5703125" style="94" customWidth="1"/>
    <col min="3850" max="3850" width="1.7109375" style="94" customWidth="1"/>
    <col min="3851" max="3851" width="7" style="94" bestFit="1" customWidth="1"/>
    <col min="3852" max="3852" width="6.28515625" style="94" customWidth="1"/>
    <col min="3853" max="3853" width="20.42578125" style="94" customWidth="1"/>
    <col min="3854" max="3854" width="6.42578125" style="94" bestFit="1" customWidth="1"/>
    <col min="3855" max="3856" width="8.42578125" style="94"/>
    <col min="3857" max="3857" width="3.28515625" style="94" customWidth="1"/>
    <col min="3858" max="4096" width="8.42578125" style="94"/>
    <col min="4097" max="4097" width="10" style="94" bestFit="1" customWidth="1"/>
    <col min="4098" max="4098" width="44.28515625" style="94" bestFit="1" customWidth="1"/>
    <col min="4099" max="4099" width="10.42578125" style="94" bestFit="1" customWidth="1"/>
    <col min="4100" max="4100" width="10.42578125" style="94" customWidth="1"/>
    <col min="4101" max="4101" width="9.7109375" style="94" bestFit="1" customWidth="1"/>
    <col min="4102" max="4103" width="9.5703125" style="94" bestFit="1" customWidth="1"/>
    <col min="4104" max="4104" width="10.42578125" style="94" bestFit="1" customWidth="1"/>
    <col min="4105" max="4105" width="4.5703125" style="94" customWidth="1"/>
    <col min="4106" max="4106" width="1.7109375" style="94" customWidth="1"/>
    <col min="4107" max="4107" width="7" style="94" bestFit="1" customWidth="1"/>
    <col min="4108" max="4108" width="6.28515625" style="94" customWidth="1"/>
    <col min="4109" max="4109" width="20.42578125" style="94" customWidth="1"/>
    <col min="4110" max="4110" width="6.42578125" style="94" bestFit="1" customWidth="1"/>
    <col min="4111" max="4112" width="8.42578125" style="94"/>
    <col min="4113" max="4113" width="3.28515625" style="94" customWidth="1"/>
    <col min="4114" max="4352" width="8.42578125" style="94"/>
    <col min="4353" max="4353" width="10" style="94" bestFit="1" customWidth="1"/>
    <col min="4354" max="4354" width="44.28515625" style="94" bestFit="1" customWidth="1"/>
    <col min="4355" max="4355" width="10.42578125" style="94" bestFit="1" customWidth="1"/>
    <col min="4356" max="4356" width="10.42578125" style="94" customWidth="1"/>
    <col min="4357" max="4357" width="9.7109375" style="94" bestFit="1" customWidth="1"/>
    <col min="4358" max="4359" width="9.5703125" style="94" bestFit="1" customWidth="1"/>
    <col min="4360" max="4360" width="10.42578125" style="94" bestFit="1" customWidth="1"/>
    <col min="4361" max="4361" width="4.5703125" style="94" customWidth="1"/>
    <col min="4362" max="4362" width="1.7109375" style="94" customWidth="1"/>
    <col min="4363" max="4363" width="7" style="94" bestFit="1" customWidth="1"/>
    <col min="4364" max="4364" width="6.28515625" style="94" customWidth="1"/>
    <col min="4365" max="4365" width="20.42578125" style="94" customWidth="1"/>
    <col min="4366" max="4366" width="6.42578125" style="94" bestFit="1" customWidth="1"/>
    <col min="4367" max="4368" width="8.42578125" style="94"/>
    <col min="4369" max="4369" width="3.28515625" style="94" customWidth="1"/>
    <col min="4370" max="4608" width="8.42578125" style="94"/>
    <col min="4609" max="4609" width="10" style="94" bestFit="1" customWidth="1"/>
    <col min="4610" max="4610" width="44.28515625" style="94" bestFit="1" customWidth="1"/>
    <col min="4611" max="4611" width="10.42578125" style="94" bestFit="1" customWidth="1"/>
    <col min="4612" max="4612" width="10.42578125" style="94" customWidth="1"/>
    <col min="4613" max="4613" width="9.7109375" style="94" bestFit="1" customWidth="1"/>
    <col min="4614" max="4615" width="9.5703125" style="94" bestFit="1" customWidth="1"/>
    <col min="4616" max="4616" width="10.42578125" style="94" bestFit="1" customWidth="1"/>
    <col min="4617" max="4617" width="4.5703125" style="94" customWidth="1"/>
    <col min="4618" max="4618" width="1.7109375" style="94" customWidth="1"/>
    <col min="4619" max="4619" width="7" style="94" bestFit="1" customWidth="1"/>
    <col min="4620" max="4620" width="6.28515625" style="94" customWidth="1"/>
    <col min="4621" max="4621" width="20.42578125" style="94" customWidth="1"/>
    <col min="4622" max="4622" width="6.42578125" style="94" bestFit="1" customWidth="1"/>
    <col min="4623" max="4624" width="8.42578125" style="94"/>
    <col min="4625" max="4625" width="3.28515625" style="94" customWidth="1"/>
    <col min="4626" max="4864" width="8.42578125" style="94"/>
    <col min="4865" max="4865" width="10" style="94" bestFit="1" customWidth="1"/>
    <col min="4866" max="4866" width="44.28515625" style="94" bestFit="1" customWidth="1"/>
    <col min="4867" max="4867" width="10.42578125" style="94" bestFit="1" customWidth="1"/>
    <col min="4868" max="4868" width="10.42578125" style="94" customWidth="1"/>
    <col min="4869" max="4869" width="9.7109375" style="94" bestFit="1" customWidth="1"/>
    <col min="4870" max="4871" width="9.5703125" style="94" bestFit="1" customWidth="1"/>
    <col min="4872" max="4872" width="10.42578125" style="94" bestFit="1" customWidth="1"/>
    <col min="4873" max="4873" width="4.5703125" style="94" customWidth="1"/>
    <col min="4874" max="4874" width="1.7109375" style="94" customWidth="1"/>
    <col min="4875" max="4875" width="7" style="94" bestFit="1" customWidth="1"/>
    <col min="4876" max="4876" width="6.28515625" style="94" customWidth="1"/>
    <col min="4877" max="4877" width="20.42578125" style="94" customWidth="1"/>
    <col min="4878" max="4878" width="6.42578125" style="94" bestFit="1" customWidth="1"/>
    <col min="4879" max="4880" width="8.42578125" style="94"/>
    <col min="4881" max="4881" width="3.28515625" style="94" customWidth="1"/>
    <col min="4882" max="5120" width="8.42578125" style="94"/>
    <col min="5121" max="5121" width="10" style="94" bestFit="1" customWidth="1"/>
    <col min="5122" max="5122" width="44.28515625" style="94" bestFit="1" customWidth="1"/>
    <col min="5123" max="5123" width="10.42578125" style="94" bestFit="1" customWidth="1"/>
    <col min="5124" max="5124" width="10.42578125" style="94" customWidth="1"/>
    <col min="5125" max="5125" width="9.7109375" style="94" bestFit="1" customWidth="1"/>
    <col min="5126" max="5127" width="9.5703125" style="94" bestFit="1" customWidth="1"/>
    <col min="5128" max="5128" width="10.42578125" style="94" bestFit="1" customWidth="1"/>
    <col min="5129" max="5129" width="4.5703125" style="94" customWidth="1"/>
    <col min="5130" max="5130" width="1.7109375" style="94" customWidth="1"/>
    <col min="5131" max="5131" width="7" style="94" bestFit="1" customWidth="1"/>
    <col min="5132" max="5132" width="6.28515625" style="94" customWidth="1"/>
    <col min="5133" max="5133" width="20.42578125" style="94" customWidth="1"/>
    <col min="5134" max="5134" width="6.42578125" style="94" bestFit="1" customWidth="1"/>
    <col min="5135" max="5136" width="8.42578125" style="94"/>
    <col min="5137" max="5137" width="3.28515625" style="94" customWidth="1"/>
    <col min="5138" max="5376" width="8.42578125" style="94"/>
    <col min="5377" max="5377" width="10" style="94" bestFit="1" customWidth="1"/>
    <col min="5378" max="5378" width="44.28515625" style="94" bestFit="1" customWidth="1"/>
    <col min="5379" max="5379" width="10.42578125" style="94" bestFit="1" customWidth="1"/>
    <col min="5380" max="5380" width="10.42578125" style="94" customWidth="1"/>
    <col min="5381" max="5381" width="9.7109375" style="94" bestFit="1" customWidth="1"/>
    <col min="5382" max="5383" width="9.5703125" style="94" bestFit="1" customWidth="1"/>
    <col min="5384" max="5384" width="10.42578125" style="94" bestFit="1" customWidth="1"/>
    <col min="5385" max="5385" width="4.5703125" style="94" customWidth="1"/>
    <col min="5386" max="5386" width="1.7109375" style="94" customWidth="1"/>
    <col min="5387" max="5387" width="7" style="94" bestFit="1" customWidth="1"/>
    <col min="5388" max="5388" width="6.28515625" style="94" customWidth="1"/>
    <col min="5389" max="5389" width="20.42578125" style="94" customWidth="1"/>
    <col min="5390" max="5390" width="6.42578125" style="94" bestFit="1" customWidth="1"/>
    <col min="5391" max="5392" width="8.42578125" style="94"/>
    <col min="5393" max="5393" width="3.28515625" style="94" customWidth="1"/>
    <col min="5394" max="5632" width="8.42578125" style="94"/>
    <col min="5633" max="5633" width="10" style="94" bestFit="1" customWidth="1"/>
    <col min="5634" max="5634" width="44.28515625" style="94" bestFit="1" customWidth="1"/>
    <col min="5635" max="5635" width="10.42578125" style="94" bestFit="1" customWidth="1"/>
    <col min="5636" max="5636" width="10.42578125" style="94" customWidth="1"/>
    <col min="5637" max="5637" width="9.7109375" style="94" bestFit="1" customWidth="1"/>
    <col min="5638" max="5639" width="9.5703125" style="94" bestFit="1" customWidth="1"/>
    <col min="5640" max="5640" width="10.42578125" style="94" bestFit="1" customWidth="1"/>
    <col min="5641" max="5641" width="4.5703125" style="94" customWidth="1"/>
    <col min="5642" max="5642" width="1.7109375" style="94" customWidth="1"/>
    <col min="5643" max="5643" width="7" style="94" bestFit="1" customWidth="1"/>
    <col min="5644" max="5644" width="6.28515625" style="94" customWidth="1"/>
    <col min="5645" max="5645" width="20.42578125" style="94" customWidth="1"/>
    <col min="5646" max="5646" width="6.42578125" style="94" bestFit="1" customWidth="1"/>
    <col min="5647" max="5648" width="8.42578125" style="94"/>
    <col min="5649" max="5649" width="3.28515625" style="94" customWidth="1"/>
    <col min="5650" max="5888" width="8.42578125" style="94"/>
    <col min="5889" max="5889" width="10" style="94" bestFit="1" customWidth="1"/>
    <col min="5890" max="5890" width="44.28515625" style="94" bestFit="1" customWidth="1"/>
    <col min="5891" max="5891" width="10.42578125" style="94" bestFit="1" customWidth="1"/>
    <col min="5892" max="5892" width="10.42578125" style="94" customWidth="1"/>
    <col min="5893" max="5893" width="9.7109375" style="94" bestFit="1" customWidth="1"/>
    <col min="5894" max="5895" width="9.5703125" style="94" bestFit="1" customWidth="1"/>
    <col min="5896" max="5896" width="10.42578125" style="94" bestFit="1" customWidth="1"/>
    <col min="5897" max="5897" width="4.5703125" style="94" customWidth="1"/>
    <col min="5898" max="5898" width="1.7109375" style="94" customWidth="1"/>
    <col min="5899" max="5899" width="7" style="94" bestFit="1" customWidth="1"/>
    <col min="5900" max="5900" width="6.28515625" style="94" customWidth="1"/>
    <col min="5901" max="5901" width="20.42578125" style="94" customWidth="1"/>
    <col min="5902" max="5902" width="6.42578125" style="94" bestFit="1" customWidth="1"/>
    <col min="5903" max="5904" width="8.42578125" style="94"/>
    <col min="5905" max="5905" width="3.28515625" style="94" customWidth="1"/>
    <col min="5906" max="6144" width="8.42578125" style="94"/>
    <col min="6145" max="6145" width="10" style="94" bestFit="1" customWidth="1"/>
    <col min="6146" max="6146" width="44.28515625" style="94" bestFit="1" customWidth="1"/>
    <col min="6147" max="6147" width="10.42578125" style="94" bestFit="1" customWidth="1"/>
    <col min="6148" max="6148" width="10.42578125" style="94" customWidth="1"/>
    <col min="6149" max="6149" width="9.7109375" style="94" bestFit="1" customWidth="1"/>
    <col min="6150" max="6151" width="9.5703125" style="94" bestFit="1" customWidth="1"/>
    <col min="6152" max="6152" width="10.42578125" style="94" bestFit="1" customWidth="1"/>
    <col min="6153" max="6153" width="4.5703125" style="94" customWidth="1"/>
    <col min="6154" max="6154" width="1.7109375" style="94" customWidth="1"/>
    <col min="6155" max="6155" width="7" style="94" bestFit="1" customWidth="1"/>
    <col min="6156" max="6156" width="6.28515625" style="94" customWidth="1"/>
    <col min="6157" max="6157" width="20.42578125" style="94" customWidth="1"/>
    <col min="6158" max="6158" width="6.42578125" style="94" bestFit="1" customWidth="1"/>
    <col min="6159" max="6160" width="8.42578125" style="94"/>
    <col min="6161" max="6161" width="3.28515625" style="94" customWidth="1"/>
    <col min="6162" max="6400" width="8.42578125" style="94"/>
    <col min="6401" max="6401" width="10" style="94" bestFit="1" customWidth="1"/>
    <col min="6402" max="6402" width="44.28515625" style="94" bestFit="1" customWidth="1"/>
    <col min="6403" max="6403" width="10.42578125" style="94" bestFit="1" customWidth="1"/>
    <col min="6404" max="6404" width="10.42578125" style="94" customWidth="1"/>
    <col min="6405" max="6405" width="9.7109375" style="94" bestFit="1" customWidth="1"/>
    <col min="6406" max="6407" width="9.5703125" style="94" bestFit="1" customWidth="1"/>
    <col min="6408" max="6408" width="10.42578125" style="94" bestFit="1" customWidth="1"/>
    <col min="6409" max="6409" width="4.5703125" style="94" customWidth="1"/>
    <col min="6410" max="6410" width="1.7109375" style="94" customWidth="1"/>
    <col min="6411" max="6411" width="7" style="94" bestFit="1" customWidth="1"/>
    <col min="6412" max="6412" width="6.28515625" style="94" customWidth="1"/>
    <col min="6413" max="6413" width="20.42578125" style="94" customWidth="1"/>
    <col min="6414" max="6414" width="6.42578125" style="94" bestFit="1" customWidth="1"/>
    <col min="6415" max="6416" width="8.42578125" style="94"/>
    <col min="6417" max="6417" width="3.28515625" style="94" customWidth="1"/>
    <col min="6418" max="6656" width="8.42578125" style="94"/>
    <col min="6657" max="6657" width="10" style="94" bestFit="1" customWidth="1"/>
    <col min="6658" max="6658" width="44.28515625" style="94" bestFit="1" customWidth="1"/>
    <col min="6659" max="6659" width="10.42578125" style="94" bestFit="1" customWidth="1"/>
    <col min="6660" max="6660" width="10.42578125" style="94" customWidth="1"/>
    <col min="6661" max="6661" width="9.7109375" style="94" bestFit="1" customWidth="1"/>
    <col min="6662" max="6663" width="9.5703125" style="94" bestFit="1" customWidth="1"/>
    <col min="6664" max="6664" width="10.42578125" style="94" bestFit="1" customWidth="1"/>
    <col min="6665" max="6665" width="4.5703125" style="94" customWidth="1"/>
    <col min="6666" max="6666" width="1.7109375" style="94" customWidth="1"/>
    <col min="6667" max="6667" width="7" style="94" bestFit="1" customWidth="1"/>
    <col min="6668" max="6668" width="6.28515625" style="94" customWidth="1"/>
    <col min="6669" max="6669" width="20.42578125" style="94" customWidth="1"/>
    <col min="6670" max="6670" width="6.42578125" style="94" bestFit="1" customWidth="1"/>
    <col min="6671" max="6672" width="8.42578125" style="94"/>
    <col min="6673" max="6673" width="3.28515625" style="94" customWidth="1"/>
    <col min="6674" max="6912" width="8.42578125" style="94"/>
    <col min="6913" max="6913" width="10" style="94" bestFit="1" customWidth="1"/>
    <col min="6914" max="6914" width="44.28515625" style="94" bestFit="1" customWidth="1"/>
    <col min="6915" max="6915" width="10.42578125" style="94" bestFit="1" customWidth="1"/>
    <col min="6916" max="6916" width="10.42578125" style="94" customWidth="1"/>
    <col min="6917" max="6917" width="9.7109375" style="94" bestFit="1" customWidth="1"/>
    <col min="6918" max="6919" width="9.5703125" style="94" bestFit="1" customWidth="1"/>
    <col min="6920" max="6920" width="10.42578125" style="94" bestFit="1" customWidth="1"/>
    <col min="6921" max="6921" width="4.5703125" style="94" customWidth="1"/>
    <col min="6922" max="6922" width="1.7109375" style="94" customWidth="1"/>
    <col min="6923" max="6923" width="7" style="94" bestFit="1" customWidth="1"/>
    <col min="6924" max="6924" width="6.28515625" style="94" customWidth="1"/>
    <col min="6925" max="6925" width="20.42578125" style="94" customWidth="1"/>
    <col min="6926" max="6926" width="6.42578125" style="94" bestFit="1" customWidth="1"/>
    <col min="6927" max="6928" width="8.42578125" style="94"/>
    <col min="6929" max="6929" width="3.28515625" style="94" customWidth="1"/>
    <col min="6930" max="7168" width="8.42578125" style="94"/>
    <col min="7169" max="7169" width="10" style="94" bestFit="1" customWidth="1"/>
    <col min="7170" max="7170" width="44.28515625" style="94" bestFit="1" customWidth="1"/>
    <col min="7171" max="7171" width="10.42578125" style="94" bestFit="1" customWidth="1"/>
    <col min="7172" max="7172" width="10.42578125" style="94" customWidth="1"/>
    <col min="7173" max="7173" width="9.7109375" style="94" bestFit="1" customWidth="1"/>
    <col min="7174" max="7175" width="9.5703125" style="94" bestFit="1" customWidth="1"/>
    <col min="7176" max="7176" width="10.42578125" style="94" bestFit="1" customWidth="1"/>
    <col min="7177" max="7177" width="4.5703125" style="94" customWidth="1"/>
    <col min="7178" max="7178" width="1.7109375" style="94" customWidth="1"/>
    <col min="7179" max="7179" width="7" style="94" bestFit="1" customWidth="1"/>
    <col min="7180" max="7180" width="6.28515625" style="94" customWidth="1"/>
    <col min="7181" max="7181" width="20.42578125" style="94" customWidth="1"/>
    <col min="7182" max="7182" width="6.42578125" style="94" bestFit="1" customWidth="1"/>
    <col min="7183" max="7184" width="8.42578125" style="94"/>
    <col min="7185" max="7185" width="3.28515625" style="94" customWidth="1"/>
    <col min="7186" max="7424" width="8.42578125" style="94"/>
    <col min="7425" max="7425" width="10" style="94" bestFit="1" customWidth="1"/>
    <col min="7426" max="7426" width="44.28515625" style="94" bestFit="1" customWidth="1"/>
    <col min="7427" max="7427" width="10.42578125" style="94" bestFit="1" customWidth="1"/>
    <col min="7428" max="7428" width="10.42578125" style="94" customWidth="1"/>
    <col min="7429" max="7429" width="9.7109375" style="94" bestFit="1" customWidth="1"/>
    <col min="7430" max="7431" width="9.5703125" style="94" bestFit="1" customWidth="1"/>
    <col min="7432" max="7432" width="10.42578125" style="94" bestFit="1" customWidth="1"/>
    <col min="7433" max="7433" width="4.5703125" style="94" customWidth="1"/>
    <col min="7434" max="7434" width="1.7109375" style="94" customWidth="1"/>
    <col min="7435" max="7435" width="7" style="94" bestFit="1" customWidth="1"/>
    <col min="7436" max="7436" width="6.28515625" style="94" customWidth="1"/>
    <col min="7437" max="7437" width="20.42578125" style="94" customWidth="1"/>
    <col min="7438" max="7438" width="6.42578125" style="94" bestFit="1" customWidth="1"/>
    <col min="7439" max="7440" width="8.42578125" style="94"/>
    <col min="7441" max="7441" width="3.28515625" style="94" customWidth="1"/>
    <col min="7442" max="7680" width="8.42578125" style="94"/>
    <col min="7681" max="7681" width="10" style="94" bestFit="1" customWidth="1"/>
    <col min="7682" max="7682" width="44.28515625" style="94" bestFit="1" customWidth="1"/>
    <col min="7683" max="7683" width="10.42578125" style="94" bestFit="1" customWidth="1"/>
    <col min="7684" max="7684" width="10.42578125" style="94" customWidth="1"/>
    <col min="7685" max="7685" width="9.7109375" style="94" bestFit="1" customWidth="1"/>
    <col min="7686" max="7687" width="9.5703125" style="94" bestFit="1" customWidth="1"/>
    <col min="7688" max="7688" width="10.42578125" style="94" bestFit="1" customWidth="1"/>
    <col min="7689" max="7689" width="4.5703125" style="94" customWidth="1"/>
    <col min="7690" max="7690" width="1.7109375" style="94" customWidth="1"/>
    <col min="7691" max="7691" width="7" style="94" bestFit="1" customWidth="1"/>
    <col min="7692" max="7692" width="6.28515625" style="94" customWidth="1"/>
    <col min="7693" max="7693" width="20.42578125" style="94" customWidth="1"/>
    <col min="7694" max="7694" width="6.42578125" style="94" bestFit="1" customWidth="1"/>
    <col min="7695" max="7696" width="8.42578125" style="94"/>
    <col min="7697" max="7697" width="3.28515625" style="94" customWidth="1"/>
    <col min="7698" max="7936" width="8.42578125" style="94"/>
    <col min="7937" max="7937" width="10" style="94" bestFit="1" customWidth="1"/>
    <col min="7938" max="7938" width="44.28515625" style="94" bestFit="1" customWidth="1"/>
    <col min="7939" max="7939" width="10.42578125" style="94" bestFit="1" customWidth="1"/>
    <col min="7940" max="7940" width="10.42578125" style="94" customWidth="1"/>
    <col min="7941" max="7941" width="9.7109375" style="94" bestFit="1" customWidth="1"/>
    <col min="7942" max="7943" width="9.5703125" style="94" bestFit="1" customWidth="1"/>
    <col min="7944" max="7944" width="10.42578125" style="94" bestFit="1" customWidth="1"/>
    <col min="7945" max="7945" width="4.5703125" style="94" customWidth="1"/>
    <col min="7946" max="7946" width="1.7109375" style="94" customWidth="1"/>
    <col min="7947" max="7947" width="7" style="94" bestFit="1" customWidth="1"/>
    <col min="7948" max="7948" width="6.28515625" style="94" customWidth="1"/>
    <col min="7949" max="7949" width="20.42578125" style="94" customWidth="1"/>
    <col min="7950" max="7950" width="6.42578125" style="94" bestFit="1" customWidth="1"/>
    <col min="7951" max="7952" width="8.42578125" style="94"/>
    <col min="7953" max="7953" width="3.28515625" style="94" customWidth="1"/>
    <col min="7954" max="8192" width="8.42578125" style="94"/>
    <col min="8193" max="8193" width="10" style="94" bestFit="1" customWidth="1"/>
    <col min="8194" max="8194" width="44.28515625" style="94" bestFit="1" customWidth="1"/>
    <col min="8195" max="8195" width="10.42578125" style="94" bestFit="1" customWidth="1"/>
    <col min="8196" max="8196" width="10.42578125" style="94" customWidth="1"/>
    <col min="8197" max="8197" width="9.7109375" style="94" bestFit="1" customWidth="1"/>
    <col min="8198" max="8199" width="9.5703125" style="94" bestFit="1" customWidth="1"/>
    <col min="8200" max="8200" width="10.42578125" style="94" bestFit="1" customWidth="1"/>
    <col min="8201" max="8201" width="4.5703125" style="94" customWidth="1"/>
    <col min="8202" max="8202" width="1.7109375" style="94" customWidth="1"/>
    <col min="8203" max="8203" width="7" style="94" bestFit="1" customWidth="1"/>
    <col min="8204" max="8204" width="6.28515625" style="94" customWidth="1"/>
    <col min="8205" max="8205" width="20.42578125" style="94" customWidth="1"/>
    <col min="8206" max="8206" width="6.42578125" style="94" bestFit="1" customWidth="1"/>
    <col min="8207" max="8208" width="8.42578125" style="94"/>
    <col min="8209" max="8209" width="3.28515625" style="94" customWidth="1"/>
    <col min="8210" max="8448" width="8.42578125" style="94"/>
    <col min="8449" max="8449" width="10" style="94" bestFit="1" customWidth="1"/>
    <col min="8450" max="8450" width="44.28515625" style="94" bestFit="1" customWidth="1"/>
    <col min="8451" max="8451" width="10.42578125" style="94" bestFit="1" customWidth="1"/>
    <col min="8452" max="8452" width="10.42578125" style="94" customWidth="1"/>
    <col min="8453" max="8453" width="9.7109375" style="94" bestFit="1" customWidth="1"/>
    <col min="8454" max="8455" width="9.5703125" style="94" bestFit="1" customWidth="1"/>
    <col min="8456" max="8456" width="10.42578125" style="94" bestFit="1" customWidth="1"/>
    <col min="8457" max="8457" width="4.5703125" style="94" customWidth="1"/>
    <col min="8458" max="8458" width="1.7109375" style="94" customWidth="1"/>
    <col min="8459" max="8459" width="7" style="94" bestFit="1" customWidth="1"/>
    <col min="8460" max="8460" width="6.28515625" style="94" customWidth="1"/>
    <col min="8461" max="8461" width="20.42578125" style="94" customWidth="1"/>
    <col min="8462" max="8462" width="6.42578125" style="94" bestFit="1" customWidth="1"/>
    <col min="8463" max="8464" width="8.42578125" style="94"/>
    <col min="8465" max="8465" width="3.28515625" style="94" customWidth="1"/>
    <col min="8466" max="8704" width="8.42578125" style="94"/>
    <col min="8705" max="8705" width="10" style="94" bestFit="1" customWidth="1"/>
    <col min="8706" max="8706" width="44.28515625" style="94" bestFit="1" customWidth="1"/>
    <col min="8707" max="8707" width="10.42578125" style="94" bestFit="1" customWidth="1"/>
    <col min="8708" max="8708" width="10.42578125" style="94" customWidth="1"/>
    <col min="8709" max="8709" width="9.7109375" style="94" bestFit="1" customWidth="1"/>
    <col min="8710" max="8711" width="9.5703125" style="94" bestFit="1" customWidth="1"/>
    <col min="8712" max="8712" width="10.42578125" style="94" bestFit="1" customWidth="1"/>
    <col min="8713" max="8713" width="4.5703125" style="94" customWidth="1"/>
    <col min="8714" max="8714" width="1.7109375" style="94" customWidth="1"/>
    <col min="8715" max="8715" width="7" style="94" bestFit="1" customWidth="1"/>
    <col min="8716" max="8716" width="6.28515625" style="94" customWidth="1"/>
    <col min="8717" max="8717" width="20.42578125" style="94" customWidth="1"/>
    <col min="8718" max="8718" width="6.42578125" style="94" bestFit="1" customWidth="1"/>
    <col min="8719" max="8720" width="8.42578125" style="94"/>
    <col min="8721" max="8721" width="3.28515625" style="94" customWidth="1"/>
    <col min="8722" max="8960" width="8.42578125" style="94"/>
    <col min="8961" max="8961" width="10" style="94" bestFit="1" customWidth="1"/>
    <col min="8962" max="8962" width="44.28515625" style="94" bestFit="1" customWidth="1"/>
    <col min="8963" max="8963" width="10.42578125" style="94" bestFit="1" customWidth="1"/>
    <col min="8964" max="8964" width="10.42578125" style="94" customWidth="1"/>
    <col min="8965" max="8965" width="9.7109375" style="94" bestFit="1" customWidth="1"/>
    <col min="8966" max="8967" width="9.5703125" style="94" bestFit="1" customWidth="1"/>
    <col min="8968" max="8968" width="10.42578125" style="94" bestFit="1" customWidth="1"/>
    <col min="8969" max="8969" width="4.5703125" style="94" customWidth="1"/>
    <col min="8970" max="8970" width="1.7109375" style="94" customWidth="1"/>
    <col min="8971" max="8971" width="7" style="94" bestFit="1" customWidth="1"/>
    <col min="8972" max="8972" width="6.28515625" style="94" customWidth="1"/>
    <col min="8973" max="8973" width="20.42578125" style="94" customWidth="1"/>
    <col min="8974" max="8974" width="6.42578125" style="94" bestFit="1" customWidth="1"/>
    <col min="8975" max="8976" width="8.42578125" style="94"/>
    <col min="8977" max="8977" width="3.28515625" style="94" customWidth="1"/>
    <col min="8978" max="9216" width="8.42578125" style="94"/>
    <col min="9217" max="9217" width="10" style="94" bestFit="1" customWidth="1"/>
    <col min="9218" max="9218" width="44.28515625" style="94" bestFit="1" customWidth="1"/>
    <col min="9219" max="9219" width="10.42578125" style="94" bestFit="1" customWidth="1"/>
    <col min="9220" max="9220" width="10.42578125" style="94" customWidth="1"/>
    <col min="9221" max="9221" width="9.7109375" style="94" bestFit="1" customWidth="1"/>
    <col min="9222" max="9223" width="9.5703125" style="94" bestFit="1" customWidth="1"/>
    <col min="9224" max="9224" width="10.42578125" style="94" bestFit="1" customWidth="1"/>
    <col min="9225" max="9225" width="4.5703125" style="94" customWidth="1"/>
    <col min="9226" max="9226" width="1.7109375" style="94" customWidth="1"/>
    <col min="9227" max="9227" width="7" style="94" bestFit="1" customWidth="1"/>
    <col min="9228" max="9228" width="6.28515625" style="94" customWidth="1"/>
    <col min="9229" max="9229" width="20.42578125" style="94" customWidth="1"/>
    <col min="9230" max="9230" width="6.42578125" style="94" bestFit="1" customWidth="1"/>
    <col min="9231" max="9232" width="8.42578125" style="94"/>
    <col min="9233" max="9233" width="3.28515625" style="94" customWidth="1"/>
    <col min="9234" max="9472" width="8.42578125" style="94"/>
    <col min="9473" max="9473" width="10" style="94" bestFit="1" customWidth="1"/>
    <col min="9474" max="9474" width="44.28515625" style="94" bestFit="1" customWidth="1"/>
    <col min="9475" max="9475" width="10.42578125" style="94" bestFit="1" customWidth="1"/>
    <col min="9476" max="9476" width="10.42578125" style="94" customWidth="1"/>
    <col min="9477" max="9477" width="9.7109375" style="94" bestFit="1" customWidth="1"/>
    <col min="9478" max="9479" width="9.5703125" style="94" bestFit="1" customWidth="1"/>
    <col min="9480" max="9480" width="10.42578125" style="94" bestFit="1" customWidth="1"/>
    <col min="9481" max="9481" width="4.5703125" style="94" customWidth="1"/>
    <col min="9482" max="9482" width="1.7109375" style="94" customWidth="1"/>
    <col min="9483" max="9483" width="7" style="94" bestFit="1" customWidth="1"/>
    <col min="9484" max="9484" width="6.28515625" style="94" customWidth="1"/>
    <col min="9485" max="9485" width="20.42578125" style="94" customWidth="1"/>
    <col min="9486" max="9486" width="6.42578125" style="94" bestFit="1" customWidth="1"/>
    <col min="9487" max="9488" width="8.42578125" style="94"/>
    <col min="9489" max="9489" width="3.28515625" style="94" customWidth="1"/>
    <col min="9490" max="9728" width="8.42578125" style="94"/>
    <col min="9729" max="9729" width="10" style="94" bestFit="1" customWidth="1"/>
    <col min="9730" max="9730" width="44.28515625" style="94" bestFit="1" customWidth="1"/>
    <col min="9731" max="9731" width="10.42578125" style="94" bestFit="1" customWidth="1"/>
    <col min="9732" max="9732" width="10.42578125" style="94" customWidth="1"/>
    <col min="9733" max="9733" width="9.7109375" style="94" bestFit="1" customWidth="1"/>
    <col min="9734" max="9735" width="9.5703125" style="94" bestFit="1" customWidth="1"/>
    <col min="9736" max="9736" width="10.42578125" style="94" bestFit="1" customWidth="1"/>
    <col min="9737" max="9737" width="4.5703125" style="94" customWidth="1"/>
    <col min="9738" max="9738" width="1.7109375" style="94" customWidth="1"/>
    <col min="9739" max="9739" width="7" style="94" bestFit="1" customWidth="1"/>
    <col min="9740" max="9740" width="6.28515625" style="94" customWidth="1"/>
    <col min="9741" max="9741" width="20.42578125" style="94" customWidth="1"/>
    <col min="9742" max="9742" width="6.42578125" style="94" bestFit="1" customWidth="1"/>
    <col min="9743" max="9744" width="8.42578125" style="94"/>
    <col min="9745" max="9745" width="3.28515625" style="94" customWidth="1"/>
    <col min="9746" max="9984" width="8.42578125" style="94"/>
    <col min="9985" max="9985" width="10" style="94" bestFit="1" customWidth="1"/>
    <col min="9986" max="9986" width="44.28515625" style="94" bestFit="1" customWidth="1"/>
    <col min="9987" max="9987" width="10.42578125" style="94" bestFit="1" customWidth="1"/>
    <col min="9988" max="9988" width="10.42578125" style="94" customWidth="1"/>
    <col min="9989" max="9989" width="9.7109375" style="94" bestFit="1" customWidth="1"/>
    <col min="9990" max="9991" width="9.5703125" style="94" bestFit="1" customWidth="1"/>
    <col min="9992" max="9992" width="10.42578125" style="94" bestFit="1" customWidth="1"/>
    <col min="9993" max="9993" width="4.5703125" style="94" customWidth="1"/>
    <col min="9994" max="9994" width="1.7109375" style="94" customWidth="1"/>
    <col min="9995" max="9995" width="7" style="94" bestFit="1" customWidth="1"/>
    <col min="9996" max="9996" width="6.28515625" style="94" customWidth="1"/>
    <col min="9997" max="9997" width="20.42578125" style="94" customWidth="1"/>
    <col min="9998" max="9998" width="6.42578125" style="94" bestFit="1" customWidth="1"/>
    <col min="9999" max="10000" width="8.42578125" style="94"/>
    <col min="10001" max="10001" width="3.28515625" style="94" customWidth="1"/>
    <col min="10002" max="10240" width="8.42578125" style="94"/>
    <col min="10241" max="10241" width="10" style="94" bestFit="1" customWidth="1"/>
    <col min="10242" max="10242" width="44.28515625" style="94" bestFit="1" customWidth="1"/>
    <col min="10243" max="10243" width="10.42578125" style="94" bestFit="1" customWidth="1"/>
    <col min="10244" max="10244" width="10.42578125" style="94" customWidth="1"/>
    <col min="10245" max="10245" width="9.7109375" style="94" bestFit="1" customWidth="1"/>
    <col min="10246" max="10247" width="9.5703125" style="94" bestFit="1" customWidth="1"/>
    <col min="10248" max="10248" width="10.42578125" style="94" bestFit="1" customWidth="1"/>
    <col min="10249" max="10249" width="4.5703125" style="94" customWidth="1"/>
    <col min="10250" max="10250" width="1.7109375" style="94" customWidth="1"/>
    <col min="10251" max="10251" width="7" style="94" bestFit="1" customWidth="1"/>
    <col min="10252" max="10252" width="6.28515625" style="94" customWidth="1"/>
    <col min="10253" max="10253" width="20.42578125" style="94" customWidth="1"/>
    <col min="10254" max="10254" width="6.42578125" style="94" bestFit="1" customWidth="1"/>
    <col min="10255" max="10256" width="8.42578125" style="94"/>
    <col min="10257" max="10257" width="3.28515625" style="94" customWidth="1"/>
    <col min="10258" max="10496" width="8.42578125" style="94"/>
    <col min="10497" max="10497" width="10" style="94" bestFit="1" customWidth="1"/>
    <col min="10498" max="10498" width="44.28515625" style="94" bestFit="1" customWidth="1"/>
    <col min="10499" max="10499" width="10.42578125" style="94" bestFit="1" customWidth="1"/>
    <col min="10500" max="10500" width="10.42578125" style="94" customWidth="1"/>
    <col min="10501" max="10501" width="9.7109375" style="94" bestFit="1" customWidth="1"/>
    <col min="10502" max="10503" width="9.5703125" style="94" bestFit="1" customWidth="1"/>
    <col min="10504" max="10504" width="10.42578125" style="94" bestFit="1" customWidth="1"/>
    <col min="10505" max="10505" width="4.5703125" style="94" customWidth="1"/>
    <col min="10506" max="10506" width="1.7109375" style="94" customWidth="1"/>
    <col min="10507" max="10507" width="7" style="94" bestFit="1" customWidth="1"/>
    <col min="10508" max="10508" width="6.28515625" style="94" customWidth="1"/>
    <col min="10509" max="10509" width="20.42578125" style="94" customWidth="1"/>
    <col min="10510" max="10510" width="6.42578125" style="94" bestFit="1" customWidth="1"/>
    <col min="10511" max="10512" width="8.42578125" style="94"/>
    <col min="10513" max="10513" width="3.28515625" style="94" customWidth="1"/>
    <col min="10514" max="10752" width="8.42578125" style="94"/>
    <col min="10753" max="10753" width="10" style="94" bestFit="1" customWidth="1"/>
    <col min="10754" max="10754" width="44.28515625" style="94" bestFit="1" customWidth="1"/>
    <col min="10755" max="10755" width="10.42578125" style="94" bestFit="1" customWidth="1"/>
    <col min="10756" max="10756" width="10.42578125" style="94" customWidth="1"/>
    <col min="10757" max="10757" width="9.7109375" style="94" bestFit="1" customWidth="1"/>
    <col min="10758" max="10759" width="9.5703125" style="94" bestFit="1" customWidth="1"/>
    <col min="10760" max="10760" width="10.42578125" style="94" bestFit="1" customWidth="1"/>
    <col min="10761" max="10761" width="4.5703125" style="94" customWidth="1"/>
    <col min="10762" max="10762" width="1.7109375" style="94" customWidth="1"/>
    <col min="10763" max="10763" width="7" style="94" bestFit="1" customWidth="1"/>
    <col min="10764" max="10764" width="6.28515625" style="94" customWidth="1"/>
    <col min="10765" max="10765" width="20.42578125" style="94" customWidth="1"/>
    <col min="10766" max="10766" width="6.42578125" style="94" bestFit="1" customWidth="1"/>
    <col min="10767" max="10768" width="8.42578125" style="94"/>
    <col min="10769" max="10769" width="3.28515625" style="94" customWidth="1"/>
    <col min="10770" max="11008" width="8.42578125" style="94"/>
    <col min="11009" max="11009" width="10" style="94" bestFit="1" customWidth="1"/>
    <col min="11010" max="11010" width="44.28515625" style="94" bestFit="1" customWidth="1"/>
    <col min="11011" max="11011" width="10.42578125" style="94" bestFit="1" customWidth="1"/>
    <col min="11012" max="11012" width="10.42578125" style="94" customWidth="1"/>
    <col min="11013" max="11013" width="9.7109375" style="94" bestFit="1" customWidth="1"/>
    <col min="11014" max="11015" width="9.5703125" style="94" bestFit="1" customWidth="1"/>
    <col min="11016" max="11016" width="10.42578125" style="94" bestFit="1" customWidth="1"/>
    <col min="11017" max="11017" width="4.5703125" style="94" customWidth="1"/>
    <col min="11018" max="11018" width="1.7109375" style="94" customWidth="1"/>
    <col min="11019" max="11019" width="7" style="94" bestFit="1" customWidth="1"/>
    <col min="11020" max="11020" width="6.28515625" style="94" customWidth="1"/>
    <col min="11021" max="11021" width="20.42578125" style="94" customWidth="1"/>
    <col min="11022" max="11022" width="6.42578125" style="94" bestFit="1" customWidth="1"/>
    <col min="11023" max="11024" width="8.42578125" style="94"/>
    <col min="11025" max="11025" width="3.28515625" style="94" customWidth="1"/>
    <col min="11026" max="11264" width="8.42578125" style="94"/>
    <col min="11265" max="11265" width="10" style="94" bestFit="1" customWidth="1"/>
    <col min="11266" max="11266" width="44.28515625" style="94" bestFit="1" customWidth="1"/>
    <col min="11267" max="11267" width="10.42578125" style="94" bestFit="1" customWidth="1"/>
    <col min="11268" max="11268" width="10.42578125" style="94" customWidth="1"/>
    <col min="11269" max="11269" width="9.7109375" style="94" bestFit="1" customWidth="1"/>
    <col min="11270" max="11271" width="9.5703125" style="94" bestFit="1" customWidth="1"/>
    <col min="11272" max="11272" width="10.42578125" style="94" bestFit="1" customWidth="1"/>
    <col min="11273" max="11273" width="4.5703125" style="94" customWidth="1"/>
    <col min="11274" max="11274" width="1.7109375" style="94" customWidth="1"/>
    <col min="11275" max="11275" width="7" style="94" bestFit="1" customWidth="1"/>
    <col min="11276" max="11276" width="6.28515625" style="94" customWidth="1"/>
    <col min="11277" max="11277" width="20.42578125" style="94" customWidth="1"/>
    <col min="11278" max="11278" width="6.42578125" style="94" bestFit="1" customWidth="1"/>
    <col min="11279" max="11280" width="8.42578125" style="94"/>
    <col min="11281" max="11281" width="3.28515625" style="94" customWidth="1"/>
    <col min="11282" max="11520" width="8.42578125" style="94"/>
    <col min="11521" max="11521" width="10" style="94" bestFit="1" customWidth="1"/>
    <col min="11522" max="11522" width="44.28515625" style="94" bestFit="1" customWidth="1"/>
    <col min="11523" max="11523" width="10.42578125" style="94" bestFit="1" customWidth="1"/>
    <col min="11524" max="11524" width="10.42578125" style="94" customWidth="1"/>
    <col min="11525" max="11525" width="9.7109375" style="94" bestFit="1" customWidth="1"/>
    <col min="11526" max="11527" width="9.5703125" style="94" bestFit="1" customWidth="1"/>
    <col min="11528" max="11528" width="10.42578125" style="94" bestFit="1" customWidth="1"/>
    <col min="11529" max="11529" width="4.5703125" style="94" customWidth="1"/>
    <col min="11530" max="11530" width="1.7109375" style="94" customWidth="1"/>
    <col min="11531" max="11531" width="7" style="94" bestFit="1" customWidth="1"/>
    <col min="11532" max="11532" width="6.28515625" style="94" customWidth="1"/>
    <col min="11533" max="11533" width="20.42578125" style="94" customWidth="1"/>
    <col min="11534" max="11534" width="6.42578125" style="94" bestFit="1" customWidth="1"/>
    <col min="11535" max="11536" width="8.42578125" style="94"/>
    <col min="11537" max="11537" width="3.28515625" style="94" customWidth="1"/>
    <col min="11538" max="11776" width="8.42578125" style="94"/>
    <col min="11777" max="11777" width="10" style="94" bestFit="1" customWidth="1"/>
    <col min="11778" max="11778" width="44.28515625" style="94" bestFit="1" customWidth="1"/>
    <col min="11779" max="11779" width="10.42578125" style="94" bestFit="1" customWidth="1"/>
    <col min="11780" max="11780" width="10.42578125" style="94" customWidth="1"/>
    <col min="11781" max="11781" width="9.7109375" style="94" bestFit="1" customWidth="1"/>
    <col min="11782" max="11783" width="9.5703125" style="94" bestFit="1" customWidth="1"/>
    <col min="11784" max="11784" width="10.42578125" style="94" bestFit="1" customWidth="1"/>
    <col min="11785" max="11785" width="4.5703125" style="94" customWidth="1"/>
    <col min="11786" max="11786" width="1.7109375" style="94" customWidth="1"/>
    <col min="11787" max="11787" width="7" style="94" bestFit="1" customWidth="1"/>
    <col min="11788" max="11788" width="6.28515625" style="94" customWidth="1"/>
    <col min="11789" max="11789" width="20.42578125" style="94" customWidth="1"/>
    <col min="11790" max="11790" width="6.42578125" style="94" bestFit="1" customWidth="1"/>
    <col min="11791" max="11792" width="8.42578125" style="94"/>
    <col min="11793" max="11793" width="3.28515625" style="94" customWidth="1"/>
    <col min="11794" max="12032" width="8.42578125" style="94"/>
    <col min="12033" max="12033" width="10" style="94" bestFit="1" customWidth="1"/>
    <col min="12034" max="12034" width="44.28515625" style="94" bestFit="1" customWidth="1"/>
    <col min="12035" max="12035" width="10.42578125" style="94" bestFit="1" customWidth="1"/>
    <col min="12036" max="12036" width="10.42578125" style="94" customWidth="1"/>
    <col min="12037" max="12037" width="9.7109375" style="94" bestFit="1" customWidth="1"/>
    <col min="12038" max="12039" width="9.5703125" style="94" bestFit="1" customWidth="1"/>
    <col min="12040" max="12040" width="10.42578125" style="94" bestFit="1" customWidth="1"/>
    <col min="12041" max="12041" width="4.5703125" style="94" customWidth="1"/>
    <col min="12042" max="12042" width="1.7109375" style="94" customWidth="1"/>
    <col min="12043" max="12043" width="7" style="94" bestFit="1" customWidth="1"/>
    <col min="12044" max="12044" width="6.28515625" style="94" customWidth="1"/>
    <col min="12045" max="12045" width="20.42578125" style="94" customWidth="1"/>
    <col min="12046" max="12046" width="6.42578125" style="94" bestFit="1" customWidth="1"/>
    <col min="12047" max="12048" width="8.42578125" style="94"/>
    <col min="12049" max="12049" width="3.28515625" style="94" customWidth="1"/>
    <col min="12050" max="12288" width="8.42578125" style="94"/>
    <col min="12289" max="12289" width="10" style="94" bestFit="1" customWidth="1"/>
    <col min="12290" max="12290" width="44.28515625" style="94" bestFit="1" customWidth="1"/>
    <col min="12291" max="12291" width="10.42578125" style="94" bestFit="1" customWidth="1"/>
    <col min="12292" max="12292" width="10.42578125" style="94" customWidth="1"/>
    <col min="12293" max="12293" width="9.7109375" style="94" bestFit="1" customWidth="1"/>
    <col min="12294" max="12295" width="9.5703125" style="94" bestFit="1" customWidth="1"/>
    <col min="12296" max="12296" width="10.42578125" style="94" bestFit="1" customWidth="1"/>
    <col min="12297" max="12297" width="4.5703125" style="94" customWidth="1"/>
    <col min="12298" max="12298" width="1.7109375" style="94" customWidth="1"/>
    <col min="12299" max="12299" width="7" style="94" bestFit="1" customWidth="1"/>
    <col min="12300" max="12300" width="6.28515625" style="94" customWidth="1"/>
    <col min="12301" max="12301" width="20.42578125" style="94" customWidth="1"/>
    <col min="12302" max="12302" width="6.42578125" style="94" bestFit="1" customWidth="1"/>
    <col min="12303" max="12304" width="8.42578125" style="94"/>
    <col min="12305" max="12305" width="3.28515625" style="94" customWidth="1"/>
    <col min="12306" max="12544" width="8.42578125" style="94"/>
    <col min="12545" max="12545" width="10" style="94" bestFit="1" customWidth="1"/>
    <col min="12546" max="12546" width="44.28515625" style="94" bestFit="1" customWidth="1"/>
    <col min="12547" max="12547" width="10.42578125" style="94" bestFit="1" customWidth="1"/>
    <col min="12548" max="12548" width="10.42578125" style="94" customWidth="1"/>
    <col min="12549" max="12549" width="9.7109375" style="94" bestFit="1" customWidth="1"/>
    <col min="12550" max="12551" width="9.5703125" style="94" bestFit="1" customWidth="1"/>
    <col min="12552" max="12552" width="10.42578125" style="94" bestFit="1" customWidth="1"/>
    <col min="12553" max="12553" width="4.5703125" style="94" customWidth="1"/>
    <col min="12554" max="12554" width="1.7109375" style="94" customWidth="1"/>
    <col min="12555" max="12555" width="7" style="94" bestFit="1" customWidth="1"/>
    <col min="12556" max="12556" width="6.28515625" style="94" customWidth="1"/>
    <col min="12557" max="12557" width="20.42578125" style="94" customWidth="1"/>
    <col min="12558" max="12558" width="6.42578125" style="94" bestFit="1" customWidth="1"/>
    <col min="12559" max="12560" width="8.42578125" style="94"/>
    <col min="12561" max="12561" width="3.28515625" style="94" customWidth="1"/>
    <col min="12562" max="12800" width="8.42578125" style="94"/>
    <col min="12801" max="12801" width="10" style="94" bestFit="1" customWidth="1"/>
    <col min="12802" max="12802" width="44.28515625" style="94" bestFit="1" customWidth="1"/>
    <col min="12803" max="12803" width="10.42578125" style="94" bestFit="1" customWidth="1"/>
    <col min="12804" max="12804" width="10.42578125" style="94" customWidth="1"/>
    <col min="12805" max="12805" width="9.7109375" style="94" bestFit="1" customWidth="1"/>
    <col min="12806" max="12807" width="9.5703125" style="94" bestFit="1" customWidth="1"/>
    <col min="12808" max="12808" width="10.42578125" style="94" bestFit="1" customWidth="1"/>
    <col min="12809" max="12809" width="4.5703125" style="94" customWidth="1"/>
    <col min="12810" max="12810" width="1.7109375" style="94" customWidth="1"/>
    <col min="12811" max="12811" width="7" style="94" bestFit="1" customWidth="1"/>
    <col min="12812" max="12812" width="6.28515625" style="94" customWidth="1"/>
    <col min="12813" max="12813" width="20.42578125" style="94" customWidth="1"/>
    <col min="12814" max="12814" width="6.42578125" style="94" bestFit="1" customWidth="1"/>
    <col min="12815" max="12816" width="8.42578125" style="94"/>
    <col min="12817" max="12817" width="3.28515625" style="94" customWidth="1"/>
    <col min="12818" max="13056" width="8.42578125" style="94"/>
    <col min="13057" max="13057" width="10" style="94" bestFit="1" customWidth="1"/>
    <col min="13058" max="13058" width="44.28515625" style="94" bestFit="1" customWidth="1"/>
    <col min="13059" max="13059" width="10.42578125" style="94" bestFit="1" customWidth="1"/>
    <col min="13060" max="13060" width="10.42578125" style="94" customWidth="1"/>
    <col min="13061" max="13061" width="9.7109375" style="94" bestFit="1" customWidth="1"/>
    <col min="13062" max="13063" width="9.5703125" style="94" bestFit="1" customWidth="1"/>
    <col min="13064" max="13064" width="10.42578125" style="94" bestFit="1" customWidth="1"/>
    <col min="13065" max="13065" width="4.5703125" style="94" customWidth="1"/>
    <col min="13066" max="13066" width="1.7109375" style="94" customWidth="1"/>
    <col min="13067" max="13067" width="7" style="94" bestFit="1" customWidth="1"/>
    <col min="13068" max="13068" width="6.28515625" style="94" customWidth="1"/>
    <col min="13069" max="13069" width="20.42578125" style="94" customWidth="1"/>
    <col min="13070" max="13070" width="6.42578125" style="94" bestFit="1" customWidth="1"/>
    <col min="13071" max="13072" width="8.42578125" style="94"/>
    <col min="13073" max="13073" width="3.28515625" style="94" customWidth="1"/>
    <col min="13074" max="13312" width="8.42578125" style="94"/>
    <col min="13313" max="13313" width="10" style="94" bestFit="1" customWidth="1"/>
    <col min="13314" max="13314" width="44.28515625" style="94" bestFit="1" customWidth="1"/>
    <col min="13315" max="13315" width="10.42578125" style="94" bestFit="1" customWidth="1"/>
    <col min="13316" max="13316" width="10.42578125" style="94" customWidth="1"/>
    <col min="13317" max="13317" width="9.7109375" style="94" bestFit="1" customWidth="1"/>
    <col min="13318" max="13319" width="9.5703125" style="94" bestFit="1" customWidth="1"/>
    <col min="13320" max="13320" width="10.42578125" style="94" bestFit="1" customWidth="1"/>
    <col min="13321" max="13321" width="4.5703125" style="94" customWidth="1"/>
    <col min="13322" max="13322" width="1.7109375" style="94" customWidth="1"/>
    <col min="13323" max="13323" width="7" style="94" bestFit="1" customWidth="1"/>
    <col min="13324" max="13324" width="6.28515625" style="94" customWidth="1"/>
    <col min="13325" max="13325" width="20.42578125" style="94" customWidth="1"/>
    <col min="13326" max="13326" width="6.42578125" style="94" bestFit="1" customWidth="1"/>
    <col min="13327" max="13328" width="8.42578125" style="94"/>
    <col min="13329" max="13329" width="3.28515625" style="94" customWidth="1"/>
    <col min="13330" max="13568" width="8.42578125" style="94"/>
    <col min="13569" max="13569" width="10" style="94" bestFit="1" customWidth="1"/>
    <col min="13570" max="13570" width="44.28515625" style="94" bestFit="1" customWidth="1"/>
    <col min="13571" max="13571" width="10.42578125" style="94" bestFit="1" customWidth="1"/>
    <col min="13572" max="13572" width="10.42578125" style="94" customWidth="1"/>
    <col min="13573" max="13573" width="9.7109375" style="94" bestFit="1" customWidth="1"/>
    <col min="13574" max="13575" width="9.5703125" style="94" bestFit="1" customWidth="1"/>
    <col min="13576" max="13576" width="10.42578125" style="94" bestFit="1" customWidth="1"/>
    <col min="13577" max="13577" width="4.5703125" style="94" customWidth="1"/>
    <col min="13578" max="13578" width="1.7109375" style="94" customWidth="1"/>
    <col min="13579" max="13579" width="7" style="94" bestFit="1" customWidth="1"/>
    <col min="13580" max="13580" width="6.28515625" style="94" customWidth="1"/>
    <col min="13581" max="13581" width="20.42578125" style="94" customWidth="1"/>
    <col min="13582" max="13582" width="6.42578125" style="94" bestFit="1" customWidth="1"/>
    <col min="13583" max="13584" width="8.42578125" style="94"/>
    <col min="13585" max="13585" width="3.28515625" style="94" customWidth="1"/>
    <col min="13586" max="13824" width="8.42578125" style="94"/>
    <col min="13825" max="13825" width="10" style="94" bestFit="1" customWidth="1"/>
    <col min="13826" max="13826" width="44.28515625" style="94" bestFit="1" customWidth="1"/>
    <col min="13827" max="13827" width="10.42578125" style="94" bestFit="1" customWidth="1"/>
    <col min="13828" max="13828" width="10.42578125" style="94" customWidth="1"/>
    <col min="13829" max="13829" width="9.7109375" style="94" bestFit="1" customWidth="1"/>
    <col min="13830" max="13831" width="9.5703125" style="94" bestFit="1" customWidth="1"/>
    <col min="13832" max="13832" width="10.42578125" style="94" bestFit="1" customWidth="1"/>
    <col min="13833" max="13833" width="4.5703125" style="94" customWidth="1"/>
    <col min="13834" max="13834" width="1.7109375" style="94" customWidth="1"/>
    <col min="13835" max="13835" width="7" style="94" bestFit="1" customWidth="1"/>
    <col min="13836" max="13836" width="6.28515625" style="94" customWidth="1"/>
    <col min="13837" max="13837" width="20.42578125" style="94" customWidth="1"/>
    <col min="13838" max="13838" width="6.42578125" style="94" bestFit="1" customWidth="1"/>
    <col min="13839" max="13840" width="8.42578125" style="94"/>
    <col min="13841" max="13841" width="3.28515625" style="94" customWidth="1"/>
    <col min="13842" max="14080" width="8.42578125" style="94"/>
    <col min="14081" max="14081" width="10" style="94" bestFit="1" customWidth="1"/>
    <col min="14082" max="14082" width="44.28515625" style="94" bestFit="1" customWidth="1"/>
    <col min="14083" max="14083" width="10.42578125" style="94" bestFit="1" customWidth="1"/>
    <col min="14084" max="14084" width="10.42578125" style="94" customWidth="1"/>
    <col min="14085" max="14085" width="9.7109375" style="94" bestFit="1" customWidth="1"/>
    <col min="14086" max="14087" width="9.5703125" style="94" bestFit="1" customWidth="1"/>
    <col min="14088" max="14088" width="10.42578125" style="94" bestFit="1" customWidth="1"/>
    <col min="14089" max="14089" width="4.5703125" style="94" customWidth="1"/>
    <col min="14090" max="14090" width="1.7109375" style="94" customWidth="1"/>
    <col min="14091" max="14091" width="7" style="94" bestFit="1" customWidth="1"/>
    <col min="14092" max="14092" width="6.28515625" style="94" customWidth="1"/>
    <col min="14093" max="14093" width="20.42578125" style="94" customWidth="1"/>
    <col min="14094" max="14094" width="6.42578125" style="94" bestFit="1" customWidth="1"/>
    <col min="14095" max="14096" width="8.42578125" style="94"/>
    <col min="14097" max="14097" width="3.28515625" style="94" customWidth="1"/>
    <col min="14098" max="14336" width="8.42578125" style="94"/>
    <col min="14337" max="14337" width="10" style="94" bestFit="1" customWidth="1"/>
    <col min="14338" max="14338" width="44.28515625" style="94" bestFit="1" customWidth="1"/>
    <col min="14339" max="14339" width="10.42578125" style="94" bestFit="1" customWidth="1"/>
    <col min="14340" max="14340" width="10.42578125" style="94" customWidth="1"/>
    <col min="14341" max="14341" width="9.7109375" style="94" bestFit="1" customWidth="1"/>
    <col min="14342" max="14343" width="9.5703125" style="94" bestFit="1" customWidth="1"/>
    <col min="14344" max="14344" width="10.42578125" style="94" bestFit="1" customWidth="1"/>
    <col min="14345" max="14345" width="4.5703125" style="94" customWidth="1"/>
    <col min="14346" max="14346" width="1.7109375" style="94" customWidth="1"/>
    <col min="14347" max="14347" width="7" style="94" bestFit="1" customWidth="1"/>
    <col min="14348" max="14348" width="6.28515625" style="94" customWidth="1"/>
    <col min="14349" max="14349" width="20.42578125" style="94" customWidth="1"/>
    <col min="14350" max="14350" width="6.42578125" style="94" bestFit="1" customWidth="1"/>
    <col min="14351" max="14352" width="8.42578125" style="94"/>
    <col min="14353" max="14353" width="3.28515625" style="94" customWidth="1"/>
    <col min="14354" max="14592" width="8.42578125" style="94"/>
    <col min="14593" max="14593" width="10" style="94" bestFit="1" customWidth="1"/>
    <col min="14594" max="14594" width="44.28515625" style="94" bestFit="1" customWidth="1"/>
    <col min="14595" max="14595" width="10.42578125" style="94" bestFit="1" customWidth="1"/>
    <col min="14596" max="14596" width="10.42578125" style="94" customWidth="1"/>
    <col min="14597" max="14597" width="9.7109375" style="94" bestFit="1" customWidth="1"/>
    <col min="14598" max="14599" width="9.5703125" style="94" bestFit="1" customWidth="1"/>
    <col min="14600" max="14600" width="10.42578125" style="94" bestFit="1" customWidth="1"/>
    <col min="14601" max="14601" width="4.5703125" style="94" customWidth="1"/>
    <col min="14602" max="14602" width="1.7109375" style="94" customWidth="1"/>
    <col min="14603" max="14603" width="7" style="94" bestFit="1" customWidth="1"/>
    <col min="14604" max="14604" width="6.28515625" style="94" customWidth="1"/>
    <col min="14605" max="14605" width="20.42578125" style="94" customWidth="1"/>
    <col min="14606" max="14606" width="6.42578125" style="94" bestFit="1" customWidth="1"/>
    <col min="14607" max="14608" width="8.42578125" style="94"/>
    <col min="14609" max="14609" width="3.28515625" style="94" customWidth="1"/>
    <col min="14610" max="14848" width="8.42578125" style="94"/>
    <col min="14849" max="14849" width="10" style="94" bestFit="1" customWidth="1"/>
    <col min="14850" max="14850" width="44.28515625" style="94" bestFit="1" customWidth="1"/>
    <col min="14851" max="14851" width="10.42578125" style="94" bestFit="1" customWidth="1"/>
    <col min="14852" max="14852" width="10.42578125" style="94" customWidth="1"/>
    <col min="14853" max="14853" width="9.7109375" style="94" bestFit="1" customWidth="1"/>
    <col min="14854" max="14855" width="9.5703125" style="94" bestFit="1" customWidth="1"/>
    <col min="14856" max="14856" width="10.42578125" style="94" bestFit="1" customWidth="1"/>
    <col min="14857" max="14857" width="4.5703125" style="94" customWidth="1"/>
    <col min="14858" max="14858" width="1.7109375" style="94" customWidth="1"/>
    <col min="14859" max="14859" width="7" style="94" bestFit="1" customWidth="1"/>
    <col min="14860" max="14860" width="6.28515625" style="94" customWidth="1"/>
    <col min="14861" max="14861" width="20.42578125" style="94" customWidth="1"/>
    <col min="14862" max="14862" width="6.42578125" style="94" bestFit="1" customWidth="1"/>
    <col min="14863" max="14864" width="8.42578125" style="94"/>
    <col min="14865" max="14865" width="3.28515625" style="94" customWidth="1"/>
    <col min="14866" max="15104" width="8.42578125" style="94"/>
    <col min="15105" max="15105" width="10" style="94" bestFit="1" customWidth="1"/>
    <col min="15106" max="15106" width="44.28515625" style="94" bestFit="1" customWidth="1"/>
    <col min="15107" max="15107" width="10.42578125" style="94" bestFit="1" customWidth="1"/>
    <col min="15108" max="15108" width="10.42578125" style="94" customWidth="1"/>
    <col min="15109" max="15109" width="9.7109375" style="94" bestFit="1" customWidth="1"/>
    <col min="15110" max="15111" width="9.5703125" style="94" bestFit="1" customWidth="1"/>
    <col min="15112" max="15112" width="10.42578125" style="94" bestFit="1" customWidth="1"/>
    <col min="15113" max="15113" width="4.5703125" style="94" customWidth="1"/>
    <col min="15114" max="15114" width="1.7109375" style="94" customWidth="1"/>
    <col min="15115" max="15115" width="7" style="94" bestFit="1" customWidth="1"/>
    <col min="15116" max="15116" width="6.28515625" style="94" customWidth="1"/>
    <col min="15117" max="15117" width="20.42578125" style="94" customWidth="1"/>
    <col min="15118" max="15118" width="6.42578125" style="94" bestFit="1" customWidth="1"/>
    <col min="15119" max="15120" width="8.42578125" style="94"/>
    <col min="15121" max="15121" width="3.28515625" style="94" customWidth="1"/>
    <col min="15122" max="15360" width="8.42578125" style="94"/>
    <col min="15361" max="15361" width="10" style="94" bestFit="1" customWidth="1"/>
    <col min="15362" max="15362" width="44.28515625" style="94" bestFit="1" customWidth="1"/>
    <col min="15363" max="15363" width="10.42578125" style="94" bestFit="1" customWidth="1"/>
    <col min="15364" max="15364" width="10.42578125" style="94" customWidth="1"/>
    <col min="15365" max="15365" width="9.7109375" style="94" bestFit="1" customWidth="1"/>
    <col min="15366" max="15367" width="9.5703125" style="94" bestFit="1" customWidth="1"/>
    <col min="15368" max="15368" width="10.42578125" style="94" bestFit="1" customWidth="1"/>
    <col min="15369" max="15369" width="4.5703125" style="94" customWidth="1"/>
    <col min="15370" max="15370" width="1.7109375" style="94" customWidth="1"/>
    <col min="15371" max="15371" width="7" style="94" bestFit="1" customWidth="1"/>
    <col min="15372" max="15372" width="6.28515625" style="94" customWidth="1"/>
    <col min="15373" max="15373" width="20.42578125" style="94" customWidth="1"/>
    <col min="15374" max="15374" width="6.42578125" style="94" bestFit="1" customWidth="1"/>
    <col min="15375" max="15376" width="8.42578125" style="94"/>
    <col min="15377" max="15377" width="3.28515625" style="94" customWidth="1"/>
    <col min="15378" max="15616" width="8.42578125" style="94"/>
    <col min="15617" max="15617" width="10" style="94" bestFit="1" customWidth="1"/>
    <col min="15618" max="15618" width="44.28515625" style="94" bestFit="1" customWidth="1"/>
    <col min="15619" max="15619" width="10.42578125" style="94" bestFit="1" customWidth="1"/>
    <col min="15620" max="15620" width="10.42578125" style="94" customWidth="1"/>
    <col min="15621" max="15621" width="9.7109375" style="94" bestFit="1" customWidth="1"/>
    <col min="15622" max="15623" width="9.5703125" style="94" bestFit="1" customWidth="1"/>
    <col min="15624" max="15624" width="10.42578125" style="94" bestFit="1" customWidth="1"/>
    <col min="15625" max="15625" width="4.5703125" style="94" customWidth="1"/>
    <col min="15626" max="15626" width="1.7109375" style="94" customWidth="1"/>
    <col min="15627" max="15627" width="7" style="94" bestFit="1" customWidth="1"/>
    <col min="15628" max="15628" width="6.28515625" style="94" customWidth="1"/>
    <col min="15629" max="15629" width="20.42578125" style="94" customWidth="1"/>
    <col min="15630" max="15630" width="6.42578125" style="94" bestFit="1" customWidth="1"/>
    <col min="15631" max="15632" width="8.42578125" style="94"/>
    <col min="15633" max="15633" width="3.28515625" style="94" customWidth="1"/>
    <col min="15634" max="15872" width="8.42578125" style="94"/>
    <col min="15873" max="15873" width="10" style="94" bestFit="1" customWidth="1"/>
    <col min="15874" max="15874" width="44.28515625" style="94" bestFit="1" customWidth="1"/>
    <col min="15875" max="15875" width="10.42578125" style="94" bestFit="1" customWidth="1"/>
    <col min="15876" max="15876" width="10.42578125" style="94" customWidth="1"/>
    <col min="15877" max="15877" width="9.7109375" style="94" bestFit="1" customWidth="1"/>
    <col min="15878" max="15879" width="9.5703125" style="94" bestFit="1" customWidth="1"/>
    <col min="15880" max="15880" width="10.42578125" style="94" bestFit="1" customWidth="1"/>
    <col min="15881" max="15881" width="4.5703125" style="94" customWidth="1"/>
    <col min="15882" max="15882" width="1.7109375" style="94" customWidth="1"/>
    <col min="15883" max="15883" width="7" style="94" bestFit="1" customWidth="1"/>
    <col min="15884" max="15884" width="6.28515625" style="94" customWidth="1"/>
    <col min="15885" max="15885" width="20.42578125" style="94" customWidth="1"/>
    <col min="15886" max="15886" width="6.42578125" style="94" bestFit="1" customWidth="1"/>
    <col min="15887" max="15888" width="8.42578125" style="94"/>
    <col min="15889" max="15889" width="3.28515625" style="94" customWidth="1"/>
    <col min="15890" max="16128" width="8.42578125" style="94"/>
    <col min="16129" max="16129" width="10" style="94" bestFit="1" customWidth="1"/>
    <col min="16130" max="16130" width="44.28515625" style="94" bestFit="1" customWidth="1"/>
    <col min="16131" max="16131" width="10.42578125" style="94" bestFit="1" customWidth="1"/>
    <col min="16132" max="16132" width="10.42578125" style="94" customWidth="1"/>
    <col min="16133" max="16133" width="9.7109375" style="94" bestFit="1" customWidth="1"/>
    <col min="16134" max="16135" width="9.5703125" style="94" bestFit="1" customWidth="1"/>
    <col min="16136" max="16136" width="10.42578125" style="94" bestFit="1" customWidth="1"/>
    <col min="16137" max="16137" width="4.5703125" style="94" customWidth="1"/>
    <col min="16138" max="16138" width="1.7109375" style="94" customWidth="1"/>
    <col min="16139" max="16139" width="7" style="94" bestFit="1" customWidth="1"/>
    <col min="16140" max="16140" width="6.28515625" style="94" customWidth="1"/>
    <col min="16141" max="16141" width="20.42578125" style="94" customWidth="1"/>
    <col min="16142" max="16142" width="6.42578125" style="94" bestFit="1" customWidth="1"/>
    <col min="16143" max="16144" width="8.42578125" style="94"/>
    <col min="16145" max="16145" width="3.28515625" style="94" customWidth="1"/>
    <col min="16146" max="16384" width="8.42578125" style="94"/>
  </cols>
  <sheetData>
    <row r="1" spans="1:10" ht="27.75" customHeight="1" x14ac:dyDescent="0.25">
      <c r="A1" s="89"/>
      <c r="B1" s="89"/>
      <c r="C1" s="89"/>
      <c r="D1" s="89"/>
      <c r="E1" s="90" t="s">
        <v>132</v>
      </c>
      <c r="F1" s="91" t="s">
        <v>133</v>
      </c>
      <c r="G1" s="91" t="s">
        <v>134</v>
      </c>
      <c r="H1" s="91" t="s">
        <v>135</v>
      </c>
      <c r="I1" s="92"/>
    </row>
    <row r="2" spans="1:10" ht="30.75" customHeight="1" x14ac:dyDescent="0.25">
      <c r="A2" s="89"/>
      <c r="B2" s="89"/>
      <c r="C2" s="89"/>
      <c r="D2" s="89"/>
      <c r="E2" s="95">
        <f>IFERROR(O62,"")</f>
        <v>28987.455000000002</v>
      </c>
      <c r="F2" s="95">
        <f>IFERROR(H53,"")</f>
        <v>26250.455000000002</v>
      </c>
      <c r="G2" s="95">
        <f>IFERROR(H54,"")</f>
        <v>0</v>
      </c>
      <c r="H2" s="95">
        <f>IFERROR(H56,"")</f>
        <v>1403</v>
      </c>
      <c r="I2" s="96"/>
    </row>
    <row r="3" spans="1:10" ht="15" customHeight="1" x14ac:dyDescent="0.25">
      <c r="A3" s="89"/>
      <c r="B3" s="89"/>
      <c r="C3" s="89"/>
      <c r="D3" s="89"/>
      <c r="E3" s="89"/>
      <c r="F3" s="97"/>
      <c r="G3" s="97"/>
      <c r="H3" s="97"/>
      <c r="I3" s="97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8"/>
    </row>
    <row r="5" spans="1:10" ht="19.5" customHeight="1" thickBot="1" x14ac:dyDescent="0.3">
      <c r="A5" s="358" t="s">
        <v>136</v>
      </c>
      <c r="B5" s="359"/>
      <c r="C5" s="359"/>
      <c r="D5" s="359"/>
      <c r="E5" s="359"/>
      <c r="F5" s="359"/>
      <c r="G5" s="359"/>
      <c r="H5" s="360"/>
      <c r="I5" s="99"/>
    </row>
    <row r="6" spans="1:10" ht="19.5" thickBot="1" x14ac:dyDescent="0.3">
      <c r="A6" s="99"/>
      <c r="B6" s="99"/>
      <c r="C6" s="99"/>
      <c r="D6" s="99"/>
      <c r="E6" s="99"/>
      <c r="F6" s="361" t="s">
        <v>137</v>
      </c>
      <c r="G6" s="361"/>
      <c r="H6" s="100">
        <f ca="1">TODAY()</f>
        <v>45776</v>
      </c>
      <c r="I6" s="100"/>
    </row>
    <row r="7" spans="1:10" ht="26.25" thickBot="1" x14ac:dyDescent="0.3">
      <c r="A7" s="101" t="s">
        <v>138</v>
      </c>
      <c r="B7" s="102" t="s">
        <v>139</v>
      </c>
      <c r="C7" s="102" t="s">
        <v>138</v>
      </c>
      <c r="D7" s="103" t="s">
        <v>140</v>
      </c>
      <c r="E7" s="103" t="s">
        <v>141</v>
      </c>
      <c r="F7" s="103" t="s">
        <v>142</v>
      </c>
      <c r="G7" s="103" t="s">
        <v>143</v>
      </c>
      <c r="H7" s="104" t="s">
        <v>144</v>
      </c>
      <c r="I7" s="105"/>
    </row>
    <row r="8" spans="1:10" ht="13.5" x14ac:dyDescent="0.25">
      <c r="A8" s="106">
        <v>3500</v>
      </c>
      <c r="B8" s="94" t="str">
        <f>IFERROR(VLOOKUP(H8,'[1]Consolidado MP Planta'!$A$2:$M$823,3,0),"")</f>
        <v>CREMA PRESTIGE GRAND (UND:4 K) *</v>
      </c>
      <c r="C8" s="107">
        <f>+A8</f>
        <v>3500</v>
      </c>
      <c r="D8" s="108" t="str">
        <f>IFERROR(VLOOKUP(H8,'[1]Consolidado MP Planta'!$A$2:$M$823,13,0),"")</f>
        <v>Gramos</v>
      </c>
      <c r="E8" s="108">
        <f>IFERROR(VLOOKUP(H8,'[1]Consolidado MP Planta'!$A$2:$M$823,12,0),"")</f>
        <v>2.2537500000000001</v>
      </c>
      <c r="F8" s="108">
        <f>IFERROR(C8*E8,"")</f>
        <v>7888.1250000000009</v>
      </c>
      <c r="G8" s="109">
        <f t="shared" ref="G8:G14" si="0">IFERROR(F8/$F$66,"")</f>
        <v>0.28804058135352179</v>
      </c>
      <c r="H8" s="110" t="s">
        <v>185</v>
      </c>
      <c r="I8" s="110"/>
      <c r="J8" s="111"/>
    </row>
    <row r="9" spans="1:10" ht="13.5" x14ac:dyDescent="0.25">
      <c r="A9" s="106">
        <v>100</v>
      </c>
      <c r="B9" s="94" t="s">
        <v>62</v>
      </c>
      <c r="C9" s="107">
        <f t="shared" ref="C9:C14" si="1">+A9</f>
        <v>100</v>
      </c>
      <c r="D9" s="108" t="s">
        <v>188</v>
      </c>
      <c r="E9" s="108">
        <v>13.01</v>
      </c>
      <c r="F9" s="108">
        <f t="shared" ref="F9:F14" si="2">IFERROR(C9*E9,"")</f>
        <v>1301</v>
      </c>
      <c r="G9" s="109">
        <f t="shared" si="0"/>
        <v>4.7506954611004744E-2</v>
      </c>
      <c r="H9" s="110" t="s">
        <v>187</v>
      </c>
      <c r="I9" s="110"/>
      <c r="J9" s="111"/>
    </row>
    <row r="10" spans="1:10" ht="13.5" hidden="1" x14ac:dyDescent="0.25">
      <c r="A10" s="106"/>
      <c r="B10" s="94" t="str">
        <f>IFERROR(VLOOKUP(H10,'[1]Consolidado MP Planta'!$A$2:$M$823,3,0),"")</f>
        <v/>
      </c>
      <c r="C10" s="107">
        <f t="shared" si="1"/>
        <v>0</v>
      </c>
      <c r="D10" s="108" t="str">
        <f>IFERROR(VLOOKUP(H10,'[1]Consolidado MP Planta'!$A$2:$M$823,13,0),"")</f>
        <v/>
      </c>
      <c r="E10" s="108" t="str">
        <f>IFERROR(VLOOKUP(H10,'[1]Consolidado MP Planta'!$A$2:$M$823,12,0),"")</f>
        <v/>
      </c>
      <c r="F10" s="108" t="str">
        <f t="shared" si="2"/>
        <v/>
      </c>
      <c r="G10" s="109" t="str">
        <f t="shared" si="0"/>
        <v/>
      </c>
      <c r="H10" s="110"/>
      <c r="I10" s="110"/>
      <c r="J10" s="111"/>
    </row>
    <row r="11" spans="1:10" ht="13.5" hidden="1" x14ac:dyDescent="0.25">
      <c r="A11" s="106"/>
      <c r="B11" s="94" t="str">
        <f>IFERROR(VLOOKUP(H11,'[1]Consolidado MP Planta'!$A$2:$M$823,3,0),"")</f>
        <v/>
      </c>
      <c r="C11" s="107">
        <f t="shared" si="1"/>
        <v>0</v>
      </c>
      <c r="D11" s="108" t="str">
        <f>IFERROR(VLOOKUP(H11,'[1]Consolidado MP Planta'!$A$2:$M$823,13,0),"")</f>
        <v/>
      </c>
      <c r="E11" s="108" t="str">
        <f>IFERROR(VLOOKUP(H11,'[1]Consolidado MP Planta'!$A$2:$M$823,12,0),"")</f>
        <v/>
      </c>
      <c r="F11" s="108" t="str">
        <f t="shared" si="2"/>
        <v/>
      </c>
      <c r="G11" s="109" t="str">
        <f t="shared" si="0"/>
        <v/>
      </c>
      <c r="H11" s="110"/>
      <c r="I11" s="110"/>
      <c r="J11" s="111"/>
    </row>
    <row r="12" spans="1:10" ht="13.5" hidden="1" x14ac:dyDescent="0.25">
      <c r="A12" s="106"/>
      <c r="B12" s="94" t="str">
        <f>IFERROR(VLOOKUP(H12,'[1]Consolidado MP Planta'!$A$2:$M$823,3,0),"")</f>
        <v/>
      </c>
      <c r="C12" s="107">
        <f t="shared" si="1"/>
        <v>0</v>
      </c>
      <c r="D12" s="108" t="str">
        <f>IFERROR(VLOOKUP(H12,'[1]Consolidado MP Planta'!$A$2:$M$823,13,0),"")</f>
        <v/>
      </c>
      <c r="E12" s="108" t="str">
        <f>IFERROR(VLOOKUP(H12,'[1]Consolidado MP Planta'!$A$2:$M$823,12,0),"")</f>
        <v/>
      </c>
      <c r="F12" s="108" t="str">
        <f t="shared" si="2"/>
        <v/>
      </c>
      <c r="G12" s="109" t="str">
        <f t="shared" si="0"/>
        <v/>
      </c>
      <c r="H12" s="110"/>
      <c r="I12" s="110"/>
      <c r="J12" s="111"/>
    </row>
    <row r="13" spans="1:10" ht="13.5" hidden="1" x14ac:dyDescent="0.25">
      <c r="A13" s="106"/>
      <c r="B13" s="94" t="str">
        <f>IFERROR(VLOOKUP(H13,'[1]Consolidado MP Planta'!$A$2:$M$823,3,0),"")</f>
        <v/>
      </c>
      <c r="C13" s="107">
        <f t="shared" si="1"/>
        <v>0</v>
      </c>
      <c r="D13" s="108" t="str">
        <f>IFERROR(VLOOKUP(H13,'[1]Consolidado MP Planta'!$A$2:$M$823,13,0),"")</f>
        <v/>
      </c>
      <c r="E13" s="108" t="str">
        <f>IFERROR(VLOOKUP(H13,'[1]Consolidado MP Planta'!$A$2:$M$823,12,0),"")</f>
        <v/>
      </c>
      <c r="F13" s="108" t="str">
        <f t="shared" si="2"/>
        <v/>
      </c>
      <c r="G13" s="109" t="str">
        <f t="shared" si="0"/>
        <v/>
      </c>
      <c r="H13" s="110"/>
      <c r="I13" s="110"/>
      <c r="J13" s="111"/>
    </row>
    <row r="14" spans="1:10" ht="13.5" hidden="1" x14ac:dyDescent="0.25">
      <c r="A14" s="106"/>
      <c r="B14" s="94" t="str">
        <f>IFERROR(VLOOKUP(H14,'[1]Consolidado MP Planta'!$A$2:$M$823,3,0),"")</f>
        <v/>
      </c>
      <c r="C14" s="107">
        <f t="shared" si="1"/>
        <v>0</v>
      </c>
      <c r="D14" s="108" t="str">
        <f>IFERROR(VLOOKUP(H14,'[1]Consolidado MP Planta'!$A$2:$M$823,13,0),"")</f>
        <v/>
      </c>
      <c r="E14" s="108" t="str">
        <f>IFERROR(VLOOKUP(H14,'[1]Consolidado MP Planta'!$A$2:$M$823,12,0),"")</f>
        <v/>
      </c>
      <c r="F14" s="108" t="str">
        <f t="shared" si="2"/>
        <v/>
      </c>
      <c r="G14" s="109" t="str">
        <f t="shared" si="0"/>
        <v/>
      </c>
      <c r="H14" s="110"/>
      <c r="I14" s="110"/>
      <c r="J14" s="111"/>
    </row>
    <row r="15" spans="1:10" ht="14.25" thickBot="1" x14ac:dyDescent="0.3">
      <c r="A15" s="106"/>
      <c r="B15" s="94" t="str">
        <f>IFERROR(VLOOKUP(H15,'[2]ARTICULOS MP PLANTA'!$A$2:$G$589,2,0),"")</f>
        <v/>
      </c>
      <c r="C15" s="107"/>
      <c r="D15" s="108"/>
      <c r="E15" s="108"/>
      <c r="F15" s="108"/>
      <c r="G15" s="109"/>
      <c r="H15" s="110"/>
      <c r="I15" s="110"/>
      <c r="J15" s="111"/>
    </row>
    <row r="16" spans="1:10" ht="26.25" thickBot="1" x14ac:dyDescent="0.3">
      <c r="A16" s="101" t="s">
        <v>138</v>
      </c>
      <c r="B16" s="102" t="s">
        <v>145</v>
      </c>
      <c r="C16" s="102" t="s">
        <v>138</v>
      </c>
      <c r="D16" s="103" t="s">
        <v>140</v>
      </c>
      <c r="E16" s="103" t="s">
        <v>141</v>
      </c>
      <c r="F16" s="103" t="s">
        <v>142</v>
      </c>
      <c r="G16" s="103" t="s">
        <v>143</v>
      </c>
      <c r="H16" s="104" t="s">
        <v>144</v>
      </c>
      <c r="I16" s="105"/>
      <c r="J16" s="111"/>
    </row>
    <row r="17" spans="1:12" ht="13.5" x14ac:dyDescent="0.25">
      <c r="A17" s="106">
        <v>6500</v>
      </c>
      <c r="B17" s="94" t="s">
        <v>117</v>
      </c>
      <c r="C17" s="107">
        <f>+A17</f>
        <v>6500</v>
      </c>
      <c r="D17" s="107" t="s">
        <v>186</v>
      </c>
      <c r="E17" s="108">
        <f>+'Costo Crema Past Peruana'!E69</f>
        <v>2.6248200000000002</v>
      </c>
      <c r="F17" s="108">
        <f>IFERROR(E17*C17,"")</f>
        <v>17061.330000000002</v>
      </c>
      <c r="G17" s="109">
        <f t="shared" ref="G17:G24" si="3">IFERROR(F17/$F$66,"")</f>
        <v>0.6230067870202719</v>
      </c>
      <c r="H17" s="110"/>
      <c r="I17" s="110"/>
      <c r="J17" s="111"/>
    </row>
    <row r="18" spans="1:12" ht="13.5" hidden="1" x14ac:dyDescent="0.25">
      <c r="A18" s="106"/>
      <c r="B18" s="94" t="str">
        <f>IFERROR(VLOOKUP(H18,[1]SEMIELABORADOS!$A$2:$M$6000,2,0),"")</f>
        <v/>
      </c>
      <c r="C18" s="107">
        <f t="shared" ref="C18:C24" si="4">+A18</f>
        <v>0</v>
      </c>
      <c r="D18" s="107" t="str">
        <f>IFERROR(VLOOKUP(H18,[1]SEMIELABORADOS!$A$2:$M$6000,6,0),"")</f>
        <v/>
      </c>
      <c r="E18" s="108" t="str">
        <f>IFERROR(VLOOKUP(H18,[1]SEMIELABORADOS!$A$2:$H$65536,8,0),"")</f>
        <v/>
      </c>
      <c r="F18" s="108" t="str">
        <f t="shared" ref="F18:F24" si="5">IFERROR(E18*C18,"")</f>
        <v/>
      </c>
      <c r="G18" s="109" t="str">
        <f t="shared" si="3"/>
        <v/>
      </c>
      <c r="H18" s="110"/>
      <c r="I18" s="110"/>
      <c r="J18" s="111"/>
    </row>
    <row r="19" spans="1:12" ht="13.5" hidden="1" x14ac:dyDescent="0.25">
      <c r="A19" s="106"/>
      <c r="B19" s="94" t="str">
        <f>IFERROR(VLOOKUP(H19,[1]SEMIELABORADOS!$A$2:$M$6000,2,0),"")</f>
        <v/>
      </c>
      <c r="C19" s="107">
        <f>+A19</f>
        <v>0</v>
      </c>
      <c r="D19" s="107" t="str">
        <f>IFERROR(VLOOKUP(H19,[1]SEMIELABORADOS!$A$2:$M$6000,6,0),"")</f>
        <v/>
      </c>
      <c r="E19" s="108" t="str">
        <f>IFERROR(VLOOKUP(H19,[1]SEMIELABORADOS!$A$2:$H$65536,8,0),"")</f>
        <v/>
      </c>
      <c r="F19" s="108" t="str">
        <f>IFERROR(E19*C19,"")</f>
        <v/>
      </c>
      <c r="G19" s="109" t="str">
        <f t="shared" si="3"/>
        <v/>
      </c>
      <c r="H19" s="110"/>
      <c r="I19" s="110"/>
      <c r="J19" s="111"/>
    </row>
    <row r="20" spans="1:12" ht="13.5" hidden="1" x14ac:dyDescent="0.25">
      <c r="A20" s="106"/>
      <c r="B20" s="94" t="str">
        <f>IFERROR(VLOOKUP(H20,[1]SEMIELABORADOS!$A$2:$M$6000,2,0),"")</f>
        <v/>
      </c>
      <c r="C20" s="107">
        <f>+A20</f>
        <v>0</v>
      </c>
      <c r="D20" s="107" t="str">
        <f>IFERROR(VLOOKUP(H20,[1]SEMIELABORADOS!$A$2:$M$6000,6,0),"")</f>
        <v/>
      </c>
      <c r="E20" s="108" t="str">
        <f>IFERROR(VLOOKUP(H20,[1]SEMIELABORADOS!$A$2:$H$65536,8,0),"")</f>
        <v/>
      </c>
      <c r="F20" s="108" t="str">
        <f>IFERROR(E20*C20,"")</f>
        <v/>
      </c>
      <c r="G20" s="109" t="str">
        <f t="shared" si="3"/>
        <v/>
      </c>
      <c r="H20" s="110"/>
      <c r="I20" s="110"/>
      <c r="J20" s="111"/>
    </row>
    <row r="21" spans="1:12" ht="13.5" hidden="1" x14ac:dyDescent="0.25">
      <c r="A21" s="106"/>
      <c r="B21" s="94" t="str">
        <f>IFERROR(VLOOKUP(H21,[1]SEMIELABORADOS!$A$2:$M$6000,2,0),"")</f>
        <v/>
      </c>
      <c r="C21" s="107">
        <f>+A21</f>
        <v>0</v>
      </c>
      <c r="D21" s="107" t="str">
        <f>IFERROR(VLOOKUP(H21,[1]SEMIELABORADOS!$A$2:$M$6000,6,0),"")</f>
        <v/>
      </c>
      <c r="E21" s="108" t="str">
        <f>IFERROR(VLOOKUP(H21,[1]SEMIELABORADOS!$A$2:$H$65536,8,0),"")</f>
        <v/>
      </c>
      <c r="F21" s="108" t="str">
        <f>IFERROR(E21*C21,"")</f>
        <v/>
      </c>
      <c r="G21" s="109" t="str">
        <f t="shared" si="3"/>
        <v/>
      </c>
      <c r="H21" s="110"/>
      <c r="I21" s="110"/>
      <c r="J21" s="111"/>
    </row>
    <row r="22" spans="1:12" ht="13.5" hidden="1" x14ac:dyDescent="0.25">
      <c r="A22" s="106"/>
      <c r="B22" s="94" t="str">
        <f>IFERROR(VLOOKUP(H22,[1]SEMIELABORADOS!$A$2:$M$6000,2,0),"")</f>
        <v/>
      </c>
      <c r="C22" s="107">
        <f t="shared" si="4"/>
        <v>0</v>
      </c>
      <c r="D22" s="107" t="str">
        <f>IFERROR(VLOOKUP(H22,[1]SEMIELABORADOS!$A$2:$M$6000,6,0),"")</f>
        <v/>
      </c>
      <c r="E22" s="108" t="str">
        <f>IFERROR(VLOOKUP(H22,[1]SEMIELABORADOS!$A$2:$H$65536,8,0),"")</f>
        <v/>
      </c>
      <c r="F22" s="108" t="str">
        <f t="shared" si="5"/>
        <v/>
      </c>
      <c r="G22" s="109" t="str">
        <f t="shared" si="3"/>
        <v/>
      </c>
      <c r="H22" s="110"/>
      <c r="I22" s="110"/>
      <c r="J22" s="111"/>
    </row>
    <row r="23" spans="1:12" ht="13.5" hidden="1" x14ac:dyDescent="0.25">
      <c r="A23" s="106"/>
      <c r="B23" s="94" t="str">
        <f>IFERROR(VLOOKUP(H23,[1]SEMIELABORADOS!$A$2:$M$6000,2,0),"")</f>
        <v/>
      </c>
      <c r="C23" s="107">
        <f t="shared" si="4"/>
        <v>0</v>
      </c>
      <c r="D23" s="107" t="str">
        <f>IFERROR(VLOOKUP(H23,[1]SEMIELABORADOS!$A$2:$M$6000,6,0),"")</f>
        <v/>
      </c>
      <c r="E23" s="108" t="str">
        <f>IFERROR(VLOOKUP(H23,[1]SEMIELABORADOS!$A$2:$H$65536,8,0),"")</f>
        <v/>
      </c>
      <c r="F23" s="108" t="str">
        <f t="shared" si="5"/>
        <v/>
      </c>
      <c r="G23" s="109" t="str">
        <f t="shared" si="3"/>
        <v/>
      </c>
      <c r="H23" s="110"/>
      <c r="I23" s="110"/>
      <c r="J23" s="111"/>
    </row>
    <row r="24" spans="1:12" ht="13.5" hidden="1" x14ac:dyDescent="0.25">
      <c r="A24" s="106"/>
      <c r="B24" s="94" t="str">
        <f>IFERROR(VLOOKUP(H24,[1]SEMIELABORADOS!$A$2:$M$6000,2,0),"")</f>
        <v/>
      </c>
      <c r="C24" s="107">
        <f t="shared" si="4"/>
        <v>0</v>
      </c>
      <c r="D24" s="107" t="str">
        <f>IFERROR(VLOOKUP(H24,[1]SEMIELABORADOS!$A$2:$M$6000,6,0),"")</f>
        <v/>
      </c>
      <c r="E24" s="108" t="str">
        <f>IFERROR(VLOOKUP(H24,[1]SEMIELABORADOS!$A$2:$H$65536,8,0),"")</f>
        <v/>
      </c>
      <c r="F24" s="108" t="str">
        <f t="shared" si="5"/>
        <v/>
      </c>
      <c r="G24" s="109" t="str">
        <f t="shared" si="3"/>
        <v/>
      </c>
      <c r="H24" s="110"/>
      <c r="I24" s="110"/>
      <c r="J24" s="111"/>
    </row>
    <row r="25" spans="1:12" ht="14.25" thickBot="1" x14ac:dyDescent="0.3">
      <c r="A25" s="106"/>
      <c r="C25" s="107"/>
      <c r="D25" s="107"/>
      <c r="E25" s="108"/>
      <c r="F25" s="108"/>
      <c r="G25" s="109"/>
      <c r="H25" s="110"/>
      <c r="I25" s="110"/>
      <c r="J25" s="111"/>
    </row>
    <row r="26" spans="1:12" ht="26.25" hidden="1" thickBot="1" x14ac:dyDescent="0.3">
      <c r="A26" s="101" t="s">
        <v>138</v>
      </c>
      <c r="B26" s="102" t="s">
        <v>20</v>
      </c>
      <c r="C26" s="102" t="s">
        <v>138</v>
      </c>
      <c r="D26" s="103" t="s">
        <v>140</v>
      </c>
      <c r="E26" s="103" t="s">
        <v>141</v>
      </c>
      <c r="F26" s="103" t="s">
        <v>142</v>
      </c>
      <c r="G26" s="103" t="s">
        <v>143</v>
      </c>
      <c r="H26" s="104" t="s">
        <v>144</v>
      </c>
      <c r="I26" s="105"/>
    </row>
    <row r="27" spans="1:12" ht="13.5" hidden="1" x14ac:dyDescent="0.25">
      <c r="A27" s="106">
        <v>0</v>
      </c>
      <c r="B27" s="112" t="str">
        <f>IFERROR(VLOOKUP(H27,'[1]Consolidado MP Planta'!$A$2:$M$823,3,0),"")</f>
        <v/>
      </c>
      <c r="C27" s="107">
        <f t="shared" ref="C27:C32" si="6">+A27</f>
        <v>0</v>
      </c>
      <c r="D27" s="108" t="str">
        <f>IFERROR(VLOOKUP(H27,'[1]Consolidado MP Planta'!$A$2:$M$823,13,0),"")</f>
        <v/>
      </c>
      <c r="E27" s="108" t="str">
        <f>IFERROR(VLOOKUP(H27,'[1]Consolidado MP Planta'!$A$2:$M$823,12,0),"")</f>
        <v/>
      </c>
      <c r="F27" s="108" t="str">
        <f t="shared" ref="F27:F32" si="7">IFERROR(C27*E27,"")</f>
        <v/>
      </c>
      <c r="G27" s="109" t="str">
        <f t="shared" ref="G27:G32" si="8">IFERROR(F27/$F$66,"")</f>
        <v/>
      </c>
      <c r="H27" s="113"/>
      <c r="I27" s="113"/>
      <c r="J27" s="111"/>
      <c r="K27" s="356"/>
      <c r="L27" s="356"/>
    </row>
    <row r="28" spans="1:12" ht="13.5" hidden="1" x14ac:dyDescent="0.25">
      <c r="A28" s="106"/>
      <c r="B28" s="112" t="str">
        <f>IFERROR(VLOOKUP(H28,'[1]Consolidado MP Planta'!$A$2:$M$823,3,0),"")</f>
        <v/>
      </c>
      <c r="C28" s="107">
        <f t="shared" si="6"/>
        <v>0</v>
      </c>
      <c r="D28" s="108" t="str">
        <f>IFERROR(VLOOKUP(H28,'[1]Consolidado MP Planta'!$A$2:$M$823,13,0),"")</f>
        <v/>
      </c>
      <c r="E28" s="108" t="str">
        <f>IFERROR(VLOOKUP(H28,'[1]Consolidado MP Planta'!$A$2:$M$823,12,0),"")</f>
        <v/>
      </c>
      <c r="F28" s="108" t="str">
        <f t="shared" si="7"/>
        <v/>
      </c>
      <c r="G28" s="109" t="str">
        <f t="shared" si="8"/>
        <v/>
      </c>
      <c r="H28" s="113"/>
      <c r="I28" s="113"/>
      <c r="J28" s="111"/>
      <c r="K28" s="356"/>
      <c r="L28" s="356"/>
    </row>
    <row r="29" spans="1:12" ht="13.5" hidden="1" x14ac:dyDescent="0.25">
      <c r="A29" s="106"/>
      <c r="B29" s="112" t="str">
        <f>IFERROR(VLOOKUP(H29,'[1]Consolidado MP Planta'!$A$2:$M$823,3,0),"")</f>
        <v/>
      </c>
      <c r="C29" s="107">
        <f t="shared" si="6"/>
        <v>0</v>
      </c>
      <c r="D29" s="108" t="str">
        <f>IFERROR(VLOOKUP(H29,'[1]Consolidado MP Planta'!$A$2:$M$823,13,0),"")</f>
        <v/>
      </c>
      <c r="E29" s="108" t="str">
        <f>IFERROR(VLOOKUP(H29,'[1]Consolidado MP Planta'!$A$2:$M$823,12,0),"")</f>
        <v/>
      </c>
      <c r="F29" s="108" t="str">
        <f t="shared" si="7"/>
        <v/>
      </c>
      <c r="G29" s="109" t="str">
        <f t="shared" si="8"/>
        <v/>
      </c>
      <c r="H29" s="113"/>
      <c r="I29" s="113"/>
      <c r="J29" s="111"/>
      <c r="K29" s="356"/>
      <c r="L29" s="356"/>
    </row>
    <row r="30" spans="1:12" ht="13.5" hidden="1" x14ac:dyDescent="0.25">
      <c r="A30" s="106"/>
      <c r="B30" s="112" t="str">
        <f>IFERROR(VLOOKUP(H30,'[1]Consolidado MP Planta'!$A$2:$M$823,3,0),"")</f>
        <v/>
      </c>
      <c r="C30" s="107">
        <f t="shared" si="6"/>
        <v>0</v>
      </c>
      <c r="D30" s="108" t="str">
        <f>IFERROR(VLOOKUP(H30,'[1]Consolidado MP Planta'!$A$2:$M$823,13,0),"")</f>
        <v/>
      </c>
      <c r="E30" s="108" t="str">
        <f>IFERROR(VLOOKUP(H30,'[1]Consolidado MP Planta'!$A$2:$M$823,12,0),"")</f>
        <v/>
      </c>
      <c r="F30" s="108" t="str">
        <f t="shared" si="7"/>
        <v/>
      </c>
      <c r="G30" s="109" t="str">
        <f t="shared" si="8"/>
        <v/>
      </c>
      <c r="H30" s="113"/>
      <c r="I30" s="113"/>
      <c r="J30" s="111"/>
      <c r="K30" s="356"/>
      <c r="L30" s="356"/>
    </row>
    <row r="31" spans="1:12" ht="13.5" hidden="1" x14ac:dyDescent="0.25">
      <c r="A31" s="106"/>
      <c r="B31" s="112" t="str">
        <f>IFERROR(VLOOKUP(H31,'[1]Consolidado MP Planta'!$A$2:$M$823,3,0),"")</f>
        <v/>
      </c>
      <c r="C31" s="107">
        <f t="shared" si="6"/>
        <v>0</v>
      </c>
      <c r="D31" s="108" t="str">
        <f>IFERROR(VLOOKUP(H31,'[1]Consolidado MP Planta'!$A$2:$M$823,13,0),"")</f>
        <v/>
      </c>
      <c r="E31" s="108" t="str">
        <f>IFERROR(VLOOKUP(H31,'[1]Consolidado MP Planta'!$A$2:$M$823,12,0),"")</f>
        <v/>
      </c>
      <c r="F31" s="108" t="str">
        <f t="shared" si="7"/>
        <v/>
      </c>
      <c r="G31" s="109" t="str">
        <f t="shared" si="8"/>
        <v/>
      </c>
      <c r="H31" s="113"/>
      <c r="I31" s="113"/>
      <c r="J31" s="111"/>
      <c r="K31" s="114"/>
      <c r="L31" s="115"/>
    </row>
    <row r="32" spans="1:12" ht="13.5" hidden="1" x14ac:dyDescent="0.25">
      <c r="A32" s="106"/>
      <c r="B32" s="112" t="str">
        <f>IFERROR(VLOOKUP(H32,'[1]Consolidado MP Planta'!$A$2:$M$823,3,0),"")</f>
        <v/>
      </c>
      <c r="C32" s="107">
        <f t="shared" si="6"/>
        <v>0</v>
      </c>
      <c r="D32" s="108" t="str">
        <f>IFERROR(VLOOKUP(H32,'[1]Consolidado MP Planta'!$A$2:$M$823,13,0),"")</f>
        <v/>
      </c>
      <c r="E32" s="108" t="str">
        <f>IFERROR(VLOOKUP(H32,'[1]Consolidado MP Planta'!$A$2:$M$823,12,0),"")</f>
        <v/>
      </c>
      <c r="F32" s="108" t="str">
        <f t="shared" si="7"/>
        <v/>
      </c>
      <c r="G32" s="109" t="str">
        <f t="shared" si="8"/>
        <v/>
      </c>
      <c r="H32" s="113"/>
      <c r="I32" s="113"/>
      <c r="J32" s="111"/>
    </row>
    <row r="33" spans="1:13" ht="14.25" hidden="1" thickBot="1" x14ac:dyDescent="0.3">
      <c r="A33" s="106"/>
      <c r="B33" s="112"/>
      <c r="C33" s="107"/>
      <c r="D33" s="108"/>
      <c r="E33" s="108"/>
      <c r="F33" s="108"/>
      <c r="G33" s="109"/>
      <c r="H33" s="113"/>
      <c r="I33" s="113"/>
      <c r="J33" s="111"/>
    </row>
    <row r="34" spans="1:13" ht="26.25" thickBot="1" x14ac:dyDescent="0.25">
      <c r="A34" s="101" t="s">
        <v>138</v>
      </c>
      <c r="B34" s="102" t="s">
        <v>146</v>
      </c>
      <c r="C34" s="102" t="s">
        <v>138</v>
      </c>
      <c r="D34" s="103" t="s">
        <v>140</v>
      </c>
      <c r="E34" s="103" t="s">
        <v>141</v>
      </c>
      <c r="F34" s="103" t="s">
        <v>142</v>
      </c>
      <c r="G34" s="103" t="s">
        <v>143</v>
      </c>
      <c r="H34" s="104" t="s">
        <v>144</v>
      </c>
      <c r="I34" s="113"/>
      <c r="J34" s="111"/>
    </row>
    <row r="35" spans="1:13" ht="13.5" x14ac:dyDescent="0.25">
      <c r="A35" s="106">
        <f>+A17</f>
        <v>6500</v>
      </c>
      <c r="B35" s="112" t="s">
        <v>117</v>
      </c>
      <c r="C35" s="107">
        <f>+A35</f>
        <v>6500</v>
      </c>
      <c r="D35" s="108" t="str">
        <f>IFERROR(VLOOKUP(H35,[1]SEMIELABORADOS!$A$2:$M$6000,6,0),"")</f>
        <v/>
      </c>
      <c r="E35" s="108">
        <f>+'Costo Crema Past Peruana'!E76</f>
        <v>0</v>
      </c>
      <c r="F35" s="108">
        <f>IFERROR(E35*C35,"")</f>
        <v>0</v>
      </c>
      <c r="G35" s="109">
        <f t="shared" ref="G35:G41" si="9">IFERROR(F35/$F$66,"")</f>
        <v>0</v>
      </c>
      <c r="H35" s="113"/>
      <c r="I35" s="113"/>
      <c r="J35" s="111"/>
    </row>
    <row r="36" spans="1:13" ht="13.5" hidden="1" x14ac:dyDescent="0.25">
      <c r="A36" s="106">
        <f t="shared" ref="A36:A41" si="10">+A18</f>
        <v>0</v>
      </c>
      <c r="B36" s="112" t="str">
        <f>IFERROR(VLOOKUP(H36,[1]SEMIELABORADOS!$A$2:$M$6000,2,0),"")</f>
        <v/>
      </c>
      <c r="C36" s="107">
        <f t="shared" ref="C36:C41" si="11">+A36</f>
        <v>0</v>
      </c>
      <c r="D36" s="108" t="str">
        <f>IFERROR(VLOOKUP(H36,[1]SEMIELABORADOS!$A$2:$M$6000,6,0),"")</f>
        <v/>
      </c>
      <c r="E36" s="108" t="str">
        <f>IFERROR(VLOOKUP(H36,[1]SEMIELABORADOS!$A$2:$M$65536,10,0),"")</f>
        <v/>
      </c>
      <c r="F36" s="108" t="str">
        <f t="shared" ref="F36:F41" si="12">IFERROR(E36*C36,"")</f>
        <v/>
      </c>
      <c r="G36" s="109" t="str">
        <f t="shared" si="9"/>
        <v/>
      </c>
      <c r="H36" s="113"/>
      <c r="I36" s="113"/>
      <c r="J36" s="111"/>
    </row>
    <row r="37" spans="1:13" ht="13.5" hidden="1" x14ac:dyDescent="0.25">
      <c r="A37" s="106">
        <f t="shared" si="10"/>
        <v>0</v>
      </c>
      <c r="B37" s="112" t="str">
        <f>IFERROR(VLOOKUP(H37,[1]SEMIELABORADOS!$A$2:$M$6000,2,0),"")</f>
        <v/>
      </c>
      <c r="C37" s="107">
        <f t="shared" si="11"/>
        <v>0</v>
      </c>
      <c r="D37" s="108" t="str">
        <f>IFERROR(VLOOKUP(H37,[1]SEMIELABORADOS!$A$2:$M$6000,6,0),"")</f>
        <v/>
      </c>
      <c r="E37" s="108" t="str">
        <f>IFERROR(VLOOKUP(H37,[1]SEMIELABORADOS!$A$2:$M$65536,10,0),"")</f>
        <v/>
      </c>
      <c r="F37" s="108" t="str">
        <f t="shared" si="12"/>
        <v/>
      </c>
      <c r="G37" s="109" t="str">
        <f t="shared" si="9"/>
        <v/>
      </c>
      <c r="H37" s="113"/>
      <c r="I37" s="113"/>
      <c r="J37" s="111"/>
    </row>
    <row r="38" spans="1:13" ht="13.5" hidden="1" x14ac:dyDescent="0.25">
      <c r="A38" s="106">
        <f t="shared" si="10"/>
        <v>0</v>
      </c>
      <c r="B38" s="112" t="str">
        <f>IFERROR(VLOOKUP(H38,[1]SEMIELABORADOS!$A$2:$M$6000,2,0),"")</f>
        <v/>
      </c>
      <c r="C38" s="107">
        <f>+A38</f>
        <v>0</v>
      </c>
      <c r="D38" s="108" t="str">
        <f>IFERROR(VLOOKUP(H38,[1]SEMIELABORADOS!$A$2:$M$6000,6,0),"")</f>
        <v/>
      </c>
      <c r="E38" s="108" t="str">
        <f>IFERROR(VLOOKUP(H38,[1]SEMIELABORADOS!$A$2:$M$65536,10,0),"")</f>
        <v/>
      </c>
      <c r="F38" s="108" t="str">
        <f>IFERROR(E38*C38,"")</f>
        <v/>
      </c>
      <c r="G38" s="109" t="str">
        <f t="shared" si="9"/>
        <v/>
      </c>
      <c r="H38" s="113"/>
      <c r="I38" s="113"/>
      <c r="J38" s="111"/>
    </row>
    <row r="39" spans="1:13" ht="13.5" hidden="1" x14ac:dyDescent="0.25">
      <c r="A39" s="106">
        <f t="shared" si="10"/>
        <v>0</v>
      </c>
      <c r="B39" s="112" t="str">
        <f>IFERROR(VLOOKUP(H39,[1]SEMIELABORADOS!$A$2:$M$6000,2,0),"")</f>
        <v/>
      </c>
      <c r="C39" s="107">
        <f>+A39</f>
        <v>0</v>
      </c>
      <c r="D39" s="108" t="str">
        <f>IFERROR(VLOOKUP(H39,[1]SEMIELABORADOS!$A$2:$M$6000,6,0),"")</f>
        <v/>
      </c>
      <c r="E39" s="108" t="str">
        <f>IFERROR(VLOOKUP(H39,[1]SEMIELABORADOS!$A$2:$M$65536,10,0),"")</f>
        <v/>
      </c>
      <c r="F39" s="108" t="str">
        <f>IFERROR(E39*C39,"")</f>
        <v/>
      </c>
      <c r="G39" s="109" t="str">
        <f t="shared" si="9"/>
        <v/>
      </c>
      <c r="H39" s="113"/>
      <c r="I39" s="113"/>
      <c r="J39" s="111"/>
    </row>
    <row r="40" spans="1:13" ht="13.5" hidden="1" x14ac:dyDescent="0.25">
      <c r="A40" s="106">
        <f t="shared" si="10"/>
        <v>0</v>
      </c>
      <c r="B40" s="112" t="str">
        <f>IFERROR(VLOOKUP(H40,[1]SEMIELABORADOS!$A$2:$M$6000,2,0),"")</f>
        <v/>
      </c>
      <c r="C40" s="107">
        <f t="shared" si="11"/>
        <v>0</v>
      </c>
      <c r="D40" s="108" t="str">
        <f>IFERROR(VLOOKUP(H40,[1]SEMIELABORADOS!$A$2:$M$6000,6,0),"")</f>
        <v/>
      </c>
      <c r="E40" s="108" t="str">
        <f>IFERROR(VLOOKUP(H40,[1]SEMIELABORADOS!$A$2:$M$65536,10,0),"")</f>
        <v/>
      </c>
      <c r="F40" s="108" t="str">
        <f t="shared" si="12"/>
        <v/>
      </c>
      <c r="G40" s="109" t="str">
        <f t="shared" si="9"/>
        <v/>
      </c>
      <c r="H40" s="113"/>
      <c r="I40" s="113"/>
      <c r="J40" s="111"/>
    </row>
    <row r="41" spans="1:13" ht="13.5" hidden="1" x14ac:dyDescent="0.25">
      <c r="A41" s="106">
        <f t="shared" si="10"/>
        <v>0</v>
      </c>
      <c r="B41" s="112" t="str">
        <f>IFERROR(VLOOKUP(H41,[1]SEMIELABORADOS!$A$2:$M$6000,2,0),"")</f>
        <v/>
      </c>
      <c r="C41" s="107">
        <f t="shared" si="11"/>
        <v>0</v>
      </c>
      <c r="D41" s="108" t="str">
        <f>IFERROR(VLOOKUP(H41,[1]SEMIELABORADOS!$A$2:$M$6000,6,0),"")</f>
        <v/>
      </c>
      <c r="E41" s="108" t="str">
        <f>IFERROR(VLOOKUP(H41,[1]SEMIELABORADOS!$A$2:$M$65536,10,0),"")</f>
        <v/>
      </c>
      <c r="F41" s="108" t="str">
        <f t="shared" si="12"/>
        <v/>
      </c>
      <c r="G41" s="109" t="str">
        <f t="shared" si="9"/>
        <v/>
      </c>
      <c r="H41" s="113"/>
      <c r="I41" s="113"/>
      <c r="J41" s="111"/>
    </row>
    <row r="42" spans="1:13" ht="14.25" thickBot="1" x14ac:dyDescent="0.3">
      <c r="A42" s="106"/>
      <c r="B42" s="112"/>
      <c r="C42" s="107"/>
      <c r="D42" s="108"/>
      <c r="E42" s="108"/>
      <c r="F42" s="108"/>
      <c r="G42" s="109"/>
      <c r="H42" s="113"/>
      <c r="I42" s="113"/>
      <c r="J42" s="111"/>
    </row>
    <row r="43" spans="1:13" ht="26.25" thickBot="1" x14ac:dyDescent="0.3">
      <c r="A43" s="101" t="s">
        <v>138</v>
      </c>
      <c r="B43" s="102" t="s">
        <v>147</v>
      </c>
      <c r="C43" s="102" t="s">
        <v>138</v>
      </c>
      <c r="D43" s="103" t="s">
        <v>140</v>
      </c>
      <c r="E43" s="103" t="s">
        <v>141</v>
      </c>
      <c r="F43" s="103" t="s">
        <v>142</v>
      </c>
      <c r="G43" s="103" t="s">
        <v>143</v>
      </c>
      <c r="H43" s="104" t="s">
        <v>144</v>
      </c>
      <c r="I43" s="105"/>
      <c r="J43" s="111"/>
    </row>
    <row r="44" spans="1:13" ht="13.5" x14ac:dyDescent="0.25">
      <c r="A44" s="106">
        <f>+A35</f>
        <v>6500</v>
      </c>
      <c r="B44" s="112" t="s">
        <v>117</v>
      </c>
      <c r="C44" s="107">
        <f>+A44</f>
        <v>6500</v>
      </c>
      <c r="D44" s="108" t="str">
        <f>IFERROR(VLOOKUP(H44,[1]SEMIELABORADOS!$A$2:$M$6000,6,0),"")</f>
        <v/>
      </c>
      <c r="E44" s="108">
        <f>+'Costo Crema Past Peruana'!E74</f>
        <v>0.122</v>
      </c>
      <c r="F44" s="108">
        <f>IFERROR(E44*C44,"")</f>
        <v>793</v>
      </c>
      <c r="G44" s="109">
        <f>IFERROR(F44/$F$66,"")</f>
        <v>2.895696772215739E-2</v>
      </c>
      <c r="H44" s="113"/>
      <c r="I44" s="105"/>
      <c r="J44" s="111"/>
    </row>
    <row r="45" spans="1:13" ht="13.5" hidden="1" x14ac:dyDescent="0.25">
      <c r="A45" s="106">
        <f t="shared" ref="A45:A50" si="13">+A36</f>
        <v>0</v>
      </c>
      <c r="B45" s="112" t="str">
        <f>IFERROR(VLOOKUP(H45,[1]SEMIELABORADOS!$A$2:$M$6000,2,0),"")</f>
        <v/>
      </c>
      <c r="C45" s="107">
        <f t="shared" ref="C45:C50" si="14">+A45</f>
        <v>0</v>
      </c>
      <c r="D45" s="108" t="str">
        <f>IFERROR(VLOOKUP(H45,[1]SEMIELABORADOS!$A$2:$M$6000,6,0),"")</f>
        <v/>
      </c>
      <c r="E45" s="108" t="str">
        <f>IFERROR(VLOOKUP(H45,[1]SEMIELABORADOS!$A$2:$M$65536,12,0),"")</f>
        <v/>
      </c>
      <c r="F45" s="108" t="str">
        <f t="shared" ref="F45:F50" si="15">IFERROR(E45*C45,"")</f>
        <v/>
      </c>
      <c r="G45" s="109" t="str">
        <f t="shared" ref="G45:G50" si="16">IFERROR(F45/$F$66,"")</f>
        <v/>
      </c>
      <c r="H45" s="113"/>
      <c r="I45" s="105"/>
      <c r="J45" s="111"/>
      <c r="M45" s="116"/>
    </row>
    <row r="46" spans="1:13" ht="13.5" hidden="1" x14ac:dyDescent="0.25">
      <c r="A46" s="106">
        <f t="shared" si="13"/>
        <v>0</v>
      </c>
      <c r="B46" s="112" t="str">
        <f>IFERROR(VLOOKUP(H46,[1]SEMIELABORADOS!$A$2:$M$6000,2,0),"")</f>
        <v/>
      </c>
      <c r="C46" s="107">
        <f t="shared" si="14"/>
        <v>0</v>
      </c>
      <c r="D46" s="108" t="str">
        <f>IFERROR(VLOOKUP(H46,[1]SEMIELABORADOS!$A$2:$M$6000,6,0),"")</f>
        <v/>
      </c>
      <c r="E46" s="108" t="str">
        <f>IFERROR(VLOOKUP(H46,[1]SEMIELABORADOS!$A$2:$M$65536,12,0),"")</f>
        <v/>
      </c>
      <c r="F46" s="108" t="str">
        <f t="shared" si="15"/>
        <v/>
      </c>
      <c r="G46" s="109" t="str">
        <f t="shared" si="16"/>
        <v/>
      </c>
      <c r="H46" s="113"/>
      <c r="I46" s="105"/>
      <c r="J46" s="111"/>
    </row>
    <row r="47" spans="1:13" ht="13.5" hidden="1" x14ac:dyDescent="0.25">
      <c r="A47" s="106">
        <f t="shared" si="13"/>
        <v>0</v>
      </c>
      <c r="B47" s="112" t="str">
        <f>IFERROR(VLOOKUP(H47,[1]SEMIELABORADOS!$A$2:$M$6000,2,0),"")</f>
        <v/>
      </c>
      <c r="C47" s="107">
        <f t="shared" si="14"/>
        <v>0</v>
      </c>
      <c r="D47" s="108" t="str">
        <f>IFERROR(VLOOKUP(H47,[1]SEMIELABORADOS!$A$2:$M$6000,6,0),"")</f>
        <v/>
      </c>
      <c r="E47" s="108" t="str">
        <f>IFERROR(VLOOKUP(H47,[1]SEMIELABORADOS!$A$2:$M$65536,12,0),"")</f>
        <v/>
      </c>
      <c r="F47" s="108" t="str">
        <f t="shared" si="15"/>
        <v/>
      </c>
      <c r="G47" s="109" t="str">
        <f t="shared" si="16"/>
        <v/>
      </c>
      <c r="H47" s="113"/>
      <c r="I47" s="105"/>
      <c r="J47" s="111"/>
    </row>
    <row r="48" spans="1:13" ht="13.5" hidden="1" x14ac:dyDescent="0.25">
      <c r="A48" s="106">
        <f t="shared" si="13"/>
        <v>0</v>
      </c>
      <c r="B48" s="112" t="str">
        <f>IFERROR(VLOOKUP(H48,[1]SEMIELABORADOS!$A$2:$M$6000,2,0),"")</f>
        <v/>
      </c>
      <c r="C48" s="107">
        <f t="shared" si="14"/>
        <v>0</v>
      </c>
      <c r="D48" s="108" t="str">
        <f>IFERROR(VLOOKUP(H48,[1]SEMIELABORADOS!$A$2:$M$6000,6,0),"")</f>
        <v/>
      </c>
      <c r="E48" s="108" t="str">
        <f>IFERROR(VLOOKUP(H48,[1]SEMIELABORADOS!$A$2:$M$65536,12,0),"")</f>
        <v/>
      </c>
      <c r="F48" s="108" t="str">
        <f t="shared" si="15"/>
        <v/>
      </c>
      <c r="G48" s="109" t="str">
        <f t="shared" si="16"/>
        <v/>
      </c>
      <c r="H48" s="113"/>
      <c r="I48" s="105"/>
      <c r="J48" s="111"/>
    </row>
    <row r="49" spans="1:17" ht="13.5" hidden="1" x14ac:dyDescent="0.25">
      <c r="A49" s="106">
        <f t="shared" si="13"/>
        <v>0</v>
      </c>
      <c r="B49" s="112" t="str">
        <f>IFERROR(VLOOKUP(H49,[1]SEMIELABORADOS!$A$2:$M$6000,2,0),"")</f>
        <v/>
      </c>
      <c r="C49" s="107">
        <f t="shared" si="14"/>
        <v>0</v>
      </c>
      <c r="D49" s="108" t="str">
        <f>IFERROR(VLOOKUP(H49,[1]SEMIELABORADOS!$A$2:$M$6000,6,0),"")</f>
        <v/>
      </c>
      <c r="E49" s="108" t="str">
        <f>IFERROR(VLOOKUP(H49,[1]SEMIELABORADOS!$A$2:$M$65536,12,0),"")</f>
        <v/>
      </c>
      <c r="F49" s="108" t="str">
        <f t="shared" si="15"/>
        <v/>
      </c>
      <c r="G49" s="109" t="str">
        <f t="shared" si="16"/>
        <v/>
      </c>
      <c r="H49" s="113"/>
      <c r="I49" s="105"/>
      <c r="J49" s="111"/>
    </row>
    <row r="50" spans="1:17" ht="13.5" hidden="1" x14ac:dyDescent="0.25">
      <c r="A50" s="106">
        <f t="shared" si="13"/>
        <v>0</v>
      </c>
      <c r="B50" s="112" t="str">
        <f>IFERROR(VLOOKUP(H50,[1]SEMIELABORADOS!$A$2:$M$6000,2,0),"")</f>
        <v/>
      </c>
      <c r="C50" s="107">
        <f t="shared" si="14"/>
        <v>0</v>
      </c>
      <c r="D50" s="108" t="str">
        <f>IFERROR(VLOOKUP(H50,[1]SEMIELABORADOS!$A$2:$M$6000,6,0),"")</f>
        <v/>
      </c>
      <c r="E50" s="108" t="str">
        <f>IFERROR(VLOOKUP(H50,[1]SEMIELABORADOS!$A$2:$M$65536,12,0),"")</f>
        <v/>
      </c>
      <c r="F50" s="108" t="str">
        <f t="shared" si="15"/>
        <v/>
      </c>
      <c r="G50" s="109" t="str">
        <f t="shared" si="16"/>
        <v/>
      </c>
      <c r="H50" s="112"/>
      <c r="I50" s="105"/>
      <c r="J50" s="111"/>
    </row>
    <row r="51" spans="1:17" ht="13.5" x14ac:dyDescent="0.25">
      <c r="A51" s="106">
        <v>1</v>
      </c>
      <c r="B51" s="112" t="s">
        <v>148</v>
      </c>
      <c r="C51" s="107">
        <f>+A51</f>
        <v>1</v>
      </c>
      <c r="D51" s="107" t="s">
        <v>149</v>
      </c>
      <c r="E51" s="108">
        <f>+F65</f>
        <v>610</v>
      </c>
      <c r="F51" s="108">
        <f>IFERROR(C51*E51,"")</f>
        <v>610</v>
      </c>
      <c r="G51" s="109">
        <f>IFERROR(F51/$F$66,"")</f>
        <v>2.2274590555505683E-2</v>
      </c>
      <c r="H51" s="117"/>
      <c r="I51" s="117"/>
      <c r="J51" s="111"/>
    </row>
    <row r="52" spans="1:17" ht="14.25" thickBot="1" x14ac:dyDescent="0.3">
      <c r="A52" s="106"/>
      <c r="B52" s="112"/>
      <c r="C52" s="107"/>
      <c r="D52" s="107"/>
      <c r="E52" s="108"/>
      <c r="F52" s="108"/>
      <c r="G52" s="109"/>
      <c r="H52" s="117"/>
      <c r="I52" s="117"/>
      <c r="J52" s="111"/>
    </row>
    <row r="53" spans="1:17" ht="13.5" thickBot="1" x14ac:dyDescent="0.3">
      <c r="A53" s="118"/>
      <c r="B53" s="366" t="s">
        <v>150</v>
      </c>
      <c r="C53" s="366"/>
      <c r="D53" s="366"/>
      <c r="E53" s="366"/>
      <c r="F53" s="120">
        <f>SUM(F8:F14,F17:F24)</f>
        <v>26250.455000000002</v>
      </c>
      <c r="G53" s="109">
        <f>+F53/$F$66</f>
        <v>0.95855432298479837</v>
      </c>
      <c r="H53" s="121">
        <f>+F53/$D$60</f>
        <v>26250.455000000002</v>
      </c>
      <c r="I53" s="121"/>
      <c r="J53" s="122"/>
      <c r="K53" s="123"/>
      <c r="L53" s="123"/>
      <c r="M53" s="123"/>
      <c r="N53" s="123"/>
      <c r="O53" s="123"/>
      <c r="P53" s="123"/>
      <c r="Q53" s="124"/>
    </row>
    <row r="54" spans="1:17" x14ac:dyDescent="0.2">
      <c r="A54" s="118"/>
      <c r="B54" s="366" t="s">
        <v>151</v>
      </c>
      <c r="C54" s="366"/>
      <c r="D54" s="366"/>
      <c r="E54" s="366"/>
      <c r="F54" s="120">
        <f>SUM(F27:F32,F35:F41)</f>
        <v>0</v>
      </c>
      <c r="G54" s="109">
        <f>+F54/$F$66</f>
        <v>0</v>
      </c>
      <c r="H54" s="121">
        <f>+F54/$D$60</f>
        <v>0</v>
      </c>
      <c r="I54" s="121"/>
      <c r="J54" s="125"/>
      <c r="K54" s="367" t="s">
        <v>152</v>
      </c>
      <c r="L54" s="368"/>
      <c r="M54" s="368"/>
      <c r="N54" s="368"/>
      <c r="O54" s="126">
        <f>+F55</f>
        <v>26250.455000000002</v>
      </c>
      <c r="P54" s="126"/>
      <c r="Q54" s="127"/>
    </row>
    <row r="55" spans="1:17" x14ac:dyDescent="0.2">
      <c r="A55" s="118"/>
      <c r="B55" s="366" t="s">
        <v>153</v>
      </c>
      <c r="C55" s="366"/>
      <c r="D55" s="366"/>
      <c r="E55" s="366"/>
      <c r="F55" s="120">
        <f>+F53+F54</f>
        <v>26250.455000000002</v>
      </c>
      <c r="G55" s="109">
        <f>+F55/$F$66</f>
        <v>0.95855432298479837</v>
      </c>
      <c r="H55" s="121">
        <f>+F55/$D$60</f>
        <v>26250.455000000002</v>
      </c>
      <c r="I55" s="121"/>
      <c r="J55" s="128"/>
      <c r="K55" s="129"/>
      <c r="M55" s="130" t="s">
        <v>154</v>
      </c>
      <c r="N55" s="131"/>
      <c r="O55" s="126">
        <f>+H56</f>
        <v>1403</v>
      </c>
      <c r="P55" s="126"/>
      <c r="Q55" s="127"/>
    </row>
    <row r="56" spans="1:17" ht="13.5" thickBot="1" x14ac:dyDescent="0.25">
      <c r="A56" s="118"/>
      <c r="B56" s="119"/>
      <c r="C56" s="366" t="s">
        <v>155</v>
      </c>
      <c r="D56" s="366"/>
      <c r="E56" s="366"/>
      <c r="F56" s="120">
        <f>SUM(F44:F51)</f>
        <v>1403</v>
      </c>
      <c r="G56" s="109">
        <f>+F56/$F$66</f>
        <v>5.1231558277663077E-2</v>
      </c>
      <c r="H56" s="121">
        <f>+F56/$D$60</f>
        <v>1403</v>
      </c>
      <c r="I56" s="121"/>
      <c r="J56" s="128"/>
      <c r="K56" s="129"/>
      <c r="L56" s="129"/>
      <c r="M56" s="129" t="s">
        <v>156</v>
      </c>
      <c r="N56" s="132"/>
      <c r="O56" s="126">
        <f>O54*N56</f>
        <v>0</v>
      </c>
      <c r="P56" s="126"/>
      <c r="Q56" s="127"/>
    </row>
    <row r="57" spans="1:17" ht="13.5" thickBot="1" x14ac:dyDescent="0.25">
      <c r="A57" s="118"/>
      <c r="B57" s="133"/>
      <c r="C57" s="133"/>
      <c r="D57" s="133"/>
      <c r="E57" s="133"/>
      <c r="F57" s="134"/>
      <c r="G57" s="109"/>
      <c r="H57" s="135"/>
      <c r="I57" s="121"/>
      <c r="J57" s="128"/>
      <c r="K57" s="136"/>
      <c r="M57" s="137" t="s">
        <v>157</v>
      </c>
      <c r="N57" s="138"/>
      <c r="O57" s="139">
        <f>SUM(O54:O56)</f>
        <v>27653.455000000002</v>
      </c>
      <c r="P57" s="140"/>
      <c r="Q57" s="127"/>
    </row>
    <row r="58" spans="1:17" x14ac:dyDescent="0.2">
      <c r="B58" s="369" t="s">
        <v>158</v>
      </c>
      <c r="C58" s="369"/>
      <c r="D58" s="141">
        <v>10000</v>
      </c>
      <c r="E58" s="142"/>
      <c r="G58" s="109"/>
      <c r="H58" s="135">
        <f>+H56/61</f>
        <v>23</v>
      </c>
      <c r="I58" s="143"/>
      <c r="J58" s="128"/>
      <c r="K58" s="136"/>
      <c r="L58" s="129"/>
      <c r="M58" s="129" t="s">
        <v>159</v>
      </c>
      <c r="N58" s="144"/>
      <c r="O58" s="126">
        <f>+H59</f>
        <v>1334</v>
      </c>
      <c r="P58" s="126"/>
      <c r="Q58" s="127"/>
    </row>
    <row r="59" spans="1:17" x14ac:dyDescent="0.2">
      <c r="B59" s="369" t="s">
        <v>160</v>
      </c>
      <c r="C59" s="369"/>
      <c r="D59" s="145">
        <v>10000</v>
      </c>
      <c r="E59" s="142"/>
      <c r="G59" s="109"/>
      <c r="H59" s="135">
        <f>+H58*58</f>
        <v>1334</v>
      </c>
      <c r="I59" s="143"/>
      <c r="J59" s="128"/>
      <c r="K59" s="136"/>
      <c r="L59" s="129"/>
      <c r="M59" s="370" t="s">
        <v>157</v>
      </c>
      <c r="N59" s="370"/>
      <c r="O59" s="126">
        <f>SUM(O57:O58)</f>
        <v>28987.455000000002</v>
      </c>
      <c r="P59" s="126"/>
      <c r="Q59" s="127"/>
    </row>
    <row r="60" spans="1:17" ht="13.5" thickBot="1" x14ac:dyDescent="0.25">
      <c r="B60" s="362" t="s">
        <v>161</v>
      </c>
      <c r="C60" s="362"/>
      <c r="D60" s="141">
        <f>+D58/D59</f>
        <v>1</v>
      </c>
      <c r="E60" s="142"/>
      <c r="F60" s="146"/>
      <c r="G60" s="109"/>
      <c r="H60" s="135"/>
      <c r="I60" s="143"/>
      <c r="J60" s="128"/>
      <c r="K60" s="136"/>
      <c r="L60" s="370"/>
      <c r="M60" s="370"/>
      <c r="N60" s="144"/>
      <c r="O60" s="126">
        <f>+O59*N60</f>
        <v>0</v>
      </c>
      <c r="P60" s="126"/>
      <c r="Q60" s="127"/>
    </row>
    <row r="61" spans="1:17" ht="13.5" thickBot="1" x14ac:dyDescent="0.25">
      <c r="B61" s="362" t="s">
        <v>162</v>
      </c>
      <c r="C61" s="362"/>
      <c r="D61" s="147"/>
      <c r="E61" s="142"/>
      <c r="F61" s="146"/>
      <c r="G61" s="109"/>
      <c r="H61" s="135"/>
      <c r="I61" s="143"/>
      <c r="J61" s="128"/>
      <c r="K61" s="363" t="s">
        <v>163</v>
      </c>
      <c r="L61" s="364"/>
      <c r="M61" s="364"/>
      <c r="N61" s="365"/>
      <c r="O61" s="139">
        <f>SUM(O59:O60)</f>
        <v>28987.455000000002</v>
      </c>
      <c r="P61" s="148" t="s">
        <v>164</v>
      </c>
      <c r="Q61" s="127"/>
    </row>
    <row r="62" spans="1:17" ht="13.5" thickBot="1" x14ac:dyDescent="0.25">
      <c r="C62" s="118" t="s">
        <v>43</v>
      </c>
      <c r="D62" s="149"/>
      <c r="E62" s="92" t="s">
        <v>165</v>
      </c>
      <c r="F62" s="150" t="s">
        <v>166</v>
      </c>
      <c r="G62" s="109"/>
      <c r="H62" s="135"/>
      <c r="I62" s="143"/>
      <c r="J62" s="151"/>
      <c r="K62" s="152"/>
      <c r="L62" s="376" t="s">
        <v>79</v>
      </c>
      <c r="M62" s="376"/>
      <c r="N62" s="376"/>
      <c r="O62" s="153">
        <f>+O61/D60</f>
        <v>28987.455000000002</v>
      </c>
      <c r="P62" s="154">
        <f>+O62/D59</f>
        <v>2.8987455</v>
      </c>
      <c r="Q62" s="155"/>
    </row>
    <row r="63" spans="1:17" ht="13.5" thickBot="1" x14ac:dyDescent="0.25">
      <c r="B63" s="377" t="s">
        <v>153</v>
      </c>
      <c r="C63" s="377"/>
      <c r="D63" s="377"/>
      <c r="E63" s="156">
        <f>+F63/F63</f>
        <v>1</v>
      </c>
      <c r="F63" s="157">
        <f>SUM(F55)</f>
        <v>26250.455000000002</v>
      </c>
      <c r="G63" s="109">
        <f>+F63/$F$66</f>
        <v>0.95855432298479837</v>
      </c>
      <c r="H63" s="135"/>
      <c r="I63" s="143"/>
      <c r="K63" s="378"/>
      <c r="L63" s="379"/>
      <c r="M63" s="379"/>
      <c r="N63" s="379"/>
      <c r="O63" s="158"/>
      <c r="P63" s="159"/>
    </row>
    <row r="64" spans="1:17" ht="13.5" thickBot="1" x14ac:dyDescent="0.3">
      <c r="B64" s="380" t="s">
        <v>167</v>
      </c>
      <c r="C64" s="380"/>
      <c r="D64" s="380"/>
      <c r="E64" s="160">
        <v>0.02</v>
      </c>
      <c r="F64" s="157">
        <f>+F53*E64</f>
        <v>525.00909999999999</v>
      </c>
      <c r="G64" s="109">
        <f>+F64/$F$66</f>
        <v>1.9171086459695966E-2</v>
      </c>
      <c r="H64" s="121"/>
      <c r="I64" s="143"/>
      <c r="J64" s="161"/>
      <c r="O64" s="162"/>
      <c r="P64" s="119"/>
    </row>
    <row r="65" spans="2:13" ht="13.5" thickBot="1" x14ac:dyDescent="0.3">
      <c r="B65" s="381" t="s">
        <v>168</v>
      </c>
      <c r="C65" s="382"/>
      <c r="D65" s="163">
        <v>10</v>
      </c>
      <c r="E65" s="164">
        <v>61</v>
      </c>
      <c r="F65" s="157">
        <f>+E65*D65</f>
        <v>610</v>
      </c>
      <c r="G65" s="109">
        <f>+F65/$F$66</f>
        <v>2.2274590555505683E-2</v>
      </c>
      <c r="H65" s="121"/>
      <c r="I65" s="121"/>
      <c r="J65" s="111"/>
    </row>
    <row r="66" spans="2:13" ht="13.5" thickBot="1" x14ac:dyDescent="0.3">
      <c r="B66" s="383" t="s">
        <v>169</v>
      </c>
      <c r="C66" s="384"/>
      <c r="D66" s="384"/>
      <c r="E66" s="385"/>
      <c r="F66" s="134">
        <f>SUM(F63:F65)</f>
        <v>27385.464100000001</v>
      </c>
      <c r="G66" s="109">
        <f>+F66/$F$66</f>
        <v>1</v>
      </c>
      <c r="H66" s="386"/>
      <c r="I66" s="121"/>
      <c r="J66" s="111"/>
      <c r="M66" s="94" t="s">
        <v>170</v>
      </c>
    </row>
    <row r="67" spans="2:13" x14ac:dyDescent="0.25">
      <c r="C67" s="116"/>
      <c r="D67" s="116"/>
      <c r="E67" s="166"/>
      <c r="F67" s="157"/>
      <c r="G67" s="109"/>
      <c r="H67" s="386"/>
      <c r="I67" s="165"/>
      <c r="J67" s="94"/>
      <c r="M67" s="94" t="s">
        <v>171</v>
      </c>
    </row>
    <row r="68" spans="2:13" ht="13.5" thickBot="1" x14ac:dyDescent="0.3">
      <c r="B68" s="371" t="s">
        <v>172</v>
      </c>
      <c r="C68" s="371"/>
      <c r="D68" s="371"/>
      <c r="E68" s="371"/>
      <c r="F68" s="371"/>
      <c r="G68" s="109"/>
      <c r="H68" s="168"/>
      <c r="I68" s="165"/>
      <c r="J68" s="94"/>
      <c r="M68" s="94" t="s">
        <v>173</v>
      </c>
    </row>
    <row r="69" spans="2:13" ht="13.5" thickBot="1" x14ac:dyDescent="0.3">
      <c r="B69" s="169" t="s">
        <v>174</v>
      </c>
      <c r="C69" s="170">
        <f>+F53</f>
        <v>26250.455000000002</v>
      </c>
      <c r="D69" s="170">
        <f>+D58</f>
        <v>10000</v>
      </c>
      <c r="E69" s="171">
        <f>+C69/D69</f>
        <v>2.6250455000000001</v>
      </c>
      <c r="F69" s="109"/>
      <c r="G69" s="168"/>
      <c r="H69" s="111"/>
      <c r="I69" s="168"/>
      <c r="J69" s="94"/>
    </row>
    <row r="70" spans="2:13" x14ac:dyDescent="0.25">
      <c r="B70" s="172"/>
      <c r="C70" s="173"/>
      <c r="D70" s="174"/>
      <c r="E70" s="157"/>
      <c r="F70" s="109"/>
      <c r="G70" s="168"/>
      <c r="H70" s="111"/>
      <c r="I70" s="111"/>
      <c r="J70" s="94"/>
    </row>
    <row r="71" spans="2:13" x14ac:dyDescent="0.25">
      <c r="B71" s="169" t="s">
        <v>175</v>
      </c>
      <c r="C71" s="170">
        <f>SUM(F63:F64)</f>
        <v>26775.464100000001</v>
      </c>
      <c r="D71" s="170">
        <f>+D58</f>
        <v>10000</v>
      </c>
      <c r="E71" s="175">
        <f>+C71/D71</f>
        <v>2.6775464100000002</v>
      </c>
      <c r="F71" s="109"/>
      <c r="G71" s="168"/>
      <c r="H71" s="111"/>
      <c r="I71" s="111"/>
      <c r="J71" s="94"/>
    </row>
    <row r="72" spans="2:13" x14ac:dyDescent="0.25">
      <c r="B72" s="169"/>
      <c r="C72" s="170"/>
      <c r="D72" s="170"/>
      <c r="E72" s="175"/>
      <c r="F72" s="109"/>
      <c r="G72" s="168"/>
      <c r="H72" s="111"/>
      <c r="I72" s="111"/>
      <c r="J72" s="94"/>
    </row>
    <row r="73" spans="2:13" ht="13.5" thickBot="1" x14ac:dyDescent="0.3">
      <c r="B73" s="169" t="s">
        <v>176</v>
      </c>
      <c r="C73" s="170">
        <f>+F65</f>
        <v>610</v>
      </c>
      <c r="D73" s="170">
        <f>+D58</f>
        <v>10000</v>
      </c>
      <c r="E73" s="175">
        <f>+C73/D73</f>
        <v>6.0999999999999999E-2</v>
      </c>
      <c r="F73" s="109"/>
      <c r="G73" s="168"/>
      <c r="H73" s="111"/>
      <c r="I73" s="111"/>
      <c r="J73" s="94"/>
    </row>
    <row r="74" spans="2:13" ht="13.5" thickBot="1" x14ac:dyDescent="0.3">
      <c r="B74" s="169" t="s">
        <v>177</v>
      </c>
      <c r="C74" s="170">
        <f>+F56</f>
        <v>1403</v>
      </c>
      <c r="D74" s="170">
        <f>+D73</f>
        <v>10000</v>
      </c>
      <c r="E74" s="171">
        <f>+C74/D74</f>
        <v>0.14030000000000001</v>
      </c>
      <c r="F74" s="109"/>
      <c r="G74" s="168"/>
      <c r="H74" s="111"/>
      <c r="I74" s="111"/>
      <c r="J74" s="94"/>
    </row>
    <row r="75" spans="2:13" ht="13.5" thickBot="1" x14ac:dyDescent="0.3">
      <c r="B75" s="133"/>
      <c r="C75" s="134"/>
      <c r="D75" s="134"/>
      <c r="E75" s="175"/>
      <c r="F75" s="109"/>
      <c r="G75" s="168"/>
      <c r="H75" s="111"/>
      <c r="I75" s="111"/>
      <c r="J75" s="94"/>
    </row>
    <row r="76" spans="2:13" ht="13.5" thickBot="1" x14ac:dyDescent="0.3">
      <c r="B76" s="169" t="s">
        <v>178</v>
      </c>
      <c r="C76" s="170">
        <f>+F54</f>
        <v>0</v>
      </c>
      <c r="D76" s="170">
        <f>+D74</f>
        <v>10000</v>
      </c>
      <c r="E76" s="171">
        <f>+C76/D76</f>
        <v>0</v>
      </c>
      <c r="F76" s="109"/>
      <c r="G76" s="168"/>
      <c r="H76" s="111"/>
      <c r="I76" s="111"/>
      <c r="J76" s="111"/>
    </row>
    <row r="77" spans="2:13" ht="13.5" thickBot="1" x14ac:dyDescent="0.3">
      <c r="B77" s="133"/>
      <c r="C77" s="134"/>
      <c r="D77" s="134"/>
      <c r="E77" s="175"/>
      <c r="F77" s="109"/>
      <c r="G77" s="168"/>
      <c r="H77" s="111"/>
      <c r="I77" s="111"/>
    </row>
    <row r="78" spans="2:13" ht="13.5" thickBot="1" x14ac:dyDescent="0.3">
      <c r="B78" s="372" t="s">
        <v>179</v>
      </c>
      <c r="C78" s="373"/>
      <c r="D78" s="374"/>
      <c r="E78" s="171">
        <f>+E69+E74</f>
        <v>2.7653455</v>
      </c>
      <c r="G78" s="109"/>
      <c r="H78" s="168"/>
      <c r="I78" s="111"/>
      <c r="J78" s="175"/>
    </row>
    <row r="79" spans="2:13" x14ac:dyDescent="0.25">
      <c r="I79" s="168"/>
      <c r="J79" s="94"/>
    </row>
    <row r="80" spans="2:13" ht="13.5" thickBot="1" x14ac:dyDescent="0.3">
      <c r="B80" s="371" t="s">
        <v>180</v>
      </c>
      <c r="C80" s="371"/>
      <c r="D80" s="371"/>
      <c r="E80" s="371"/>
      <c r="F80" s="371"/>
      <c r="G80" s="109"/>
      <c r="H80" s="168"/>
      <c r="J80" s="94"/>
    </row>
    <row r="81" spans="1:10" ht="13.5" thickBot="1" x14ac:dyDescent="0.3">
      <c r="B81" s="169" t="s">
        <v>174</v>
      </c>
      <c r="C81" s="170">
        <f>+C69</f>
        <v>26250.455000000002</v>
      </c>
      <c r="D81" s="170">
        <f>+D60</f>
        <v>1</v>
      </c>
      <c r="E81" s="171">
        <f>+C81/D81</f>
        <v>26250.455000000002</v>
      </c>
      <c r="F81" s="109"/>
      <c r="G81" s="168"/>
      <c r="H81" s="111"/>
      <c r="I81" s="168"/>
      <c r="J81" s="94"/>
    </row>
    <row r="82" spans="1:10" x14ac:dyDescent="0.25">
      <c r="B82" s="172"/>
      <c r="C82" s="173"/>
      <c r="D82" s="174"/>
      <c r="E82" s="157"/>
      <c r="F82" s="109"/>
      <c r="G82" s="168"/>
      <c r="H82" s="111"/>
      <c r="I82" s="111"/>
      <c r="J82" s="94"/>
    </row>
    <row r="83" spans="1:10" x14ac:dyDescent="0.25">
      <c r="B83" s="169" t="s">
        <v>175</v>
      </c>
      <c r="C83" s="170">
        <f>+C71</f>
        <v>26775.464100000001</v>
      </c>
      <c r="D83" s="170">
        <f>+D60</f>
        <v>1</v>
      </c>
      <c r="E83" s="175">
        <f>+C83/D83</f>
        <v>26775.464100000001</v>
      </c>
      <c r="F83" s="109"/>
      <c r="G83" s="168"/>
      <c r="H83" s="111"/>
      <c r="I83" s="111"/>
      <c r="J83" s="94"/>
    </row>
    <row r="84" spans="1:10" x14ac:dyDescent="0.25">
      <c r="B84" s="169"/>
      <c r="C84" s="170"/>
      <c r="D84" s="170"/>
      <c r="E84" s="175"/>
      <c r="F84" s="109"/>
      <c r="G84" s="168"/>
      <c r="H84" s="111"/>
      <c r="I84" s="111"/>
      <c r="J84" s="94"/>
    </row>
    <row r="85" spans="1:10" ht="13.5" thickBot="1" x14ac:dyDescent="0.3">
      <c r="B85" s="169" t="s">
        <v>177</v>
      </c>
      <c r="C85" s="170">
        <f>+C73</f>
        <v>610</v>
      </c>
      <c r="D85" s="170">
        <f>+D60</f>
        <v>1</v>
      </c>
      <c r="E85" s="175">
        <f>+C85/D85</f>
        <v>610</v>
      </c>
      <c r="F85" s="177"/>
      <c r="G85" s="167"/>
      <c r="H85" s="93"/>
      <c r="I85" s="111"/>
    </row>
    <row r="86" spans="1:10" ht="13.5" thickBot="1" x14ac:dyDescent="0.3">
      <c r="B86" s="169" t="s">
        <v>177</v>
      </c>
      <c r="C86" s="170">
        <f>+C74</f>
        <v>1403</v>
      </c>
      <c r="D86" s="170">
        <f>+D85</f>
        <v>1</v>
      </c>
      <c r="E86" s="171">
        <f>+C86/D86</f>
        <v>1403</v>
      </c>
      <c r="F86" s="176"/>
      <c r="G86" s="167"/>
      <c r="H86" s="93"/>
      <c r="I86" s="93"/>
    </row>
    <row r="87" spans="1:10" x14ac:dyDescent="0.25">
      <c r="I87" s="93"/>
    </row>
    <row r="88" spans="1:10" x14ac:dyDescent="0.2">
      <c r="A88" s="375"/>
      <c r="B88" s="375"/>
      <c r="C88" s="178"/>
      <c r="D88" s="178"/>
      <c r="E88" s="179"/>
      <c r="G88" s="180"/>
    </row>
    <row r="89" spans="1:10" x14ac:dyDescent="0.2">
      <c r="A89" s="112"/>
      <c r="B89" s="181"/>
      <c r="C89" s="182"/>
      <c r="D89" s="182"/>
      <c r="E89" s="183"/>
      <c r="G89" s="180"/>
    </row>
    <row r="90" spans="1:10" x14ac:dyDescent="0.2">
      <c r="A90" s="112"/>
      <c r="B90" s="181"/>
      <c r="C90" s="184"/>
      <c r="D90" s="184"/>
      <c r="E90" s="112"/>
      <c r="G90" s="180"/>
    </row>
    <row r="91" spans="1:10" x14ac:dyDescent="0.2">
      <c r="A91" s="112"/>
      <c r="B91" s="181"/>
      <c r="C91" s="185"/>
      <c r="D91" s="185"/>
      <c r="E91" s="112"/>
      <c r="G91" s="18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9B85-078F-461E-8B87-2080AE6560A1}">
  <dimension ref="A1:Q91"/>
  <sheetViews>
    <sheetView topLeftCell="A58" workbookViewId="0">
      <selection activeCell="E74" sqref="E74"/>
    </sheetView>
  </sheetViews>
  <sheetFormatPr baseColWidth="10" defaultColWidth="8.42578125" defaultRowHeight="12.75" x14ac:dyDescent="0.25"/>
  <cols>
    <col min="1" max="1" width="10" style="94" bestFit="1" customWidth="1"/>
    <col min="2" max="2" width="44.28515625" style="94" bestFit="1" customWidth="1"/>
    <col min="3" max="3" width="10.42578125" style="94" bestFit="1" customWidth="1"/>
    <col min="4" max="4" width="10.42578125" style="94" customWidth="1"/>
    <col min="5" max="5" width="9.7109375" style="94" bestFit="1" customWidth="1"/>
    <col min="6" max="6" width="9.5703125" style="94" bestFit="1" customWidth="1"/>
    <col min="7" max="7" width="9.5703125" style="176" bestFit="1" customWidth="1"/>
    <col min="8" max="8" width="10.42578125" style="167" bestFit="1" customWidth="1"/>
    <col min="9" max="9" width="4.5703125" style="167" customWidth="1"/>
    <col min="10" max="10" width="1.7109375" style="93" customWidth="1"/>
    <col min="11" max="11" width="7" style="94" bestFit="1" customWidth="1"/>
    <col min="12" max="12" width="6.28515625" style="94" customWidth="1"/>
    <col min="13" max="13" width="20.42578125" style="94" customWidth="1"/>
    <col min="14" max="14" width="6.42578125" style="94" bestFit="1" customWidth="1"/>
    <col min="15" max="16" width="8.42578125" style="94"/>
    <col min="17" max="17" width="3.28515625" style="94" customWidth="1"/>
    <col min="18" max="256" width="8.42578125" style="94"/>
    <col min="257" max="257" width="10" style="94" bestFit="1" customWidth="1"/>
    <col min="258" max="258" width="44.28515625" style="94" bestFit="1" customWidth="1"/>
    <col min="259" max="259" width="10.42578125" style="94" bestFit="1" customWidth="1"/>
    <col min="260" max="260" width="10.42578125" style="94" customWidth="1"/>
    <col min="261" max="261" width="9.7109375" style="94" bestFit="1" customWidth="1"/>
    <col min="262" max="263" width="9.5703125" style="94" bestFit="1" customWidth="1"/>
    <col min="264" max="264" width="10.42578125" style="94" bestFit="1" customWidth="1"/>
    <col min="265" max="265" width="4.5703125" style="94" customWidth="1"/>
    <col min="266" max="266" width="1.7109375" style="94" customWidth="1"/>
    <col min="267" max="267" width="7" style="94" bestFit="1" customWidth="1"/>
    <col min="268" max="268" width="6.28515625" style="94" customWidth="1"/>
    <col min="269" max="269" width="20.42578125" style="94" customWidth="1"/>
    <col min="270" max="270" width="6.42578125" style="94" bestFit="1" customWidth="1"/>
    <col min="271" max="272" width="8.42578125" style="94"/>
    <col min="273" max="273" width="3.28515625" style="94" customWidth="1"/>
    <col min="274" max="512" width="8.42578125" style="94"/>
    <col min="513" max="513" width="10" style="94" bestFit="1" customWidth="1"/>
    <col min="514" max="514" width="44.28515625" style="94" bestFit="1" customWidth="1"/>
    <col min="515" max="515" width="10.42578125" style="94" bestFit="1" customWidth="1"/>
    <col min="516" max="516" width="10.42578125" style="94" customWidth="1"/>
    <col min="517" max="517" width="9.7109375" style="94" bestFit="1" customWidth="1"/>
    <col min="518" max="519" width="9.5703125" style="94" bestFit="1" customWidth="1"/>
    <col min="520" max="520" width="10.42578125" style="94" bestFit="1" customWidth="1"/>
    <col min="521" max="521" width="4.5703125" style="94" customWidth="1"/>
    <col min="522" max="522" width="1.7109375" style="94" customWidth="1"/>
    <col min="523" max="523" width="7" style="94" bestFit="1" customWidth="1"/>
    <col min="524" max="524" width="6.28515625" style="94" customWidth="1"/>
    <col min="525" max="525" width="20.42578125" style="94" customWidth="1"/>
    <col min="526" max="526" width="6.42578125" style="94" bestFit="1" customWidth="1"/>
    <col min="527" max="528" width="8.42578125" style="94"/>
    <col min="529" max="529" width="3.28515625" style="94" customWidth="1"/>
    <col min="530" max="768" width="8.42578125" style="94"/>
    <col min="769" max="769" width="10" style="94" bestFit="1" customWidth="1"/>
    <col min="770" max="770" width="44.28515625" style="94" bestFit="1" customWidth="1"/>
    <col min="771" max="771" width="10.42578125" style="94" bestFit="1" customWidth="1"/>
    <col min="772" max="772" width="10.42578125" style="94" customWidth="1"/>
    <col min="773" max="773" width="9.7109375" style="94" bestFit="1" customWidth="1"/>
    <col min="774" max="775" width="9.5703125" style="94" bestFit="1" customWidth="1"/>
    <col min="776" max="776" width="10.42578125" style="94" bestFit="1" customWidth="1"/>
    <col min="777" max="777" width="4.5703125" style="94" customWidth="1"/>
    <col min="778" max="778" width="1.7109375" style="94" customWidth="1"/>
    <col min="779" max="779" width="7" style="94" bestFit="1" customWidth="1"/>
    <col min="780" max="780" width="6.28515625" style="94" customWidth="1"/>
    <col min="781" max="781" width="20.42578125" style="94" customWidth="1"/>
    <col min="782" max="782" width="6.42578125" style="94" bestFit="1" customWidth="1"/>
    <col min="783" max="784" width="8.42578125" style="94"/>
    <col min="785" max="785" width="3.28515625" style="94" customWidth="1"/>
    <col min="786" max="1024" width="8.42578125" style="94"/>
    <col min="1025" max="1025" width="10" style="94" bestFit="1" customWidth="1"/>
    <col min="1026" max="1026" width="44.28515625" style="94" bestFit="1" customWidth="1"/>
    <col min="1027" max="1027" width="10.42578125" style="94" bestFit="1" customWidth="1"/>
    <col min="1028" max="1028" width="10.42578125" style="94" customWidth="1"/>
    <col min="1029" max="1029" width="9.7109375" style="94" bestFit="1" customWidth="1"/>
    <col min="1030" max="1031" width="9.5703125" style="94" bestFit="1" customWidth="1"/>
    <col min="1032" max="1032" width="10.42578125" style="94" bestFit="1" customWidth="1"/>
    <col min="1033" max="1033" width="4.5703125" style="94" customWidth="1"/>
    <col min="1034" max="1034" width="1.7109375" style="94" customWidth="1"/>
    <col min="1035" max="1035" width="7" style="94" bestFit="1" customWidth="1"/>
    <col min="1036" max="1036" width="6.28515625" style="94" customWidth="1"/>
    <col min="1037" max="1037" width="20.42578125" style="94" customWidth="1"/>
    <col min="1038" max="1038" width="6.42578125" style="94" bestFit="1" customWidth="1"/>
    <col min="1039" max="1040" width="8.42578125" style="94"/>
    <col min="1041" max="1041" width="3.28515625" style="94" customWidth="1"/>
    <col min="1042" max="1280" width="8.42578125" style="94"/>
    <col min="1281" max="1281" width="10" style="94" bestFit="1" customWidth="1"/>
    <col min="1282" max="1282" width="44.28515625" style="94" bestFit="1" customWidth="1"/>
    <col min="1283" max="1283" width="10.42578125" style="94" bestFit="1" customWidth="1"/>
    <col min="1284" max="1284" width="10.42578125" style="94" customWidth="1"/>
    <col min="1285" max="1285" width="9.7109375" style="94" bestFit="1" customWidth="1"/>
    <col min="1286" max="1287" width="9.5703125" style="94" bestFit="1" customWidth="1"/>
    <col min="1288" max="1288" width="10.42578125" style="94" bestFit="1" customWidth="1"/>
    <col min="1289" max="1289" width="4.5703125" style="94" customWidth="1"/>
    <col min="1290" max="1290" width="1.7109375" style="94" customWidth="1"/>
    <col min="1291" max="1291" width="7" style="94" bestFit="1" customWidth="1"/>
    <col min="1292" max="1292" width="6.28515625" style="94" customWidth="1"/>
    <col min="1293" max="1293" width="20.42578125" style="94" customWidth="1"/>
    <col min="1294" max="1294" width="6.42578125" style="94" bestFit="1" customWidth="1"/>
    <col min="1295" max="1296" width="8.42578125" style="94"/>
    <col min="1297" max="1297" width="3.28515625" style="94" customWidth="1"/>
    <col min="1298" max="1536" width="8.42578125" style="94"/>
    <col min="1537" max="1537" width="10" style="94" bestFit="1" customWidth="1"/>
    <col min="1538" max="1538" width="44.28515625" style="94" bestFit="1" customWidth="1"/>
    <col min="1539" max="1539" width="10.42578125" style="94" bestFit="1" customWidth="1"/>
    <col min="1540" max="1540" width="10.42578125" style="94" customWidth="1"/>
    <col min="1541" max="1541" width="9.7109375" style="94" bestFit="1" customWidth="1"/>
    <col min="1542" max="1543" width="9.5703125" style="94" bestFit="1" customWidth="1"/>
    <col min="1544" max="1544" width="10.42578125" style="94" bestFit="1" customWidth="1"/>
    <col min="1545" max="1545" width="4.5703125" style="94" customWidth="1"/>
    <col min="1546" max="1546" width="1.7109375" style="94" customWidth="1"/>
    <col min="1547" max="1547" width="7" style="94" bestFit="1" customWidth="1"/>
    <col min="1548" max="1548" width="6.28515625" style="94" customWidth="1"/>
    <col min="1549" max="1549" width="20.42578125" style="94" customWidth="1"/>
    <col min="1550" max="1550" width="6.42578125" style="94" bestFit="1" customWidth="1"/>
    <col min="1551" max="1552" width="8.42578125" style="94"/>
    <col min="1553" max="1553" width="3.28515625" style="94" customWidth="1"/>
    <col min="1554" max="1792" width="8.42578125" style="94"/>
    <col min="1793" max="1793" width="10" style="94" bestFit="1" customWidth="1"/>
    <col min="1794" max="1794" width="44.28515625" style="94" bestFit="1" customWidth="1"/>
    <col min="1795" max="1795" width="10.42578125" style="94" bestFit="1" customWidth="1"/>
    <col min="1796" max="1796" width="10.42578125" style="94" customWidth="1"/>
    <col min="1797" max="1797" width="9.7109375" style="94" bestFit="1" customWidth="1"/>
    <col min="1798" max="1799" width="9.5703125" style="94" bestFit="1" customWidth="1"/>
    <col min="1800" max="1800" width="10.42578125" style="94" bestFit="1" customWidth="1"/>
    <col min="1801" max="1801" width="4.5703125" style="94" customWidth="1"/>
    <col min="1802" max="1802" width="1.7109375" style="94" customWidth="1"/>
    <col min="1803" max="1803" width="7" style="94" bestFit="1" customWidth="1"/>
    <col min="1804" max="1804" width="6.28515625" style="94" customWidth="1"/>
    <col min="1805" max="1805" width="20.42578125" style="94" customWidth="1"/>
    <col min="1806" max="1806" width="6.42578125" style="94" bestFit="1" customWidth="1"/>
    <col min="1807" max="1808" width="8.42578125" style="94"/>
    <col min="1809" max="1809" width="3.28515625" style="94" customWidth="1"/>
    <col min="1810" max="2048" width="8.42578125" style="94"/>
    <col min="2049" max="2049" width="10" style="94" bestFit="1" customWidth="1"/>
    <col min="2050" max="2050" width="44.28515625" style="94" bestFit="1" customWidth="1"/>
    <col min="2051" max="2051" width="10.42578125" style="94" bestFit="1" customWidth="1"/>
    <col min="2052" max="2052" width="10.42578125" style="94" customWidth="1"/>
    <col min="2053" max="2053" width="9.7109375" style="94" bestFit="1" customWidth="1"/>
    <col min="2054" max="2055" width="9.5703125" style="94" bestFit="1" customWidth="1"/>
    <col min="2056" max="2056" width="10.42578125" style="94" bestFit="1" customWidth="1"/>
    <col min="2057" max="2057" width="4.5703125" style="94" customWidth="1"/>
    <col min="2058" max="2058" width="1.7109375" style="94" customWidth="1"/>
    <col min="2059" max="2059" width="7" style="94" bestFit="1" customWidth="1"/>
    <col min="2060" max="2060" width="6.28515625" style="94" customWidth="1"/>
    <col min="2061" max="2061" width="20.42578125" style="94" customWidth="1"/>
    <col min="2062" max="2062" width="6.42578125" style="94" bestFit="1" customWidth="1"/>
    <col min="2063" max="2064" width="8.42578125" style="94"/>
    <col min="2065" max="2065" width="3.28515625" style="94" customWidth="1"/>
    <col min="2066" max="2304" width="8.42578125" style="94"/>
    <col min="2305" max="2305" width="10" style="94" bestFit="1" customWidth="1"/>
    <col min="2306" max="2306" width="44.28515625" style="94" bestFit="1" customWidth="1"/>
    <col min="2307" max="2307" width="10.42578125" style="94" bestFit="1" customWidth="1"/>
    <col min="2308" max="2308" width="10.42578125" style="94" customWidth="1"/>
    <col min="2309" max="2309" width="9.7109375" style="94" bestFit="1" customWidth="1"/>
    <col min="2310" max="2311" width="9.5703125" style="94" bestFit="1" customWidth="1"/>
    <col min="2312" max="2312" width="10.42578125" style="94" bestFit="1" customWidth="1"/>
    <col min="2313" max="2313" width="4.5703125" style="94" customWidth="1"/>
    <col min="2314" max="2314" width="1.7109375" style="94" customWidth="1"/>
    <col min="2315" max="2315" width="7" style="94" bestFit="1" customWidth="1"/>
    <col min="2316" max="2316" width="6.28515625" style="94" customWidth="1"/>
    <col min="2317" max="2317" width="20.42578125" style="94" customWidth="1"/>
    <col min="2318" max="2318" width="6.42578125" style="94" bestFit="1" customWidth="1"/>
    <col min="2319" max="2320" width="8.42578125" style="94"/>
    <col min="2321" max="2321" width="3.28515625" style="94" customWidth="1"/>
    <col min="2322" max="2560" width="8.42578125" style="94"/>
    <col min="2561" max="2561" width="10" style="94" bestFit="1" customWidth="1"/>
    <col min="2562" max="2562" width="44.28515625" style="94" bestFit="1" customWidth="1"/>
    <col min="2563" max="2563" width="10.42578125" style="94" bestFit="1" customWidth="1"/>
    <col min="2564" max="2564" width="10.42578125" style="94" customWidth="1"/>
    <col min="2565" max="2565" width="9.7109375" style="94" bestFit="1" customWidth="1"/>
    <col min="2566" max="2567" width="9.5703125" style="94" bestFit="1" customWidth="1"/>
    <col min="2568" max="2568" width="10.42578125" style="94" bestFit="1" customWidth="1"/>
    <col min="2569" max="2569" width="4.5703125" style="94" customWidth="1"/>
    <col min="2570" max="2570" width="1.7109375" style="94" customWidth="1"/>
    <col min="2571" max="2571" width="7" style="94" bestFit="1" customWidth="1"/>
    <col min="2572" max="2572" width="6.28515625" style="94" customWidth="1"/>
    <col min="2573" max="2573" width="20.42578125" style="94" customWidth="1"/>
    <col min="2574" max="2574" width="6.42578125" style="94" bestFit="1" customWidth="1"/>
    <col min="2575" max="2576" width="8.42578125" style="94"/>
    <col min="2577" max="2577" width="3.28515625" style="94" customWidth="1"/>
    <col min="2578" max="2816" width="8.42578125" style="94"/>
    <col min="2817" max="2817" width="10" style="94" bestFit="1" customWidth="1"/>
    <col min="2818" max="2818" width="44.28515625" style="94" bestFit="1" customWidth="1"/>
    <col min="2819" max="2819" width="10.42578125" style="94" bestFit="1" customWidth="1"/>
    <col min="2820" max="2820" width="10.42578125" style="94" customWidth="1"/>
    <col min="2821" max="2821" width="9.7109375" style="94" bestFit="1" customWidth="1"/>
    <col min="2822" max="2823" width="9.5703125" style="94" bestFit="1" customWidth="1"/>
    <col min="2824" max="2824" width="10.42578125" style="94" bestFit="1" customWidth="1"/>
    <col min="2825" max="2825" width="4.5703125" style="94" customWidth="1"/>
    <col min="2826" max="2826" width="1.7109375" style="94" customWidth="1"/>
    <col min="2827" max="2827" width="7" style="94" bestFit="1" customWidth="1"/>
    <col min="2828" max="2828" width="6.28515625" style="94" customWidth="1"/>
    <col min="2829" max="2829" width="20.42578125" style="94" customWidth="1"/>
    <col min="2830" max="2830" width="6.42578125" style="94" bestFit="1" customWidth="1"/>
    <col min="2831" max="2832" width="8.42578125" style="94"/>
    <col min="2833" max="2833" width="3.28515625" style="94" customWidth="1"/>
    <col min="2834" max="3072" width="8.42578125" style="94"/>
    <col min="3073" max="3073" width="10" style="94" bestFit="1" customWidth="1"/>
    <col min="3074" max="3074" width="44.28515625" style="94" bestFit="1" customWidth="1"/>
    <col min="3075" max="3075" width="10.42578125" style="94" bestFit="1" customWidth="1"/>
    <col min="3076" max="3076" width="10.42578125" style="94" customWidth="1"/>
    <col min="3077" max="3077" width="9.7109375" style="94" bestFit="1" customWidth="1"/>
    <col min="3078" max="3079" width="9.5703125" style="94" bestFit="1" customWidth="1"/>
    <col min="3080" max="3080" width="10.42578125" style="94" bestFit="1" customWidth="1"/>
    <col min="3081" max="3081" width="4.5703125" style="94" customWidth="1"/>
    <col min="3082" max="3082" width="1.7109375" style="94" customWidth="1"/>
    <col min="3083" max="3083" width="7" style="94" bestFit="1" customWidth="1"/>
    <col min="3084" max="3084" width="6.28515625" style="94" customWidth="1"/>
    <col min="3085" max="3085" width="20.42578125" style="94" customWidth="1"/>
    <col min="3086" max="3086" width="6.42578125" style="94" bestFit="1" customWidth="1"/>
    <col min="3087" max="3088" width="8.42578125" style="94"/>
    <col min="3089" max="3089" width="3.28515625" style="94" customWidth="1"/>
    <col min="3090" max="3328" width="8.42578125" style="94"/>
    <col min="3329" max="3329" width="10" style="94" bestFit="1" customWidth="1"/>
    <col min="3330" max="3330" width="44.28515625" style="94" bestFit="1" customWidth="1"/>
    <col min="3331" max="3331" width="10.42578125" style="94" bestFit="1" customWidth="1"/>
    <col min="3332" max="3332" width="10.42578125" style="94" customWidth="1"/>
    <col min="3333" max="3333" width="9.7109375" style="94" bestFit="1" customWidth="1"/>
    <col min="3334" max="3335" width="9.5703125" style="94" bestFit="1" customWidth="1"/>
    <col min="3336" max="3336" width="10.42578125" style="94" bestFit="1" customWidth="1"/>
    <col min="3337" max="3337" width="4.5703125" style="94" customWidth="1"/>
    <col min="3338" max="3338" width="1.7109375" style="94" customWidth="1"/>
    <col min="3339" max="3339" width="7" style="94" bestFit="1" customWidth="1"/>
    <col min="3340" max="3340" width="6.28515625" style="94" customWidth="1"/>
    <col min="3341" max="3341" width="20.42578125" style="94" customWidth="1"/>
    <col min="3342" max="3342" width="6.42578125" style="94" bestFit="1" customWidth="1"/>
    <col min="3343" max="3344" width="8.42578125" style="94"/>
    <col min="3345" max="3345" width="3.28515625" style="94" customWidth="1"/>
    <col min="3346" max="3584" width="8.42578125" style="94"/>
    <col min="3585" max="3585" width="10" style="94" bestFit="1" customWidth="1"/>
    <col min="3586" max="3586" width="44.28515625" style="94" bestFit="1" customWidth="1"/>
    <col min="3587" max="3587" width="10.42578125" style="94" bestFit="1" customWidth="1"/>
    <col min="3588" max="3588" width="10.42578125" style="94" customWidth="1"/>
    <col min="3589" max="3589" width="9.7109375" style="94" bestFit="1" customWidth="1"/>
    <col min="3590" max="3591" width="9.5703125" style="94" bestFit="1" customWidth="1"/>
    <col min="3592" max="3592" width="10.42578125" style="94" bestFit="1" customWidth="1"/>
    <col min="3593" max="3593" width="4.5703125" style="94" customWidth="1"/>
    <col min="3594" max="3594" width="1.7109375" style="94" customWidth="1"/>
    <col min="3595" max="3595" width="7" style="94" bestFit="1" customWidth="1"/>
    <col min="3596" max="3596" width="6.28515625" style="94" customWidth="1"/>
    <col min="3597" max="3597" width="20.42578125" style="94" customWidth="1"/>
    <col min="3598" max="3598" width="6.42578125" style="94" bestFit="1" customWidth="1"/>
    <col min="3599" max="3600" width="8.42578125" style="94"/>
    <col min="3601" max="3601" width="3.28515625" style="94" customWidth="1"/>
    <col min="3602" max="3840" width="8.42578125" style="94"/>
    <col min="3841" max="3841" width="10" style="94" bestFit="1" customWidth="1"/>
    <col min="3842" max="3842" width="44.28515625" style="94" bestFit="1" customWidth="1"/>
    <col min="3843" max="3843" width="10.42578125" style="94" bestFit="1" customWidth="1"/>
    <col min="3844" max="3844" width="10.42578125" style="94" customWidth="1"/>
    <col min="3845" max="3845" width="9.7109375" style="94" bestFit="1" customWidth="1"/>
    <col min="3846" max="3847" width="9.5703125" style="94" bestFit="1" customWidth="1"/>
    <col min="3848" max="3848" width="10.42578125" style="94" bestFit="1" customWidth="1"/>
    <col min="3849" max="3849" width="4.5703125" style="94" customWidth="1"/>
    <col min="3850" max="3850" width="1.7109375" style="94" customWidth="1"/>
    <col min="3851" max="3851" width="7" style="94" bestFit="1" customWidth="1"/>
    <col min="3852" max="3852" width="6.28515625" style="94" customWidth="1"/>
    <col min="3853" max="3853" width="20.42578125" style="94" customWidth="1"/>
    <col min="3854" max="3854" width="6.42578125" style="94" bestFit="1" customWidth="1"/>
    <col min="3855" max="3856" width="8.42578125" style="94"/>
    <col min="3857" max="3857" width="3.28515625" style="94" customWidth="1"/>
    <col min="3858" max="4096" width="8.42578125" style="94"/>
    <col min="4097" max="4097" width="10" style="94" bestFit="1" customWidth="1"/>
    <col min="4098" max="4098" width="44.28515625" style="94" bestFit="1" customWidth="1"/>
    <col min="4099" max="4099" width="10.42578125" style="94" bestFit="1" customWidth="1"/>
    <col min="4100" max="4100" width="10.42578125" style="94" customWidth="1"/>
    <col min="4101" max="4101" width="9.7109375" style="94" bestFit="1" customWidth="1"/>
    <col min="4102" max="4103" width="9.5703125" style="94" bestFit="1" customWidth="1"/>
    <col min="4104" max="4104" width="10.42578125" style="94" bestFit="1" customWidth="1"/>
    <col min="4105" max="4105" width="4.5703125" style="94" customWidth="1"/>
    <col min="4106" max="4106" width="1.7109375" style="94" customWidth="1"/>
    <col min="4107" max="4107" width="7" style="94" bestFit="1" customWidth="1"/>
    <col min="4108" max="4108" width="6.28515625" style="94" customWidth="1"/>
    <col min="4109" max="4109" width="20.42578125" style="94" customWidth="1"/>
    <col min="4110" max="4110" width="6.42578125" style="94" bestFit="1" customWidth="1"/>
    <col min="4111" max="4112" width="8.42578125" style="94"/>
    <col min="4113" max="4113" width="3.28515625" style="94" customWidth="1"/>
    <col min="4114" max="4352" width="8.42578125" style="94"/>
    <col min="4353" max="4353" width="10" style="94" bestFit="1" customWidth="1"/>
    <col min="4354" max="4354" width="44.28515625" style="94" bestFit="1" customWidth="1"/>
    <col min="4355" max="4355" width="10.42578125" style="94" bestFit="1" customWidth="1"/>
    <col min="4356" max="4356" width="10.42578125" style="94" customWidth="1"/>
    <col min="4357" max="4357" width="9.7109375" style="94" bestFit="1" customWidth="1"/>
    <col min="4358" max="4359" width="9.5703125" style="94" bestFit="1" customWidth="1"/>
    <col min="4360" max="4360" width="10.42578125" style="94" bestFit="1" customWidth="1"/>
    <col min="4361" max="4361" width="4.5703125" style="94" customWidth="1"/>
    <col min="4362" max="4362" width="1.7109375" style="94" customWidth="1"/>
    <col min="4363" max="4363" width="7" style="94" bestFit="1" customWidth="1"/>
    <col min="4364" max="4364" width="6.28515625" style="94" customWidth="1"/>
    <col min="4365" max="4365" width="20.42578125" style="94" customWidth="1"/>
    <col min="4366" max="4366" width="6.42578125" style="94" bestFit="1" customWidth="1"/>
    <col min="4367" max="4368" width="8.42578125" style="94"/>
    <col min="4369" max="4369" width="3.28515625" style="94" customWidth="1"/>
    <col min="4370" max="4608" width="8.42578125" style="94"/>
    <col min="4609" max="4609" width="10" style="94" bestFit="1" customWidth="1"/>
    <col min="4610" max="4610" width="44.28515625" style="94" bestFit="1" customWidth="1"/>
    <col min="4611" max="4611" width="10.42578125" style="94" bestFit="1" customWidth="1"/>
    <col min="4612" max="4612" width="10.42578125" style="94" customWidth="1"/>
    <col min="4613" max="4613" width="9.7109375" style="94" bestFit="1" customWidth="1"/>
    <col min="4614" max="4615" width="9.5703125" style="94" bestFit="1" customWidth="1"/>
    <col min="4616" max="4616" width="10.42578125" style="94" bestFit="1" customWidth="1"/>
    <col min="4617" max="4617" width="4.5703125" style="94" customWidth="1"/>
    <col min="4618" max="4618" width="1.7109375" style="94" customWidth="1"/>
    <col min="4619" max="4619" width="7" style="94" bestFit="1" customWidth="1"/>
    <col min="4620" max="4620" width="6.28515625" style="94" customWidth="1"/>
    <col min="4621" max="4621" width="20.42578125" style="94" customWidth="1"/>
    <col min="4622" max="4622" width="6.42578125" style="94" bestFit="1" customWidth="1"/>
    <col min="4623" max="4624" width="8.42578125" style="94"/>
    <col min="4625" max="4625" width="3.28515625" style="94" customWidth="1"/>
    <col min="4626" max="4864" width="8.42578125" style="94"/>
    <col min="4865" max="4865" width="10" style="94" bestFit="1" customWidth="1"/>
    <col min="4866" max="4866" width="44.28515625" style="94" bestFit="1" customWidth="1"/>
    <col min="4867" max="4867" width="10.42578125" style="94" bestFit="1" customWidth="1"/>
    <col min="4868" max="4868" width="10.42578125" style="94" customWidth="1"/>
    <col min="4869" max="4869" width="9.7109375" style="94" bestFit="1" customWidth="1"/>
    <col min="4870" max="4871" width="9.5703125" style="94" bestFit="1" customWidth="1"/>
    <col min="4872" max="4872" width="10.42578125" style="94" bestFit="1" customWidth="1"/>
    <col min="4873" max="4873" width="4.5703125" style="94" customWidth="1"/>
    <col min="4874" max="4874" width="1.7109375" style="94" customWidth="1"/>
    <col min="4875" max="4875" width="7" style="94" bestFit="1" customWidth="1"/>
    <col min="4876" max="4876" width="6.28515625" style="94" customWidth="1"/>
    <col min="4877" max="4877" width="20.42578125" style="94" customWidth="1"/>
    <col min="4878" max="4878" width="6.42578125" style="94" bestFit="1" customWidth="1"/>
    <col min="4879" max="4880" width="8.42578125" style="94"/>
    <col min="4881" max="4881" width="3.28515625" style="94" customWidth="1"/>
    <col min="4882" max="5120" width="8.42578125" style="94"/>
    <col min="5121" max="5121" width="10" style="94" bestFit="1" customWidth="1"/>
    <col min="5122" max="5122" width="44.28515625" style="94" bestFit="1" customWidth="1"/>
    <col min="5123" max="5123" width="10.42578125" style="94" bestFit="1" customWidth="1"/>
    <col min="5124" max="5124" width="10.42578125" style="94" customWidth="1"/>
    <col min="5125" max="5125" width="9.7109375" style="94" bestFit="1" customWidth="1"/>
    <col min="5126" max="5127" width="9.5703125" style="94" bestFit="1" customWidth="1"/>
    <col min="5128" max="5128" width="10.42578125" style="94" bestFit="1" customWidth="1"/>
    <col min="5129" max="5129" width="4.5703125" style="94" customWidth="1"/>
    <col min="5130" max="5130" width="1.7109375" style="94" customWidth="1"/>
    <col min="5131" max="5131" width="7" style="94" bestFit="1" customWidth="1"/>
    <col min="5132" max="5132" width="6.28515625" style="94" customWidth="1"/>
    <col min="5133" max="5133" width="20.42578125" style="94" customWidth="1"/>
    <col min="5134" max="5134" width="6.42578125" style="94" bestFit="1" customWidth="1"/>
    <col min="5135" max="5136" width="8.42578125" style="94"/>
    <col min="5137" max="5137" width="3.28515625" style="94" customWidth="1"/>
    <col min="5138" max="5376" width="8.42578125" style="94"/>
    <col min="5377" max="5377" width="10" style="94" bestFit="1" customWidth="1"/>
    <col min="5378" max="5378" width="44.28515625" style="94" bestFit="1" customWidth="1"/>
    <col min="5379" max="5379" width="10.42578125" style="94" bestFit="1" customWidth="1"/>
    <col min="5380" max="5380" width="10.42578125" style="94" customWidth="1"/>
    <col min="5381" max="5381" width="9.7109375" style="94" bestFit="1" customWidth="1"/>
    <col min="5382" max="5383" width="9.5703125" style="94" bestFit="1" customWidth="1"/>
    <col min="5384" max="5384" width="10.42578125" style="94" bestFit="1" customWidth="1"/>
    <col min="5385" max="5385" width="4.5703125" style="94" customWidth="1"/>
    <col min="5386" max="5386" width="1.7109375" style="94" customWidth="1"/>
    <col min="5387" max="5387" width="7" style="94" bestFit="1" customWidth="1"/>
    <col min="5388" max="5388" width="6.28515625" style="94" customWidth="1"/>
    <col min="5389" max="5389" width="20.42578125" style="94" customWidth="1"/>
    <col min="5390" max="5390" width="6.42578125" style="94" bestFit="1" customWidth="1"/>
    <col min="5391" max="5392" width="8.42578125" style="94"/>
    <col min="5393" max="5393" width="3.28515625" style="94" customWidth="1"/>
    <col min="5394" max="5632" width="8.42578125" style="94"/>
    <col min="5633" max="5633" width="10" style="94" bestFit="1" customWidth="1"/>
    <col min="5634" max="5634" width="44.28515625" style="94" bestFit="1" customWidth="1"/>
    <col min="5635" max="5635" width="10.42578125" style="94" bestFit="1" customWidth="1"/>
    <col min="5636" max="5636" width="10.42578125" style="94" customWidth="1"/>
    <col min="5637" max="5637" width="9.7109375" style="94" bestFit="1" customWidth="1"/>
    <col min="5638" max="5639" width="9.5703125" style="94" bestFit="1" customWidth="1"/>
    <col min="5640" max="5640" width="10.42578125" style="94" bestFit="1" customWidth="1"/>
    <col min="5641" max="5641" width="4.5703125" style="94" customWidth="1"/>
    <col min="5642" max="5642" width="1.7109375" style="94" customWidth="1"/>
    <col min="5643" max="5643" width="7" style="94" bestFit="1" customWidth="1"/>
    <col min="5644" max="5644" width="6.28515625" style="94" customWidth="1"/>
    <col min="5645" max="5645" width="20.42578125" style="94" customWidth="1"/>
    <col min="5646" max="5646" width="6.42578125" style="94" bestFit="1" customWidth="1"/>
    <col min="5647" max="5648" width="8.42578125" style="94"/>
    <col min="5649" max="5649" width="3.28515625" style="94" customWidth="1"/>
    <col min="5650" max="5888" width="8.42578125" style="94"/>
    <col min="5889" max="5889" width="10" style="94" bestFit="1" customWidth="1"/>
    <col min="5890" max="5890" width="44.28515625" style="94" bestFit="1" customWidth="1"/>
    <col min="5891" max="5891" width="10.42578125" style="94" bestFit="1" customWidth="1"/>
    <col min="5892" max="5892" width="10.42578125" style="94" customWidth="1"/>
    <col min="5893" max="5893" width="9.7109375" style="94" bestFit="1" customWidth="1"/>
    <col min="5894" max="5895" width="9.5703125" style="94" bestFit="1" customWidth="1"/>
    <col min="5896" max="5896" width="10.42578125" style="94" bestFit="1" customWidth="1"/>
    <col min="5897" max="5897" width="4.5703125" style="94" customWidth="1"/>
    <col min="5898" max="5898" width="1.7109375" style="94" customWidth="1"/>
    <col min="5899" max="5899" width="7" style="94" bestFit="1" customWidth="1"/>
    <col min="5900" max="5900" width="6.28515625" style="94" customWidth="1"/>
    <col min="5901" max="5901" width="20.42578125" style="94" customWidth="1"/>
    <col min="5902" max="5902" width="6.42578125" style="94" bestFit="1" customWidth="1"/>
    <col min="5903" max="5904" width="8.42578125" style="94"/>
    <col min="5905" max="5905" width="3.28515625" style="94" customWidth="1"/>
    <col min="5906" max="6144" width="8.42578125" style="94"/>
    <col min="6145" max="6145" width="10" style="94" bestFit="1" customWidth="1"/>
    <col min="6146" max="6146" width="44.28515625" style="94" bestFit="1" customWidth="1"/>
    <col min="6147" max="6147" width="10.42578125" style="94" bestFit="1" customWidth="1"/>
    <col min="6148" max="6148" width="10.42578125" style="94" customWidth="1"/>
    <col min="6149" max="6149" width="9.7109375" style="94" bestFit="1" customWidth="1"/>
    <col min="6150" max="6151" width="9.5703125" style="94" bestFit="1" customWidth="1"/>
    <col min="6152" max="6152" width="10.42578125" style="94" bestFit="1" customWidth="1"/>
    <col min="6153" max="6153" width="4.5703125" style="94" customWidth="1"/>
    <col min="6154" max="6154" width="1.7109375" style="94" customWidth="1"/>
    <col min="6155" max="6155" width="7" style="94" bestFit="1" customWidth="1"/>
    <col min="6156" max="6156" width="6.28515625" style="94" customWidth="1"/>
    <col min="6157" max="6157" width="20.42578125" style="94" customWidth="1"/>
    <col min="6158" max="6158" width="6.42578125" style="94" bestFit="1" customWidth="1"/>
    <col min="6159" max="6160" width="8.42578125" style="94"/>
    <col min="6161" max="6161" width="3.28515625" style="94" customWidth="1"/>
    <col min="6162" max="6400" width="8.42578125" style="94"/>
    <col min="6401" max="6401" width="10" style="94" bestFit="1" customWidth="1"/>
    <col min="6402" max="6402" width="44.28515625" style="94" bestFit="1" customWidth="1"/>
    <col min="6403" max="6403" width="10.42578125" style="94" bestFit="1" customWidth="1"/>
    <col min="6404" max="6404" width="10.42578125" style="94" customWidth="1"/>
    <col min="6405" max="6405" width="9.7109375" style="94" bestFit="1" customWidth="1"/>
    <col min="6406" max="6407" width="9.5703125" style="94" bestFit="1" customWidth="1"/>
    <col min="6408" max="6408" width="10.42578125" style="94" bestFit="1" customWidth="1"/>
    <col min="6409" max="6409" width="4.5703125" style="94" customWidth="1"/>
    <col min="6410" max="6410" width="1.7109375" style="94" customWidth="1"/>
    <col min="6411" max="6411" width="7" style="94" bestFit="1" customWidth="1"/>
    <col min="6412" max="6412" width="6.28515625" style="94" customWidth="1"/>
    <col min="6413" max="6413" width="20.42578125" style="94" customWidth="1"/>
    <col min="6414" max="6414" width="6.42578125" style="94" bestFit="1" customWidth="1"/>
    <col min="6415" max="6416" width="8.42578125" style="94"/>
    <col min="6417" max="6417" width="3.28515625" style="94" customWidth="1"/>
    <col min="6418" max="6656" width="8.42578125" style="94"/>
    <col min="6657" max="6657" width="10" style="94" bestFit="1" customWidth="1"/>
    <col min="6658" max="6658" width="44.28515625" style="94" bestFit="1" customWidth="1"/>
    <col min="6659" max="6659" width="10.42578125" style="94" bestFit="1" customWidth="1"/>
    <col min="6660" max="6660" width="10.42578125" style="94" customWidth="1"/>
    <col min="6661" max="6661" width="9.7109375" style="94" bestFit="1" customWidth="1"/>
    <col min="6662" max="6663" width="9.5703125" style="94" bestFit="1" customWidth="1"/>
    <col min="6664" max="6664" width="10.42578125" style="94" bestFit="1" customWidth="1"/>
    <col min="6665" max="6665" width="4.5703125" style="94" customWidth="1"/>
    <col min="6666" max="6666" width="1.7109375" style="94" customWidth="1"/>
    <col min="6667" max="6667" width="7" style="94" bestFit="1" customWidth="1"/>
    <col min="6668" max="6668" width="6.28515625" style="94" customWidth="1"/>
    <col min="6669" max="6669" width="20.42578125" style="94" customWidth="1"/>
    <col min="6670" max="6670" width="6.42578125" style="94" bestFit="1" customWidth="1"/>
    <col min="6671" max="6672" width="8.42578125" style="94"/>
    <col min="6673" max="6673" width="3.28515625" style="94" customWidth="1"/>
    <col min="6674" max="6912" width="8.42578125" style="94"/>
    <col min="6913" max="6913" width="10" style="94" bestFit="1" customWidth="1"/>
    <col min="6914" max="6914" width="44.28515625" style="94" bestFit="1" customWidth="1"/>
    <col min="6915" max="6915" width="10.42578125" style="94" bestFit="1" customWidth="1"/>
    <col min="6916" max="6916" width="10.42578125" style="94" customWidth="1"/>
    <col min="6917" max="6917" width="9.7109375" style="94" bestFit="1" customWidth="1"/>
    <col min="6918" max="6919" width="9.5703125" style="94" bestFit="1" customWidth="1"/>
    <col min="6920" max="6920" width="10.42578125" style="94" bestFit="1" customWidth="1"/>
    <col min="6921" max="6921" width="4.5703125" style="94" customWidth="1"/>
    <col min="6922" max="6922" width="1.7109375" style="94" customWidth="1"/>
    <col min="6923" max="6923" width="7" style="94" bestFit="1" customWidth="1"/>
    <col min="6924" max="6924" width="6.28515625" style="94" customWidth="1"/>
    <col min="6925" max="6925" width="20.42578125" style="94" customWidth="1"/>
    <col min="6926" max="6926" width="6.42578125" style="94" bestFit="1" customWidth="1"/>
    <col min="6927" max="6928" width="8.42578125" style="94"/>
    <col min="6929" max="6929" width="3.28515625" style="94" customWidth="1"/>
    <col min="6930" max="7168" width="8.42578125" style="94"/>
    <col min="7169" max="7169" width="10" style="94" bestFit="1" customWidth="1"/>
    <col min="7170" max="7170" width="44.28515625" style="94" bestFit="1" customWidth="1"/>
    <col min="7171" max="7171" width="10.42578125" style="94" bestFit="1" customWidth="1"/>
    <col min="7172" max="7172" width="10.42578125" style="94" customWidth="1"/>
    <col min="7173" max="7173" width="9.7109375" style="94" bestFit="1" customWidth="1"/>
    <col min="7174" max="7175" width="9.5703125" style="94" bestFit="1" customWidth="1"/>
    <col min="7176" max="7176" width="10.42578125" style="94" bestFit="1" customWidth="1"/>
    <col min="7177" max="7177" width="4.5703125" style="94" customWidth="1"/>
    <col min="7178" max="7178" width="1.7109375" style="94" customWidth="1"/>
    <col min="7179" max="7179" width="7" style="94" bestFit="1" customWidth="1"/>
    <col min="7180" max="7180" width="6.28515625" style="94" customWidth="1"/>
    <col min="7181" max="7181" width="20.42578125" style="94" customWidth="1"/>
    <col min="7182" max="7182" width="6.42578125" style="94" bestFit="1" customWidth="1"/>
    <col min="7183" max="7184" width="8.42578125" style="94"/>
    <col min="7185" max="7185" width="3.28515625" style="94" customWidth="1"/>
    <col min="7186" max="7424" width="8.42578125" style="94"/>
    <col min="7425" max="7425" width="10" style="94" bestFit="1" customWidth="1"/>
    <col min="7426" max="7426" width="44.28515625" style="94" bestFit="1" customWidth="1"/>
    <col min="7427" max="7427" width="10.42578125" style="94" bestFit="1" customWidth="1"/>
    <col min="7428" max="7428" width="10.42578125" style="94" customWidth="1"/>
    <col min="7429" max="7429" width="9.7109375" style="94" bestFit="1" customWidth="1"/>
    <col min="7430" max="7431" width="9.5703125" style="94" bestFit="1" customWidth="1"/>
    <col min="7432" max="7432" width="10.42578125" style="94" bestFit="1" customWidth="1"/>
    <col min="7433" max="7433" width="4.5703125" style="94" customWidth="1"/>
    <col min="7434" max="7434" width="1.7109375" style="94" customWidth="1"/>
    <col min="7435" max="7435" width="7" style="94" bestFit="1" customWidth="1"/>
    <col min="7436" max="7436" width="6.28515625" style="94" customWidth="1"/>
    <col min="7437" max="7437" width="20.42578125" style="94" customWidth="1"/>
    <col min="7438" max="7438" width="6.42578125" style="94" bestFit="1" customWidth="1"/>
    <col min="7439" max="7440" width="8.42578125" style="94"/>
    <col min="7441" max="7441" width="3.28515625" style="94" customWidth="1"/>
    <col min="7442" max="7680" width="8.42578125" style="94"/>
    <col min="7681" max="7681" width="10" style="94" bestFit="1" customWidth="1"/>
    <col min="7682" max="7682" width="44.28515625" style="94" bestFit="1" customWidth="1"/>
    <col min="7683" max="7683" width="10.42578125" style="94" bestFit="1" customWidth="1"/>
    <col min="7684" max="7684" width="10.42578125" style="94" customWidth="1"/>
    <col min="7685" max="7685" width="9.7109375" style="94" bestFit="1" customWidth="1"/>
    <col min="7686" max="7687" width="9.5703125" style="94" bestFit="1" customWidth="1"/>
    <col min="7688" max="7688" width="10.42578125" style="94" bestFit="1" customWidth="1"/>
    <col min="7689" max="7689" width="4.5703125" style="94" customWidth="1"/>
    <col min="7690" max="7690" width="1.7109375" style="94" customWidth="1"/>
    <col min="7691" max="7691" width="7" style="94" bestFit="1" customWidth="1"/>
    <col min="7692" max="7692" width="6.28515625" style="94" customWidth="1"/>
    <col min="7693" max="7693" width="20.42578125" style="94" customWidth="1"/>
    <col min="7694" max="7694" width="6.42578125" style="94" bestFit="1" customWidth="1"/>
    <col min="7695" max="7696" width="8.42578125" style="94"/>
    <col min="7697" max="7697" width="3.28515625" style="94" customWidth="1"/>
    <col min="7698" max="7936" width="8.42578125" style="94"/>
    <col min="7937" max="7937" width="10" style="94" bestFit="1" customWidth="1"/>
    <col min="7938" max="7938" width="44.28515625" style="94" bestFit="1" customWidth="1"/>
    <col min="7939" max="7939" width="10.42578125" style="94" bestFit="1" customWidth="1"/>
    <col min="7940" max="7940" width="10.42578125" style="94" customWidth="1"/>
    <col min="7941" max="7941" width="9.7109375" style="94" bestFit="1" customWidth="1"/>
    <col min="7942" max="7943" width="9.5703125" style="94" bestFit="1" customWidth="1"/>
    <col min="7944" max="7944" width="10.42578125" style="94" bestFit="1" customWidth="1"/>
    <col min="7945" max="7945" width="4.5703125" style="94" customWidth="1"/>
    <col min="7946" max="7946" width="1.7109375" style="94" customWidth="1"/>
    <col min="7947" max="7947" width="7" style="94" bestFit="1" customWidth="1"/>
    <col min="7948" max="7948" width="6.28515625" style="94" customWidth="1"/>
    <col min="7949" max="7949" width="20.42578125" style="94" customWidth="1"/>
    <col min="7950" max="7950" width="6.42578125" style="94" bestFit="1" customWidth="1"/>
    <col min="7951" max="7952" width="8.42578125" style="94"/>
    <col min="7953" max="7953" width="3.28515625" style="94" customWidth="1"/>
    <col min="7954" max="8192" width="8.42578125" style="94"/>
    <col min="8193" max="8193" width="10" style="94" bestFit="1" customWidth="1"/>
    <col min="8194" max="8194" width="44.28515625" style="94" bestFit="1" customWidth="1"/>
    <col min="8195" max="8195" width="10.42578125" style="94" bestFit="1" customWidth="1"/>
    <col min="8196" max="8196" width="10.42578125" style="94" customWidth="1"/>
    <col min="8197" max="8197" width="9.7109375" style="94" bestFit="1" customWidth="1"/>
    <col min="8198" max="8199" width="9.5703125" style="94" bestFit="1" customWidth="1"/>
    <col min="8200" max="8200" width="10.42578125" style="94" bestFit="1" customWidth="1"/>
    <col min="8201" max="8201" width="4.5703125" style="94" customWidth="1"/>
    <col min="8202" max="8202" width="1.7109375" style="94" customWidth="1"/>
    <col min="8203" max="8203" width="7" style="94" bestFit="1" customWidth="1"/>
    <col min="8204" max="8204" width="6.28515625" style="94" customWidth="1"/>
    <col min="8205" max="8205" width="20.42578125" style="94" customWidth="1"/>
    <col min="8206" max="8206" width="6.42578125" style="94" bestFit="1" customWidth="1"/>
    <col min="8207" max="8208" width="8.42578125" style="94"/>
    <col min="8209" max="8209" width="3.28515625" style="94" customWidth="1"/>
    <col min="8210" max="8448" width="8.42578125" style="94"/>
    <col min="8449" max="8449" width="10" style="94" bestFit="1" customWidth="1"/>
    <col min="8450" max="8450" width="44.28515625" style="94" bestFit="1" customWidth="1"/>
    <col min="8451" max="8451" width="10.42578125" style="94" bestFit="1" customWidth="1"/>
    <col min="8452" max="8452" width="10.42578125" style="94" customWidth="1"/>
    <col min="8453" max="8453" width="9.7109375" style="94" bestFit="1" customWidth="1"/>
    <col min="8454" max="8455" width="9.5703125" style="94" bestFit="1" customWidth="1"/>
    <col min="8456" max="8456" width="10.42578125" style="94" bestFit="1" customWidth="1"/>
    <col min="8457" max="8457" width="4.5703125" style="94" customWidth="1"/>
    <col min="8458" max="8458" width="1.7109375" style="94" customWidth="1"/>
    <col min="8459" max="8459" width="7" style="94" bestFit="1" customWidth="1"/>
    <col min="8460" max="8460" width="6.28515625" style="94" customWidth="1"/>
    <col min="8461" max="8461" width="20.42578125" style="94" customWidth="1"/>
    <col min="8462" max="8462" width="6.42578125" style="94" bestFit="1" customWidth="1"/>
    <col min="8463" max="8464" width="8.42578125" style="94"/>
    <col min="8465" max="8465" width="3.28515625" style="94" customWidth="1"/>
    <col min="8466" max="8704" width="8.42578125" style="94"/>
    <col min="8705" max="8705" width="10" style="94" bestFit="1" customWidth="1"/>
    <col min="8706" max="8706" width="44.28515625" style="94" bestFit="1" customWidth="1"/>
    <col min="8707" max="8707" width="10.42578125" style="94" bestFit="1" customWidth="1"/>
    <col min="8708" max="8708" width="10.42578125" style="94" customWidth="1"/>
    <col min="8709" max="8709" width="9.7109375" style="94" bestFit="1" customWidth="1"/>
    <col min="8710" max="8711" width="9.5703125" style="94" bestFit="1" customWidth="1"/>
    <col min="8712" max="8712" width="10.42578125" style="94" bestFit="1" customWidth="1"/>
    <col min="8713" max="8713" width="4.5703125" style="94" customWidth="1"/>
    <col min="8714" max="8714" width="1.7109375" style="94" customWidth="1"/>
    <col min="8715" max="8715" width="7" style="94" bestFit="1" customWidth="1"/>
    <col min="8716" max="8716" width="6.28515625" style="94" customWidth="1"/>
    <col min="8717" max="8717" width="20.42578125" style="94" customWidth="1"/>
    <col min="8718" max="8718" width="6.42578125" style="94" bestFit="1" customWidth="1"/>
    <col min="8719" max="8720" width="8.42578125" style="94"/>
    <col min="8721" max="8721" width="3.28515625" style="94" customWidth="1"/>
    <col min="8722" max="8960" width="8.42578125" style="94"/>
    <col min="8961" max="8961" width="10" style="94" bestFit="1" customWidth="1"/>
    <col min="8962" max="8962" width="44.28515625" style="94" bestFit="1" customWidth="1"/>
    <col min="8963" max="8963" width="10.42578125" style="94" bestFit="1" customWidth="1"/>
    <col min="8964" max="8964" width="10.42578125" style="94" customWidth="1"/>
    <col min="8965" max="8965" width="9.7109375" style="94" bestFit="1" customWidth="1"/>
    <col min="8966" max="8967" width="9.5703125" style="94" bestFit="1" customWidth="1"/>
    <col min="8968" max="8968" width="10.42578125" style="94" bestFit="1" customWidth="1"/>
    <col min="8969" max="8969" width="4.5703125" style="94" customWidth="1"/>
    <col min="8970" max="8970" width="1.7109375" style="94" customWidth="1"/>
    <col min="8971" max="8971" width="7" style="94" bestFit="1" customWidth="1"/>
    <col min="8972" max="8972" width="6.28515625" style="94" customWidth="1"/>
    <col min="8973" max="8973" width="20.42578125" style="94" customWidth="1"/>
    <col min="8974" max="8974" width="6.42578125" style="94" bestFit="1" customWidth="1"/>
    <col min="8975" max="8976" width="8.42578125" style="94"/>
    <col min="8977" max="8977" width="3.28515625" style="94" customWidth="1"/>
    <col min="8978" max="9216" width="8.42578125" style="94"/>
    <col min="9217" max="9217" width="10" style="94" bestFit="1" customWidth="1"/>
    <col min="9218" max="9218" width="44.28515625" style="94" bestFit="1" customWidth="1"/>
    <col min="9219" max="9219" width="10.42578125" style="94" bestFit="1" customWidth="1"/>
    <col min="9220" max="9220" width="10.42578125" style="94" customWidth="1"/>
    <col min="9221" max="9221" width="9.7109375" style="94" bestFit="1" customWidth="1"/>
    <col min="9222" max="9223" width="9.5703125" style="94" bestFit="1" customWidth="1"/>
    <col min="9224" max="9224" width="10.42578125" style="94" bestFit="1" customWidth="1"/>
    <col min="9225" max="9225" width="4.5703125" style="94" customWidth="1"/>
    <col min="9226" max="9226" width="1.7109375" style="94" customWidth="1"/>
    <col min="9227" max="9227" width="7" style="94" bestFit="1" customWidth="1"/>
    <col min="9228" max="9228" width="6.28515625" style="94" customWidth="1"/>
    <col min="9229" max="9229" width="20.42578125" style="94" customWidth="1"/>
    <col min="9230" max="9230" width="6.42578125" style="94" bestFit="1" customWidth="1"/>
    <col min="9231" max="9232" width="8.42578125" style="94"/>
    <col min="9233" max="9233" width="3.28515625" style="94" customWidth="1"/>
    <col min="9234" max="9472" width="8.42578125" style="94"/>
    <col min="9473" max="9473" width="10" style="94" bestFit="1" customWidth="1"/>
    <col min="9474" max="9474" width="44.28515625" style="94" bestFit="1" customWidth="1"/>
    <col min="9475" max="9475" width="10.42578125" style="94" bestFit="1" customWidth="1"/>
    <col min="9476" max="9476" width="10.42578125" style="94" customWidth="1"/>
    <col min="9477" max="9477" width="9.7109375" style="94" bestFit="1" customWidth="1"/>
    <col min="9478" max="9479" width="9.5703125" style="94" bestFit="1" customWidth="1"/>
    <col min="9480" max="9480" width="10.42578125" style="94" bestFit="1" customWidth="1"/>
    <col min="9481" max="9481" width="4.5703125" style="94" customWidth="1"/>
    <col min="9482" max="9482" width="1.7109375" style="94" customWidth="1"/>
    <col min="9483" max="9483" width="7" style="94" bestFit="1" customWidth="1"/>
    <col min="9484" max="9484" width="6.28515625" style="94" customWidth="1"/>
    <col min="9485" max="9485" width="20.42578125" style="94" customWidth="1"/>
    <col min="9486" max="9486" width="6.42578125" style="94" bestFit="1" customWidth="1"/>
    <col min="9487" max="9488" width="8.42578125" style="94"/>
    <col min="9489" max="9489" width="3.28515625" style="94" customWidth="1"/>
    <col min="9490" max="9728" width="8.42578125" style="94"/>
    <col min="9729" max="9729" width="10" style="94" bestFit="1" customWidth="1"/>
    <col min="9730" max="9730" width="44.28515625" style="94" bestFit="1" customWidth="1"/>
    <col min="9731" max="9731" width="10.42578125" style="94" bestFit="1" customWidth="1"/>
    <col min="9732" max="9732" width="10.42578125" style="94" customWidth="1"/>
    <col min="9733" max="9733" width="9.7109375" style="94" bestFit="1" customWidth="1"/>
    <col min="9734" max="9735" width="9.5703125" style="94" bestFit="1" customWidth="1"/>
    <col min="9736" max="9736" width="10.42578125" style="94" bestFit="1" customWidth="1"/>
    <col min="9737" max="9737" width="4.5703125" style="94" customWidth="1"/>
    <col min="9738" max="9738" width="1.7109375" style="94" customWidth="1"/>
    <col min="9739" max="9739" width="7" style="94" bestFit="1" customWidth="1"/>
    <col min="9740" max="9740" width="6.28515625" style="94" customWidth="1"/>
    <col min="9741" max="9741" width="20.42578125" style="94" customWidth="1"/>
    <col min="9742" max="9742" width="6.42578125" style="94" bestFit="1" customWidth="1"/>
    <col min="9743" max="9744" width="8.42578125" style="94"/>
    <col min="9745" max="9745" width="3.28515625" style="94" customWidth="1"/>
    <col min="9746" max="9984" width="8.42578125" style="94"/>
    <col min="9985" max="9985" width="10" style="94" bestFit="1" customWidth="1"/>
    <col min="9986" max="9986" width="44.28515625" style="94" bestFit="1" customWidth="1"/>
    <col min="9987" max="9987" width="10.42578125" style="94" bestFit="1" customWidth="1"/>
    <col min="9988" max="9988" width="10.42578125" style="94" customWidth="1"/>
    <col min="9989" max="9989" width="9.7109375" style="94" bestFit="1" customWidth="1"/>
    <col min="9990" max="9991" width="9.5703125" style="94" bestFit="1" customWidth="1"/>
    <col min="9992" max="9992" width="10.42578125" style="94" bestFit="1" customWidth="1"/>
    <col min="9993" max="9993" width="4.5703125" style="94" customWidth="1"/>
    <col min="9994" max="9994" width="1.7109375" style="94" customWidth="1"/>
    <col min="9995" max="9995" width="7" style="94" bestFit="1" customWidth="1"/>
    <col min="9996" max="9996" width="6.28515625" style="94" customWidth="1"/>
    <col min="9997" max="9997" width="20.42578125" style="94" customWidth="1"/>
    <col min="9998" max="9998" width="6.42578125" style="94" bestFit="1" customWidth="1"/>
    <col min="9999" max="10000" width="8.42578125" style="94"/>
    <col min="10001" max="10001" width="3.28515625" style="94" customWidth="1"/>
    <col min="10002" max="10240" width="8.42578125" style="94"/>
    <col min="10241" max="10241" width="10" style="94" bestFit="1" customWidth="1"/>
    <col min="10242" max="10242" width="44.28515625" style="94" bestFit="1" customWidth="1"/>
    <col min="10243" max="10243" width="10.42578125" style="94" bestFit="1" customWidth="1"/>
    <col min="10244" max="10244" width="10.42578125" style="94" customWidth="1"/>
    <col min="10245" max="10245" width="9.7109375" style="94" bestFit="1" customWidth="1"/>
    <col min="10246" max="10247" width="9.5703125" style="94" bestFit="1" customWidth="1"/>
    <col min="10248" max="10248" width="10.42578125" style="94" bestFit="1" customWidth="1"/>
    <col min="10249" max="10249" width="4.5703125" style="94" customWidth="1"/>
    <col min="10250" max="10250" width="1.7109375" style="94" customWidth="1"/>
    <col min="10251" max="10251" width="7" style="94" bestFit="1" customWidth="1"/>
    <col min="10252" max="10252" width="6.28515625" style="94" customWidth="1"/>
    <col min="10253" max="10253" width="20.42578125" style="94" customWidth="1"/>
    <col min="10254" max="10254" width="6.42578125" style="94" bestFit="1" customWidth="1"/>
    <col min="10255" max="10256" width="8.42578125" style="94"/>
    <col min="10257" max="10257" width="3.28515625" style="94" customWidth="1"/>
    <col min="10258" max="10496" width="8.42578125" style="94"/>
    <col min="10497" max="10497" width="10" style="94" bestFit="1" customWidth="1"/>
    <col min="10498" max="10498" width="44.28515625" style="94" bestFit="1" customWidth="1"/>
    <col min="10499" max="10499" width="10.42578125" style="94" bestFit="1" customWidth="1"/>
    <col min="10500" max="10500" width="10.42578125" style="94" customWidth="1"/>
    <col min="10501" max="10501" width="9.7109375" style="94" bestFit="1" customWidth="1"/>
    <col min="10502" max="10503" width="9.5703125" style="94" bestFit="1" customWidth="1"/>
    <col min="10504" max="10504" width="10.42578125" style="94" bestFit="1" customWidth="1"/>
    <col min="10505" max="10505" width="4.5703125" style="94" customWidth="1"/>
    <col min="10506" max="10506" width="1.7109375" style="94" customWidth="1"/>
    <col min="10507" max="10507" width="7" style="94" bestFit="1" customWidth="1"/>
    <col min="10508" max="10508" width="6.28515625" style="94" customWidth="1"/>
    <col min="10509" max="10509" width="20.42578125" style="94" customWidth="1"/>
    <col min="10510" max="10510" width="6.42578125" style="94" bestFit="1" customWidth="1"/>
    <col min="10511" max="10512" width="8.42578125" style="94"/>
    <col min="10513" max="10513" width="3.28515625" style="94" customWidth="1"/>
    <col min="10514" max="10752" width="8.42578125" style="94"/>
    <col min="10753" max="10753" width="10" style="94" bestFit="1" customWidth="1"/>
    <col min="10754" max="10754" width="44.28515625" style="94" bestFit="1" customWidth="1"/>
    <col min="10755" max="10755" width="10.42578125" style="94" bestFit="1" customWidth="1"/>
    <col min="10756" max="10756" width="10.42578125" style="94" customWidth="1"/>
    <col min="10757" max="10757" width="9.7109375" style="94" bestFit="1" customWidth="1"/>
    <col min="10758" max="10759" width="9.5703125" style="94" bestFit="1" customWidth="1"/>
    <col min="10760" max="10760" width="10.42578125" style="94" bestFit="1" customWidth="1"/>
    <col min="10761" max="10761" width="4.5703125" style="94" customWidth="1"/>
    <col min="10762" max="10762" width="1.7109375" style="94" customWidth="1"/>
    <col min="10763" max="10763" width="7" style="94" bestFit="1" customWidth="1"/>
    <col min="10764" max="10764" width="6.28515625" style="94" customWidth="1"/>
    <col min="10765" max="10765" width="20.42578125" style="94" customWidth="1"/>
    <col min="10766" max="10766" width="6.42578125" style="94" bestFit="1" customWidth="1"/>
    <col min="10767" max="10768" width="8.42578125" style="94"/>
    <col min="10769" max="10769" width="3.28515625" style="94" customWidth="1"/>
    <col min="10770" max="11008" width="8.42578125" style="94"/>
    <col min="11009" max="11009" width="10" style="94" bestFit="1" customWidth="1"/>
    <col min="11010" max="11010" width="44.28515625" style="94" bestFit="1" customWidth="1"/>
    <col min="11011" max="11011" width="10.42578125" style="94" bestFit="1" customWidth="1"/>
    <col min="11012" max="11012" width="10.42578125" style="94" customWidth="1"/>
    <col min="11013" max="11013" width="9.7109375" style="94" bestFit="1" customWidth="1"/>
    <col min="11014" max="11015" width="9.5703125" style="94" bestFit="1" customWidth="1"/>
    <col min="11016" max="11016" width="10.42578125" style="94" bestFit="1" customWidth="1"/>
    <col min="11017" max="11017" width="4.5703125" style="94" customWidth="1"/>
    <col min="11018" max="11018" width="1.7109375" style="94" customWidth="1"/>
    <col min="11019" max="11019" width="7" style="94" bestFit="1" customWidth="1"/>
    <col min="11020" max="11020" width="6.28515625" style="94" customWidth="1"/>
    <col min="11021" max="11021" width="20.42578125" style="94" customWidth="1"/>
    <col min="11022" max="11022" width="6.42578125" style="94" bestFit="1" customWidth="1"/>
    <col min="11023" max="11024" width="8.42578125" style="94"/>
    <col min="11025" max="11025" width="3.28515625" style="94" customWidth="1"/>
    <col min="11026" max="11264" width="8.42578125" style="94"/>
    <col min="11265" max="11265" width="10" style="94" bestFit="1" customWidth="1"/>
    <col min="11266" max="11266" width="44.28515625" style="94" bestFit="1" customWidth="1"/>
    <col min="11267" max="11267" width="10.42578125" style="94" bestFit="1" customWidth="1"/>
    <col min="11268" max="11268" width="10.42578125" style="94" customWidth="1"/>
    <col min="11269" max="11269" width="9.7109375" style="94" bestFit="1" customWidth="1"/>
    <col min="11270" max="11271" width="9.5703125" style="94" bestFit="1" customWidth="1"/>
    <col min="11272" max="11272" width="10.42578125" style="94" bestFit="1" customWidth="1"/>
    <col min="11273" max="11273" width="4.5703125" style="94" customWidth="1"/>
    <col min="11274" max="11274" width="1.7109375" style="94" customWidth="1"/>
    <col min="11275" max="11275" width="7" style="94" bestFit="1" customWidth="1"/>
    <col min="11276" max="11276" width="6.28515625" style="94" customWidth="1"/>
    <col min="11277" max="11277" width="20.42578125" style="94" customWidth="1"/>
    <col min="11278" max="11278" width="6.42578125" style="94" bestFit="1" customWidth="1"/>
    <col min="11279" max="11280" width="8.42578125" style="94"/>
    <col min="11281" max="11281" width="3.28515625" style="94" customWidth="1"/>
    <col min="11282" max="11520" width="8.42578125" style="94"/>
    <col min="11521" max="11521" width="10" style="94" bestFit="1" customWidth="1"/>
    <col min="11522" max="11522" width="44.28515625" style="94" bestFit="1" customWidth="1"/>
    <col min="11523" max="11523" width="10.42578125" style="94" bestFit="1" customWidth="1"/>
    <col min="11524" max="11524" width="10.42578125" style="94" customWidth="1"/>
    <col min="11525" max="11525" width="9.7109375" style="94" bestFit="1" customWidth="1"/>
    <col min="11526" max="11527" width="9.5703125" style="94" bestFit="1" customWidth="1"/>
    <col min="11528" max="11528" width="10.42578125" style="94" bestFit="1" customWidth="1"/>
    <col min="11529" max="11529" width="4.5703125" style="94" customWidth="1"/>
    <col min="11530" max="11530" width="1.7109375" style="94" customWidth="1"/>
    <col min="11531" max="11531" width="7" style="94" bestFit="1" customWidth="1"/>
    <col min="11532" max="11532" width="6.28515625" style="94" customWidth="1"/>
    <col min="11533" max="11533" width="20.42578125" style="94" customWidth="1"/>
    <col min="11534" max="11534" width="6.42578125" style="94" bestFit="1" customWidth="1"/>
    <col min="11535" max="11536" width="8.42578125" style="94"/>
    <col min="11537" max="11537" width="3.28515625" style="94" customWidth="1"/>
    <col min="11538" max="11776" width="8.42578125" style="94"/>
    <col min="11777" max="11777" width="10" style="94" bestFit="1" customWidth="1"/>
    <col min="11778" max="11778" width="44.28515625" style="94" bestFit="1" customWidth="1"/>
    <col min="11779" max="11779" width="10.42578125" style="94" bestFit="1" customWidth="1"/>
    <col min="11780" max="11780" width="10.42578125" style="94" customWidth="1"/>
    <col min="11781" max="11781" width="9.7109375" style="94" bestFit="1" customWidth="1"/>
    <col min="11782" max="11783" width="9.5703125" style="94" bestFit="1" customWidth="1"/>
    <col min="11784" max="11784" width="10.42578125" style="94" bestFit="1" customWidth="1"/>
    <col min="11785" max="11785" width="4.5703125" style="94" customWidth="1"/>
    <col min="11786" max="11786" width="1.7109375" style="94" customWidth="1"/>
    <col min="11787" max="11787" width="7" style="94" bestFit="1" customWidth="1"/>
    <col min="11788" max="11788" width="6.28515625" style="94" customWidth="1"/>
    <col min="11789" max="11789" width="20.42578125" style="94" customWidth="1"/>
    <col min="11790" max="11790" width="6.42578125" style="94" bestFit="1" customWidth="1"/>
    <col min="11791" max="11792" width="8.42578125" style="94"/>
    <col min="11793" max="11793" width="3.28515625" style="94" customWidth="1"/>
    <col min="11794" max="12032" width="8.42578125" style="94"/>
    <col min="12033" max="12033" width="10" style="94" bestFit="1" customWidth="1"/>
    <col min="12034" max="12034" width="44.28515625" style="94" bestFit="1" customWidth="1"/>
    <col min="12035" max="12035" width="10.42578125" style="94" bestFit="1" customWidth="1"/>
    <col min="12036" max="12036" width="10.42578125" style="94" customWidth="1"/>
    <col min="12037" max="12037" width="9.7109375" style="94" bestFit="1" customWidth="1"/>
    <col min="12038" max="12039" width="9.5703125" style="94" bestFit="1" customWidth="1"/>
    <col min="12040" max="12040" width="10.42578125" style="94" bestFit="1" customWidth="1"/>
    <col min="12041" max="12041" width="4.5703125" style="94" customWidth="1"/>
    <col min="12042" max="12042" width="1.7109375" style="94" customWidth="1"/>
    <col min="12043" max="12043" width="7" style="94" bestFit="1" customWidth="1"/>
    <col min="12044" max="12044" width="6.28515625" style="94" customWidth="1"/>
    <col min="12045" max="12045" width="20.42578125" style="94" customWidth="1"/>
    <col min="12046" max="12046" width="6.42578125" style="94" bestFit="1" customWidth="1"/>
    <col min="12047" max="12048" width="8.42578125" style="94"/>
    <col min="12049" max="12049" width="3.28515625" style="94" customWidth="1"/>
    <col min="12050" max="12288" width="8.42578125" style="94"/>
    <col min="12289" max="12289" width="10" style="94" bestFit="1" customWidth="1"/>
    <col min="12290" max="12290" width="44.28515625" style="94" bestFit="1" customWidth="1"/>
    <col min="12291" max="12291" width="10.42578125" style="94" bestFit="1" customWidth="1"/>
    <col min="12292" max="12292" width="10.42578125" style="94" customWidth="1"/>
    <col min="12293" max="12293" width="9.7109375" style="94" bestFit="1" customWidth="1"/>
    <col min="12294" max="12295" width="9.5703125" style="94" bestFit="1" customWidth="1"/>
    <col min="12296" max="12296" width="10.42578125" style="94" bestFit="1" customWidth="1"/>
    <col min="12297" max="12297" width="4.5703125" style="94" customWidth="1"/>
    <col min="12298" max="12298" width="1.7109375" style="94" customWidth="1"/>
    <col min="12299" max="12299" width="7" style="94" bestFit="1" customWidth="1"/>
    <col min="12300" max="12300" width="6.28515625" style="94" customWidth="1"/>
    <col min="12301" max="12301" width="20.42578125" style="94" customWidth="1"/>
    <col min="12302" max="12302" width="6.42578125" style="94" bestFit="1" customWidth="1"/>
    <col min="12303" max="12304" width="8.42578125" style="94"/>
    <col min="12305" max="12305" width="3.28515625" style="94" customWidth="1"/>
    <col min="12306" max="12544" width="8.42578125" style="94"/>
    <col min="12545" max="12545" width="10" style="94" bestFit="1" customWidth="1"/>
    <col min="12546" max="12546" width="44.28515625" style="94" bestFit="1" customWidth="1"/>
    <col min="12547" max="12547" width="10.42578125" style="94" bestFit="1" customWidth="1"/>
    <col min="12548" max="12548" width="10.42578125" style="94" customWidth="1"/>
    <col min="12549" max="12549" width="9.7109375" style="94" bestFit="1" customWidth="1"/>
    <col min="12550" max="12551" width="9.5703125" style="94" bestFit="1" customWidth="1"/>
    <col min="12552" max="12552" width="10.42578125" style="94" bestFit="1" customWidth="1"/>
    <col min="12553" max="12553" width="4.5703125" style="94" customWidth="1"/>
    <col min="12554" max="12554" width="1.7109375" style="94" customWidth="1"/>
    <col min="12555" max="12555" width="7" style="94" bestFit="1" customWidth="1"/>
    <col min="12556" max="12556" width="6.28515625" style="94" customWidth="1"/>
    <col min="12557" max="12557" width="20.42578125" style="94" customWidth="1"/>
    <col min="12558" max="12558" width="6.42578125" style="94" bestFit="1" customWidth="1"/>
    <col min="12559" max="12560" width="8.42578125" style="94"/>
    <col min="12561" max="12561" width="3.28515625" style="94" customWidth="1"/>
    <col min="12562" max="12800" width="8.42578125" style="94"/>
    <col min="12801" max="12801" width="10" style="94" bestFit="1" customWidth="1"/>
    <col min="12802" max="12802" width="44.28515625" style="94" bestFit="1" customWidth="1"/>
    <col min="12803" max="12803" width="10.42578125" style="94" bestFit="1" customWidth="1"/>
    <col min="12804" max="12804" width="10.42578125" style="94" customWidth="1"/>
    <col min="12805" max="12805" width="9.7109375" style="94" bestFit="1" customWidth="1"/>
    <col min="12806" max="12807" width="9.5703125" style="94" bestFit="1" customWidth="1"/>
    <col min="12808" max="12808" width="10.42578125" style="94" bestFit="1" customWidth="1"/>
    <col min="12809" max="12809" width="4.5703125" style="94" customWidth="1"/>
    <col min="12810" max="12810" width="1.7109375" style="94" customWidth="1"/>
    <col min="12811" max="12811" width="7" style="94" bestFit="1" customWidth="1"/>
    <col min="12812" max="12812" width="6.28515625" style="94" customWidth="1"/>
    <col min="12813" max="12813" width="20.42578125" style="94" customWidth="1"/>
    <col min="12814" max="12814" width="6.42578125" style="94" bestFit="1" customWidth="1"/>
    <col min="12815" max="12816" width="8.42578125" style="94"/>
    <col min="12817" max="12817" width="3.28515625" style="94" customWidth="1"/>
    <col min="12818" max="13056" width="8.42578125" style="94"/>
    <col min="13057" max="13057" width="10" style="94" bestFit="1" customWidth="1"/>
    <col min="13058" max="13058" width="44.28515625" style="94" bestFit="1" customWidth="1"/>
    <col min="13059" max="13059" width="10.42578125" style="94" bestFit="1" customWidth="1"/>
    <col min="13060" max="13060" width="10.42578125" style="94" customWidth="1"/>
    <col min="13061" max="13061" width="9.7109375" style="94" bestFit="1" customWidth="1"/>
    <col min="13062" max="13063" width="9.5703125" style="94" bestFit="1" customWidth="1"/>
    <col min="13064" max="13064" width="10.42578125" style="94" bestFit="1" customWidth="1"/>
    <col min="13065" max="13065" width="4.5703125" style="94" customWidth="1"/>
    <col min="13066" max="13066" width="1.7109375" style="94" customWidth="1"/>
    <col min="13067" max="13067" width="7" style="94" bestFit="1" customWidth="1"/>
    <col min="13068" max="13068" width="6.28515625" style="94" customWidth="1"/>
    <col min="13069" max="13069" width="20.42578125" style="94" customWidth="1"/>
    <col min="13070" max="13070" width="6.42578125" style="94" bestFit="1" customWidth="1"/>
    <col min="13071" max="13072" width="8.42578125" style="94"/>
    <col min="13073" max="13073" width="3.28515625" style="94" customWidth="1"/>
    <col min="13074" max="13312" width="8.42578125" style="94"/>
    <col min="13313" max="13313" width="10" style="94" bestFit="1" customWidth="1"/>
    <col min="13314" max="13314" width="44.28515625" style="94" bestFit="1" customWidth="1"/>
    <col min="13315" max="13315" width="10.42578125" style="94" bestFit="1" customWidth="1"/>
    <col min="13316" max="13316" width="10.42578125" style="94" customWidth="1"/>
    <col min="13317" max="13317" width="9.7109375" style="94" bestFit="1" customWidth="1"/>
    <col min="13318" max="13319" width="9.5703125" style="94" bestFit="1" customWidth="1"/>
    <col min="13320" max="13320" width="10.42578125" style="94" bestFit="1" customWidth="1"/>
    <col min="13321" max="13321" width="4.5703125" style="94" customWidth="1"/>
    <col min="13322" max="13322" width="1.7109375" style="94" customWidth="1"/>
    <col min="13323" max="13323" width="7" style="94" bestFit="1" customWidth="1"/>
    <col min="13324" max="13324" width="6.28515625" style="94" customWidth="1"/>
    <col min="13325" max="13325" width="20.42578125" style="94" customWidth="1"/>
    <col min="13326" max="13326" width="6.42578125" style="94" bestFit="1" customWidth="1"/>
    <col min="13327" max="13328" width="8.42578125" style="94"/>
    <col min="13329" max="13329" width="3.28515625" style="94" customWidth="1"/>
    <col min="13330" max="13568" width="8.42578125" style="94"/>
    <col min="13569" max="13569" width="10" style="94" bestFit="1" customWidth="1"/>
    <col min="13570" max="13570" width="44.28515625" style="94" bestFit="1" customWidth="1"/>
    <col min="13571" max="13571" width="10.42578125" style="94" bestFit="1" customWidth="1"/>
    <col min="13572" max="13572" width="10.42578125" style="94" customWidth="1"/>
    <col min="13573" max="13573" width="9.7109375" style="94" bestFit="1" customWidth="1"/>
    <col min="13574" max="13575" width="9.5703125" style="94" bestFit="1" customWidth="1"/>
    <col min="13576" max="13576" width="10.42578125" style="94" bestFit="1" customWidth="1"/>
    <col min="13577" max="13577" width="4.5703125" style="94" customWidth="1"/>
    <col min="13578" max="13578" width="1.7109375" style="94" customWidth="1"/>
    <col min="13579" max="13579" width="7" style="94" bestFit="1" customWidth="1"/>
    <col min="13580" max="13580" width="6.28515625" style="94" customWidth="1"/>
    <col min="13581" max="13581" width="20.42578125" style="94" customWidth="1"/>
    <col min="13582" max="13582" width="6.42578125" style="94" bestFit="1" customWidth="1"/>
    <col min="13583" max="13584" width="8.42578125" style="94"/>
    <col min="13585" max="13585" width="3.28515625" style="94" customWidth="1"/>
    <col min="13586" max="13824" width="8.42578125" style="94"/>
    <col min="13825" max="13825" width="10" style="94" bestFit="1" customWidth="1"/>
    <col min="13826" max="13826" width="44.28515625" style="94" bestFit="1" customWidth="1"/>
    <col min="13827" max="13827" width="10.42578125" style="94" bestFit="1" customWidth="1"/>
    <col min="13828" max="13828" width="10.42578125" style="94" customWidth="1"/>
    <col min="13829" max="13829" width="9.7109375" style="94" bestFit="1" customWidth="1"/>
    <col min="13830" max="13831" width="9.5703125" style="94" bestFit="1" customWidth="1"/>
    <col min="13832" max="13832" width="10.42578125" style="94" bestFit="1" customWidth="1"/>
    <col min="13833" max="13833" width="4.5703125" style="94" customWidth="1"/>
    <col min="13834" max="13834" width="1.7109375" style="94" customWidth="1"/>
    <col min="13835" max="13835" width="7" style="94" bestFit="1" customWidth="1"/>
    <col min="13836" max="13836" width="6.28515625" style="94" customWidth="1"/>
    <col min="13837" max="13837" width="20.42578125" style="94" customWidth="1"/>
    <col min="13838" max="13838" width="6.42578125" style="94" bestFit="1" customWidth="1"/>
    <col min="13839" max="13840" width="8.42578125" style="94"/>
    <col min="13841" max="13841" width="3.28515625" style="94" customWidth="1"/>
    <col min="13842" max="14080" width="8.42578125" style="94"/>
    <col min="14081" max="14081" width="10" style="94" bestFit="1" customWidth="1"/>
    <col min="14082" max="14082" width="44.28515625" style="94" bestFit="1" customWidth="1"/>
    <col min="14083" max="14083" width="10.42578125" style="94" bestFit="1" customWidth="1"/>
    <col min="14084" max="14084" width="10.42578125" style="94" customWidth="1"/>
    <col min="14085" max="14085" width="9.7109375" style="94" bestFit="1" customWidth="1"/>
    <col min="14086" max="14087" width="9.5703125" style="94" bestFit="1" customWidth="1"/>
    <col min="14088" max="14088" width="10.42578125" style="94" bestFit="1" customWidth="1"/>
    <col min="14089" max="14089" width="4.5703125" style="94" customWidth="1"/>
    <col min="14090" max="14090" width="1.7109375" style="94" customWidth="1"/>
    <col min="14091" max="14091" width="7" style="94" bestFit="1" customWidth="1"/>
    <col min="14092" max="14092" width="6.28515625" style="94" customWidth="1"/>
    <col min="14093" max="14093" width="20.42578125" style="94" customWidth="1"/>
    <col min="14094" max="14094" width="6.42578125" style="94" bestFit="1" customWidth="1"/>
    <col min="14095" max="14096" width="8.42578125" style="94"/>
    <col min="14097" max="14097" width="3.28515625" style="94" customWidth="1"/>
    <col min="14098" max="14336" width="8.42578125" style="94"/>
    <col min="14337" max="14337" width="10" style="94" bestFit="1" customWidth="1"/>
    <col min="14338" max="14338" width="44.28515625" style="94" bestFit="1" customWidth="1"/>
    <col min="14339" max="14339" width="10.42578125" style="94" bestFit="1" customWidth="1"/>
    <col min="14340" max="14340" width="10.42578125" style="94" customWidth="1"/>
    <col min="14341" max="14341" width="9.7109375" style="94" bestFit="1" customWidth="1"/>
    <col min="14342" max="14343" width="9.5703125" style="94" bestFit="1" customWidth="1"/>
    <col min="14344" max="14344" width="10.42578125" style="94" bestFit="1" customWidth="1"/>
    <col min="14345" max="14345" width="4.5703125" style="94" customWidth="1"/>
    <col min="14346" max="14346" width="1.7109375" style="94" customWidth="1"/>
    <col min="14347" max="14347" width="7" style="94" bestFit="1" customWidth="1"/>
    <col min="14348" max="14348" width="6.28515625" style="94" customWidth="1"/>
    <col min="14349" max="14349" width="20.42578125" style="94" customWidth="1"/>
    <col min="14350" max="14350" width="6.42578125" style="94" bestFit="1" customWidth="1"/>
    <col min="14351" max="14352" width="8.42578125" style="94"/>
    <col min="14353" max="14353" width="3.28515625" style="94" customWidth="1"/>
    <col min="14354" max="14592" width="8.42578125" style="94"/>
    <col min="14593" max="14593" width="10" style="94" bestFit="1" customWidth="1"/>
    <col min="14594" max="14594" width="44.28515625" style="94" bestFit="1" customWidth="1"/>
    <col min="14595" max="14595" width="10.42578125" style="94" bestFit="1" customWidth="1"/>
    <col min="14596" max="14596" width="10.42578125" style="94" customWidth="1"/>
    <col min="14597" max="14597" width="9.7109375" style="94" bestFit="1" customWidth="1"/>
    <col min="14598" max="14599" width="9.5703125" style="94" bestFit="1" customWidth="1"/>
    <col min="14600" max="14600" width="10.42578125" style="94" bestFit="1" customWidth="1"/>
    <col min="14601" max="14601" width="4.5703125" style="94" customWidth="1"/>
    <col min="14602" max="14602" width="1.7109375" style="94" customWidth="1"/>
    <col min="14603" max="14603" width="7" style="94" bestFit="1" customWidth="1"/>
    <col min="14604" max="14604" width="6.28515625" style="94" customWidth="1"/>
    <col min="14605" max="14605" width="20.42578125" style="94" customWidth="1"/>
    <col min="14606" max="14606" width="6.42578125" style="94" bestFit="1" customWidth="1"/>
    <col min="14607" max="14608" width="8.42578125" style="94"/>
    <col min="14609" max="14609" width="3.28515625" style="94" customWidth="1"/>
    <col min="14610" max="14848" width="8.42578125" style="94"/>
    <col min="14849" max="14849" width="10" style="94" bestFit="1" customWidth="1"/>
    <col min="14850" max="14850" width="44.28515625" style="94" bestFit="1" customWidth="1"/>
    <col min="14851" max="14851" width="10.42578125" style="94" bestFit="1" customWidth="1"/>
    <col min="14852" max="14852" width="10.42578125" style="94" customWidth="1"/>
    <col min="14853" max="14853" width="9.7109375" style="94" bestFit="1" customWidth="1"/>
    <col min="14854" max="14855" width="9.5703125" style="94" bestFit="1" customWidth="1"/>
    <col min="14856" max="14856" width="10.42578125" style="94" bestFit="1" customWidth="1"/>
    <col min="14857" max="14857" width="4.5703125" style="94" customWidth="1"/>
    <col min="14858" max="14858" width="1.7109375" style="94" customWidth="1"/>
    <col min="14859" max="14859" width="7" style="94" bestFit="1" customWidth="1"/>
    <col min="14860" max="14860" width="6.28515625" style="94" customWidth="1"/>
    <col min="14861" max="14861" width="20.42578125" style="94" customWidth="1"/>
    <col min="14862" max="14862" width="6.42578125" style="94" bestFit="1" customWidth="1"/>
    <col min="14863" max="14864" width="8.42578125" style="94"/>
    <col min="14865" max="14865" width="3.28515625" style="94" customWidth="1"/>
    <col min="14866" max="15104" width="8.42578125" style="94"/>
    <col min="15105" max="15105" width="10" style="94" bestFit="1" customWidth="1"/>
    <col min="15106" max="15106" width="44.28515625" style="94" bestFit="1" customWidth="1"/>
    <col min="15107" max="15107" width="10.42578125" style="94" bestFit="1" customWidth="1"/>
    <col min="15108" max="15108" width="10.42578125" style="94" customWidth="1"/>
    <col min="15109" max="15109" width="9.7109375" style="94" bestFit="1" customWidth="1"/>
    <col min="15110" max="15111" width="9.5703125" style="94" bestFit="1" customWidth="1"/>
    <col min="15112" max="15112" width="10.42578125" style="94" bestFit="1" customWidth="1"/>
    <col min="15113" max="15113" width="4.5703125" style="94" customWidth="1"/>
    <col min="15114" max="15114" width="1.7109375" style="94" customWidth="1"/>
    <col min="15115" max="15115" width="7" style="94" bestFit="1" customWidth="1"/>
    <col min="15116" max="15116" width="6.28515625" style="94" customWidth="1"/>
    <col min="15117" max="15117" width="20.42578125" style="94" customWidth="1"/>
    <col min="15118" max="15118" width="6.42578125" style="94" bestFit="1" customWidth="1"/>
    <col min="15119" max="15120" width="8.42578125" style="94"/>
    <col min="15121" max="15121" width="3.28515625" style="94" customWidth="1"/>
    <col min="15122" max="15360" width="8.42578125" style="94"/>
    <col min="15361" max="15361" width="10" style="94" bestFit="1" customWidth="1"/>
    <col min="15362" max="15362" width="44.28515625" style="94" bestFit="1" customWidth="1"/>
    <col min="15363" max="15363" width="10.42578125" style="94" bestFit="1" customWidth="1"/>
    <col min="15364" max="15364" width="10.42578125" style="94" customWidth="1"/>
    <col min="15365" max="15365" width="9.7109375" style="94" bestFit="1" customWidth="1"/>
    <col min="15366" max="15367" width="9.5703125" style="94" bestFit="1" customWidth="1"/>
    <col min="15368" max="15368" width="10.42578125" style="94" bestFit="1" customWidth="1"/>
    <col min="15369" max="15369" width="4.5703125" style="94" customWidth="1"/>
    <col min="15370" max="15370" width="1.7109375" style="94" customWidth="1"/>
    <col min="15371" max="15371" width="7" style="94" bestFit="1" customWidth="1"/>
    <col min="15372" max="15372" width="6.28515625" style="94" customWidth="1"/>
    <col min="15373" max="15373" width="20.42578125" style="94" customWidth="1"/>
    <col min="15374" max="15374" width="6.42578125" style="94" bestFit="1" customWidth="1"/>
    <col min="15375" max="15376" width="8.42578125" style="94"/>
    <col min="15377" max="15377" width="3.28515625" style="94" customWidth="1"/>
    <col min="15378" max="15616" width="8.42578125" style="94"/>
    <col min="15617" max="15617" width="10" style="94" bestFit="1" customWidth="1"/>
    <col min="15618" max="15618" width="44.28515625" style="94" bestFit="1" customWidth="1"/>
    <col min="15619" max="15619" width="10.42578125" style="94" bestFit="1" customWidth="1"/>
    <col min="15620" max="15620" width="10.42578125" style="94" customWidth="1"/>
    <col min="15621" max="15621" width="9.7109375" style="94" bestFit="1" customWidth="1"/>
    <col min="15622" max="15623" width="9.5703125" style="94" bestFit="1" customWidth="1"/>
    <col min="15624" max="15624" width="10.42578125" style="94" bestFit="1" customWidth="1"/>
    <col min="15625" max="15625" width="4.5703125" style="94" customWidth="1"/>
    <col min="15626" max="15626" width="1.7109375" style="94" customWidth="1"/>
    <col min="15627" max="15627" width="7" style="94" bestFit="1" customWidth="1"/>
    <col min="15628" max="15628" width="6.28515625" style="94" customWidth="1"/>
    <col min="15629" max="15629" width="20.42578125" style="94" customWidth="1"/>
    <col min="15630" max="15630" width="6.42578125" style="94" bestFit="1" customWidth="1"/>
    <col min="15631" max="15632" width="8.42578125" style="94"/>
    <col min="15633" max="15633" width="3.28515625" style="94" customWidth="1"/>
    <col min="15634" max="15872" width="8.42578125" style="94"/>
    <col min="15873" max="15873" width="10" style="94" bestFit="1" customWidth="1"/>
    <col min="15874" max="15874" width="44.28515625" style="94" bestFit="1" customWidth="1"/>
    <col min="15875" max="15875" width="10.42578125" style="94" bestFit="1" customWidth="1"/>
    <col min="15876" max="15876" width="10.42578125" style="94" customWidth="1"/>
    <col min="15877" max="15877" width="9.7109375" style="94" bestFit="1" customWidth="1"/>
    <col min="15878" max="15879" width="9.5703125" style="94" bestFit="1" customWidth="1"/>
    <col min="15880" max="15880" width="10.42578125" style="94" bestFit="1" customWidth="1"/>
    <col min="15881" max="15881" width="4.5703125" style="94" customWidth="1"/>
    <col min="15882" max="15882" width="1.7109375" style="94" customWidth="1"/>
    <col min="15883" max="15883" width="7" style="94" bestFit="1" customWidth="1"/>
    <col min="15884" max="15884" width="6.28515625" style="94" customWidth="1"/>
    <col min="15885" max="15885" width="20.42578125" style="94" customWidth="1"/>
    <col min="15886" max="15886" width="6.42578125" style="94" bestFit="1" customWidth="1"/>
    <col min="15887" max="15888" width="8.42578125" style="94"/>
    <col min="15889" max="15889" width="3.28515625" style="94" customWidth="1"/>
    <col min="15890" max="16128" width="8.42578125" style="94"/>
    <col min="16129" max="16129" width="10" style="94" bestFit="1" customWidth="1"/>
    <col min="16130" max="16130" width="44.28515625" style="94" bestFit="1" customWidth="1"/>
    <col min="16131" max="16131" width="10.42578125" style="94" bestFit="1" customWidth="1"/>
    <col min="16132" max="16132" width="10.42578125" style="94" customWidth="1"/>
    <col min="16133" max="16133" width="9.7109375" style="94" bestFit="1" customWidth="1"/>
    <col min="16134" max="16135" width="9.5703125" style="94" bestFit="1" customWidth="1"/>
    <col min="16136" max="16136" width="10.42578125" style="94" bestFit="1" customWidth="1"/>
    <col min="16137" max="16137" width="4.5703125" style="94" customWidth="1"/>
    <col min="16138" max="16138" width="1.7109375" style="94" customWidth="1"/>
    <col min="16139" max="16139" width="7" style="94" bestFit="1" customWidth="1"/>
    <col min="16140" max="16140" width="6.28515625" style="94" customWidth="1"/>
    <col min="16141" max="16141" width="20.42578125" style="94" customWidth="1"/>
    <col min="16142" max="16142" width="6.42578125" style="94" bestFit="1" customWidth="1"/>
    <col min="16143" max="16144" width="8.42578125" style="94"/>
    <col min="16145" max="16145" width="3.28515625" style="94" customWidth="1"/>
    <col min="16146" max="16384" width="8.42578125" style="94"/>
  </cols>
  <sheetData>
    <row r="1" spans="1:10" ht="27.75" customHeight="1" x14ac:dyDescent="0.25">
      <c r="A1" s="89"/>
      <c r="B1" s="89"/>
      <c r="C1" s="89"/>
      <c r="D1" s="89"/>
      <c r="E1" s="90" t="s">
        <v>132</v>
      </c>
      <c r="F1" s="91" t="s">
        <v>133</v>
      </c>
      <c r="G1" s="91" t="s">
        <v>134</v>
      </c>
      <c r="H1" s="91" t="s">
        <v>135</v>
      </c>
      <c r="I1" s="92"/>
    </row>
    <row r="2" spans="1:10" ht="30.75" customHeight="1" x14ac:dyDescent="0.25">
      <c r="A2" s="89"/>
      <c r="B2" s="89"/>
      <c r="C2" s="89"/>
      <c r="D2" s="89"/>
      <c r="E2" s="95">
        <f>IFERROR(O62,"")</f>
        <v>28628.2</v>
      </c>
      <c r="F2" s="95">
        <f>IFERROR(H53,"")</f>
        <v>26248.2</v>
      </c>
      <c r="G2" s="95">
        <f>IFERROR(H54,"")</f>
        <v>0</v>
      </c>
      <c r="H2" s="95">
        <f>IFERROR(H56,"")</f>
        <v>1220</v>
      </c>
      <c r="I2" s="96"/>
    </row>
    <row r="3" spans="1:10" ht="15" customHeight="1" x14ac:dyDescent="0.25">
      <c r="A3" s="89"/>
      <c r="B3" s="89"/>
      <c r="C3" s="89"/>
      <c r="D3" s="89"/>
      <c r="E3" s="89"/>
      <c r="F3" s="97"/>
      <c r="G3" s="97"/>
      <c r="H3" s="97"/>
      <c r="I3" s="97"/>
    </row>
    <row r="4" spans="1:10" ht="24.75" customHeight="1" thickBot="1" x14ac:dyDescent="0.3">
      <c r="A4" s="357"/>
      <c r="B4" s="357"/>
      <c r="C4" s="357"/>
      <c r="D4" s="357"/>
      <c r="E4" s="357"/>
      <c r="F4" s="357"/>
      <c r="G4" s="357"/>
      <c r="H4" s="357"/>
      <c r="I4" s="98"/>
    </row>
    <row r="5" spans="1:10" ht="19.5" customHeight="1" thickBot="1" x14ac:dyDescent="0.3">
      <c r="A5" s="358" t="s">
        <v>136</v>
      </c>
      <c r="B5" s="359"/>
      <c r="C5" s="359"/>
      <c r="D5" s="359"/>
      <c r="E5" s="359"/>
      <c r="F5" s="359"/>
      <c r="G5" s="359"/>
      <c r="H5" s="360"/>
      <c r="I5" s="99"/>
    </row>
    <row r="6" spans="1:10" ht="19.5" thickBot="1" x14ac:dyDescent="0.3">
      <c r="A6" s="99"/>
      <c r="B6" s="99"/>
      <c r="C6" s="99"/>
      <c r="D6" s="99"/>
      <c r="E6" s="99"/>
      <c r="F6" s="361" t="s">
        <v>137</v>
      </c>
      <c r="G6" s="361"/>
      <c r="H6" s="100">
        <f ca="1">TODAY()</f>
        <v>45776</v>
      </c>
      <c r="I6" s="100"/>
    </row>
    <row r="7" spans="1:10" ht="26.25" thickBot="1" x14ac:dyDescent="0.3">
      <c r="A7" s="101" t="s">
        <v>138</v>
      </c>
      <c r="B7" s="102" t="s">
        <v>139</v>
      </c>
      <c r="C7" s="102" t="s">
        <v>138</v>
      </c>
      <c r="D7" s="103" t="s">
        <v>140</v>
      </c>
      <c r="E7" s="103" t="s">
        <v>141</v>
      </c>
      <c r="F7" s="103" t="s">
        <v>142</v>
      </c>
      <c r="G7" s="103" t="s">
        <v>143</v>
      </c>
      <c r="H7" s="104" t="s">
        <v>144</v>
      </c>
      <c r="I7" s="105"/>
    </row>
    <row r="8" spans="1:10" ht="13.5" x14ac:dyDescent="0.25">
      <c r="A8" s="106">
        <v>6540</v>
      </c>
      <c r="B8" s="94" t="str">
        <f>IFERROR(VLOOKUP(H8,'[1]Consolidado MP Planta'!$A$2:$M$823,3,0),"")</f>
        <v>LECHE EVAPORADA (UND: 1 L)</v>
      </c>
      <c r="C8" s="107">
        <f>+A8</f>
        <v>6540</v>
      </c>
      <c r="D8" s="108" t="str">
        <f>IFERROR(VLOOKUP(H8,'[1]Consolidado MP Planta'!$A$2:$M$823,13,0),"")</f>
        <v>Mililitros</v>
      </c>
      <c r="E8" s="108">
        <v>1.97</v>
      </c>
      <c r="F8" s="108">
        <f>IFERROR(C8*E8,"")</f>
        <v>12883.8</v>
      </c>
      <c r="G8" s="109">
        <f t="shared" ref="G8:G14" si="0">IFERROR(F8/$F$66,"")</f>
        <v>0.46024808056709843</v>
      </c>
      <c r="H8" s="110" t="s">
        <v>181</v>
      </c>
      <c r="I8" s="110"/>
      <c r="J8" s="111"/>
    </row>
    <row r="9" spans="1:10" ht="13.5" x14ac:dyDescent="0.25">
      <c r="A9" s="106">
        <v>3230</v>
      </c>
      <c r="B9" s="94" t="str">
        <f>IFERROR(VLOOKUP(H9,'[1]Consolidado MP Planta'!$A$2:$M$823,3,0),"")</f>
        <v>LECHE CONDENSADA (PAQ:11 K)</v>
      </c>
      <c r="C9" s="107">
        <f t="shared" ref="C9:C14" si="1">+A9</f>
        <v>3230</v>
      </c>
      <c r="D9" s="108" t="str">
        <f>IFERROR(VLOOKUP(H9,'[1]Consolidado MP Planta'!$A$2:$M$823,13,0),"")</f>
        <v>Gramos</v>
      </c>
      <c r="E9" s="108">
        <v>2.15</v>
      </c>
      <c r="F9" s="108">
        <f t="shared" ref="F9:F14" si="2">IFERROR(C9*E9,"")</f>
        <v>6944.5</v>
      </c>
      <c r="G9" s="109">
        <f t="shared" si="0"/>
        <v>0.24807842371801916</v>
      </c>
      <c r="H9" s="110" t="s">
        <v>63</v>
      </c>
      <c r="I9" s="110"/>
      <c r="J9" s="111"/>
    </row>
    <row r="10" spans="1:10" ht="13.5" x14ac:dyDescent="0.25">
      <c r="A10" s="106">
        <v>1100</v>
      </c>
      <c r="B10" s="94" t="str">
        <f>IFERROR(VLOOKUP(H10,'[1]Consolidado MP Planta'!$A$2:$M$823,3,0),"")</f>
        <v>YEMA DE HUEVO (UND: 8.34 K)</v>
      </c>
      <c r="C10" s="107">
        <f t="shared" si="1"/>
        <v>1100</v>
      </c>
      <c r="D10" s="108" t="s">
        <v>184</v>
      </c>
      <c r="E10" s="108">
        <v>2.29</v>
      </c>
      <c r="F10" s="108">
        <f t="shared" si="2"/>
        <v>2519</v>
      </c>
      <c r="G10" s="109">
        <f t="shared" si="0"/>
        <v>8.9986255215737665E-2</v>
      </c>
      <c r="H10" s="110" t="s">
        <v>118</v>
      </c>
      <c r="I10" s="110"/>
      <c r="J10" s="111"/>
    </row>
    <row r="11" spans="1:10" ht="13.5" x14ac:dyDescent="0.25">
      <c r="A11" s="106">
        <v>380</v>
      </c>
      <c r="B11" s="94" t="str">
        <f>IFERROR(VLOOKUP(H11,'[1]Consolidado MP Planta'!$A$2:$M$823,3,0),"")</f>
        <v xml:space="preserve">ALMIDON MODIFICADO (SACO:25 K) </v>
      </c>
      <c r="C11" s="107">
        <f t="shared" si="1"/>
        <v>380</v>
      </c>
      <c r="D11" s="108" t="str">
        <f>IFERROR(VLOOKUP(H11,'[1]Consolidado MP Planta'!$A$2:$M$823,13,0),"")</f>
        <v>Gramos</v>
      </c>
      <c r="E11" s="108">
        <v>2.13</v>
      </c>
      <c r="F11" s="108">
        <f t="shared" si="2"/>
        <v>809.4</v>
      </c>
      <c r="G11" s="109">
        <f t="shared" si="0"/>
        <v>2.8914202053044093E-2</v>
      </c>
      <c r="H11" s="110" t="s">
        <v>64</v>
      </c>
      <c r="I11" s="110"/>
      <c r="J11" s="111"/>
    </row>
    <row r="12" spans="1:10" ht="13.5" x14ac:dyDescent="0.25">
      <c r="A12" s="106">
        <v>100</v>
      </c>
      <c r="B12" s="94" t="str">
        <f>IFERROR(VLOOKUP(H12,'[1]Consolidado MP Planta'!$A$2:$M$823,3,0),"")</f>
        <v>VAINILLA OSCURA (UND: 3.78 L)</v>
      </c>
      <c r="C12" s="107">
        <f t="shared" si="1"/>
        <v>100</v>
      </c>
      <c r="D12" s="108" t="str">
        <f>IFERROR(VLOOKUP(H12,'[1]Consolidado MP Planta'!$A$2:$M$823,13,0),"")</f>
        <v>Mililitros</v>
      </c>
      <c r="E12" s="108">
        <v>1.25</v>
      </c>
      <c r="F12" s="108">
        <f t="shared" si="2"/>
        <v>125</v>
      </c>
      <c r="G12" s="109">
        <f t="shared" si="0"/>
        <v>4.4653759039171136E-3</v>
      </c>
      <c r="H12" s="110" t="s">
        <v>182</v>
      </c>
      <c r="I12" s="110"/>
      <c r="J12" s="111"/>
    </row>
    <row r="13" spans="1:10" ht="13.5" x14ac:dyDescent="0.25">
      <c r="A13" s="106">
        <v>850</v>
      </c>
      <c r="B13" s="94" t="str">
        <f>IFERROR(VLOOKUP(H13,'[1]Consolidado MP Planta'!$A$2:$M$823,3,0),"")</f>
        <v>LACTOCREMA GRANEL (CAJA:25 KG)</v>
      </c>
      <c r="C13" s="107">
        <f t="shared" si="1"/>
        <v>850</v>
      </c>
      <c r="D13" s="108" t="str">
        <f>IFERROR(VLOOKUP(H13,'[1]Consolidado MP Planta'!$A$2:$M$823,13,0),"")</f>
        <v>Gramos</v>
      </c>
      <c r="E13" s="108">
        <v>3.49</v>
      </c>
      <c r="F13" s="108">
        <f t="shared" si="2"/>
        <v>2966.5</v>
      </c>
      <c r="G13" s="109">
        <f t="shared" si="0"/>
        <v>0.10597230095176094</v>
      </c>
      <c r="H13" s="110" t="s">
        <v>183</v>
      </c>
      <c r="I13" s="110"/>
      <c r="J13" s="111"/>
    </row>
    <row r="14" spans="1:10" ht="13.5" x14ac:dyDescent="0.25">
      <c r="A14" s="106"/>
      <c r="B14" s="94" t="str">
        <f>IFERROR(VLOOKUP(H14,'[1]Consolidado MP Planta'!$A$2:$M$823,3,0),"")</f>
        <v/>
      </c>
      <c r="C14" s="107">
        <f t="shared" si="1"/>
        <v>0</v>
      </c>
      <c r="D14" s="108" t="str">
        <f>IFERROR(VLOOKUP(H14,'[1]Consolidado MP Planta'!$A$2:$M$823,13,0),"")</f>
        <v/>
      </c>
      <c r="E14" s="108" t="str">
        <f>IFERROR(VLOOKUP(H14,'[1]Consolidado MP Planta'!$A$2:$M$823,12,0),"")</f>
        <v/>
      </c>
      <c r="F14" s="108" t="str">
        <f t="shared" si="2"/>
        <v/>
      </c>
      <c r="G14" s="109" t="str">
        <f t="shared" si="0"/>
        <v/>
      </c>
      <c r="H14" s="110"/>
      <c r="I14" s="110"/>
      <c r="J14" s="111"/>
    </row>
    <row r="15" spans="1:10" ht="14.25" thickBot="1" x14ac:dyDescent="0.3">
      <c r="A15" s="106"/>
      <c r="B15" s="94" t="str">
        <f>IFERROR(VLOOKUP(H15,'[2]ARTICULOS MP PLANTA'!$A$2:$G$589,2,0),"")</f>
        <v/>
      </c>
      <c r="C15" s="107"/>
      <c r="D15" s="108"/>
      <c r="E15" s="108"/>
      <c r="F15" s="108"/>
      <c r="G15" s="109"/>
      <c r="H15" s="110"/>
      <c r="I15" s="110"/>
      <c r="J15" s="111"/>
    </row>
    <row r="16" spans="1:10" ht="26.25" hidden="1" thickBot="1" x14ac:dyDescent="0.3">
      <c r="A16" s="101" t="s">
        <v>138</v>
      </c>
      <c r="B16" s="102" t="s">
        <v>145</v>
      </c>
      <c r="C16" s="102" t="s">
        <v>138</v>
      </c>
      <c r="D16" s="103" t="s">
        <v>140</v>
      </c>
      <c r="E16" s="103" t="s">
        <v>141</v>
      </c>
      <c r="F16" s="103" t="s">
        <v>142</v>
      </c>
      <c r="G16" s="103" t="s">
        <v>143</v>
      </c>
      <c r="H16" s="104" t="s">
        <v>144</v>
      </c>
      <c r="I16" s="105"/>
      <c r="J16" s="111"/>
    </row>
    <row r="17" spans="1:12" ht="13.5" hidden="1" x14ac:dyDescent="0.25">
      <c r="A17" s="106"/>
      <c r="B17" s="94" t="str">
        <f>IFERROR(VLOOKUP(H17,[1]SEMIELABORADOS!$A$2:$M$6000,2,0),"")</f>
        <v/>
      </c>
      <c r="C17" s="107">
        <f>+A17</f>
        <v>0</v>
      </c>
      <c r="D17" s="107" t="str">
        <f>IFERROR(VLOOKUP(H17,[1]SEMIELABORADOS!$A$2:$M$6000,6,0),"")</f>
        <v/>
      </c>
      <c r="E17" s="108" t="str">
        <f>IFERROR(VLOOKUP(H17,[1]SEMIELABORADOS!$A$2:$H$65536,8,0),"")</f>
        <v/>
      </c>
      <c r="F17" s="108" t="str">
        <f>IFERROR(E17*C17,"")</f>
        <v/>
      </c>
      <c r="G17" s="109" t="str">
        <f t="shared" ref="G17:G24" si="3">IFERROR(F17/$F$66,"")</f>
        <v/>
      </c>
      <c r="H17" s="110"/>
      <c r="I17" s="110"/>
      <c r="J17" s="111"/>
    </row>
    <row r="18" spans="1:12" ht="13.5" hidden="1" x14ac:dyDescent="0.25">
      <c r="A18" s="106"/>
      <c r="B18" s="94" t="str">
        <f>IFERROR(VLOOKUP(H18,[1]SEMIELABORADOS!$A$2:$M$6000,2,0),"")</f>
        <v/>
      </c>
      <c r="C18" s="107">
        <f t="shared" ref="C18:C24" si="4">+A18</f>
        <v>0</v>
      </c>
      <c r="D18" s="107" t="str">
        <f>IFERROR(VLOOKUP(H18,[1]SEMIELABORADOS!$A$2:$M$6000,6,0),"")</f>
        <v/>
      </c>
      <c r="E18" s="108" t="str">
        <f>IFERROR(VLOOKUP(H18,[1]SEMIELABORADOS!$A$2:$H$65536,8,0),"")</f>
        <v/>
      </c>
      <c r="F18" s="108" t="str">
        <f t="shared" ref="F18:F24" si="5">IFERROR(E18*C18,"")</f>
        <v/>
      </c>
      <c r="G18" s="109" t="str">
        <f t="shared" si="3"/>
        <v/>
      </c>
      <c r="H18" s="110"/>
      <c r="I18" s="110"/>
      <c r="J18" s="111"/>
    </row>
    <row r="19" spans="1:12" ht="13.5" hidden="1" x14ac:dyDescent="0.25">
      <c r="A19" s="106"/>
      <c r="B19" s="94" t="str">
        <f>IFERROR(VLOOKUP(H19,[1]SEMIELABORADOS!$A$2:$M$6000,2,0),"")</f>
        <v/>
      </c>
      <c r="C19" s="107">
        <f>+A19</f>
        <v>0</v>
      </c>
      <c r="D19" s="107" t="str">
        <f>IFERROR(VLOOKUP(H19,[1]SEMIELABORADOS!$A$2:$M$6000,6,0),"")</f>
        <v/>
      </c>
      <c r="E19" s="108" t="str">
        <f>IFERROR(VLOOKUP(H19,[1]SEMIELABORADOS!$A$2:$H$65536,8,0),"")</f>
        <v/>
      </c>
      <c r="F19" s="108" t="str">
        <f>IFERROR(E19*C19,"")</f>
        <v/>
      </c>
      <c r="G19" s="109" t="str">
        <f t="shared" si="3"/>
        <v/>
      </c>
      <c r="H19" s="110"/>
      <c r="I19" s="110"/>
      <c r="J19" s="111"/>
    </row>
    <row r="20" spans="1:12" ht="13.5" hidden="1" x14ac:dyDescent="0.25">
      <c r="A20" s="106"/>
      <c r="B20" s="94" t="str">
        <f>IFERROR(VLOOKUP(H20,[1]SEMIELABORADOS!$A$2:$M$6000,2,0),"")</f>
        <v/>
      </c>
      <c r="C20" s="107">
        <f>+A20</f>
        <v>0</v>
      </c>
      <c r="D20" s="107" t="str">
        <f>IFERROR(VLOOKUP(H20,[1]SEMIELABORADOS!$A$2:$M$6000,6,0),"")</f>
        <v/>
      </c>
      <c r="E20" s="108" t="str">
        <f>IFERROR(VLOOKUP(H20,[1]SEMIELABORADOS!$A$2:$H$65536,8,0),"")</f>
        <v/>
      </c>
      <c r="F20" s="108" t="str">
        <f>IFERROR(E20*C20,"")</f>
        <v/>
      </c>
      <c r="G20" s="109" t="str">
        <f t="shared" si="3"/>
        <v/>
      </c>
      <c r="H20" s="110"/>
      <c r="I20" s="110"/>
      <c r="J20" s="111"/>
    </row>
    <row r="21" spans="1:12" ht="13.5" hidden="1" x14ac:dyDescent="0.25">
      <c r="A21" s="106"/>
      <c r="B21" s="94" t="str">
        <f>IFERROR(VLOOKUP(H21,[1]SEMIELABORADOS!$A$2:$M$6000,2,0),"")</f>
        <v/>
      </c>
      <c r="C21" s="107">
        <f>+A21</f>
        <v>0</v>
      </c>
      <c r="D21" s="107" t="str">
        <f>IFERROR(VLOOKUP(H21,[1]SEMIELABORADOS!$A$2:$M$6000,6,0),"")</f>
        <v/>
      </c>
      <c r="E21" s="108" t="str">
        <f>IFERROR(VLOOKUP(H21,[1]SEMIELABORADOS!$A$2:$H$65536,8,0),"")</f>
        <v/>
      </c>
      <c r="F21" s="108" t="str">
        <f>IFERROR(E21*C21,"")</f>
        <v/>
      </c>
      <c r="G21" s="109" t="str">
        <f t="shared" si="3"/>
        <v/>
      </c>
      <c r="H21" s="110"/>
      <c r="I21" s="110"/>
      <c r="J21" s="111"/>
    </row>
    <row r="22" spans="1:12" ht="13.5" hidden="1" x14ac:dyDescent="0.25">
      <c r="A22" s="106"/>
      <c r="B22" s="94" t="str">
        <f>IFERROR(VLOOKUP(H22,[1]SEMIELABORADOS!$A$2:$M$6000,2,0),"")</f>
        <v/>
      </c>
      <c r="C22" s="107">
        <f t="shared" si="4"/>
        <v>0</v>
      </c>
      <c r="D22" s="107" t="str">
        <f>IFERROR(VLOOKUP(H22,[1]SEMIELABORADOS!$A$2:$M$6000,6,0),"")</f>
        <v/>
      </c>
      <c r="E22" s="108" t="str">
        <f>IFERROR(VLOOKUP(H22,[1]SEMIELABORADOS!$A$2:$H$65536,8,0),"")</f>
        <v/>
      </c>
      <c r="F22" s="108" t="str">
        <f t="shared" si="5"/>
        <v/>
      </c>
      <c r="G22" s="109" t="str">
        <f t="shared" si="3"/>
        <v/>
      </c>
      <c r="H22" s="110"/>
      <c r="I22" s="110"/>
      <c r="J22" s="111"/>
    </row>
    <row r="23" spans="1:12" ht="13.5" hidden="1" x14ac:dyDescent="0.25">
      <c r="A23" s="106"/>
      <c r="B23" s="94" t="str">
        <f>IFERROR(VLOOKUP(H23,[1]SEMIELABORADOS!$A$2:$M$6000,2,0),"")</f>
        <v/>
      </c>
      <c r="C23" s="107">
        <f t="shared" si="4"/>
        <v>0</v>
      </c>
      <c r="D23" s="107" t="str">
        <f>IFERROR(VLOOKUP(H23,[1]SEMIELABORADOS!$A$2:$M$6000,6,0),"")</f>
        <v/>
      </c>
      <c r="E23" s="108" t="str">
        <f>IFERROR(VLOOKUP(H23,[1]SEMIELABORADOS!$A$2:$H$65536,8,0),"")</f>
        <v/>
      </c>
      <c r="F23" s="108" t="str">
        <f t="shared" si="5"/>
        <v/>
      </c>
      <c r="G23" s="109" t="str">
        <f t="shared" si="3"/>
        <v/>
      </c>
      <c r="H23" s="110"/>
      <c r="I23" s="110"/>
      <c r="J23" s="111"/>
    </row>
    <row r="24" spans="1:12" ht="13.5" hidden="1" x14ac:dyDescent="0.25">
      <c r="A24" s="106"/>
      <c r="B24" s="94" t="str">
        <f>IFERROR(VLOOKUP(H24,[1]SEMIELABORADOS!$A$2:$M$6000,2,0),"")</f>
        <v/>
      </c>
      <c r="C24" s="107">
        <f t="shared" si="4"/>
        <v>0</v>
      </c>
      <c r="D24" s="107" t="str">
        <f>IFERROR(VLOOKUP(H24,[1]SEMIELABORADOS!$A$2:$M$6000,6,0),"")</f>
        <v/>
      </c>
      <c r="E24" s="108" t="str">
        <f>IFERROR(VLOOKUP(H24,[1]SEMIELABORADOS!$A$2:$H$65536,8,0),"")</f>
        <v/>
      </c>
      <c r="F24" s="108" t="str">
        <f t="shared" si="5"/>
        <v/>
      </c>
      <c r="G24" s="109" t="str">
        <f t="shared" si="3"/>
        <v/>
      </c>
      <c r="H24" s="110"/>
      <c r="I24" s="110"/>
      <c r="J24" s="111"/>
    </row>
    <row r="25" spans="1:12" ht="14.25" hidden="1" thickBot="1" x14ac:dyDescent="0.3">
      <c r="A25" s="106"/>
      <c r="C25" s="107"/>
      <c r="D25" s="107"/>
      <c r="E25" s="108"/>
      <c r="F25" s="108"/>
      <c r="G25" s="109"/>
      <c r="H25" s="110"/>
      <c r="I25" s="110"/>
      <c r="J25" s="111"/>
    </row>
    <row r="26" spans="1:12" ht="26.25" hidden="1" thickBot="1" x14ac:dyDescent="0.3">
      <c r="A26" s="101" t="s">
        <v>138</v>
      </c>
      <c r="B26" s="102" t="s">
        <v>20</v>
      </c>
      <c r="C26" s="102" t="s">
        <v>138</v>
      </c>
      <c r="D26" s="103" t="s">
        <v>140</v>
      </c>
      <c r="E26" s="103" t="s">
        <v>141</v>
      </c>
      <c r="F26" s="103" t="s">
        <v>142</v>
      </c>
      <c r="G26" s="103" t="s">
        <v>143</v>
      </c>
      <c r="H26" s="104" t="s">
        <v>144</v>
      </c>
      <c r="I26" s="105"/>
    </row>
    <row r="27" spans="1:12" ht="13.5" hidden="1" x14ac:dyDescent="0.25">
      <c r="A27" s="106">
        <v>0</v>
      </c>
      <c r="B27" s="112" t="str">
        <f>IFERROR(VLOOKUP(H27,'[1]Consolidado MP Planta'!$A$2:$M$823,3,0),"")</f>
        <v/>
      </c>
      <c r="C27" s="107">
        <f t="shared" ref="C27:C32" si="6">+A27</f>
        <v>0</v>
      </c>
      <c r="D27" s="108" t="str">
        <f>IFERROR(VLOOKUP(H27,'[1]Consolidado MP Planta'!$A$2:$M$823,13,0),"")</f>
        <v/>
      </c>
      <c r="E27" s="108" t="str">
        <f>IFERROR(VLOOKUP(H27,'[1]Consolidado MP Planta'!$A$2:$M$823,12,0),"")</f>
        <v/>
      </c>
      <c r="F27" s="108" t="str">
        <f t="shared" ref="F27:F32" si="7">IFERROR(C27*E27,"")</f>
        <v/>
      </c>
      <c r="G27" s="109" t="str">
        <f t="shared" ref="G27:G32" si="8">IFERROR(F27/$F$66,"")</f>
        <v/>
      </c>
      <c r="H27" s="113"/>
      <c r="I27" s="113"/>
      <c r="J27" s="111"/>
      <c r="K27" s="356"/>
      <c r="L27" s="356"/>
    </row>
    <row r="28" spans="1:12" ht="13.5" hidden="1" x14ac:dyDescent="0.25">
      <c r="A28" s="106"/>
      <c r="B28" s="112" t="str">
        <f>IFERROR(VLOOKUP(H28,'[1]Consolidado MP Planta'!$A$2:$M$823,3,0),"")</f>
        <v/>
      </c>
      <c r="C28" s="107">
        <f t="shared" si="6"/>
        <v>0</v>
      </c>
      <c r="D28" s="108" t="str">
        <f>IFERROR(VLOOKUP(H28,'[1]Consolidado MP Planta'!$A$2:$M$823,13,0),"")</f>
        <v/>
      </c>
      <c r="E28" s="108" t="str">
        <f>IFERROR(VLOOKUP(H28,'[1]Consolidado MP Planta'!$A$2:$M$823,12,0),"")</f>
        <v/>
      </c>
      <c r="F28" s="108" t="str">
        <f t="shared" si="7"/>
        <v/>
      </c>
      <c r="G28" s="109" t="str">
        <f t="shared" si="8"/>
        <v/>
      </c>
      <c r="H28" s="113"/>
      <c r="I28" s="113"/>
      <c r="J28" s="111"/>
      <c r="K28" s="356"/>
      <c r="L28" s="356"/>
    </row>
    <row r="29" spans="1:12" ht="13.5" hidden="1" x14ac:dyDescent="0.25">
      <c r="A29" s="106"/>
      <c r="B29" s="112" t="str">
        <f>IFERROR(VLOOKUP(H29,'[1]Consolidado MP Planta'!$A$2:$M$823,3,0),"")</f>
        <v/>
      </c>
      <c r="C29" s="107">
        <f t="shared" si="6"/>
        <v>0</v>
      </c>
      <c r="D29" s="108" t="str">
        <f>IFERROR(VLOOKUP(H29,'[1]Consolidado MP Planta'!$A$2:$M$823,13,0),"")</f>
        <v/>
      </c>
      <c r="E29" s="108" t="str">
        <f>IFERROR(VLOOKUP(H29,'[1]Consolidado MP Planta'!$A$2:$M$823,12,0),"")</f>
        <v/>
      </c>
      <c r="F29" s="108" t="str">
        <f t="shared" si="7"/>
        <v/>
      </c>
      <c r="G29" s="109" t="str">
        <f t="shared" si="8"/>
        <v/>
      </c>
      <c r="H29" s="113"/>
      <c r="I29" s="113"/>
      <c r="J29" s="111"/>
      <c r="K29" s="356"/>
      <c r="L29" s="356"/>
    </row>
    <row r="30" spans="1:12" ht="13.5" hidden="1" x14ac:dyDescent="0.25">
      <c r="A30" s="106"/>
      <c r="B30" s="112" t="str">
        <f>IFERROR(VLOOKUP(H30,'[1]Consolidado MP Planta'!$A$2:$M$823,3,0),"")</f>
        <v/>
      </c>
      <c r="C30" s="107">
        <f t="shared" si="6"/>
        <v>0</v>
      </c>
      <c r="D30" s="108" t="str">
        <f>IFERROR(VLOOKUP(H30,'[1]Consolidado MP Planta'!$A$2:$M$823,13,0),"")</f>
        <v/>
      </c>
      <c r="E30" s="108" t="str">
        <f>IFERROR(VLOOKUP(H30,'[1]Consolidado MP Planta'!$A$2:$M$823,12,0),"")</f>
        <v/>
      </c>
      <c r="F30" s="108" t="str">
        <f t="shared" si="7"/>
        <v/>
      </c>
      <c r="G30" s="109" t="str">
        <f t="shared" si="8"/>
        <v/>
      </c>
      <c r="H30" s="113"/>
      <c r="I30" s="113"/>
      <c r="J30" s="111"/>
      <c r="K30" s="356"/>
      <c r="L30" s="356"/>
    </row>
    <row r="31" spans="1:12" ht="13.5" hidden="1" x14ac:dyDescent="0.25">
      <c r="A31" s="106"/>
      <c r="B31" s="112" t="str">
        <f>IFERROR(VLOOKUP(H31,'[1]Consolidado MP Planta'!$A$2:$M$823,3,0),"")</f>
        <v/>
      </c>
      <c r="C31" s="107">
        <f t="shared" si="6"/>
        <v>0</v>
      </c>
      <c r="D31" s="108" t="str">
        <f>IFERROR(VLOOKUP(H31,'[1]Consolidado MP Planta'!$A$2:$M$823,13,0),"")</f>
        <v/>
      </c>
      <c r="E31" s="108" t="str">
        <f>IFERROR(VLOOKUP(H31,'[1]Consolidado MP Planta'!$A$2:$M$823,12,0),"")</f>
        <v/>
      </c>
      <c r="F31" s="108" t="str">
        <f t="shared" si="7"/>
        <v/>
      </c>
      <c r="G31" s="109" t="str">
        <f t="shared" si="8"/>
        <v/>
      </c>
      <c r="H31" s="113"/>
      <c r="I31" s="113"/>
      <c r="J31" s="111"/>
      <c r="K31" s="114"/>
      <c r="L31" s="115"/>
    </row>
    <row r="32" spans="1:12" ht="13.5" hidden="1" x14ac:dyDescent="0.25">
      <c r="A32" s="106"/>
      <c r="B32" s="112" t="str">
        <f>IFERROR(VLOOKUP(H32,'[1]Consolidado MP Planta'!$A$2:$M$823,3,0),"")</f>
        <v/>
      </c>
      <c r="C32" s="107">
        <f t="shared" si="6"/>
        <v>0</v>
      </c>
      <c r="D32" s="108" t="str">
        <f>IFERROR(VLOOKUP(H32,'[1]Consolidado MP Planta'!$A$2:$M$823,13,0),"")</f>
        <v/>
      </c>
      <c r="E32" s="108" t="str">
        <f>IFERROR(VLOOKUP(H32,'[1]Consolidado MP Planta'!$A$2:$M$823,12,0),"")</f>
        <v/>
      </c>
      <c r="F32" s="108" t="str">
        <f t="shared" si="7"/>
        <v/>
      </c>
      <c r="G32" s="109" t="str">
        <f t="shared" si="8"/>
        <v/>
      </c>
      <c r="H32" s="113"/>
      <c r="I32" s="113"/>
      <c r="J32" s="111"/>
    </row>
    <row r="33" spans="1:13" ht="14.25" hidden="1" thickBot="1" x14ac:dyDescent="0.3">
      <c r="A33" s="106"/>
      <c r="B33" s="112"/>
      <c r="C33" s="107"/>
      <c r="D33" s="108"/>
      <c r="E33" s="108"/>
      <c r="F33" s="108"/>
      <c r="G33" s="109"/>
      <c r="H33" s="113"/>
      <c r="I33" s="113"/>
      <c r="J33" s="111"/>
    </row>
    <row r="34" spans="1:13" ht="26.25" hidden="1" thickBot="1" x14ac:dyDescent="0.25">
      <c r="A34" s="101" t="s">
        <v>138</v>
      </c>
      <c r="B34" s="102" t="s">
        <v>146</v>
      </c>
      <c r="C34" s="102" t="s">
        <v>138</v>
      </c>
      <c r="D34" s="103" t="s">
        <v>140</v>
      </c>
      <c r="E34" s="103" t="s">
        <v>141</v>
      </c>
      <c r="F34" s="103" t="s">
        <v>142</v>
      </c>
      <c r="G34" s="103" t="s">
        <v>143</v>
      </c>
      <c r="H34" s="104" t="s">
        <v>144</v>
      </c>
      <c r="I34" s="113"/>
      <c r="J34" s="111"/>
    </row>
    <row r="35" spans="1:13" ht="13.5" hidden="1" x14ac:dyDescent="0.25">
      <c r="A35" s="106">
        <f>+A17</f>
        <v>0</v>
      </c>
      <c r="B35" s="112" t="str">
        <f>IFERROR(VLOOKUP(H35,[1]SEMIELABORADOS!$A$2:$M$6000,2,0),"")</f>
        <v/>
      </c>
      <c r="C35" s="107">
        <f>+A35</f>
        <v>0</v>
      </c>
      <c r="D35" s="108" t="str">
        <f>IFERROR(VLOOKUP(H35,[1]SEMIELABORADOS!$A$2:$M$6000,6,0),"")</f>
        <v/>
      </c>
      <c r="E35" s="108" t="str">
        <f>IFERROR(VLOOKUP(H35,[1]SEMIELABORADOS!$A$2:$M$65536,10,0),"")</f>
        <v/>
      </c>
      <c r="F35" s="108" t="str">
        <f>IFERROR(E35*C35,"")</f>
        <v/>
      </c>
      <c r="G35" s="109" t="str">
        <f t="shared" ref="G35:G41" si="9">IFERROR(F35/$F$66,"")</f>
        <v/>
      </c>
      <c r="H35" s="113"/>
      <c r="I35" s="113"/>
      <c r="J35" s="111"/>
    </row>
    <row r="36" spans="1:13" ht="13.5" hidden="1" x14ac:dyDescent="0.25">
      <c r="A36" s="106">
        <f t="shared" ref="A36:A41" si="10">+A18</f>
        <v>0</v>
      </c>
      <c r="B36" s="112" t="str">
        <f>IFERROR(VLOOKUP(H36,[1]SEMIELABORADOS!$A$2:$M$6000,2,0),"")</f>
        <v/>
      </c>
      <c r="C36" s="107">
        <f t="shared" ref="C36:C41" si="11">+A36</f>
        <v>0</v>
      </c>
      <c r="D36" s="108" t="str">
        <f>IFERROR(VLOOKUP(H36,[1]SEMIELABORADOS!$A$2:$M$6000,6,0),"")</f>
        <v/>
      </c>
      <c r="E36" s="108" t="str">
        <f>IFERROR(VLOOKUP(H36,[1]SEMIELABORADOS!$A$2:$M$65536,10,0),"")</f>
        <v/>
      </c>
      <c r="F36" s="108" t="str">
        <f t="shared" ref="F36:F41" si="12">IFERROR(E36*C36,"")</f>
        <v/>
      </c>
      <c r="G36" s="109" t="str">
        <f t="shared" si="9"/>
        <v/>
      </c>
      <c r="H36" s="113"/>
      <c r="I36" s="113"/>
      <c r="J36" s="111"/>
    </row>
    <row r="37" spans="1:13" ht="13.5" hidden="1" x14ac:dyDescent="0.25">
      <c r="A37" s="106">
        <f t="shared" si="10"/>
        <v>0</v>
      </c>
      <c r="B37" s="112" t="str">
        <f>IFERROR(VLOOKUP(H37,[1]SEMIELABORADOS!$A$2:$M$6000,2,0),"")</f>
        <v/>
      </c>
      <c r="C37" s="107">
        <f t="shared" si="11"/>
        <v>0</v>
      </c>
      <c r="D37" s="108" t="str">
        <f>IFERROR(VLOOKUP(H37,[1]SEMIELABORADOS!$A$2:$M$6000,6,0),"")</f>
        <v/>
      </c>
      <c r="E37" s="108" t="str">
        <f>IFERROR(VLOOKUP(H37,[1]SEMIELABORADOS!$A$2:$M$65536,10,0),"")</f>
        <v/>
      </c>
      <c r="F37" s="108" t="str">
        <f t="shared" si="12"/>
        <v/>
      </c>
      <c r="G37" s="109" t="str">
        <f t="shared" si="9"/>
        <v/>
      </c>
      <c r="H37" s="113"/>
      <c r="I37" s="113"/>
      <c r="J37" s="111"/>
    </row>
    <row r="38" spans="1:13" ht="13.5" hidden="1" x14ac:dyDescent="0.25">
      <c r="A38" s="106">
        <f t="shared" si="10"/>
        <v>0</v>
      </c>
      <c r="B38" s="112" t="str">
        <f>IFERROR(VLOOKUP(H38,[1]SEMIELABORADOS!$A$2:$M$6000,2,0),"")</f>
        <v/>
      </c>
      <c r="C38" s="107">
        <f>+A38</f>
        <v>0</v>
      </c>
      <c r="D38" s="108" t="str">
        <f>IFERROR(VLOOKUP(H38,[1]SEMIELABORADOS!$A$2:$M$6000,6,0),"")</f>
        <v/>
      </c>
      <c r="E38" s="108" t="str">
        <f>IFERROR(VLOOKUP(H38,[1]SEMIELABORADOS!$A$2:$M$65536,10,0),"")</f>
        <v/>
      </c>
      <c r="F38" s="108" t="str">
        <f>IFERROR(E38*C38,"")</f>
        <v/>
      </c>
      <c r="G38" s="109" t="str">
        <f t="shared" si="9"/>
        <v/>
      </c>
      <c r="H38" s="113"/>
      <c r="I38" s="113"/>
      <c r="J38" s="111"/>
    </row>
    <row r="39" spans="1:13" ht="13.5" hidden="1" x14ac:dyDescent="0.25">
      <c r="A39" s="106">
        <f t="shared" si="10"/>
        <v>0</v>
      </c>
      <c r="B39" s="112" t="str">
        <f>IFERROR(VLOOKUP(H39,[1]SEMIELABORADOS!$A$2:$M$6000,2,0),"")</f>
        <v/>
      </c>
      <c r="C39" s="107">
        <f>+A39</f>
        <v>0</v>
      </c>
      <c r="D39" s="108" t="str">
        <f>IFERROR(VLOOKUP(H39,[1]SEMIELABORADOS!$A$2:$M$6000,6,0),"")</f>
        <v/>
      </c>
      <c r="E39" s="108" t="str">
        <f>IFERROR(VLOOKUP(H39,[1]SEMIELABORADOS!$A$2:$M$65536,10,0),"")</f>
        <v/>
      </c>
      <c r="F39" s="108" t="str">
        <f>IFERROR(E39*C39,"")</f>
        <v/>
      </c>
      <c r="G39" s="109" t="str">
        <f t="shared" si="9"/>
        <v/>
      </c>
      <c r="H39" s="113"/>
      <c r="I39" s="113"/>
      <c r="J39" s="111"/>
    </row>
    <row r="40" spans="1:13" ht="13.5" hidden="1" x14ac:dyDescent="0.25">
      <c r="A40" s="106">
        <f t="shared" si="10"/>
        <v>0</v>
      </c>
      <c r="B40" s="112" t="str">
        <f>IFERROR(VLOOKUP(H40,[1]SEMIELABORADOS!$A$2:$M$6000,2,0),"")</f>
        <v/>
      </c>
      <c r="C40" s="107">
        <f t="shared" si="11"/>
        <v>0</v>
      </c>
      <c r="D40" s="108" t="str">
        <f>IFERROR(VLOOKUP(H40,[1]SEMIELABORADOS!$A$2:$M$6000,6,0),"")</f>
        <v/>
      </c>
      <c r="E40" s="108" t="str">
        <f>IFERROR(VLOOKUP(H40,[1]SEMIELABORADOS!$A$2:$M$65536,10,0),"")</f>
        <v/>
      </c>
      <c r="F40" s="108" t="str">
        <f t="shared" si="12"/>
        <v/>
      </c>
      <c r="G40" s="109" t="str">
        <f t="shared" si="9"/>
        <v/>
      </c>
      <c r="H40" s="113"/>
      <c r="I40" s="113"/>
      <c r="J40" s="111"/>
    </row>
    <row r="41" spans="1:13" ht="13.5" hidden="1" x14ac:dyDescent="0.25">
      <c r="A41" s="106">
        <f t="shared" si="10"/>
        <v>0</v>
      </c>
      <c r="B41" s="112" t="str">
        <f>IFERROR(VLOOKUP(H41,[1]SEMIELABORADOS!$A$2:$M$6000,2,0),"")</f>
        <v/>
      </c>
      <c r="C41" s="107">
        <f t="shared" si="11"/>
        <v>0</v>
      </c>
      <c r="D41" s="108" t="str">
        <f>IFERROR(VLOOKUP(H41,[1]SEMIELABORADOS!$A$2:$M$6000,6,0),"")</f>
        <v/>
      </c>
      <c r="E41" s="108" t="str">
        <f>IFERROR(VLOOKUP(H41,[1]SEMIELABORADOS!$A$2:$M$65536,10,0),"")</f>
        <v/>
      </c>
      <c r="F41" s="108" t="str">
        <f t="shared" si="12"/>
        <v/>
      </c>
      <c r="G41" s="109" t="str">
        <f t="shared" si="9"/>
        <v/>
      </c>
      <c r="H41" s="113"/>
      <c r="I41" s="113"/>
      <c r="J41" s="111"/>
    </row>
    <row r="42" spans="1:13" ht="14.25" hidden="1" thickBot="1" x14ac:dyDescent="0.3">
      <c r="A42" s="106"/>
      <c r="B42" s="112"/>
      <c r="C42" s="107"/>
      <c r="D42" s="108"/>
      <c r="E42" s="108"/>
      <c r="F42" s="108"/>
      <c r="G42" s="109"/>
      <c r="H42" s="113"/>
      <c r="I42" s="113"/>
      <c r="J42" s="111"/>
    </row>
    <row r="43" spans="1:13" ht="26.25" thickBot="1" x14ac:dyDescent="0.3">
      <c r="A43" s="101" t="s">
        <v>138</v>
      </c>
      <c r="B43" s="102" t="s">
        <v>147</v>
      </c>
      <c r="C43" s="102" t="s">
        <v>138</v>
      </c>
      <c r="D43" s="103" t="s">
        <v>140</v>
      </c>
      <c r="E43" s="103" t="s">
        <v>141</v>
      </c>
      <c r="F43" s="103" t="s">
        <v>142</v>
      </c>
      <c r="G43" s="103" t="s">
        <v>143</v>
      </c>
      <c r="H43" s="104" t="s">
        <v>144</v>
      </c>
      <c r="I43" s="105"/>
      <c r="J43" s="111"/>
    </row>
    <row r="44" spans="1:13" ht="13.5" hidden="1" x14ac:dyDescent="0.25">
      <c r="A44" s="106">
        <f>+A35</f>
        <v>0</v>
      </c>
      <c r="B44" s="112" t="str">
        <f>IFERROR(VLOOKUP(H44,[1]SEMIELABORADOS!$A$2:$M$6000,2,0),"")</f>
        <v/>
      </c>
      <c r="C44" s="107">
        <f>+A44</f>
        <v>0</v>
      </c>
      <c r="D44" s="108" t="str">
        <f>IFERROR(VLOOKUP(H44,[1]SEMIELABORADOS!$A$2:$M$6000,6,0),"")</f>
        <v/>
      </c>
      <c r="E44" s="108" t="str">
        <f>IFERROR(VLOOKUP(H44,[1]SEMIELABORADOS!$A$2:$M$65536,12,0),"")</f>
        <v/>
      </c>
      <c r="F44" s="108" t="str">
        <f>IFERROR(E44*C44,"")</f>
        <v/>
      </c>
      <c r="G44" s="109" t="str">
        <f>IFERROR(F44/$F$66,"")</f>
        <v/>
      </c>
      <c r="H44" s="113"/>
      <c r="I44" s="105"/>
      <c r="J44" s="111"/>
    </row>
    <row r="45" spans="1:13" ht="13.5" hidden="1" x14ac:dyDescent="0.25">
      <c r="A45" s="106">
        <f t="shared" ref="A45:A50" si="13">+A36</f>
        <v>0</v>
      </c>
      <c r="B45" s="112" t="str">
        <f>IFERROR(VLOOKUP(H45,[1]SEMIELABORADOS!$A$2:$M$6000,2,0),"")</f>
        <v/>
      </c>
      <c r="C45" s="107">
        <f t="shared" ref="C45:C50" si="14">+A45</f>
        <v>0</v>
      </c>
      <c r="D45" s="108" t="str">
        <f>IFERROR(VLOOKUP(H45,[1]SEMIELABORADOS!$A$2:$M$6000,6,0),"")</f>
        <v/>
      </c>
      <c r="E45" s="108" t="str">
        <f>IFERROR(VLOOKUP(H45,[1]SEMIELABORADOS!$A$2:$M$65536,12,0),"")</f>
        <v/>
      </c>
      <c r="F45" s="108" t="str">
        <f t="shared" ref="F45:F50" si="15">IFERROR(E45*C45,"")</f>
        <v/>
      </c>
      <c r="G45" s="109" t="str">
        <f t="shared" ref="G45:G50" si="16">IFERROR(F45/$F$66,"")</f>
        <v/>
      </c>
      <c r="H45" s="113"/>
      <c r="I45" s="105"/>
      <c r="J45" s="111"/>
      <c r="M45" s="116"/>
    </row>
    <row r="46" spans="1:13" ht="13.5" hidden="1" x14ac:dyDescent="0.25">
      <c r="A46" s="106">
        <f t="shared" si="13"/>
        <v>0</v>
      </c>
      <c r="B46" s="112" t="str">
        <f>IFERROR(VLOOKUP(H46,[1]SEMIELABORADOS!$A$2:$M$6000,2,0),"")</f>
        <v/>
      </c>
      <c r="C46" s="107">
        <f t="shared" si="14"/>
        <v>0</v>
      </c>
      <c r="D46" s="108" t="str">
        <f>IFERROR(VLOOKUP(H46,[1]SEMIELABORADOS!$A$2:$M$6000,6,0),"")</f>
        <v/>
      </c>
      <c r="E46" s="108" t="str">
        <f>IFERROR(VLOOKUP(H46,[1]SEMIELABORADOS!$A$2:$M$65536,12,0),"")</f>
        <v/>
      </c>
      <c r="F46" s="108" t="str">
        <f t="shared" si="15"/>
        <v/>
      </c>
      <c r="G46" s="109" t="str">
        <f t="shared" si="16"/>
        <v/>
      </c>
      <c r="H46" s="113"/>
      <c r="I46" s="105"/>
      <c r="J46" s="111"/>
    </row>
    <row r="47" spans="1:13" ht="13.5" hidden="1" x14ac:dyDescent="0.25">
      <c r="A47" s="106">
        <f t="shared" si="13"/>
        <v>0</v>
      </c>
      <c r="B47" s="112" t="str">
        <f>IFERROR(VLOOKUP(H47,[1]SEMIELABORADOS!$A$2:$M$6000,2,0),"")</f>
        <v/>
      </c>
      <c r="C47" s="107">
        <f t="shared" si="14"/>
        <v>0</v>
      </c>
      <c r="D47" s="108" t="str">
        <f>IFERROR(VLOOKUP(H47,[1]SEMIELABORADOS!$A$2:$M$6000,6,0),"")</f>
        <v/>
      </c>
      <c r="E47" s="108" t="str">
        <f>IFERROR(VLOOKUP(H47,[1]SEMIELABORADOS!$A$2:$M$65536,12,0),"")</f>
        <v/>
      </c>
      <c r="F47" s="108" t="str">
        <f t="shared" si="15"/>
        <v/>
      </c>
      <c r="G47" s="109" t="str">
        <f t="shared" si="16"/>
        <v/>
      </c>
      <c r="H47" s="113"/>
      <c r="I47" s="105"/>
      <c r="J47" s="111"/>
    </row>
    <row r="48" spans="1:13" ht="13.5" hidden="1" x14ac:dyDescent="0.25">
      <c r="A48" s="106">
        <f t="shared" si="13"/>
        <v>0</v>
      </c>
      <c r="B48" s="112" t="str">
        <f>IFERROR(VLOOKUP(H48,[1]SEMIELABORADOS!$A$2:$M$6000,2,0),"")</f>
        <v/>
      </c>
      <c r="C48" s="107">
        <f t="shared" si="14"/>
        <v>0</v>
      </c>
      <c r="D48" s="108" t="str">
        <f>IFERROR(VLOOKUP(H48,[1]SEMIELABORADOS!$A$2:$M$6000,6,0),"")</f>
        <v/>
      </c>
      <c r="E48" s="108" t="str">
        <f>IFERROR(VLOOKUP(H48,[1]SEMIELABORADOS!$A$2:$M$65536,12,0),"")</f>
        <v/>
      </c>
      <c r="F48" s="108" t="str">
        <f t="shared" si="15"/>
        <v/>
      </c>
      <c r="G48" s="109" t="str">
        <f t="shared" si="16"/>
        <v/>
      </c>
      <c r="H48" s="113"/>
      <c r="I48" s="105"/>
      <c r="J48" s="111"/>
    </row>
    <row r="49" spans="1:17" ht="13.5" hidden="1" x14ac:dyDescent="0.25">
      <c r="A49" s="106">
        <f t="shared" si="13"/>
        <v>0</v>
      </c>
      <c r="B49" s="112" t="str">
        <f>IFERROR(VLOOKUP(H49,[1]SEMIELABORADOS!$A$2:$M$6000,2,0),"")</f>
        <v/>
      </c>
      <c r="C49" s="107">
        <f t="shared" si="14"/>
        <v>0</v>
      </c>
      <c r="D49" s="108" t="str">
        <f>IFERROR(VLOOKUP(H49,[1]SEMIELABORADOS!$A$2:$M$6000,6,0),"")</f>
        <v/>
      </c>
      <c r="E49" s="108" t="str">
        <f>IFERROR(VLOOKUP(H49,[1]SEMIELABORADOS!$A$2:$M$65536,12,0),"")</f>
        <v/>
      </c>
      <c r="F49" s="108" t="str">
        <f t="shared" si="15"/>
        <v/>
      </c>
      <c r="G49" s="109" t="str">
        <f t="shared" si="16"/>
        <v/>
      </c>
      <c r="H49" s="113"/>
      <c r="I49" s="105"/>
      <c r="J49" s="111"/>
    </row>
    <row r="50" spans="1:17" ht="13.5" hidden="1" x14ac:dyDescent="0.25">
      <c r="A50" s="106">
        <f t="shared" si="13"/>
        <v>0</v>
      </c>
      <c r="B50" s="112" t="str">
        <f>IFERROR(VLOOKUP(H50,[1]SEMIELABORADOS!$A$2:$M$6000,2,0),"")</f>
        <v/>
      </c>
      <c r="C50" s="107">
        <f t="shared" si="14"/>
        <v>0</v>
      </c>
      <c r="D50" s="108" t="str">
        <f>IFERROR(VLOOKUP(H50,[1]SEMIELABORADOS!$A$2:$M$6000,6,0),"")</f>
        <v/>
      </c>
      <c r="E50" s="108" t="str">
        <f>IFERROR(VLOOKUP(H50,[1]SEMIELABORADOS!$A$2:$M$65536,12,0),"")</f>
        <v/>
      </c>
      <c r="F50" s="108" t="str">
        <f t="shared" si="15"/>
        <v/>
      </c>
      <c r="G50" s="109" t="str">
        <f t="shared" si="16"/>
        <v/>
      </c>
      <c r="H50" s="112"/>
      <c r="I50" s="105"/>
      <c r="J50" s="111"/>
    </row>
    <row r="51" spans="1:17" ht="13.5" x14ac:dyDescent="0.25">
      <c r="A51" s="106">
        <v>1</v>
      </c>
      <c r="B51" s="112" t="s">
        <v>148</v>
      </c>
      <c r="C51" s="107">
        <f>+A51</f>
        <v>1</v>
      </c>
      <c r="D51" s="107" t="s">
        <v>149</v>
      </c>
      <c r="E51" s="108">
        <f>+F65</f>
        <v>1220</v>
      </c>
      <c r="F51" s="108">
        <f>IFERROR(C51*E51,"")</f>
        <v>1220</v>
      </c>
      <c r="G51" s="109">
        <f>IFERROR(F51/$F$66,"")</f>
        <v>4.3582068822231028E-2</v>
      </c>
      <c r="H51" s="117"/>
      <c r="I51" s="117"/>
      <c r="J51" s="111"/>
    </row>
    <row r="52" spans="1:17" ht="14.25" thickBot="1" x14ac:dyDescent="0.3">
      <c r="A52" s="106"/>
      <c r="B52" s="112"/>
      <c r="C52" s="107"/>
      <c r="D52" s="107"/>
      <c r="E52" s="108"/>
      <c r="F52" s="108"/>
      <c r="G52" s="109"/>
      <c r="H52" s="117"/>
      <c r="I52" s="117"/>
      <c r="J52" s="111"/>
    </row>
    <row r="53" spans="1:17" ht="13.5" thickBot="1" x14ac:dyDescent="0.3">
      <c r="A53" s="118"/>
      <c r="B53" s="366" t="s">
        <v>150</v>
      </c>
      <c r="C53" s="366"/>
      <c r="D53" s="366"/>
      <c r="E53" s="366"/>
      <c r="F53" s="120">
        <f>SUM(F8:F14,F17:F24)</f>
        <v>26248.2</v>
      </c>
      <c r="G53" s="109">
        <f>+F53/$F$66</f>
        <v>0.93766463840957748</v>
      </c>
      <c r="H53" s="121">
        <f>+F53/$D$60</f>
        <v>26248.2</v>
      </c>
      <c r="I53" s="121"/>
      <c r="J53" s="122"/>
      <c r="K53" s="123"/>
      <c r="L53" s="123"/>
      <c r="M53" s="123"/>
      <c r="N53" s="123"/>
      <c r="O53" s="123"/>
      <c r="P53" s="123"/>
      <c r="Q53" s="124"/>
    </row>
    <row r="54" spans="1:17" x14ac:dyDescent="0.2">
      <c r="A54" s="118"/>
      <c r="B54" s="366" t="s">
        <v>151</v>
      </c>
      <c r="C54" s="366"/>
      <c r="D54" s="366"/>
      <c r="E54" s="366"/>
      <c r="F54" s="120">
        <f>SUM(F27:F32,F35:F41)</f>
        <v>0</v>
      </c>
      <c r="G54" s="109">
        <f>+F54/$F$66</f>
        <v>0</v>
      </c>
      <c r="H54" s="121">
        <f>+F54/$D$60</f>
        <v>0</v>
      </c>
      <c r="I54" s="121"/>
      <c r="J54" s="125"/>
      <c r="K54" s="367" t="s">
        <v>152</v>
      </c>
      <c r="L54" s="368"/>
      <c r="M54" s="368"/>
      <c r="N54" s="368"/>
      <c r="O54" s="126">
        <f>+F55</f>
        <v>26248.2</v>
      </c>
      <c r="P54" s="126"/>
      <c r="Q54" s="127"/>
    </row>
    <row r="55" spans="1:17" x14ac:dyDescent="0.2">
      <c r="A55" s="118"/>
      <c r="B55" s="366" t="s">
        <v>153</v>
      </c>
      <c r="C55" s="366"/>
      <c r="D55" s="366"/>
      <c r="E55" s="366"/>
      <c r="F55" s="120">
        <f>+F53+F54</f>
        <v>26248.2</v>
      </c>
      <c r="G55" s="109">
        <f>+F55/$F$66</f>
        <v>0.93766463840957748</v>
      </c>
      <c r="H55" s="121">
        <f>+F55/$D$60</f>
        <v>26248.2</v>
      </c>
      <c r="I55" s="121"/>
      <c r="J55" s="128"/>
      <c r="K55" s="129"/>
      <c r="M55" s="130" t="s">
        <v>154</v>
      </c>
      <c r="N55" s="131"/>
      <c r="O55" s="126">
        <f>+H56</f>
        <v>1220</v>
      </c>
      <c r="P55" s="126"/>
      <c r="Q55" s="127"/>
    </row>
    <row r="56" spans="1:17" ht="13.5" thickBot="1" x14ac:dyDescent="0.25">
      <c r="A56" s="118"/>
      <c r="B56" s="119"/>
      <c r="C56" s="366" t="s">
        <v>155</v>
      </c>
      <c r="D56" s="366"/>
      <c r="E56" s="366"/>
      <c r="F56" s="120">
        <f>SUM(F44:F51)</f>
        <v>1220</v>
      </c>
      <c r="G56" s="109">
        <f>+F56/$F$66</f>
        <v>4.3582068822231028E-2</v>
      </c>
      <c r="H56" s="121">
        <f>+F56/$D$60</f>
        <v>1220</v>
      </c>
      <c r="I56" s="121"/>
      <c r="J56" s="128"/>
      <c r="K56" s="129"/>
      <c r="L56" s="129"/>
      <c r="M56" s="129" t="s">
        <v>156</v>
      </c>
      <c r="N56" s="132"/>
      <c r="O56" s="126">
        <f>O54*N56</f>
        <v>0</v>
      </c>
      <c r="P56" s="126"/>
      <c r="Q56" s="127"/>
    </row>
    <row r="57" spans="1:17" ht="13.5" thickBot="1" x14ac:dyDescent="0.25">
      <c r="A57" s="118"/>
      <c r="B57" s="133"/>
      <c r="C57" s="133"/>
      <c r="D57" s="133"/>
      <c r="E57" s="133"/>
      <c r="F57" s="134"/>
      <c r="G57" s="109"/>
      <c r="H57" s="135"/>
      <c r="I57" s="121"/>
      <c r="J57" s="128"/>
      <c r="K57" s="136"/>
      <c r="M57" s="137" t="s">
        <v>157</v>
      </c>
      <c r="N57" s="138"/>
      <c r="O57" s="139">
        <f>SUM(O54:O56)</f>
        <v>27468.2</v>
      </c>
      <c r="P57" s="140"/>
      <c r="Q57" s="127"/>
    </row>
    <row r="58" spans="1:17" x14ac:dyDescent="0.2">
      <c r="B58" s="369" t="s">
        <v>158</v>
      </c>
      <c r="C58" s="369"/>
      <c r="D58" s="141">
        <v>10000</v>
      </c>
      <c r="E58" s="142"/>
      <c r="G58" s="109"/>
      <c r="H58" s="135">
        <f>+H56/61</f>
        <v>20</v>
      </c>
      <c r="I58" s="143"/>
      <c r="J58" s="128"/>
      <c r="K58" s="136"/>
      <c r="L58" s="129"/>
      <c r="M58" s="129" t="s">
        <v>159</v>
      </c>
      <c r="N58" s="144"/>
      <c r="O58" s="126">
        <f>+H59</f>
        <v>1160</v>
      </c>
      <c r="P58" s="126"/>
      <c r="Q58" s="127"/>
    </row>
    <row r="59" spans="1:17" x14ac:dyDescent="0.2">
      <c r="B59" s="369" t="s">
        <v>160</v>
      </c>
      <c r="C59" s="369"/>
      <c r="D59" s="145">
        <v>10000</v>
      </c>
      <c r="E59" s="142"/>
      <c r="G59" s="109"/>
      <c r="H59" s="135">
        <f>+H58*58</f>
        <v>1160</v>
      </c>
      <c r="I59" s="143"/>
      <c r="J59" s="128"/>
      <c r="K59" s="136"/>
      <c r="L59" s="129"/>
      <c r="M59" s="370" t="s">
        <v>157</v>
      </c>
      <c r="N59" s="370"/>
      <c r="O59" s="126">
        <f>SUM(O57:O58)</f>
        <v>28628.2</v>
      </c>
      <c r="P59" s="126"/>
      <c r="Q59" s="127"/>
    </row>
    <row r="60" spans="1:17" ht="13.5" thickBot="1" x14ac:dyDescent="0.25">
      <c r="B60" s="362" t="s">
        <v>161</v>
      </c>
      <c r="C60" s="362"/>
      <c r="D60" s="141">
        <f>+D58/D59</f>
        <v>1</v>
      </c>
      <c r="E60" s="142"/>
      <c r="F60" s="146"/>
      <c r="G60" s="109"/>
      <c r="H60" s="135"/>
      <c r="I60" s="143"/>
      <c r="J60" s="128"/>
      <c r="K60" s="136"/>
      <c r="L60" s="370"/>
      <c r="M60" s="370"/>
      <c r="N60" s="144"/>
      <c r="O60" s="126">
        <f>+O59*N60</f>
        <v>0</v>
      </c>
      <c r="P60" s="126"/>
      <c r="Q60" s="127"/>
    </row>
    <row r="61" spans="1:17" ht="13.5" thickBot="1" x14ac:dyDescent="0.25">
      <c r="B61" s="362" t="s">
        <v>162</v>
      </c>
      <c r="C61" s="362"/>
      <c r="D61" s="147"/>
      <c r="E61" s="142"/>
      <c r="F61" s="146"/>
      <c r="G61" s="109"/>
      <c r="H61" s="135"/>
      <c r="I61" s="143"/>
      <c r="J61" s="128"/>
      <c r="K61" s="363" t="s">
        <v>163</v>
      </c>
      <c r="L61" s="364"/>
      <c r="M61" s="364"/>
      <c r="N61" s="365"/>
      <c r="O61" s="139">
        <f>SUM(O59:O60)</f>
        <v>28628.2</v>
      </c>
      <c r="P61" s="148" t="s">
        <v>164</v>
      </c>
      <c r="Q61" s="127"/>
    </row>
    <row r="62" spans="1:17" ht="13.5" thickBot="1" x14ac:dyDescent="0.25">
      <c r="C62" s="118" t="s">
        <v>43</v>
      </c>
      <c r="D62" s="149"/>
      <c r="E62" s="92" t="s">
        <v>165</v>
      </c>
      <c r="F62" s="150" t="s">
        <v>166</v>
      </c>
      <c r="G62" s="109"/>
      <c r="H62" s="135"/>
      <c r="I62" s="143"/>
      <c r="J62" s="151"/>
      <c r="K62" s="152"/>
      <c r="L62" s="376" t="s">
        <v>79</v>
      </c>
      <c r="M62" s="376"/>
      <c r="N62" s="376"/>
      <c r="O62" s="153">
        <f>+O61/D60</f>
        <v>28628.2</v>
      </c>
      <c r="P62" s="154">
        <f>+O62/D59</f>
        <v>2.8628200000000001</v>
      </c>
      <c r="Q62" s="155"/>
    </row>
    <row r="63" spans="1:17" ht="13.5" thickBot="1" x14ac:dyDescent="0.25">
      <c r="B63" s="377" t="s">
        <v>153</v>
      </c>
      <c r="C63" s="377"/>
      <c r="D63" s="377"/>
      <c r="E63" s="156">
        <f>+F63/F63</f>
        <v>1</v>
      </c>
      <c r="F63" s="157">
        <f>SUM(F55)</f>
        <v>26248.2</v>
      </c>
      <c r="G63" s="109">
        <f>+F63/$F$66</f>
        <v>0.93766463840957748</v>
      </c>
      <c r="H63" s="135"/>
      <c r="I63" s="143"/>
      <c r="K63" s="378"/>
      <c r="L63" s="379"/>
      <c r="M63" s="379"/>
      <c r="N63" s="379"/>
      <c r="O63" s="158"/>
      <c r="P63" s="159"/>
    </row>
    <row r="64" spans="1:17" ht="13.5" thickBot="1" x14ac:dyDescent="0.3">
      <c r="B64" s="380" t="s">
        <v>167</v>
      </c>
      <c r="C64" s="380"/>
      <c r="D64" s="380"/>
      <c r="E64" s="160">
        <v>0.02</v>
      </c>
      <c r="F64" s="157">
        <f>+F53*E64</f>
        <v>524.96400000000006</v>
      </c>
      <c r="G64" s="109">
        <f>+F64/$F$66</f>
        <v>1.875329276819155E-2</v>
      </c>
      <c r="H64" s="121"/>
      <c r="I64" s="143"/>
      <c r="J64" s="161"/>
      <c r="O64" s="162"/>
      <c r="P64" s="119"/>
    </row>
    <row r="65" spans="2:13" ht="13.5" thickBot="1" x14ac:dyDescent="0.3">
      <c r="B65" s="381" t="s">
        <v>168</v>
      </c>
      <c r="C65" s="382"/>
      <c r="D65" s="163">
        <v>20</v>
      </c>
      <c r="E65" s="164">
        <v>61</v>
      </c>
      <c r="F65" s="157">
        <f>+E65*D65</f>
        <v>1220</v>
      </c>
      <c r="G65" s="109">
        <f>+F65/$F$66</f>
        <v>4.3582068822231028E-2</v>
      </c>
      <c r="H65" s="121"/>
      <c r="I65" s="121"/>
      <c r="J65" s="111"/>
    </row>
    <row r="66" spans="2:13" ht="13.5" thickBot="1" x14ac:dyDescent="0.3">
      <c r="B66" s="383" t="s">
        <v>169</v>
      </c>
      <c r="C66" s="384"/>
      <c r="D66" s="384"/>
      <c r="E66" s="385"/>
      <c r="F66" s="134">
        <f>SUM(F63:F65)</f>
        <v>27993.164000000001</v>
      </c>
      <c r="G66" s="109">
        <f>+F66/$F$66</f>
        <v>1</v>
      </c>
      <c r="H66" s="386"/>
      <c r="I66" s="121"/>
      <c r="J66" s="111"/>
      <c r="M66" s="94" t="s">
        <v>170</v>
      </c>
    </row>
    <row r="67" spans="2:13" x14ac:dyDescent="0.25">
      <c r="C67" s="116"/>
      <c r="D67" s="116"/>
      <c r="E67" s="166"/>
      <c r="F67" s="157"/>
      <c r="G67" s="109"/>
      <c r="H67" s="386"/>
      <c r="I67" s="165"/>
      <c r="J67" s="94"/>
      <c r="M67" s="94" t="s">
        <v>171</v>
      </c>
    </row>
    <row r="68" spans="2:13" ht="13.5" thickBot="1" x14ac:dyDescent="0.3">
      <c r="B68" s="371" t="s">
        <v>172</v>
      </c>
      <c r="C68" s="371"/>
      <c r="D68" s="371"/>
      <c r="E68" s="371"/>
      <c r="F68" s="371"/>
      <c r="G68" s="109"/>
      <c r="H68" s="168"/>
      <c r="I68" s="165"/>
      <c r="J68" s="94"/>
      <c r="M68" s="94" t="s">
        <v>173</v>
      </c>
    </row>
    <row r="69" spans="2:13" ht="13.5" thickBot="1" x14ac:dyDescent="0.3">
      <c r="B69" s="169" t="s">
        <v>174</v>
      </c>
      <c r="C69" s="170">
        <f>+F53</f>
        <v>26248.2</v>
      </c>
      <c r="D69" s="170">
        <f>+D58</f>
        <v>10000</v>
      </c>
      <c r="E69" s="171">
        <f>+C69/D69</f>
        <v>2.6248200000000002</v>
      </c>
      <c r="F69" s="109"/>
      <c r="G69" s="168"/>
      <c r="H69" s="111"/>
      <c r="I69" s="168"/>
      <c r="J69" s="94"/>
    </row>
    <row r="70" spans="2:13" x14ac:dyDescent="0.25">
      <c r="B70" s="172"/>
      <c r="C70" s="173"/>
      <c r="D70" s="174"/>
      <c r="E70" s="157"/>
      <c r="F70" s="109"/>
      <c r="G70" s="168"/>
      <c r="H70" s="111"/>
      <c r="I70" s="111"/>
      <c r="J70" s="94"/>
    </row>
    <row r="71" spans="2:13" x14ac:dyDescent="0.25">
      <c r="B71" s="169" t="s">
        <v>175</v>
      </c>
      <c r="C71" s="170">
        <f>SUM(F63:F64)</f>
        <v>26773.164000000001</v>
      </c>
      <c r="D71" s="170">
        <f>+D58</f>
        <v>10000</v>
      </c>
      <c r="E71" s="175">
        <f>+C71/D71</f>
        <v>2.6773164</v>
      </c>
      <c r="F71" s="109"/>
      <c r="G71" s="168"/>
      <c r="H71" s="111"/>
      <c r="I71" s="111"/>
      <c r="J71" s="94"/>
    </row>
    <row r="72" spans="2:13" x14ac:dyDescent="0.25">
      <c r="B72" s="169"/>
      <c r="C72" s="170"/>
      <c r="D72" s="170"/>
      <c r="E72" s="175"/>
      <c r="F72" s="109"/>
      <c r="G72" s="168"/>
      <c r="H72" s="111"/>
      <c r="I72" s="111"/>
      <c r="J72" s="94"/>
    </row>
    <row r="73" spans="2:13" ht="13.5" thickBot="1" x14ac:dyDescent="0.3">
      <c r="B73" s="169" t="s">
        <v>176</v>
      </c>
      <c r="C73" s="170">
        <f>+F65</f>
        <v>1220</v>
      </c>
      <c r="D73" s="170">
        <f>+D58</f>
        <v>10000</v>
      </c>
      <c r="E73" s="175">
        <f>+C73/D73</f>
        <v>0.122</v>
      </c>
      <c r="F73" s="109"/>
      <c r="G73" s="168"/>
      <c r="H73" s="111"/>
      <c r="I73" s="111"/>
      <c r="J73" s="94"/>
    </row>
    <row r="74" spans="2:13" ht="13.5" thickBot="1" x14ac:dyDescent="0.3">
      <c r="B74" s="169" t="s">
        <v>177</v>
      </c>
      <c r="C74" s="170">
        <f>+F56</f>
        <v>1220</v>
      </c>
      <c r="D74" s="170">
        <f>+D73</f>
        <v>10000</v>
      </c>
      <c r="E74" s="171">
        <f>+C74/D74</f>
        <v>0.122</v>
      </c>
      <c r="F74" s="109"/>
      <c r="G74" s="168"/>
      <c r="H74" s="111"/>
      <c r="I74" s="111"/>
      <c r="J74" s="94"/>
    </row>
    <row r="75" spans="2:13" ht="13.5" thickBot="1" x14ac:dyDescent="0.3">
      <c r="B75" s="133"/>
      <c r="C75" s="134"/>
      <c r="D75" s="134"/>
      <c r="E75" s="175"/>
      <c r="F75" s="109"/>
      <c r="G75" s="168"/>
      <c r="H75" s="111"/>
      <c r="I75" s="111"/>
      <c r="J75" s="94"/>
    </row>
    <row r="76" spans="2:13" ht="13.5" thickBot="1" x14ac:dyDescent="0.3">
      <c r="B76" s="169" t="s">
        <v>178</v>
      </c>
      <c r="C76" s="170">
        <f>+F54</f>
        <v>0</v>
      </c>
      <c r="D76" s="170">
        <f>+D74</f>
        <v>10000</v>
      </c>
      <c r="E76" s="171">
        <f>+C76/D76</f>
        <v>0</v>
      </c>
      <c r="F76" s="109"/>
      <c r="G76" s="168"/>
      <c r="H76" s="111"/>
      <c r="I76" s="111"/>
      <c r="J76" s="111"/>
    </row>
    <row r="77" spans="2:13" ht="13.5" thickBot="1" x14ac:dyDescent="0.3">
      <c r="B77" s="133"/>
      <c r="C77" s="134"/>
      <c r="D77" s="134"/>
      <c r="E77" s="175"/>
      <c r="F77" s="109"/>
      <c r="G77" s="168"/>
      <c r="H77" s="111"/>
      <c r="I77" s="111"/>
    </row>
    <row r="78" spans="2:13" ht="13.5" thickBot="1" x14ac:dyDescent="0.3">
      <c r="B78" s="372" t="s">
        <v>179</v>
      </c>
      <c r="C78" s="373"/>
      <c r="D78" s="374"/>
      <c r="E78" s="171">
        <f>+E69+E74</f>
        <v>2.74682</v>
      </c>
      <c r="G78" s="109"/>
      <c r="H78" s="168"/>
      <c r="I78" s="111"/>
      <c r="J78" s="175"/>
    </row>
    <row r="79" spans="2:13" x14ac:dyDescent="0.25">
      <c r="I79" s="168"/>
      <c r="J79" s="94"/>
    </row>
    <row r="80" spans="2:13" ht="13.5" thickBot="1" x14ac:dyDescent="0.3">
      <c r="B80" s="371" t="s">
        <v>180</v>
      </c>
      <c r="C80" s="371"/>
      <c r="D80" s="371"/>
      <c r="E80" s="371"/>
      <c r="F80" s="371"/>
      <c r="G80" s="109"/>
      <c r="H80" s="168"/>
      <c r="J80" s="94"/>
    </row>
    <row r="81" spans="1:10" ht="13.5" thickBot="1" x14ac:dyDescent="0.3">
      <c r="B81" s="169" t="s">
        <v>174</v>
      </c>
      <c r="C81" s="170">
        <f>+C69</f>
        <v>26248.2</v>
      </c>
      <c r="D81" s="170">
        <f>+D60</f>
        <v>1</v>
      </c>
      <c r="E81" s="171">
        <f>+C81/D81</f>
        <v>26248.2</v>
      </c>
      <c r="F81" s="109"/>
      <c r="G81" s="168"/>
      <c r="H81" s="111"/>
      <c r="I81" s="168"/>
      <c r="J81" s="94"/>
    </row>
    <row r="82" spans="1:10" x14ac:dyDescent="0.25">
      <c r="B82" s="172"/>
      <c r="C82" s="173"/>
      <c r="D82" s="174"/>
      <c r="E82" s="157"/>
      <c r="F82" s="109"/>
      <c r="G82" s="168"/>
      <c r="H82" s="111"/>
      <c r="I82" s="111"/>
      <c r="J82" s="94"/>
    </row>
    <row r="83" spans="1:10" x14ac:dyDescent="0.25">
      <c r="B83" s="169" t="s">
        <v>175</v>
      </c>
      <c r="C83" s="170">
        <f>+C71</f>
        <v>26773.164000000001</v>
      </c>
      <c r="D83" s="170">
        <f>+D60</f>
        <v>1</v>
      </c>
      <c r="E83" s="175">
        <f>+C83/D83</f>
        <v>26773.164000000001</v>
      </c>
      <c r="F83" s="109"/>
      <c r="G83" s="168"/>
      <c r="H83" s="111"/>
      <c r="I83" s="111"/>
      <c r="J83" s="94"/>
    </row>
    <row r="84" spans="1:10" x14ac:dyDescent="0.25">
      <c r="B84" s="169"/>
      <c r="C84" s="170"/>
      <c r="D84" s="170"/>
      <c r="E84" s="175"/>
      <c r="F84" s="109"/>
      <c r="G84" s="168"/>
      <c r="H84" s="111"/>
      <c r="I84" s="111"/>
      <c r="J84" s="94"/>
    </row>
    <row r="85" spans="1:10" ht="13.5" thickBot="1" x14ac:dyDescent="0.3">
      <c r="B85" s="169" t="s">
        <v>177</v>
      </c>
      <c r="C85" s="170">
        <f>+C73</f>
        <v>1220</v>
      </c>
      <c r="D85" s="170">
        <f>+D60</f>
        <v>1</v>
      </c>
      <c r="E85" s="175">
        <f>+C85/D85</f>
        <v>1220</v>
      </c>
      <c r="F85" s="177"/>
      <c r="G85" s="167"/>
      <c r="H85" s="93"/>
      <c r="I85" s="111"/>
    </row>
    <row r="86" spans="1:10" ht="13.5" thickBot="1" x14ac:dyDescent="0.3">
      <c r="B86" s="169" t="s">
        <v>177</v>
      </c>
      <c r="C86" s="170">
        <f>+C74</f>
        <v>1220</v>
      </c>
      <c r="D86" s="170">
        <f>+D85</f>
        <v>1</v>
      </c>
      <c r="E86" s="171">
        <f>+C86/D86</f>
        <v>1220</v>
      </c>
      <c r="F86" s="176"/>
      <c r="G86" s="167"/>
      <c r="H86" s="93"/>
      <c r="I86" s="93"/>
    </row>
    <row r="87" spans="1:10" x14ac:dyDescent="0.25">
      <c r="I87" s="93"/>
    </row>
    <row r="88" spans="1:10" x14ac:dyDescent="0.2">
      <c r="A88" s="375"/>
      <c r="B88" s="375"/>
      <c r="C88" s="178"/>
      <c r="D88" s="178"/>
      <c r="E88" s="179"/>
      <c r="G88" s="180"/>
    </row>
    <row r="89" spans="1:10" x14ac:dyDescent="0.2">
      <c r="A89" s="112"/>
      <c r="B89" s="181"/>
      <c r="C89" s="182"/>
      <c r="D89" s="182"/>
      <c r="E89" s="183"/>
      <c r="G89" s="180"/>
    </row>
    <row r="90" spans="1:10" x14ac:dyDescent="0.2">
      <c r="A90" s="112"/>
      <c r="B90" s="181"/>
      <c r="C90" s="184"/>
      <c r="D90" s="184"/>
      <c r="E90" s="112"/>
      <c r="G90" s="180"/>
    </row>
    <row r="91" spans="1:10" x14ac:dyDescent="0.2">
      <c r="A91" s="112"/>
      <c r="B91" s="181"/>
      <c r="C91" s="185"/>
      <c r="D91" s="185"/>
      <c r="E91" s="112"/>
      <c r="G91" s="18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234C2F-5162-409C-BFE4-283758E34F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64FE2B-93B6-48C0-9FA0-272D393DA1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A0BF1EC-A036-4CC6-AE19-248FC3CC20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</vt:i4>
      </vt:variant>
    </vt:vector>
  </HeadingPairs>
  <TitlesOfParts>
    <vt:vector size="18" baseType="lpstr">
      <vt:lpstr>Enmsable LOCALES</vt:lpstr>
      <vt:lpstr>Ensamble locales 2</vt:lpstr>
      <vt:lpstr>Ensamble 3</vt:lpstr>
      <vt:lpstr>Costo Ensamble locales</vt:lpstr>
      <vt:lpstr>Emsamble IND</vt:lpstr>
      <vt:lpstr>Ensamble Industria 2</vt:lpstr>
      <vt:lpstr>Costo Ensamble Industria </vt:lpstr>
      <vt:lpstr>costo semillas Cadbury</vt:lpstr>
      <vt:lpstr>Hoja1</vt:lpstr>
      <vt:lpstr>costo relleno arandanos</vt:lpstr>
      <vt:lpstr>Costo Empaque Relleno Arand</vt:lpstr>
      <vt:lpstr>Mousse Chocolate Interno</vt:lpstr>
      <vt:lpstr>Costo Mousse choco</vt:lpstr>
      <vt:lpstr>Disco</vt:lpstr>
      <vt:lpstr>Costo disco</vt:lpstr>
      <vt:lpstr>Costo Mousse pastelera</vt:lpstr>
      <vt:lpstr>Costo Crema Past Peruana</vt:lpstr>
      <vt:lpstr>'Emsamble IND'!Área_de_impresión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Miguel Coto Consultor</cp:lastModifiedBy>
  <cp:revision/>
  <cp:lastPrinted>2025-02-28T22:01:12Z</cp:lastPrinted>
  <dcterms:created xsi:type="dcterms:W3CDTF">2021-06-10T19:57:30Z</dcterms:created>
  <dcterms:modified xsi:type="dcterms:W3CDTF">2025-04-29T19:14:17Z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205800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
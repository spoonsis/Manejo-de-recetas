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9" documentId="8_{6D08206C-8216-46DE-B9E3-05BE6E8597B7}" xr6:coauthVersionLast="47" xr6:coauthVersionMax="47" xr10:uidLastSave="{E59B3816-F4DB-4FD0-8EB1-B95A06915A26}"/>
  <bookViews>
    <workbookView xWindow="-120" yWindow="-120" windowWidth="20730" windowHeight="11040" xr2:uid="{89CB6637-F5A6-4D1C-AC1C-D7C3ADAEDEC9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5" i="2" l="1"/>
</calcChain>
</file>

<file path=xl/sharedStrings.xml><?xml version="1.0" encoding="utf-8"?>
<sst xmlns="http://schemas.openxmlformats.org/spreadsheetml/2006/main" count="139" uniqueCount="111">
  <si>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</si>
  <si>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</si>
  <si>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</si>
  <si>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</si>
  <si>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</si>
  <si>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</si>
  <si>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</si>
  <si>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</si>
  <si>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</si>
  <si>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</si>
  <si>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</si>
  <si>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</si>
  <si>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</si>
  <si>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</si>
  <si>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</si>
  <si>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</si>
  <si>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</si>
  <si>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</si>
  <si>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10100050</t>
  </si>
  <si>
    <t>CAPULLO</t>
  </si>
  <si>
    <t>g</t>
  </si>
  <si>
    <t>101035</t>
  </si>
  <si>
    <t>PRESTO</t>
  </si>
  <si>
    <t>101115</t>
  </si>
  <si>
    <t>101150</t>
  </si>
  <si>
    <t>0512319</t>
  </si>
  <si>
    <t>105000009</t>
  </si>
  <si>
    <t>ACHIOTE (UND:850g)</t>
  </si>
  <si>
    <t>LOS PATITOS</t>
  </si>
  <si>
    <t>105000001</t>
  </si>
  <si>
    <t>PRIMA</t>
  </si>
  <si>
    <t>1212412</t>
  </si>
  <si>
    <t>ASEAL</t>
  </si>
  <si>
    <t>1110415</t>
  </si>
  <si>
    <t>LAMB WESTON</t>
  </si>
  <si>
    <t>101073</t>
  </si>
  <si>
    <t>101045</t>
  </si>
  <si>
    <t>CEBOLLINO KILO</t>
  </si>
  <si>
    <t>FAS</t>
  </si>
  <si>
    <t>PECHUGA DESMENUZADA A MANO SPOON</t>
  </si>
  <si>
    <t>ARROZ AMARILLO SPOON</t>
  </si>
  <si>
    <t>PLASTICO AUTOADHERIBLE 18X2000</t>
  </si>
  <si>
    <t>MAYCA</t>
  </si>
  <si>
    <t>cm</t>
  </si>
  <si>
    <t>0702123</t>
  </si>
  <si>
    <t>ETIQUETA BLANCA 2 5/8X1 15/16 (UND)</t>
  </si>
  <si>
    <t>ETIPLAST</t>
  </si>
  <si>
    <t>ud</t>
  </si>
  <si>
    <t>0702007</t>
  </si>
  <si>
    <t>ETIQ.FECHA VENCIMIENTO BLANCO (ROLLO)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</si>
  <si>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</si>
  <si>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</si>
  <si>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</si>
  <si>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</si>
  <si>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</si>
  <si>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</si>
  <si>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Porciones</t>
  </si>
  <si>
    <t>Temperatura de Horneo:</t>
  </si>
  <si>
    <t>PESO DE CADA PORCIÓN</t>
  </si>
  <si>
    <t>Otros</t>
  </si>
  <si>
    <t>MERMA</t>
  </si>
  <si>
    <t>PROCEDIMIENTO DE PREPARACION DE LA  RECETA</t>
  </si>
  <si>
    <t>1.- Colocar en una olla, el aceite, la cebolla, el chile, el apio y el ajo, sofreir hasta cristalizar</t>
  </si>
  <si>
    <t>2.- Agregar al sofrito la sal, el consomé de pollo, el achiote, el curry y el preservante, mezclar uniformemente hasta deshacer el achiote</t>
  </si>
  <si>
    <t>4.- Agregar los petit pois con la zanahoria y mezclar uniformente</t>
  </si>
  <si>
    <t>5.- Agregar el arroz amarillo, mezclar bien, agregar el culantro y  el cebollino picado, dejar hasta alcanzar temp de 75°</t>
  </si>
  <si>
    <t>CONTROL DE CAMBIOS</t>
  </si>
  <si>
    <t>MAGGI</t>
  </si>
  <si>
    <t>6.- Colocar en bandejas y pasar a empaque para choque térmico alcanzando una temperatura menor a los 5°C</t>
  </si>
  <si>
    <t>90100297(SE00143) ARROZ CON POLLO SPOON</t>
  </si>
  <si>
    <t>MP10002</t>
  </si>
  <si>
    <t>MP10020</t>
  </si>
  <si>
    <t>MP10119</t>
  </si>
  <si>
    <t>MP10069</t>
  </si>
  <si>
    <t>MP10019</t>
  </si>
  <si>
    <t>MP10058</t>
  </si>
  <si>
    <t>MP10551</t>
  </si>
  <si>
    <t>MP10025</t>
  </si>
  <si>
    <t>MP10298</t>
  </si>
  <si>
    <t>MP10173</t>
  </si>
  <si>
    <t>MP10107</t>
  </si>
  <si>
    <t>SE00144</t>
  </si>
  <si>
    <t>SE00145</t>
  </si>
  <si>
    <t>610220</t>
  </si>
  <si>
    <t>MP10017</t>
  </si>
  <si>
    <t xml:space="preserve">PASTA AJO </t>
  </si>
  <si>
    <t xml:space="preserve">APIO PICADO </t>
  </si>
  <si>
    <t xml:space="preserve">CHILE DULCE PICADO </t>
  </si>
  <si>
    <t xml:space="preserve">ACEITE CAPULLO RBD </t>
  </si>
  <si>
    <t xml:space="preserve">CEBOLLA PICADA </t>
  </si>
  <si>
    <t>CONSOME POLLO MAGGI</t>
  </si>
  <si>
    <t xml:space="preserve">CURRY POLVO </t>
  </si>
  <si>
    <t xml:space="preserve">PRESERVANTE 1017S </t>
  </si>
  <si>
    <t xml:space="preserve">PETI PIOS CON ZANAHORIA </t>
  </si>
  <si>
    <t>CULANTRO DESINFECTADO</t>
  </si>
  <si>
    <t>EM10259</t>
  </si>
  <si>
    <t>EM10011</t>
  </si>
  <si>
    <t>EM10004</t>
  </si>
  <si>
    <t>ESP-RE-COCS-037</t>
  </si>
  <si>
    <t>Javier Tong, Chef</t>
  </si>
  <si>
    <t>Esteban Cartin, Gte Manufactura</t>
  </si>
  <si>
    <t>Cocina</t>
  </si>
  <si>
    <t>Empaque</t>
  </si>
  <si>
    <t># Código Netsuite</t>
  </si>
  <si>
    <t>Ensamble</t>
  </si>
  <si>
    <t>Decoración</t>
  </si>
  <si>
    <t>Unidad</t>
  </si>
  <si>
    <t>3.- Agregar la pechuga de pollo desmenuzada junto y mezclar bien</t>
  </si>
  <si>
    <t>2, Se elimina el caldo de pollo de recorte</t>
  </si>
  <si>
    <r>
      <t xml:space="preserve">7.- A la hora de empacar, </t>
    </r>
    <r>
      <rPr>
        <b/>
        <sz val="16"/>
        <rFont val="Arial"/>
        <family val="2"/>
      </rPr>
      <t>NO PASAR GRANDES CANTIDADES A ZONA DE EMPAQUE</t>
    </r>
    <r>
      <rPr>
        <sz val="16"/>
        <rFont val="Arial"/>
        <family val="2"/>
      </rPr>
      <t xml:space="preserve"> para no perder temperatura</t>
    </r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</si>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</sst>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8" fillId="0" borderId="0"/>
    <xf numFmtId="0" fontId="8" fillId="0" borderId="0"/>
  </cellStyleXfs>
  <cellXfs count="147">
    <xf numFmtId="0" fontId="0" fillId="0" borderId="0" xfId="0"/>
    <xf numFmtId="0" fontId="3" fillId="2" borderId="6" xfId="1" applyFont="1" applyFill="1" applyBorder="1" applyAlignment="1">
      <alignment horizontal="center"/>
    </xf>
    <xf numFmtId="49" fontId="3" fillId="2" borderId="12" xfId="1" applyNumberFormat="1" applyFont="1" applyFill="1" applyBorder="1" applyAlignment="1">
      <alignment horizontal="center"/>
    </xf>
    <xf numFmtId="0" fontId="5" fillId="2" borderId="5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3" fillId="2" borderId="18" xfId="1" applyFont="1" applyFill="1" applyBorder="1" applyAlignment="1">
      <alignment horizontal="right"/>
    </xf>
    <xf numFmtId="0" fontId="3" fillId="2" borderId="11" xfId="1" applyFont="1" applyFill="1" applyBorder="1" applyAlignment="1">
      <alignment horizontal="right"/>
    </xf>
    <xf numFmtId="14" fontId="7" fillId="2" borderId="0" xfId="2" applyNumberFormat="1" applyFont="1" applyFill="1" applyAlignment="1">
      <alignment horizontal="center" vertical="center" wrapText="1"/>
    </xf>
    <xf numFmtId="0" fontId="5" fillId="5" borderId="6" xfId="5" applyFont="1" applyFill="1" applyBorder="1" applyAlignment="1">
      <alignment horizontal="center" vertical="center" wrapText="1"/>
    </xf>
    <xf numFmtId="1" fontId="5" fillId="5" borderId="22" xfId="5" applyNumberFormat="1" applyFont="1" applyFill="1" applyBorder="1" applyAlignment="1">
      <alignment horizontal="center"/>
    </xf>
    <xf numFmtId="1" fontId="5" fillId="5" borderId="22" xfId="5" applyNumberFormat="1" applyFont="1" applyFill="1" applyBorder="1" applyAlignment="1">
      <alignment horizontal="center" wrapText="1"/>
    </xf>
    <xf numFmtId="0" fontId="5" fillId="5" borderId="23" xfId="5" applyFont="1" applyFill="1" applyBorder="1" applyAlignment="1">
      <alignment horizontal="center"/>
    </xf>
    <xf numFmtId="0" fontId="9" fillId="0" borderId="25" xfId="5" applyFont="1" applyBorder="1" applyAlignment="1">
      <alignment horizontal="center" vertical="center"/>
    </xf>
    <xf numFmtId="0" fontId="9" fillId="0" borderId="32" xfId="5" applyFont="1" applyBorder="1" applyAlignment="1">
      <alignment horizontal="center" vertical="center"/>
    </xf>
    <xf numFmtId="0" fontId="10" fillId="0" borderId="11" xfId="5" applyFont="1" applyBorder="1" applyAlignment="1">
      <alignment vertical="center"/>
    </xf>
    <xf numFmtId="0" fontId="9" fillId="0" borderId="11" xfId="5" applyFont="1" applyBorder="1" applyAlignment="1">
      <alignment horizontal="center" vertical="center"/>
    </xf>
    <xf numFmtId="1" fontId="9" fillId="0" borderId="11" xfId="5" applyNumberFormat="1" applyFont="1" applyBorder="1" applyAlignment="1">
      <alignment horizontal="center"/>
    </xf>
    <xf numFmtId="1" fontId="9" fillId="0" borderId="11" xfId="5" applyNumberFormat="1" applyFont="1" applyBorder="1" applyAlignment="1">
      <alignment horizontal="center" wrapText="1"/>
    </xf>
    <xf numFmtId="0" fontId="11" fillId="0" borderId="12" xfId="5" applyFont="1" applyBorder="1" applyAlignment="1">
      <alignment horizontal="center"/>
    </xf>
    <xf numFmtId="0" fontId="12" fillId="0" borderId="24" xfId="3" applyFont="1" applyBorder="1" applyAlignment="1">
      <alignment horizontal="center"/>
    </xf>
    <xf numFmtId="0" fontId="12" fillId="0" borderId="4" xfId="3" applyFont="1" applyBorder="1" applyAlignment="1">
      <alignment horizontal="center"/>
    </xf>
    <xf numFmtId="0" fontId="12" fillId="0" borderId="5" xfId="3" applyFont="1" applyBorder="1"/>
    <xf numFmtId="0" fontId="12" fillId="0" borderId="5" xfId="3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 wrapText="1"/>
    </xf>
    <xf numFmtId="1" fontId="11" fillId="0" borderId="18" xfId="0" applyNumberFormat="1" applyFont="1" applyBorder="1" applyAlignment="1">
      <alignment horizontal="center"/>
    </xf>
    <xf numFmtId="0" fontId="12" fillId="0" borderId="25" xfId="3" applyFont="1" applyBorder="1" applyAlignment="1">
      <alignment horizontal="center"/>
    </xf>
    <xf numFmtId="0" fontId="12" fillId="0" borderId="32" xfId="3" applyFont="1" applyBorder="1" applyAlignment="1">
      <alignment horizontal="center"/>
    </xf>
    <xf numFmtId="0" fontId="12" fillId="0" borderId="11" xfId="3" applyFont="1" applyBorder="1"/>
    <xf numFmtId="0" fontId="12" fillId="0" borderId="11" xfId="3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/>
    </xf>
    <xf numFmtId="1" fontId="11" fillId="0" borderId="11" xfId="0" applyNumberFormat="1" applyFont="1" applyBorder="1" applyAlignment="1">
      <alignment horizontal="center" wrapText="1"/>
    </xf>
    <xf numFmtId="43" fontId="11" fillId="0" borderId="18" xfId="4" applyFont="1" applyBorder="1" applyAlignment="1">
      <alignment horizontal="center"/>
    </xf>
    <xf numFmtId="2" fontId="9" fillId="0" borderId="11" xfId="5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1" xfId="0" applyFont="1" applyBorder="1"/>
    <xf numFmtId="16" fontId="11" fillId="0" borderId="11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1" xfId="0" quotePrefix="1" applyFont="1" applyBorder="1" applyAlignment="1">
      <alignment horizontal="center"/>
    </xf>
    <xf numFmtId="0" fontId="11" fillId="0" borderId="11" xfId="0" quotePrefix="1" applyFont="1" applyBorder="1"/>
    <xf numFmtId="0" fontId="12" fillId="4" borderId="11" xfId="0" applyFont="1" applyFill="1" applyBorder="1"/>
    <xf numFmtId="1" fontId="11" fillId="0" borderId="11" xfId="5" applyNumberFormat="1" applyFont="1" applyBorder="1" applyAlignment="1">
      <alignment horizontal="center"/>
    </xf>
    <xf numFmtId="1" fontId="11" fillId="0" borderId="11" xfId="5" applyNumberFormat="1" applyFont="1" applyBorder="1" applyAlignment="1">
      <alignment horizontal="center" wrapText="1"/>
    </xf>
    <xf numFmtId="49" fontId="11" fillId="0" borderId="25" xfId="5" applyNumberFormat="1" applyFont="1" applyBorder="1" applyAlignment="1">
      <alignment horizontal="center"/>
    </xf>
    <xf numFmtId="49" fontId="11" fillId="0" borderId="32" xfId="5" applyNumberFormat="1" applyFont="1" applyBorder="1" applyAlignment="1">
      <alignment horizontal="center"/>
    </xf>
    <xf numFmtId="0" fontId="9" fillId="4" borderId="11" xfId="5" applyFont="1" applyFill="1" applyBorder="1" applyAlignment="1">
      <alignment horizontal="left"/>
    </xf>
    <xf numFmtId="0" fontId="11" fillId="0" borderId="11" xfId="5" applyFont="1" applyBorder="1" applyAlignment="1">
      <alignment horizontal="center"/>
    </xf>
    <xf numFmtId="165" fontId="11" fillId="0" borderId="11" xfId="5" applyNumberFormat="1" applyFont="1" applyBorder="1" applyAlignment="1">
      <alignment horizontal="center"/>
    </xf>
    <xf numFmtId="0" fontId="11" fillId="4" borderId="11" xfId="6" applyFont="1" applyFill="1" applyBorder="1"/>
    <xf numFmtId="16" fontId="11" fillId="0" borderId="11" xfId="6" applyNumberFormat="1" applyFont="1" applyBorder="1" applyAlignment="1">
      <alignment horizontal="center"/>
    </xf>
    <xf numFmtId="0" fontId="11" fillId="0" borderId="11" xfId="6" applyFont="1" applyBorder="1" applyAlignment="1">
      <alignment horizontal="center"/>
    </xf>
    <xf numFmtId="1" fontId="11" fillId="0" borderId="11" xfId="6" applyNumberFormat="1" applyFont="1" applyBorder="1" applyAlignment="1">
      <alignment horizontal="center"/>
    </xf>
    <xf numFmtId="1" fontId="11" fillId="0" borderId="11" xfId="6" applyNumberFormat="1" applyFont="1" applyBorder="1" applyAlignment="1">
      <alignment horizontal="center" wrapText="1"/>
    </xf>
    <xf numFmtId="49" fontId="9" fillId="0" borderId="31" xfId="5" applyNumberFormat="1" applyFont="1" applyBorder="1" applyAlignment="1">
      <alignment horizontal="center"/>
    </xf>
    <xf numFmtId="49" fontId="9" fillId="0" borderId="37" xfId="5" applyNumberFormat="1" applyFont="1" applyBorder="1" applyAlignment="1">
      <alignment horizontal="center"/>
    </xf>
    <xf numFmtId="0" fontId="10" fillId="4" borderId="11" xfId="5" applyFont="1" applyFill="1" applyBorder="1" applyAlignment="1">
      <alignment vertical="center"/>
    </xf>
    <xf numFmtId="0" fontId="9" fillId="0" borderId="32" xfId="5" applyFont="1" applyBorder="1" applyAlignment="1">
      <alignment horizontal="center"/>
    </xf>
    <xf numFmtId="2" fontId="11" fillId="0" borderId="11" xfId="5" applyNumberFormat="1" applyFont="1" applyBorder="1" applyAlignment="1">
      <alignment horizontal="center"/>
    </xf>
    <xf numFmtId="49" fontId="11" fillId="0" borderId="11" xfId="5" applyNumberFormat="1" applyFont="1" applyBorder="1"/>
    <xf numFmtId="49" fontId="13" fillId="2" borderId="7" xfId="5" applyNumberFormat="1" applyFont="1" applyFill="1" applyBorder="1" applyAlignment="1">
      <alignment horizontal="center" vertical="center"/>
    </xf>
    <xf numFmtId="49" fontId="13" fillId="2" borderId="0" xfId="5" applyNumberFormat="1" applyFont="1" applyFill="1" applyAlignment="1">
      <alignment horizontal="center" vertical="center"/>
    </xf>
    <xf numFmtId="0" fontId="11" fillId="2" borderId="0" xfId="5" applyFont="1" applyFill="1"/>
    <xf numFmtId="1" fontId="11" fillId="2" borderId="0" xfId="5" applyNumberFormat="1" applyFont="1" applyFill="1" applyAlignment="1">
      <alignment horizontal="center"/>
    </xf>
    <xf numFmtId="164" fontId="11" fillId="2" borderId="0" xfId="5" applyNumberFormat="1" applyFont="1" applyFill="1" applyAlignment="1">
      <alignment horizontal="center" wrapText="1"/>
    </xf>
    <xf numFmtId="0" fontId="11" fillId="2" borderId="43" xfId="5" applyFont="1" applyFill="1" applyBorder="1" applyAlignment="1">
      <alignment horizontal="center"/>
    </xf>
    <xf numFmtId="0" fontId="11" fillId="5" borderId="13" xfId="5" applyFont="1" applyFill="1" applyBorder="1" applyAlignment="1">
      <alignment horizontal="center"/>
    </xf>
    <xf numFmtId="0" fontId="11" fillId="5" borderId="14" xfId="5" applyFont="1" applyFill="1" applyBorder="1" applyAlignment="1">
      <alignment horizontal="center"/>
    </xf>
    <xf numFmtId="0" fontId="11" fillId="5" borderId="14" xfId="5" applyFont="1" applyFill="1" applyBorder="1"/>
    <xf numFmtId="0" fontId="9" fillId="5" borderId="14" xfId="5" applyFont="1" applyFill="1" applyBorder="1" applyAlignment="1">
      <alignment horizontal="center"/>
    </xf>
    <xf numFmtId="1" fontId="9" fillId="5" borderId="14" xfId="5" applyNumberFormat="1" applyFont="1" applyFill="1" applyBorder="1" applyAlignment="1">
      <alignment horizontal="center"/>
    </xf>
    <xf numFmtId="164" fontId="11" fillId="5" borderId="14" xfId="5" applyNumberFormat="1" applyFont="1" applyFill="1" applyBorder="1" applyAlignment="1">
      <alignment horizontal="center" wrapText="1"/>
    </xf>
    <xf numFmtId="0" fontId="11" fillId="5" borderId="15" xfId="5" applyFont="1" applyFill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1" fontId="11" fillId="0" borderId="22" xfId="0" applyNumberFormat="1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35" xfId="5" applyFont="1" applyBorder="1" applyAlignment="1">
      <alignment horizontal="left"/>
    </xf>
    <xf numFmtId="0" fontId="11" fillId="0" borderId="9" xfId="5" applyFont="1" applyBorder="1" applyAlignment="1">
      <alignment horizontal="left"/>
    </xf>
    <xf numFmtId="0" fontId="11" fillId="0" borderId="36" xfId="5" applyFont="1" applyBorder="1" applyAlignment="1">
      <alignment horizontal="left"/>
    </xf>
    <xf numFmtId="0" fontId="9" fillId="6" borderId="46" xfId="1" applyFont="1" applyFill="1" applyBorder="1" applyAlignment="1">
      <alignment horizontal="center"/>
    </xf>
    <xf numFmtId="0" fontId="9" fillId="6" borderId="38" xfId="1" applyFont="1" applyFill="1" applyBorder="1" applyAlignment="1">
      <alignment horizontal="center"/>
    </xf>
    <xf numFmtId="0" fontId="11" fillId="0" borderId="31" xfId="0" applyFont="1" applyBorder="1" applyAlignment="1">
      <alignment vertical="center"/>
    </xf>
    <xf numFmtId="0" fontId="11" fillId="0" borderId="37" xfId="0" applyFont="1" applyBorder="1" applyAlignment="1">
      <alignment vertical="center"/>
    </xf>
    <xf numFmtId="0" fontId="11" fillId="0" borderId="34" xfId="0" applyFont="1" applyBorder="1" applyAlignment="1">
      <alignment vertical="center"/>
    </xf>
    <xf numFmtId="0" fontId="11" fillId="0" borderId="31" xfId="0" applyFont="1" applyBorder="1" applyAlignment="1">
      <alignment horizontal="left"/>
    </xf>
    <xf numFmtId="0" fontId="11" fillId="0" borderId="37" xfId="0" applyFont="1" applyBorder="1" applyAlignment="1">
      <alignment horizontal="left"/>
    </xf>
    <xf numFmtId="0" fontId="11" fillId="0" borderId="34" xfId="0" applyFont="1" applyBorder="1" applyAlignment="1">
      <alignment horizontal="left"/>
    </xf>
    <xf numFmtId="0" fontId="9" fillId="0" borderId="31" xfId="5" applyFont="1" applyBorder="1" applyAlignment="1">
      <alignment horizontal="right"/>
    </xf>
    <xf numFmtId="0" fontId="9" fillId="0" borderId="37" xfId="5" applyFont="1" applyBorder="1" applyAlignment="1">
      <alignment horizontal="right"/>
    </xf>
    <xf numFmtId="0" fontId="9" fillId="0" borderId="32" xfId="5" applyFont="1" applyBorder="1" applyAlignment="1">
      <alignment horizontal="right"/>
    </xf>
    <xf numFmtId="0" fontId="11" fillId="0" borderId="11" xfId="5" applyFont="1" applyBorder="1" applyAlignment="1">
      <alignment horizontal="right"/>
    </xf>
    <xf numFmtId="164" fontId="11" fillId="0" borderId="33" xfId="5" applyNumberFormat="1" applyFont="1" applyBorder="1" applyAlignment="1">
      <alignment horizontal="center"/>
    </xf>
    <xf numFmtId="164" fontId="11" fillId="0" borderId="34" xfId="5" applyNumberFormat="1" applyFont="1" applyBorder="1" applyAlignment="1">
      <alignment horizontal="center"/>
    </xf>
    <xf numFmtId="164" fontId="11" fillId="0" borderId="33" xfId="5" applyNumberFormat="1" applyFont="1" applyBorder="1" applyAlignment="1">
      <alignment horizontal="right" wrapText="1"/>
    </xf>
    <xf numFmtId="164" fontId="11" fillId="0" borderId="32" xfId="5" applyNumberFormat="1" applyFont="1" applyBorder="1" applyAlignment="1">
      <alignment horizontal="right" wrapText="1"/>
    </xf>
    <xf numFmtId="0" fontId="9" fillId="0" borderId="42" xfId="5" applyFont="1" applyBorder="1" applyAlignment="1">
      <alignment horizontal="right"/>
    </xf>
    <xf numFmtId="0" fontId="9" fillId="0" borderId="10" xfId="5" applyFont="1" applyBorder="1" applyAlignment="1">
      <alignment horizontal="right"/>
    </xf>
    <xf numFmtId="0" fontId="9" fillId="0" borderId="22" xfId="5" applyFont="1" applyBorder="1" applyAlignment="1">
      <alignment horizontal="right"/>
    </xf>
    <xf numFmtId="0" fontId="11" fillId="0" borderId="22" xfId="5" applyFont="1" applyBorder="1" applyAlignment="1">
      <alignment horizontal="right"/>
    </xf>
    <xf numFmtId="164" fontId="11" fillId="0" borderId="8" xfId="5" applyNumberFormat="1" applyFont="1" applyBorder="1" applyAlignment="1">
      <alignment horizontal="center"/>
    </xf>
    <xf numFmtId="164" fontId="11" fillId="0" borderId="36" xfId="5" applyNumberFormat="1" applyFont="1" applyBorder="1" applyAlignment="1">
      <alignment horizontal="center"/>
    </xf>
    <xf numFmtId="0" fontId="9" fillId="5" borderId="13" xfId="5" applyFont="1" applyFill="1" applyBorder="1" applyAlignment="1">
      <alignment horizontal="left"/>
    </xf>
    <xf numFmtId="0" fontId="9" fillId="5" borderId="14" xfId="5" applyFont="1" applyFill="1" applyBorder="1" applyAlignment="1">
      <alignment horizontal="left"/>
    </xf>
    <xf numFmtId="0" fontId="9" fillId="5" borderId="15" xfId="5" applyFont="1" applyFill="1" applyBorder="1" applyAlignment="1">
      <alignment horizontal="left"/>
    </xf>
    <xf numFmtId="0" fontId="11" fillId="0" borderId="28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30" xfId="0" applyFont="1" applyBorder="1" applyAlignment="1">
      <alignment vertical="center"/>
    </xf>
    <xf numFmtId="0" fontId="9" fillId="0" borderId="40" xfId="5" applyFont="1" applyBorder="1" applyAlignment="1">
      <alignment horizontal="right"/>
    </xf>
    <xf numFmtId="0" fontId="9" fillId="0" borderId="41" xfId="5" applyFont="1" applyBorder="1" applyAlignment="1">
      <alignment horizontal="right"/>
    </xf>
    <xf numFmtId="0" fontId="9" fillId="0" borderId="44" xfId="5" applyFont="1" applyBorder="1" applyAlignment="1">
      <alignment horizontal="right"/>
    </xf>
    <xf numFmtId="164" fontId="11" fillId="0" borderId="18" xfId="5" applyNumberFormat="1" applyFont="1" applyBorder="1" applyAlignment="1">
      <alignment horizontal="right"/>
    </xf>
    <xf numFmtId="0" fontId="11" fillId="2" borderId="29" xfId="5" applyFont="1" applyFill="1" applyBorder="1" applyAlignment="1">
      <alignment horizontal="center"/>
    </xf>
    <xf numFmtId="0" fontId="11" fillId="2" borderId="45" xfId="5" applyFont="1" applyFill="1" applyBorder="1" applyAlignment="1">
      <alignment horizontal="center"/>
    </xf>
    <xf numFmtId="0" fontId="6" fillId="2" borderId="0" xfId="2" applyFont="1" applyFill="1" applyAlignment="1">
      <alignment horizontal="right"/>
    </xf>
    <xf numFmtId="0" fontId="7" fillId="2" borderId="27" xfId="2" applyFont="1" applyFill="1" applyBorder="1" applyAlignment="1">
      <alignment horizontal="center"/>
    </xf>
    <xf numFmtId="0" fontId="6" fillId="2" borderId="0" xfId="2" applyFont="1" applyFill="1"/>
    <xf numFmtId="0" fontId="5" fillId="5" borderId="24" xfId="5" applyFont="1" applyFill="1" applyBorder="1" applyAlignment="1">
      <alignment horizontal="center" vertical="center"/>
    </xf>
    <xf numFmtId="0" fontId="5" fillId="5" borderId="42" xfId="5" applyFont="1" applyFill="1" applyBorder="1" applyAlignment="1">
      <alignment horizontal="center" vertical="center"/>
    </xf>
    <xf numFmtId="0" fontId="5" fillId="5" borderId="24" xfId="5" applyFont="1" applyFill="1" applyBorder="1" applyAlignment="1">
      <alignment horizontal="center" vertical="center" wrapText="1"/>
    </xf>
    <xf numFmtId="0" fontId="5" fillId="5" borderId="42" xfId="5" applyFont="1" applyFill="1" applyBorder="1" applyAlignment="1">
      <alignment horizontal="center" vertical="center" wrapText="1"/>
    </xf>
    <xf numFmtId="0" fontId="5" fillId="5" borderId="5" xfId="5" applyFont="1" applyFill="1" applyBorder="1" applyAlignment="1">
      <alignment horizontal="center" vertical="center"/>
    </xf>
    <xf numFmtId="0" fontId="5" fillId="5" borderId="22" xfId="5" applyFont="1" applyFill="1" applyBorder="1" applyAlignment="1">
      <alignment horizontal="center" vertical="center"/>
    </xf>
    <xf numFmtId="14" fontId="3" fillId="2" borderId="17" xfId="1" applyNumberFormat="1" applyFont="1" applyFill="1" applyBorder="1" applyAlignment="1">
      <alignment horizontal="center" vertical="center" wrapText="1"/>
    </xf>
    <xf numFmtId="14" fontId="3" fillId="2" borderId="20" xfId="1" applyNumberFormat="1" applyFont="1" applyFill="1" applyBorder="1" applyAlignment="1">
      <alignment horizontal="center" vertical="center" wrapText="1"/>
    </xf>
    <xf numFmtId="14" fontId="3" fillId="2" borderId="26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3" fillId="2" borderId="33" xfId="1" applyFont="1" applyFill="1" applyBorder="1" applyAlignment="1">
      <alignment horizontal="left"/>
    </xf>
    <xf numFmtId="0" fontId="3" fillId="2" borderId="37" xfId="1" applyFont="1" applyFill="1" applyBorder="1" applyAlignment="1">
      <alignment horizontal="left"/>
    </xf>
    <xf numFmtId="0" fontId="3" fillId="2" borderId="32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center"/>
    </xf>
    <xf numFmtId="0" fontId="3" fillId="2" borderId="38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40" xfId="1" applyFont="1" applyFill="1" applyBorder="1" applyAlignment="1">
      <alignment horizontal="center"/>
    </xf>
    <xf numFmtId="0" fontId="3" fillId="2" borderId="41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4" fillId="2" borderId="39" xfId="1" applyFont="1" applyFill="1" applyBorder="1" applyAlignment="1">
      <alignment horizontal="center"/>
    </xf>
    <xf numFmtId="0" fontId="5" fillId="2" borderId="16" xfId="1" applyFont="1" applyFill="1" applyBorder="1" applyAlignment="1">
      <alignment horizontal="right" vertical="top" wrapText="1"/>
    </xf>
    <xf numFmtId="0" fontId="5" fillId="2" borderId="19" xfId="1" applyFont="1" applyFill="1" applyBorder="1" applyAlignment="1">
      <alignment horizontal="right" vertical="top" wrapText="1"/>
    </xf>
    <xf numFmtId="0" fontId="5" fillId="2" borderId="21" xfId="1" applyFont="1" applyFill="1" applyBorder="1" applyAlignment="1">
      <alignment horizontal="right" vertical="top" wrapText="1"/>
    </xf>
    <xf numFmtId="0" fontId="11" fillId="2" borderId="11" xfId="1" applyFont="1" applyFill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4" fillId="3" borderId="13" xfId="1" applyFont="1" applyFill="1" applyBorder="1" applyAlignment="1">
      <alignment horizontal="center" vertical="center" wrapText="1"/>
    </xf>
    <xf numFmtId="0" fontId="14" fillId="3" borderId="14" xfId="1" applyFont="1" applyFill="1" applyBorder="1" applyAlignment="1">
      <alignment horizontal="center" vertical="center" wrapText="1"/>
    </xf>
    <xf numFmtId="0" fontId="14" fillId="3" borderId="15" xfId="1" applyFont="1" applyFill="1" applyBorder="1" applyAlignment="1">
      <alignment horizontal="center" vertical="center" wrapText="1"/>
    </xf>
  </cellXfs>
  <cellStyles count="7">
    <cellStyle name="Millares" xfId="4" builtinId="3"/>
    <cellStyle name="Normal" xfId="0" builtinId="0"/>
    <cellStyle name="Normal 2" xfId="5" xr:uid="{4423B355-0C0D-4441-A178-8AB53C2E72D4}"/>
    <cellStyle name="Normal 3" xfId="3" xr:uid="{636925FC-F997-432A-9E0B-418A2F499EEB}"/>
    <cellStyle name="Normal 3 2" xfId="6" xr:uid="{EE6DF372-388C-4D70-BBC1-D50906BC8BCC}"/>
    <cellStyle name="Normal_CRITERIOS DE EVALUACION PT DE GB" xfId="1" xr:uid="{91DDA85E-CA0F-482D-93AA-86D311BCC0AC}"/>
    <cellStyle name="Normal_CRITERIOS DE EVALUACION PT DE GB 2" xfId="2" xr:uid="{6693FE50-0EF8-4A8D-B42F-597477127A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149490</xdr:colOff>
      <xdr:row>0</xdr:row>
      <xdr:rowOff>136261</xdr:rowOff>
    </xdr:from>
    <xdr:to>
      <xdr:col>1</xdr:col>
      <xdr:colOff>1030115</xdr:colOff>
      <xdr:row>4</xdr:row>
      <xdr:rowOff>59532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0E11189-9DCF-4F95-930B-D8409862B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490" y="136261"/>
          <a:ext cx="2023625" cy="9353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223B-D2B5-43EA-B9DC-1386765F99A5}">
  <sheetPr>
    <pageSetUpPr fitToPage="1"/>
  </sheetPr>
  <dimension ref="A1:I58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7.140625" bestFit="1" customWidth="1"/>
    <col min="2" max="2" width="17.7109375" bestFit="1" customWidth="1"/>
    <col min="3" max="3" width="65.28515625" customWidth="1"/>
    <col min="4" max="4" width="25.5703125" customWidth="1"/>
    <col min="5" max="5" width="14.42578125" customWidth="1"/>
    <col min="7" max="7" width="21.7109375" customWidth="1"/>
    <col min="8" max="8" width="15.140625" customWidth="1"/>
    <col min="9" max="9" width="18" customWidth="1"/>
  </cols>
  <sheetData>
    <row r="1" spans="1:9" ht="15.75" x14ac:dyDescent="0.25">
      <c r="A1" s="131"/>
      <c r="B1" s="132"/>
      <c r="C1" s="137" t="s">
        <v>0</v>
      </c>
      <c r="D1" s="137"/>
      <c r="E1" s="137"/>
      <c r="F1" s="137"/>
      <c r="G1" s="137"/>
      <c r="H1" s="3" t="s">
        <v>1</v>
      </c>
      <c r="I1" s="1" t="s">
        <v>98</v>
      </c>
    </row>
    <row r="2" spans="1:9" ht="16.5" thickBot="1" x14ac:dyDescent="0.3">
      <c r="A2" s="133"/>
      <c r="B2" s="134"/>
      <c r="C2" s="138" t="s">
        <v>2</v>
      </c>
      <c r="D2" s="138"/>
      <c r="E2" s="138"/>
      <c r="F2" s="138"/>
      <c r="G2" s="138"/>
      <c r="H2" s="4" t="s">
        <v>3</v>
      </c>
      <c r="I2" s="2" t="s">
        <v>110</v>
      </c>
    </row>
    <row r="3" spans="1:9" ht="32.25" customHeight="1" thickBot="1" x14ac:dyDescent="0.3">
      <c r="A3" s="133"/>
      <c r="B3" s="134"/>
      <c r="C3" s="144" t="s">
        <v>69</v>
      </c>
      <c r="D3" s="145"/>
      <c r="E3" s="145"/>
      <c r="F3" s="145"/>
      <c r="G3" s="146"/>
      <c r="H3" s="139" t="s">
        <v>4</v>
      </c>
      <c r="I3" s="122">
        <v>45609</v>
      </c>
    </row>
    <row r="4" spans="1:9" x14ac:dyDescent="0.25">
      <c r="A4" s="133"/>
      <c r="B4" s="134"/>
      <c r="C4" s="5" t="s">
        <v>5</v>
      </c>
      <c r="D4" s="125" t="s">
        <v>99</v>
      </c>
      <c r="E4" s="126"/>
      <c r="F4" s="126"/>
      <c r="G4" s="127"/>
      <c r="H4" s="140"/>
      <c r="I4" s="123"/>
    </row>
    <row r="5" spans="1:9" ht="15.75" thickBot="1" x14ac:dyDescent="0.3">
      <c r="A5" s="135"/>
      <c r="B5" s="136"/>
      <c r="C5" s="6" t="s">
        <v>6</v>
      </c>
      <c r="D5" s="128" t="s">
        <v>100</v>
      </c>
      <c r="E5" s="129"/>
      <c r="F5" s="129"/>
      <c r="G5" s="130"/>
      <c r="H5" s="141"/>
      <c r="I5" s="124"/>
    </row>
    <row r="6" spans="1:9" ht="18.75" thickBot="1" x14ac:dyDescent="0.3">
      <c r="A6" s="113" t="s">
        <v>7</v>
      </c>
      <c r="B6" s="113"/>
      <c r="C6" s="113"/>
      <c r="D6" s="114" t="s">
        <v>101</v>
      </c>
      <c r="E6" s="114"/>
      <c r="F6" s="114"/>
      <c r="G6" s="115" t="s">
        <v>8</v>
      </c>
      <c r="H6" s="115"/>
      <c r="I6" s="7" t="s">
        <v>102</v>
      </c>
    </row>
    <row r="7" spans="1:9" ht="30.75" customHeight="1" x14ac:dyDescent="0.25">
      <c r="A7" s="116" t="s">
        <v>9</v>
      </c>
      <c r="B7" s="118" t="s">
        <v>103</v>
      </c>
      <c r="C7" s="120" t="s">
        <v>10</v>
      </c>
      <c r="D7" s="120" t="s">
        <v>11</v>
      </c>
      <c r="E7" s="120" t="s">
        <v>12</v>
      </c>
      <c r="F7" s="120"/>
      <c r="G7" s="120" t="s">
        <v>13</v>
      </c>
      <c r="H7" s="120"/>
      <c r="I7" s="8" t="s">
        <v>14</v>
      </c>
    </row>
    <row r="8" spans="1:9" ht="27" thickBot="1" x14ac:dyDescent="0.3">
      <c r="A8" s="117"/>
      <c r="B8" s="119"/>
      <c r="C8" s="121"/>
      <c r="D8" s="121"/>
      <c r="E8" s="9" t="s">
        <v>15</v>
      </c>
      <c r="F8" s="10" t="s">
        <v>16</v>
      </c>
      <c r="G8" s="9" t="s">
        <v>15</v>
      </c>
      <c r="H8" s="10" t="s">
        <v>16</v>
      </c>
      <c r="I8" s="11" t="s">
        <v>17</v>
      </c>
    </row>
    <row r="9" spans="1:9" ht="21" thickBot="1" x14ac:dyDescent="0.35">
      <c r="A9" s="12"/>
      <c r="B9" s="13"/>
      <c r="C9" s="14" t="s">
        <v>104</v>
      </c>
      <c r="D9" s="15"/>
      <c r="E9" s="16"/>
      <c r="F9" s="17"/>
      <c r="G9" s="16"/>
      <c r="H9" s="17"/>
      <c r="I9" s="18"/>
    </row>
    <row r="10" spans="1:9" ht="20.25" x14ac:dyDescent="0.3">
      <c r="A10" s="19" t="s">
        <v>18</v>
      </c>
      <c r="B10" s="20" t="s">
        <v>70</v>
      </c>
      <c r="C10" s="21" t="s">
        <v>88</v>
      </c>
      <c r="D10" s="22" t="s">
        <v>19</v>
      </c>
      <c r="E10" s="23">
        <v>300</v>
      </c>
      <c r="F10" s="24" t="s">
        <v>20</v>
      </c>
      <c r="G10" s="25"/>
      <c r="H10" s="17"/>
      <c r="I10" s="18"/>
    </row>
    <row r="11" spans="1:9" ht="20.25" x14ac:dyDescent="0.3">
      <c r="A11" s="26" t="s">
        <v>21</v>
      </c>
      <c r="B11" s="27" t="s">
        <v>71</v>
      </c>
      <c r="C11" s="28" t="s">
        <v>89</v>
      </c>
      <c r="D11" s="29" t="s">
        <v>22</v>
      </c>
      <c r="E11" s="30">
        <v>1500</v>
      </c>
      <c r="F11" s="31" t="s">
        <v>20</v>
      </c>
      <c r="G11" s="25"/>
      <c r="H11" s="17"/>
      <c r="I11" s="18"/>
    </row>
    <row r="12" spans="1:9" ht="20.25" x14ac:dyDescent="0.3">
      <c r="A12" s="26" t="s">
        <v>23</v>
      </c>
      <c r="B12" s="27" t="s">
        <v>72</v>
      </c>
      <c r="C12" s="28" t="s">
        <v>87</v>
      </c>
      <c r="D12" s="29" t="s">
        <v>22</v>
      </c>
      <c r="E12" s="30">
        <v>900</v>
      </c>
      <c r="F12" s="31" t="s">
        <v>20</v>
      </c>
      <c r="G12" s="25"/>
      <c r="H12" s="17"/>
      <c r="I12" s="18"/>
    </row>
    <row r="13" spans="1:9" ht="20.25" x14ac:dyDescent="0.3">
      <c r="A13" s="26" t="s">
        <v>24</v>
      </c>
      <c r="B13" s="27" t="s">
        <v>73</v>
      </c>
      <c r="C13" s="28" t="s">
        <v>86</v>
      </c>
      <c r="D13" s="29" t="s">
        <v>22</v>
      </c>
      <c r="E13" s="30">
        <v>300</v>
      </c>
      <c r="F13" s="31" t="s">
        <v>20</v>
      </c>
      <c r="G13" s="25"/>
      <c r="H13" s="17"/>
      <c r="I13" s="18"/>
    </row>
    <row r="14" spans="1:9" ht="20.25" x14ac:dyDescent="0.3">
      <c r="A14" s="26" t="s">
        <v>25</v>
      </c>
      <c r="B14" s="27" t="s">
        <v>74</v>
      </c>
      <c r="C14" s="28" t="s">
        <v>85</v>
      </c>
      <c r="D14" s="29" t="s">
        <v>22</v>
      </c>
      <c r="E14" s="30">
        <v>60</v>
      </c>
      <c r="F14" s="31" t="s">
        <v>20</v>
      </c>
      <c r="G14" s="25"/>
      <c r="H14" s="17"/>
      <c r="I14" s="18"/>
    </row>
    <row r="15" spans="1:9" ht="20.25" x14ac:dyDescent="0.3">
      <c r="A15" s="26" t="s">
        <v>83</v>
      </c>
      <c r="B15" s="27" t="s">
        <v>84</v>
      </c>
      <c r="C15" s="28" t="s">
        <v>90</v>
      </c>
      <c r="D15" s="29" t="s">
        <v>67</v>
      </c>
      <c r="E15" s="30">
        <v>80</v>
      </c>
      <c r="F15" s="31" t="s">
        <v>20</v>
      </c>
      <c r="G15" s="25"/>
      <c r="H15" s="17"/>
      <c r="I15" s="18"/>
    </row>
    <row r="16" spans="1:9" ht="20.25" x14ac:dyDescent="0.3">
      <c r="A16" s="26" t="s">
        <v>26</v>
      </c>
      <c r="B16" s="27" t="s">
        <v>75</v>
      </c>
      <c r="C16" s="28" t="s">
        <v>27</v>
      </c>
      <c r="D16" s="29" t="s">
        <v>28</v>
      </c>
      <c r="E16" s="30">
        <v>42</v>
      </c>
      <c r="F16" s="31" t="s">
        <v>20</v>
      </c>
      <c r="G16" s="32"/>
      <c r="H16" s="17"/>
      <c r="I16" s="18"/>
    </row>
    <row r="17" spans="1:9" ht="20.25" x14ac:dyDescent="0.3">
      <c r="A17" s="26" t="s">
        <v>29</v>
      </c>
      <c r="B17" s="27" t="s">
        <v>76</v>
      </c>
      <c r="C17" s="28" t="s">
        <v>91</v>
      </c>
      <c r="D17" s="29" t="s">
        <v>30</v>
      </c>
      <c r="E17" s="30">
        <v>6</v>
      </c>
      <c r="F17" s="31" t="s">
        <v>20</v>
      </c>
      <c r="G17" s="33"/>
      <c r="H17" s="17"/>
      <c r="I17" s="18"/>
    </row>
    <row r="18" spans="1:9" ht="20.25" x14ac:dyDescent="0.3">
      <c r="A18" s="26" t="s">
        <v>31</v>
      </c>
      <c r="B18" s="27" t="s">
        <v>77</v>
      </c>
      <c r="C18" s="28" t="s">
        <v>92</v>
      </c>
      <c r="D18" s="29" t="s">
        <v>32</v>
      </c>
      <c r="E18" s="30">
        <v>12</v>
      </c>
      <c r="F18" s="31" t="s">
        <v>20</v>
      </c>
      <c r="G18" s="33"/>
      <c r="H18" s="17"/>
      <c r="I18" s="18"/>
    </row>
    <row r="19" spans="1:9" ht="20.25" x14ac:dyDescent="0.3">
      <c r="A19" s="26" t="s">
        <v>33</v>
      </c>
      <c r="B19" s="27" t="s">
        <v>78</v>
      </c>
      <c r="C19" s="28" t="s">
        <v>93</v>
      </c>
      <c r="D19" s="29" t="s">
        <v>34</v>
      </c>
      <c r="E19" s="30">
        <v>876</v>
      </c>
      <c r="F19" s="31" t="s">
        <v>20</v>
      </c>
      <c r="G19" s="33"/>
      <c r="H19" s="17"/>
      <c r="I19" s="18"/>
    </row>
    <row r="20" spans="1:9" ht="20.25" x14ac:dyDescent="0.3">
      <c r="A20" s="26" t="s">
        <v>35</v>
      </c>
      <c r="B20" s="27" t="s">
        <v>79</v>
      </c>
      <c r="C20" s="28" t="s">
        <v>94</v>
      </c>
      <c r="D20" s="29" t="s">
        <v>22</v>
      </c>
      <c r="E20" s="30">
        <v>264</v>
      </c>
      <c r="F20" s="31" t="s">
        <v>20</v>
      </c>
      <c r="G20" s="33"/>
      <c r="H20" s="17"/>
      <c r="I20" s="18"/>
    </row>
    <row r="21" spans="1:9" ht="20.25" x14ac:dyDescent="0.3">
      <c r="A21" s="26" t="s">
        <v>36</v>
      </c>
      <c r="B21" s="27" t="s">
        <v>80</v>
      </c>
      <c r="C21" s="28" t="s">
        <v>37</v>
      </c>
      <c r="D21" s="29" t="s">
        <v>22</v>
      </c>
      <c r="E21" s="30">
        <v>132</v>
      </c>
      <c r="F21" s="31" t="s">
        <v>20</v>
      </c>
      <c r="G21" s="33"/>
      <c r="H21" s="17"/>
      <c r="I21" s="18"/>
    </row>
    <row r="22" spans="1:9" ht="20.25" x14ac:dyDescent="0.3">
      <c r="A22" s="26"/>
      <c r="B22" s="27"/>
      <c r="C22" s="28"/>
      <c r="D22" s="29"/>
      <c r="E22" s="30"/>
      <c r="F22" s="31"/>
      <c r="G22" s="33"/>
      <c r="H22" s="17"/>
      <c r="I22" s="18"/>
    </row>
    <row r="23" spans="1:9" ht="20.25" x14ac:dyDescent="0.3">
      <c r="A23" s="26">
        <v>90100296</v>
      </c>
      <c r="B23" s="27" t="s">
        <v>81</v>
      </c>
      <c r="C23" s="28" t="s">
        <v>39</v>
      </c>
      <c r="D23" s="29" t="s">
        <v>38</v>
      </c>
      <c r="E23" s="30">
        <v>3000</v>
      </c>
      <c r="F23" s="31" t="s">
        <v>20</v>
      </c>
      <c r="G23" s="33"/>
      <c r="H23" s="17"/>
      <c r="I23" s="18"/>
    </row>
    <row r="24" spans="1:9" ht="20.25" x14ac:dyDescent="0.3">
      <c r="A24" s="26">
        <v>90100295</v>
      </c>
      <c r="B24" s="27" t="s">
        <v>82</v>
      </c>
      <c r="C24" s="28" t="s">
        <v>40</v>
      </c>
      <c r="D24" s="29" t="s">
        <v>38</v>
      </c>
      <c r="E24" s="30">
        <v>6480</v>
      </c>
      <c r="F24" s="31" t="s">
        <v>20</v>
      </c>
      <c r="G24" s="16"/>
      <c r="H24" s="17"/>
      <c r="I24" s="18"/>
    </row>
    <row r="25" spans="1:9" ht="20.25" x14ac:dyDescent="0.3">
      <c r="A25" s="34"/>
      <c r="B25" s="34"/>
      <c r="C25" s="35"/>
      <c r="D25" s="36"/>
      <c r="E25" s="37"/>
      <c r="F25" s="31"/>
      <c r="G25" s="16"/>
      <c r="H25" s="17"/>
      <c r="I25" s="18"/>
    </row>
    <row r="26" spans="1:9" ht="20.25" x14ac:dyDescent="0.3">
      <c r="A26" s="38"/>
      <c r="B26" s="34"/>
      <c r="C26" s="39"/>
      <c r="D26" s="36"/>
      <c r="E26" s="30"/>
      <c r="F26" s="31"/>
      <c r="G26" s="16"/>
      <c r="H26" s="17"/>
      <c r="I26" s="18"/>
    </row>
    <row r="27" spans="1:9" ht="20.25" x14ac:dyDescent="0.3">
      <c r="A27" s="34"/>
      <c r="B27" s="34"/>
      <c r="C27" s="40"/>
      <c r="D27" s="41"/>
      <c r="E27" s="41"/>
      <c r="F27" s="42"/>
      <c r="G27" s="16"/>
      <c r="H27" s="17"/>
      <c r="I27" s="18"/>
    </row>
    <row r="28" spans="1:9" ht="20.25" x14ac:dyDescent="0.3">
      <c r="A28" s="43"/>
      <c r="B28" s="44"/>
      <c r="C28" s="45" t="s">
        <v>105</v>
      </c>
      <c r="D28" s="46"/>
      <c r="E28" s="47"/>
      <c r="F28" s="42"/>
      <c r="G28" s="16"/>
      <c r="H28" s="17"/>
      <c r="I28" s="18"/>
    </row>
    <row r="29" spans="1:9" ht="20.25" x14ac:dyDescent="0.3">
      <c r="A29" s="50"/>
      <c r="B29" s="50"/>
      <c r="C29" s="48"/>
      <c r="D29" s="49"/>
      <c r="E29" s="41"/>
      <c r="F29" s="42"/>
      <c r="G29" s="16"/>
      <c r="H29" s="17"/>
      <c r="I29" s="18"/>
    </row>
    <row r="30" spans="1:9" ht="20.25" x14ac:dyDescent="0.3">
      <c r="A30" s="34"/>
      <c r="B30" s="34"/>
      <c r="C30" s="40"/>
      <c r="D30" s="41"/>
      <c r="E30" s="46"/>
      <c r="F30" s="42"/>
      <c r="G30" s="16"/>
      <c r="H30" s="17"/>
      <c r="I30" s="18"/>
    </row>
    <row r="31" spans="1:9" ht="20.25" x14ac:dyDescent="0.3">
      <c r="A31" s="34"/>
      <c r="B31" s="34"/>
      <c r="C31" s="40"/>
      <c r="D31" s="36"/>
      <c r="E31" s="51"/>
      <c r="F31" s="52"/>
      <c r="G31" s="16"/>
      <c r="H31" s="17"/>
      <c r="I31" s="18"/>
    </row>
    <row r="32" spans="1:9" ht="20.25" x14ac:dyDescent="0.3">
      <c r="A32" s="53"/>
      <c r="B32" s="54"/>
      <c r="C32" s="55" t="s">
        <v>102</v>
      </c>
      <c r="D32" s="56"/>
      <c r="E32" s="16"/>
      <c r="F32" s="17"/>
      <c r="G32" s="16"/>
      <c r="H32" s="17"/>
      <c r="I32" s="18"/>
    </row>
    <row r="33" spans="1:9" ht="20.25" x14ac:dyDescent="0.3">
      <c r="A33" s="26">
        <v>512000002</v>
      </c>
      <c r="B33" s="27" t="s">
        <v>95</v>
      </c>
      <c r="C33" s="28" t="s">
        <v>41</v>
      </c>
      <c r="D33" s="29" t="s">
        <v>42</v>
      </c>
      <c r="E33" s="30">
        <v>60</v>
      </c>
      <c r="F33" s="31" t="s">
        <v>43</v>
      </c>
      <c r="G33" s="57"/>
      <c r="H33" s="46"/>
      <c r="I33" s="18"/>
    </row>
    <row r="34" spans="1:9" ht="20.25" x14ac:dyDescent="0.3">
      <c r="A34" s="26" t="s">
        <v>44</v>
      </c>
      <c r="B34" s="27" t="s">
        <v>96</v>
      </c>
      <c r="C34" s="28" t="s">
        <v>45</v>
      </c>
      <c r="D34" s="29" t="s">
        <v>46</v>
      </c>
      <c r="E34" s="30">
        <v>1</v>
      </c>
      <c r="F34" s="31" t="s">
        <v>47</v>
      </c>
      <c r="G34" s="57"/>
      <c r="H34" s="46"/>
      <c r="I34" s="18"/>
    </row>
    <row r="35" spans="1:9" ht="20.25" x14ac:dyDescent="0.3">
      <c r="A35" s="26" t="s">
        <v>48</v>
      </c>
      <c r="B35" s="27" t="s">
        <v>97</v>
      </c>
      <c r="C35" s="28" t="s">
        <v>49</v>
      </c>
      <c r="D35" s="29" t="s">
        <v>46</v>
      </c>
      <c r="E35" s="30">
        <v>2</v>
      </c>
      <c r="F35" s="31" t="s">
        <v>47</v>
      </c>
      <c r="G35" s="16"/>
      <c r="H35" s="17"/>
      <c r="I35" s="18"/>
    </row>
    <row r="36" spans="1:9" ht="20.25" x14ac:dyDescent="0.3">
      <c r="A36" s="43"/>
      <c r="B36" s="44"/>
      <c r="C36" s="58"/>
      <c r="D36" s="46"/>
      <c r="E36" s="41"/>
      <c r="F36" s="42"/>
      <c r="G36" s="41"/>
      <c r="H36" s="46"/>
      <c r="I36" s="18"/>
    </row>
    <row r="37" spans="1:9" ht="20.25" x14ac:dyDescent="0.3">
      <c r="A37" s="43"/>
      <c r="B37" s="44"/>
      <c r="C37" s="58"/>
      <c r="D37" s="46"/>
      <c r="E37" s="41"/>
      <c r="F37" s="42"/>
      <c r="G37" s="41"/>
      <c r="H37" s="42"/>
      <c r="I37" s="18"/>
    </row>
    <row r="38" spans="1:9" ht="20.25" x14ac:dyDescent="0.3">
      <c r="A38" s="43"/>
      <c r="B38" s="44"/>
      <c r="C38" s="58"/>
      <c r="D38" s="46"/>
      <c r="E38" s="46"/>
      <c r="F38" s="42"/>
      <c r="G38" s="46"/>
      <c r="H38" s="46"/>
      <c r="I38" s="18"/>
    </row>
    <row r="39" spans="1:9" ht="21" thickBot="1" x14ac:dyDescent="0.35">
      <c r="A39" s="59"/>
      <c r="B39" s="60"/>
      <c r="C39" s="61"/>
      <c r="D39" s="61"/>
      <c r="E39" s="62"/>
      <c r="F39" s="63"/>
      <c r="G39" s="61"/>
      <c r="H39" s="61"/>
      <c r="I39" s="64"/>
    </row>
    <row r="40" spans="1:9" ht="21" thickBot="1" x14ac:dyDescent="0.35">
      <c r="A40" s="65"/>
      <c r="B40" s="66"/>
      <c r="C40" s="67"/>
      <c r="D40" s="68" t="s">
        <v>15</v>
      </c>
      <c r="E40" s="69" t="s">
        <v>106</v>
      </c>
      <c r="F40" s="70"/>
      <c r="G40" s="67"/>
      <c r="H40" s="67"/>
      <c r="I40" s="71"/>
    </row>
    <row r="41" spans="1:9" ht="20.25" x14ac:dyDescent="0.3">
      <c r="A41" s="107" t="s">
        <v>50</v>
      </c>
      <c r="B41" s="108"/>
      <c r="C41" s="109"/>
      <c r="D41" s="25">
        <v>12650</v>
      </c>
      <c r="E41" s="72" t="s">
        <v>20</v>
      </c>
      <c r="F41" s="110" t="s">
        <v>51</v>
      </c>
      <c r="G41" s="110"/>
      <c r="H41" s="111"/>
      <c r="I41" s="112"/>
    </row>
    <row r="42" spans="1:9" ht="20.25" x14ac:dyDescent="0.3">
      <c r="A42" s="87" t="s">
        <v>52</v>
      </c>
      <c r="B42" s="88"/>
      <c r="C42" s="89"/>
      <c r="D42" s="73">
        <v>15</v>
      </c>
      <c r="E42" s="37" t="s">
        <v>53</v>
      </c>
      <c r="F42" s="90" t="s">
        <v>54</v>
      </c>
      <c r="G42" s="90"/>
      <c r="H42" s="91"/>
      <c r="I42" s="92"/>
    </row>
    <row r="43" spans="1:9" ht="20.25" x14ac:dyDescent="0.3">
      <c r="A43" s="87" t="s">
        <v>55</v>
      </c>
      <c r="B43" s="88"/>
      <c r="C43" s="89"/>
      <c r="D43" s="37">
        <v>1</v>
      </c>
      <c r="E43" s="37" t="s">
        <v>56</v>
      </c>
      <c r="F43" s="90" t="s">
        <v>57</v>
      </c>
      <c r="G43" s="90"/>
      <c r="H43" s="91"/>
      <c r="I43" s="92"/>
    </row>
    <row r="44" spans="1:9" ht="20.25" x14ac:dyDescent="0.3">
      <c r="A44" s="87" t="s">
        <v>58</v>
      </c>
      <c r="B44" s="88"/>
      <c r="C44" s="89"/>
      <c r="D44" s="37">
        <v>12650</v>
      </c>
      <c r="E44" s="37" t="s">
        <v>20</v>
      </c>
      <c r="F44" s="93" t="s">
        <v>59</v>
      </c>
      <c r="G44" s="94"/>
      <c r="H44" s="91"/>
      <c r="I44" s="92"/>
    </row>
    <row r="45" spans="1:9" ht="21" thickBot="1" x14ac:dyDescent="0.35">
      <c r="A45" s="95" t="s">
        <v>60</v>
      </c>
      <c r="B45" s="96"/>
      <c r="C45" s="97"/>
      <c r="D45" s="74">
        <f>SUM(E10:E24)-D41</f>
        <v>1302</v>
      </c>
      <c r="E45" s="75" t="s">
        <v>20</v>
      </c>
      <c r="F45" s="98"/>
      <c r="G45" s="98"/>
      <c r="H45" s="99"/>
      <c r="I45" s="100"/>
    </row>
    <row r="46" spans="1:9" ht="21" thickBot="1" x14ac:dyDescent="0.35">
      <c r="A46" s="101" t="s">
        <v>61</v>
      </c>
      <c r="B46" s="102"/>
      <c r="C46" s="102"/>
      <c r="D46" s="102"/>
      <c r="E46" s="102"/>
      <c r="F46" s="102"/>
      <c r="G46" s="102"/>
      <c r="H46" s="102"/>
      <c r="I46" s="103"/>
    </row>
    <row r="47" spans="1:9" ht="20.25" x14ac:dyDescent="0.25">
      <c r="A47" s="104" t="s">
        <v>62</v>
      </c>
      <c r="B47" s="105"/>
      <c r="C47" s="105"/>
      <c r="D47" s="105"/>
      <c r="E47" s="105"/>
      <c r="F47" s="105"/>
      <c r="G47" s="105"/>
      <c r="H47" s="105"/>
      <c r="I47" s="106"/>
    </row>
    <row r="48" spans="1:9" ht="20.25" x14ac:dyDescent="0.25">
      <c r="A48" s="81" t="s">
        <v>63</v>
      </c>
      <c r="B48" s="82"/>
      <c r="C48" s="82"/>
      <c r="D48" s="82"/>
      <c r="E48" s="82"/>
      <c r="F48" s="82"/>
      <c r="G48" s="82"/>
      <c r="H48" s="82"/>
      <c r="I48" s="83"/>
    </row>
    <row r="49" spans="1:9" ht="20.25" x14ac:dyDescent="0.25">
      <c r="A49" s="81" t="s">
        <v>107</v>
      </c>
      <c r="B49" s="82"/>
      <c r="C49" s="82"/>
      <c r="D49" s="82"/>
      <c r="E49" s="82"/>
      <c r="F49" s="82"/>
      <c r="G49" s="82"/>
      <c r="H49" s="82"/>
      <c r="I49" s="83"/>
    </row>
    <row r="50" spans="1:9" ht="20.25" x14ac:dyDescent="0.25">
      <c r="A50" s="81" t="s">
        <v>64</v>
      </c>
      <c r="B50" s="82"/>
      <c r="C50" s="82"/>
      <c r="D50" s="82"/>
      <c r="E50" s="82"/>
      <c r="F50" s="82"/>
      <c r="G50" s="82"/>
      <c r="H50" s="82"/>
      <c r="I50" s="83"/>
    </row>
    <row r="51" spans="1:9" ht="20.25" x14ac:dyDescent="0.25">
      <c r="A51" s="81" t="s">
        <v>65</v>
      </c>
      <c r="B51" s="82"/>
      <c r="C51" s="82"/>
      <c r="D51" s="82"/>
      <c r="E51" s="82"/>
      <c r="F51" s="82"/>
      <c r="G51" s="82"/>
      <c r="H51" s="82"/>
      <c r="I51" s="83"/>
    </row>
    <row r="52" spans="1:9" ht="20.25" x14ac:dyDescent="0.3">
      <c r="A52" s="84" t="s">
        <v>68</v>
      </c>
      <c r="B52" s="85"/>
      <c r="C52" s="85"/>
      <c r="D52" s="85"/>
      <c r="E52" s="85"/>
      <c r="F52" s="85"/>
      <c r="G52" s="85"/>
      <c r="H52" s="85"/>
      <c r="I52" s="86"/>
    </row>
    <row r="53" spans="1:9" ht="20.25" x14ac:dyDescent="0.3">
      <c r="A53" s="84" t="s">
        <v>109</v>
      </c>
      <c r="B53" s="85"/>
      <c r="C53" s="85"/>
      <c r="D53" s="85"/>
      <c r="E53" s="85"/>
      <c r="F53" s="85"/>
      <c r="G53" s="85"/>
      <c r="H53" s="85"/>
      <c r="I53" s="86"/>
    </row>
    <row r="54" spans="1:9" ht="20.25" x14ac:dyDescent="0.3">
      <c r="A54" s="143"/>
      <c r="B54" s="143"/>
      <c r="C54" s="143"/>
      <c r="D54" s="143"/>
      <c r="E54" s="143"/>
      <c r="F54" s="143"/>
      <c r="G54" s="143"/>
      <c r="H54" s="143"/>
      <c r="I54" s="143"/>
    </row>
    <row r="55" spans="1:9" ht="21" thickBot="1" x14ac:dyDescent="0.35">
      <c r="A55" s="76"/>
      <c r="B55" s="77"/>
      <c r="C55" s="77"/>
      <c r="D55" s="77"/>
      <c r="E55" s="77"/>
      <c r="F55" s="77"/>
      <c r="G55" s="77"/>
      <c r="H55" s="77"/>
      <c r="I55" s="78"/>
    </row>
    <row r="56" spans="1:9" ht="20.25" x14ac:dyDescent="0.3">
      <c r="A56" s="79" t="s">
        <v>66</v>
      </c>
      <c r="B56" s="80"/>
      <c r="C56" s="80"/>
      <c r="D56" s="80"/>
      <c r="E56" s="80"/>
      <c r="F56" s="80"/>
      <c r="G56" s="80"/>
      <c r="H56" s="80"/>
      <c r="I56" s="80"/>
    </row>
    <row r="57" spans="1:9" ht="20.25" x14ac:dyDescent="0.3">
      <c r="A57" s="142" t="s">
        <v>108</v>
      </c>
      <c r="B57" s="142"/>
      <c r="C57" s="142"/>
      <c r="D57" s="142"/>
      <c r="E57" s="142"/>
      <c r="F57" s="142"/>
      <c r="G57" s="142"/>
      <c r="H57" s="142"/>
      <c r="I57" s="142"/>
    </row>
    <row r="58" spans="1:9" ht="20.25" x14ac:dyDescent="0.3">
      <c r="A58" s="142"/>
      <c r="B58" s="142"/>
      <c r="C58" s="142"/>
      <c r="D58" s="142"/>
      <c r="E58" s="142"/>
      <c r="F58" s="142"/>
      <c r="G58" s="142"/>
      <c r="H58" s="142"/>
      <c r="I58" s="142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25" right="0.25" top="0.75" bottom="0.75" header="0.3" footer="0.3"/>
  <pageSetup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F3FDB4-BA92-4D73-A975-711A643EEF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C2AFDD-52B6-4F8A-9631-DDBB083FEA5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C868ABB8-2D3F-4FDB-8F67-3EDAFC0990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2026-01-28T17:27:26Z</cp:lastPrinted>
  <dcterms:created xsi:type="dcterms:W3CDTF">2020-07-06T21:36:07Z</dcterms:created>
  <dcterms:modified xsi:type="dcterms:W3CDTF">2026-01-28T17:28:25Z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119400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
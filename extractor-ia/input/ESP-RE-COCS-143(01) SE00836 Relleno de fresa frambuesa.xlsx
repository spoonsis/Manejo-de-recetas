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E1C8462A-939C-45C5-B690-794E4B86DFD5}" xr6:coauthVersionLast="47" xr6:coauthVersionMax="47" xr10:uidLastSave="{CCD82181-1288-4231-B48C-157713C002C2}"/>
  <bookViews>
    <workbookView xWindow="20370" yWindow="-120" windowWidth="24240" windowHeight="13020" tabRatio="926" firstSheet="14" activeTab="14" xr2:uid="{00000000-000D-0000-FFFF-FFFF00000000}"/>
  </bookViews>
  <sheets>
    <sheet name="Hoja5" sheetId="24" state="hidden" r:id="rId1"/>
    <sheet name="Costo ensamble " sheetId="22" state="hidden" r:id="rId2"/>
    <sheet name="Rosquete Vainilla Dawn" sheetId="11" state="hidden" r:id="rId3"/>
    <sheet name="Batido Vainilla Dawn" sheetId="12" state="hidden" r:id="rId4"/>
    <sheet name="Costo suspiro" sheetId="21" state="hidden" r:id="rId5"/>
    <sheet name="Trasvasado Leche Condensada " sheetId="13" state="hidden" r:id="rId6"/>
    <sheet name="Leche condensada cocinada " sheetId="14" state="hidden" r:id="rId7"/>
    <sheet name="Ganache Chocolate Blanco" sheetId="15" state="hidden" r:id="rId8"/>
    <sheet name="Crema Beidge " sheetId="16" state="hidden" r:id="rId9"/>
    <sheet name="Crema Blanca supremo" sheetId="17" state="hidden" r:id="rId10"/>
    <sheet name="Salsa de Fresa" sheetId="18" state="hidden" r:id="rId11"/>
    <sheet name="Relleno Fresa Espesa" sheetId="19" state="hidden" r:id="rId12"/>
    <sheet name="Merengue para suspiro" sheetId="9" state="hidden" r:id="rId13"/>
    <sheet name="Premezcla suspiro" sheetId="10" state="hidden" r:id="rId14"/>
    <sheet name="Relleno fresa-frambuesa" sheetId="8" r:id="rId15"/>
    <sheet name="costo Fresa- Frambuesa" sheetId="20" state="hidden" r:id="rId16"/>
  </sheets>
  <externalReferences>
    <externalReference r:id="rId17"/>
    <externalReference r:id="rId18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21" l="1"/>
  <c r="A53" i="22"/>
  <c r="C53" i="22" s="1"/>
  <c r="F53" i="22" s="1"/>
  <c r="A43" i="22"/>
  <c r="C43" i="22" s="1"/>
  <c r="F43" i="22" l="1"/>
  <c r="E23" i="22"/>
  <c r="G69" i="21"/>
  <c r="E29" i="22"/>
  <c r="F29" i="22" s="1"/>
  <c r="D29" i="22"/>
  <c r="C29" i="22"/>
  <c r="B29" i="22"/>
  <c r="M18" i="22"/>
  <c r="D76" i="22" l="1"/>
  <c r="D77" i="22" s="1"/>
  <c r="D79" i="22" s="1"/>
  <c r="D74" i="22"/>
  <c r="D72" i="22"/>
  <c r="F68" i="22"/>
  <c r="C76" i="22" s="1"/>
  <c r="C88" i="22" s="1"/>
  <c r="D63" i="22"/>
  <c r="D86" i="22" s="1"/>
  <c r="C54" i="22"/>
  <c r="A42" i="22"/>
  <c r="A52" i="22" s="1"/>
  <c r="C52" i="22" s="1"/>
  <c r="A41" i="22"/>
  <c r="C41" i="22" s="1"/>
  <c r="A40" i="22"/>
  <c r="C40" i="22" s="1"/>
  <c r="A39" i="22"/>
  <c r="C39" i="22" s="1"/>
  <c r="A38" i="22"/>
  <c r="C38" i="22" s="1"/>
  <c r="A37" i="22"/>
  <c r="A47" i="22" s="1"/>
  <c r="C47" i="22" s="1"/>
  <c r="A36" i="22"/>
  <c r="A46" i="22" s="1"/>
  <c r="C46" i="22" s="1"/>
  <c r="E33" i="22"/>
  <c r="D33" i="22"/>
  <c r="C33" i="22"/>
  <c r="B33" i="22"/>
  <c r="C32" i="22"/>
  <c r="F32" i="22" s="1"/>
  <c r="E31" i="22"/>
  <c r="D31" i="22"/>
  <c r="C31" i="22"/>
  <c r="B31" i="22"/>
  <c r="E30" i="22"/>
  <c r="D30" i="22"/>
  <c r="C30" i="22"/>
  <c r="B30" i="22"/>
  <c r="E28" i="22"/>
  <c r="D28" i="22"/>
  <c r="C28" i="22"/>
  <c r="B28" i="22"/>
  <c r="D27" i="22"/>
  <c r="C27" i="22"/>
  <c r="B27" i="22"/>
  <c r="F24" i="22"/>
  <c r="C24" i="22"/>
  <c r="C23" i="22"/>
  <c r="C22" i="22"/>
  <c r="C21" i="22"/>
  <c r="C20" i="22"/>
  <c r="C19" i="22"/>
  <c r="C18" i="22"/>
  <c r="C17" i="22"/>
  <c r="B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E10" i="22"/>
  <c r="D10" i="22"/>
  <c r="C10" i="22"/>
  <c r="B10" i="22"/>
  <c r="E9" i="22"/>
  <c r="D9" i="22"/>
  <c r="C9" i="22"/>
  <c r="B9" i="22"/>
  <c r="C8" i="22"/>
  <c r="H6" i="22"/>
  <c r="D73" i="21"/>
  <c r="D74" i="21" s="1"/>
  <c r="D76" i="21" s="1"/>
  <c r="D71" i="21"/>
  <c r="D69" i="21"/>
  <c r="F65" i="21"/>
  <c r="E51" i="21" s="1"/>
  <c r="D60" i="21"/>
  <c r="D85" i="21" s="1"/>
  <c r="D86" i="21" s="1"/>
  <c r="C51" i="21"/>
  <c r="E50" i="21"/>
  <c r="F50" i="21" s="1"/>
  <c r="D50" i="21"/>
  <c r="B50" i="21"/>
  <c r="E49" i="21"/>
  <c r="D49" i="21"/>
  <c r="B49" i="21"/>
  <c r="E48" i="21"/>
  <c r="D48" i="21"/>
  <c r="B48" i="21"/>
  <c r="E47" i="21"/>
  <c r="D47" i="21"/>
  <c r="B47" i="21"/>
  <c r="E46" i="21"/>
  <c r="D46" i="21"/>
  <c r="B46" i="21"/>
  <c r="E41" i="21"/>
  <c r="D41" i="21"/>
  <c r="B41" i="21"/>
  <c r="A41" i="21"/>
  <c r="A50" i="21" s="1"/>
  <c r="C50" i="21" s="1"/>
  <c r="E40" i="21"/>
  <c r="D40" i="21"/>
  <c r="B40" i="21"/>
  <c r="A40" i="21"/>
  <c r="C40" i="21" s="1"/>
  <c r="E39" i="21"/>
  <c r="D39" i="21"/>
  <c r="B39" i="21"/>
  <c r="A39" i="21"/>
  <c r="C39" i="21" s="1"/>
  <c r="E38" i="21"/>
  <c r="D38" i="21"/>
  <c r="B38" i="21"/>
  <c r="A38" i="21"/>
  <c r="C38" i="21" s="1"/>
  <c r="E37" i="21"/>
  <c r="D37" i="21"/>
  <c r="B37" i="21"/>
  <c r="A37" i="21"/>
  <c r="A46" i="21" s="1"/>
  <c r="C46" i="21" s="1"/>
  <c r="A36" i="21"/>
  <c r="A45" i="21" s="1"/>
  <c r="C45" i="21" s="1"/>
  <c r="A35" i="21"/>
  <c r="C35" i="21" s="1"/>
  <c r="E32" i="21"/>
  <c r="F32" i="21" s="1"/>
  <c r="D32" i="21"/>
  <c r="C32" i="21"/>
  <c r="B32" i="21"/>
  <c r="E31" i="21"/>
  <c r="D31" i="21"/>
  <c r="C31" i="21"/>
  <c r="B31" i="21"/>
  <c r="E30" i="21"/>
  <c r="D30" i="21"/>
  <c r="C30" i="21"/>
  <c r="B30" i="21"/>
  <c r="E29" i="21"/>
  <c r="D29" i="21"/>
  <c r="C29" i="21"/>
  <c r="B29" i="21"/>
  <c r="E28" i="21"/>
  <c r="F28" i="21" s="1"/>
  <c r="D28" i="21"/>
  <c r="C28" i="21"/>
  <c r="B28" i="21"/>
  <c r="E27" i="21"/>
  <c r="D27" i="21"/>
  <c r="C27" i="21"/>
  <c r="B27" i="21"/>
  <c r="E24" i="21"/>
  <c r="F24" i="21" s="1"/>
  <c r="D24" i="21"/>
  <c r="C24" i="21"/>
  <c r="B24" i="21"/>
  <c r="E23" i="21"/>
  <c r="F23" i="21" s="1"/>
  <c r="D23" i="21"/>
  <c r="C23" i="21"/>
  <c r="B23" i="21"/>
  <c r="E22" i="21"/>
  <c r="F22" i="21" s="1"/>
  <c r="D22" i="21"/>
  <c r="C22" i="21"/>
  <c r="B22" i="21"/>
  <c r="E21" i="21"/>
  <c r="F21" i="21" s="1"/>
  <c r="D21" i="21"/>
  <c r="C21" i="21"/>
  <c r="B21" i="21"/>
  <c r="E20" i="21"/>
  <c r="F20" i="21" s="1"/>
  <c r="D20" i="21"/>
  <c r="C20" i="21"/>
  <c r="B20" i="21"/>
  <c r="E19" i="21"/>
  <c r="F19" i="21" s="1"/>
  <c r="D19" i="21"/>
  <c r="C19" i="21"/>
  <c r="B19" i="21"/>
  <c r="C18" i="21"/>
  <c r="C17" i="21"/>
  <c r="B15" i="21"/>
  <c r="E14" i="21"/>
  <c r="F14" i="21" s="1"/>
  <c r="D14" i="21"/>
  <c r="C14" i="21"/>
  <c r="B14" i="21"/>
  <c r="E13" i="21"/>
  <c r="F13" i="21" s="1"/>
  <c r="D13" i="21"/>
  <c r="C13" i="21"/>
  <c r="B13" i="21"/>
  <c r="E12" i="21"/>
  <c r="F12" i="21" s="1"/>
  <c r="D12" i="21"/>
  <c r="C12" i="21"/>
  <c r="B12" i="21"/>
  <c r="E11" i="21"/>
  <c r="F11" i="21" s="1"/>
  <c r="D11" i="21"/>
  <c r="C11" i="21"/>
  <c r="B11" i="21"/>
  <c r="E10" i="21"/>
  <c r="F10" i="21" s="1"/>
  <c r="D10" i="21"/>
  <c r="C10" i="21"/>
  <c r="B10" i="21"/>
  <c r="E9" i="21"/>
  <c r="F9" i="21" s="1"/>
  <c r="D9" i="21"/>
  <c r="C9" i="21"/>
  <c r="B9" i="21"/>
  <c r="E8" i="21"/>
  <c r="F8" i="21" s="1"/>
  <c r="D8" i="21"/>
  <c r="C8" i="21"/>
  <c r="B8" i="21"/>
  <c r="H6" i="21"/>
  <c r="D73" i="20"/>
  <c r="D74" i="20" s="1"/>
  <c r="D76" i="20" s="1"/>
  <c r="D71" i="20"/>
  <c r="D69" i="20"/>
  <c r="F65" i="20"/>
  <c r="E51" i="20" s="1"/>
  <c r="F51" i="20" s="1"/>
  <c r="D60" i="20"/>
  <c r="D85" i="20" s="1"/>
  <c r="D86" i="20" s="1"/>
  <c r="C51" i="20"/>
  <c r="E50" i="20"/>
  <c r="D50" i="20"/>
  <c r="B50" i="20"/>
  <c r="E49" i="20"/>
  <c r="D49" i="20"/>
  <c r="B49" i="20"/>
  <c r="E48" i="20"/>
  <c r="D48" i="20"/>
  <c r="B48" i="20"/>
  <c r="E47" i="20"/>
  <c r="D47" i="20"/>
  <c r="B47" i="20"/>
  <c r="E46" i="20"/>
  <c r="D46" i="20"/>
  <c r="B46" i="20"/>
  <c r="A45" i="20"/>
  <c r="C45" i="20" s="1"/>
  <c r="E41" i="20"/>
  <c r="D41" i="20"/>
  <c r="C41" i="20"/>
  <c r="B41" i="20"/>
  <c r="A41" i="20"/>
  <c r="A50" i="20" s="1"/>
  <c r="C50" i="20" s="1"/>
  <c r="E40" i="20"/>
  <c r="D40" i="20"/>
  <c r="B40" i="20"/>
  <c r="A40" i="20"/>
  <c r="C40" i="20" s="1"/>
  <c r="E39" i="20"/>
  <c r="D39" i="20"/>
  <c r="B39" i="20"/>
  <c r="A39" i="20"/>
  <c r="C39" i="20" s="1"/>
  <c r="E38" i="20"/>
  <c r="D38" i="20"/>
  <c r="B38" i="20"/>
  <c r="A38" i="20"/>
  <c r="C38" i="20" s="1"/>
  <c r="E37" i="20"/>
  <c r="D37" i="20"/>
  <c r="B37" i="20"/>
  <c r="A37" i="20"/>
  <c r="A46" i="20" s="1"/>
  <c r="C46" i="20" s="1"/>
  <c r="C36" i="20"/>
  <c r="A36" i="20"/>
  <c r="A35" i="20"/>
  <c r="C35" i="20" s="1"/>
  <c r="E32" i="20"/>
  <c r="F32" i="20" s="1"/>
  <c r="D32" i="20"/>
  <c r="C32" i="20"/>
  <c r="B32" i="20"/>
  <c r="E31" i="20"/>
  <c r="D31" i="20"/>
  <c r="C31" i="20"/>
  <c r="B31" i="20"/>
  <c r="E30" i="20"/>
  <c r="F30" i="20" s="1"/>
  <c r="D30" i="20"/>
  <c r="C30" i="20"/>
  <c r="B30" i="20"/>
  <c r="E29" i="20"/>
  <c r="D29" i="20"/>
  <c r="C29" i="20"/>
  <c r="B29" i="20"/>
  <c r="E28" i="20"/>
  <c r="F28" i="20" s="1"/>
  <c r="D28" i="20"/>
  <c r="C28" i="20"/>
  <c r="B28" i="20"/>
  <c r="D27" i="20"/>
  <c r="C27" i="20"/>
  <c r="B27" i="20"/>
  <c r="E24" i="20"/>
  <c r="F24" i="20" s="1"/>
  <c r="D24" i="20"/>
  <c r="C24" i="20"/>
  <c r="B24" i="20"/>
  <c r="E23" i="20"/>
  <c r="F23" i="20" s="1"/>
  <c r="D23" i="20"/>
  <c r="C23" i="20"/>
  <c r="B23" i="20"/>
  <c r="E22" i="20"/>
  <c r="F22" i="20" s="1"/>
  <c r="D22" i="20"/>
  <c r="C22" i="20"/>
  <c r="B22" i="20"/>
  <c r="E21" i="20"/>
  <c r="F21" i="20" s="1"/>
  <c r="D21" i="20"/>
  <c r="C21" i="20"/>
  <c r="B21" i="20"/>
  <c r="E20" i="20"/>
  <c r="F20" i="20" s="1"/>
  <c r="D20" i="20"/>
  <c r="C20" i="20"/>
  <c r="B20" i="20"/>
  <c r="E19" i="20"/>
  <c r="F19" i="20" s="1"/>
  <c r="D19" i="20"/>
  <c r="C19" i="20"/>
  <c r="B19" i="20"/>
  <c r="C18" i="20"/>
  <c r="C17" i="20"/>
  <c r="B15" i="20"/>
  <c r="E14" i="20"/>
  <c r="F14" i="20" s="1"/>
  <c r="D14" i="20"/>
  <c r="C14" i="20"/>
  <c r="B14" i="20"/>
  <c r="C13" i="20"/>
  <c r="C12" i="20"/>
  <c r="C11" i="20"/>
  <c r="C10" i="20"/>
  <c r="C9" i="20"/>
  <c r="C8" i="20"/>
  <c r="H6" i="20"/>
  <c r="F23" i="22" l="1"/>
  <c r="F27" i="22"/>
  <c r="F33" i="22"/>
  <c r="F30" i="22"/>
  <c r="F31" i="22"/>
  <c r="F12" i="22"/>
  <c r="F9" i="22"/>
  <c r="C37" i="22"/>
  <c r="F10" i="22"/>
  <c r="F28" i="22"/>
  <c r="F11" i="22"/>
  <c r="F13" i="22"/>
  <c r="F14" i="22"/>
  <c r="C42" i="22"/>
  <c r="F8" i="22"/>
  <c r="F22" i="22"/>
  <c r="F21" i="22"/>
  <c r="F19" i="22"/>
  <c r="E54" i="22"/>
  <c r="F54" i="22" s="1"/>
  <c r="D84" i="22"/>
  <c r="D88" i="22"/>
  <c r="D89" i="22" s="1"/>
  <c r="F37" i="22"/>
  <c r="F18" i="22"/>
  <c r="F46" i="22"/>
  <c r="C36" i="22"/>
  <c r="F36" i="22" s="1"/>
  <c r="F17" i="22"/>
  <c r="F51" i="21"/>
  <c r="C73" i="21"/>
  <c r="C85" i="21" s="1"/>
  <c r="E85" i="21"/>
  <c r="D81" i="21"/>
  <c r="D83" i="21"/>
  <c r="F46" i="21"/>
  <c r="F39" i="21"/>
  <c r="F40" i="21"/>
  <c r="F30" i="21"/>
  <c r="C37" i="21"/>
  <c r="F37" i="21"/>
  <c r="C41" i="21"/>
  <c r="F38" i="21"/>
  <c r="F18" i="21"/>
  <c r="C36" i="21"/>
  <c r="F36" i="21"/>
  <c r="F17" i="21"/>
  <c r="F31" i="21"/>
  <c r="F41" i="21"/>
  <c r="F29" i="21"/>
  <c r="F41" i="22"/>
  <c r="F27" i="21"/>
  <c r="F46" i="20"/>
  <c r="F29" i="20"/>
  <c r="F31" i="20"/>
  <c r="F39" i="20"/>
  <c r="C37" i="20"/>
  <c r="F37" i="20"/>
  <c r="F41" i="20"/>
  <c r="C73" i="20"/>
  <c r="C85" i="20" s="1"/>
  <c r="F18" i="20"/>
  <c r="F36" i="20"/>
  <c r="F17" i="20"/>
  <c r="F27" i="20"/>
  <c r="F12" i="20"/>
  <c r="F10" i="20"/>
  <c r="F8" i="20"/>
  <c r="F11" i="20"/>
  <c r="F13" i="20"/>
  <c r="F9" i="20"/>
  <c r="F40" i="22"/>
  <c r="F38" i="22"/>
  <c r="F47" i="22"/>
  <c r="A49" i="22"/>
  <c r="C49" i="22" s="1"/>
  <c r="A51" i="22"/>
  <c r="C51" i="22" s="1"/>
  <c r="F51" i="22" s="1"/>
  <c r="E76" i="22"/>
  <c r="A48" i="22"/>
  <c r="C48" i="22" s="1"/>
  <c r="F48" i="22" s="1"/>
  <c r="A50" i="22"/>
  <c r="C50" i="22" s="1"/>
  <c r="F50" i="22" s="1"/>
  <c r="F35" i="21"/>
  <c r="F45" i="21"/>
  <c r="A47" i="21"/>
  <c r="C47" i="21" s="1"/>
  <c r="F47" i="21" s="1"/>
  <c r="A49" i="21"/>
  <c r="C49" i="21" s="1"/>
  <c r="F49" i="21" s="1"/>
  <c r="E73" i="21"/>
  <c r="A44" i="21"/>
  <c r="C44" i="21" s="1"/>
  <c r="F44" i="21" s="1"/>
  <c r="A48" i="21"/>
  <c r="C48" i="21" s="1"/>
  <c r="F48" i="21" s="1"/>
  <c r="F35" i="20"/>
  <c r="F40" i="20"/>
  <c r="F38" i="20"/>
  <c r="F50" i="20"/>
  <c r="E85" i="20"/>
  <c r="F45" i="20"/>
  <c r="D81" i="20"/>
  <c r="A47" i="20"/>
  <c r="C47" i="20" s="1"/>
  <c r="F47" i="20" s="1"/>
  <c r="D83" i="20"/>
  <c r="A49" i="20"/>
  <c r="C49" i="20" s="1"/>
  <c r="F49" i="20" s="1"/>
  <c r="A44" i="20"/>
  <c r="C44" i="20" s="1"/>
  <c r="F44" i="20" s="1"/>
  <c r="A48" i="20"/>
  <c r="C48" i="20" s="1"/>
  <c r="F48" i="20" s="1"/>
  <c r="E88" i="22" l="1"/>
  <c r="F53" i="21"/>
  <c r="C69" i="21" s="1"/>
  <c r="F54" i="21"/>
  <c r="C76" i="21" s="1"/>
  <c r="E76" i="21" s="1"/>
  <c r="E42" i="22" s="1"/>
  <c r="F42" i="22" s="1"/>
  <c r="E73" i="20"/>
  <c r="F53" i="20"/>
  <c r="C69" i="20" s="1"/>
  <c r="F56" i="21"/>
  <c r="F56" i="20"/>
  <c r="F54" i="20"/>
  <c r="F64" i="21" l="1"/>
  <c r="H53" i="21"/>
  <c r="F2" i="21" s="1"/>
  <c r="H54" i="21"/>
  <c r="G2" i="21" s="1"/>
  <c r="F55" i="21"/>
  <c r="H55" i="21" s="1"/>
  <c r="F64" i="20"/>
  <c r="H53" i="20"/>
  <c r="F2" i="20" s="1"/>
  <c r="H56" i="21"/>
  <c r="C74" i="21"/>
  <c r="E69" i="21"/>
  <c r="C81" i="21"/>
  <c r="E81" i="21" s="1"/>
  <c r="C76" i="20"/>
  <c r="E76" i="20" s="1"/>
  <c r="E39" i="22" s="1"/>
  <c r="F39" i="22" s="1"/>
  <c r="F57" i="22" s="1"/>
  <c r="H57" i="22" s="1"/>
  <c r="G2" i="22" s="1"/>
  <c r="H54" i="20"/>
  <c r="G2" i="20" s="1"/>
  <c r="H56" i="20"/>
  <c r="C74" i="20"/>
  <c r="F55" i="20"/>
  <c r="E69" i="20"/>
  <c r="E20" i="22" s="1"/>
  <c r="F20" i="22" s="1"/>
  <c r="F56" i="22" s="1"/>
  <c r="C72" i="22" s="1"/>
  <c r="E72" i="22" s="1"/>
  <c r="C81" i="20"/>
  <c r="E81" i="20" s="1"/>
  <c r="C79" i="22" l="1"/>
  <c r="E79" i="22" s="1"/>
  <c r="C84" i="22"/>
  <c r="E84" i="22" s="1"/>
  <c r="H56" i="22"/>
  <c r="F2" i="22" s="1"/>
  <c r="F58" i="22"/>
  <c r="F66" i="22" s="1"/>
  <c r="F67" i="22"/>
  <c r="O54" i="21"/>
  <c r="O56" i="21" s="1"/>
  <c r="F63" i="21"/>
  <c r="F66" i="21" s="1"/>
  <c r="O55" i="21"/>
  <c r="H2" i="21"/>
  <c r="H58" i="21"/>
  <c r="H59" i="21" s="1"/>
  <c r="O58" i="21" s="1"/>
  <c r="C86" i="21"/>
  <c r="E86" i="21" s="1"/>
  <c r="E74" i="21"/>
  <c r="H55" i="20"/>
  <c r="O54" i="20"/>
  <c r="F63" i="20"/>
  <c r="C86" i="20"/>
  <c r="E86" i="20" s="1"/>
  <c r="E74" i="20"/>
  <c r="O55" i="20"/>
  <c r="H2" i="20"/>
  <c r="H58" i="20"/>
  <c r="H59" i="20" s="1"/>
  <c r="O58" i="20" s="1"/>
  <c r="H58" i="22" l="1"/>
  <c r="O57" i="22"/>
  <c r="O59" i="22" s="1"/>
  <c r="E78" i="21"/>
  <c r="E52" i="22"/>
  <c r="F52" i="22" s="1"/>
  <c r="E78" i="20"/>
  <c r="E49" i="22"/>
  <c r="F49" i="22" s="1"/>
  <c r="E63" i="21"/>
  <c r="C71" i="21"/>
  <c r="E71" i="21" s="1"/>
  <c r="O57" i="21"/>
  <c r="O59" i="21" s="1"/>
  <c r="G63" i="21"/>
  <c r="C74" i="22"/>
  <c r="E66" i="22"/>
  <c r="F69" i="22"/>
  <c r="G66" i="21"/>
  <c r="G32" i="21"/>
  <c r="G24" i="21"/>
  <c r="G31" i="21"/>
  <c r="G36" i="21"/>
  <c r="G19" i="21"/>
  <c r="G20" i="21"/>
  <c r="G28" i="21"/>
  <c r="G40" i="21"/>
  <c r="G9" i="21"/>
  <c r="G11" i="21"/>
  <c r="G65" i="21"/>
  <c r="G27" i="21"/>
  <c r="G50" i="21"/>
  <c r="G12" i="21"/>
  <c r="G22" i="21"/>
  <c r="G30" i="21"/>
  <c r="G10" i="21"/>
  <c r="G18" i="21"/>
  <c r="G51" i="21"/>
  <c r="G39" i="21"/>
  <c r="G38" i="21"/>
  <c r="G14" i="21"/>
  <c r="G8" i="21"/>
  <c r="G17" i="21"/>
  <c r="G37" i="21"/>
  <c r="G21" i="21"/>
  <c r="G23" i="21"/>
  <c r="G13" i="21"/>
  <c r="G41" i="21"/>
  <c r="G29" i="21"/>
  <c r="G46" i="21"/>
  <c r="G48" i="21"/>
  <c r="G47" i="21"/>
  <c r="G44" i="21"/>
  <c r="G54" i="21"/>
  <c r="G45" i="21"/>
  <c r="G35" i="21"/>
  <c r="G49" i="21"/>
  <c r="G53" i="21"/>
  <c r="G55" i="21"/>
  <c r="G56" i="21"/>
  <c r="G64" i="21"/>
  <c r="O56" i="20"/>
  <c r="O57" i="20" s="1"/>
  <c r="O59" i="20" s="1"/>
  <c r="C71" i="20"/>
  <c r="E63" i="20"/>
  <c r="F66" i="20"/>
  <c r="G63" i="20" s="1"/>
  <c r="F59" i="22" l="1"/>
  <c r="G59" i="22" s="1"/>
  <c r="G43" i="22"/>
  <c r="G53" i="22"/>
  <c r="G66" i="22"/>
  <c r="G29" i="22"/>
  <c r="C83" i="21"/>
  <c r="E83" i="21" s="1"/>
  <c r="O60" i="21"/>
  <c r="O61" i="21" s="1"/>
  <c r="O62" i="21" s="1"/>
  <c r="E2" i="21" s="1"/>
  <c r="G69" i="22"/>
  <c r="G54" i="22"/>
  <c r="G37" i="22"/>
  <c r="G27" i="22"/>
  <c r="G14" i="22"/>
  <c r="G23" i="22"/>
  <c r="G12" i="22"/>
  <c r="G24" i="22"/>
  <c r="G31" i="22"/>
  <c r="G30" i="22"/>
  <c r="G52" i="22"/>
  <c r="G46" i="22"/>
  <c r="G20" i="22"/>
  <c r="G13" i="22"/>
  <c r="G19" i="22"/>
  <c r="G39" i="22"/>
  <c r="G42" i="22"/>
  <c r="G8" i="22"/>
  <c r="G41" i="22"/>
  <c r="G33" i="22"/>
  <c r="G18" i="22"/>
  <c r="G9" i="22"/>
  <c r="G10" i="22"/>
  <c r="G28" i="22"/>
  <c r="G36" i="22"/>
  <c r="G17" i="22"/>
  <c r="G68" i="22"/>
  <c r="G11" i="22"/>
  <c r="G21" i="22"/>
  <c r="G32" i="22"/>
  <c r="G22" i="22"/>
  <c r="G49" i="22"/>
  <c r="G50" i="22"/>
  <c r="G38" i="22"/>
  <c r="G51" i="22"/>
  <c r="G48" i="22"/>
  <c r="G40" i="22"/>
  <c r="G47" i="22"/>
  <c r="G56" i="22"/>
  <c r="G57" i="22"/>
  <c r="G67" i="22"/>
  <c r="G58" i="22"/>
  <c r="C86" i="22"/>
  <c r="E86" i="22" s="1"/>
  <c r="E74" i="22"/>
  <c r="O60" i="20"/>
  <c r="O61" i="20" s="1"/>
  <c r="O62" i="20" s="1"/>
  <c r="G66" i="20"/>
  <c r="G8" i="20"/>
  <c r="G20" i="20"/>
  <c r="G12" i="20"/>
  <c r="G14" i="20"/>
  <c r="G28" i="20"/>
  <c r="G41" i="20"/>
  <c r="G23" i="20"/>
  <c r="G39" i="20"/>
  <c r="G36" i="20"/>
  <c r="G19" i="20"/>
  <c r="G18" i="20"/>
  <c r="G29" i="20"/>
  <c r="G24" i="20"/>
  <c r="G10" i="20"/>
  <c r="G30" i="20"/>
  <c r="G27" i="20"/>
  <c r="G31" i="20"/>
  <c r="G51" i="20"/>
  <c r="G21" i="20"/>
  <c r="G11" i="20"/>
  <c r="G32" i="20"/>
  <c r="G9" i="20"/>
  <c r="G46" i="20"/>
  <c r="G13" i="20"/>
  <c r="G17" i="20"/>
  <c r="G22" i="20"/>
  <c r="G37" i="20"/>
  <c r="G65" i="20"/>
  <c r="G49" i="20"/>
  <c r="G47" i="20"/>
  <c r="G50" i="20"/>
  <c r="G45" i="20"/>
  <c r="G38" i="20"/>
  <c r="G40" i="20"/>
  <c r="G44" i="20"/>
  <c r="G35" i="20"/>
  <c r="G53" i="20"/>
  <c r="G48" i="20"/>
  <c r="G54" i="20"/>
  <c r="G56" i="20"/>
  <c r="G64" i="20"/>
  <c r="G55" i="20"/>
  <c r="C83" i="20"/>
  <c r="E83" i="20" s="1"/>
  <c r="E71" i="20"/>
  <c r="H59" i="22" l="1"/>
  <c r="H2" i="22" s="1"/>
  <c r="C77" i="22"/>
  <c r="C89" i="22" s="1"/>
  <c r="E89" i="22" s="1"/>
  <c r="P62" i="21"/>
  <c r="P62" i="20"/>
  <c r="E2" i="20"/>
  <c r="E77" i="22" l="1"/>
  <c r="E81" i="22" s="1"/>
  <c r="H61" i="22"/>
  <c r="H62" i="22" s="1"/>
  <c r="O61" i="22" s="1"/>
  <c r="O58" i="22"/>
  <c r="O60" i="22" s="1"/>
  <c r="O62" i="22" l="1"/>
  <c r="O63" i="22" s="1"/>
  <c r="O64" i="22" s="1"/>
  <c r="O65" i="22" s="1"/>
  <c r="E2" i="22" s="1"/>
  <c r="P65" i="22" l="1"/>
  <c r="D28" i="19"/>
  <c r="D26" i="19"/>
  <c r="D43" i="17"/>
  <c r="D39" i="17"/>
  <c r="L17" i="17"/>
  <c r="K13" i="17"/>
  <c r="J13" i="17"/>
  <c r="K12" i="17"/>
  <c r="J12" i="17"/>
  <c r="L11" i="17"/>
  <c r="L12" i="17" s="1"/>
  <c r="K11" i="17"/>
  <c r="J11" i="17"/>
  <c r="K10" i="17"/>
  <c r="J10" i="17"/>
  <c r="D45" i="16" l="1"/>
  <c r="E10" i="16"/>
  <c r="A53" i="13"/>
  <c r="G10" i="13"/>
  <c r="D31" i="8"/>
</calcChain>
</file>

<file path=xl/sharedStrings.xml><?xml version="1.0" encoding="utf-8"?>
<sst xmlns="http://schemas.openxmlformats.org/spreadsheetml/2006/main" count="1297" uniqueCount="326">
  <si>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</si>
  <si>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</si>
  <si>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</si>
  <si>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</si>
  <si>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</si>
  <si>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</si>
  <si>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</si>
  <si>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</si>
  <si>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</si>
  <si>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</si>
  <si>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</si>
  <si>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</si>
  <si>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</si>
  <si>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</si>
  <si>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</si>
  <si>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</si>
  <si>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</si>
  <si>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Decoración</t>
  </si>
  <si>
    <t>Empaque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</si>
  <si>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</si>
  <si>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</si>
  <si>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</si>
  <si>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</si>
  <si>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</si>
  <si>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</si>
  <si>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</si>
  <si>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</si>
  <si>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</si>
  <si>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</si>
  <si>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</si>
  <si>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</si>
  <si>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Javier Tong, Chef</t>
  </si>
  <si>
    <t>Esteban Cartin, Gte Manufactura</t>
  </si>
  <si>
    <t>AREA QUE PRODUCE:</t>
  </si>
  <si>
    <t xml:space="preserve">AREA QUE EMPACA: </t>
  </si>
  <si>
    <t># Código Netsuite</t>
  </si>
  <si>
    <t>Ensamble</t>
  </si>
  <si>
    <t>CONTROL DE CAMBIOS</t>
  </si>
  <si>
    <t>Decoracion</t>
  </si>
  <si>
    <t>SE00462</t>
  </si>
  <si>
    <t>Rosquete nucleo vainilla Dawn redondo 360g</t>
  </si>
  <si>
    <t>FAS</t>
  </si>
  <si>
    <t>SE00005</t>
  </si>
  <si>
    <t>ALMIBAR (KILO)</t>
  </si>
  <si>
    <t>SE00386</t>
  </si>
  <si>
    <t xml:space="preserve">TRASVASADO LECHE CONDENSADA COCINADA </t>
  </si>
  <si>
    <t>NUEVO</t>
  </si>
  <si>
    <t>SUSPIRO REDONDO 230G</t>
  </si>
  <si>
    <t>Batidos</t>
  </si>
  <si>
    <t>SE00022</t>
  </si>
  <si>
    <t>MERENGUE P/SUSPIRO DESHIDRATADO KILO</t>
  </si>
  <si>
    <t>902000019</t>
  </si>
  <si>
    <t>MEZCLA P/ENGRASE MOLDES KILO</t>
  </si>
  <si>
    <t/>
  </si>
  <si>
    <t>Juan Pablo Brenes, Chef</t>
  </si>
  <si>
    <t>Cocina</t>
  </si>
  <si>
    <t>MP10191</t>
  </si>
  <si>
    <t>FRESA CONGELADA BEGRO (PAQ:1 K)</t>
  </si>
  <si>
    <t>BEGRO</t>
  </si>
  <si>
    <t>SE00016</t>
  </si>
  <si>
    <t>AZUCAR BLANCO INDUSTRIAL (BOLSAS:1500g)</t>
  </si>
  <si>
    <t>SE00015</t>
  </si>
  <si>
    <t>JUGO LIMON (KILO)</t>
  </si>
  <si>
    <t>MP10025</t>
  </si>
  <si>
    <t>PRESERVANTE 1017S (PAQ=5 KILO)</t>
  </si>
  <si>
    <t>ASEAL</t>
  </si>
  <si>
    <t>MP10026</t>
  </si>
  <si>
    <t>ALMIDON MODIFICADO ( 25 KG )</t>
  </si>
  <si>
    <t>AGUA POTABLE (PLANTA)</t>
  </si>
  <si>
    <t>MP10157</t>
  </si>
  <si>
    <t>COLORANTE GEL SUPER RED</t>
  </si>
  <si>
    <t>AMERICOLOR</t>
  </si>
  <si>
    <t>0702123</t>
  </si>
  <si>
    <t>EM10011</t>
  </si>
  <si>
    <t>ETIQUETA BLANCA 2 5/8X1 15/16 (UND)</t>
  </si>
  <si>
    <t>CEMUSA</t>
  </si>
  <si>
    <t>ud</t>
  </si>
  <si>
    <t>3, Colocar en bandejas y hacer choque termico.</t>
  </si>
  <si>
    <t>MP10547</t>
  </si>
  <si>
    <t>Concentrado de Frambuesa</t>
  </si>
  <si>
    <t>FRAMBUESA CONGELADA</t>
  </si>
  <si>
    <t>0.1</t>
  </si>
  <si>
    <t>tanda</t>
  </si>
  <si>
    <t>1, Colocar la fresa congelada, frambuesa en la olla junto con el azucar,el concentrado de frambuesa el agua y el colorante. Hervir</t>
  </si>
  <si>
    <t>2, Mezclar el almidon con el preservante, jugo de limon . Agregar a la mezcla anterior. Hervir</t>
  </si>
  <si>
    <t>RELLENO DE FRESA FRAMBUESA</t>
  </si>
  <si>
    <t>SE00051</t>
  </si>
  <si>
    <t>Ganache Chocolate Blanco</t>
  </si>
  <si>
    <t>SE00069</t>
  </si>
  <si>
    <t>CREMA BEIDGE (KILO)</t>
  </si>
  <si>
    <t>SE00025</t>
  </si>
  <si>
    <t>Salsa Fresa</t>
  </si>
  <si>
    <t>MP10089</t>
  </si>
  <si>
    <t>Brillo Glit</t>
  </si>
  <si>
    <t>ETIPLAST</t>
  </si>
  <si>
    <t>EM10002</t>
  </si>
  <si>
    <t>ETIQUETA TEMPORADA</t>
  </si>
  <si>
    <t>ESP-RE-BAS-014</t>
  </si>
  <si>
    <t>01</t>
  </si>
  <si>
    <t>Merengue Para Suspiro Con Claras Deshidratadas 5205g SE00022</t>
  </si>
  <si>
    <t>SE00023</t>
  </si>
  <si>
    <t>PREMEZCLA SUSPIRO CLARAS DESHID KILO</t>
  </si>
  <si>
    <t>10415</t>
  </si>
  <si>
    <t>AGUA</t>
  </si>
  <si>
    <t>1.  Colocar la clara de huevo y el agua, batir en globo en velocidad 4 durante 30 segundos.</t>
  </si>
  <si>
    <t>2.  Agregar el azucar y batir en velocidad 2 por 30 segundos.</t>
  </si>
  <si>
    <t>3. Tapar con bolsa, subir a velocidad 4 y batir por 3 minutos.</t>
  </si>
  <si>
    <t>ESP-RE-PRES-009</t>
  </si>
  <si>
    <t xml:space="preserve"> Premezcla Batido Suspiro Claras Deshidratadas 4055g 901000015(SE00023)</t>
  </si>
  <si>
    <t>Premezclas</t>
  </si>
  <si>
    <t>1210445</t>
  </si>
  <si>
    <t>MP10142</t>
  </si>
  <si>
    <t>CLARAS DE HUEVO DESHIDRATADAS</t>
  </si>
  <si>
    <t>RESOCO</t>
  </si>
  <si>
    <t>10100003</t>
  </si>
  <si>
    <t>MP10049</t>
  </si>
  <si>
    <t>AZUCAR POLVO P.REAL (PAQ:2.5 Kg)</t>
  </si>
  <si>
    <t>PASTELERO REAL</t>
  </si>
  <si>
    <t>1212410</t>
  </si>
  <si>
    <t>MP10008</t>
  </si>
  <si>
    <t>PRESERVANTE 1047</t>
  </si>
  <si>
    <t>1950702</t>
  </si>
  <si>
    <t>EM10016</t>
  </si>
  <si>
    <t>BOLSA 12x18 TRANSP (KILO)</t>
  </si>
  <si>
    <t>PLASTICOS P</t>
  </si>
  <si>
    <t>60100010</t>
  </si>
  <si>
    <t>EM10133</t>
  </si>
  <si>
    <t>ETIQUETA ROJA LETRA ALERJENO (UND)</t>
  </si>
  <si>
    <t>Tanda</t>
  </si>
  <si>
    <t>1.  En una bolsa pesar la clara y preservante, cerrar con un nudo. Etiquetar con fecha de vencimiento, y etiqueta alerjeno.</t>
  </si>
  <si>
    <t>2.- El azucar se pesa en el area de batidos.</t>
  </si>
  <si>
    <t>ESP-RE-BAS-030</t>
  </si>
  <si>
    <t>907000311(SE00462) Rosquete nucleo vainilla Dawn redondo 360g</t>
  </si>
  <si>
    <t>SE00444</t>
  </si>
  <si>
    <t>BATIDO NUCLEO VAINILLA DAWN</t>
  </si>
  <si>
    <t>AS00028</t>
  </si>
  <si>
    <t>BOLSA TRANSPARENTE 56X96X1.80 KILO</t>
  </si>
  <si>
    <t>0702007</t>
  </si>
  <si>
    <t>EM10004</t>
  </si>
  <si>
    <t>ETIQ.FECHA VENCIMIENTO BLANCO (ROLLO)</t>
  </si>
  <si>
    <t>ETIQ.BLANCA 1 1/4 * 3/4 (UND)</t>
  </si>
  <si>
    <t>Min</t>
  </si>
  <si>
    <t>1.- Pesar 360g de mezcla en los moldes previamente engrasados.</t>
  </si>
  <si>
    <t>2.- Hornear por 31 minutos en el Dicte 1 a 170°C, en el Dicte 2 por 38 minutos a 170°C y en el Marshall por 26 minutos a 175°C.</t>
  </si>
  <si>
    <t>3.- Enfriar, desmoldar, colocar 12 rosquetes por lata, etiquetar con nombre y fecha de producción.</t>
  </si>
  <si>
    <t>ESP-RE-BAS-027</t>
  </si>
  <si>
    <t xml:space="preserve"> SE00444 Batido Nucleo vainilla Dawn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</si>
  <si>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</si>
  <si>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</si>
  <si>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</si>
  <si>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</si>
  <si>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</si>
  <si>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MP10315</t>
  </si>
  <si>
    <t>PRESERVANTE MIXTO (UND:17 K)</t>
  </si>
  <si>
    <t>PURATOS</t>
  </si>
  <si>
    <t>1, Colocar los liquidos en la batidora, posterior agregar los ingredientes secos</t>
  </si>
  <si>
    <t>2, Batir por 1 min en velocidad 1. Con paleta</t>
  </si>
  <si>
    <t>3, Batir 4 min en velocidad 3. con paleta</t>
  </si>
  <si>
    <t>ESP-RE-COCS-058</t>
  </si>
  <si>
    <t xml:space="preserve">SE00386 TRASVASADO LECHE CONDENSADA COCINADA </t>
  </si>
  <si>
    <t>SE00572</t>
  </si>
  <si>
    <t>LECHE CONDENSADA COCINADA DURA</t>
  </si>
  <si>
    <t>Latas</t>
  </si>
  <si>
    <t>GRAMOS</t>
  </si>
  <si>
    <t>EM10307</t>
  </si>
  <si>
    <t>BOLSA MARMITA 14 x 20 (KILO)</t>
  </si>
  <si>
    <t>bolsas</t>
  </si>
  <si>
    <t>1, Abril las latas de leche condensada y con ayuda de una espatula colocar el contenido en bolsas de 4 kg.</t>
  </si>
  <si>
    <t>2, hacer nudo y etiquetar</t>
  </si>
  <si>
    <t>ESP-RE-COCS-066</t>
  </si>
  <si>
    <t>90100409  (SE00572) Leche condensada cocinada Dura</t>
  </si>
  <si>
    <t>MP10477</t>
  </si>
  <si>
    <t xml:space="preserve">LATA LECHE CONDENSADA </t>
  </si>
  <si>
    <t>NESTLE</t>
  </si>
  <si>
    <t>cajas</t>
  </si>
  <si>
    <t>1, Retirar las etiquetas de cada lata de leche condensada</t>
  </si>
  <si>
    <t>2, Colocar las latas en la marmita (sin aspas). Cerrar a presion.</t>
  </si>
  <si>
    <t>#, Cocinar en programa "Leche Cocinada dura"</t>
  </si>
  <si>
    <t>4, Retirar con mucho cuidado el tapon para liberar presion. Luego que ya este liberada toda la presion, proceder a abrir la olla.</t>
  </si>
  <si>
    <t>5, Con ayuda de una pinza o guantes colocar las latas en una caja esperar a que se sequen, Etiquetar con fecha de vencimiento.</t>
  </si>
  <si>
    <t xml:space="preserve">6, Empacar en las mismas cajas en las que llegaron y etiquetar con fecha de vencimeinto la caja tambien </t>
  </si>
  <si>
    <t>ESP-RE-COCS-025</t>
  </si>
  <si>
    <t>Ganache De Chocolate Blanco 37380g SE00051</t>
  </si>
  <si>
    <t>1210387</t>
  </si>
  <si>
    <t>MP10143</t>
  </si>
  <si>
    <t>COBERTURA DE CHOCOLATE BLANCO ( PAQ=5 K )</t>
  </si>
  <si>
    <t>NACIONAL CH</t>
  </si>
  <si>
    <t>11400031</t>
  </si>
  <si>
    <t>MP10048</t>
  </si>
  <si>
    <t>CREMA PRESTIGE GRAND</t>
  </si>
  <si>
    <t>RICH</t>
  </si>
  <si>
    <t>Minutos</t>
  </si>
  <si>
    <t>1.- Colocar  la crema en una olla llegar a  65 grados , mover, no hervir, agregar los trozos de chocolate y mover hasta que se derritan.</t>
  </si>
  <si>
    <t>2.- Mezclar bien, con cuidado de no quemar,cuando este todo derretido, mezlcar con ayuda de un batidor de globo de mano, para asegurarse que no queden grumos</t>
  </si>
  <si>
    <t>3.- Colocar en bandejas, enfriar.</t>
  </si>
  <si>
    <t>ESP-RE-DES-021</t>
  </si>
  <si>
    <t>03</t>
  </si>
  <si>
    <t xml:space="preserve"> Crema Beidge SE00069</t>
  </si>
  <si>
    <t>SE00670</t>
  </si>
  <si>
    <t>CREMA BLANCA SUPREMO</t>
  </si>
  <si>
    <t>MP10150</t>
  </si>
  <si>
    <t>COLORANTE GEL EGG YELLOW  (UND= 130 ML)</t>
  </si>
  <si>
    <t>MASTER PACK</t>
  </si>
  <si>
    <t>0.2</t>
  </si>
  <si>
    <t>0702069</t>
  </si>
  <si>
    <t>ETIQ.BLANCA 1 1/4 * 3/4</t>
  </si>
  <si>
    <t>1, Sacar la crema blanca suprema de la camara (temperatura maxima 18° ya batida).</t>
  </si>
  <si>
    <t>2, Agregar el colorantes y mezclar a mano, hasta que este completamente homogeneo.</t>
  </si>
  <si>
    <t>3, Colocar plastico para tapar y etiquetar.</t>
  </si>
  <si>
    <t xml:space="preserve">4, Volver a guardar en la camara hasta su uso. </t>
  </si>
  <si>
    <t xml:space="preserve">2, Se actualiza procedimiento y tiempo de preparación </t>
  </si>
  <si>
    <t>3, Se actualizan datos de receta y pesos finales</t>
  </si>
  <si>
    <t>ESP-RE-DES-059</t>
  </si>
  <si>
    <t>04</t>
  </si>
  <si>
    <t>SE00670 Crema Blanca Supremo</t>
  </si>
  <si>
    <t>Decoracoración</t>
  </si>
  <si>
    <t>MP10047</t>
  </si>
  <si>
    <t>BETTERCREME SUPREMO (UND:4 K)</t>
  </si>
  <si>
    <t>RICHS</t>
  </si>
  <si>
    <t>AYA</t>
  </si>
  <si>
    <t>PRESERVANTE 1047S (PAQ=5 KILO)</t>
  </si>
  <si>
    <t>Etiplas</t>
  </si>
  <si>
    <t xml:space="preserve">1.- Abrir los galones de bettercreme supremo y verter dentro de la top cream, reservando un poco. </t>
  </si>
  <si>
    <t>2.- Disolver el preservante con el colorante en el  agua, mezclando bien, dejandolo sin grumos (Si hace falta disolver, agregar un poco del bettercream supremo para terminar de disolver)</t>
  </si>
  <si>
    <t>3.- Batir por 15 minutos</t>
  </si>
  <si>
    <t>4- Una vez lista retirar (Temperatura adecuada 15° a 16°) y colocar en una tina plastica y tapar con plastico</t>
  </si>
  <si>
    <t>5.- Etiquetar con nombre y fecha de vencimiento.</t>
  </si>
  <si>
    <t xml:space="preserve">6.- Mantener en refrigeración, hasta su uso. </t>
  </si>
  <si>
    <t xml:space="preserve">2, Se sustituye la crema prestige por crema supremo y procedimiento </t>
  </si>
  <si>
    <t xml:space="preserve">3, Se actualiza tiempo de preparación, se agrega colorante y se actualiza procedimiento. </t>
  </si>
  <si>
    <t>4, Se actualiza cantidad de colorante</t>
  </si>
  <si>
    <t>ESP-RE-COCS-062</t>
  </si>
  <si>
    <t>Salsa De Fresa 3800g SE00025</t>
  </si>
  <si>
    <t>SE00354</t>
  </si>
  <si>
    <t>EMPAQUE RELLENO DE FRESA ESPESA</t>
  </si>
  <si>
    <t>COLORANTE GEL,SUPER RED (130ML)</t>
  </si>
  <si>
    <t>LAS TORRES</t>
  </si>
  <si>
    <t>MP10687</t>
  </si>
  <si>
    <t>SMOOBEES BLUEBERRY 1 KG</t>
  </si>
  <si>
    <t>1.- Colocar el relleno en la licuadora con las gotas rojas y los smoobees.</t>
  </si>
  <si>
    <t>2.- Presionar ligeramente EN PULSACIONES para obtener una masa homogénea.</t>
  </si>
  <si>
    <t>3.- No licuar continuamente para no incorporar aire al relleno perdiendo su color.</t>
  </si>
  <si>
    <t>4.- Llevar a empaque.</t>
  </si>
  <si>
    <t>5.- Guardar en cámaras de refrigeración a 4ºC</t>
  </si>
  <si>
    <t>ESP-RE-COCS-041</t>
  </si>
  <si>
    <t>02</t>
  </si>
  <si>
    <t xml:space="preserve"> SE00354  Relleno de fresa Espesa PLANTA</t>
  </si>
  <si>
    <t>10100230</t>
  </si>
  <si>
    <t>1212412</t>
  </si>
  <si>
    <t>0510215</t>
  </si>
  <si>
    <t>10400009</t>
  </si>
  <si>
    <t>10400010</t>
  </si>
  <si>
    <t>MP10509</t>
  </si>
  <si>
    <t>COLORANTE ROJO (50ML)</t>
  </si>
  <si>
    <t>ANCLA</t>
  </si>
  <si>
    <t>90100131</t>
  </si>
  <si>
    <t>908000036</t>
  </si>
  <si>
    <t>1, Colocar la fresa congelada en la olla junto con el azucar, el agua y el colorante. Hervir</t>
  </si>
  <si>
    <t>2, Mezclar el almidon con el preservante, juego de limon . Agregar a la mezcla anterior. Hervir</t>
  </si>
  <si>
    <t>PROGRAMACION MARMITA</t>
  </si>
  <si>
    <t>Temperatura del piso 230ºC con la agitacion al maximo de 45 por cada lado y paredes a la mitad con 100ºC.</t>
  </si>
  <si>
    <t>Tiempo 58 minutos, la preparacion empieza a hervir ente los 55-57 minutos, a los 58 espesamos y mezclamos para incorporar bien.</t>
  </si>
  <si>
    <t>Sacamos a enfriamiento.</t>
  </si>
  <si>
    <t xml:space="preserve">Revision #2: Ajuste de la tanda para la marmita y se agrega la programacion. </t>
  </si>
  <si>
    <t>MP10896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</si>
  <si>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</si>
  <si>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</si>
  <si>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</si>
  <si>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</si>
  <si>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</si>
  <si>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</si>
  <si>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</si>
  <si>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</si>
  <si>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</si>
  <si>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</si>
  <si>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</si>
  <si>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</si>
  <si>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</si>
  <si>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</si>
  <si>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</si>
  <si>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</si>
  <si>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</si>
  <si>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</si>
  <si>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</si>
  <si>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</si>
  <si>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</si>
  <si>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</si>
  <si>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</si>
  <si>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</si>
  <si>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</si>
  <si>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</si>
  <si>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</si>
  <si>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</si>
  <si>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</si>
  <si>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</si>
  <si>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</si>
  <si>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</si>
  <si>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</si>
  <si>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</si>
  <si>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</si>
  <si>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</si>
  <si>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</si>
  <si>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</si>
  <si>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</si>
  <si>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</si>
  <si>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</si>
  <si>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</si>
  <si>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</si>
  <si>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</si>
  <si>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</si>
  <si>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</si>
  <si>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</si>
  <si>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</si>
  <si>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</si>
  <si>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</si>
  <si>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</si>
  <si>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</si>
  <si>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</si>
  <si>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 xml:space="preserve">UND </t>
  </si>
  <si>
    <t>UND</t>
  </si>
  <si>
    <t>Nuevo</t>
  </si>
  <si>
    <t>121603</t>
  </si>
  <si>
    <t>1950692</t>
  </si>
  <si>
    <t>701096</t>
  </si>
  <si>
    <t>SE00836 Relleno de fresa frambuesa</t>
  </si>
  <si>
    <t>ESP-RE-COCS-143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</si>
</sst>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0.0000"/>
    <numFmt numFmtId="168" formatCode="_(* #,##0.00_);_(* \(#,##0.00\);_(* &quot;-&quot;??_);_(@_)"/>
    <numFmt numFmtId="169" formatCode="[$-409]d\-mmm\-yy;@"/>
    <numFmt numFmtId="170" formatCode="&quot;$&quot;#,##0_);[Red]\(&quot;$&quot;#,##0\)"/>
    <numFmt numFmtId="171" formatCode="_-* #,##0.0\ _€_-;\-* #,##0.0\ _€_-;_-* &quot;-&quot;??\ _€_-;_-@_-"/>
  </numFmts>
  <fonts count="8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6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8"/>
      <name val="Century Gothic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i/>
      <sz val="12"/>
      <name val="Arial"/>
      <family val="2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  <font>
      <sz val="9.85"/>
      <color indexed="8"/>
      <name val="Times New Roman"/>
      <family val="1"/>
    </font>
    <font>
      <sz val="11"/>
      <color rgb="FF000000"/>
      <name val="Calibri"/>
      <family val="2"/>
    </font>
    <font>
      <sz val="11"/>
      <name val="Aptos"/>
      <family val="2"/>
    </font>
    <font>
      <b/>
      <sz val="10"/>
      <name val="Arial"/>
      <family val="2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Tahoma"/>
      <family val="2"/>
    </font>
    <font>
      <sz val="8"/>
      <name val="Tahoma"/>
      <family val="2"/>
    </font>
    <font>
      <sz val="12"/>
      <name val="Century Gothic"/>
      <family val="2"/>
    </font>
    <font>
      <sz val="12"/>
      <color indexed="8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9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color indexed="8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6" tint="0.39997558519241921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7" fillId="0" borderId="0"/>
    <xf numFmtId="9" fontId="3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7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59" fillId="0" borderId="0" applyFont="0" applyFill="0" applyBorder="0" applyAlignment="0" applyProtection="0"/>
  </cellStyleXfs>
  <cellXfs count="991">
    <xf numFmtId="0" fontId="0" fillId="0" borderId="0" xfId="0"/>
    <xf numFmtId="0" fontId="4" fillId="0" borderId="3" xfId="0" applyFont="1" applyBorder="1" applyAlignment="1">
      <alignment horizontal="center"/>
    </xf>
    <xf numFmtId="49" fontId="6" fillId="0" borderId="3" xfId="0" applyNumberFormat="1" applyFont="1" applyBorder="1"/>
    <xf numFmtId="0" fontId="11" fillId="2" borderId="23" xfId="1" applyFont="1" applyFill="1" applyBorder="1" applyAlignment="1">
      <alignment horizontal="right"/>
    </xf>
    <xf numFmtId="0" fontId="11" fillId="2" borderId="3" xfId="1" applyFont="1" applyFill="1" applyBorder="1" applyAlignment="1">
      <alignment horizontal="right"/>
    </xf>
    <xf numFmtId="1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" fontId="9" fillId="0" borderId="28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0" fontId="9" fillId="0" borderId="33" xfId="0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24" xfId="1" applyFont="1" applyFill="1" applyBorder="1" applyAlignment="1">
      <alignment horizontal="center"/>
    </xf>
    <xf numFmtId="49" fontId="9" fillId="2" borderId="6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9" fillId="2" borderId="28" xfId="1" applyFont="1" applyFill="1" applyBorder="1" applyAlignment="1">
      <alignment horizontal="right"/>
    </xf>
    <xf numFmtId="0" fontId="9" fillId="2" borderId="3" xfId="1" applyFont="1" applyFill="1" applyBorder="1" applyAlignment="1">
      <alignment horizontal="right"/>
    </xf>
    <xf numFmtId="14" fontId="16" fillId="2" borderId="0" xfId="4" applyNumberFormat="1" applyFont="1" applyFill="1" applyAlignment="1">
      <alignment horizontal="center" vertical="center" wrapText="1"/>
    </xf>
    <xf numFmtId="0" fontId="11" fillId="5" borderId="24" xfId="5" applyFont="1" applyFill="1" applyBorder="1" applyAlignment="1">
      <alignment horizontal="center" vertical="center" wrapText="1"/>
    </xf>
    <xf numFmtId="1" fontId="11" fillId="5" borderId="11" xfId="5" applyNumberFormat="1" applyFont="1" applyFill="1" applyBorder="1" applyAlignment="1">
      <alignment horizontal="center"/>
    </xf>
    <xf numFmtId="1" fontId="11" fillId="5" borderId="11" xfId="5" applyNumberFormat="1" applyFont="1" applyFill="1" applyBorder="1" applyAlignment="1">
      <alignment horizontal="center" wrapText="1"/>
    </xf>
    <xf numFmtId="0" fontId="11" fillId="5" borderId="12" xfId="5" applyFont="1" applyFill="1" applyBorder="1" applyAlignment="1">
      <alignment horizontal="center"/>
    </xf>
    <xf numFmtId="0" fontId="17" fillId="0" borderId="7" xfId="5" applyFont="1" applyBorder="1" applyAlignment="1">
      <alignment horizontal="center" vertical="center"/>
    </xf>
    <xf numFmtId="0" fontId="17" fillId="0" borderId="18" xfId="5" applyFont="1" applyBorder="1" applyAlignment="1">
      <alignment horizontal="center" vertical="center"/>
    </xf>
    <xf numFmtId="0" fontId="18" fillId="0" borderId="3" xfId="5" applyFont="1" applyBorder="1" applyAlignment="1">
      <alignment vertical="center"/>
    </xf>
    <xf numFmtId="0" fontId="17" fillId="0" borderId="3" xfId="5" applyFont="1" applyBorder="1" applyAlignment="1">
      <alignment horizontal="center" vertical="center"/>
    </xf>
    <xf numFmtId="1" fontId="17" fillId="0" borderId="3" xfId="5" applyNumberFormat="1" applyFont="1" applyBorder="1" applyAlignment="1">
      <alignment horizontal="center"/>
    </xf>
    <xf numFmtId="1" fontId="17" fillId="0" borderId="3" xfId="5" applyNumberFormat="1" applyFont="1" applyBorder="1" applyAlignment="1">
      <alignment horizontal="center" wrapText="1"/>
    </xf>
    <xf numFmtId="0" fontId="8" fillId="0" borderId="6" xfId="5" applyFont="1" applyBorder="1" applyAlignment="1">
      <alignment horizontal="center"/>
    </xf>
    <xf numFmtId="0" fontId="9" fillId="0" borderId="28" xfId="0" applyFont="1" applyBorder="1" applyAlignment="1">
      <alignment horizontal="center" wrapText="1"/>
    </xf>
    <xf numFmtId="12" fontId="9" fillId="0" borderId="28" xfId="0" applyNumberFormat="1" applyFont="1" applyBorder="1" applyAlignment="1">
      <alignment horizontal="center"/>
    </xf>
    <xf numFmtId="0" fontId="0" fillId="3" borderId="3" xfId="0" applyFill="1" applyBorder="1"/>
    <xf numFmtId="1" fontId="8" fillId="0" borderId="3" xfId="5" applyNumberFormat="1" applyFont="1" applyBorder="1" applyAlignment="1">
      <alignment horizontal="center"/>
    </xf>
    <xf numFmtId="0" fontId="8" fillId="0" borderId="3" xfId="5" applyFont="1" applyBorder="1" applyAlignment="1">
      <alignment horizontal="center"/>
    </xf>
    <xf numFmtId="1" fontId="8" fillId="0" borderId="3" xfId="5" applyNumberFormat="1" applyFont="1" applyBorder="1" applyAlignment="1">
      <alignment horizontal="center" wrapText="1"/>
    </xf>
    <xf numFmtId="1" fontId="0" fillId="0" borderId="3" xfId="0" applyNumberFormat="1" applyBorder="1"/>
    <xf numFmtId="0" fontId="0" fillId="0" borderId="3" xfId="0" applyBorder="1"/>
    <xf numFmtId="0" fontId="9" fillId="3" borderId="3" xfId="5" applyFont="1" applyFill="1" applyBorder="1" applyAlignment="1">
      <alignment horizontal="center"/>
    </xf>
    <xf numFmtId="49" fontId="8" fillId="0" borderId="7" xfId="5" applyNumberFormat="1" applyFont="1" applyBorder="1" applyAlignment="1">
      <alignment horizontal="center"/>
    </xf>
    <xf numFmtId="49" fontId="8" fillId="0" borderId="18" xfId="5" applyNumberFormat="1" applyFont="1" applyBorder="1" applyAlignment="1">
      <alignment horizontal="center"/>
    </xf>
    <xf numFmtId="0" fontId="5" fillId="3" borderId="3" xfId="5" applyFont="1" applyFill="1" applyBorder="1" applyAlignment="1">
      <alignment horizontal="left"/>
    </xf>
    <xf numFmtId="165" fontId="8" fillId="0" borderId="3" xfId="5" applyNumberFormat="1" applyFont="1" applyBorder="1" applyAlignment="1">
      <alignment horizontal="center"/>
    </xf>
    <xf numFmtId="0" fontId="19" fillId="3" borderId="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1" fontId="9" fillId="3" borderId="28" xfId="0" applyNumberFormat="1" applyFont="1" applyFill="1" applyBorder="1" applyAlignment="1">
      <alignment horizontal="center"/>
    </xf>
    <xf numFmtId="1" fontId="9" fillId="3" borderId="28" xfId="0" applyNumberFormat="1" applyFont="1" applyFill="1" applyBorder="1" applyAlignment="1">
      <alignment horizontal="center" wrapText="1"/>
    </xf>
    <xf numFmtId="49" fontId="9" fillId="3" borderId="28" xfId="0" applyNumberFormat="1" applyFont="1" applyFill="1" applyBorder="1" applyAlignment="1">
      <alignment horizontal="center"/>
    </xf>
    <xf numFmtId="1" fontId="9" fillId="3" borderId="3" xfId="5" applyNumberFormat="1" applyFont="1" applyFill="1" applyBorder="1" applyAlignment="1">
      <alignment horizontal="center"/>
    </xf>
    <xf numFmtId="1" fontId="9" fillId="3" borderId="3" xfId="5" applyNumberFormat="1" applyFont="1" applyFill="1" applyBorder="1" applyAlignment="1">
      <alignment horizontal="center" wrapText="1"/>
    </xf>
    <xf numFmtId="1" fontId="9" fillId="3" borderId="3" xfId="0" applyNumberFormat="1" applyFont="1" applyFill="1" applyBorder="1" applyAlignment="1">
      <alignment horizontal="center"/>
    </xf>
    <xf numFmtId="16" fontId="9" fillId="0" borderId="3" xfId="0" applyNumberFormat="1" applyFont="1" applyBorder="1" applyAlignment="1">
      <alignment horizontal="center"/>
    </xf>
    <xf numFmtId="49" fontId="17" fillId="0" borderId="13" xfId="5" applyNumberFormat="1" applyFont="1" applyBorder="1" applyAlignment="1">
      <alignment horizontal="center"/>
    </xf>
    <xf numFmtId="49" fontId="17" fillId="0" borderId="14" xfId="5" applyNumberFormat="1" applyFont="1" applyBorder="1" applyAlignment="1">
      <alignment horizontal="center"/>
    </xf>
    <xf numFmtId="0" fontId="20" fillId="3" borderId="3" xfId="5" applyFont="1" applyFill="1" applyBorder="1" applyAlignment="1">
      <alignment vertical="center"/>
    </xf>
    <xf numFmtId="0" fontId="17" fillId="0" borderId="18" xfId="5" applyFont="1" applyBorder="1" applyAlignment="1">
      <alignment horizontal="center"/>
    </xf>
    <xf numFmtId="165" fontId="17" fillId="0" borderId="3" xfId="5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166" fontId="11" fillId="3" borderId="3" xfId="3" applyNumberFormat="1" applyFont="1" applyFill="1" applyBorder="1" applyAlignment="1">
      <alignment horizontal="center"/>
    </xf>
    <xf numFmtId="16" fontId="8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8" fillId="0" borderId="3" xfId="5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1" fontId="4" fillId="0" borderId="3" xfId="5" applyNumberFormat="1" applyFont="1" applyBorder="1" applyAlignment="1">
      <alignment horizontal="center"/>
    </xf>
    <xf numFmtId="49" fontId="6" fillId="0" borderId="3" xfId="5" applyNumberFormat="1" applyFont="1" applyBorder="1"/>
    <xf numFmtId="0" fontId="4" fillId="0" borderId="3" xfId="5" applyFont="1" applyBorder="1" applyAlignment="1">
      <alignment horizontal="center"/>
    </xf>
    <xf numFmtId="49" fontId="13" fillId="2" borderId="5" xfId="5" applyNumberFormat="1" applyFont="1" applyFill="1" applyBorder="1" applyAlignment="1">
      <alignment horizontal="center" vertical="center"/>
    </xf>
    <xf numFmtId="49" fontId="13" fillId="2" borderId="0" xfId="5" applyNumberFormat="1" applyFont="1" applyFill="1" applyAlignment="1">
      <alignment horizontal="center" vertical="center"/>
    </xf>
    <xf numFmtId="0" fontId="9" fillId="2" borderId="0" xfId="5" applyFont="1" applyFill="1"/>
    <xf numFmtId="1" fontId="9" fillId="2" borderId="0" xfId="5" applyNumberFormat="1" applyFont="1" applyFill="1" applyAlignment="1">
      <alignment horizontal="center"/>
    </xf>
    <xf numFmtId="164" fontId="9" fillId="2" borderId="0" xfId="5" applyNumberFormat="1" applyFont="1" applyFill="1" applyAlignment="1">
      <alignment horizontal="center" wrapText="1"/>
    </xf>
    <xf numFmtId="0" fontId="9" fillId="2" borderId="4" xfId="5" applyFont="1" applyFill="1" applyBorder="1" applyAlignment="1">
      <alignment horizontal="center"/>
    </xf>
    <xf numFmtId="0" fontId="9" fillId="5" borderId="29" xfId="5" applyFont="1" applyFill="1" applyBorder="1" applyAlignment="1">
      <alignment horizontal="center"/>
    </xf>
    <xf numFmtId="0" fontId="9" fillId="5" borderId="30" xfId="5" applyFont="1" applyFill="1" applyBorder="1" applyAlignment="1">
      <alignment horizontal="center"/>
    </xf>
    <xf numFmtId="0" fontId="9" fillId="5" borderId="30" xfId="5" applyFont="1" applyFill="1" applyBorder="1"/>
    <xf numFmtId="0" fontId="11" fillId="5" borderId="30" xfId="5" applyFont="1" applyFill="1" applyBorder="1" applyAlignment="1">
      <alignment horizontal="center"/>
    </xf>
    <xf numFmtId="1" fontId="11" fillId="5" borderId="30" xfId="5" applyNumberFormat="1" applyFont="1" applyFill="1" applyBorder="1" applyAlignment="1">
      <alignment horizontal="center"/>
    </xf>
    <xf numFmtId="164" fontId="9" fillId="5" borderId="30" xfId="5" applyNumberFormat="1" applyFont="1" applyFill="1" applyBorder="1" applyAlignment="1">
      <alignment horizontal="center" wrapText="1"/>
    </xf>
    <xf numFmtId="0" fontId="9" fillId="5" borderId="31" xfId="5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3" fillId="0" borderId="3" xfId="0" applyFont="1" applyBorder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center"/>
    </xf>
    <xf numFmtId="49" fontId="8" fillId="0" borderId="18" xfId="0" applyNumberFormat="1" applyFont="1" applyBorder="1" applyAlignment="1">
      <alignment horizontal="center"/>
    </xf>
    <xf numFmtId="49" fontId="23" fillId="0" borderId="3" xfId="0" applyNumberFormat="1" applyFont="1" applyBorder="1"/>
    <xf numFmtId="1" fontId="11" fillId="0" borderId="28" xfId="0" applyNumberFormat="1" applyFont="1" applyBorder="1" applyAlignment="1">
      <alignment horizontal="center"/>
    </xf>
    <xf numFmtId="0" fontId="11" fillId="2" borderId="23" xfId="4" applyFont="1" applyFill="1" applyBorder="1" applyAlignment="1">
      <alignment horizontal="right"/>
    </xf>
    <xf numFmtId="0" fontId="9" fillId="2" borderId="24" xfId="4" applyFont="1" applyFill="1" applyBorder="1" applyAlignment="1">
      <alignment horizontal="center"/>
    </xf>
    <xf numFmtId="0" fontId="11" fillId="2" borderId="3" xfId="4" applyFont="1" applyFill="1" applyBorder="1" applyAlignment="1">
      <alignment horizontal="right"/>
    </xf>
    <xf numFmtId="49" fontId="9" fillId="2" borderId="6" xfId="4" applyNumberFormat="1" applyFont="1" applyFill="1" applyBorder="1" applyAlignment="1">
      <alignment horizontal="center"/>
    </xf>
    <xf numFmtId="0" fontId="9" fillId="2" borderId="28" xfId="4" applyFont="1" applyFill="1" applyBorder="1" applyAlignment="1">
      <alignment horizontal="right"/>
    </xf>
    <xf numFmtId="0" fontId="9" fillId="2" borderId="3" xfId="4" applyFont="1" applyFill="1" applyBorder="1" applyAlignment="1">
      <alignment horizontal="right"/>
    </xf>
    <xf numFmtId="0" fontId="21" fillId="0" borderId="3" xfId="0" applyFont="1" applyBorder="1" applyAlignment="1">
      <alignment horizontal="center"/>
    </xf>
    <xf numFmtId="0" fontId="21" fillId="0" borderId="3" xfId="0" applyFont="1" applyBorder="1" applyAlignment="1">
      <alignment horizontal="left"/>
    </xf>
    <xf numFmtId="0" fontId="25" fillId="0" borderId="3" xfId="0" applyFont="1" applyBorder="1" applyAlignment="1">
      <alignment horizontal="center" vertical="top"/>
    </xf>
    <xf numFmtId="1" fontId="21" fillId="3" borderId="3" xfId="0" applyNumberFormat="1" applyFont="1" applyFill="1" applyBorder="1" applyAlignment="1">
      <alignment horizontal="center"/>
    </xf>
    <xf numFmtId="1" fontId="21" fillId="3" borderId="3" xfId="0" applyNumberFormat="1" applyFont="1" applyFill="1" applyBorder="1" applyAlignment="1">
      <alignment horizontal="center" wrapText="1"/>
    </xf>
    <xf numFmtId="1" fontId="21" fillId="0" borderId="28" xfId="0" applyNumberFormat="1" applyFont="1" applyBorder="1" applyAlignment="1">
      <alignment horizontal="center"/>
    </xf>
    <xf numFmtId="1" fontId="26" fillId="0" borderId="3" xfId="5" applyNumberFormat="1" applyFont="1" applyBorder="1" applyAlignment="1">
      <alignment horizontal="center" wrapText="1"/>
    </xf>
    <xf numFmtId="0" fontId="21" fillId="0" borderId="6" xfId="5" applyFont="1" applyBorder="1" applyAlignment="1">
      <alignment horizontal="center"/>
    </xf>
    <xf numFmtId="0" fontId="25" fillId="0" borderId="3" xfId="0" applyFont="1" applyBorder="1" applyAlignment="1">
      <alignment vertical="top"/>
    </xf>
    <xf numFmtId="1" fontId="21" fillId="3" borderId="28" xfId="0" applyNumberFormat="1" applyFont="1" applyFill="1" applyBorder="1" applyAlignment="1">
      <alignment horizontal="center"/>
    </xf>
    <xf numFmtId="1" fontId="21" fillId="3" borderId="28" xfId="0" applyNumberFormat="1" applyFont="1" applyFill="1" applyBorder="1" applyAlignment="1">
      <alignment horizontal="center" wrapText="1"/>
    </xf>
    <xf numFmtId="2" fontId="26" fillId="0" borderId="3" xfId="5" applyNumberFormat="1" applyFont="1" applyBorder="1" applyAlignment="1">
      <alignment horizontal="center"/>
    </xf>
    <xf numFmtId="1" fontId="21" fillId="0" borderId="3" xfId="0" applyNumberFormat="1" applyFont="1" applyBorder="1" applyAlignment="1">
      <alignment horizontal="center" wrapText="1"/>
    </xf>
    <xf numFmtId="16" fontId="21" fillId="0" borderId="3" xfId="0" applyNumberFormat="1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1" fontId="21" fillId="0" borderId="3" xfId="0" applyNumberFormat="1" applyFont="1" applyBorder="1" applyAlignment="1">
      <alignment horizontal="center"/>
    </xf>
    <xf numFmtId="1" fontId="26" fillId="0" borderId="3" xfId="5" applyNumberFormat="1" applyFont="1" applyBorder="1" applyAlignment="1">
      <alignment horizontal="center"/>
    </xf>
    <xf numFmtId="0" fontId="21" fillId="3" borderId="3" xfId="0" applyFont="1" applyFill="1" applyBorder="1"/>
    <xf numFmtId="1" fontId="21" fillId="0" borderId="3" xfId="5" applyNumberFormat="1" applyFont="1" applyBorder="1" applyAlignment="1">
      <alignment horizontal="center" wrapText="1"/>
    </xf>
    <xf numFmtId="49" fontId="21" fillId="0" borderId="7" xfId="5" applyNumberFormat="1" applyFont="1" applyBorder="1" applyAlignment="1">
      <alignment horizontal="center"/>
    </xf>
    <xf numFmtId="49" fontId="21" fillId="0" borderId="18" xfId="5" applyNumberFormat="1" applyFont="1" applyBorder="1" applyAlignment="1">
      <alignment horizontal="center"/>
    </xf>
    <xf numFmtId="0" fontId="26" fillId="3" borderId="3" xfId="5" applyFont="1" applyFill="1" applyBorder="1" applyAlignment="1">
      <alignment horizontal="left"/>
    </xf>
    <xf numFmtId="0" fontId="21" fillId="0" borderId="3" xfId="5" applyFont="1" applyBorder="1" applyAlignment="1">
      <alignment horizontal="center"/>
    </xf>
    <xf numFmtId="165" fontId="21" fillId="0" borderId="3" xfId="5" applyNumberFormat="1" applyFont="1" applyBorder="1" applyAlignment="1">
      <alignment horizontal="center"/>
    </xf>
    <xf numFmtId="1" fontId="21" fillId="0" borderId="3" xfId="7" applyNumberFormat="1" applyFont="1" applyBorder="1" applyAlignment="1">
      <alignment horizontal="center"/>
    </xf>
    <xf numFmtId="1" fontId="21" fillId="0" borderId="3" xfId="7" applyNumberFormat="1" applyFont="1" applyBorder="1" applyAlignment="1">
      <alignment horizontal="center" wrapText="1"/>
    </xf>
    <xf numFmtId="0" fontId="26" fillId="0" borderId="18" xfId="5" applyFont="1" applyBorder="1" applyAlignment="1">
      <alignment horizontal="center"/>
    </xf>
    <xf numFmtId="0" fontId="21" fillId="0" borderId="0" xfId="0" applyFont="1" applyAlignment="1">
      <alignment horizontal="left"/>
    </xf>
    <xf numFmtId="2" fontId="21" fillId="0" borderId="3" xfId="5" applyNumberFormat="1" applyFont="1" applyBorder="1" applyAlignment="1">
      <alignment horizontal="center"/>
    </xf>
    <xf numFmtId="49" fontId="21" fillId="0" borderId="7" xfId="0" applyNumberFormat="1" applyFont="1" applyBorder="1" applyAlignment="1">
      <alignment horizontal="center"/>
    </xf>
    <xf numFmtId="49" fontId="21" fillId="0" borderId="18" xfId="0" applyNumberFormat="1" applyFont="1" applyBorder="1" applyAlignment="1">
      <alignment horizontal="center"/>
    </xf>
    <xf numFmtId="49" fontId="21" fillId="0" borderId="3" xfId="0" applyNumberFormat="1" applyFont="1" applyBorder="1"/>
    <xf numFmtId="16" fontId="21" fillId="2" borderId="3" xfId="0" applyNumberFormat="1" applyFont="1" applyFill="1" applyBorder="1" applyAlignment="1">
      <alignment horizontal="center"/>
    </xf>
    <xf numFmtId="1" fontId="21" fillId="2" borderId="3" xfId="0" applyNumberFormat="1" applyFont="1" applyFill="1" applyBorder="1" applyAlignment="1">
      <alignment horizontal="center"/>
    </xf>
    <xf numFmtId="1" fontId="21" fillId="2" borderId="3" xfId="0" applyNumberFormat="1" applyFont="1" applyFill="1" applyBorder="1" applyAlignment="1">
      <alignment horizontal="center" wrapText="1"/>
    </xf>
    <xf numFmtId="49" fontId="25" fillId="2" borderId="5" xfId="5" applyNumberFormat="1" applyFont="1" applyFill="1" applyBorder="1" applyAlignment="1">
      <alignment horizontal="center" vertical="center"/>
    </xf>
    <xf numFmtId="49" fontId="25" fillId="2" borderId="0" xfId="5" applyNumberFormat="1" applyFont="1" applyFill="1" applyAlignment="1">
      <alignment horizontal="center" vertical="center"/>
    </xf>
    <xf numFmtId="0" fontId="21" fillId="2" borderId="0" xfId="5" applyFont="1" applyFill="1"/>
    <xf numFmtId="1" fontId="21" fillId="2" borderId="0" xfId="5" applyNumberFormat="1" applyFont="1" applyFill="1" applyAlignment="1">
      <alignment horizontal="center"/>
    </xf>
    <xf numFmtId="164" fontId="21" fillId="2" borderId="0" xfId="5" applyNumberFormat="1" applyFont="1" applyFill="1" applyAlignment="1">
      <alignment horizontal="center" wrapText="1"/>
    </xf>
    <xf numFmtId="0" fontId="21" fillId="2" borderId="4" xfId="5" applyFont="1" applyFill="1" applyBorder="1" applyAlignment="1">
      <alignment horizontal="center"/>
    </xf>
    <xf numFmtId="0" fontId="21" fillId="5" borderId="29" xfId="5" applyFont="1" applyFill="1" applyBorder="1" applyAlignment="1">
      <alignment horizontal="center"/>
    </xf>
    <xf numFmtId="0" fontId="21" fillId="5" borderId="30" xfId="5" applyFont="1" applyFill="1" applyBorder="1" applyAlignment="1">
      <alignment horizontal="center"/>
    </xf>
    <xf numFmtId="0" fontId="21" fillId="5" borderId="30" xfId="5" applyFont="1" applyFill="1" applyBorder="1"/>
    <xf numFmtId="0" fontId="26" fillId="5" borderId="30" xfId="5" applyFont="1" applyFill="1" applyBorder="1" applyAlignment="1">
      <alignment horizontal="center"/>
    </xf>
    <xf numFmtId="1" fontId="26" fillId="5" borderId="30" xfId="5" applyNumberFormat="1" applyFont="1" applyFill="1" applyBorder="1" applyAlignment="1">
      <alignment horizontal="center"/>
    </xf>
    <xf numFmtId="164" fontId="21" fillId="5" borderId="30" xfId="5" applyNumberFormat="1" applyFont="1" applyFill="1" applyBorder="1" applyAlignment="1">
      <alignment horizontal="center" wrapText="1"/>
    </xf>
    <xf numFmtId="0" fontId="21" fillId="5" borderId="31" xfId="5" applyFont="1" applyFill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1" fontId="21" fillId="0" borderId="11" xfId="0" applyNumberFormat="1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1" fontId="0" fillId="0" borderId="18" xfId="0" applyNumberFormat="1" applyBorder="1"/>
    <xf numFmtId="0" fontId="19" fillId="3" borderId="2" xfId="0" applyFont="1" applyFill="1" applyBorder="1" applyAlignment="1">
      <alignment horizontal="center"/>
    </xf>
    <xf numFmtId="0" fontId="19" fillId="3" borderId="28" xfId="0" applyFont="1" applyFill="1" applyBorder="1"/>
    <xf numFmtId="0" fontId="29" fillId="0" borderId="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30" fillId="0" borderId="3" xfId="0" applyFont="1" applyBorder="1"/>
    <xf numFmtId="0" fontId="3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left" vertical="center"/>
    </xf>
    <xf numFmtId="0" fontId="8" fillId="0" borderId="28" xfId="0" applyFont="1" applyBorder="1" applyAlignment="1">
      <alignment horizontal="center"/>
    </xf>
    <xf numFmtId="1" fontId="8" fillId="0" borderId="28" xfId="0" applyNumberFormat="1" applyFont="1" applyBorder="1" applyAlignment="1">
      <alignment horizontal="center"/>
    </xf>
    <xf numFmtId="1" fontId="8" fillId="0" borderId="28" xfId="0" applyNumberFormat="1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5" fillId="0" borderId="3" xfId="0" applyFont="1" applyBorder="1"/>
    <xf numFmtId="0" fontId="33" fillId="0" borderId="3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0" fillId="0" borderId="18" xfId="8" applyFont="1" applyBorder="1" applyAlignment="1">
      <alignment horizontal="center"/>
    </xf>
    <xf numFmtId="16" fontId="4" fillId="0" borderId="3" xfId="5" applyNumberFormat="1" applyFont="1" applyBorder="1" applyAlignment="1">
      <alignment horizontal="center"/>
    </xf>
    <xf numFmtId="0" fontId="1" fillId="0" borderId="3" xfId="8" applyBorder="1" applyAlignment="1">
      <alignment horizontal="center"/>
    </xf>
    <xf numFmtId="0" fontId="0" fillId="0" borderId="3" xfId="8" applyFont="1" applyBorder="1" applyAlignment="1">
      <alignment horizontal="center"/>
    </xf>
    <xf numFmtId="0" fontId="2" fillId="0" borderId="7" xfId="6" applyBorder="1" applyAlignment="1">
      <alignment horizontal="center"/>
    </xf>
    <xf numFmtId="0" fontId="2" fillId="0" borderId="18" xfId="6" applyBorder="1" applyAlignment="1">
      <alignment horizontal="center"/>
    </xf>
    <xf numFmtId="0" fontId="2" fillId="0" borderId="3" xfId="6" applyBorder="1"/>
    <xf numFmtId="0" fontId="2" fillId="0" borderId="3" xfId="6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167" fontId="3" fillId="0" borderId="28" xfId="0" applyNumberFormat="1" applyFont="1" applyBorder="1" applyAlignment="1">
      <alignment horizontal="center" wrapText="1"/>
    </xf>
    <xf numFmtId="0" fontId="3" fillId="0" borderId="28" xfId="5" applyBorder="1" applyAlignment="1">
      <alignment horizontal="center"/>
    </xf>
    <xf numFmtId="1" fontId="3" fillId="0" borderId="3" xfId="5" applyNumberFormat="1" applyBorder="1" applyAlignment="1">
      <alignment horizontal="center" wrapText="1"/>
    </xf>
    <xf numFmtId="1" fontId="3" fillId="0" borderId="3" xfId="5" applyNumberForma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/>
    <xf numFmtId="0" fontId="2" fillId="3" borderId="7" xfId="6" applyFill="1" applyBorder="1" applyAlignment="1">
      <alignment horizontal="center"/>
    </xf>
    <xf numFmtId="0" fontId="2" fillId="3" borderId="18" xfId="6" applyFill="1" applyBorder="1" applyAlignment="1">
      <alignment horizontal="center"/>
    </xf>
    <xf numFmtId="0" fontId="0" fillId="3" borderId="3" xfId="6" applyFont="1" applyFill="1" applyBorder="1"/>
    <xf numFmtId="0" fontId="2" fillId="3" borderId="3" xfId="6" applyFill="1" applyBorder="1"/>
    <xf numFmtId="1" fontId="3" fillId="0" borderId="28" xfId="0" applyNumberFormat="1" applyFont="1" applyBorder="1" applyAlignment="1">
      <alignment horizontal="center" wrapText="1"/>
    </xf>
    <xf numFmtId="49" fontId="8" fillId="0" borderId="7" xfId="9" applyNumberFormat="1" applyFont="1" applyBorder="1" applyAlignment="1">
      <alignment horizontal="center"/>
    </xf>
    <xf numFmtId="49" fontId="8" fillId="0" borderId="18" xfId="9" applyNumberFormat="1" applyFont="1" applyBorder="1" applyAlignment="1">
      <alignment horizontal="center"/>
    </xf>
    <xf numFmtId="49" fontId="6" fillId="0" borderId="3" xfId="9" applyNumberFormat="1" applyFont="1" applyBorder="1"/>
    <xf numFmtId="0" fontId="8" fillId="0" borderId="3" xfId="9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2" fontId="9" fillId="0" borderId="28" xfId="5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7" xfId="7" applyBorder="1" applyAlignment="1">
      <alignment horizontal="center"/>
    </xf>
    <xf numFmtId="0" fontId="3" fillId="0" borderId="3" xfId="5" applyBorder="1" applyAlignment="1">
      <alignment horizontal="center"/>
    </xf>
    <xf numFmtId="0" fontId="3" fillId="3" borderId="3" xfId="7" applyFill="1" applyBorder="1"/>
    <xf numFmtId="16" fontId="8" fillId="0" borderId="3" xfId="7" applyNumberFormat="1" applyFont="1" applyBorder="1" applyAlignment="1">
      <alignment horizontal="center"/>
    </xf>
    <xf numFmtId="0" fontId="3" fillId="0" borderId="3" xfId="7" applyBorder="1" applyAlignment="1">
      <alignment horizontal="center"/>
    </xf>
    <xf numFmtId="1" fontId="8" fillId="0" borderId="3" xfId="7" applyNumberFormat="1" applyFont="1" applyBorder="1" applyAlignment="1">
      <alignment horizontal="center"/>
    </xf>
    <xf numFmtId="1" fontId="8" fillId="0" borderId="3" xfId="7" applyNumberFormat="1" applyFont="1" applyBorder="1" applyAlignment="1">
      <alignment horizontal="center" wrapText="1"/>
    </xf>
    <xf numFmtId="16" fontId="6" fillId="0" borderId="3" xfId="5" applyNumberFormat="1" applyFont="1" applyBorder="1" applyAlignment="1">
      <alignment horizontal="center"/>
    </xf>
    <xf numFmtId="16" fontId="8" fillId="0" borderId="18" xfId="0" applyNumberFormat="1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2" fontId="8" fillId="0" borderId="3" xfId="5" applyNumberFormat="1" applyFont="1" applyBorder="1" applyAlignment="1">
      <alignment horizontal="center"/>
    </xf>
    <xf numFmtId="0" fontId="0" fillId="0" borderId="18" xfId="6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8" fillId="3" borderId="7" xfId="5" applyNumberFormat="1" applyFont="1" applyFill="1" applyBorder="1" applyAlignment="1">
      <alignment horizontal="center"/>
    </xf>
    <xf numFmtId="49" fontId="8" fillId="3" borderId="18" xfId="5" applyNumberFormat="1" applyFont="1" applyFill="1" applyBorder="1" applyAlignment="1">
      <alignment horizontal="center"/>
    </xf>
    <xf numFmtId="49" fontId="6" fillId="3" borderId="3" xfId="5" applyNumberFormat="1" applyFont="1" applyFill="1" applyBorder="1"/>
    <xf numFmtId="1" fontId="3" fillId="0" borderId="28" xfId="0" applyNumberFormat="1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0" fontId="3" fillId="2" borderId="24" xfId="4" applyFont="1" applyFill="1" applyBorder="1" applyAlignment="1">
      <alignment horizont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2" xfId="0" applyFont="1" applyBorder="1" applyAlignment="1">
      <alignment horizontal="left" vertical="center"/>
    </xf>
    <xf numFmtId="0" fontId="36" fillId="0" borderId="3" xfId="0" applyFont="1" applyBorder="1" applyAlignment="1">
      <alignment horizontal="center" vertical="top"/>
    </xf>
    <xf numFmtId="0" fontId="9" fillId="7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/>
    </xf>
    <xf numFmtId="0" fontId="37" fillId="0" borderId="3" xfId="0" applyFont="1" applyBorder="1" applyAlignment="1">
      <alignment horizontal="center" vertical="top"/>
    </xf>
    <xf numFmtId="0" fontId="37" fillId="0" borderId="3" xfId="0" applyFont="1" applyBorder="1" applyAlignment="1">
      <alignment vertical="top"/>
    </xf>
    <xf numFmtId="0" fontId="9" fillId="7" borderId="28" xfId="0" applyFont="1" applyFill="1" applyBorder="1" applyAlignment="1">
      <alignment horizontal="center"/>
    </xf>
    <xf numFmtId="0" fontId="9" fillId="7" borderId="28" xfId="0" applyFont="1" applyFill="1" applyBorder="1" applyAlignment="1">
      <alignment horizontal="center" wrapText="1"/>
    </xf>
    <xf numFmtId="0" fontId="38" fillId="0" borderId="3" xfId="0" applyFont="1" applyBorder="1" applyAlignment="1">
      <alignment horizontal="center" vertical="top" wrapText="1"/>
    </xf>
    <xf numFmtId="0" fontId="39" fillId="0" borderId="3" xfId="0" applyFont="1" applyBorder="1" applyAlignment="1">
      <alignment horizontal="left" vertical="top" wrapText="1"/>
    </xf>
    <xf numFmtId="0" fontId="3" fillId="3" borderId="7" xfId="5" applyFill="1" applyBorder="1" applyAlignment="1">
      <alignment horizontal="right"/>
    </xf>
    <xf numFmtId="0" fontId="3" fillId="3" borderId="18" xfId="5" applyFill="1" applyBorder="1" applyAlignment="1">
      <alignment horizontal="center"/>
    </xf>
    <xf numFmtId="0" fontId="3" fillId="3" borderId="3" xfId="5" applyFill="1" applyBorder="1"/>
    <xf numFmtId="0" fontId="3" fillId="3" borderId="28" xfId="5" applyFill="1" applyBorder="1" applyAlignment="1">
      <alignment horizontal="center"/>
    </xf>
    <xf numFmtId="0" fontId="3" fillId="3" borderId="3" xfId="5" applyFill="1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7" fillId="0" borderId="3" xfId="0" applyFont="1" applyBorder="1"/>
    <xf numFmtId="0" fontId="19" fillId="3" borderId="7" xfId="5" applyFont="1" applyFill="1" applyBorder="1" applyAlignment="1">
      <alignment horizontal="center"/>
    </xf>
    <xf numFmtId="0" fontId="19" fillId="3" borderId="18" xfId="5" applyFont="1" applyFill="1" applyBorder="1" applyAlignment="1">
      <alignment horizontal="center"/>
    </xf>
    <xf numFmtId="0" fontId="9" fillId="3" borderId="3" xfId="5" applyFont="1" applyFill="1" applyBorder="1" applyAlignment="1">
      <alignment horizontal="left"/>
    </xf>
    <xf numFmtId="0" fontId="9" fillId="0" borderId="3" xfId="5" applyFont="1" applyBorder="1" applyAlignment="1">
      <alignment horizontal="center" vertical="center"/>
    </xf>
    <xf numFmtId="1" fontId="9" fillId="0" borderId="3" xfId="5" applyNumberFormat="1" applyFont="1" applyBorder="1" applyAlignment="1">
      <alignment horizontal="center" vertical="center"/>
    </xf>
    <xf numFmtId="1" fontId="9" fillId="0" borderId="3" xfId="5" applyNumberFormat="1" applyFont="1" applyBorder="1" applyAlignment="1">
      <alignment horizontal="center" vertical="center" wrapText="1"/>
    </xf>
    <xf numFmtId="0" fontId="5" fillId="0" borderId="7" xfId="5" applyFont="1" applyBorder="1" applyAlignment="1">
      <alignment horizontal="center" vertical="center"/>
    </xf>
    <xf numFmtId="0" fontId="5" fillId="0" borderId="18" xfId="5" applyFont="1" applyBorder="1" applyAlignment="1">
      <alignment horizontal="center" vertical="center"/>
    </xf>
    <xf numFmtId="0" fontId="20" fillId="0" borderId="3" xfId="5" applyFont="1" applyBorder="1" applyAlignment="1">
      <alignment vertical="center"/>
    </xf>
    <xf numFmtId="0" fontId="5" fillId="0" borderId="3" xfId="5" applyFont="1" applyBorder="1" applyAlignment="1">
      <alignment horizontal="center" vertical="center"/>
    </xf>
    <xf numFmtId="1" fontId="5" fillId="0" borderId="3" xfId="5" applyNumberFormat="1" applyFont="1" applyBorder="1" applyAlignment="1">
      <alignment horizontal="center"/>
    </xf>
    <xf numFmtId="1" fontId="5" fillId="0" borderId="3" xfId="5" applyNumberFormat="1" applyFont="1" applyBorder="1" applyAlignment="1">
      <alignment horizontal="center" wrapText="1"/>
    </xf>
    <xf numFmtId="0" fontId="4" fillId="0" borderId="6" xfId="5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  <xf numFmtId="49" fontId="4" fillId="0" borderId="3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" fontId="40" fillId="0" borderId="28" xfId="0" applyNumberFormat="1" applyFont="1" applyBorder="1" applyAlignment="1">
      <alignment horizontal="center" wrapText="1"/>
    </xf>
    <xf numFmtId="2" fontId="5" fillId="0" borderId="3" xfId="5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" fontId="40" fillId="0" borderId="3" xfId="0" applyNumberFormat="1" applyFont="1" applyBorder="1" applyAlignment="1">
      <alignment horizontal="center" wrapText="1"/>
    </xf>
    <xf numFmtId="0" fontId="40" fillId="0" borderId="3" xfId="0" quotePrefix="1" applyFont="1" applyBorder="1" applyAlignment="1">
      <alignment horizontal="center"/>
    </xf>
    <xf numFmtId="0" fontId="40" fillId="0" borderId="3" xfId="0" quotePrefix="1" applyFont="1" applyBorder="1"/>
    <xf numFmtId="16" fontId="40" fillId="0" borderId="3" xfId="0" applyNumberFormat="1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16" fontId="4" fillId="3" borderId="3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center" wrapText="1"/>
    </xf>
    <xf numFmtId="16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7" fillId="3" borderId="3" xfId="0" applyFont="1" applyFill="1" applyBorder="1"/>
    <xf numFmtId="1" fontId="4" fillId="0" borderId="3" xfId="5" applyNumberFormat="1" applyFont="1" applyBorder="1" applyAlignment="1">
      <alignment horizontal="center" wrapText="1"/>
    </xf>
    <xf numFmtId="49" fontId="4" fillId="0" borderId="7" xfId="5" applyNumberFormat="1" applyFont="1" applyBorder="1" applyAlignment="1">
      <alignment horizontal="center"/>
    </xf>
    <xf numFmtId="49" fontId="4" fillId="0" borderId="18" xfId="5" applyNumberFormat="1" applyFont="1" applyBorder="1" applyAlignment="1">
      <alignment horizontal="center"/>
    </xf>
    <xf numFmtId="165" fontId="4" fillId="0" borderId="3" xfId="5" applyNumberFormat="1" applyFont="1" applyBorder="1" applyAlignment="1">
      <alignment horizontal="center"/>
    </xf>
    <xf numFmtId="0" fontId="7" fillId="0" borderId="7" xfId="7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7" fillId="3" borderId="3" xfId="7" applyFont="1" applyFill="1" applyBorder="1"/>
    <xf numFmtId="16" fontId="4" fillId="0" borderId="3" xfId="7" applyNumberFormat="1" applyFont="1" applyBorder="1" applyAlignment="1">
      <alignment horizontal="center"/>
    </xf>
    <xf numFmtId="0" fontId="7" fillId="0" borderId="3" xfId="7" applyFont="1" applyBorder="1" applyAlignment="1">
      <alignment horizontal="center"/>
    </xf>
    <xf numFmtId="1" fontId="4" fillId="0" borderId="3" xfId="7" applyNumberFormat="1" applyFont="1" applyBorder="1" applyAlignment="1">
      <alignment horizontal="center"/>
    </xf>
    <xf numFmtId="1" fontId="4" fillId="0" borderId="3" xfId="7" applyNumberFormat="1" applyFont="1" applyBorder="1" applyAlignment="1">
      <alignment horizontal="center" wrapText="1"/>
    </xf>
    <xf numFmtId="49" fontId="5" fillId="0" borderId="13" xfId="5" applyNumberFormat="1" applyFont="1" applyBorder="1" applyAlignment="1">
      <alignment horizontal="center"/>
    </xf>
    <xf numFmtId="49" fontId="5" fillId="0" borderId="14" xfId="5" applyNumberFormat="1" applyFont="1" applyBorder="1" applyAlignment="1">
      <alignment horizontal="center"/>
    </xf>
    <xf numFmtId="0" fontId="5" fillId="0" borderId="18" xfId="5" applyFont="1" applyBorder="1" applyAlignment="1">
      <alignment horizontal="center"/>
    </xf>
    <xf numFmtId="49" fontId="4" fillId="3" borderId="7" xfId="5" applyNumberFormat="1" applyFont="1" applyFill="1" applyBorder="1" applyAlignment="1">
      <alignment horizontal="center"/>
    </xf>
    <xf numFmtId="49" fontId="4" fillId="3" borderId="18" xfId="5" applyNumberFormat="1" applyFont="1" applyFill="1" applyBorder="1" applyAlignment="1">
      <alignment horizontal="center"/>
    </xf>
    <xf numFmtId="49" fontId="4" fillId="3" borderId="3" xfId="5" applyNumberFormat="1" applyFont="1" applyFill="1" applyBorder="1"/>
    <xf numFmtId="0" fontId="7" fillId="3" borderId="3" xfId="0" applyFont="1" applyFill="1" applyBorder="1" applyAlignment="1">
      <alignment horizontal="center"/>
    </xf>
    <xf numFmtId="12" fontId="4" fillId="0" borderId="3" xfId="5" applyNumberFormat="1" applyFont="1" applyBorder="1" applyAlignment="1">
      <alignment horizontal="center"/>
    </xf>
    <xf numFmtId="49" fontId="4" fillId="0" borderId="3" xfId="5" applyNumberFormat="1" applyFont="1" applyBorder="1"/>
    <xf numFmtId="49" fontId="41" fillId="2" borderId="5" xfId="5" applyNumberFormat="1" applyFont="1" applyFill="1" applyBorder="1" applyAlignment="1">
      <alignment horizontal="center" vertical="center"/>
    </xf>
    <xf numFmtId="49" fontId="41" fillId="2" borderId="0" xfId="5" applyNumberFormat="1" applyFont="1" applyFill="1" applyAlignment="1">
      <alignment horizontal="center" vertical="center"/>
    </xf>
    <xf numFmtId="0" fontId="40" fillId="2" borderId="0" xfId="5" applyFont="1" applyFill="1"/>
    <xf numFmtId="1" fontId="40" fillId="2" borderId="0" xfId="5" applyNumberFormat="1" applyFont="1" applyFill="1" applyAlignment="1">
      <alignment horizontal="center"/>
    </xf>
    <xf numFmtId="164" fontId="40" fillId="2" borderId="0" xfId="5" applyNumberFormat="1" applyFont="1" applyFill="1" applyAlignment="1">
      <alignment horizontal="center" wrapText="1"/>
    </xf>
    <xf numFmtId="0" fontId="40" fillId="2" borderId="4" xfId="5" applyFont="1" applyFill="1" applyBorder="1" applyAlignment="1">
      <alignment horizontal="center"/>
    </xf>
    <xf numFmtId="0" fontId="3" fillId="0" borderId="0" xfId="5"/>
    <xf numFmtId="0" fontId="9" fillId="2" borderId="0" xfId="5" applyFont="1" applyFill="1" applyAlignment="1">
      <alignment horizontal="left" indent="1"/>
    </xf>
    <xf numFmtId="0" fontId="40" fillId="5" borderId="29" xfId="5" applyFont="1" applyFill="1" applyBorder="1" applyAlignment="1">
      <alignment horizontal="center"/>
    </xf>
    <xf numFmtId="0" fontId="40" fillId="5" borderId="30" xfId="5" applyFont="1" applyFill="1" applyBorder="1" applyAlignment="1">
      <alignment horizontal="center"/>
    </xf>
    <xf numFmtId="0" fontId="40" fillId="5" borderId="30" xfId="5" applyFont="1" applyFill="1" applyBorder="1"/>
    <xf numFmtId="0" fontId="10" fillId="5" borderId="30" xfId="5" applyFont="1" applyFill="1" applyBorder="1" applyAlignment="1">
      <alignment horizontal="center"/>
    </xf>
    <xf numFmtId="1" fontId="10" fillId="5" borderId="30" xfId="5" applyNumberFormat="1" applyFont="1" applyFill="1" applyBorder="1" applyAlignment="1">
      <alignment horizontal="center"/>
    </xf>
    <xf numFmtId="164" fontId="40" fillId="5" borderId="30" xfId="5" applyNumberFormat="1" applyFont="1" applyFill="1" applyBorder="1" applyAlignment="1">
      <alignment horizontal="center" wrapText="1"/>
    </xf>
    <xf numFmtId="0" fontId="40" fillId="5" borderId="31" xfId="5" applyFont="1" applyFill="1" applyBorder="1" applyAlignment="1">
      <alignment horizontal="center"/>
    </xf>
    <xf numFmtId="1" fontId="7" fillId="0" borderId="28" xfId="0" applyNumberFormat="1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9" fontId="9" fillId="2" borderId="0" xfId="10" applyFont="1" applyFill="1"/>
    <xf numFmtId="1" fontId="7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0" fillId="2" borderId="23" xfId="1" applyFont="1" applyFill="1" applyBorder="1" applyAlignment="1">
      <alignment horizontal="right"/>
    </xf>
    <xf numFmtId="0" fontId="40" fillId="2" borderId="24" xfId="1" applyFont="1" applyFill="1" applyBorder="1" applyAlignment="1">
      <alignment horizontal="center"/>
    </xf>
    <xf numFmtId="0" fontId="10" fillId="2" borderId="3" xfId="1" applyFont="1" applyFill="1" applyBorder="1" applyAlignment="1">
      <alignment horizontal="right"/>
    </xf>
    <xf numFmtId="49" fontId="40" fillId="2" borderId="6" xfId="1" applyNumberFormat="1" applyFont="1" applyFill="1" applyBorder="1" applyAlignment="1">
      <alignment horizontal="center"/>
    </xf>
    <xf numFmtId="0" fontId="40" fillId="2" borderId="28" xfId="1" applyFont="1" applyFill="1" applyBorder="1" applyAlignment="1">
      <alignment horizontal="right"/>
    </xf>
    <xf numFmtId="0" fontId="40" fillId="2" borderId="3" xfId="1" applyFont="1" applyFill="1" applyBorder="1" applyAlignment="1">
      <alignment horizontal="right"/>
    </xf>
    <xf numFmtId="14" fontId="43" fillId="2" borderId="0" xfId="4" applyNumberFormat="1" applyFont="1" applyFill="1" applyAlignment="1">
      <alignment horizontal="center" vertical="center" wrapText="1"/>
    </xf>
    <xf numFmtId="0" fontId="10" fillId="5" borderId="24" xfId="5" applyFont="1" applyFill="1" applyBorder="1" applyAlignment="1">
      <alignment horizontal="center" vertical="center" wrapText="1"/>
    </xf>
    <xf numFmtId="1" fontId="10" fillId="5" borderId="11" xfId="5" applyNumberFormat="1" applyFont="1" applyFill="1" applyBorder="1" applyAlignment="1">
      <alignment horizontal="center"/>
    </xf>
    <xf numFmtId="1" fontId="10" fillId="5" borderId="11" xfId="5" applyNumberFormat="1" applyFont="1" applyFill="1" applyBorder="1" applyAlignment="1">
      <alignment horizontal="center" wrapText="1"/>
    </xf>
    <xf numFmtId="0" fontId="10" fillId="5" borderId="12" xfId="5" applyFont="1" applyFill="1" applyBorder="1" applyAlignment="1">
      <alignment horizontal="center"/>
    </xf>
    <xf numFmtId="0" fontId="44" fillId="3" borderId="7" xfId="0" applyFont="1" applyFill="1" applyBorder="1" applyAlignment="1">
      <alignment horizontal="center"/>
    </xf>
    <xf numFmtId="0" fontId="44" fillId="3" borderId="3" xfId="0" applyFont="1" applyFill="1" applyBorder="1" applyAlignment="1">
      <alignment horizontal="center"/>
    </xf>
    <xf numFmtId="0" fontId="44" fillId="3" borderId="28" xfId="0" applyFont="1" applyFill="1" applyBorder="1"/>
    <xf numFmtId="0" fontId="40" fillId="3" borderId="18" xfId="0" applyFont="1" applyFill="1" applyBorder="1" applyAlignment="1">
      <alignment horizontal="center"/>
    </xf>
    <xf numFmtId="1" fontId="40" fillId="3" borderId="3" xfId="0" applyNumberFormat="1" applyFont="1" applyFill="1" applyBorder="1" applyAlignment="1">
      <alignment horizontal="center"/>
    </xf>
    <xf numFmtId="1" fontId="40" fillId="3" borderId="3" xfId="0" applyNumberFormat="1" applyFont="1" applyFill="1" applyBorder="1" applyAlignment="1">
      <alignment horizontal="center" wrapText="1"/>
    </xf>
    <xf numFmtId="0" fontId="40" fillId="0" borderId="28" xfId="0" applyFont="1" applyBorder="1" applyAlignment="1">
      <alignment horizontal="center" wrapText="1"/>
    </xf>
    <xf numFmtId="12" fontId="40" fillId="0" borderId="28" xfId="0" applyNumberFormat="1" applyFont="1" applyBorder="1" applyAlignment="1">
      <alignment horizontal="center"/>
    </xf>
    <xf numFmtId="0" fontId="44" fillId="3" borderId="18" xfId="0" applyFont="1" applyFill="1" applyBorder="1" applyAlignment="1">
      <alignment horizontal="center"/>
    </xf>
    <xf numFmtId="0" fontId="44" fillId="3" borderId="3" xfId="0" applyFont="1" applyFill="1" applyBorder="1"/>
    <xf numFmtId="1" fontId="40" fillId="3" borderId="28" xfId="0" applyNumberFormat="1" applyFont="1" applyFill="1" applyBorder="1" applyAlignment="1">
      <alignment horizontal="center"/>
    </xf>
    <xf numFmtId="1" fontId="40" fillId="3" borderId="28" xfId="0" applyNumberFormat="1" applyFont="1" applyFill="1" applyBorder="1" applyAlignment="1">
      <alignment horizontal="center" wrapText="1"/>
    </xf>
    <xf numFmtId="0" fontId="40" fillId="0" borderId="3" xfId="0" applyFont="1" applyBorder="1" applyAlignment="1">
      <alignment horizontal="center"/>
    </xf>
    <xf numFmtId="0" fontId="40" fillId="3" borderId="3" xfId="0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45" fillId="0" borderId="3" xfId="0" applyFont="1" applyBorder="1" applyAlignment="1">
      <alignment horizontal="center" vertical="center"/>
    </xf>
    <xf numFmtId="0" fontId="45" fillId="7" borderId="3" xfId="0" applyFont="1" applyFill="1" applyBorder="1"/>
    <xf numFmtId="0" fontId="40" fillId="0" borderId="3" xfId="0" applyFont="1" applyBorder="1" applyAlignment="1">
      <alignment horizontal="center" wrapText="1"/>
    </xf>
    <xf numFmtId="0" fontId="45" fillId="7" borderId="0" xfId="0" applyFont="1" applyFill="1" applyAlignment="1">
      <alignment horizontal="center"/>
    </xf>
    <xf numFmtId="0" fontId="45" fillId="7" borderId="0" xfId="0" applyFont="1" applyFill="1"/>
    <xf numFmtId="0" fontId="10" fillId="7" borderId="3" xfId="0" applyFont="1" applyFill="1" applyBorder="1" applyAlignment="1">
      <alignment horizontal="left"/>
    </xf>
    <xf numFmtId="0" fontId="40" fillId="0" borderId="28" xfId="0" applyFont="1" applyBorder="1" applyAlignment="1">
      <alignment horizontal="center"/>
    </xf>
    <xf numFmtId="0" fontId="45" fillId="7" borderId="3" xfId="0" applyFont="1" applyFill="1" applyBorder="1" applyAlignment="1">
      <alignment horizontal="left" vertical="center"/>
    </xf>
    <xf numFmtId="16" fontId="4" fillId="0" borderId="18" xfId="0" applyNumberFormat="1" applyFont="1" applyBorder="1" applyAlignment="1">
      <alignment horizontal="center"/>
    </xf>
    <xf numFmtId="0" fontId="44" fillId="3" borderId="2" xfId="0" applyFont="1" applyFill="1" applyBorder="1" applyAlignment="1">
      <alignment horizontal="center"/>
    </xf>
    <xf numFmtId="1" fontId="40" fillId="3" borderId="3" xfId="5" applyNumberFormat="1" applyFont="1" applyFill="1" applyBorder="1" applyAlignment="1">
      <alignment horizontal="center"/>
    </xf>
    <xf numFmtId="1" fontId="40" fillId="3" borderId="3" xfId="5" applyNumberFormat="1" applyFont="1" applyFill="1" applyBorder="1" applyAlignment="1">
      <alignment horizontal="center" wrapText="1"/>
    </xf>
    <xf numFmtId="0" fontId="7" fillId="0" borderId="0" xfId="0" applyFont="1"/>
    <xf numFmtId="16" fontId="40" fillId="3" borderId="3" xfId="0" applyNumberFormat="1" applyFont="1" applyFill="1" applyBorder="1" applyAlignment="1">
      <alignment horizontal="center"/>
    </xf>
    <xf numFmtId="0" fontId="40" fillId="2" borderId="3" xfId="0" applyFont="1" applyFill="1" applyBorder="1" applyAlignment="1">
      <alignment horizontal="center"/>
    </xf>
    <xf numFmtId="1" fontId="40" fillId="0" borderId="28" xfId="0" applyNumberFormat="1" applyFont="1" applyBorder="1" applyAlignment="1">
      <alignment horizontal="center"/>
    </xf>
    <xf numFmtId="165" fontId="5" fillId="0" borderId="3" xfId="5" applyNumberFormat="1" applyFont="1" applyBorder="1" applyAlignment="1">
      <alignment horizontal="center"/>
    </xf>
    <xf numFmtId="166" fontId="10" fillId="3" borderId="3" xfId="3" applyNumberFormat="1" applyFont="1" applyFill="1" applyBorder="1" applyAlignment="1">
      <alignment horizontal="center"/>
    </xf>
    <xf numFmtId="49" fontId="4" fillId="0" borderId="3" xfId="5" applyNumberFormat="1" applyFont="1" applyBorder="1" applyAlignment="1">
      <alignment horizontal="center"/>
    </xf>
    <xf numFmtId="1" fontId="40" fillId="0" borderId="28" xfId="5" applyNumberFormat="1" applyFont="1" applyBorder="1" applyAlignment="1">
      <alignment horizontal="center"/>
    </xf>
    <xf numFmtId="0" fontId="40" fillId="0" borderId="28" xfId="5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1" fontId="7" fillId="0" borderId="3" xfId="0" applyNumberFormat="1" applyFont="1" applyBorder="1" applyAlignment="1">
      <alignment horizontal="left" vertical="center"/>
    </xf>
    <xf numFmtId="0" fontId="4" fillId="3" borderId="7" xfId="0" applyFont="1" applyFill="1" applyBorder="1" applyAlignment="1">
      <alignment horizontal="center"/>
    </xf>
    <xf numFmtId="0" fontId="46" fillId="3" borderId="0" xfId="0" applyFont="1" applyFill="1" applyAlignment="1">
      <alignment horizontal="center"/>
    </xf>
    <xf numFmtId="1" fontId="4" fillId="3" borderId="3" xfId="0" applyNumberFormat="1" applyFont="1" applyFill="1" applyBorder="1"/>
    <xf numFmtId="0" fontId="4" fillId="3" borderId="3" xfId="0" applyFont="1" applyFill="1" applyBorder="1" applyAlignment="1">
      <alignment horizontal="center" wrapText="1"/>
    </xf>
    <xf numFmtId="0" fontId="40" fillId="0" borderId="33" xfId="0" applyFont="1" applyBorder="1" applyAlignment="1">
      <alignment horizontal="center"/>
    </xf>
    <xf numFmtId="1" fontId="40" fillId="0" borderId="11" xfId="0" applyNumberFormat="1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12" fillId="2" borderId="23" xfId="1" applyFont="1" applyFill="1" applyBorder="1" applyAlignment="1">
      <alignment horizontal="right"/>
    </xf>
    <xf numFmtId="0" fontId="47" fillId="2" borderId="24" xfId="1" applyFont="1" applyFill="1" applyBorder="1" applyAlignment="1">
      <alignment horizontal="center"/>
    </xf>
    <xf numFmtId="0" fontId="12" fillId="2" borderId="3" xfId="1" applyFont="1" applyFill="1" applyBorder="1" applyAlignment="1">
      <alignment horizontal="right"/>
    </xf>
    <xf numFmtId="49" fontId="47" fillId="2" borderId="6" xfId="1" applyNumberFormat="1" applyFont="1" applyFill="1" applyBorder="1" applyAlignment="1">
      <alignment horizontal="center"/>
    </xf>
    <xf numFmtId="0" fontId="47" fillId="2" borderId="28" xfId="1" applyFont="1" applyFill="1" applyBorder="1" applyAlignment="1">
      <alignment horizontal="right"/>
    </xf>
    <xf numFmtId="0" fontId="47" fillId="2" borderId="3" xfId="1" applyFont="1" applyFill="1" applyBorder="1" applyAlignment="1">
      <alignment horizontal="right"/>
    </xf>
    <xf numFmtId="14" fontId="49" fillId="2" borderId="0" xfId="4" applyNumberFormat="1" applyFont="1" applyFill="1" applyAlignment="1">
      <alignment horizontal="center" vertical="center" wrapText="1"/>
    </xf>
    <xf numFmtId="0" fontId="12" fillId="5" borderId="24" xfId="5" applyFont="1" applyFill="1" applyBorder="1" applyAlignment="1">
      <alignment horizontal="center" vertical="center" wrapText="1"/>
    </xf>
    <xf numFmtId="1" fontId="12" fillId="5" borderId="11" xfId="5" applyNumberFormat="1" applyFont="1" applyFill="1" applyBorder="1" applyAlignment="1">
      <alignment horizontal="center"/>
    </xf>
    <xf numFmtId="1" fontId="12" fillId="5" borderId="11" xfId="5" applyNumberFormat="1" applyFont="1" applyFill="1" applyBorder="1" applyAlignment="1">
      <alignment horizontal="center" wrapText="1"/>
    </xf>
    <xf numFmtId="0" fontId="12" fillId="5" borderId="12" xfId="5" applyFont="1" applyFill="1" applyBorder="1" applyAlignment="1">
      <alignment horizontal="center"/>
    </xf>
    <xf numFmtId="1" fontId="0" fillId="0" borderId="0" xfId="0" applyNumberFormat="1"/>
    <xf numFmtId="0" fontId="50" fillId="0" borderId="7" xfId="5" applyFont="1" applyBorder="1" applyAlignment="1">
      <alignment horizontal="center" vertical="center"/>
    </xf>
    <xf numFmtId="0" fontId="50" fillId="0" borderId="18" xfId="5" applyFont="1" applyBorder="1" applyAlignment="1">
      <alignment horizontal="center" vertical="center"/>
    </xf>
    <xf numFmtId="0" fontId="51" fillId="0" borderId="3" xfId="5" applyFont="1" applyBorder="1" applyAlignment="1">
      <alignment vertical="center"/>
    </xf>
    <xf numFmtId="0" fontId="50" fillId="0" borderId="3" xfId="5" applyFont="1" applyBorder="1" applyAlignment="1">
      <alignment horizontal="center" vertical="center"/>
    </xf>
    <xf numFmtId="1" fontId="50" fillId="0" borderId="3" xfId="5" applyNumberFormat="1" applyFont="1" applyBorder="1" applyAlignment="1">
      <alignment horizontal="center"/>
    </xf>
    <xf numFmtId="1" fontId="50" fillId="0" borderId="3" xfId="5" applyNumberFormat="1" applyFont="1" applyBorder="1" applyAlignment="1">
      <alignment horizontal="center" wrapText="1"/>
    </xf>
    <xf numFmtId="0" fontId="52" fillId="0" borderId="6" xfId="5" applyFont="1" applyBorder="1" applyAlignment="1">
      <alignment horizontal="center"/>
    </xf>
    <xf numFmtId="1" fontId="53" fillId="0" borderId="3" xfId="0" applyNumberFormat="1" applyFont="1" applyBorder="1"/>
    <xf numFmtId="0" fontId="53" fillId="0" borderId="3" xfId="0" applyFont="1" applyBorder="1" applyAlignment="1">
      <alignment horizontal="center"/>
    </xf>
    <xf numFmtId="0" fontId="53" fillId="0" borderId="3" xfId="0" applyFont="1" applyBorder="1"/>
    <xf numFmtId="0" fontId="47" fillId="0" borderId="3" xfId="0" applyFont="1" applyBorder="1" applyAlignment="1">
      <alignment horizontal="center" vertical="center"/>
    </xf>
    <xf numFmtId="1" fontId="47" fillId="0" borderId="3" xfId="0" applyNumberFormat="1" applyFont="1" applyBorder="1" applyAlignment="1">
      <alignment horizontal="center" vertical="center"/>
    </xf>
    <xf numFmtId="1" fontId="47" fillId="0" borderId="3" xfId="0" applyNumberFormat="1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wrapText="1"/>
    </xf>
    <xf numFmtId="12" fontId="47" fillId="0" borderId="28" xfId="0" applyNumberFormat="1" applyFont="1" applyBorder="1" applyAlignment="1">
      <alignment horizontal="center"/>
    </xf>
    <xf numFmtId="0" fontId="47" fillId="0" borderId="3" xfId="0" applyFont="1" applyBorder="1" applyAlignment="1">
      <alignment horizontal="left" vertical="center"/>
    </xf>
    <xf numFmtId="0" fontId="53" fillId="0" borderId="18" xfId="0" applyFont="1" applyBorder="1" applyAlignment="1">
      <alignment horizontal="center"/>
    </xf>
    <xf numFmtId="0" fontId="52" fillId="0" borderId="3" xfId="0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49" fontId="52" fillId="0" borderId="7" xfId="5" applyNumberFormat="1" applyFont="1" applyBorder="1" applyAlignment="1">
      <alignment horizontal="center"/>
    </xf>
    <xf numFmtId="49" fontId="52" fillId="0" borderId="18" xfId="5" applyNumberFormat="1" applyFont="1" applyBorder="1" applyAlignment="1">
      <alignment horizontal="center"/>
    </xf>
    <xf numFmtId="0" fontId="50" fillId="3" borderId="3" xfId="5" applyFont="1" applyFill="1" applyBorder="1" applyAlignment="1">
      <alignment horizontal="left"/>
    </xf>
    <xf numFmtId="0" fontId="47" fillId="3" borderId="3" xfId="5" applyFont="1" applyFill="1" applyBorder="1" applyAlignment="1">
      <alignment horizontal="center"/>
    </xf>
    <xf numFmtId="1" fontId="53" fillId="0" borderId="18" xfId="0" applyNumberFormat="1" applyFont="1" applyBorder="1"/>
    <xf numFmtId="0" fontId="52" fillId="0" borderId="3" xfId="5" applyFont="1" applyBorder="1" applyAlignment="1">
      <alignment horizontal="center"/>
    </xf>
    <xf numFmtId="165" fontId="52" fillId="0" borderId="3" xfId="5" applyNumberFormat="1" applyFont="1" applyBorder="1" applyAlignment="1">
      <alignment horizontal="center"/>
    </xf>
    <xf numFmtId="1" fontId="52" fillId="0" borderId="3" xfId="5" applyNumberFormat="1" applyFont="1" applyBorder="1" applyAlignment="1">
      <alignment horizontal="center" wrapText="1"/>
    </xf>
    <xf numFmtId="0" fontId="54" fillId="3" borderId="7" xfId="0" applyFont="1" applyFill="1" applyBorder="1" applyAlignment="1">
      <alignment horizontal="center"/>
    </xf>
    <xf numFmtId="0" fontId="54" fillId="3" borderId="2" xfId="0" applyFont="1" applyFill="1" applyBorder="1" applyAlignment="1">
      <alignment horizontal="center"/>
    </xf>
    <xf numFmtId="0" fontId="54" fillId="3" borderId="28" xfId="0" applyFont="1" applyFill="1" applyBorder="1"/>
    <xf numFmtId="0" fontId="47" fillId="3" borderId="18" xfId="0" applyFont="1" applyFill="1" applyBorder="1" applyAlignment="1">
      <alignment horizontal="center"/>
    </xf>
    <xf numFmtId="1" fontId="47" fillId="3" borderId="28" xfId="0" applyNumberFormat="1" applyFont="1" applyFill="1" applyBorder="1" applyAlignment="1">
      <alignment horizontal="center"/>
    </xf>
    <xf numFmtId="1" fontId="47" fillId="3" borderId="28" xfId="0" applyNumberFormat="1" applyFont="1" applyFill="1" applyBorder="1" applyAlignment="1">
      <alignment horizontal="center" wrapText="1"/>
    </xf>
    <xf numFmtId="16" fontId="47" fillId="0" borderId="3" xfId="0" applyNumberFormat="1" applyFont="1" applyBorder="1" applyAlignment="1">
      <alignment horizontal="center"/>
    </xf>
    <xf numFmtId="1" fontId="47" fillId="0" borderId="3" xfId="0" applyNumberFormat="1" applyFont="1" applyBorder="1" applyAlignment="1">
      <alignment horizontal="center"/>
    </xf>
    <xf numFmtId="1" fontId="47" fillId="0" borderId="3" xfId="0" applyNumberFormat="1" applyFont="1" applyBorder="1" applyAlignment="1">
      <alignment horizontal="center" wrapText="1"/>
    </xf>
    <xf numFmtId="49" fontId="50" fillId="0" borderId="13" xfId="5" applyNumberFormat="1" applyFont="1" applyBorder="1" applyAlignment="1">
      <alignment horizontal="center"/>
    </xf>
    <xf numFmtId="49" fontId="50" fillId="0" borderId="14" xfId="5" applyNumberFormat="1" applyFont="1" applyBorder="1" applyAlignment="1">
      <alignment horizontal="center"/>
    </xf>
    <xf numFmtId="0" fontId="51" fillId="3" borderId="3" xfId="5" applyFont="1" applyFill="1" applyBorder="1" applyAlignment="1">
      <alignment vertical="center"/>
    </xf>
    <xf numFmtId="0" fontId="50" fillId="0" borderId="18" xfId="5" applyFont="1" applyBorder="1" applyAlignment="1">
      <alignment horizontal="center"/>
    </xf>
    <xf numFmtId="165" fontId="50" fillId="0" borderId="3" xfId="5" applyNumberFormat="1" applyFont="1" applyBorder="1" applyAlignment="1">
      <alignment horizontal="center"/>
    </xf>
    <xf numFmtId="49" fontId="52" fillId="0" borderId="7" xfId="0" applyNumberFormat="1" applyFont="1" applyBorder="1" applyAlignment="1">
      <alignment horizontal="center"/>
    </xf>
    <xf numFmtId="49" fontId="52" fillId="0" borderId="18" xfId="0" applyNumberFormat="1" applyFont="1" applyBorder="1" applyAlignment="1">
      <alignment horizontal="center"/>
    </xf>
    <xf numFmtId="49" fontId="50" fillId="0" borderId="3" xfId="0" applyNumberFormat="1" applyFont="1" applyBorder="1"/>
    <xf numFmtId="1" fontId="52" fillId="0" borderId="3" xfId="0" applyNumberFormat="1" applyFont="1" applyBorder="1" applyAlignment="1">
      <alignment horizontal="center"/>
    </xf>
    <xf numFmtId="1" fontId="52" fillId="0" borderId="3" xfId="0" applyNumberFormat="1" applyFont="1" applyBorder="1" applyAlignment="1">
      <alignment horizontal="center" wrapText="1"/>
    </xf>
    <xf numFmtId="166" fontId="12" fillId="3" borderId="3" xfId="3" applyNumberFormat="1" applyFont="1" applyFill="1" applyBorder="1" applyAlignment="1">
      <alignment horizontal="center"/>
    </xf>
    <xf numFmtId="0" fontId="55" fillId="0" borderId="7" xfId="0" applyFont="1" applyBorder="1" applyAlignment="1">
      <alignment horizontal="center"/>
    </xf>
    <xf numFmtId="0" fontId="55" fillId="0" borderId="18" xfId="0" applyFont="1" applyBorder="1" applyAlignment="1">
      <alignment horizontal="center"/>
    </xf>
    <xf numFmtId="0" fontId="55" fillId="0" borderId="3" xfId="0" applyFont="1" applyBorder="1"/>
    <xf numFmtId="0" fontId="53" fillId="0" borderId="3" xfId="0" applyFont="1" applyBorder="1" applyAlignment="1">
      <alignment horizontal="center" vertical="center"/>
    </xf>
    <xf numFmtId="0" fontId="53" fillId="0" borderId="3" xfId="0" applyFont="1" applyBorder="1" applyAlignment="1">
      <alignment horizontal="left" vertical="center"/>
    </xf>
    <xf numFmtId="12" fontId="52" fillId="0" borderId="3" xfId="5" applyNumberFormat="1" applyFont="1" applyBorder="1" applyAlignment="1">
      <alignment horizontal="center"/>
    </xf>
    <xf numFmtId="1" fontId="52" fillId="0" borderId="3" xfId="5" applyNumberFormat="1" applyFont="1" applyBorder="1" applyAlignment="1">
      <alignment horizontal="center"/>
    </xf>
    <xf numFmtId="0" fontId="47" fillId="0" borderId="3" xfId="0" quotePrefix="1" applyFont="1" applyBorder="1" applyAlignment="1">
      <alignment horizontal="center"/>
    </xf>
    <xf numFmtId="0" fontId="47" fillId="0" borderId="3" xfId="0" quotePrefix="1" applyFont="1" applyBorder="1"/>
    <xf numFmtId="49" fontId="56" fillId="2" borderId="5" xfId="5" applyNumberFormat="1" applyFont="1" applyFill="1" applyBorder="1" applyAlignment="1">
      <alignment horizontal="center" vertical="center"/>
    </xf>
    <xf numFmtId="49" fontId="56" fillId="2" borderId="0" xfId="5" applyNumberFormat="1" applyFont="1" applyFill="1" applyAlignment="1">
      <alignment horizontal="center" vertical="center"/>
    </xf>
    <xf numFmtId="0" fontId="47" fillId="2" borderId="0" xfId="5" applyFont="1" applyFill="1"/>
    <xf numFmtId="1" fontId="47" fillId="2" borderId="0" xfId="5" applyNumberFormat="1" applyFont="1" applyFill="1" applyAlignment="1">
      <alignment horizontal="center"/>
    </xf>
    <xf numFmtId="164" fontId="47" fillId="2" borderId="0" xfId="5" applyNumberFormat="1" applyFont="1" applyFill="1" applyAlignment="1">
      <alignment horizontal="center" wrapText="1"/>
    </xf>
    <xf numFmtId="0" fontId="47" fillId="2" borderId="4" xfId="5" applyFont="1" applyFill="1" applyBorder="1" applyAlignment="1">
      <alignment horizontal="center"/>
    </xf>
    <xf numFmtId="0" fontId="47" fillId="5" borderId="29" xfId="5" applyFont="1" applyFill="1" applyBorder="1" applyAlignment="1">
      <alignment horizontal="center"/>
    </xf>
    <xf numFmtId="0" fontId="47" fillId="5" borderId="30" xfId="5" applyFont="1" applyFill="1" applyBorder="1" applyAlignment="1">
      <alignment horizontal="center"/>
    </xf>
    <xf numFmtId="0" fontId="47" fillId="5" borderId="30" xfId="5" applyFont="1" applyFill="1" applyBorder="1"/>
    <xf numFmtId="0" fontId="12" fillId="5" borderId="30" xfId="5" applyFont="1" applyFill="1" applyBorder="1" applyAlignment="1">
      <alignment horizontal="center"/>
    </xf>
    <xf numFmtId="1" fontId="12" fillId="5" borderId="30" xfId="5" applyNumberFormat="1" applyFont="1" applyFill="1" applyBorder="1" applyAlignment="1">
      <alignment horizontal="center"/>
    </xf>
    <xf numFmtId="164" fontId="47" fillId="5" borderId="30" xfId="5" applyNumberFormat="1" applyFont="1" applyFill="1" applyBorder="1" applyAlignment="1">
      <alignment horizontal="center" wrapText="1"/>
    </xf>
    <xf numFmtId="0" fontId="47" fillId="5" borderId="31" xfId="5" applyFont="1" applyFill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0" fontId="47" fillId="0" borderId="33" xfId="0" applyFont="1" applyBorder="1" applyAlignment="1">
      <alignment horizontal="center"/>
    </xf>
    <xf numFmtId="1" fontId="47" fillId="0" borderId="11" xfId="0" applyNumberFormat="1" applyFont="1" applyBorder="1" applyAlignment="1">
      <alignment horizontal="center"/>
    </xf>
    <xf numFmtId="0" fontId="47" fillId="0" borderId="11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3" borderId="7" xfId="5" applyFill="1" applyBorder="1"/>
    <xf numFmtId="0" fontId="7" fillId="3" borderId="3" xfId="5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57" fillId="0" borderId="3" xfId="0" applyFont="1" applyBorder="1" applyAlignment="1">
      <alignment horizontal="center" vertical="top"/>
    </xf>
    <xf numFmtId="1" fontId="9" fillId="3" borderId="3" xfId="0" applyNumberFormat="1" applyFont="1" applyFill="1" applyBorder="1" applyAlignment="1">
      <alignment horizontal="center" wrapText="1"/>
    </xf>
    <xf numFmtId="2" fontId="9" fillId="0" borderId="23" xfId="5" applyNumberFormat="1" applyFont="1" applyBorder="1" applyAlignment="1">
      <alignment horizontal="center"/>
    </xf>
    <xf numFmtId="0" fontId="9" fillId="0" borderId="23" xfId="5" applyFont="1" applyBorder="1" applyAlignment="1">
      <alignment horizontal="center"/>
    </xf>
    <xf numFmtId="0" fontId="58" fillId="0" borderId="22" xfId="0" applyFont="1" applyBorder="1" applyAlignment="1">
      <alignment horizontal="center" vertical="top"/>
    </xf>
    <xf numFmtId="0" fontId="58" fillId="0" borderId="3" xfId="0" applyFont="1" applyBorder="1" applyAlignment="1">
      <alignment vertical="top"/>
    </xf>
    <xf numFmtId="0" fontId="38" fillId="0" borderId="22" xfId="0" applyFont="1" applyBorder="1" applyAlignment="1">
      <alignment horizontal="center" vertical="top" wrapText="1"/>
    </xf>
    <xf numFmtId="0" fontId="39" fillId="0" borderId="22" xfId="0" applyFont="1" applyBorder="1" applyAlignment="1">
      <alignment horizontal="center" vertical="top" wrapText="1"/>
    </xf>
    <xf numFmtId="0" fontId="39" fillId="0" borderId="3" xfId="0" applyFont="1" applyBorder="1" applyAlignment="1">
      <alignment horizontal="center" vertical="top" wrapText="1"/>
    </xf>
    <xf numFmtId="0" fontId="6" fillId="3" borderId="0" xfId="0" applyFont="1" applyFill="1" applyAlignment="1">
      <alignment vertical="center"/>
    </xf>
    <xf numFmtId="0" fontId="23" fillId="9" borderId="3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3" fontId="23" fillId="0" borderId="3" xfId="3" applyFont="1" applyFill="1" applyBorder="1" applyAlignment="1">
      <alignment horizontal="center" vertical="center"/>
    </xf>
    <xf numFmtId="43" fontId="23" fillId="0" borderId="0" xfId="3" applyFont="1" applyFill="1" applyBorder="1" applyAlignment="1">
      <alignment horizontal="center" vertical="center"/>
    </xf>
    <xf numFmtId="43" fontId="61" fillId="0" borderId="0" xfId="3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 wrapText="1"/>
    </xf>
    <xf numFmtId="169" fontId="64" fillId="0" borderId="0" xfId="0" applyNumberFormat="1" applyFont="1" applyAlignment="1">
      <alignment horizontal="center" vertical="center" wrapText="1"/>
    </xf>
    <xf numFmtId="0" fontId="23" fillId="10" borderId="56" xfId="0" applyFont="1" applyFill="1" applyBorder="1" applyAlignment="1">
      <alignment horizontal="center" vertical="center"/>
    </xf>
    <xf numFmtId="0" fontId="23" fillId="10" borderId="57" xfId="0" applyFont="1" applyFill="1" applyBorder="1" applyAlignment="1">
      <alignment horizontal="center" vertical="center"/>
    </xf>
    <xf numFmtId="0" fontId="23" fillId="10" borderId="57" xfId="0" applyFont="1" applyFill="1" applyBorder="1" applyAlignment="1">
      <alignment horizontal="center" vertical="center" wrapText="1"/>
    </xf>
    <xf numFmtId="0" fontId="23" fillId="10" borderId="5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65" fillId="0" borderId="0" xfId="0" applyNumberFormat="1" applyFont="1" applyAlignment="1">
      <alignment horizontal="center"/>
    </xf>
    <xf numFmtId="4" fontId="65" fillId="0" borderId="0" xfId="11" applyNumberFormat="1" applyFont="1" applyFill="1" applyAlignment="1">
      <alignment horizontal="center" vertical="center"/>
    </xf>
    <xf numFmtId="4" fontId="23" fillId="0" borderId="0" xfId="11" applyNumberFormat="1" applyFont="1" applyFill="1" applyAlignment="1">
      <alignment horizontal="center" vertical="center"/>
    </xf>
    <xf numFmtId="10" fontId="23" fillId="0" borderId="0" xfId="2" applyNumberFormat="1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10" fontId="60" fillId="0" borderId="0" xfId="2" applyNumberFormat="1" applyFont="1" applyFill="1" applyAlignment="1">
      <alignment vertical="center"/>
    </xf>
    <xf numFmtId="0" fontId="6" fillId="0" borderId="0" xfId="0" applyFont="1"/>
    <xf numFmtId="49" fontId="23" fillId="0" borderId="0" xfId="0" applyNumberFormat="1" applyFont="1" applyAlignment="1">
      <alignment horizontal="center"/>
    </xf>
    <xf numFmtId="170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3" applyFont="1" applyFill="1" applyAlignment="1">
      <alignment vertical="center"/>
    </xf>
    <xf numFmtId="49" fontId="6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4" fontId="23" fillId="0" borderId="0" xfId="3" applyNumberFormat="1" applyFont="1" applyFill="1" applyAlignment="1">
      <alignment vertical="center"/>
    </xf>
    <xf numFmtId="43" fontId="67" fillId="0" borderId="0" xfId="3" applyFont="1" applyFill="1" applyAlignment="1">
      <alignment horizontal="center" vertical="center"/>
    </xf>
    <xf numFmtId="10" fontId="60" fillId="10" borderId="59" xfId="2" applyNumberFormat="1" applyFont="1" applyFill="1" applyBorder="1" applyAlignment="1">
      <alignment vertical="center"/>
    </xf>
    <xf numFmtId="0" fontId="6" fillId="10" borderId="30" xfId="0" applyFont="1" applyFill="1" applyBorder="1" applyAlignment="1">
      <alignment vertical="center"/>
    </xf>
    <xf numFmtId="0" fontId="6" fillId="10" borderId="59" xfId="0" applyFont="1" applyFill="1" applyBorder="1" applyAlignment="1">
      <alignment vertical="center"/>
    </xf>
    <xf numFmtId="43" fontId="67" fillId="10" borderId="60" xfId="3" applyFont="1" applyFill="1" applyBorder="1" applyAlignment="1">
      <alignment horizontal="center" vertical="center"/>
    </xf>
    <xf numFmtId="43" fontId="69" fillId="0" borderId="0" xfId="3" applyFont="1" applyFill="1" applyBorder="1" applyAlignment="1">
      <alignment horizontal="right"/>
    </xf>
    <xf numFmtId="0" fontId="6" fillId="10" borderId="60" xfId="0" applyFont="1" applyFill="1" applyBorder="1" applyAlignment="1">
      <alignment vertical="center"/>
    </xf>
    <xf numFmtId="10" fontId="60" fillId="10" borderId="60" xfId="2" applyNumberFormat="1" applyFont="1" applyFill="1" applyBorder="1" applyAlignment="1">
      <alignment vertical="center"/>
    </xf>
    <xf numFmtId="0" fontId="68" fillId="0" borderId="0" xfId="0" applyFont="1" applyAlignment="1">
      <alignment horizontal="right"/>
    </xf>
    <xf numFmtId="0" fontId="68" fillId="0" borderId="0" xfId="0" applyFont="1"/>
    <xf numFmtId="9" fontId="68" fillId="0" borderId="0" xfId="0" applyNumberFormat="1" applyFont="1"/>
    <xf numFmtId="9" fontId="70" fillId="0" borderId="0" xfId="2" applyFont="1" applyFill="1" applyAlignment="1">
      <alignment horizontal="center"/>
    </xf>
    <xf numFmtId="0" fontId="67" fillId="0" borderId="0" xfId="0" applyFont="1" applyAlignment="1">
      <alignment horizontal="right" vertical="center"/>
    </xf>
    <xf numFmtId="4" fontId="67" fillId="0" borderId="0" xfId="3" applyNumberFormat="1" applyFont="1" applyFill="1" applyAlignment="1">
      <alignment vertical="center"/>
    </xf>
    <xf numFmtId="4" fontId="67" fillId="0" borderId="0" xfId="11" applyNumberFormat="1" applyFont="1" applyAlignment="1">
      <alignment horizontal="center" vertical="center"/>
    </xf>
    <xf numFmtId="0" fontId="71" fillId="0" borderId="0" xfId="0" applyFont="1" applyAlignment="1">
      <alignment horizontal="right"/>
    </xf>
    <xf numFmtId="0" fontId="72" fillId="0" borderId="0" xfId="0" applyFont="1" applyAlignment="1">
      <alignment horizontal="right"/>
    </xf>
    <xf numFmtId="0" fontId="72" fillId="0" borderId="4" xfId="0" applyFont="1" applyBorder="1" applyAlignment="1">
      <alignment horizontal="right"/>
    </xf>
    <xf numFmtId="43" fontId="73" fillId="4" borderId="61" xfId="3" applyFont="1" applyFill="1" applyBorder="1" applyAlignment="1">
      <alignment horizontal="right"/>
    </xf>
    <xf numFmtId="43" fontId="73" fillId="0" borderId="0" xfId="3" applyFont="1" applyFill="1" applyBorder="1" applyAlignment="1">
      <alignment horizontal="right"/>
    </xf>
    <xf numFmtId="43" fontId="23" fillId="0" borderId="3" xfId="3" applyFont="1" applyFill="1" applyBorder="1" applyAlignment="1">
      <alignment vertical="center"/>
    </xf>
    <xf numFmtId="0" fontId="74" fillId="0" borderId="0" xfId="0" applyFont="1" applyAlignment="1">
      <alignment horizontal="left" vertical="center"/>
    </xf>
    <xf numFmtId="4" fontId="67" fillId="0" borderId="0" xfId="11" applyNumberFormat="1" applyFont="1" applyFill="1" applyAlignment="1">
      <alignment horizontal="center" vertical="center"/>
    </xf>
    <xf numFmtId="10" fontId="75" fillId="0" borderId="0" xfId="2" applyNumberFormat="1" applyFont="1" applyFill="1" applyAlignment="1">
      <alignment horizontal="right"/>
    </xf>
    <xf numFmtId="171" fontId="23" fillId="10" borderId="3" xfId="3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43" fontId="23" fillId="11" borderId="3" xfId="3" applyFont="1" applyFill="1" applyBorder="1" applyAlignment="1">
      <alignment vertical="center"/>
    </xf>
    <xf numFmtId="168" fontId="76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60" fillId="10" borderId="62" xfId="0" applyFont="1" applyFill="1" applyBorder="1" applyAlignment="1">
      <alignment vertical="center"/>
    </xf>
    <xf numFmtId="0" fontId="78" fillId="0" borderId="0" xfId="0" applyFont="1" applyAlignment="1">
      <alignment vertical="center"/>
    </xf>
    <xf numFmtId="2" fontId="75" fillId="0" borderId="0" xfId="3" applyNumberFormat="1" applyFont="1" applyFill="1" applyBorder="1" applyAlignment="1">
      <alignment horizontal="center"/>
    </xf>
    <xf numFmtId="2" fontId="72" fillId="0" borderId="0" xfId="3" applyNumberFormat="1" applyFont="1" applyFill="1" applyBorder="1" applyAlignment="1">
      <alignment horizontal="center"/>
    </xf>
    <xf numFmtId="0" fontId="6" fillId="10" borderId="62" xfId="0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4" fontId="6" fillId="0" borderId="0" xfId="3" applyNumberFormat="1" applyFont="1" applyFill="1" applyAlignment="1">
      <alignment vertical="center"/>
    </xf>
    <xf numFmtId="43" fontId="73" fillId="10" borderId="30" xfId="3" applyFont="1" applyFill="1" applyBorder="1" applyAlignment="1">
      <alignment horizontal="right"/>
    </xf>
    <xf numFmtId="0" fontId="23" fillId="10" borderId="31" xfId="0" applyFont="1" applyFill="1" applyBorder="1" applyAlignment="1">
      <alignment horizontal="right" vertical="center"/>
    </xf>
    <xf numFmtId="10" fontId="79" fillId="0" borderId="0" xfId="3" applyNumberFormat="1" applyFont="1" applyFill="1" applyAlignment="1">
      <alignment vertical="center"/>
    </xf>
    <xf numFmtId="10" fontId="60" fillId="0" borderId="0" xfId="2" applyNumberFormat="1" applyFont="1" applyFill="1" applyBorder="1" applyAlignment="1">
      <alignment vertical="center"/>
    </xf>
    <xf numFmtId="168" fontId="80" fillId="0" borderId="0" xfId="0" applyNumberFormat="1" applyFont="1" applyAlignment="1">
      <alignment horizontal="center" vertical="center"/>
    </xf>
    <xf numFmtId="0" fontId="6" fillId="3" borderId="61" xfId="0" applyFont="1" applyFill="1" applyBorder="1" applyAlignment="1">
      <alignment horizontal="center" vertical="center"/>
    </xf>
    <xf numFmtId="43" fontId="81" fillId="0" borderId="0" xfId="3" applyFont="1" applyFill="1" applyAlignment="1">
      <alignment vertical="center"/>
    </xf>
    <xf numFmtId="4" fontId="82" fillId="0" borderId="0" xfId="11" applyNumberFormat="1" applyFont="1" applyFill="1" applyAlignment="1">
      <alignment horizontal="center" vertical="center" wrapText="1"/>
    </xf>
    <xf numFmtId="9" fontId="6" fillId="0" borderId="0" xfId="3" applyNumberFormat="1" applyFont="1" applyFill="1" applyAlignment="1">
      <alignment vertical="center"/>
    </xf>
    <xf numFmtId="0" fontId="6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6" fillId="0" borderId="0" xfId="0" applyFont="1" applyAlignment="1">
      <alignment horizontal="right" vertical="center"/>
    </xf>
    <xf numFmtId="4" fontId="66" fillId="0" borderId="0" xfId="3" applyNumberFormat="1" applyFont="1" applyFill="1" applyAlignment="1">
      <alignment vertical="center"/>
    </xf>
    <xf numFmtId="4" fontId="23" fillId="13" borderId="61" xfId="3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43" fontId="30" fillId="0" borderId="0" xfId="3" applyFont="1" applyFill="1" applyAlignment="1">
      <alignment vertical="center"/>
    </xf>
    <xf numFmtId="9" fontId="30" fillId="0" borderId="0" xfId="3" applyNumberFormat="1" applyFont="1" applyFill="1" applyAlignment="1">
      <alignment vertical="center"/>
    </xf>
    <xf numFmtId="4" fontId="23" fillId="0" borderId="0" xfId="3" applyNumberFormat="1" applyFont="1" applyFill="1" applyAlignment="1">
      <alignment horizontal="center" vertical="center"/>
    </xf>
    <xf numFmtId="10" fontId="76" fillId="0" borderId="0" xfId="2" applyNumberFormat="1" applyFont="1" applyFill="1" applyAlignment="1">
      <alignment vertical="center"/>
    </xf>
    <xf numFmtId="43" fontId="76" fillId="0" borderId="0" xfId="3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43" fontId="6" fillId="0" borderId="0" xfId="3" applyFont="1" applyFill="1" applyBorder="1"/>
    <xf numFmtId="10" fontId="76" fillId="0" borderId="0" xfId="2" applyNumberFormat="1" applyFont="1" applyFill="1" applyBorder="1" applyAlignment="1">
      <alignment vertical="center"/>
    </xf>
    <xf numFmtId="0" fontId="76" fillId="0" borderId="0" xfId="0" applyFont="1" applyAlignment="1">
      <alignment horizontal="right"/>
    </xf>
    <xf numFmtId="43" fontId="6" fillId="0" borderId="0" xfId="3" applyFont="1" applyFill="1" applyBorder="1" applyAlignment="1">
      <alignment horizontal="center"/>
    </xf>
    <xf numFmtId="9" fontId="85" fillId="0" borderId="0" xfId="0" applyNumberFormat="1" applyFont="1" applyAlignment="1">
      <alignment horizontal="left"/>
    </xf>
    <xf numFmtId="4" fontId="23" fillId="0" borderId="0" xfId="0" applyNumberFormat="1" applyFont="1" applyAlignment="1">
      <alignment horizontal="center"/>
    </xf>
    <xf numFmtId="168" fontId="23" fillId="0" borderId="0" xfId="0" applyNumberFormat="1" applyFont="1"/>
    <xf numFmtId="0" fontId="6" fillId="14" borderId="0" xfId="0" applyFont="1" applyFill="1" applyAlignment="1">
      <alignment horizontal="center" vertical="center" wrapText="1"/>
    </xf>
    <xf numFmtId="0" fontId="11" fillId="6" borderId="41" xfId="1" applyFont="1" applyFill="1" applyBorder="1" applyAlignment="1">
      <alignment horizontal="center"/>
    </xf>
    <xf numFmtId="0" fontId="11" fillId="6" borderId="37" xfId="1" applyFont="1" applyFill="1" applyBorder="1" applyAlignment="1">
      <alignment horizontal="center"/>
    </xf>
    <xf numFmtId="0" fontId="9" fillId="2" borderId="42" xfId="1" applyFont="1" applyFill="1" applyBorder="1" applyAlignment="1">
      <alignment horizontal="left"/>
    </xf>
    <xf numFmtId="0" fontId="9" fillId="2" borderId="0" xfId="1" applyFont="1" applyFill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1" fillId="0" borderId="13" xfId="5" applyFont="1" applyBorder="1" applyAlignment="1">
      <alignment horizontal="right"/>
    </xf>
    <xf numFmtId="0" fontId="11" fillId="0" borderId="14" xfId="5" applyFont="1" applyBorder="1" applyAlignment="1">
      <alignment horizontal="right"/>
    </xf>
    <xf numFmtId="0" fontId="11" fillId="0" borderId="18" xfId="5" applyFont="1" applyBorder="1" applyAlignment="1">
      <alignment horizontal="right"/>
    </xf>
    <xf numFmtId="0" fontId="9" fillId="0" borderId="3" xfId="5" applyFont="1" applyBorder="1" applyAlignment="1">
      <alignment horizontal="right"/>
    </xf>
    <xf numFmtId="164" fontId="9" fillId="0" borderId="22" xfId="5" applyNumberFormat="1" applyFont="1" applyBorder="1" applyAlignment="1">
      <alignment horizontal="center"/>
    </xf>
    <xf numFmtId="164" fontId="9" fillId="0" borderId="15" xfId="5" applyNumberFormat="1" applyFont="1" applyBorder="1" applyAlignment="1">
      <alignment horizontal="center"/>
    </xf>
    <xf numFmtId="164" fontId="9" fillId="0" borderId="22" xfId="5" applyNumberFormat="1" applyFont="1" applyBorder="1" applyAlignment="1">
      <alignment horizontal="right" wrapText="1"/>
    </xf>
    <xf numFmtId="164" fontId="9" fillId="0" borderId="18" xfId="5" applyNumberFormat="1" applyFont="1" applyBorder="1" applyAlignment="1">
      <alignment horizontal="right" wrapText="1"/>
    </xf>
    <xf numFmtId="164" fontId="9" fillId="0" borderId="22" xfId="0" applyNumberFormat="1" applyFont="1" applyBorder="1" applyAlignment="1">
      <alignment horizontal="center" wrapText="1"/>
    </xf>
    <xf numFmtId="164" fontId="9" fillId="0" borderId="15" xfId="0" applyNumberFormat="1" applyFont="1" applyBorder="1" applyAlignment="1">
      <alignment horizontal="center" wrapText="1"/>
    </xf>
    <xf numFmtId="0" fontId="11" fillId="0" borderId="10" xfId="5" applyFont="1" applyBorder="1" applyAlignment="1">
      <alignment horizontal="right"/>
    </xf>
    <xf numFmtId="0" fontId="11" fillId="0" borderId="34" xfId="5" applyFont="1" applyBorder="1" applyAlignment="1">
      <alignment horizontal="right"/>
    </xf>
    <xf numFmtId="0" fontId="11" fillId="0" borderId="11" xfId="5" applyFont="1" applyBorder="1" applyAlignment="1">
      <alignment horizontal="right"/>
    </xf>
    <xf numFmtId="0" fontId="9" fillId="0" borderId="11" xfId="5" applyFont="1" applyBorder="1" applyAlignment="1">
      <alignment horizontal="right"/>
    </xf>
    <xf numFmtId="0" fontId="11" fillId="5" borderId="29" xfId="5" applyFont="1" applyFill="1" applyBorder="1" applyAlignment="1">
      <alignment horizontal="left"/>
    </xf>
    <xf numFmtId="0" fontId="11" fillId="5" borderId="30" xfId="5" applyFont="1" applyFill="1" applyBorder="1" applyAlignment="1">
      <alignment horizontal="left"/>
    </xf>
    <xf numFmtId="0" fontId="11" fillId="5" borderId="31" xfId="5" applyFont="1" applyFill="1" applyBorder="1" applyAlignment="1">
      <alignment horizontal="left"/>
    </xf>
    <xf numFmtId="0" fontId="11" fillId="0" borderId="32" xfId="5" applyFont="1" applyBorder="1" applyAlignment="1">
      <alignment horizontal="right"/>
    </xf>
    <xf numFmtId="0" fontId="11" fillId="0" borderId="35" xfId="5" applyFont="1" applyBorder="1" applyAlignment="1">
      <alignment horizontal="right"/>
    </xf>
    <xf numFmtId="0" fontId="11" fillId="0" borderId="2" xfId="5" applyFont="1" applyBorder="1" applyAlignment="1">
      <alignment horizontal="right"/>
    </xf>
    <xf numFmtId="164" fontId="9" fillId="0" borderId="28" xfId="5" applyNumberFormat="1" applyFont="1" applyBorder="1" applyAlignment="1">
      <alignment horizontal="right"/>
    </xf>
    <xf numFmtId="0" fontId="9" fillId="2" borderId="33" xfId="5" applyFont="1" applyFill="1" applyBorder="1" applyAlignment="1">
      <alignment horizontal="center"/>
    </xf>
    <xf numFmtId="0" fontId="9" fillId="2" borderId="9" xfId="5" applyFont="1" applyFill="1" applyBorder="1" applyAlignment="1">
      <alignment horizontal="center"/>
    </xf>
    <xf numFmtId="0" fontId="15" fillId="2" borderId="0" xfId="4" applyFont="1" applyFill="1" applyAlignment="1">
      <alignment horizontal="right"/>
    </xf>
    <xf numFmtId="0" fontId="16" fillId="2" borderId="39" xfId="4" applyFont="1" applyFill="1" applyBorder="1" applyAlignment="1">
      <alignment horizontal="center"/>
    </xf>
    <xf numFmtId="0" fontId="15" fillId="2" borderId="0" xfId="4" applyFont="1" applyFill="1"/>
    <xf numFmtId="0" fontId="11" fillId="5" borderId="40" xfId="5" applyFont="1" applyFill="1" applyBorder="1" applyAlignment="1">
      <alignment horizontal="center" vertical="center"/>
    </xf>
    <xf numFmtId="0" fontId="11" fillId="5" borderId="10" xfId="5" applyFont="1" applyFill="1" applyBorder="1" applyAlignment="1">
      <alignment horizontal="center" vertical="center"/>
    </xf>
    <xf numFmtId="0" fontId="11" fillId="5" borderId="40" xfId="5" applyFont="1" applyFill="1" applyBorder="1" applyAlignment="1">
      <alignment horizontal="center" vertical="center" wrapText="1"/>
    </xf>
    <xf numFmtId="0" fontId="11" fillId="5" borderId="10" xfId="5" applyFont="1" applyFill="1" applyBorder="1" applyAlignment="1">
      <alignment horizontal="center" vertical="center" wrapText="1"/>
    </xf>
    <xf numFmtId="0" fontId="11" fillId="5" borderId="23" xfId="5" applyFont="1" applyFill="1" applyBorder="1" applyAlignment="1">
      <alignment horizontal="center" vertical="center"/>
    </xf>
    <xf numFmtId="0" fontId="11" fillId="5" borderId="11" xfId="5" applyFont="1" applyFill="1" applyBorder="1" applyAlignment="1">
      <alignment horizontal="center" vertical="center"/>
    </xf>
    <xf numFmtId="14" fontId="9" fillId="2" borderId="20" xfId="1" applyNumberFormat="1" applyFont="1" applyFill="1" applyBorder="1" applyAlignment="1">
      <alignment horizontal="center" vertical="center" wrapText="1"/>
    </xf>
    <xf numFmtId="14" fontId="9" fillId="2" borderId="27" xfId="1" applyNumberFormat="1" applyFont="1" applyFill="1" applyBorder="1" applyAlignment="1">
      <alignment horizontal="center" vertical="center" wrapText="1"/>
    </xf>
    <xf numFmtId="14" fontId="9" fillId="2" borderId="21" xfId="1" applyNumberFormat="1" applyFont="1" applyFill="1" applyBorder="1" applyAlignment="1">
      <alignment horizontal="center" vertical="center" wrapText="1"/>
    </xf>
    <xf numFmtId="0" fontId="9" fillId="2" borderId="25" xfId="1" applyFont="1" applyFill="1" applyBorder="1" applyAlignment="1">
      <alignment horizontal="left"/>
    </xf>
    <xf numFmtId="0" fontId="9" fillId="2" borderId="17" xfId="1" applyFont="1" applyFill="1" applyBorder="1" applyAlignment="1">
      <alignment horizontal="left"/>
    </xf>
    <xf numFmtId="0" fontId="9" fillId="2" borderId="1" xfId="1" applyFont="1" applyFill="1" applyBorder="1" applyAlignment="1">
      <alignment horizontal="left"/>
    </xf>
    <xf numFmtId="0" fontId="9" fillId="2" borderId="22" xfId="1" applyFont="1" applyFill="1" applyBorder="1" applyAlignment="1">
      <alignment horizontal="left"/>
    </xf>
    <xf numFmtId="0" fontId="9" fillId="2" borderId="14" xfId="1" applyFont="1" applyFill="1" applyBorder="1" applyAlignment="1">
      <alignment horizontal="left"/>
    </xf>
    <xf numFmtId="0" fontId="9" fillId="2" borderId="18" xfId="1" applyFont="1" applyFill="1" applyBorder="1" applyAlignment="1">
      <alignment horizontal="left"/>
    </xf>
    <xf numFmtId="0" fontId="9" fillId="2" borderId="36" xfId="1" applyFont="1" applyFill="1" applyBorder="1" applyAlignment="1">
      <alignment horizontal="center"/>
    </xf>
    <xf numFmtId="0" fontId="9" fillId="2" borderId="37" xfId="1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/>
    </xf>
    <xf numFmtId="0" fontId="9" fillId="2" borderId="0" xfId="1" applyFont="1" applyFill="1" applyAlignment="1">
      <alignment horizontal="center"/>
    </xf>
    <xf numFmtId="0" fontId="9" fillId="2" borderId="32" xfId="1" applyFont="1" applyFill="1" applyBorder="1" applyAlignment="1">
      <alignment horizontal="center"/>
    </xf>
    <xf numFmtId="0" fontId="9" fillId="2" borderId="35" xfId="1" applyFont="1" applyFill="1" applyBorder="1" applyAlignment="1">
      <alignment horizontal="center"/>
    </xf>
    <xf numFmtId="0" fontId="10" fillId="2" borderId="23" xfId="1" applyFont="1" applyFill="1" applyBorder="1" applyAlignment="1">
      <alignment horizontal="center"/>
    </xf>
    <xf numFmtId="0" fontId="10" fillId="2" borderId="16" xfId="1" applyFont="1" applyFill="1" applyBorder="1" applyAlignment="1">
      <alignment horizontal="center"/>
    </xf>
    <xf numFmtId="0" fontId="10" fillId="2" borderId="38" xfId="1" applyFont="1" applyFill="1" applyBorder="1" applyAlignment="1">
      <alignment horizontal="center"/>
    </xf>
    <xf numFmtId="0" fontId="10" fillId="2" borderId="34" xfId="1" applyFont="1" applyFill="1" applyBorder="1" applyAlignment="1">
      <alignment horizontal="center"/>
    </xf>
    <xf numFmtId="0" fontId="12" fillId="4" borderId="30" xfId="1" applyFont="1" applyFill="1" applyBorder="1" applyAlignment="1">
      <alignment horizontal="center" vertical="center" wrapText="1"/>
    </xf>
    <xf numFmtId="0" fontId="12" fillId="4" borderId="31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right" vertical="top" wrapText="1"/>
    </xf>
    <xf numFmtId="0" fontId="11" fillId="2" borderId="26" xfId="1" applyFont="1" applyFill="1" applyBorder="1" applyAlignment="1">
      <alignment horizontal="right" vertical="top" wrapText="1"/>
    </xf>
    <xf numFmtId="0" fontId="11" fillId="2" borderId="8" xfId="1" applyFont="1" applyFill="1" applyBorder="1" applyAlignment="1">
      <alignment horizontal="right" vertical="top" wrapText="1"/>
    </xf>
    <xf numFmtId="0" fontId="67" fillId="0" borderId="0" xfId="0" applyFont="1" applyAlignment="1">
      <alignment horizontal="center" vertical="center"/>
    </xf>
    <xf numFmtId="0" fontId="83" fillId="0" borderId="29" xfId="0" applyFont="1" applyBorder="1" applyAlignment="1">
      <alignment horizontal="right" vertical="center"/>
    </xf>
    <xf numFmtId="0" fontId="83" fillId="0" borderId="30" xfId="0" applyFont="1" applyBorder="1" applyAlignment="1">
      <alignment horizontal="right" vertical="center"/>
    </xf>
    <xf numFmtId="0" fontId="83" fillId="0" borderId="31" xfId="0" applyFont="1" applyBorder="1" applyAlignment="1">
      <alignment horizontal="right" vertical="center"/>
    </xf>
    <xf numFmtId="0" fontId="84" fillId="0" borderId="0" xfId="0" applyFont="1" applyAlignment="1">
      <alignment horizontal="right"/>
    </xf>
    <xf numFmtId="0" fontId="75" fillId="0" borderId="39" xfId="0" applyFont="1" applyBorder="1" applyAlignment="1">
      <alignment horizontal="right"/>
    </xf>
    <xf numFmtId="0" fontId="67" fillId="0" borderId="0" xfId="0" applyFont="1" applyAlignment="1">
      <alignment horizontal="right" vertical="center"/>
    </xf>
    <xf numFmtId="0" fontId="73" fillId="10" borderId="29" xfId="0" applyFont="1" applyFill="1" applyBorder="1" applyAlignment="1">
      <alignment horizontal="right"/>
    </xf>
    <xf numFmtId="0" fontId="73" fillId="10" borderId="30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23" fillId="0" borderId="39" xfId="0" applyFont="1" applyBorder="1" applyAlignment="1">
      <alignment horizontal="right" vertical="center"/>
    </xf>
    <xf numFmtId="0" fontId="23" fillId="0" borderId="50" xfId="0" applyFont="1" applyBorder="1" applyAlignment="1">
      <alignment horizontal="right" vertical="center"/>
    </xf>
    <xf numFmtId="0" fontId="23" fillId="12" borderId="29" xfId="0" applyFont="1" applyFill="1" applyBorder="1" applyAlignment="1">
      <alignment horizontal="right" vertical="center"/>
    </xf>
    <xf numFmtId="0" fontId="23" fillId="12" borderId="30" xfId="0" applyFont="1" applyFill="1" applyBorder="1" applyAlignment="1">
      <alignment horizontal="right" vertical="center"/>
    </xf>
    <xf numFmtId="0" fontId="23" fillId="12" borderId="31" xfId="0" applyFont="1" applyFill="1" applyBorder="1" applyAlignment="1">
      <alignment horizontal="right" vertical="center"/>
    </xf>
    <xf numFmtId="4" fontId="82" fillId="0" borderId="0" xfId="11" applyNumberFormat="1" applyFont="1" applyFill="1" applyAlignment="1">
      <alignment horizontal="center" vertical="center" wrapText="1"/>
    </xf>
    <xf numFmtId="0" fontId="76" fillId="0" borderId="3" xfId="0" applyFont="1" applyBorder="1" applyAlignment="1">
      <alignment horizontal="right" vertical="center"/>
    </xf>
    <xf numFmtId="0" fontId="77" fillId="0" borderId="5" xfId="0" applyFont="1" applyBorder="1" applyAlignment="1">
      <alignment horizontal="right"/>
    </xf>
    <xf numFmtId="0" fontId="77" fillId="0" borderId="0" xfId="0" applyFont="1" applyAlignment="1">
      <alignment horizontal="right"/>
    </xf>
    <xf numFmtId="0" fontId="77" fillId="0" borderId="4" xfId="0" applyFont="1" applyBorder="1" applyAlignment="1">
      <alignment horizontal="right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68" fillId="0" borderId="36" xfId="0" applyFont="1" applyBorder="1" applyAlignment="1">
      <alignment horizontal="right"/>
    </xf>
    <xf numFmtId="0" fontId="68" fillId="0" borderId="37" xfId="0" applyFont="1" applyBorder="1" applyAlignment="1">
      <alignment horizontal="right"/>
    </xf>
    <xf numFmtId="0" fontId="6" fillId="0" borderId="3" xfId="0" applyFont="1" applyBorder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39" xfId="0" applyFont="1" applyBorder="1" applyAlignment="1">
      <alignment horizontal="center" vertical="center"/>
    </xf>
    <xf numFmtId="0" fontId="63" fillId="0" borderId="29" xfId="0" applyFont="1" applyBorder="1" applyAlignment="1">
      <alignment horizontal="center" vertical="center" wrapText="1"/>
    </xf>
    <xf numFmtId="0" fontId="63" fillId="0" borderId="30" xfId="0" applyFont="1" applyBorder="1" applyAlignment="1">
      <alignment horizontal="center" vertical="center" wrapText="1"/>
    </xf>
    <xf numFmtId="0" fontId="63" fillId="0" borderId="31" xfId="0" applyFont="1" applyBorder="1" applyAlignment="1">
      <alignment horizontal="center" vertical="center" wrapText="1"/>
    </xf>
    <xf numFmtId="0" fontId="64" fillId="0" borderId="30" xfId="0" applyFont="1" applyBorder="1" applyAlignment="1">
      <alignment horizontal="right" vertical="center" wrapText="1"/>
    </xf>
    <xf numFmtId="0" fontId="12" fillId="4" borderId="29" xfId="1" applyFont="1" applyFill="1" applyBorder="1" applyAlignment="1">
      <alignment horizontal="center" vertical="center" wrapText="1"/>
    </xf>
    <xf numFmtId="0" fontId="9" fillId="0" borderId="45" xfId="5" applyFont="1" applyBorder="1" applyAlignment="1">
      <alignment horizontal="left"/>
    </xf>
    <xf numFmtId="0" fontId="9" fillId="0" borderId="2" xfId="5" applyFont="1" applyBorder="1" applyAlignment="1">
      <alignment horizontal="left"/>
    </xf>
    <xf numFmtId="0" fontId="9" fillId="0" borderId="28" xfId="5" applyFont="1" applyBorder="1" applyAlignment="1">
      <alignment horizontal="left"/>
    </xf>
    <xf numFmtId="0" fontId="9" fillId="0" borderId="21" xfId="5" applyFont="1" applyBorder="1" applyAlignment="1">
      <alignment horizontal="left"/>
    </xf>
    <xf numFmtId="0" fontId="9" fillId="0" borderId="4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45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0" borderId="28" xfId="0" applyFont="1" applyBorder="1" applyAlignment="1">
      <alignment horizontal="left" wrapText="1"/>
    </xf>
    <xf numFmtId="0" fontId="9" fillId="0" borderId="21" xfId="0" applyFont="1" applyBorder="1" applyAlignment="1">
      <alignment horizontal="left" wrapText="1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31" fillId="0" borderId="32" xfId="5" applyFont="1" applyBorder="1" applyAlignment="1">
      <alignment horizontal="left" wrapText="1"/>
    </xf>
    <xf numFmtId="0" fontId="31" fillId="0" borderId="35" xfId="5" applyFont="1" applyBorder="1" applyAlignment="1">
      <alignment horizontal="left" wrapText="1"/>
    </xf>
    <xf numFmtId="0" fontId="31" fillId="0" borderId="9" xfId="5" applyFont="1" applyBorder="1" applyAlignment="1">
      <alignment horizontal="left" wrapText="1"/>
    </xf>
    <xf numFmtId="0" fontId="9" fillId="0" borderId="45" xfId="5" applyFont="1" applyBorder="1" applyAlignment="1">
      <alignment horizontal="left" wrapText="1"/>
    </xf>
    <xf numFmtId="0" fontId="9" fillId="0" borderId="2" xfId="5" applyFont="1" applyBorder="1" applyAlignment="1">
      <alignment horizontal="left" wrapText="1"/>
    </xf>
    <xf numFmtId="0" fontId="9" fillId="0" borderId="28" xfId="5" applyFont="1" applyBorder="1" applyAlignment="1">
      <alignment horizontal="left" wrapText="1"/>
    </xf>
    <xf numFmtId="0" fontId="9" fillId="0" borderId="21" xfId="5" applyFont="1" applyBorder="1" applyAlignment="1">
      <alignment horizontal="left" wrapText="1"/>
    </xf>
    <xf numFmtId="0" fontId="9" fillId="0" borderId="10" xfId="5" applyFont="1" applyBorder="1" applyAlignment="1">
      <alignment horizontal="left"/>
    </xf>
    <xf numFmtId="0" fontId="9" fillId="0" borderId="34" xfId="5" applyFont="1" applyBorder="1" applyAlignment="1">
      <alignment horizontal="left"/>
    </xf>
    <xf numFmtId="0" fontId="9" fillId="0" borderId="11" xfId="5" applyFont="1" applyBorder="1" applyAlignment="1">
      <alignment horizontal="left"/>
    </xf>
    <xf numFmtId="0" fontId="9" fillId="0" borderId="12" xfId="5" applyFont="1" applyBorder="1" applyAlignment="1">
      <alignment horizontal="left"/>
    </xf>
    <xf numFmtId="0" fontId="9" fillId="0" borderId="22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14" fontId="9" fillId="2" borderId="20" xfId="4" applyNumberFormat="1" applyFont="1" applyFill="1" applyBorder="1" applyAlignment="1">
      <alignment horizontal="center" vertical="center" wrapText="1"/>
    </xf>
    <xf numFmtId="14" fontId="9" fillId="2" borderId="27" xfId="4" applyNumberFormat="1" applyFont="1" applyFill="1" applyBorder="1" applyAlignment="1">
      <alignment horizontal="center" vertical="center" wrapText="1"/>
    </xf>
    <xf numFmtId="14" fontId="9" fillId="2" borderId="21" xfId="4" applyNumberFormat="1" applyFont="1" applyFill="1" applyBorder="1" applyAlignment="1">
      <alignment horizontal="center" vertical="center" wrapText="1"/>
    </xf>
    <xf numFmtId="0" fontId="9" fillId="2" borderId="25" xfId="4" applyFont="1" applyFill="1" applyBorder="1" applyAlignment="1">
      <alignment horizontal="left"/>
    </xf>
    <xf numFmtId="0" fontId="9" fillId="2" borderId="17" xfId="4" applyFont="1" applyFill="1" applyBorder="1" applyAlignment="1">
      <alignment horizontal="left"/>
    </xf>
    <xf numFmtId="0" fontId="9" fillId="2" borderId="1" xfId="4" applyFont="1" applyFill="1" applyBorder="1" applyAlignment="1">
      <alignment horizontal="left"/>
    </xf>
    <xf numFmtId="0" fontId="9" fillId="2" borderId="22" xfId="4" applyFont="1" applyFill="1" applyBorder="1" applyAlignment="1">
      <alignment horizontal="left"/>
    </xf>
    <xf numFmtId="0" fontId="9" fillId="2" borderId="14" xfId="4" applyFont="1" applyFill="1" applyBorder="1" applyAlignment="1">
      <alignment horizontal="left"/>
    </xf>
    <xf numFmtId="0" fontId="9" fillId="2" borderId="18" xfId="4" applyFont="1" applyFill="1" applyBorder="1" applyAlignment="1">
      <alignment horizontal="left"/>
    </xf>
    <xf numFmtId="0" fontId="9" fillId="2" borderId="36" xfId="4" applyFont="1" applyFill="1" applyBorder="1" applyAlignment="1">
      <alignment horizontal="center"/>
    </xf>
    <xf numFmtId="0" fontId="9" fillId="2" borderId="37" xfId="4" applyFont="1" applyFill="1" applyBorder="1" applyAlignment="1">
      <alignment horizontal="center"/>
    </xf>
    <xf numFmtId="0" fontId="9" fillId="2" borderId="5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32" xfId="4" applyFont="1" applyFill="1" applyBorder="1" applyAlignment="1">
      <alignment horizontal="center"/>
    </xf>
    <xf numFmtId="0" fontId="9" fillId="2" borderId="35" xfId="4" applyFont="1" applyFill="1" applyBorder="1" applyAlignment="1">
      <alignment horizontal="center"/>
    </xf>
    <xf numFmtId="0" fontId="10" fillId="2" borderId="23" xfId="4" applyFont="1" applyFill="1" applyBorder="1" applyAlignment="1">
      <alignment horizontal="center"/>
    </xf>
    <xf numFmtId="0" fontId="10" fillId="2" borderId="16" xfId="4" applyFont="1" applyFill="1" applyBorder="1" applyAlignment="1">
      <alignment horizontal="center"/>
    </xf>
    <xf numFmtId="0" fontId="10" fillId="2" borderId="38" xfId="4" applyFont="1" applyFill="1" applyBorder="1" applyAlignment="1">
      <alignment horizontal="center"/>
    </xf>
    <xf numFmtId="0" fontId="10" fillId="2" borderId="34" xfId="4" applyFont="1" applyFill="1" applyBorder="1" applyAlignment="1">
      <alignment horizontal="center"/>
    </xf>
    <xf numFmtId="0" fontId="28" fillId="4" borderId="22" xfId="4" applyFont="1" applyFill="1" applyBorder="1" applyAlignment="1">
      <alignment horizontal="center" vertical="center" wrapText="1"/>
    </xf>
    <xf numFmtId="0" fontId="28" fillId="4" borderId="14" xfId="4" applyFont="1" applyFill="1" applyBorder="1" applyAlignment="1">
      <alignment horizontal="center" vertical="center" wrapText="1"/>
    </xf>
    <xf numFmtId="0" fontId="28" fillId="4" borderId="18" xfId="4" applyFont="1" applyFill="1" applyBorder="1" applyAlignment="1">
      <alignment horizontal="center" vertical="center" wrapText="1"/>
    </xf>
    <xf numFmtId="0" fontId="11" fillId="2" borderId="19" xfId="4" applyFont="1" applyFill="1" applyBorder="1" applyAlignment="1">
      <alignment horizontal="right" vertical="top" wrapText="1"/>
    </xf>
    <xf numFmtId="0" fontId="11" fillId="2" borderId="26" xfId="4" applyFont="1" applyFill="1" applyBorder="1" applyAlignment="1">
      <alignment horizontal="right" vertical="top" wrapText="1"/>
    </xf>
    <xf numFmtId="0" fontId="11" fillId="2" borderId="8" xfId="4" applyFont="1" applyFill="1" applyBorder="1" applyAlignment="1">
      <alignment horizontal="right" vertical="top" wrapText="1"/>
    </xf>
    <xf numFmtId="0" fontId="11" fillId="6" borderId="41" xfId="4" applyFont="1" applyFill="1" applyBorder="1" applyAlignment="1">
      <alignment horizontal="center"/>
    </xf>
    <xf numFmtId="0" fontId="11" fillId="6" borderId="37" xfId="4" applyFont="1" applyFill="1" applyBorder="1" applyAlignment="1">
      <alignment horizontal="center"/>
    </xf>
    <xf numFmtId="0" fontId="9" fillId="2" borderId="42" xfId="4" applyFont="1" applyFill="1" applyBorder="1" applyAlignment="1">
      <alignment horizontal="left"/>
    </xf>
    <xf numFmtId="0" fontId="9" fillId="2" borderId="0" xfId="4" applyFont="1" applyFill="1" applyAlignment="1">
      <alignment horizontal="left"/>
    </xf>
    <xf numFmtId="0" fontId="10" fillId="2" borderId="46" xfId="4" applyFont="1" applyFill="1" applyBorder="1" applyAlignment="1">
      <alignment horizontal="center"/>
    </xf>
    <xf numFmtId="0" fontId="12" fillId="4" borderId="29" xfId="4" applyFont="1" applyFill="1" applyBorder="1" applyAlignment="1">
      <alignment horizontal="center" vertical="center" wrapText="1"/>
    </xf>
    <xf numFmtId="0" fontId="12" fillId="4" borderId="30" xfId="4" applyFont="1" applyFill="1" applyBorder="1" applyAlignment="1">
      <alignment horizontal="center" vertical="center" wrapText="1"/>
    </xf>
    <xf numFmtId="0" fontId="12" fillId="4" borderId="31" xfId="4" applyFont="1" applyFill="1" applyBorder="1" applyAlignment="1">
      <alignment horizontal="center" vertical="center" wrapText="1"/>
    </xf>
    <xf numFmtId="0" fontId="22" fillId="0" borderId="32" xfId="5" applyFont="1" applyBorder="1" applyAlignment="1">
      <alignment horizontal="left"/>
    </xf>
    <xf numFmtId="0" fontId="22" fillId="0" borderId="35" xfId="5" applyFont="1" applyBorder="1" applyAlignment="1">
      <alignment horizontal="left"/>
    </xf>
    <xf numFmtId="0" fontId="22" fillId="0" borderId="9" xfId="5" applyFont="1" applyBorder="1" applyAlignment="1">
      <alignment horizontal="left"/>
    </xf>
    <xf numFmtId="164" fontId="9" fillId="0" borderId="16" xfId="5" applyNumberFormat="1" applyFont="1" applyBorder="1" applyAlignment="1">
      <alignment horizontal="center"/>
    </xf>
    <xf numFmtId="164" fontId="9" fillId="0" borderId="47" xfId="5" applyNumberFormat="1" applyFont="1" applyBorder="1" applyAlignment="1">
      <alignment horizontal="center"/>
    </xf>
    <xf numFmtId="0" fontId="9" fillId="0" borderId="7" xfId="5" applyFont="1" applyBorder="1" applyAlignment="1">
      <alignment horizontal="left"/>
    </xf>
    <xf numFmtId="0" fontId="9" fillId="0" borderId="18" xfId="5" applyFont="1" applyBorder="1" applyAlignment="1">
      <alignment horizontal="left"/>
    </xf>
    <xf numFmtId="0" fontId="9" fillId="0" borderId="3" xfId="5" applyFont="1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13" xfId="5" applyFont="1" applyBorder="1" applyAlignment="1">
      <alignment horizontal="left" wrapText="1"/>
    </xf>
    <xf numFmtId="0" fontId="9" fillId="0" borderId="14" xfId="5" applyFont="1" applyBorder="1" applyAlignment="1">
      <alignment horizontal="left" wrapText="1"/>
    </xf>
    <xf numFmtId="0" fontId="9" fillId="0" borderId="15" xfId="5" applyFont="1" applyBorder="1" applyAlignment="1">
      <alignment horizontal="left" wrapText="1"/>
    </xf>
    <xf numFmtId="0" fontId="9" fillId="0" borderId="7" xfId="5" applyFont="1" applyBorder="1" applyAlignment="1">
      <alignment horizontal="left" wrapText="1"/>
    </xf>
    <xf numFmtId="0" fontId="9" fillId="0" borderId="18" xfId="5" applyFont="1" applyBorder="1" applyAlignment="1">
      <alignment horizontal="left" wrapText="1"/>
    </xf>
    <xf numFmtId="0" fontId="9" fillId="0" borderId="3" xfId="5" applyFont="1" applyBorder="1" applyAlignment="1">
      <alignment horizontal="left" wrapText="1"/>
    </xf>
    <xf numFmtId="0" fontId="9" fillId="0" borderId="6" xfId="5" applyFont="1" applyBorder="1" applyAlignment="1">
      <alignment horizontal="left" wrapText="1"/>
    </xf>
    <xf numFmtId="0" fontId="22" fillId="0" borderId="49" xfId="5" applyFont="1" applyBorder="1" applyAlignment="1">
      <alignment horizontal="left"/>
    </xf>
    <xf numFmtId="0" fontId="22" fillId="0" borderId="39" xfId="5" applyFont="1" applyBorder="1" applyAlignment="1">
      <alignment horizontal="left"/>
    </xf>
    <xf numFmtId="0" fontId="22" fillId="0" borderId="50" xfId="5" applyFont="1" applyBorder="1" applyAlignment="1">
      <alignment horizontal="left"/>
    </xf>
    <xf numFmtId="0" fontId="9" fillId="0" borderId="48" xfId="5" applyFont="1" applyBorder="1" applyAlignment="1">
      <alignment horizontal="left"/>
    </xf>
    <xf numFmtId="0" fontId="9" fillId="0" borderId="38" xfId="5" applyFont="1" applyBorder="1" applyAlignment="1">
      <alignment horizontal="left"/>
    </xf>
    <xf numFmtId="0" fontId="9" fillId="0" borderId="47" xfId="5" applyFont="1" applyBorder="1" applyAlignment="1">
      <alignment horizontal="left"/>
    </xf>
    <xf numFmtId="0" fontId="10" fillId="2" borderId="46" xfId="1" applyFont="1" applyFill="1" applyBorder="1" applyAlignment="1">
      <alignment horizontal="center"/>
    </xf>
    <xf numFmtId="0" fontId="10" fillId="0" borderId="32" xfId="5" applyFont="1" applyBorder="1" applyAlignment="1">
      <alignment horizontal="right"/>
    </xf>
    <xf numFmtId="0" fontId="10" fillId="0" borderId="35" xfId="5" applyFont="1" applyBorder="1" applyAlignment="1">
      <alignment horizontal="right"/>
    </xf>
    <xf numFmtId="0" fontId="10" fillId="0" borderId="2" xfId="5" applyFont="1" applyBorder="1" applyAlignment="1">
      <alignment horizontal="right"/>
    </xf>
    <xf numFmtId="164" fontId="40" fillId="0" borderId="28" xfId="5" applyNumberFormat="1" applyFont="1" applyBorder="1" applyAlignment="1">
      <alignment horizontal="right"/>
    </xf>
    <xf numFmtId="0" fontId="40" fillId="2" borderId="33" xfId="5" applyFont="1" applyFill="1" applyBorder="1" applyAlignment="1">
      <alignment horizontal="center"/>
    </xf>
    <xf numFmtId="0" fontId="40" fillId="2" borderId="9" xfId="5" applyFont="1" applyFill="1" applyBorder="1" applyAlignment="1">
      <alignment horizontal="center"/>
    </xf>
    <xf numFmtId="0" fontId="10" fillId="0" borderId="13" xfId="5" applyFont="1" applyBorder="1" applyAlignment="1">
      <alignment horizontal="right"/>
    </xf>
    <xf numFmtId="0" fontId="10" fillId="0" borderId="14" xfId="5" applyFont="1" applyBorder="1" applyAlignment="1">
      <alignment horizontal="right"/>
    </xf>
    <xf numFmtId="0" fontId="10" fillId="0" borderId="18" xfId="5" applyFont="1" applyBorder="1" applyAlignment="1">
      <alignment horizontal="right"/>
    </xf>
    <xf numFmtId="0" fontId="40" fillId="0" borderId="3" xfId="5" applyFont="1" applyBorder="1" applyAlignment="1">
      <alignment horizontal="right"/>
    </xf>
    <xf numFmtId="164" fontId="40" fillId="0" borderId="22" xfId="5" applyNumberFormat="1" applyFont="1" applyBorder="1" applyAlignment="1">
      <alignment horizontal="center"/>
    </xf>
    <xf numFmtId="164" fontId="40" fillId="0" borderId="15" xfId="5" applyNumberFormat="1" applyFont="1" applyBorder="1" applyAlignment="1">
      <alignment horizontal="center"/>
    </xf>
    <xf numFmtId="0" fontId="5" fillId="0" borderId="55" xfId="0" applyFont="1" applyBorder="1" applyAlignment="1">
      <alignment horizontal="left" wrapText="1"/>
    </xf>
    <xf numFmtId="0" fontId="5" fillId="0" borderId="35" xfId="0" applyFont="1" applyBorder="1" applyAlignment="1">
      <alignment horizontal="left" wrapText="1"/>
    </xf>
    <xf numFmtId="164" fontId="40" fillId="0" borderId="22" xfId="5" applyNumberFormat="1" applyFont="1" applyBorder="1" applyAlignment="1">
      <alignment horizontal="right" wrapText="1"/>
    </xf>
    <xf numFmtId="164" fontId="40" fillId="0" borderId="18" xfId="5" applyNumberFormat="1" applyFont="1" applyBorder="1" applyAlignment="1">
      <alignment horizontal="right" wrapText="1"/>
    </xf>
    <xf numFmtId="0" fontId="10" fillId="0" borderId="10" xfId="5" applyFont="1" applyBorder="1" applyAlignment="1">
      <alignment horizontal="right"/>
    </xf>
    <xf numFmtId="0" fontId="10" fillId="0" borderId="34" xfId="5" applyFont="1" applyBorder="1" applyAlignment="1">
      <alignment horizontal="right"/>
    </xf>
    <xf numFmtId="0" fontId="10" fillId="0" borderId="11" xfId="5" applyFont="1" applyBorder="1" applyAlignment="1">
      <alignment horizontal="right"/>
    </xf>
    <xf numFmtId="0" fontId="40" fillId="0" borderId="11" xfId="5" applyFont="1" applyBorder="1" applyAlignment="1">
      <alignment horizontal="right"/>
    </xf>
    <xf numFmtId="164" fontId="40" fillId="0" borderId="16" xfId="5" applyNumberFormat="1" applyFont="1" applyBorder="1" applyAlignment="1">
      <alignment horizontal="center"/>
    </xf>
    <xf numFmtId="164" fontId="40" fillId="0" borderId="47" xfId="5" applyNumberFormat="1" applyFont="1" applyBorder="1" applyAlignment="1">
      <alignment horizontal="center"/>
    </xf>
    <xf numFmtId="0" fontId="10" fillId="5" borderId="29" xfId="5" applyFont="1" applyFill="1" applyBorder="1" applyAlignment="1">
      <alignment horizontal="left"/>
    </xf>
    <xf numFmtId="0" fontId="10" fillId="5" borderId="30" xfId="5" applyFont="1" applyFill="1" applyBorder="1" applyAlignment="1">
      <alignment horizontal="left"/>
    </xf>
    <xf numFmtId="0" fontId="10" fillId="5" borderId="31" xfId="5" applyFont="1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10" fillId="6" borderId="41" xfId="1" applyFont="1" applyFill="1" applyBorder="1" applyAlignment="1">
      <alignment horizontal="center"/>
    </xf>
    <xf numFmtId="0" fontId="10" fillId="6" borderId="37" xfId="1" applyFont="1" applyFill="1" applyBorder="1" applyAlignment="1">
      <alignment horizontal="center"/>
    </xf>
    <xf numFmtId="0" fontId="40" fillId="2" borderId="42" xfId="1" applyFont="1" applyFill="1" applyBorder="1" applyAlignment="1">
      <alignment horizontal="left"/>
    </xf>
    <xf numFmtId="0" fontId="40" fillId="2" borderId="0" xfId="1" applyFont="1" applyFill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0" fillId="0" borderId="13" xfId="5" applyFont="1" applyBorder="1" applyAlignment="1">
      <alignment horizontal="left" wrapText="1"/>
    </xf>
    <xf numFmtId="0" fontId="40" fillId="0" borderId="14" xfId="5" applyFont="1" applyBorder="1" applyAlignment="1">
      <alignment horizontal="left" wrapText="1"/>
    </xf>
    <xf numFmtId="0" fontId="40" fillId="0" borderId="15" xfId="5" applyFont="1" applyBorder="1" applyAlignment="1">
      <alignment horizontal="left" wrapText="1"/>
    </xf>
    <xf numFmtId="0" fontId="40" fillId="0" borderId="48" xfId="5" applyFont="1" applyBorder="1" applyAlignment="1">
      <alignment horizontal="left"/>
    </xf>
    <xf numFmtId="0" fontId="40" fillId="0" borderId="38" xfId="5" applyFont="1" applyBorder="1" applyAlignment="1">
      <alignment horizontal="left"/>
    </xf>
    <xf numFmtId="0" fontId="40" fillId="0" borderId="47" xfId="5" applyFont="1" applyBorder="1" applyAlignment="1">
      <alignment horizontal="left"/>
    </xf>
    <xf numFmtId="14" fontId="40" fillId="2" borderId="20" xfId="1" applyNumberFormat="1" applyFont="1" applyFill="1" applyBorder="1" applyAlignment="1">
      <alignment horizontal="center" vertical="center" wrapText="1"/>
    </xf>
    <xf numFmtId="14" fontId="40" fillId="2" borderId="27" xfId="1" applyNumberFormat="1" applyFont="1" applyFill="1" applyBorder="1" applyAlignment="1">
      <alignment horizontal="center" vertical="center" wrapText="1"/>
    </xf>
    <xf numFmtId="14" fontId="40" fillId="2" borderId="21" xfId="1" applyNumberFormat="1" applyFont="1" applyFill="1" applyBorder="1" applyAlignment="1">
      <alignment horizontal="center" vertical="center" wrapText="1"/>
    </xf>
    <xf numFmtId="0" fontId="40" fillId="2" borderId="25" xfId="1" applyFont="1" applyFill="1" applyBorder="1" applyAlignment="1">
      <alignment horizontal="left"/>
    </xf>
    <xf numFmtId="0" fontId="40" fillId="2" borderId="17" xfId="1" applyFont="1" applyFill="1" applyBorder="1" applyAlignment="1">
      <alignment horizontal="left"/>
    </xf>
    <xf numFmtId="0" fontId="40" fillId="2" borderId="1" xfId="1" applyFont="1" applyFill="1" applyBorder="1" applyAlignment="1">
      <alignment horizontal="left"/>
    </xf>
    <xf numFmtId="0" fontId="40" fillId="2" borderId="22" xfId="1" applyFont="1" applyFill="1" applyBorder="1" applyAlignment="1">
      <alignment horizontal="left"/>
    </xf>
    <xf numFmtId="0" fontId="40" fillId="2" borderId="14" xfId="1" applyFont="1" applyFill="1" applyBorder="1" applyAlignment="1">
      <alignment horizontal="left"/>
    </xf>
    <xf numFmtId="0" fontId="40" fillId="2" borderId="18" xfId="1" applyFont="1" applyFill="1" applyBorder="1" applyAlignment="1">
      <alignment horizontal="left"/>
    </xf>
    <xf numFmtId="0" fontId="40" fillId="2" borderId="36" xfId="1" applyFont="1" applyFill="1" applyBorder="1" applyAlignment="1">
      <alignment horizontal="center"/>
    </xf>
    <xf numFmtId="0" fontId="40" fillId="2" borderId="37" xfId="1" applyFont="1" applyFill="1" applyBorder="1" applyAlignment="1">
      <alignment horizontal="center"/>
    </xf>
    <xf numFmtId="0" fontId="40" fillId="2" borderId="5" xfId="1" applyFont="1" applyFill="1" applyBorder="1" applyAlignment="1">
      <alignment horizontal="center"/>
    </xf>
    <xf numFmtId="0" fontId="40" fillId="2" borderId="0" xfId="1" applyFont="1" applyFill="1" applyAlignment="1">
      <alignment horizontal="center"/>
    </xf>
    <xf numFmtId="0" fontId="40" fillId="2" borderId="32" xfId="1" applyFont="1" applyFill="1" applyBorder="1" applyAlignment="1">
      <alignment horizontal="center"/>
    </xf>
    <xf numFmtId="0" fontId="40" fillId="2" borderId="35" xfId="1" applyFont="1" applyFill="1" applyBorder="1" applyAlignment="1">
      <alignment horizontal="center"/>
    </xf>
    <xf numFmtId="0" fontId="10" fillId="4" borderId="29" xfId="1" applyFont="1" applyFill="1" applyBorder="1" applyAlignment="1">
      <alignment horizontal="center" vertical="center" wrapText="1"/>
    </xf>
    <xf numFmtId="0" fontId="10" fillId="4" borderId="30" xfId="1" applyFont="1" applyFill="1" applyBorder="1" applyAlignment="1">
      <alignment horizontal="center" vertical="center" wrapText="1"/>
    </xf>
    <xf numFmtId="0" fontId="10" fillId="4" borderId="31" xfId="1" applyFont="1" applyFill="1" applyBorder="1" applyAlignment="1">
      <alignment horizontal="center" vertical="center" wrapText="1"/>
    </xf>
    <xf numFmtId="0" fontId="10" fillId="2" borderId="19" xfId="1" applyFont="1" applyFill="1" applyBorder="1" applyAlignment="1">
      <alignment horizontal="right" vertical="top" wrapText="1"/>
    </xf>
    <xf numFmtId="0" fontId="10" fillId="2" borderId="26" xfId="1" applyFont="1" applyFill="1" applyBorder="1" applyAlignment="1">
      <alignment horizontal="right" vertical="top" wrapText="1"/>
    </xf>
    <xf numFmtId="0" fontId="10" fillId="2" borderId="8" xfId="1" applyFont="1" applyFill="1" applyBorder="1" applyAlignment="1">
      <alignment horizontal="right" vertical="top" wrapText="1"/>
    </xf>
    <xf numFmtId="0" fontId="42" fillId="2" borderId="0" xfId="4" applyFont="1" applyFill="1" applyAlignment="1">
      <alignment horizontal="right"/>
    </xf>
    <xf numFmtId="0" fontId="43" fillId="2" borderId="39" xfId="4" applyFont="1" applyFill="1" applyBorder="1" applyAlignment="1">
      <alignment horizontal="center"/>
    </xf>
    <xf numFmtId="0" fontId="42" fillId="2" borderId="0" xfId="4" applyFont="1" applyFill="1"/>
    <xf numFmtId="0" fontId="10" fillId="5" borderId="40" xfId="5" applyFont="1" applyFill="1" applyBorder="1" applyAlignment="1">
      <alignment horizontal="center" vertical="center"/>
    </xf>
    <xf numFmtId="0" fontId="10" fillId="5" borderId="10" xfId="5" applyFont="1" applyFill="1" applyBorder="1" applyAlignment="1">
      <alignment horizontal="center" vertical="center"/>
    </xf>
    <xf numFmtId="0" fontId="10" fillId="5" borderId="40" xfId="5" applyFont="1" applyFill="1" applyBorder="1" applyAlignment="1">
      <alignment horizontal="center" vertical="center" wrapText="1"/>
    </xf>
    <xf numFmtId="0" fontId="10" fillId="5" borderId="10" xfId="5" applyFont="1" applyFill="1" applyBorder="1" applyAlignment="1">
      <alignment horizontal="center" vertical="center" wrapText="1"/>
    </xf>
    <xf numFmtId="0" fontId="10" fillId="5" borderId="23" xfId="5" applyFont="1" applyFill="1" applyBorder="1" applyAlignment="1">
      <alignment horizontal="center" vertical="center"/>
    </xf>
    <xf numFmtId="0" fontId="10" fillId="5" borderId="11" xfId="5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164" fontId="40" fillId="0" borderId="22" xfId="0" applyNumberFormat="1" applyFont="1" applyBorder="1" applyAlignment="1">
      <alignment horizontal="center" wrapText="1"/>
    </xf>
    <xf numFmtId="164" fontId="40" fillId="0" borderId="15" xfId="0" applyNumberFormat="1" applyFont="1" applyBorder="1" applyAlignment="1">
      <alignment horizontal="center" wrapText="1"/>
    </xf>
    <xf numFmtId="0" fontId="40" fillId="0" borderId="7" xfId="0" applyFont="1" applyBorder="1" applyAlignment="1">
      <alignment horizontal="left"/>
    </xf>
    <xf numFmtId="0" fontId="40" fillId="0" borderId="18" xfId="0" applyFont="1" applyBorder="1" applyAlignment="1">
      <alignment horizontal="left"/>
    </xf>
    <xf numFmtId="0" fontId="40" fillId="0" borderId="3" xfId="0" applyFont="1" applyBorder="1" applyAlignment="1">
      <alignment horizontal="left"/>
    </xf>
    <xf numFmtId="0" fontId="40" fillId="0" borderId="6" xfId="0" applyFont="1" applyBorder="1" applyAlignment="1">
      <alignment horizontal="left"/>
    </xf>
    <xf numFmtId="0" fontId="4" fillId="0" borderId="49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40" fillId="0" borderId="13" xfId="0" applyFont="1" applyBorder="1" applyAlignment="1">
      <alignment horizontal="left" wrapText="1"/>
    </xf>
    <xf numFmtId="0" fontId="40" fillId="0" borderId="14" xfId="0" applyFont="1" applyBorder="1" applyAlignment="1">
      <alignment horizontal="left" wrapText="1"/>
    </xf>
    <xf numFmtId="0" fontId="40" fillId="0" borderId="18" xfId="0" applyFont="1" applyBorder="1" applyAlignment="1">
      <alignment horizontal="left" wrapText="1"/>
    </xf>
    <xf numFmtId="0" fontId="40" fillId="0" borderId="48" xfId="0" applyFont="1" applyBorder="1" applyAlignment="1">
      <alignment horizontal="left"/>
    </xf>
    <xf numFmtId="0" fontId="40" fillId="0" borderId="38" xfId="0" applyFont="1" applyBorder="1" applyAlignment="1">
      <alignment horizontal="left"/>
    </xf>
    <xf numFmtId="0" fontId="40" fillId="0" borderId="47" xfId="0" applyFont="1" applyBorder="1" applyAlignment="1">
      <alignment horizontal="left"/>
    </xf>
    <xf numFmtId="14" fontId="47" fillId="2" borderId="20" xfId="1" applyNumberFormat="1" applyFont="1" applyFill="1" applyBorder="1" applyAlignment="1">
      <alignment horizontal="center" vertical="center" wrapText="1"/>
    </xf>
    <xf numFmtId="14" fontId="47" fillId="2" borderId="27" xfId="1" applyNumberFormat="1" applyFont="1" applyFill="1" applyBorder="1" applyAlignment="1">
      <alignment horizontal="center" vertical="center" wrapText="1"/>
    </xf>
    <xf numFmtId="14" fontId="47" fillId="2" borderId="21" xfId="1" applyNumberFormat="1" applyFont="1" applyFill="1" applyBorder="1" applyAlignment="1">
      <alignment horizontal="center" vertical="center" wrapText="1"/>
    </xf>
    <xf numFmtId="0" fontId="47" fillId="2" borderId="25" xfId="1" applyFont="1" applyFill="1" applyBorder="1" applyAlignment="1">
      <alignment horizontal="left"/>
    </xf>
    <xf numFmtId="0" fontId="47" fillId="2" borderId="17" xfId="1" applyFont="1" applyFill="1" applyBorder="1" applyAlignment="1">
      <alignment horizontal="left"/>
    </xf>
    <xf numFmtId="0" fontId="47" fillId="2" borderId="1" xfId="1" applyFont="1" applyFill="1" applyBorder="1" applyAlignment="1">
      <alignment horizontal="left"/>
    </xf>
    <xf numFmtId="0" fontId="47" fillId="2" borderId="22" xfId="1" applyFont="1" applyFill="1" applyBorder="1" applyAlignment="1">
      <alignment horizontal="left"/>
    </xf>
    <xf numFmtId="0" fontId="47" fillId="2" borderId="14" xfId="1" applyFont="1" applyFill="1" applyBorder="1" applyAlignment="1">
      <alignment horizontal="left"/>
    </xf>
    <xf numFmtId="0" fontId="47" fillId="2" borderId="18" xfId="1" applyFont="1" applyFill="1" applyBorder="1" applyAlignment="1">
      <alignment horizontal="left"/>
    </xf>
    <xf numFmtId="0" fontId="47" fillId="2" borderId="36" xfId="1" applyFont="1" applyFill="1" applyBorder="1" applyAlignment="1">
      <alignment horizontal="center"/>
    </xf>
    <xf numFmtId="0" fontId="47" fillId="2" borderId="37" xfId="1" applyFont="1" applyFill="1" applyBorder="1" applyAlignment="1">
      <alignment horizontal="center"/>
    </xf>
    <xf numFmtId="0" fontId="47" fillId="2" borderId="5" xfId="1" applyFont="1" applyFill="1" applyBorder="1" applyAlignment="1">
      <alignment horizontal="center"/>
    </xf>
    <xf numFmtId="0" fontId="47" fillId="2" borderId="0" xfId="1" applyFont="1" applyFill="1" applyAlignment="1">
      <alignment horizontal="center"/>
    </xf>
    <xf numFmtId="0" fontId="47" fillId="2" borderId="32" xfId="1" applyFont="1" applyFill="1" applyBorder="1" applyAlignment="1">
      <alignment horizontal="center"/>
    </xf>
    <xf numFmtId="0" fontId="47" fillId="2" borderId="35" xfId="1" applyFont="1" applyFill="1" applyBorder="1" applyAlignment="1">
      <alignment horizontal="center"/>
    </xf>
    <xf numFmtId="0" fontId="12" fillId="2" borderId="23" xfId="1" applyFont="1" applyFill="1" applyBorder="1" applyAlignment="1">
      <alignment horizontal="center"/>
    </xf>
    <xf numFmtId="0" fontId="12" fillId="2" borderId="16" xfId="1" applyFont="1" applyFill="1" applyBorder="1" applyAlignment="1">
      <alignment horizontal="center"/>
    </xf>
    <xf numFmtId="0" fontId="12" fillId="2" borderId="38" xfId="1" applyFont="1" applyFill="1" applyBorder="1" applyAlignment="1">
      <alignment horizontal="center"/>
    </xf>
    <xf numFmtId="0" fontId="12" fillId="2" borderId="34" xfId="1" applyFont="1" applyFill="1" applyBorder="1" applyAlignment="1">
      <alignment horizontal="center"/>
    </xf>
    <xf numFmtId="0" fontId="48" fillId="4" borderId="3" xfId="4" applyFont="1" applyFill="1" applyBorder="1" applyAlignment="1">
      <alignment horizontal="center" vertical="center" wrapText="1"/>
    </xf>
    <xf numFmtId="0" fontId="12" fillId="2" borderId="19" xfId="1" applyFont="1" applyFill="1" applyBorder="1" applyAlignment="1">
      <alignment horizontal="right" vertical="top" wrapText="1"/>
    </xf>
    <xf numFmtId="0" fontId="12" fillId="2" borderId="26" xfId="1" applyFont="1" applyFill="1" applyBorder="1" applyAlignment="1">
      <alignment horizontal="right" vertical="top" wrapText="1"/>
    </xf>
    <xf numFmtId="0" fontId="12" fillId="2" borderId="8" xfId="1" applyFont="1" applyFill="1" applyBorder="1" applyAlignment="1">
      <alignment horizontal="right" vertical="top" wrapText="1"/>
    </xf>
    <xf numFmtId="0" fontId="49" fillId="2" borderId="39" xfId="4" applyFont="1" applyFill="1" applyBorder="1" applyAlignment="1">
      <alignment horizontal="center"/>
    </xf>
    <xf numFmtId="0" fontId="12" fillId="5" borderId="40" xfId="5" applyFont="1" applyFill="1" applyBorder="1" applyAlignment="1">
      <alignment horizontal="center" vertical="center"/>
    </xf>
    <xf numFmtId="0" fontId="12" fillId="5" borderId="10" xfId="5" applyFont="1" applyFill="1" applyBorder="1" applyAlignment="1">
      <alignment horizontal="center" vertical="center"/>
    </xf>
    <xf numFmtId="0" fontId="12" fillId="5" borderId="40" xfId="5" applyFont="1" applyFill="1" applyBorder="1" applyAlignment="1">
      <alignment horizontal="center" vertical="center" wrapText="1"/>
    </xf>
    <xf numFmtId="0" fontId="12" fillId="5" borderId="10" xfId="5" applyFont="1" applyFill="1" applyBorder="1" applyAlignment="1">
      <alignment horizontal="center" vertical="center" wrapText="1"/>
    </xf>
    <xf numFmtId="0" fontId="12" fillId="5" borderId="23" xfId="5" applyFont="1" applyFill="1" applyBorder="1" applyAlignment="1">
      <alignment horizontal="center" vertical="center"/>
    </xf>
    <xf numFmtId="0" fontId="12" fillId="5" borderId="11" xfId="5" applyFont="1" applyFill="1" applyBorder="1" applyAlignment="1">
      <alignment horizontal="center" vertical="center"/>
    </xf>
    <xf numFmtId="0" fontId="12" fillId="0" borderId="32" xfId="5" applyFont="1" applyBorder="1" applyAlignment="1">
      <alignment horizontal="right"/>
    </xf>
    <xf numFmtId="0" fontId="12" fillId="0" borderId="35" xfId="5" applyFont="1" applyBorder="1" applyAlignment="1">
      <alignment horizontal="right"/>
    </xf>
    <xf numFmtId="0" fontId="12" fillId="0" borderId="2" xfId="5" applyFont="1" applyBorder="1" applyAlignment="1">
      <alignment horizontal="right"/>
    </xf>
    <xf numFmtId="164" fontId="47" fillId="0" borderId="28" xfId="5" applyNumberFormat="1" applyFont="1" applyBorder="1" applyAlignment="1">
      <alignment horizontal="right"/>
    </xf>
    <xf numFmtId="0" fontId="47" fillId="2" borderId="33" xfId="5" applyFont="1" applyFill="1" applyBorder="1" applyAlignment="1">
      <alignment horizontal="center"/>
    </xf>
    <xf numFmtId="0" fontId="47" fillId="2" borderId="9" xfId="5" applyFont="1" applyFill="1" applyBorder="1" applyAlignment="1">
      <alignment horizontal="center"/>
    </xf>
    <xf numFmtId="0" fontId="12" fillId="0" borderId="13" xfId="5" applyFont="1" applyBorder="1" applyAlignment="1">
      <alignment horizontal="right"/>
    </xf>
    <xf numFmtId="0" fontId="12" fillId="0" borderId="14" xfId="5" applyFont="1" applyBorder="1" applyAlignment="1">
      <alignment horizontal="right"/>
    </xf>
    <xf numFmtId="0" fontId="12" fillId="0" borderId="18" xfId="5" applyFont="1" applyBorder="1" applyAlignment="1">
      <alignment horizontal="right"/>
    </xf>
    <xf numFmtId="0" fontId="47" fillId="0" borderId="3" xfId="5" applyFont="1" applyBorder="1" applyAlignment="1">
      <alignment horizontal="right"/>
    </xf>
    <xf numFmtId="164" fontId="47" fillId="0" borderId="22" xfId="5" applyNumberFormat="1" applyFont="1" applyBorder="1" applyAlignment="1">
      <alignment horizontal="center"/>
    </xf>
    <xf numFmtId="164" fontId="47" fillId="0" borderId="15" xfId="5" applyNumberFormat="1" applyFont="1" applyBorder="1" applyAlignment="1">
      <alignment horizontal="center"/>
    </xf>
    <xf numFmtId="164" fontId="47" fillId="0" borderId="22" xfId="5" applyNumberFormat="1" applyFont="1" applyBorder="1" applyAlignment="1">
      <alignment horizontal="right" wrapText="1"/>
    </xf>
    <xf numFmtId="164" fontId="47" fillId="0" borderId="18" xfId="5" applyNumberFormat="1" applyFont="1" applyBorder="1" applyAlignment="1">
      <alignment horizontal="right" wrapText="1"/>
    </xf>
    <xf numFmtId="164" fontId="47" fillId="0" borderId="22" xfId="0" applyNumberFormat="1" applyFont="1" applyBorder="1" applyAlignment="1">
      <alignment horizontal="center" wrapText="1"/>
    </xf>
    <xf numFmtId="164" fontId="47" fillId="0" borderId="15" xfId="0" applyNumberFormat="1" applyFont="1" applyBorder="1" applyAlignment="1">
      <alignment horizontal="center" wrapText="1"/>
    </xf>
    <xf numFmtId="0" fontId="47" fillId="0" borderId="3" xfId="5" applyFont="1" applyBorder="1" applyAlignment="1">
      <alignment horizontal="left"/>
    </xf>
    <xf numFmtId="0" fontId="12" fillId="0" borderId="10" xfId="5" applyFont="1" applyBorder="1" applyAlignment="1">
      <alignment horizontal="right"/>
    </xf>
    <xf numFmtId="0" fontId="12" fillId="0" borderId="34" xfId="5" applyFont="1" applyBorder="1" applyAlignment="1">
      <alignment horizontal="right"/>
    </xf>
    <xf numFmtId="0" fontId="12" fillId="0" borderId="11" xfId="5" applyFont="1" applyBorder="1" applyAlignment="1">
      <alignment horizontal="right"/>
    </xf>
    <xf numFmtId="0" fontId="47" fillId="0" borderId="11" xfId="5" applyFont="1" applyBorder="1" applyAlignment="1">
      <alignment horizontal="right"/>
    </xf>
    <xf numFmtId="0" fontId="12" fillId="5" borderId="29" xfId="5" applyFont="1" applyFill="1" applyBorder="1" applyAlignment="1">
      <alignment horizontal="left"/>
    </xf>
    <xf numFmtId="0" fontId="12" fillId="5" borderId="30" xfId="5" applyFont="1" applyFill="1" applyBorder="1" applyAlignment="1">
      <alignment horizontal="left"/>
    </xf>
    <xf numFmtId="0" fontId="12" fillId="5" borderId="31" xfId="5" applyFont="1" applyFill="1" applyBorder="1" applyAlignment="1">
      <alignment horizontal="left"/>
    </xf>
    <xf numFmtId="0" fontId="52" fillId="0" borderId="32" xfId="0" applyFont="1" applyBorder="1" applyAlignment="1">
      <alignment horizontal="left"/>
    </xf>
    <xf numFmtId="0" fontId="52" fillId="0" borderId="35" xfId="0" applyFont="1" applyBorder="1" applyAlignment="1">
      <alignment horizontal="left"/>
    </xf>
    <xf numFmtId="0" fontId="52" fillId="0" borderId="9" xfId="0" applyFont="1" applyBorder="1" applyAlignment="1">
      <alignment horizontal="left"/>
    </xf>
    <xf numFmtId="0" fontId="52" fillId="0" borderId="13" xfId="0" applyFont="1" applyBorder="1" applyAlignment="1">
      <alignment horizontal="left"/>
    </xf>
    <xf numFmtId="0" fontId="52" fillId="0" borderId="14" xfId="0" applyFont="1" applyBorder="1" applyAlignment="1">
      <alignment horizontal="left"/>
    </xf>
    <xf numFmtId="0" fontId="52" fillId="0" borderId="15" xfId="0" applyFont="1" applyBorder="1" applyAlignment="1">
      <alignment horizontal="left"/>
    </xf>
    <xf numFmtId="0" fontId="47" fillId="0" borderId="22" xfId="0" applyFont="1" applyBorder="1" applyAlignment="1">
      <alignment horizontal="left" wrapText="1"/>
    </xf>
    <xf numFmtId="0" fontId="47" fillId="0" borderId="14" xfId="0" applyFont="1" applyBorder="1" applyAlignment="1">
      <alignment horizontal="left" wrapText="1"/>
    </xf>
    <xf numFmtId="0" fontId="47" fillId="0" borderId="18" xfId="0" applyFont="1" applyBorder="1" applyAlignment="1">
      <alignment horizontal="left" wrapText="1"/>
    </xf>
    <xf numFmtId="0" fontId="12" fillId="6" borderId="41" xfId="1" applyFont="1" applyFill="1" applyBorder="1" applyAlignment="1">
      <alignment horizontal="center"/>
    </xf>
    <xf numFmtId="0" fontId="12" fillId="6" borderId="37" xfId="1" applyFont="1" applyFill="1" applyBorder="1" applyAlignment="1">
      <alignment horizontal="center"/>
    </xf>
    <xf numFmtId="0" fontId="47" fillId="2" borderId="3" xfId="1" applyFont="1" applyFill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12" fillId="4" borderId="29" xfId="1" applyFont="1" applyFill="1" applyBorder="1" applyAlignment="1">
      <alignment horizontal="center"/>
    </xf>
    <xf numFmtId="0" fontId="12" fillId="4" borderId="30" xfId="1" applyFont="1" applyFill="1" applyBorder="1" applyAlignment="1">
      <alignment horizontal="center"/>
    </xf>
    <xf numFmtId="0" fontId="12" fillId="4" borderId="31" xfId="1" applyFont="1" applyFill="1" applyBorder="1" applyAlignment="1">
      <alignment horizontal="center"/>
    </xf>
    <xf numFmtId="0" fontId="9" fillId="0" borderId="43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9" fillId="0" borderId="32" xfId="5" applyFont="1" applyBorder="1" applyAlignment="1">
      <alignment horizontal="left" wrapText="1"/>
    </xf>
    <xf numFmtId="0" fontId="9" fillId="0" borderId="35" xfId="5" applyFont="1" applyBorder="1" applyAlignment="1">
      <alignment horizontal="left" wrapText="1"/>
    </xf>
    <xf numFmtId="0" fontId="9" fillId="0" borderId="9" xfId="5" applyFont="1" applyBorder="1" applyAlignment="1">
      <alignment horizontal="left" wrapText="1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8" fillId="8" borderId="14" xfId="0" applyFont="1" applyFill="1" applyBorder="1" applyAlignment="1">
      <alignment horizontal="left"/>
    </xf>
    <xf numFmtId="0" fontId="8" fillId="0" borderId="13" xfId="5" applyFont="1" applyBorder="1" applyAlignment="1">
      <alignment horizontal="left"/>
    </xf>
    <xf numFmtId="0" fontId="8" fillId="0" borderId="14" xfId="5" applyFont="1" applyBorder="1" applyAlignment="1">
      <alignment horizontal="left"/>
    </xf>
    <xf numFmtId="0" fontId="8" fillId="0" borderId="15" xfId="5" applyFont="1" applyBorder="1" applyAlignment="1">
      <alignment horizontal="left"/>
    </xf>
    <xf numFmtId="0" fontId="8" fillId="0" borderId="13" xfId="5" applyFont="1" applyBorder="1" applyAlignment="1">
      <alignment horizontal="left" wrapText="1"/>
    </xf>
    <xf numFmtId="0" fontId="8" fillId="0" borderId="14" xfId="5" applyFont="1" applyBorder="1" applyAlignment="1">
      <alignment horizontal="left" wrapText="1"/>
    </xf>
    <xf numFmtId="0" fontId="8" fillId="0" borderId="15" xfId="5" applyFont="1" applyBorder="1" applyAlignment="1">
      <alignment horizontal="left" wrapText="1"/>
    </xf>
    <xf numFmtId="0" fontId="8" fillId="0" borderId="32" xfId="5" applyFont="1" applyBorder="1" applyAlignment="1">
      <alignment horizontal="left"/>
    </xf>
    <xf numFmtId="0" fontId="8" fillId="0" borderId="35" xfId="5" applyFont="1" applyBorder="1" applyAlignment="1">
      <alignment horizontal="left"/>
    </xf>
    <xf numFmtId="0" fontId="8" fillId="0" borderId="9" xfId="5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34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4" fillId="0" borderId="13" xfId="5" applyFont="1" applyBorder="1" applyAlignment="1">
      <alignment horizontal="left" wrapText="1"/>
    </xf>
    <xf numFmtId="0" fontId="4" fillId="0" borderId="14" xfId="5" applyFont="1" applyBorder="1" applyAlignment="1">
      <alignment horizontal="left" wrapText="1"/>
    </xf>
    <xf numFmtId="0" fontId="4" fillId="0" borderId="15" xfId="5" applyFont="1" applyBorder="1" applyAlignment="1">
      <alignment horizontal="left" wrapText="1"/>
    </xf>
    <xf numFmtId="0" fontId="24" fillId="4" borderId="29" xfId="4" applyFont="1" applyFill="1" applyBorder="1" applyAlignment="1">
      <alignment horizontal="center" vertical="center" wrapText="1"/>
    </xf>
    <xf numFmtId="0" fontId="24" fillId="4" borderId="30" xfId="4" applyFont="1" applyFill="1" applyBorder="1" applyAlignment="1">
      <alignment horizontal="center" vertical="center" wrapText="1"/>
    </xf>
    <xf numFmtId="0" fontId="24" fillId="4" borderId="31" xfId="4" applyFont="1" applyFill="1" applyBorder="1" applyAlignment="1">
      <alignment horizontal="center" vertical="center" wrapText="1"/>
    </xf>
    <xf numFmtId="0" fontId="26" fillId="0" borderId="32" xfId="5" applyFont="1" applyBorder="1" applyAlignment="1">
      <alignment horizontal="right"/>
    </xf>
    <xf numFmtId="0" fontId="26" fillId="0" borderId="35" xfId="5" applyFont="1" applyBorder="1" applyAlignment="1">
      <alignment horizontal="right"/>
    </xf>
    <xf numFmtId="0" fontId="26" fillId="0" borderId="2" xfId="5" applyFont="1" applyBorder="1" applyAlignment="1">
      <alignment horizontal="right"/>
    </xf>
    <xf numFmtId="164" fontId="21" fillId="0" borderId="28" xfId="5" applyNumberFormat="1" applyFont="1" applyBorder="1" applyAlignment="1">
      <alignment horizontal="right"/>
    </xf>
    <xf numFmtId="0" fontId="21" fillId="2" borderId="33" xfId="5" applyFont="1" applyFill="1" applyBorder="1" applyAlignment="1">
      <alignment horizontal="center"/>
    </xf>
    <xf numFmtId="0" fontId="21" fillId="2" borderId="9" xfId="5" applyFont="1" applyFill="1" applyBorder="1" applyAlignment="1">
      <alignment horizontal="center"/>
    </xf>
    <xf numFmtId="0" fontId="26" fillId="0" borderId="13" xfId="5" applyFont="1" applyBorder="1" applyAlignment="1">
      <alignment horizontal="right"/>
    </xf>
    <xf numFmtId="0" fontId="26" fillId="0" borderId="14" xfId="5" applyFont="1" applyBorder="1" applyAlignment="1">
      <alignment horizontal="right"/>
    </xf>
    <xf numFmtId="0" fontId="26" fillId="0" borderId="18" xfId="5" applyFont="1" applyBorder="1" applyAlignment="1">
      <alignment horizontal="right"/>
    </xf>
    <xf numFmtId="0" fontId="21" fillId="0" borderId="3" xfId="5" applyFont="1" applyBorder="1" applyAlignment="1">
      <alignment horizontal="right"/>
    </xf>
    <xf numFmtId="164" fontId="21" fillId="0" borderId="22" xfId="5" applyNumberFormat="1" applyFont="1" applyBorder="1" applyAlignment="1">
      <alignment horizontal="center"/>
    </xf>
    <xf numFmtId="164" fontId="21" fillId="0" borderId="15" xfId="5" applyNumberFormat="1" applyFont="1" applyBorder="1" applyAlignment="1">
      <alignment horizontal="center"/>
    </xf>
    <xf numFmtId="0" fontId="21" fillId="0" borderId="13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164" fontId="21" fillId="0" borderId="22" xfId="5" applyNumberFormat="1" applyFont="1" applyBorder="1" applyAlignment="1">
      <alignment horizontal="right" wrapText="1"/>
    </xf>
    <xf numFmtId="164" fontId="21" fillId="0" borderId="18" xfId="5" applyNumberFormat="1" applyFont="1" applyBorder="1" applyAlignment="1">
      <alignment horizontal="right" wrapText="1"/>
    </xf>
    <xf numFmtId="0" fontId="26" fillId="0" borderId="10" xfId="5" applyFont="1" applyBorder="1" applyAlignment="1">
      <alignment horizontal="right"/>
    </xf>
    <xf numFmtId="0" fontId="26" fillId="0" borderId="34" xfId="5" applyFont="1" applyBorder="1" applyAlignment="1">
      <alignment horizontal="right"/>
    </xf>
    <xf numFmtId="0" fontId="26" fillId="0" borderId="11" xfId="5" applyFont="1" applyBorder="1" applyAlignment="1">
      <alignment horizontal="right"/>
    </xf>
    <xf numFmtId="0" fontId="21" fillId="0" borderId="11" xfId="5" applyFont="1" applyBorder="1" applyAlignment="1">
      <alignment horizontal="right"/>
    </xf>
    <xf numFmtId="164" fontId="21" fillId="0" borderId="16" xfId="5" applyNumberFormat="1" applyFont="1" applyBorder="1" applyAlignment="1">
      <alignment horizontal="center"/>
    </xf>
    <xf numFmtId="164" fontId="21" fillId="0" borderId="47" xfId="5" applyNumberFormat="1" applyFont="1" applyBorder="1" applyAlignment="1">
      <alignment horizontal="center"/>
    </xf>
    <xf numFmtId="0" fontId="26" fillId="5" borderId="29" xfId="5" applyFont="1" applyFill="1" applyBorder="1" applyAlignment="1">
      <alignment horizontal="center"/>
    </xf>
    <xf numFmtId="0" fontId="26" fillId="5" borderId="30" xfId="5" applyFont="1" applyFill="1" applyBorder="1" applyAlignment="1">
      <alignment horizontal="center"/>
    </xf>
    <xf numFmtId="0" fontId="26" fillId="5" borderId="31" xfId="5" applyFont="1" applyFill="1" applyBorder="1" applyAlignment="1">
      <alignment horizontal="center"/>
    </xf>
    <xf numFmtId="0" fontId="21" fillId="0" borderId="43" xfId="0" applyFont="1" applyBorder="1" applyAlignment="1">
      <alignment horizontal="left" wrapText="1"/>
    </xf>
    <xf numFmtId="0" fontId="21" fillId="0" borderId="17" xfId="0" applyFont="1" applyBorder="1" applyAlignment="1">
      <alignment horizontal="left" wrapText="1"/>
    </xf>
    <xf numFmtId="0" fontId="21" fillId="0" borderId="44" xfId="0" applyFont="1" applyBorder="1" applyAlignment="1">
      <alignment horizontal="left" wrapText="1"/>
    </xf>
    <xf numFmtId="0" fontId="21" fillId="0" borderId="63" xfId="5" applyFont="1" applyBorder="1" applyAlignment="1">
      <alignment horizontal="left"/>
    </xf>
    <xf numFmtId="0" fontId="21" fillId="0" borderId="55" xfId="5" applyFont="1" applyBorder="1" applyAlignment="1">
      <alignment horizontal="left"/>
    </xf>
    <xf numFmtId="0" fontId="21" fillId="0" borderId="64" xfId="5" applyFont="1" applyBorder="1" applyAlignment="1">
      <alignment horizontal="left"/>
    </xf>
    <xf numFmtId="0" fontId="26" fillId="6" borderId="3" xfId="4" applyFont="1" applyFill="1" applyBorder="1" applyAlignment="1">
      <alignment horizontal="center"/>
    </xf>
    <xf numFmtId="0" fontId="21" fillId="2" borderId="3" xfId="4" applyFont="1" applyFill="1" applyBorder="1" applyAlignment="1">
      <alignment horizontal="left"/>
    </xf>
    <xf numFmtId="0" fontId="27" fillId="3" borderId="18" xfId="5" applyFont="1" applyFill="1" applyBorder="1" applyAlignment="1">
      <alignment vertical="center"/>
    </xf>
    <xf numFmtId="49" fontId="26" fillId="0" borderId="3" xfId="5" applyNumberFormat="1" applyFont="1" applyBorder="1" applyAlignment="1">
      <alignment horizontal="center"/>
    </xf>
    <xf numFmtId="0" fontId="21" fillId="0" borderId="3" xfId="0" applyFont="1" applyBorder="1"/>
    <xf numFmtId="0" fontId="86" fillId="0" borderId="3" xfId="5" applyFont="1" applyBorder="1" applyAlignment="1">
      <alignment vertical="center"/>
    </xf>
  </cellXfs>
  <cellStyles count="12">
    <cellStyle name="Millares" xfId="3" builtinId="3"/>
    <cellStyle name="Millares [0]" xfId="11" builtinId="6"/>
    <cellStyle name="Normal" xfId="0" builtinId="0"/>
    <cellStyle name="Normal 2" xfId="5" xr:uid="{8668F873-02DB-4A02-AF6D-4E21B12DB858}"/>
    <cellStyle name="Normal 3" xfId="6" xr:uid="{4ADA67B4-1C58-41FF-894E-9FE46F4573FE}"/>
    <cellStyle name="Normal 3 2" xfId="7" xr:uid="{644DA105-A70C-4C04-BB6D-F809E6E31D1E}"/>
    <cellStyle name="Normal 4" xfId="9" xr:uid="{A8D3FFD8-F9EB-40DA-92D9-3855817A7E26}"/>
    <cellStyle name="Normal 5" xfId="8" xr:uid="{78787F86-DD45-436C-B5EB-CD289D6D71AB}"/>
    <cellStyle name="Normal_CRITERIOS DE EVALUACION PT DE GB" xfId="1" xr:uid="{00000000-0005-0000-0000-000001000000}"/>
    <cellStyle name="Normal_CRITERIOS DE EVALUACION PT DE GB 2" xfId="4" xr:uid="{D6D0B999-AA00-461B-8241-8CAF4F956868}"/>
    <cellStyle name="Porcentaje 2" xfId="2" xr:uid="{00000000-0005-0000-0000-000002000000}"/>
    <cellStyle name="Porcentaje 2 2" xfId="10" xr:uid="{156F64E2-46F9-4365-B770-A09E67215A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1</xdr:row>
      <xdr:rowOff>11206</xdr:rowOff>
    </xdr:from>
    <xdr:to>
      <xdr:col>1</xdr:col>
      <xdr:colOff>728014</xdr:colOff>
      <xdr:row>4</xdr:row>
      <xdr:rowOff>136263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85494D8-339E-4B16-99D1-464B05317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" y="201706"/>
          <a:ext cx="1464465" cy="627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156482</xdr:colOff>
      <xdr:row>1</xdr:row>
      <xdr:rowOff>163286</xdr:rowOff>
    </xdr:from>
    <xdr:to>
      <xdr:col>1</xdr:col>
      <xdr:colOff>563062</xdr:colOff>
      <xdr:row>5</xdr:row>
      <xdr:rowOff>51707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C3725AE-82E4-421C-9F38-FAEC17FCC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82" y="384266"/>
          <a:ext cx="1252400" cy="55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95249</xdr:rowOff>
    </xdr:from>
    <xdr:to>
      <xdr:col>1</xdr:col>
      <xdr:colOff>975510</xdr:colOff>
      <xdr:row>4</xdr:row>
      <xdr:rowOff>47624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433D621-F2DC-40C1-AFC7-338565198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6" y="95249"/>
          <a:ext cx="1963730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AA08-35AF-43E7-BFC4-597A260F2343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47B-1942-4453-8463-F70C836CDD93}">
  <dimension ref="A1:Q94"/>
  <sheetViews>
    <sheetView workbookViewId="0">
      <selection activeCell="E17" sqref="E17"/>
    </sheetView>
  </sheetViews>
  <sheetFormatPr baseColWidth="10" defaultColWidth="8.42578125" defaultRowHeight="12.75" x14ac:dyDescent="0.2"/>
  <cols>
    <col min="1" max="1" width="10" style="483" bestFit="1" customWidth="1"/>
    <col min="2" max="2" width="44.28515625" style="483" bestFit="1" customWidth="1"/>
    <col min="3" max="3" width="10.42578125" style="483" bestFit="1" customWidth="1"/>
    <col min="4" max="4" width="10.42578125" style="483" customWidth="1"/>
    <col min="5" max="5" width="11" style="483" customWidth="1"/>
    <col min="6" max="6" width="9.5703125" style="483" bestFit="1" customWidth="1"/>
    <col min="7" max="7" width="10.85546875" style="565" customWidth="1"/>
    <col min="8" max="8" width="10.42578125" style="556" bestFit="1" customWidth="1"/>
    <col min="9" max="9" width="4.5703125" style="556" customWidth="1"/>
    <col min="10" max="10" width="1.85546875" style="482" customWidth="1"/>
    <col min="11" max="11" width="7" style="483" bestFit="1" customWidth="1"/>
    <col min="12" max="12" width="6.28515625" style="483" customWidth="1"/>
    <col min="13" max="13" width="20.42578125" style="483" customWidth="1"/>
    <col min="14" max="14" width="6.42578125" style="483" bestFit="1" customWidth="1"/>
    <col min="15" max="16" width="8.42578125" style="483"/>
    <col min="17" max="17" width="3.28515625" style="483" customWidth="1"/>
    <col min="18" max="16384" width="8.42578125" style="483"/>
  </cols>
  <sheetData>
    <row r="1" spans="1:10" ht="27.75" customHeight="1" x14ac:dyDescent="0.2">
      <c r="A1" s="478"/>
      <c r="B1" s="478"/>
      <c r="C1" s="478"/>
      <c r="D1" s="478"/>
      <c r="E1" s="479" t="s">
        <v>265</v>
      </c>
      <c r="F1" s="480" t="s">
        <v>266</v>
      </c>
      <c r="G1" s="480" t="s">
        <v>267</v>
      </c>
      <c r="H1" s="480" t="s">
        <v>268</v>
      </c>
      <c r="I1" s="481"/>
    </row>
    <row r="2" spans="1:10" ht="30.75" customHeight="1" x14ac:dyDescent="0.2">
      <c r="A2" s="478"/>
      <c r="B2" s="478"/>
      <c r="C2" s="478"/>
      <c r="D2" s="478"/>
      <c r="E2" s="484">
        <f>IFERROR(O65,"")</f>
        <v>6282.8413947782092</v>
      </c>
      <c r="F2" s="484">
        <f>IFERROR(H56,"")</f>
        <v>3805.4876599999998</v>
      </c>
      <c r="G2" s="484">
        <f>IFERROR(H57,"")</f>
        <v>686.13996382189248</v>
      </c>
      <c r="H2" s="484">
        <f>IFERROR(H59,"")</f>
        <v>862.0216272727273</v>
      </c>
      <c r="I2" s="485"/>
    </row>
    <row r="3" spans="1:10" ht="15" customHeight="1" x14ac:dyDescent="0.2">
      <c r="A3" s="478"/>
      <c r="B3" s="478"/>
      <c r="C3" s="478"/>
      <c r="D3" s="478"/>
      <c r="E3" s="478"/>
      <c r="F3" s="486"/>
      <c r="G3" s="486"/>
      <c r="H3" s="486"/>
      <c r="I3" s="486"/>
    </row>
    <row r="4" spans="1:10" ht="24.75" customHeight="1" thickBot="1" x14ac:dyDescent="0.25">
      <c r="A4" s="666"/>
      <c r="B4" s="666"/>
      <c r="C4" s="666"/>
      <c r="D4" s="666"/>
      <c r="E4" s="666"/>
      <c r="F4" s="666"/>
      <c r="G4" s="666"/>
      <c r="H4" s="666"/>
      <c r="I4" s="487"/>
    </row>
    <row r="5" spans="1:10" ht="19.5" customHeight="1" thickBot="1" x14ac:dyDescent="0.25">
      <c r="A5" s="667" t="s">
        <v>269</v>
      </c>
      <c r="B5" s="668"/>
      <c r="C5" s="668"/>
      <c r="D5" s="668"/>
      <c r="E5" s="668"/>
      <c r="F5" s="668"/>
      <c r="G5" s="668"/>
      <c r="H5" s="669"/>
      <c r="I5" s="488"/>
    </row>
    <row r="6" spans="1:10" ht="19.5" thickBot="1" x14ac:dyDescent="0.25">
      <c r="A6" s="488"/>
      <c r="B6" s="488"/>
      <c r="C6" s="488"/>
      <c r="D6" s="488"/>
      <c r="E6" s="488"/>
      <c r="F6" s="670" t="s">
        <v>270</v>
      </c>
      <c r="G6" s="670"/>
      <c r="H6" s="489">
        <f ca="1">TODAY()</f>
        <v>46094</v>
      </c>
      <c r="I6" s="489"/>
    </row>
    <row r="7" spans="1:10" ht="26.25" thickBot="1" x14ac:dyDescent="0.25">
      <c r="A7" s="490" t="s">
        <v>271</v>
      </c>
      <c r="B7" s="491" t="s">
        <v>272</v>
      </c>
      <c r="C7" s="491" t="s">
        <v>271</v>
      </c>
      <c r="D7" s="492" t="s">
        <v>273</v>
      </c>
      <c r="E7" s="492" t="s">
        <v>274</v>
      </c>
      <c r="F7" s="492" t="s">
        <v>275</v>
      </c>
      <c r="G7" s="492" t="s">
        <v>276</v>
      </c>
      <c r="H7" s="493" t="s">
        <v>277</v>
      </c>
      <c r="I7" s="494"/>
    </row>
    <row r="8" spans="1:10" ht="13.5" x14ac:dyDescent="0.25">
      <c r="A8" s="495">
        <v>35</v>
      </c>
      <c r="B8" s="483" t="s">
        <v>93</v>
      </c>
      <c r="C8" s="496">
        <f>+A8</f>
        <v>35</v>
      </c>
      <c r="D8" s="497" t="s">
        <v>317</v>
      </c>
      <c r="E8" s="497">
        <v>3.82</v>
      </c>
      <c r="F8" s="497">
        <f>IFERROR(C8*E8,"")</f>
        <v>133.69999999999999</v>
      </c>
      <c r="G8" s="498">
        <f t="shared" ref="G8:G14" si="0">IFERROR(F8/$F$69,"")</f>
        <v>2.5792201702319249E-2</v>
      </c>
      <c r="H8" s="499" t="s">
        <v>92</v>
      </c>
      <c r="I8" s="499"/>
      <c r="J8" s="500"/>
    </row>
    <row r="9" spans="1:10" ht="13.5" hidden="1" x14ac:dyDescent="0.25">
      <c r="A9" s="495"/>
      <c r="B9" s="483" t="str">
        <f>IFERROR(VLOOKUP(H9,'[1]Consolidado MP Planta'!$A$2:$M$823,3,0),"")</f>
        <v/>
      </c>
      <c r="C9" s="496">
        <f t="shared" ref="C9:C14" si="1">+A9</f>
        <v>0</v>
      </c>
      <c r="D9" s="497" t="str">
        <f>IFERROR(VLOOKUP(H9,'[1]Consolidado MP Planta'!$A$2:$M$823,13,0),"")</f>
        <v/>
      </c>
      <c r="E9" s="497" t="str">
        <f>IFERROR(VLOOKUP(H9,'[1]Consolidado MP Planta'!$A$2:$M$823,12,0),"")</f>
        <v/>
      </c>
      <c r="F9" s="497" t="str">
        <f t="shared" ref="F9:F14" si="2">IFERROR(C9*E9,"")</f>
        <v/>
      </c>
      <c r="G9" s="498" t="str">
        <f t="shared" si="0"/>
        <v/>
      </c>
      <c r="H9" s="499"/>
      <c r="I9" s="499"/>
      <c r="J9" s="500"/>
    </row>
    <row r="10" spans="1:10" ht="13.5" hidden="1" x14ac:dyDescent="0.25">
      <c r="A10" s="495"/>
      <c r="B10" s="483" t="str">
        <f>IFERROR(VLOOKUP(H10,'[1]Consolidado MP Planta'!$A$2:$M$823,3,0),"")</f>
        <v/>
      </c>
      <c r="C10" s="496">
        <f t="shared" si="1"/>
        <v>0</v>
      </c>
      <c r="D10" s="497" t="str">
        <f>IFERROR(VLOOKUP(H10,'[1]Consolidado MP Planta'!$A$2:$M$823,13,0),"")</f>
        <v/>
      </c>
      <c r="E10" s="497" t="str">
        <f>IFERROR(VLOOKUP(H10,'[1]Consolidado MP Planta'!$A$2:$M$823,12,0),"")</f>
        <v/>
      </c>
      <c r="F10" s="497" t="str">
        <f t="shared" si="2"/>
        <v/>
      </c>
      <c r="G10" s="498" t="str">
        <f t="shared" si="0"/>
        <v/>
      </c>
      <c r="H10" s="499"/>
      <c r="I10" s="499"/>
      <c r="J10" s="500"/>
    </row>
    <row r="11" spans="1:10" ht="13.5" hidden="1" x14ac:dyDescent="0.25">
      <c r="A11" s="495"/>
      <c r="B11" s="483" t="str">
        <f>IFERROR(VLOOKUP(H11,'[1]Consolidado MP Planta'!$A$2:$M$823,3,0),"")</f>
        <v/>
      </c>
      <c r="C11" s="496">
        <f t="shared" si="1"/>
        <v>0</v>
      </c>
      <c r="D11" s="497" t="str">
        <f>IFERROR(VLOOKUP(H11,'[1]Consolidado MP Planta'!$A$2:$M$823,13,0),"")</f>
        <v/>
      </c>
      <c r="E11" s="497" t="str">
        <f>IFERROR(VLOOKUP(H11,'[1]Consolidado MP Planta'!$A$2:$M$823,12,0),"")</f>
        <v/>
      </c>
      <c r="F11" s="497" t="str">
        <f t="shared" si="2"/>
        <v/>
      </c>
      <c r="G11" s="498" t="str">
        <f t="shared" si="0"/>
        <v/>
      </c>
      <c r="H11" s="499"/>
      <c r="I11" s="499"/>
      <c r="J11" s="500"/>
    </row>
    <row r="12" spans="1:10" ht="13.5" hidden="1" x14ac:dyDescent="0.25">
      <c r="A12" s="495"/>
      <c r="B12" s="483" t="str">
        <f>IFERROR(VLOOKUP(H12,'[1]Consolidado MP Planta'!$A$2:$M$823,3,0),"")</f>
        <v/>
      </c>
      <c r="C12" s="496">
        <f t="shared" si="1"/>
        <v>0</v>
      </c>
      <c r="D12" s="497" t="str">
        <f>IFERROR(VLOOKUP(H12,'[1]Consolidado MP Planta'!$A$2:$M$823,13,0),"")</f>
        <v/>
      </c>
      <c r="E12" s="497" t="str">
        <f>IFERROR(VLOOKUP(H12,'[1]Consolidado MP Planta'!$A$2:$M$823,12,0),"")</f>
        <v/>
      </c>
      <c r="F12" s="497" t="str">
        <f t="shared" si="2"/>
        <v/>
      </c>
      <c r="G12" s="498" t="str">
        <f t="shared" si="0"/>
        <v/>
      </c>
      <c r="H12" s="499"/>
      <c r="I12" s="499"/>
      <c r="J12" s="500"/>
    </row>
    <row r="13" spans="1:10" ht="13.5" hidden="1" x14ac:dyDescent="0.25">
      <c r="A13" s="495"/>
      <c r="B13" s="483" t="str">
        <f>IFERROR(VLOOKUP(H13,'[1]Consolidado MP Planta'!$A$2:$M$823,3,0),"")</f>
        <v/>
      </c>
      <c r="C13" s="496">
        <f t="shared" si="1"/>
        <v>0</v>
      </c>
      <c r="D13" s="497" t="str">
        <f>IFERROR(VLOOKUP(H13,'[1]Consolidado MP Planta'!$A$2:$M$823,13,0),"")</f>
        <v/>
      </c>
      <c r="E13" s="497" t="str">
        <f>IFERROR(VLOOKUP(H13,'[1]Consolidado MP Planta'!$A$2:$M$823,12,0),"")</f>
        <v/>
      </c>
      <c r="F13" s="497" t="str">
        <f t="shared" si="2"/>
        <v/>
      </c>
      <c r="G13" s="498" t="str">
        <f t="shared" si="0"/>
        <v/>
      </c>
      <c r="H13" s="499"/>
      <c r="I13" s="499"/>
      <c r="J13" s="500"/>
    </row>
    <row r="14" spans="1:10" ht="13.5" hidden="1" x14ac:dyDescent="0.25">
      <c r="A14" s="495"/>
      <c r="B14" s="483" t="str">
        <f>IFERROR(VLOOKUP(H14,'[1]Consolidado MP Planta'!$A$2:$M$823,3,0),"")</f>
        <v/>
      </c>
      <c r="C14" s="496">
        <f t="shared" si="1"/>
        <v>0</v>
      </c>
      <c r="D14" s="497" t="str">
        <f>IFERROR(VLOOKUP(H14,'[1]Consolidado MP Planta'!$A$2:$M$823,13,0),"")</f>
        <v/>
      </c>
      <c r="E14" s="497" t="str">
        <f>IFERROR(VLOOKUP(H14,'[1]Consolidado MP Planta'!$A$2:$M$823,12,0),"")</f>
        <v/>
      </c>
      <c r="F14" s="497" t="str">
        <f t="shared" si="2"/>
        <v/>
      </c>
      <c r="G14" s="498" t="str">
        <f t="shared" si="0"/>
        <v/>
      </c>
      <c r="H14" s="499"/>
      <c r="I14" s="499"/>
      <c r="J14" s="500"/>
    </row>
    <row r="15" spans="1:10" ht="14.25" thickBot="1" x14ac:dyDescent="0.3">
      <c r="A15" s="495"/>
      <c r="B15" s="483" t="str">
        <f>IFERROR(VLOOKUP(H15,[2]Hoja2!$A$2:$G$589,2,0),"")</f>
        <v/>
      </c>
      <c r="C15" s="496"/>
      <c r="D15" s="497"/>
      <c r="E15" s="497"/>
      <c r="F15" s="497"/>
      <c r="G15" s="498"/>
      <c r="H15" s="499"/>
      <c r="I15" s="499"/>
      <c r="J15" s="500"/>
    </row>
    <row r="16" spans="1:10" ht="26.25" thickBot="1" x14ac:dyDescent="0.25">
      <c r="A16" s="490" t="s">
        <v>271</v>
      </c>
      <c r="B16" s="491" t="s">
        <v>278</v>
      </c>
      <c r="C16" s="491" t="s">
        <v>271</v>
      </c>
      <c r="D16" s="492" t="s">
        <v>273</v>
      </c>
      <c r="E16" s="492" t="s">
        <v>274</v>
      </c>
      <c r="F16" s="492" t="s">
        <v>275</v>
      </c>
      <c r="G16" s="492" t="s">
        <v>276</v>
      </c>
      <c r="H16" s="493" t="s">
        <v>277</v>
      </c>
      <c r="I16" s="494"/>
      <c r="J16" s="500"/>
    </row>
    <row r="17" spans="1:13" ht="13.5" x14ac:dyDescent="0.25">
      <c r="A17" s="495">
        <v>1</v>
      </c>
      <c r="B17" s="483" t="s">
        <v>40</v>
      </c>
      <c r="C17" s="496">
        <f>+A17</f>
        <v>1</v>
      </c>
      <c r="D17" s="496" t="s">
        <v>318</v>
      </c>
      <c r="E17" s="497">
        <v>629</v>
      </c>
      <c r="F17" s="497">
        <f>IFERROR(E17*C17,"")</f>
        <v>629</v>
      </c>
      <c r="G17" s="498">
        <f t="shared" ref="G17:G24" si="3">IFERROR(F17/$F$69,"")</f>
        <v>0.12134102371547352</v>
      </c>
      <c r="H17" s="499" t="s">
        <v>39</v>
      </c>
      <c r="I17" s="499"/>
      <c r="J17" s="500"/>
    </row>
    <row r="18" spans="1:13" ht="13.5" x14ac:dyDescent="0.25">
      <c r="A18" s="495">
        <v>200</v>
      </c>
      <c r="B18" s="483" t="s">
        <v>43</v>
      </c>
      <c r="C18" s="496">
        <f t="shared" ref="C18:C24" si="4">+A18</f>
        <v>200</v>
      </c>
      <c r="D18" s="496" t="s">
        <v>317</v>
      </c>
      <c r="E18" s="497">
        <v>0.2</v>
      </c>
      <c r="F18" s="497">
        <f t="shared" ref="F18:F24" si="5">IFERROR(E18*C18,"")</f>
        <v>40</v>
      </c>
      <c r="G18" s="498">
        <f t="shared" si="3"/>
        <v>7.7164402998711303E-3</v>
      </c>
      <c r="H18" s="499" t="s">
        <v>42</v>
      </c>
      <c r="I18" s="499"/>
      <c r="J18" s="500"/>
      <c r="M18" s="483">
        <f>203.81/1000</f>
        <v>0.20380999999999999</v>
      </c>
    </row>
    <row r="19" spans="1:13" ht="13.5" x14ac:dyDescent="0.25">
      <c r="A19" s="495">
        <v>150</v>
      </c>
      <c r="B19" s="483" t="s">
        <v>45</v>
      </c>
      <c r="C19" s="496">
        <f>+A19</f>
        <v>150</v>
      </c>
      <c r="D19" s="496" t="s">
        <v>317</v>
      </c>
      <c r="E19" s="497">
        <v>1.94</v>
      </c>
      <c r="F19" s="497">
        <f>IFERROR(E19*C19,"")</f>
        <v>291</v>
      </c>
      <c r="G19" s="498">
        <f t="shared" si="3"/>
        <v>5.6137103181562474E-2</v>
      </c>
      <c r="H19" s="499" t="s">
        <v>44</v>
      </c>
      <c r="I19" s="499"/>
      <c r="J19" s="500"/>
    </row>
    <row r="20" spans="1:13" ht="13.5" x14ac:dyDescent="0.25">
      <c r="A20" s="495">
        <v>410</v>
      </c>
      <c r="B20" s="483" t="s">
        <v>85</v>
      </c>
      <c r="C20" s="496">
        <f>+A20</f>
        <v>410</v>
      </c>
      <c r="D20" s="496" t="s">
        <v>317</v>
      </c>
      <c r="E20" s="497">
        <f>+'costo Fresa- Frambuesa'!E69</f>
        <v>2.4697260000000001</v>
      </c>
      <c r="F20" s="497">
        <f>IFERROR(E20*C20,"")</f>
        <v>1012.58766</v>
      </c>
      <c r="G20" s="498">
        <f t="shared" si="3"/>
        <v>0.19533930566940516</v>
      </c>
      <c r="H20" s="499" t="s">
        <v>320</v>
      </c>
      <c r="I20" s="499"/>
      <c r="J20" s="500"/>
    </row>
    <row r="21" spans="1:13" ht="13.5" x14ac:dyDescent="0.25">
      <c r="A21" s="495">
        <v>170</v>
      </c>
      <c r="B21" s="483" t="s">
        <v>89</v>
      </c>
      <c r="C21" s="496">
        <f>+A21</f>
        <v>170</v>
      </c>
      <c r="D21" s="496" t="s">
        <v>317</v>
      </c>
      <c r="E21" s="497">
        <v>2.2999999999999998</v>
      </c>
      <c r="F21" s="497">
        <f>IFERROR(E21*C21,"")</f>
        <v>390.99999999999994</v>
      </c>
      <c r="G21" s="498">
        <f t="shared" si="3"/>
        <v>7.5428203931240292E-2</v>
      </c>
      <c r="H21" s="499" t="s">
        <v>88</v>
      </c>
      <c r="I21" s="499"/>
      <c r="J21" s="500"/>
    </row>
    <row r="22" spans="1:13" ht="13.5" x14ac:dyDescent="0.25">
      <c r="A22" s="495">
        <v>20</v>
      </c>
      <c r="B22" s="483" t="s">
        <v>91</v>
      </c>
      <c r="C22" s="496">
        <f t="shared" si="4"/>
        <v>20</v>
      </c>
      <c r="D22" s="496" t="s">
        <v>317</v>
      </c>
      <c r="E22" s="497">
        <v>2.08</v>
      </c>
      <c r="F22" s="497">
        <f t="shared" si="5"/>
        <v>41.6</v>
      </c>
      <c r="G22" s="498">
        <f t="shared" si="3"/>
        <v>8.0250979118659752E-3</v>
      </c>
      <c r="H22" s="499" t="s">
        <v>90</v>
      </c>
      <c r="I22" s="499"/>
      <c r="J22" s="500"/>
    </row>
    <row r="23" spans="1:13" ht="13.5" x14ac:dyDescent="0.25">
      <c r="A23" s="495">
        <v>225</v>
      </c>
      <c r="B23" s="483" t="s">
        <v>47</v>
      </c>
      <c r="C23" s="496">
        <f t="shared" si="4"/>
        <v>225</v>
      </c>
      <c r="D23" s="496" t="s">
        <v>317</v>
      </c>
      <c r="E23" s="497">
        <f>+'Costo suspiro'!G70</f>
        <v>2.2799999999999998</v>
      </c>
      <c r="F23" s="497">
        <f t="shared" si="5"/>
        <v>513</v>
      </c>
      <c r="G23" s="498">
        <f t="shared" si="3"/>
        <v>9.8963346845847247E-2</v>
      </c>
      <c r="H23" s="499"/>
      <c r="I23" s="499"/>
      <c r="J23" s="500"/>
    </row>
    <row r="24" spans="1:13" ht="13.5" x14ac:dyDescent="0.25">
      <c r="A24" s="495">
        <v>240</v>
      </c>
      <c r="B24" s="483" t="s">
        <v>87</v>
      </c>
      <c r="C24" s="496">
        <f t="shared" si="4"/>
        <v>240</v>
      </c>
      <c r="D24" s="496" t="s">
        <v>317</v>
      </c>
      <c r="E24" s="497">
        <v>3.14</v>
      </c>
      <c r="F24" s="497">
        <f t="shared" si="5"/>
        <v>753.6</v>
      </c>
      <c r="G24" s="498">
        <f t="shared" si="3"/>
        <v>0.14537773524957209</v>
      </c>
      <c r="H24" s="499" t="s">
        <v>86</v>
      </c>
      <c r="I24" s="499"/>
      <c r="J24" s="500"/>
    </row>
    <row r="25" spans="1:13" ht="14.25" thickBot="1" x14ac:dyDescent="0.3">
      <c r="A25" s="495"/>
      <c r="C25" s="496"/>
      <c r="D25" s="496"/>
      <c r="E25" s="497"/>
      <c r="F25" s="497"/>
      <c r="G25" s="498"/>
      <c r="H25" s="499"/>
      <c r="I25" s="499"/>
      <c r="J25" s="500"/>
    </row>
    <row r="26" spans="1:13" ht="26.25" thickBot="1" x14ac:dyDescent="0.25">
      <c r="A26" s="490" t="s">
        <v>271</v>
      </c>
      <c r="B26" s="491" t="s">
        <v>279</v>
      </c>
      <c r="C26" s="491" t="s">
        <v>271</v>
      </c>
      <c r="D26" s="492" t="s">
        <v>273</v>
      </c>
      <c r="E26" s="492" t="s">
        <v>274</v>
      </c>
      <c r="F26" s="492" t="s">
        <v>275</v>
      </c>
      <c r="G26" s="492" t="s">
        <v>276</v>
      </c>
      <c r="H26" s="493" t="s">
        <v>277</v>
      </c>
      <c r="I26" s="494"/>
    </row>
    <row r="27" spans="1:13" ht="13.5" x14ac:dyDescent="0.25">
      <c r="A27" s="495">
        <v>1</v>
      </c>
      <c r="B27" s="501" t="str">
        <f>IFERROR(VLOOKUP(H27,'[1]Consolidado MP Planta'!$A$2:$M$823,3,0),"")</f>
        <v>QUEQUERA RED  BASE/DOMO 10 (CAJA:50)</v>
      </c>
      <c r="C27" s="496">
        <f t="shared" ref="C27:C33" si="6">+A27</f>
        <v>1</v>
      </c>
      <c r="D27" s="497" t="str">
        <f>IFERROR(VLOOKUP(H27,'[1]Consolidado MP Planta'!$A$2:$M$823,13,0),"")</f>
        <v>UND</v>
      </c>
      <c r="E27" s="497">
        <v>410</v>
      </c>
      <c r="F27" s="497">
        <f t="shared" ref="F27:F33" si="7">IFERROR(C27*E27,"")</f>
        <v>410</v>
      </c>
      <c r="G27" s="498">
        <f t="shared" ref="G27:G33" si="8">IFERROR(F27/$F$69,"")</f>
        <v>7.9093513073679081E-2</v>
      </c>
      <c r="H27" s="502" t="s">
        <v>321</v>
      </c>
      <c r="I27" s="502"/>
      <c r="J27" s="500"/>
      <c r="K27" s="660"/>
      <c r="L27" s="660"/>
    </row>
    <row r="28" spans="1:13" ht="13.5" x14ac:dyDescent="0.25">
      <c r="A28" s="495">
        <v>1</v>
      </c>
      <c r="B28" s="501" t="str">
        <f>IFERROR(VLOOKUP(H28,'[1]Consolidado MP Planta'!$A$2:$M$823,3,0),"")</f>
        <v>ORLA CARTON 10" DORADA (UND)</v>
      </c>
      <c r="C28" s="496">
        <f t="shared" si="6"/>
        <v>1</v>
      </c>
      <c r="D28" s="497" t="str">
        <f>IFERROR(VLOOKUP(H28,'[1]Consolidado MP Planta'!$A$2:$M$823,13,0),"")</f>
        <v>Und</v>
      </c>
      <c r="E28" s="497">
        <f>IFERROR(VLOOKUP(H28,'[1]Consolidado MP Planta'!$A$2:$M$823,12,0),"")</f>
        <v>137</v>
      </c>
      <c r="F28" s="497">
        <f t="shared" si="7"/>
        <v>137</v>
      </c>
      <c r="G28" s="498">
        <f t="shared" si="8"/>
        <v>2.6428808027058621E-2</v>
      </c>
      <c r="H28" s="502" t="s">
        <v>322</v>
      </c>
      <c r="I28" s="502"/>
      <c r="J28" s="500"/>
      <c r="K28" s="660"/>
      <c r="L28" s="660"/>
    </row>
    <row r="29" spans="1:13" ht="13.5" x14ac:dyDescent="0.25">
      <c r="A29" s="495">
        <v>1</v>
      </c>
      <c r="B29" s="501" t="str">
        <f>IFERROR(VLOOKUP(H29,'[1]Consolidado MP Planta'!$A$2:$M$823,3,0),"")</f>
        <v>ETIQUETA BLANCA R-153 (UND)</v>
      </c>
      <c r="C29" s="496">
        <f t="shared" ref="C29" si="9">+A29</f>
        <v>1</v>
      </c>
      <c r="D29" s="497" t="str">
        <f>IFERROR(VLOOKUP(H29,'[1]Consolidado MP Planta'!$A$2:$M$823,13,0),"")</f>
        <v>Und</v>
      </c>
      <c r="E29" s="497">
        <f>IFERROR(VLOOKUP(H29,'[1]Consolidado MP Planta'!$A$2:$M$823,12,0),"")</f>
        <v>0.39</v>
      </c>
      <c r="F29" s="497">
        <f t="shared" ref="F29" si="10">IFERROR(C29*E29,"")</f>
        <v>0.39</v>
      </c>
      <c r="G29" s="498">
        <f t="shared" si="8"/>
        <v>7.5235292923743523E-5</v>
      </c>
      <c r="H29" s="502" t="s">
        <v>323</v>
      </c>
      <c r="I29" s="502"/>
      <c r="J29" s="500"/>
      <c r="K29" s="481"/>
      <c r="L29" s="481"/>
    </row>
    <row r="30" spans="1:13" ht="13.5" x14ac:dyDescent="0.25">
      <c r="A30" s="495">
        <v>1</v>
      </c>
      <c r="B30" s="501" t="str">
        <f>IFERROR(VLOOKUP(H30,'[1]Consolidado MP Planta'!$A$2:$M$823,3,0),"")</f>
        <v>ETIQUETA BLANCA 2 5/8X1 15/16 (UND)</v>
      </c>
      <c r="C30" s="496">
        <f t="shared" si="6"/>
        <v>1</v>
      </c>
      <c r="D30" s="497" t="str">
        <f>IFERROR(VLOOKUP(H30,'[1]Consolidado MP Planta'!$A$2:$M$823,13,0),"")</f>
        <v>Und</v>
      </c>
      <c r="E30" s="497">
        <f>IFERROR(VLOOKUP(H30,'[1]Consolidado MP Planta'!$A$2:$M$823,12,0),"")</f>
        <v>2.1280000000000001</v>
      </c>
      <c r="F30" s="497">
        <f t="shared" si="7"/>
        <v>2.1280000000000001</v>
      </c>
      <c r="G30" s="498">
        <f t="shared" si="8"/>
        <v>4.1051462395314415E-4</v>
      </c>
      <c r="H30" s="502" t="s">
        <v>72</v>
      </c>
      <c r="I30" s="502"/>
      <c r="J30" s="500"/>
      <c r="K30" s="660"/>
      <c r="L30" s="660"/>
    </row>
    <row r="31" spans="1:13" ht="13.5" x14ac:dyDescent="0.25">
      <c r="A31" s="495">
        <v>1</v>
      </c>
      <c r="B31" s="501" t="str">
        <f>IFERROR(VLOOKUP(H31,'[1]Consolidado MP Planta'!$A$2:$M$823,3,0),"")</f>
        <v>ETIQ.BLANCA 1 1/4 * 3/4 (UND)</v>
      </c>
      <c r="C31" s="496">
        <f t="shared" si="6"/>
        <v>1</v>
      </c>
      <c r="D31" s="497" t="str">
        <f>IFERROR(VLOOKUP(H31,'[1]Consolidado MP Planta'!$A$2:$M$823,13,0),"")</f>
        <v>Und</v>
      </c>
      <c r="E31" s="497">
        <f>IFERROR(VLOOKUP(H31,'[1]Consolidado MP Planta'!$A$2:$M$823,12,0),"")</f>
        <v>0.57999999999999996</v>
      </c>
      <c r="F31" s="497">
        <f t="shared" si="7"/>
        <v>0.57999999999999996</v>
      </c>
      <c r="G31" s="498">
        <f t="shared" si="8"/>
        <v>1.1188838434813138E-4</v>
      </c>
      <c r="H31" s="502" t="s">
        <v>204</v>
      </c>
      <c r="I31" s="502"/>
      <c r="J31" s="500"/>
      <c r="K31" s="660"/>
      <c r="L31" s="660"/>
    </row>
    <row r="32" spans="1:13" ht="13.5" x14ac:dyDescent="0.25">
      <c r="A32" s="495">
        <v>1</v>
      </c>
      <c r="B32" s="501" t="s">
        <v>96</v>
      </c>
      <c r="C32" s="496">
        <f t="shared" si="6"/>
        <v>1</v>
      </c>
      <c r="D32" s="497" t="s">
        <v>319</v>
      </c>
      <c r="E32" s="497">
        <v>100</v>
      </c>
      <c r="F32" s="497">
        <f t="shared" si="7"/>
        <v>100</v>
      </c>
      <c r="G32" s="498">
        <f t="shared" si="8"/>
        <v>1.9291100749677825E-2</v>
      </c>
      <c r="H32" s="502" t="s">
        <v>46</v>
      </c>
      <c r="I32" s="502"/>
      <c r="J32" s="500"/>
      <c r="K32" s="503"/>
      <c r="L32" s="504"/>
    </row>
    <row r="33" spans="1:13" ht="13.5" x14ac:dyDescent="0.25">
      <c r="A33" s="495"/>
      <c r="B33" s="501" t="str">
        <f>IFERROR(VLOOKUP(H33,'[1]Consolidado MP Planta'!$A$2:$M$823,3,0),"")</f>
        <v/>
      </c>
      <c r="C33" s="496">
        <f t="shared" si="6"/>
        <v>0</v>
      </c>
      <c r="D33" s="497" t="str">
        <f>IFERROR(VLOOKUP(H33,'[1]Consolidado MP Planta'!$A$2:$M$823,13,0),"")</f>
        <v/>
      </c>
      <c r="E33" s="497" t="str">
        <f>IFERROR(VLOOKUP(H33,'[1]Consolidado MP Planta'!$A$2:$M$823,12,0),"")</f>
        <v/>
      </c>
      <c r="F33" s="497" t="str">
        <f t="shared" si="7"/>
        <v/>
      </c>
      <c r="G33" s="498" t="str">
        <f t="shared" si="8"/>
        <v/>
      </c>
      <c r="H33" s="502"/>
      <c r="I33" s="502"/>
      <c r="J33" s="500"/>
    </row>
    <row r="34" spans="1:13" ht="14.25" thickBot="1" x14ac:dyDescent="0.3">
      <c r="A34" s="495"/>
      <c r="B34" s="501"/>
      <c r="C34" s="496"/>
      <c r="D34" s="497"/>
      <c r="E34" s="497"/>
      <c r="F34" s="497"/>
      <c r="G34" s="498"/>
      <c r="H34" s="502"/>
      <c r="I34" s="502"/>
      <c r="J34" s="500"/>
    </row>
    <row r="35" spans="1:13" ht="26.25" thickBot="1" x14ac:dyDescent="0.25">
      <c r="A35" s="490" t="s">
        <v>271</v>
      </c>
      <c r="B35" s="491" t="s">
        <v>280</v>
      </c>
      <c r="C35" s="491" t="s">
        <v>271</v>
      </c>
      <c r="D35" s="492" t="s">
        <v>273</v>
      </c>
      <c r="E35" s="492" t="s">
        <v>274</v>
      </c>
      <c r="F35" s="492" t="s">
        <v>275</v>
      </c>
      <c r="G35" s="492" t="s">
        <v>276</v>
      </c>
      <c r="H35" s="493" t="s">
        <v>277</v>
      </c>
      <c r="I35" s="502"/>
      <c r="J35" s="500"/>
    </row>
    <row r="36" spans="1:13" ht="13.5" x14ac:dyDescent="0.25">
      <c r="A36" s="495">
        <f t="shared" ref="A36:A43" si="11">+A17</f>
        <v>1</v>
      </c>
      <c r="B36" s="501" t="s">
        <v>40</v>
      </c>
      <c r="C36" s="496">
        <f>+A36</f>
        <v>1</v>
      </c>
      <c r="D36" s="497" t="s">
        <v>318</v>
      </c>
      <c r="E36" s="497">
        <v>6.71</v>
      </c>
      <c r="F36" s="497">
        <f>IFERROR(E36*C36,"")</f>
        <v>6.71</v>
      </c>
      <c r="G36" s="498">
        <f t="shared" ref="G36:G43" si="12">IFERROR(F36/$F$69,"")</f>
        <v>1.294432860303382E-3</v>
      </c>
      <c r="H36" s="502" t="s">
        <v>39</v>
      </c>
      <c r="I36" s="502"/>
      <c r="J36" s="500"/>
    </row>
    <row r="37" spans="1:13" ht="13.5" x14ac:dyDescent="0.25">
      <c r="A37" s="495">
        <f t="shared" si="11"/>
        <v>200</v>
      </c>
      <c r="B37" s="501" t="s">
        <v>43</v>
      </c>
      <c r="C37" s="496">
        <f t="shared" ref="C37:C42" si="13">+A37</f>
        <v>200</v>
      </c>
      <c r="D37" s="497" t="s">
        <v>317</v>
      </c>
      <c r="E37" s="497">
        <v>0.01</v>
      </c>
      <c r="F37" s="497">
        <f t="shared" ref="F37:F42" si="14">IFERROR(E37*C37,"")</f>
        <v>2</v>
      </c>
      <c r="G37" s="498">
        <f t="shared" si="12"/>
        <v>3.8582201499355649E-4</v>
      </c>
      <c r="H37" s="502" t="s">
        <v>42</v>
      </c>
      <c r="I37" s="502"/>
      <c r="J37" s="500"/>
    </row>
    <row r="38" spans="1:13" ht="13.5" x14ac:dyDescent="0.25">
      <c r="A38" s="495">
        <f t="shared" si="11"/>
        <v>150</v>
      </c>
      <c r="B38" s="501" t="s">
        <v>45</v>
      </c>
      <c r="C38" s="496">
        <f t="shared" si="13"/>
        <v>150</v>
      </c>
      <c r="D38" s="497" t="s">
        <v>317</v>
      </c>
      <c r="E38" s="497">
        <v>0.1</v>
      </c>
      <c r="F38" s="497">
        <f t="shared" si="14"/>
        <v>15</v>
      </c>
      <c r="G38" s="498">
        <f t="shared" si="12"/>
        <v>2.893665112451674E-3</v>
      </c>
      <c r="H38" s="502" t="s">
        <v>44</v>
      </c>
      <c r="I38" s="502"/>
      <c r="J38" s="500"/>
    </row>
    <row r="39" spans="1:13" ht="13.5" x14ac:dyDescent="0.25">
      <c r="A39" s="495">
        <f t="shared" si="11"/>
        <v>410</v>
      </c>
      <c r="B39" s="501" t="s">
        <v>85</v>
      </c>
      <c r="C39" s="496">
        <f>+A39</f>
        <v>410</v>
      </c>
      <c r="D39" s="497" t="s">
        <v>317</v>
      </c>
      <c r="E39" s="497">
        <f>+'costo Fresa- Frambuesa'!E76</f>
        <v>7.1499999999999992E-3</v>
      </c>
      <c r="F39" s="497">
        <f>IFERROR(E39*C39,"")</f>
        <v>2.9314999999999998</v>
      </c>
      <c r="G39" s="498">
        <f t="shared" si="12"/>
        <v>5.6551861847680535E-4</v>
      </c>
      <c r="H39" s="499" t="s">
        <v>320</v>
      </c>
      <c r="I39" s="502"/>
      <c r="J39" s="500"/>
    </row>
    <row r="40" spans="1:13" ht="13.5" x14ac:dyDescent="0.25">
      <c r="A40" s="495">
        <f t="shared" si="11"/>
        <v>170</v>
      </c>
      <c r="B40" s="501" t="s">
        <v>89</v>
      </c>
      <c r="C40" s="496">
        <f>+A40</f>
        <v>170</v>
      </c>
      <c r="D40" s="497" t="s">
        <v>317</v>
      </c>
      <c r="E40" s="497">
        <v>0.01</v>
      </c>
      <c r="F40" s="497">
        <f>IFERROR(E40*C40,"")</f>
        <v>1.7</v>
      </c>
      <c r="G40" s="498">
        <f t="shared" si="12"/>
        <v>3.2794871274452301E-4</v>
      </c>
      <c r="H40" s="499" t="s">
        <v>88</v>
      </c>
      <c r="I40" s="502"/>
      <c r="J40" s="500"/>
    </row>
    <row r="41" spans="1:13" ht="13.5" x14ac:dyDescent="0.25">
      <c r="A41" s="495">
        <f t="shared" si="11"/>
        <v>20</v>
      </c>
      <c r="B41" s="501" t="s">
        <v>91</v>
      </c>
      <c r="C41" s="496">
        <f t="shared" si="13"/>
        <v>20</v>
      </c>
      <c r="D41" s="497" t="s">
        <v>317</v>
      </c>
      <c r="E41" s="497">
        <v>0.02</v>
      </c>
      <c r="F41" s="497">
        <f t="shared" si="14"/>
        <v>0.4</v>
      </c>
      <c r="G41" s="498">
        <f t="shared" si="12"/>
        <v>7.7164402998711301E-5</v>
      </c>
      <c r="H41" s="502" t="s">
        <v>90</v>
      </c>
      <c r="I41" s="502"/>
      <c r="J41" s="500"/>
    </row>
    <row r="42" spans="1:13" ht="13.5" x14ac:dyDescent="0.25">
      <c r="A42" s="495">
        <f t="shared" si="11"/>
        <v>225</v>
      </c>
      <c r="B42" s="501" t="s">
        <v>47</v>
      </c>
      <c r="C42" s="496">
        <f t="shared" si="13"/>
        <v>225</v>
      </c>
      <c r="D42" s="497" t="s">
        <v>317</v>
      </c>
      <c r="E42" s="497">
        <f>+'Costo suspiro'!E76</f>
        <v>1.111317254174397E-2</v>
      </c>
      <c r="F42" s="497">
        <f t="shared" si="14"/>
        <v>2.5004638218923931</v>
      </c>
      <c r="G42" s="498">
        <f t="shared" si="12"/>
        <v>4.8236699509050627E-4</v>
      </c>
      <c r="H42" s="502"/>
      <c r="I42" s="502"/>
      <c r="J42" s="500"/>
    </row>
    <row r="43" spans="1:13" ht="13.5" x14ac:dyDescent="0.25">
      <c r="A43" s="495">
        <f t="shared" si="11"/>
        <v>240</v>
      </c>
      <c r="B43" s="501" t="s">
        <v>87</v>
      </c>
      <c r="C43" s="496">
        <f t="shared" ref="C43" si="15">+A43</f>
        <v>240</v>
      </c>
      <c r="D43" s="497" t="s">
        <v>317</v>
      </c>
      <c r="E43" s="497">
        <v>0.02</v>
      </c>
      <c r="F43" s="497">
        <f t="shared" ref="F43" si="16">IFERROR(E43*C43,"")</f>
        <v>4.8</v>
      </c>
      <c r="G43" s="498">
        <f t="shared" si="12"/>
        <v>9.2597283598453556E-4</v>
      </c>
      <c r="H43" s="502" t="s">
        <v>86</v>
      </c>
      <c r="I43" s="502"/>
      <c r="J43" s="500"/>
    </row>
    <row r="44" spans="1:13" ht="14.25" thickBot="1" x14ac:dyDescent="0.3">
      <c r="A44" s="495"/>
      <c r="B44" s="501"/>
      <c r="C44" s="496"/>
      <c r="D44" s="497"/>
      <c r="E44" s="497"/>
      <c r="F44" s="497"/>
      <c r="G44" s="498"/>
      <c r="H44" s="502"/>
      <c r="I44" s="502"/>
      <c r="J44" s="500"/>
    </row>
    <row r="45" spans="1:13" ht="26.25" thickBot="1" x14ac:dyDescent="0.25">
      <c r="A45" s="490" t="s">
        <v>271</v>
      </c>
      <c r="B45" s="491" t="s">
        <v>281</v>
      </c>
      <c r="C45" s="491" t="s">
        <v>271</v>
      </c>
      <c r="D45" s="492" t="s">
        <v>273</v>
      </c>
      <c r="E45" s="492" t="s">
        <v>274</v>
      </c>
      <c r="F45" s="492" t="s">
        <v>275</v>
      </c>
      <c r="G45" s="492" t="s">
        <v>276</v>
      </c>
      <c r="H45" s="493" t="s">
        <v>277</v>
      </c>
      <c r="I45" s="494"/>
      <c r="J45" s="500"/>
    </row>
    <row r="46" spans="1:13" ht="13.5" x14ac:dyDescent="0.25">
      <c r="A46" s="495">
        <f t="shared" ref="A46:A53" si="17">+A36</f>
        <v>1</v>
      </c>
      <c r="B46" s="501" t="s">
        <v>40</v>
      </c>
      <c r="C46" s="496">
        <f>+A46</f>
        <v>1</v>
      </c>
      <c r="D46" s="497" t="s">
        <v>319</v>
      </c>
      <c r="E46" s="497">
        <v>29.75</v>
      </c>
      <c r="F46" s="497">
        <f>IFERROR(E46*C46,"")</f>
        <v>29.75</v>
      </c>
      <c r="G46" s="498">
        <f>IFERROR(F46/$F$69,"")</f>
        <v>5.7391024730291526E-3</v>
      </c>
      <c r="H46" s="502" t="s">
        <v>39</v>
      </c>
      <c r="I46" s="494"/>
      <c r="J46" s="500"/>
    </row>
    <row r="47" spans="1:13" ht="13.5" x14ac:dyDescent="0.25">
      <c r="A47" s="495">
        <f t="shared" si="17"/>
        <v>200</v>
      </c>
      <c r="B47" s="501" t="s">
        <v>43</v>
      </c>
      <c r="C47" s="496">
        <f t="shared" ref="C47:C52" si="18">+A47</f>
        <v>200</v>
      </c>
      <c r="D47" s="497" t="s">
        <v>317</v>
      </c>
      <c r="E47" s="497">
        <v>0.02</v>
      </c>
      <c r="F47" s="497">
        <f t="shared" ref="F47:F52" si="19">IFERROR(E47*C47,"")</f>
        <v>4</v>
      </c>
      <c r="G47" s="498">
        <f t="shared" ref="G47:G52" si="20">IFERROR(F47/$F$69,"")</f>
        <v>7.7164402998711299E-4</v>
      </c>
      <c r="H47" s="502" t="s">
        <v>42</v>
      </c>
      <c r="I47" s="494"/>
      <c r="J47" s="500"/>
      <c r="M47" s="505"/>
    </row>
    <row r="48" spans="1:13" ht="13.5" x14ac:dyDescent="0.25">
      <c r="A48" s="495">
        <f t="shared" si="17"/>
        <v>150</v>
      </c>
      <c r="B48" s="501" t="s">
        <v>45</v>
      </c>
      <c r="C48" s="496">
        <f t="shared" si="18"/>
        <v>150</v>
      </c>
      <c r="D48" s="497" t="s">
        <v>317</v>
      </c>
      <c r="E48" s="497">
        <v>0.13</v>
      </c>
      <c r="F48" s="497">
        <f t="shared" si="19"/>
        <v>19.5</v>
      </c>
      <c r="G48" s="498">
        <f t="shared" si="20"/>
        <v>3.7617646461871757E-3</v>
      </c>
      <c r="H48" s="502" t="s">
        <v>44</v>
      </c>
      <c r="I48" s="494"/>
      <c r="J48" s="500"/>
    </row>
    <row r="49" spans="1:17" ht="13.5" x14ac:dyDescent="0.25">
      <c r="A49" s="495">
        <f t="shared" si="17"/>
        <v>410</v>
      </c>
      <c r="B49" s="501" t="s">
        <v>85</v>
      </c>
      <c r="C49" s="496">
        <f t="shared" si="18"/>
        <v>410</v>
      </c>
      <c r="D49" s="497" t="s">
        <v>317</v>
      </c>
      <c r="E49" s="497">
        <f>+'costo Fresa- Frambuesa'!E74</f>
        <v>0.23204</v>
      </c>
      <c r="F49" s="497">
        <f t="shared" si="19"/>
        <v>95.136399999999995</v>
      </c>
      <c r="G49" s="498">
        <f t="shared" si="20"/>
        <v>1.8352858773616493E-2</v>
      </c>
      <c r="H49" s="499" t="s">
        <v>320</v>
      </c>
      <c r="I49" s="494"/>
      <c r="J49" s="500"/>
    </row>
    <row r="50" spans="1:17" ht="13.5" x14ac:dyDescent="0.25">
      <c r="A50" s="495">
        <f t="shared" si="17"/>
        <v>170</v>
      </c>
      <c r="B50" s="501" t="s">
        <v>89</v>
      </c>
      <c r="C50" s="496">
        <f t="shared" si="18"/>
        <v>170</v>
      </c>
      <c r="D50" s="497" t="s">
        <v>317</v>
      </c>
      <c r="E50" s="497">
        <v>0.03</v>
      </c>
      <c r="F50" s="497">
        <f t="shared" si="19"/>
        <v>5.0999999999999996</v>
      </c>
      <c r="G50" s="498">
        <f t="shared" si="20"/>
        <v>9.8384613823356893E-4</v>
      </c>
      <c r="H50" s="499" t="s">
        <v>88</v>
      </c>
      <c r="I50" s="494"/>
      <c r="J50" s="500"/>
    </row>
    <row r="51" spans="1:17" ht="13.5" x14ac:dyDescent="0.25">
      <c r="A51" s="495">
        <f t="shared" si="17"/>
        <v>20</v>
      </c>
      <c r="B51" s="501" t="s">
        <v>91</v>
      </c>
      <c r="C51" s="496">
        <f t="shared" si="18"/>
        <v>20</v>
      </c>
      <c r="D51" s="497" t="s">
        <v>317</v>
      </c>
      <c r="E51" s="497">
        <v>0.22</v>
      </c>
      <c r="F51" s="497">
        <f t="shared" si="19"/>
        <v>4.4000000000000004</v>
      </c>
      <c r="G51" s="498">
        <f t="shared" si="20"/>
        <v>8.4880843298582433E-4</v>
      </c>
      <c r="H51" s="502" t="s">
        <v>90</v>
      </c>
      <c r="I51" s="494"/>
      <c r="J51" s="500"/>
    </row>
    <row r="52" spans="1:17" ht="13.5" x14ac:dyDescent="0.25">
      <c r="A52" s="495">
        <f t="shared" si="17"/>
        <v>225</v>
      </c>
      <c r="B52" s="501" t="s">
        <v>47</v>
      </c>
      <c r="C52" s="496">
        <f t="shared" si="18"/>
        <v>225</v>
      </c>
      <c r="D52" s="497" t="s">
        <v>317</v>
      </c>
      <c r="E52" s="497">
        <f>+'Costo suspiro'!E74</f>
        <v>0.15704545454545454</v>
      </c>
      <c r="F52" s="497">
        <f t="shared" si="19"/>
        <v>35.335227272727273</v>
      </c>
      <c r="G52" s="498">
        <f t="shared" si="20"/>
        <v>6.8165542933094547E-3</v>
      </c>
      <c r="H52" s="501"/>
      <c r="I52" s="494"/>
      <c r="J52" s="500"/>
    </row>
    <row r="53" spans="1:17" ht="13.5" x14ac:dyDescent="0.25">
      <c r="A53" s="495">
        <f t="shared" si="17"/>
        <v>240</v>
      </c>
      <c r="B53" s="501" t="s">
        <v>87</v>
      </c>
      <c r="C53" s="496">
        <f t="shared" ref="C53" si="21">+A53</f>
        <v>240</v>
      </c>
      <c r="D53" s="497" t="s">
        <v>317</v>
      </c>
      <c r="E53" s="497">
        <v>0.22</v>
      </c>
      <c r="F53" s="497">
        <f t="shared" ref="F53" si="22">IFERROR(E53*C53,"")</f>
        <v>52.8</v>
      </c>
      <c r="G53" s="498">
        <f t="shared" ref="G53" si="23">IFERROR(F53/$F$69,"")</f>
        <v>1.0185701195829891E-2</v>
      </c>
      <c r="H53" s="501" t="s">
        <v>86</v>
      </c>
      <c r="I53" s="494"/>
      <c r="J53" s="500"/>
    </row>
    <row r="54" spans="1:17" ht="13.5" x14ac:dyDescent="0.25">
      <c r="A54" s="495">
        <v>1</v>
      </c>
      <c r="B54" s="501" t="s">
        <v>282</v>
      </c>
      <c r="C54" s="496">
        <f>+A54</f>
        <v>1</v>
      </c>
      <c r="D54" s="496" t="s">
        <v>283</v>
      </c>
      <c r="E54" s="497">
        <f>+F68</f>
        <v>616</v>
      </c>
      <c r="F54" s="497">
        <f>IFERROR(C54*E54,"")</f>
        <v>616</v>
      </c>
      <c r="G54" s="498">
        <f>IFERROR(F54/$F$69,"")</f>
        <v>0.1188331806180154</v>
      </c>
      <c r="H54" s="506"/>
      <c r="I54" s="506"/>
      <c r="J54" s="500"/>
    </row>
    <row r="55" spans="1:17" ht="14.25" thickBot="1" x14ac:dyDescent="0.3">
      <c r="A55" s="495"/>
      <c r="B55" s="501"/>
      <c r="C55" s="496"/>
      <c r="D55" s="496"/>
      <c r="E55" s="497"/>
      <c r="F55" s="497"/>
      <c r="G55" s="498"/>
      <c r="H55" s="506"/>
      <c r="I55" s="506"/>
      <c r="J55" s="500"/>
    </row>
    <row r="56" spans="1:17" ht="13.5" thickBot="1" x14ac:dyDescent="0.25">
      <c r="A56" s="507"/>
      <c r="B56" s="661" t="s">
        <v>284</v>
      </c>
      <c r="C56" s="661"/>
      <c r="D56" s="661"/>
      <c r="E56" s="661"/>
      <c r="F56" s="509">
        <f>SUM(F8:F14,F17:F24)</f>
        <v>3805.4876599999998</v>
      </c>
      <c r="G56" s="498">
        <f>+F56/$F$69</f>
        <v>0.73412045850715713</v>
      </c>
      <c r="H56" s="510">
        <f>+F56/$D$63</f>
        <v>3805.4876599999998</v>
      </c>
      <c r="I56" s="510"/>
      <c r="J56" s="511"/>
      <c r="K56" s="512"/>
      <c r="L56" s="512"/>
      <c r="M56" s="512"/>
      <c r="N56" s="512"/>
      <c r="O56" s="512"/>
      <c r="P56" s="512"/>
      <c r="Q56" s="513"/>
    </row>
    <row r="57" spans="1:17" x14ac:dyDescent="0.2">
      <c r="A57" s="507"/>
      <c r="B57" s="661" t="s">
        <v>285</v>
      </c>
      <c r="C57" s="661"/>
      <c r="D57" s="661"/>
      <c r="E57" s="661"/>
      <c r="F57" s="509">
        <f>SUM(F27:F33,F36:F43)</f>
        <v>686.13996382189248</v>
      </c>
      <c r="G57" s="498">
        <f>+F57/$F$69</f>
        <v>0.13236395170468426</v>
      </c>
      <c r="H57" s="510">
        <f>+F57/$D$63</f>
        <v>686.13996382189248</v>
      </c>
      <c r="I57" s="510"/>
      <c r="J57" s="514"/>
      <c r="K57" s="662" t="s">
        <v>286</v>
      </c>
      <c r="L57" s="663"/>
      <c r="M57" s="663"/>
      <c r="N57" s="663"/>
      <c r="O57" s="515">
        <f>+F58</f>
        <v>4491.6276238218925</v>
      </c>
      <c r="P57" s="515"/>
      <c r="Q57" s="516"/>
    </row>
    <row r="58" spans="1:17" x14ac:dyDescent="0.2">
      <c r="A58" s="507"/>
      <c r="B58" s="661" t="s">
        <v>287</v>
      </c>
      <c r="C58" s="661"/>
      <c r="D58" s="661"/>
      <c r="E58" s="661"/>
      <c r="F58" s="509">
        <f>+F56+F57</f>
        <v>4491.6276238218925</v>
      </c>
      <c r="G58" s="498">
        <f>+F58/$F$69</f>
        <v>0.86648441021184142</v>
      </c>
      <c r="H58" s="510">
        <f>+F58/$D$63</f>
        <v>4491.6276238218925</v>
      </c>
      <c r="I58" s="510"/>
      <c r="J58" s="517"/>
      <c r="K58" s="518"/>
      <c r="M58" s="519" t="s">
        <v>288</v>
      </c>
      <c r="N58" s="520"/>
      <c r="O58" s="515">
        <f>+H59</f>
        <v>862.0216272727273</v>
      </c>
      <c r="P58" s="515"/>
      <c r="Q58" s="516"/>
    </row>
    <row r="59" spans="1:17" ht="13.5" thickBot="1" x14ac:dyDescent="0.25">
      <c r="A59" s="507"/>
      <c r="B59" s="508"/>
      <c r="C59" s="661" t="s">
        <v>289</v>
      </c>
      <c r="D59" s="661"/>
      <c r="E59" s="661"/>
      <c r="F59" s="509">
        <f>SUM(F46:F54)</f>
        <v>862.0216272727273</v>
      </c>
      <c r="G59" s="498">
        <f>+F59/$F$69</f>
        <v>0.16629346060119407</v>
      </c>
      <c r="H59" s="510">
        <f>+F59/$D$63</f>
        <v>862.0216272727273</v>
      </c>
      <c r="I59" s="510"/>
      <c r="J59" s="517"/>
      <c r="K59" s="518"/>
      <c r="L59" s="518"/>
      <c r="M59" s="518" t="s">
        <v>290</v>
      </c>
      <c r="N59" s="521"/>
      <c r="O59" s="515">
        <f>O57*N59</f>
        <v>0</v>
      </c>
      <c r="P59" s="515"/>
      <c r="Q59" s="516"/>
    </row>
    <row r="60" spans="1:17" ht="13.5" thickBot="1" x14ac:dyDescent="0.25">
      <c r="A60" s="507"/>
      <c r="B60" s="522"/>
      <c r="C60" s="522"/>
      <c r="D60" s="522"/>
      <c r="E60" s="522"/>
      <c r="F60" s="523"/>
      <c r="G60" s="498"/>
      <c r="H60" s="524"/>
      <c r="I60" s="510"/>
      <c r="J60" s="517"/>
      <c r="K60" s="525"/>
      <c r="M60" s="526" t="s">
        <v>291</v>
      </c>
      <c r="N60" s="527"/>
      <c r="O60" s="528">
        <f>SUM(O57:O59)</f>
        <v>5353.64925109462</v>
      </c>
      <c r="P60" s="529"/>
      <c r="Q60" s="516"/>
    </row>
    <row r="61" spans="1:17" x14ac:dyDescent="0.2">
      <c r="B61" s="664" t="s">
        <v>292</v>
      </c>
      <c r="C61" s="664"/>
      <c r="D61" s="530">
        <v>1500</v>
      </c>
      <c r="E61" s="531"/>
      <c r="G61" s="498"/>
      <c r="H61" s="524">
        <f>+H59/77</f>
        <v>11.195086068476979</v>
      </c>
      <c r="I61" s="532"/>
      <c r="J61" s="517"/>
      <c r="K61" s="525"/>
      <c r="L61" s="518"/>
      <c r="M61" s="518" t="s">
        <v>293</v>
      </c>
      <c r="N61" s="533"/>
      <c r="O61" s="515">
        <f>+H62</f>
        <v>929.19214368358928</v>
      </c>
      <c r="P61" s="515"/>
      <c r="Q61" s="516"/>
    </row>
    <row r="62" spans="1:17" x14ac:dyDescent="0.2">
      <c r="B62" s="664" t="s">
        <v>294</v>
      </c>
      <c r="C62" s="664"/>
      <c r="D62" s="534">
        <v>1500</v>
      </c>
      <c r="E62" s="531"/>
      <c r="G62" s="498"/>
      <c r="H62" s="524">
        <f>+H61*83</f>
        <v>929.19214368358928</v>
      </c>
      <c r="I62" s="532"/>
      <c r="J62" s="517"/>
      <c r="K62" s="525"/>
      <c r="L62" s="518"/>
      <c r="M62" s="665" t="s">
        <v>291</v>
      </c>
      <c r="N62" s="665"/>
      <c r="O62" s="515">
        <f>SUM(O60:O61)</f>
        <v>6282.8413947782092</v>
      </c>
      <c r="P62" s="515"/>
      <c r="Q62" s="516"/>
    </row>
    <row r="63" spans="1:17" ht="13.5" thickBot="1" x14ac:dyDescent="0.25">
      <c r="B63" s="656" t="s">
        <v>295</v>
      </c>
      <c r="C63" s="656"/>
      <c r="D63" s="530">
        <f>+D61/D62</f>
        <v>1</v>
      </c>
      <c r="E63" s="531"/>
      <c r="F63" s="535"/>
      <c r="G63" s="498"/>
      <c r="H63" s="524"/>
      <c r="I63" s="532"/>
      <c r="J63" s="517"/>
      <c r="K63" s="525"/>
      <c r="L63" s="665"/>
      <c r="M63" s="665"/>
      <c r="N63" s="533"/>
      <c r="O63" s="515">
        <f>+O62*N63</f>
        <v>0</v>
      </c>
      <c r="P63" s="515"/>
      <c r="Q63" s="516"/>
    </row>
    <row r="64" spans="1:17" ht="13.5" thickBot="1" x14ac:dyDescent="0.25">
      <c r="B64" s="656" t="s">
        <v>296</v>
      </c>
      <c r="C64" s="656"/>
      <c r="D64" s="536"/>
      <c r="E64" s="531"/>
      <c r="F64" s="535"/>
      <c r="G64" s="498"/>
      <c r="H64" s="524"/>
      <c r="I64" s="532"/>
      <c r="J64" s="517"/>
      <c r="K64" s="657" t="s">
        <v>297</v>
      </c>
      <c r="L64" s="658"/>
      <c r="M64" s="658"/>
      <c r="N64" s="659"/>
      <c r="O64" s="528">
        <f>SUM(O62:O63)</f>
        <v>6282.8413947782092</v>
      </c>
      <c r="P64" s="537" t="s">
        <v>298</v>
      </c>
      <c r="Q64" s="516"/>
    </row>
    <row r="65" spans="2:17" ht="13.5" thickBot="1" x14ac:dyDescent="0.25">
      <c r="C65" s="507" t="s">
        <v>299</v>
      </c>
      <c r="D65" s="538"/>
      <c r="E65" s="481" t="s">
        <v>300</v>
      </c>
      <c r="F65" s="539" t="s">
        <v>301</v>
      </c>
      <c r="G65" s="498"/>
      <c r="H65" s="524"/>
      <c r="I65" s="532"/>
      <c r="J65" s="540"/>
      <c r="K65" s="541"/>
      <c r="L65" s="645" t="s">
        <v>302</v>
      </c>
      <c r="M65" s="645"/>
      <c r="N65" s="645"/>
      <c r="O65" s="542">
        <f>+O64/D63</f>
        <v>6282.8413947782092</v>
      </c>
      <c r="P65" s="543">
        <f>+O65/D62</f>
        <v>4.1885609298521391</v>
      </c>
      <c r="Q65" s="544"/>
    </row>
    <row r="66" spans="2:17" ht="13.5" thickBot="1" x14ac:dyDescent="0.25">
      <c r="B66" s="646" t="s">
        <v>287</v>
      </c>
      <c r="C66" s="646"/>
      <c r="D66" s="646"/>
      <c r="E66" s="545">
        <f>+F66/F66</f>
        <v>1</v>
      </c>
      <c r="F66" s="546">
        <f>SUM(F58)</f>
        <v>4491.6276238218925</v>
      </c>
      <c r="G66" s="498">
        <f>+F66/$F$69</f>
        <v>0.86648441021184142</v>
      </c>
      <c r="H66" s="524"/>
      <c r="I66" s="532"/>
      <c r="K66" s="647"/>
      <c r="L66" s="648"/>
      <c r="M66" s="648"/>
      <c r="N66" s="648"/>
      <c r="O66" s="547"/>
      <c r="P66" s="548"/>
    </row>
    <row r="67" spans="2:17" ht="13.5" thickBot="1" x14ac:dyDescent="0.25">
      <c r="B67" s="649" t="s">
        <v>303</v>
      </c>
      <c r="C67" s="649"/>
      <c r="D67" s="649"/>
      <c r="E67" s="549">
        <v>0.02</v>
      </c>
      <c r="F67" s="546">
        <f>+F56*E67</f>
        <v>76.1097532</v>
      </c>
      <c r="G67" s="498">
        <f>+F67/$F$69</f>
        <v>1.4682409170143143E-2</v>
      </c>
      <c r="H67" s="510"/>
      <c r="I67" s="532"/>
      <c r="J67" s="550"/>
      <c r="O67" s="551"/>
      <c r="P67" s="508"/>
    </row>
    <row r="68" spans="2:17" ht="13.5" thickBot="1" x14ac:dyDescent="0.25">
      <c r="B68" s="650" t="s">
        <v>304</v>
      </c>
      <c r="C68" s="651"/>
      <c r="D68" s="552">
        <v>8</v>
      </c>
      <c r="E68" s="553">
        <v>77</v>
      </c>
      <c r="F68" s="546">
        <f>+E68*D68</f>
        <v>616</v>
      </c>
      <c r="G68" s="498">
        <f>+F68/$F$69</f>
        <v>0.1188331806180154</v>
      </c>
      <c r="H68" s="510"/>
      <c r="I68" s="510"/>
      <c r="J68" s="500"/>
    </row>
    <row r="69" spans="2:17" ht="13.5" thickBot="1" x14ac:dyDescent="0.25">
      <c r="B69" s="652" t="s">
        <v>305</v>
      </c>
      <c r="C69" s="653"/>
      <c r="D69" s="653"/>
      <c r="E69" s="654"/>
      <c r="F69" s="523">
        <f>SUM(F66:F68)</f>
        <v>5183.7373770218928</v>
      </c>
      <c r="G69" s="498">
        <f>+F69/$F$69</f>
        <v>1</v>
      </c>
      <c r="H69" s="655"/>
      <c r="I69" s="510"/>
      <c r="J69" s="500"/>
      <c r="M69" s="483" t="s">
        <v>306</v>
      </c>
    </row>
    <row r="70" spans="2:17" x14ac:dyDescent="0.2">
      <c r="C70" s="505"/>
      <c r="D70" s="505"/>
      <c r="E70" s="555"/>
      <c r="F70" s="546"/>
      <c r="G70" s="498"/>
      <c r="H70" s="655"/>
      <c r="I70" s="554"/>
      <c r="J70" s="483"/>
      <c r="M70" s="483" t="s">
        <v>307</v>
      </c>
    </row>
    <row r="71" spans="2:17" ht="13.5" thickBot="1" x14ac:dyDescent="0.25">
      <c r="B71" s="640" t="s">
        <v>308</v>
      </c>
      <c r="C71" s="640"/>
      <c r="D71" s="640"/>
      <c r="E71" s="640"/>
      <c r="F71" s="640"/>
      <c r="G71" s="498"/>
      <c r="H71" s="557"/>
      <c r="I71" s="554"/>
      <c r="J71" s="483"/>
      <c r="M71" s="483" t="s">
        <v>309</v>
      </c>
    </row>
    <row r="72" spans="2:17" ht="13.5" thickBot="1" x14ac:dyDescent="0.25">
      <c r="B72" s="558" t="s">
        <v>310</v>
      </c>
      <c r="C72" s="559">
        <f>+F56</f>
        <v>3805.4876599999998</v>
      </c>
      <c r="D72" s="559">
        <f>+D61</f>
        <v>1500</v>
      </c>
      <c r="E72" s="560">
        <f>+C72/D72</f>
        <v>2.5369917733333334</v>
      </c>
      <c r="F72" s="498"/>
      <c r="G72" s="557"/>
      <c r="H72" s="500"/>
      <c r="I72" s="557"/>
      <c r="J72" s="483"/>
    </row>
    <row r="73" spans="2:17" x14ac:dyDescent="0.2">
      <c r="B73" s="561"/>
      <c r="C73" s="562"/>
      <c r="D73" s="563"/>
      <c r="E73" s="546"/>
      <c r="F73" s="498"/>
      <c r="G73" s="557"/>
      <c r="H73" s="500"/>
      <c r="I73" s="500"/>
      <c r="J73" s="483"/>
    </row>
    <row r="74" spans="2:17" x14ac:dyDescent="0.2">
      <c r="B74" s="558" t="s">
        <v>311</v>
      </c>
      <c r="C74" s="559">
        <f>SUM(F66:F67)</f>
        <v>4567.7373770218928</v>
      </c>
      <c r="D74" s="559">
        <f>+D61</f>
        <v>1500</v>
      </c>
      <c r="E74" s="564">
        <f>+C74/D74</f>
        <v>3.0451582513479285</v>
      </c>
      <c r="F74" s="498"/>
      <c r="G74" s="557"/>
      <c r="H74" s="500"/>
      <c r="I74" s="500"/>
      <c r="J74" s="483"/>
    </row>
    <row r="75" spans="2:17" x14ac:dyDescent="0.2">
      <c r="B75" s="558"/>
      <c r="C75" s="559"/>
      <c r="D75" s="559"/>
      <c r="E75" s="564"/>
      <c r="F75" s="498"/>
      <c r="G75" s="557"/>
      <c r="H75" s="500"/>
      <c r="I75" s="500"/>
      <c r="J75" s="483"/>
    </row>
    <row r="76" spans="2:17" ht="13.5" thickBot="1" x14ac:dyDescent="0.25">
      <c r="B76" s="558" t="s">
        <v>312</v>
      </c>
      <c r="C76" s="559">
        <f>+F68</f>
        <v>616</v>
      </c>
      <c r="D76" s="559">
        <f>+D61</f>
        <v>1500</v>
      </c>
      <c r="E76" s="564">
        <f>+C76/D76</f>
        <v>0.41066666666666668</v>
      </c>
      <c r="F76" s="498"/>
      <c r="G76" s="557"/>
      <c r="H76" s="500"/>
      <c r="I76" s="500"/>
      <c r="J76" s="483"/>
    </row>
    <row r="77" spans="2:17" ht="13.5" thickBot="1" x14ac:dyDescent="0.25">
      <c r="B77" s="558" t="s">
        <v>313</v>
      </c>
      <c r="C77" s="559">
        <f>+F59</f>
        <v>862.0216272727273</v>
      </c>
      <c r="D77" s="559">
        <f>+D76</f>
        <v>1500</v>
      </c>
      <c r="E77" s="560">
        <f>+C77/D77</f>
        <v>0.5746810848484849</v>
      </c>
      <c r="F77" s="498"/>
      <c r="G77" s="557"/>
      <c r="H77" s="500"/>
      <c r="I77" s="500"/>
      <c r="J77" s="483"/>
    </row>
    <row r="78" spans="2:17" ht="13.5" thickBot="1" x14ac:dyDescent="0.25">
      <c r="B78" s="522"/>
      <c r="C78" s="523"/>
      <c r="D78" s="523"/>
      <c r="E78" s="564"/>
      <c r="F78" s="498"/>
      <c r="G78" s="557"/>
      <c r="H78" s="500"/>
      <c r="I78" s="500"/>
      <c r="J78" s="483"/>
    </row>
    <row r="79" spans="2:17" ht="13.5" thickBot="1" x14ac:dyDescent="0.25">
      <c r="B79" s="558" t="s">
        <v>314</v>
      </c>
      <c r="C79" s="559">
        <f>+F57</f>
        <v>686.13996382189248</v>
      </c>
      <c r="D79" s="559">
        <f>+D77</f>
        <v>1500</v>
      </c>
      <c r="E79" s="560">
        <f>+C79/D79</f>
        <v>0.45742664254792831</v>
      </c>
      <c r="F79" s="498"/>
      <c r="G79" s="557"/>
      <c r="H79" s="500"/>
      <c r="I79" s="500"/>
      <c r="J79" s="500"/>
    </row>
    <row r="80" spans="2:17" ht="13.5" thickBot="1" x14ac:dyDescent="0.25">
      <c r="B80" s="522"/>
      <c r="C80" s="523"/>
      <c r="D80" s="523"/>
      <c r="E80" s="564"/>
      <c r="F80" s="498"/>
      <c r="G80" s="557"/>
      <c r="H80" s="500"/>
      <c r="I80" s="500"/>
    </row>
    <row r="81" spans="1:10" ht="13.5" thickBot="1" x14ac:dyDescent="0.25">
      <c r="B81" s="641" t="s">
        <v>315</v>
      </c>
      <c r="C81" s="642"/>
      <c r="D81" s="643"/>
      <c r="E81" s="560">
        <f>+E72+E77</f>
        <v>3.1116728581818185</v>
      </c>
      <c r="G81" s="498"/>
      <c r="H81" s="557"/>
      <c r="I81" s="500"/>
      <c r="J81" s="564"/>
    </row>
    <row r="82" spans="1:10" x14ac:dyDescent="0.2">
      <c r="I82" s="557"/>
      <c r="J82" s="483"/>
    </row>
    <row r="83" spans="1:10" ht="13.5" thickBot="1" x14ac:dyDescent="0.25">
      <c r="B83" s="640" t="s">
        <v>316</v>
      </c>
      <c r="C83" s="640"/>
      <c r="D83" s="640"/>
      <c r="E83" s="640"/>
      <c r="F83" s="640"/>
      <c r="G83" s="498"/>
      <c r="H83" s="557"/>
      <c r="J83" s="483"/>
    </row>
    <row r="84" spans="1:10" ht="13.5" thickBot="1" x14ac:dyDescent="0.25">
      <c r="B84" s="558" t="s">
        <v>310</v>
      </c>
      <c r="C84" s="559">
        <f>+C72</f>
        <v>3805.4876599999998</v>
      </c>
      <c r="D84" s="559">
        <f>+D63</f>
        <v>1</v>
      </c>
      <c r="E84" s="560">
        <f>+C84/D84</f>
        <v>3805.4876599999998</v>
      </c>
      <c r="F84" s="498"/>
      <c r="G84" s="557"/>
      <c r="H84" s="500"/>
      <c r="I84" s="557"/>
      <c r="J84" s="483"/>
    </row>
    <row r="85" spans="1:10" x14ac:dyDescent="0.2">
      <c r="B85" s="561"/>
      <c r="C85" s="562"/>
      <c r="D85" s="563"/>
      <c r="E85" s="546"/>
      <c r="F85" s="498"/>
      <c r="G85" s="557"/>
      <c r="H85" s="500"/>
      <c r="I85" s="500"/>
      <c r="J85" s="483"/>
    </row>
    <row r="86" spans="1:10" x14ac:dyDescent="0.2">
      <c r="B86" s="558" t="s">
        <v>311</v>
      </c>
      <c r="C86" s="559">
        <f>+C74</f>
        <v>4567.7373770218928</v>
      </c>
      <c r="D86" s="559">
        <f>+D63</f>
        <v>1</v>
      </c>
      <c r="E86" s="564">
        <f>+C86/D86</f>
        <v>4567.7373770218928</v>
      </c>
      <c r="F86" s="498"/>
      <c r="G86" s="557"/>
      <c r="H86" s="500"/>
      <c r="I86" s="500"/>
      <c r="J86" s="483"/>
    </row>
    <row r="87" spans="1:10" x14ac:dyDescent="0.2">
      <c r="B87" s="558"/>
      <c r="C87" s="559"/>
      <c r="D87" s="559"/>
      <c r="E87" s="564"/>
      <c r="F87" s="498"/>
      <c r="G87" s="557"/>
      <c r="H87" s="500"/>
      <c r="I87" s="500"/>
      <c r="J87" s="483"/>
    </row>
    <row r="88" spans="1:10" ht="13.5" thickBot="1" x14ac:dyDescent="0.25">
      <c r="B88" s="558" t="s">
        <v>313</v>
      </c>
      <c r="C88" s="559">
        <f>+C76</f>
        <v>616</v>
      </c>
      <c r="D88" s="559">
        <f>+D63</f>
        <v>1</v>
      </c>
      <c r="E88" s="564">
        <f>+C88/D88</f>
        <v>616</v>
      </c>
      <c r="F88" s="566"/>
      <c r="G88" s="556"/>
      <c r="H88" s="482"/>
      <c r="I88" s="500"/>
    </row>
    <row r="89" spans="1:10" ht="13.5" thickBot="1" x14ac:dyDescent="0.25">
      <c r="B89" s="558" t="s">
        <v>313</v>
      </c>
      <c r="C89" s="559">
        <f>+C77</f>
        <v>862.0216272727273</v>
      </c>
      <c r="D89" s="559">
        <f>+D88</f>
        <v>1</v>
      </c>
      <c r="E89" s="560">
        <f>+C89/D89</f>
        <v>862.0216272727273</v>
      </c>
      <c r="F89" s="565"/>
      <c r="G89" s="556"/>
      <c r="H89" s="482"/>
      <c r="I89" s="482"/>
    </row>
    <row r="90" spans="1:10" x14ac:dyDescent="0.2">
      <c r="I90" s="482"/>
    </row>
    <row r="91" spans="1:10" x14ac:dyDescent="0.2">
      <c r="A91" s="644"/>
      <c r="B91" s="644"/>
      <c r="C91" s="567"/>
      <c r="D91" s="567"/>
      <c r="E91" s="568"/>
      <c r="G91" s="569"/>
    </row>
    <row r="92" spans="1:10" x14ac:dyDescent="0.2">
      <c r="A92" s="501"/>
      <c r="B92" s="570"/>
      <c r="C92" s="571"/>
      <c r="D92" s="571"/>
      <c r="E92" s="572"/>
      <c r="G92" s="569"/>
    </row>
    <row r="93" spans="1:10" x14ac:dyDescent="0.2">
      <c r="A93" s="501"/>
      <c r="B93" s="570"/>
      <c r="C93" s="573"/>
      <c r="D93" s="573"/>
      <c r="E93" s="501"/>
      <c r="G93" s="569"/>
    </row>
    <row r="94" spans="1:10" x14ac:dyDescent="0.2">
      <c r="A94" s="501"/>
      <c r="B94" s="570"/>
      <c r="C94" s="574"/>
      <c r="D94" s="574"/>
      <c r="E94" s="501"/>
      <c r="G94" s="569"/>
    </row>
  </sheetData>
  <mergeCells count="30">
    <mergeCell ref="K30:L30"/>
    <mergeCell ref="A4:H4"/>
    <mergeCell ref="A5:H5"/>
    <mergeCell ref="F6:G6"/>
    <mergeCell ref="K27:L27"/>
    <mergeCell ref="K28:L28"/>
    <mergeCell ref="B64:C64"/>
    <mergeCell ref="K64:N64"/>
    <mergeCell ref="K31:L31"/>
    <mergeCell ref="B56:E56"/>
    <mergeCell ref="B57:E57"/>
    <mergeCell ref="K57:N57"/>
    <mergeCell ref="B58:E58"/>
    <mergeCell ref="C59:E59"/>
    <mergeCell ref="B61:C61"/>
    <mergeCell ref="B62:C62"/>
    <mergeCell ref="M62:N62"/>
    <mergeCell ref="B63:C63"/>
    <mergeCell ref="L63:M63"/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  <mergeCell ref="H69:H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86EA-9568-4C5B-B0E7-0458EEE23E1C}">
  <dimension ref="A1:I57"/>
  <sheetViews>
    <sheetView workbookViewId="0">
      <selection activeCell="B10" sqref="B10"/>
    </sheetView>
  </sheetViews>
  <sheetFormatPr baseColWidth="10" defaultRowHeight="12.75" x14ac:dyDescent="0.2"/>
  <cols>
    <col min="1" max="1" width="12.4257812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625"/>
      <c r="B1" s="626"/>
      <c r="C1" s="631" t="s">
        <v>0</v>
      </c>
      <c r="D1" s="631"/>
      <c r="E1" s="631"/>
      <c r="F1" s="631"/>
      <c r="G1" s="631"/>
      <c r="H1" s="3" t="s">
        <v>1</v>
      </c>
      <c r="I1" s="12" t="s">
        <v>131</v>
      </c>
    </row>
    <row r="2" spans="1:9" ht="18" customHeight="1" thickBot="1" x14ac:dyDescent="0.3">
      <c r="A2" s="627"/>
      <c r="B2" s="628"/>
      <c r="C2" s="632" t="s">
        <v>2</v>
      </c>
      <c r="D2" s="633"/>
      <c r="E2" s="633"/>
      <c r="F2" s="633"/>
      <c r="G2" s="634"/>
      <c r="H2" s="4" t="s">
        <v>3</v>
      </c>
      <c r="I2" s="13" t="s">
        <v>98</v>
      </c>
    </row>
    <row r="3" spans="1:9" ht="31.5" customHeight="1" thickBot="1" x14ac:dyDescent="0.25">
      <c r="A3" s="627"/>
      <c r="B3" s="628"/>
      <c r="C3" s="671" t="s">
        <v>132</v>
      </c>
      <c r="D3" s="635"/>
      <c r="E3" s="635"/>
      <c r="F3" s="635"/>
      <c r="G3" s="636"/>
      <c r="H3" s="637" t="s">
        <v>4</v>
      </c>
      <c r="I3" s="616">
        <v>45619</v>
      </c>
    </row>
    <row r="4" spans="1:9" ht="18" customHeight="1" x14ac:dyDescent="0.25">
      <c r="A4" s="627"/>
      <c r="B4" s="628"/>
      <c r="C4" s="16" t="s">
        <v>5</v>
      </c>
      <c r="D4" s="619" t="s">
        <v>31</v>
      </c>
      <c r="E4" s="620"/>
      <c r="F4" s="620"/>
      <c r="G4" s="621"/>
      <c r="H4" s="638"/>
      <c r="I4" s="617"/>
    </row>
    <row r="5" spans="1:9" ht="14.25" thickBot="1" x14ac:dyDescent="0.3">
      <c r="A5" s="629"/>
      <c r="B5" s="630"/>
      <c r="C5" s="17" t="s">
        <v>6</v>
      </c>
      <c r="D5" s="622" t="s">
        <v>32</v>
      </c>
      <c r="E5" s="623"/>
      <c r="F5" s="623"/>
      <c r="G5" s="624"/>
      <c r="H5" s="639"/>
      <c r="I5" s="618"/>
    </row>
    <row r="6" spans="1:9" ht="18.75" thickBot="1" x14ac:dyDescent="0.3">
      <c r="A6" s="607" t="s">
        <v>33</v>
      </c>
      <c r="B6" s="607"/>
      <c r="C6" s="607"/>
      <c r="D6" s="608" t="s">
        <v>48</v>
      </c>
      <c r="E6" s="608"/>
      <c r="F6" s="608"/>
      <c r="G6" s="609" t="s">
        <v>34</v>
      </c>
      <c r="H6" s="609"/>
      <c r="I6" s="18" t="s">
        <v>48</v>
      </c>
    </row>
    <row r="7" spans="1:9" x14ac:dyDescent="0.2">
      <c r="A7" s="610" t="s">
        <v>7</v>
      </c>
      <c r="B7" s="612" t="s">
        <v>35</v>
      </c>
      <c r="C7" s="614" t="s">
        <v>8</v>
      </c>
      <c r="D7" s="614" t="s">
        <v>9</v>
      </c>
      <c r="E7" s="614" t="s">
        <v>10</v>
      </c>
      <c r="F7" s="614"/>
      <c r="G7" s="614" t="s">
        <v>11</v>
      </c>
      <c r="H7" s="614"/>
      <c r="I7" s="19" t="s">
        <v>12</v>
      </c>
    </row>
    <row r="8" spans="1:9" ht="26.25" thickBot="1" x14ac:dyDescent="0.25">
      <c r="A8" s="611"/>
      <c r="B8" s="613"/>
      <c r="C8" s="615"/>
      <c r="D8" s="61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8.600000000000001" customHeight="1" x14ac:dyDescent="0.25">
      <c r="A9" s="23"/>
      <c r="B9" s="24"/>
      <c r="C9" s="25" t="s">
        <v>36</v>
      </c>
      <c r="D9" s="26"/>
      <c r="E9" s="27"/>
      <c r="F9" s="28"/>
      <c r="G9" s="27"/>
      <c r="H9" s="28"/>
      <c r="I9" s="29"/>
    </row>
    <row r="10" spans="1:9" ht="18" customHeight="1" x14ac:dyDescent="0.25">
      <c r="A10" s="36">
        <v>907000306</v>
      </c>
      <c r="B10" s="15" t="s">
        <v>133</v>
      </c>
      <c r="C10" s="37" t="s">
        <v>134</v>
      </c>
      <c r="D10" s="87" t="s">
        <v>41</v>
      </c>
      <c r="E10" s="88">
        <v>24000</v>
      </c>
      <c r="F10" s="89" t="s">
        <v>16</v>
      </c>
      <c r="G10" s="30"/>
      <c r="H10" s="31"/>
      <c r="I10" s="29"/>
    </row>
    <row r="11" spans="1:9" ht="15" x14ac:dyDescent="0.25">
      <c r="A11" s="87"/>
      <c r="B11" s="87"/>
      <c r="C11" s="90"/>
      <c r="D11" s="87"/>
      <c r="E11" s="88"/>
      <c r="F11" s="89"/>
      <c r="G11" s="30"/>
      <c r="H11" s="31"/>
      <c r="I11" s="29"/>
    </row>
    <row r="12" spans="1:9" ht="15" x14ac:dyDescent="0.25">
      <c r="A12" s="87"/>
      <c r="B12" s="87"/>
      <c r="C12" s="90"/>
      <c r="D12" s="87"/>
      <c r="E12" s="88"/>
      <c r="F12" s="89"/>
      <c r="G12" s="30"/>
      <c r="H12" s="31"/>
      <c r="I12" s="29"/>
    </row>
    <row r="13" spans="1:9" ht="15" x14ac:dyDescent="0.25">
      <c r="A13" s="87"/>
      <c r="B13" s="87"/>
      <c r="C13" s="90"/>
      <c r="D13" s="87"/>
      <c r="E13" s="88"/>
      <c r="F13" s="89"/>
      <c r="G13" s="30"/>
      <c r="H13" s="31"/>
      <c r="I13" s="29"/>
    </row>
    <row r="14" spans="1:9" ht="15" x14ac:dyDescent="0.25">
      <c r="A14" s="87"/>
      <c r="B14" s="87"/>
      <c r="C14" s="90"/>
      <c r="D14" s="87"/>
      <c r="E14" s="88"/>
      <c r="F14" s="89"/>
      <c r="G14" s="30"/>
      <c r="H14" s="31"/>
      <c r="I14" s="29"/>
    </row>
    <row r="15" spans="1:9" ht="15" x14ac:dyDescent="0.25">
      <c r="A15" s="87"/>
      <c r="B15" s="87"/>
      <c r="C15" s="90"/>
      <c r="D15" s="87"/>
      <c r="E15" s="88"/>
      <c r="F15" s="89"/>
      <c r="G15" s="30"/>
      <c r="H15" s="31"/>
      <c r="I15" s="29"/>
    </row>
    <row r="16" spans="1:9" ht="15" x14ac:dyDescent="0.25">
      <c r="A16" s="87"/>
      <c r="B16" s="87"/>
      <c r="C16" s="90"/>
      <c r="D16" s="87"/>
      <c r="E16" s="88"/>
      <c r="F16" s="89"/>
      <c r="G16" s="30"/>
      <c r="H16" s="31"/>
      <c r="I16" s="29"/>
    </row>
    <row r="17" spans="1:9" ht="15" x14ac:dyDescent="0.25">
      <c r="A17" s="87"/>
      <c r="B17" s="87"/>
      <c r="C17" s="90"/>
      <c r="D17" s="87"/>
      <c r="E17" s="88"/>
      <c r="F17" s="89"/>
      <c r="G17" s="30"/>
      <c r="H17" s="31"/>
      <c r="I17" s="29"/>
    </row>
    <row r="18" spans="1:9" ht="15" x14ac:dyDescent="0.25">
      <c r="A18" s="87"/>
      <c r="B18" s="87"/>
      <c r="C18" s="90"/>
      <c r="D18" s="87"/>
      <c r="E18" s="88"/>
      <c r="F18" s="89"/>
      <c r="G18" s="30"/>
      <c r="H18" s="31"/>
      <c r="I18" s="29"/>
    </row>
    <row r="19" spans="1:9" ht="15" x14ac:dyDescent="0.25">
      <c r="A19" s="87"/>
      <c r="B19" s="87"/>
      <c r="C19" s="90"/>
      <c r="D19" s="87"/>
      <c r="E19" s="88"/>
      <c r="F19" s="89"/>
      <c r="G19" s="30"/>
      <c r="H19" s="31"/>
      <c r="I19" s="29"/>
    </row>
    <row r="20" spans="1:9" ht="15.75" x14ac:dyDescent="0.25">
      <c r="A20" s="154"/>
      <c r="B20" s="154"/>
      <c r="C20" s="37"/>
      <c r="D20" s="1"/>
      <c r="E20" s="1"/>
      <c r="F20" s="1"/>
      <c r="G20" s="6"/>
      <c r="H20" s="31"/>
      <c r="I20" s="29"/>
    </row>
    <row r="21" spans="1:9" ht="15.75" x14ac:dyDescent="0.25">
      <c r="A21" s="39"/>
      <c r="B21" s="40"/>
      <c r="C21" s="41" t="s">
        <v>17</v>
      </c>
      <c r="D21" s="1"/>
      <c r="E21" s="1"/>
      <c r="F21" s="1"/>
      <c r="G21" s="6"/>
      <c r="H21" s="31"/>
      <c r="I21" s="29"/>
    </row>
    <row r="22" spans="1:9" ht="15" x14ac:dyDescent="0.25">
      <c r="A22" s="36"/>
      <c r="B22" s="15"/>
      <c r="C22" s="37"/>
      <c r="D22" s="38"/>
      <c r="E22" s="38"/>
      <c r="F22" s="38"/>
      <c r="G22" s="27"/>
      <c r="H22" s="31"/>
      <c r="I22" s="29"/>
    </row>
    <row r="23" spans="1:9" ht="15" x14ac:dyDescent="0.25">
      <c r="A23" s="155"/>
      <c r="B23" s="154"/>
      <c r="C23" s="37"/>
      <c r="D23" s="38"/>
      <c r="E23" s="38"/>
      <c r="F23" s="38"/>
      <c r="G23" s="27"/>
      <c r="H23" s="31"/>
      <c r="I23" s="29"/>
    </row>
    <row r="24" spans="1:9" ht="15" x14ac:dyDescent="0.25">
      <c r="A24" s="155"/>
      <c r="B24" s="154"/>
      <c r="C24" s="37"/>
      <c r="D24" s="38"/>
      <c r="E24" s="38"/>
      <c r="F24" s="38"/>
      <c r="G24" s="27"/>
      <c r="H24" s="31"/>
      <c r="I24" s="29"/>
    </row>
    <row r="25" spans="1:9" ht="15.75" x14ac:dyDescent="0.25">
      <c r="A25" s="39"/>
      <c r="B25" s="40"/>
      <c r="C25" s="41"/>
      <c r="D25" s="34"/>
      <c r="E25" s="42"/>
      <c r="F25" s="35"/>
      <c r="G25" s="27"/>
      <c r="H25" s="31"/>
      <c r="I25" s="29"/>
    </row>
    <row r="26" spans="1:9" ht="15" x14ac:dyDescent="0.25">
      <c r="A26" s="43"/>
      <c r="B26" s="156"/>
      <c r="C26" s="157"/>
      <c r="D26" s="44"/>
      <c r="E26" s="45"/>
      <c r="F26" s="46"/>
      <c r="G26" s="27"/>
      <c r="H26" s="31"/>
      <c r="I26" s="29"/>
    </row>
    <row r="27" spans="1:9" ht="15" x14ac:dyDescent="0.25">
      <c r="A27" s="15"/>
      <c r="B27" s="15"/>
      <c r="C27" s="37"/>
      <c r="D27" s="51"/>
      <c r="E27" s="5"/>
      <c r="F27" s="8"/>
      <c r="G27" s="27"/>
      <c r="H27" s="31"/>
      <c r="I27" s="29"/>
    </row>
    <row r="28" spans="1:9" ht="15.75" x14ac:dyDescent="0.25">
      <c r="A28" s="52"/>
      <c r="B28" s="53"/>
      <c r="C28" s="54" t="s">
        <v>18</v>
      </c>
      <c r="D28" s="55"/>
      <c r="E28" s="56"/>
      <c r="F28" s="28"/>
      <c r="G28" s="27"/>
      <c r="H28" s="31"/>
      <c r="I28" s="29"/>
    </row>
    <row r="29" spans="1:9" ht="15" x14ac:dyDescent="0.25">
      <c r="A29" s="91" t="s">
        <v>51</v>
      </c>
      <c r="B29" s="92"/>
      <c r="C29" s="93" t="s">
        <v>52</v>
      </c>
      <c r="D29" s="58" t="s">
        <v>41</v>
      </c>
      <c r="E29" s="59">
        <v>650</v>
      </c>
      <c r="F29" s="60" t="s">
        <v>16</v>
      </c>
      <c r="G29" s="61"/>
      <c r="H29" s="31"/>
      <c r="I29" s="29"/>
    </row>
    <row r="30" spans="1:9" ht="15" x14ac:dyDescent="0.25">
      <c r="A30" s="91">
        <v>1950928</v>
      </c>
      <c r="B30" s="92" t="s">
        <v>135</v>
      </c>
      <c r="C30" s="93" t="s">
        <v>136</v>
      </c>
      <c r="D30" s="58" t="s">
        <v>124</v>
      </c>
      <c r="E30" s="59">
        <v>6</v>
      </c>
      <c r="F30" s="60" t="s">
        <v>76</v>
      </c>
      <c r="G30" s="61"/>
      <c r="H30" s="31"/>
      <c r="I30" s="29"/>
    </row>
    <row r="31" spans="1:9" ht="15" x14ac:dyDescent="0.25">
      <c r="A31" s="158" t="s">
        <v>137</v>
      </c>
      <c r="B31" s="159" t="s">
        <v>138</v>
      </c>
      <c r="C31" s="160" t="s">
        <v>139</v>
      </c>
      <c r="D31" s="58" t="s">
        <v>94</v>
      </c>
      <c r="E31" s="59">
        <v>6</v>
      </c>
      <c r="F31" s="60" t="s">
        <v>76</v>
      </c>
      <c r="G31" s="61"/>
      <c r="H31" s="31"/>
      <c r="I31" s="29"/>
    </row>
    <row r="32" spans="1:9" ht="15" x14ac:dyDescent="0.25">
      <c r="A32" s="63">
        <v>702069</v>
      </c>
      <c r="B32" s="63" t="s">
        <v>95</v>
      </c>
      <c r="C32" s="64" t="s">
        <v>140</v>
      </c>
      <c r="D32" s="58" t="s">
        <v>75</v>
      </c>
      <c r="E32" s="59">
        <v>6</v>
      </c>
      <c r="F32" s="60" t="s">
        <v>76</v>
      </c>
      <c r="G32" s="27"/>
      <c r="H32" s="31"/>
      <c r="I32" s="29"/>
    </row>
    <row r="33" spans="1:9" ht="15" x14ac:dyDescent="0.25">
      <c r="A33" s="63"/>
      <c r="B33" s="63"/>
      <c r="C33" s="64"/>
      <c r="D33" s="58"/>
      <c r="E33" s="59"/>
      <c r="F33" s="60"/>
      <c r="G33" s="27"/>
      <c r="H33" s="31"/>
      <c r="I33" s="29"/>
    </row>
    <row r="34" spans="1:9" ht="15" x14ac:dyDescent="0.25">
      <c r="A34" s="63"/>
      <c r="B34" s="63"/>
      <c r="C34" s="64"/>
      <c r="D34" s="58"/>
      <c r="E34" s="59"/>
      <c r="F34" s="60"/>
      <c r="G34" s="65"/>
      <c r="H34" s="31"/>
      <c r="I34" s="29"/>
    </row>
    <row r="35" spans="1:9" ht="15.75" x14ac:dyDescent="0.25">
      <c r="A35" s="63"/>
      <c r="B35" s="63"/>
      <c r="C35" s="64"/>
      <c r="D35" s="1"/>
      <c r="E35" s="59"/>
      <c r="F35" s="60"/>
      <c r="G35" s="33"/>
      <c r="H35" s="31"/>
      <c r="I35" s="29"/>
    </row>
    <row r="36" spans="1:9" ht="15" x14ac:dyDescent="0.25">
      <c r="A36" s="66"/>
      <c r="B36" s="66"/>
      <c r="C36" s="67"/>
      <c r="D36" s="58"/>
      <c r="E36" s="8"/>
      <c r="F36" s="8"/>
      <c r="G36" s="33"/>
      <c r="H36" s="28"/>
      <c r="I36" s="29"/>
    </row>
    <row r="37" spans="1:9" ht="14.25" thickBot="1" x14ac:dyDescent="0.3">
      <c r="A37" s="71"/>
      <c r="B37" s="72"/>
      <c r="C37" s="73" t="s">
        <v>53</v>
      </c>
      <c r="D37" s="73"/>
      <c r="E37" s="74"/>
      <c r="F37" s="75"/>
      <c r="G37" s="73"/>
      <c r="H37" s="73"/>
      <c r="I37" s="76"/>
    </row>
    <row r="38" spans="1:9" ht="14.25" thickBot="1" x14ac:dyDescent="0.3">
      <c r="A38" s="77"/>
      <c r="B38" s="78"/>
      <c r="C38" s="79" t="s">
        <v>53</v>
      </c>
      <c r="D38" s="80" t="s">
        <v>13</v>
      </c>
      <c r="E38" s="81" t="s">
        <v>19</v>
      </c>
      <c r="F38" s="82"/>
      <c r="G38" s="79"/>
      <c r="H38" s="79"/>
      <c r="I38" s="83"/>
    </row>
    <row r="39" spans="1:9" ht="13.5" x14ac:dyDescent="0.25">
      <c r="A39" s="601" t="s">
        <v>20</v>
      </c>
      <c r="B39" s="602"/>
      <c r="C39" s="603"/>
      <c r="D39" s="94">
        <v>23400</v>
      </c>
      <c r="E39" s="9" t="s">
        <v>16</v>
      </c>
      <c r="F39" s="604" t="s">
        <v>21</v>
      </c>
      <c r="G39" s="604"/>
      <c r="H39" s="605"/>
      <c r="I39" s="606"/>
    </row>
    <row r="40" spans="1:9" ht="13.5" x14ac:dyDescent="0.25">
      <c r="A40" s="584" t="s">
        <v>22</v>
      </c>
      <c r="B40" s="585"/>
      <c r="C40" s="586"/>
      <c r="D40" s="6">
        <v>14</v>
      </c>
      <c r="E40" s="6" t="s">
        <v>141</v>
      </c>
      <c r="F40" s="587" t="s">
        <v>24</v>
      </c>
      <c r="G40" s="587"/>
      <c r="H40" s="588"/>
      <c r="I40" s="589"/>
    </row>
    <row r="41" spans="1:9" ht="13.5" x14ac:dyDescent="0.25">
      <c r="A41" s="584" t="s">
        <v>25</v>
      </c>
      <c r="B41" s="585"/>
      <c r="C41" s="586"/>
      <c r="D41" s="5">
        <v>65</v>
      </c>
      <c r="E41" s="6" t="s">
        <v>76</v>
      </c>
      <c r="F41" s="587" t="s">
        <v>26</v>
      </c>
      <c r="G41" s="587"/>
      <c r="H41" s="588"/>
      <c r="I41" s="589"/>
    </row>
    <row r="42" spans="1:9" ht="13.5" x14ac:dyDescent="0.25">
      <c r="A42" s="584" t="s">
        <v>27</v>
      </c>
      <c r="B42" s="585"/>
      <c r="C42" s="586"/>
      <c r="D42" s="5">
        <v>360</v>
      </c>
      <c r="E42" s="6" t="s">
        <v>16</v>
      </c>
      <c r="F42" s="590" t="s">
        <v>28</v>
      </c>
      <c r="G42" s="591"/>
      <c r="H42" s="592"/>
      <c r="I42" s="593"/>
    </row>
    <row r="43" spans="1:9" ht="14.25" thickBot="1" x14ac:dyDescent="0.3">
      <c r="A43" s="594" t="s">
        <v>29</v>
      </c>
      <c r="B43" s="595"/>
      <c r="C43" s="596"/>
      <c r="D43" s="10">
        <v>600</v>
      </c>
      <c r="E43" s="11" t="s">
        <v>16</v>
      </c>
      <c r="F43" s="597"/>
      <c r="G43" s="597"/>
      <c r="H43" s="588"/>
      <c r="I43" s="589"/>
    </row>
    <row r="44" spans="1:9" ht="13.5" thickBot="1" x14ac:dyDescent="0.25">
      <c r="A44" s="598" t="s">
        <v>30</v>
      </c>
      <c r="B44" s="599"/>
      <c r="C44" s="599"/>
      <c r="D44" s="599"/>
      <c r="E44" s="599"/>
      <c r="F44" s="599"/>
      <c r="G44" s="599"/>
      <c r="H44" s="599"/>
      <c r="I44" s="600"/>
    </row>
    <row r="45" spans="1:9" ht="14.45" customHeight="1" x14ac:dyDescent="0.25">
      <c r="A45" s="676" t="s">
        <v>142</v>
      </c>
      <c r="B45" s="677"/>
      <c r="C45" s="678"/>
      <c r="D45" s="678"/>
      <c r="E45" s="678"/>
      <c r="F45" s="678"/>
      <c r="G45" s="678"/>
      <c r="H45" s="678"/>
      <c r="I45" s="679"/>
    </row>
    <row r="46" spans="1:9" ht="15.6" customHeight="1" x14ac:dyDescent="0.25">
      <c r="A46" s="680" t="s">
        <v>143</v>
      </c>
      <c r="B46" s="681"/>
      <c r="C46" s="682"/>
      <c r="D46" s="682"/>
      <c r="E46" s="682"/>
      <c r="F46" s="682"/>
      <c r="G46" s="682"/>
      <c r="H46" s="682"/>
      <c r="I46" s="683"/>
    </row>
    <row r="47" spans="1:9" ht="14.45" customHeight="1" x14ac:dyDescent="0.25">
      <c r="A47" s="684" t="s">
        <v>144</v>
      </c>
      <c r="B47" s="685"/>
      <c r="C47" s="685"/>
      <c r="D47" s="685"/>
      <c r="E47" s="685"/>
      <c r="F47" s="685"/>
      <c r="G47" s="685"/>
      <c r="H47" s="685"/>
      <c r="I47" s="686"/>
    </row>
    <row r="48" spans="1:9" ht="15" x14ac:dyDescent="0.25">
      <c r="A48" s="687"/>
      <c r="B48" s="688"/>
      <c r="C48" s="688"/>
      <c r="D48" s="688"/>
      <c r="E48" s="688"/>
      <c r="F48" s="688"/>
      <c r="G48" s="688"/>
      <c r="H48" s="688"/>
      <c r="I48" s="689"/>
    </row>
    <row r="49" spans="1:9" ht="15" x14ac:dyDescent="0.25">
      <c r="A49" s="687"/>
      <c r="B49" s="688"/>
      <c r="C49" s="688"/>
      <c r="D49" s="688"/>
      <c r="E49" s="688"/>
      <c r="F49" s="688"/>
      <c r="G49" s="688"/>
      <c r="H49" s="688"/>
      <c r="I49" s="689"/>
    </row>
    <row r="50" spans="1:9" ht="14.45" customHeight="1" x14ac:dyDescent="0.25">
      <c r="A50" s="672"/>
      <c r="B50" s="673"/>
      <c r="C50" s="674"/>
      <c r="D50" s="674"/>
      <c r="E50" s="674"/>
      <c r="F50" s="674"/>
      <c r="G50" s="674"/>
      <c r="H50" s="674"/>
      <c r="I50" s="675"/>
    </row>
    <row r="51" spans="1:9" ht="14.45" customHeight="1" x14ac:dyDescent="0.25">
      <c r="A51" s="690"/>
      <c r="B51" s="691"/>
      <c r="C51" s="692"/>
      <c r="D51" s="692"/>
      <c r="E51" s="692"/>
      <c r="F51" s="692"/>
      <c r="G51" s="692"/>
      <c r="H51" s="692"/>
      <c r="I51" s="693"/>
    </row>
    <row r="52" spans="1:9" ht="18" customHeight="1" x14ac:dyDescent="0.25">
      <c r="A52" s="672"/>
      <c r="B52" s="673"/>
      <c r="C52" s="674"/>
      <c r="D52" s="674"/>
      <c r="E52" s="674"/>
      <c r="F52" s="674"/>
      <c r="G52" s="674"/>
      <c r="H52" s="674"/>
      <c r="I52" s="675"/>
    </row>
    <row r="53" spans="1:9" ht="14.45" customHeight="1" thickBot="1" x14ac:dyDescent="0.3">
      <c r="A53" s="694"/>
      <c r="B53" s="695"/>
      <c r="C53" s="696"/>
      <c r="D53" s="696"/>
      <c r="E53" s="696"/>
      <c r="F53" s="696"/>
      <c r="G53" s="696"/>
      <c r="H53" s="696"/>
      <c r="I53" s="697"/>
    </row>
    <row r="54" spans="1:9" ht="14.45" customHeight="1" thickBot="1" x14ac:dyDescent="0.3">
      <c r="A54" s="698"/>
      <c r="B54" s="699"/>
      <c r="C54" s="699"/>
      <c r="D54" s="699"/>
      <c r="E54" s="699"/>
      <c r="F54" s="699"/>
      <c r="G54" s="699"/>
      <c r="H54" s="699"/>
      <c r="I54" s="700"/>
    </row>
    <row r="55" spans="1:9" ht="14.45" customHeight="1" x14ac:dyDescent="0.2">
      <c r="A55" s="576" t="s">
        <v>37</v>
      </c>
      <c r="B55" s="577"/>
      <c r="C55" s="577"/>
      <c r="D55" s="577"/>
      <c r="E55" s="577"/>
      <c r="F55" s="577"/>
      <c r="G55" s="577"/>
      <c r="H55" s="577"/>
      <c r="I55" s="577"/>
    </row>
    <row r="56" spans="1:9" ht="13.5" x14ac:dyDescent="0.25">
      <c r="A56" s="578"/>
      <c r="B56" s="579"/>
      <c r="C56" s="579"/>
      <c r="D56" s="579"/>
      <c r="E56" s="579"/>
      <c r="F56" s="579"/>
      <c r="G56" s="579"/>
      <c r="H56" s="579"/>
      <c r="I56" s="579"/>
    </row>
    <row r="57" spans="1:9" ht="13.5" x14ac:dyDescent="0.25">
      <c r="A57" s="578"/>
      <c r="B57" s="579"/>
      <c r="C57" s="579"/>
      <c r="D57" s="579"/>
      <c r="E57" s="579"/>
      <c r="F57" s="579"/>
      <c r="G57" s="579"/>
      <c r="H57" s="579"/>
      <c r="I57" s="579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5E6A-6F25-4B97-B73B-32E6EEC801F2}">
  <dimension ref="A1:I57"/>
  <sheetViews>
    <sheetView workbookViewId="0">
      <selection activeCell="D17" sqref="D1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10"/>
      <c r="B1" s="711"/>
      <c r="C1" s="716" t="s">
        <v>0</v>
      </c>
      <c r="D1" s="716"/>
      <c r="E1" s="716"/>
      <c r="F1" s="716"/>
      <c r="G1" s="716"/>
      <c r="H1" s="95" t="s">
        <v>1</v>
      </c>
      <c r="I1" s="96" t="s">
        <v>145</v>
      </c>
    </row>
    <row r="2" spans="1:9" ht="18" customHeight="1" thickBot="1" x14ac:dyDescent="0.3">
      <c r="A2" s="712"/>
      <c r="B2" s="713"/>
      <c r="C2" s="717" t="s">
        <v>2</v>
      </c>
      <c r="D2" s="718"/>
      <c r="E2" s="718"/>
      <c r="F2" s="718"/>
      <c r="G2" s="719"/>
      <c r="H2" s="97" t="s">
        <v>3</v>
      </c>
      <c r="I2" s="98" t="s">
        <v>98</v>
      </c>
    </row>
    <row r="3" spans="1:9" ht="31.5" customHeight="1" thickBot="1" x14ac:dyDescent="0.25">
      <c r="A3" s="712"/>
      <c r="B3" s="713"/>
      <c r="C3" s="720" t="s">
        <v>146</v>
      </c>
      <c r="D3" s="721"/>
      <c r="E3" s="721"/>
      <c r="F3" s="721"/>
      <c r="G3" s="722"/>
      <c r="H3" s="723" t="s">
        <v>4</v>
      </c>
      <c r="I3" s="701">
        <v>45619</v>
      </c>
    </row>
    <row r="4" spans="1:9" ht="18" customHeight="1" x14ac:dyDescent="0.25">
      <c r="A4" s="712"/>
      <c r="B4" s="713"/>
      <c r="C4" s="99" t="s">
        <v>5</v>
      </c>
      <c r="D4" s="704" t="s">
        <v>31</v>
      </c>
      <c r="E4" s="705"/>
      <c r="F4" s="705"/>
      <c r="G4" s="706"/>
      <c r="H4" s="724"/>
      <c r="I4" s="702"/>
    </row>
    <row r="5" spans="1:9" ht="14.25" thickBot="1" x14ac:dyDescent="0.3">
      <c r="A5" s="714"/>
      <c r="B5" s="715"/>
      <c r="C5" s="100" t="s">
        <v>6</v>
      </c>
      <c r="D5" s="707" t="s">
        <v>32</v>
      </c>
      <c r="E5" s="708"/>
      <c r="F5" s="708"/>
      <c r="G5" s="709"/>
      <c r="H5" s="725"/>
      <c r="I5" s="703"/>
    </row>
    <row r="6" spans="1:9" ht="18.75" thickBot="1" x14ac:dyDescent="0.3">
      <c r="A6" s="607" t="s">
        <v>33</v>
      </c>
      <c r="B6" s="607"/>
      <c r="C6" s="607"/>
      <c r="D6" s="608" t="s">
        <v>48</v>
      </c>
      <c r="E6" s="608"/>
      <c r="F6" s="608"/>
      <c r="G6" s="609" t="s">
        <v>34</v>
      </c>
      <c r="H6" s="609"/>
      <c r="I6" s="18" t="s">
        <v>48</v>
      </c>
    </row>
    <row r="7" spans="1:9" x14ac:dyDescent="0.2">
      <c r="A7" s="610" t="s">
        <v>7</v>
      </c>
      <c r="B7" s="612" t="s">
        <v>35</v>
      </c>
      <c r="C7" s="614" t="s">
        <v>8</v>
      </c>
      <c r="D7" s="614" t="s">
        <v>9</v>
      </c>
      <c r="E7" s="614" t="s">
        <v>10</v>
      </c>
      <c r="F7" s="614"/>
      <c r="G7" s="614" t="s">
        <v>11</v>
      </c>
      <c r="H7" s="614"/>
      <c r="I7" s="19" t="s">
        <v>12</v>
      </c>
    </row>
    <row r="8" spans="1:9" ht="26.25" thickBot="1" x14ac:dyDescent="0.25">
      <c r="A8" s="611"/>
      <c r="B8" s="613"/>
      <c r="C8" s="615"/>
      <c r="D8" s="61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8.600000000000001" customHeight="1" x14ac:dyDescent="0.25">
      <c r="A9" s="23"/>
      <c r="B9" s="24"/>
      <c r="C9" s="25" t="s">
        <v>36</v>
      </c>
      <c r="D9" s="26"/>
      <c r="E9" s="27"/>
      <c r="F9" s="28"/>
      <c r="G9" s="27"/>
      <c r="H9" s="28"/>
      <c r="I9" s="29"/>
    </row>
    <row r="10" spans="1:9" ht="18" customHeight="1" x14ac:dyDescent="0.25">
      <c r="A10" s="36">
        <v>906000138</v>
      </c>
      <c r="B10" s="15" t="s">
        <v>147</v>
      </c>
      <c r="C10" s="37" t="s">
        <v>148</v>
      </c>
      <c r="D10" s="87" t="s">
        <v>41</v>
      </c>
      <c r="E10" s="88">
        <v>14195</v>
      </c>
      <c r="F10" s="89" t="s">
        <v>16</v>
      </c>
      <c r="G10" s="30"/>
      <c r="H10" s="31"/>
      <c r="I10" s="29"/>
    </row>
    <row r="11" spans="1:9" ht="15" x14ac:dyDescent="0.25">
      <c r="A11" s="87">
        <v>1210482</v>
      </c>
      <c r="B11" s="87" t="s">
        <v>149</v>
      </c>
      <c r="C11" s="90" t="s">
        <v>150</v>
      </c>
      <c r="D11" s="87" t="s">
        <v>151</v>
      </c>
      <c r="E11" s="88">
        <v>7700</v>
      </c>
      <c r="F11" s="89" t="s">
        <v>16</v>
      </c>
      <c r="G11" s="30"/>
      <c r="H11" s="31"/>
      <c r="I11" s="29"/>
    </row>
    <row r="12" spans="1:9" ht="15" x14ac:dyDescent="0.25">
      <c r="A12" s="87" t="s">
        <v>102</v>
      </c>
      <c r="B12" s="87"/>
      <c r="C12" s="90" t="s">
        <v>68</v>
      </c>
      <c r="D12" s="87" t="s">
        <v>41</v>
      </c>
      <c r="E12" s="88">
        <v>3090</v>
      </c>
      <c r="F12" s="89" t="s">
        <v>16</v>
      </c>
      <c r="G12" s="30"/>
      <c r="H12" s="31"/>
      <c r="I12" s="29"/>
    </row>
    <row r="13" spans="1:9" ht="15" x14ac:dyDescent="0.25">
      <c r="A13" s="87">
        <v>1212437</v>
      </c>
      <c r="B13" s="87" t="s">
        <v>152</v>
      </c>
      <c r="C13" s="90" t="s">
        <v>153</v>
      </c>
      <c r="D13" s="87" t="s">
        <v>154</v>
      </c>
      <c r="E13" s="88">
        <v>390</v>
      </c>
      <c r="F13" s="89" t="s">
        <v>16</v>
      </c>
      <c r="G13" s="30"/>
      <c r="H13" s="31"/>
      <c r="I13" s="29"/>
    </row>
    <row r="14" spans="1:9" ht="15" x14ac:dyDescent="0.25">
      <c r="A14" s="87"/>
      <c r="B14" s="87"/>
      <c r="C14" s="90"/>
      <c r="D14" s="87"/>
      <c r="E14" s="88"/>
      <c r="F14" s="89"/>
      <c r="G14" s="30"/>
      <c r="H14" s="31"/>
      <c r="I14" s="29"/>
    </row>
    <row r="15" spans="1:9" ht="15" x14ac:dyDescent="0.25">
      <c r="A15" s="87"/>
      <c r="B15" s="87"/>
      <c r="C15" s="90"/>
      <c r="D15" s="87"/>
      <c r="E15" s="88"/>
      <c r="F15" s="89"/>
      <c r="G15" s="30"/>
      <c r="H15" s="31"/>
      <c r="I15" s="29"/>
    </row>
    <row r="16" spans="1:9" ht="15" x14ac:dyDescent="0.25">
      <c r="A16" s="87"/>
      <c r="B16" s="87"/>
      <c r="C16" s="90"/>
      <c r="D16" s="87"/>
      <c r="E16" s="88"/>
      <c r="F16" s="89"/>
      <c r="G16" s="30"/>
      <c r="H16" s="31"/>
      <c r="I16" s="29"/>
    </row>
    <row r="17" spans="1:9" ht="15" x14ac:dyDescent="0.25">
      <c r="A17" s="87"/>
      <c r="B17" s="87"/>
      <c r="C17" s="90"/>
      <c r="D17" s="87"/>
      <c r="E17" s="88"/>
      <c r="F17" s="89"/>
      <c r="G17" s="30"/>
      <c r="H17" s="31"/>
      <c r="I17" s="29"/>
    </row>
    <row r="18" spans="1:9" ht="15" x14ac:dyDescent="0.25">
      <c r="A18" s="87"/>
      <c r="B18" s="87"/>
      <c r="C18" s="90"/>
      <c r="D18" s="87"/>
      <c r="E18" s="88"/>
      <c r="F18" s="89"/>
      <c r="G18" s="30"/>
      <c r="H18" s="31"/>
      <c r="I18" s="29"/>
    </row>
    <row r="19" spans="1:9" ht="15" x14ac:dyDescent="0.25">
      <c r="A19" s="87"/>
      <c r="B19" s="87"/>
      <c r="C19" s="90"/>
      <c r="D19" s="87"/>
      <c r="E19" s="88"/>
      <c r="F19" s="89"/>
      <c r="G19" s="30"/>
      <c r="H19" s="31"/>
      <c r="I19" s="29"/>
    </row>
    <row r="20" spans="1:9" ht="15.75" x14ac:dyDescent="0.25">
      <c r="A20" s="154"/>
      <c r="B20" s="154"/>
      <c r="C20" s="37"/>
      <c r="D20" s="1"/>
      <c r="E20" s="1"/>
      <c r="F20" s="1"/>
      <c r="G20" s="6"/>
      <c r="H20" s="31"/>
      <c r="I20" s="29"/>
    </row>
    <row r="21" spans="1:9" ht="15.75" x14ac:dyDescent="0.25">
      <c r="A21" s="39"/>
      <c r="B21" s="40"/>
      <c r="C21" s="41" t="s">
        <v>17</v>
      </c>
      <c r="D21" s="1"/>
      <c r="E21" s="1"/>
      <c r="F21" s="1"/>
      <c r="G21" s="6"/>
      <c r="H21" s="31"/>
      <c r="I21" s="29"/>
    </row>
    <row r="22" spans="1:9" ht="15" x14ac:dyDescent="0.25">
      <c r="A22" s="36"/>
      <c r="B22" s="15"/>
      <c r="C22" s="37"/>
      <c r="D22" s="38"/>
      <c r="E22" s="38"/>
      <c r="F22" s="38"/>
      <c r="G22" s="27"/>
      <c r="H22" s="31"/>
      <c r="I22" s="29"/>
    </row>
    <row r="23" spans="1:9" ht="15" x14ac:dyDescent="0.25">
      <c r="A23" s="155"/>
      <c r="B23" s="154"/>
      <c r="C23" s="37"/>
      <c r="D23" s="38"/>
      <c r="E23" s="38"/>
      <c r="F23" s="38"/>
      <c r="G23" s="27"/>
      <c r="H23" s="31"/>
      <c r="I23" s="29"/>
    </row>
    <row r="24" spans="1:9" ht="15" x14ac:dyDescent="0.25">
      <c r="A24" s="155"/>
      <c r="B24" s="154"/>
      <c r="C24" s="37"/>
      <c r="D24" s="38"/>
      <c r="E24" s="38"/>
      <c r="F24" s="38"/>
      <c r="G24" s="27"/>
      <c r="H24" s="31"/>
      <c r="I24" s="29"/>
    </row>
    <row r="25" spans="1:9" ht="15.75" x14ac:dyDescent="0.25">
      <c r="A25" s="39"/>
      <c r="B25" s="40"/>
      <c r="C25" s="41"/>
      <c r="D25" s="34"/>
      <c r="E25" s="42"/>
      <c r="F25" s="35"/>
      <c r="G25" s="27"/>
      <c r="H25" s="31"/>
      <c r="I25" s="29"/>
    </row>
    <row r="26" spans="1:9" ht="15" x14ac:dyDescent="0.25">
      <c r="A26" s="43"/>
      <c r="B26" s="156"/>
      <c r="C26" s="157"/>
      <c r="D26" s="44"/>
      <c r="E26" s="45"/>
      <c r="F26" s="46"/>
      <c r="G26" s="27"/>
      <c r="H26" s="31"/>
      <c r="I26" s="29"/>
    </row>
    <row r="27" spans="1:9" ht="15" x14ac:dyDescent="0.25">
      <c r="A27" s="15"/>
      <c r="B27" s="15"/>
      <c r="C27" s="37"/>
      <c r="D27" s="51"/>
      <c r="E27" s="5"/>
      <c r="F27" s="8"/>
      <c r="G27" s="27"/>
      <c r="H27" s="31"/>
      <c r="I27" s="29"/>
    </row>
    <row r="28" spans="1:9" ht="15.75" x14ac:dyDescent="0.25">
      <c r="A28" s="52"/>
      <c r="B28" s="53"/>
      <c r="C28" s="54" t="s">
        <v>18</v>
      </c>
      <c r="D28" s="55"/>
      <c r="E28" s="56"/>
      <c r="F28" s="28"/>
      <c r="G28" s="27"/>
      <c r="H28" s="31"/>
      <c r="I28" s="29"/>
    </row>
    <row r="29" spans="1:9" ht="15" x14ac:dyDescent="0.25">
      <c r="A29" s="91"/>
      <c r="B29" s="92"/>
      <c r="C29" s="93"/>
      <c r="D29" s="58"/>
      <c r="E29" s="59"/>
      <c r="F29" s="60"/>
      <c r="G29" s="61"/>
      <c r="H29" s="31"/>
      <c r="I29" s="29"/>
    </row>
    <row r="30" spans="1:9" ht="15" x14ac:dyDescent="0.25">
      <c r="A30" s="91"/>
      <c r="B30" s="92"/>
      <c r="C30" s="93"/>
      <c r="D30" s="58"/>
      <c r="E30" s="59"/>
      <c r="F30" s="60"/>
      <c r="G30" s="61"/>
      <c r="H30" s="31"/>
      <c r="I30" s="29"/>
    </row>
    <row r="31" spans="1:9" ht="15" x14ac:dyDescent="0.25">
      <c r="A31" s="158"/>
      <c r="B31" s="159"/>
      <c r="C31" s="160"/>
      <c r="D31" s="58"/>
      <c r="E31" s="59"/>
      <c r="F31" s="60"/>
      <c r="G31" s="61"/>
      <c r="H31" s="31"/>
      <c r="I31" s="29"/>
    </row>
    <row r="32" spans="1:9" ht="15" x14ac:dyDescent="0.25">
      <c r="A32" s="63"/>
      <c r="B32" s="63"/>
      <c r="C32" s="64"/>
      <c r="D32" s="58"/>
      <c r="E32" s="59"/>
      <c r="F32" s="60"/>
      <c r="G32" s="27"/>
      <c r="H32" s="31"/>
      <c r="I32" s="29"/>
    </row>
    <row r="33" spans="1:9" ht="15" x14ac:dyDescent="0.25">
      <c r="A33" s="63"/>
      <c r="B33" s="63"/>
      <c r="C33" s="64"/>
      <c r="D33" s="58"/>
      <c r="E33" s="59"/>
      <c r="F33" s="60"/>
      <c r="G33" s="27"/>
      <c r="H33" s="31"/>
      <c r="I33" s="29"/>
    </row>
    <row r="34" spans="1:9" ht="15" x14ac:dyDescent="0.25">
      <c r="A34" s="63"/>
      <c r="B34" s="63"/>
      <c r="C34" s="64"/>
      <c r="D34" s="58"/>
      <c r="E34" s="59"/>
      <c r="F34" s="60"/>
      <c r="G34" s="65"/>
      <c r="H34" s="31"/>
      <c r="I34" s="29"/>
    </row>
    <row r="35" spans="1:9" ht="15.75" x14ac:dyDescent="0.25">
      <c r="A35" s="63"/>
      <c r="B35" s="63"/>
      <c r="C35" s="64"/>
      <c r="D35" s="1"/>
      <c r="E35" s="59"/>
      <c r="F35" s="60"/>
      <c r="G35" s="33"/>
      <c r="H35" s="31"/>
      <c r="I35" s="29"/>
    </row>
    <row r="36" spans="1:9" ht="15" x14ac:dyDescent="0.25">
      <c r="A36" s="66"/>
      <c r="B36" s="66"/>
      <c r="C36" s="67"/>
      <c r="D36" s="58"/>
      <c r="E36" s="8"/>
      <c r="F36" s="8"/>
      <c r="G36" s="33"/>
      <c r="H36" s="28"/>
      <c r="I36" s="29"/>
    </row>
    <row r="37" spans="1:9" ht="14.25" thickBot="1" x14ac:dyDescent="0.3">
      <c r="A37" s="71"/>
      <c r="B37" s="72"/>
      <c r="C37" s="73" t="s">
        <v>53</v>
      </c>
      <c r="D37" s="73"/>
      <c r="E37" s="74"/>
      <c r="F37" s="75"/>
      <c r="G37" s="73"/>
      <c r="H37" s="73"/>
      <c r="I37" s="76"/>
    </row>
    <row r="38" spans="1:9" ht="14.25" thickBot="1" x14ac:dyDescent="0.3">
      <c r="A38" s="77"/>
      <c r="B38" s="78"/>
      <c r="C38" s="79" t="s">
        <v>53</v>
      </c>
      <c r="D38" s="80" t="s">
        <v>13</v>
      </c>
      <c r="E38" s="81" t="s">
        <v>19</v>
      </c>
      <c r="F38" s="82"/>
      <c r="G38" s="79"/>
      <c r="H38" s="79"/>
      <c r="I38" s="83"/>
    </row>
    <row r="39" spans="1:9" ht="13.5" x14ac:dyDescent="0.25">
      <c r="A39" s="601" t="s">
        <v>20</v>
      </c>
      <c r="B39" s="602"/>
      <c r="C39" s="603"/>
      <c r="D39" s="94">
        <v>24000</v>
      </c>
      <c r="E39" s="9" t="s">
        <v>16</v>
      </c>
      <c r="F39" s="604" t="s">
        <v>21</v>
      </c>
      <c r="G39" s="604"/>
      <c r="H39" s="605"/>
      <c r="I39" s="606"/>
    </row>
    <row r="40" spans="1:9" ht="13.5" x14ac:dyDescent="0.25">
      <c r="A40" s="584" t="s">
        <v>22</v>
      </c>
      <c r="B40" s="585"/>
      <c r="C40" s="586"/>
      <c r="D40" s="6">
        <v>10</v>
      </c>
      <c r="E40" s="6" t="s">
        <v>23</v>
      </c>
      <c r="F40" s="587" t="s">
        <v>24</v>
      </c>
      <c r="G40" s="587"/>
      <c r="H40" s="588"/>
      <c r="I40" s="589"/>
    </row>
    <row r="41" spans="1:9" ht="13.5" x14ac:dyDescent="0.25">
      <c r="A41" s="584" t="s">
        <v>25</v>
      </c>
      <c r="B41" s="585"/>
      <c r="C41" s="586"/>
      <c r="D41" s="5">
        <v>1</v>
      </c>
      <c r="E41" s="6" t="s">
        <v>128</v>
      </c>
      <c r="F41" s="587" t="s">
        <v>26</v>
      </c>
      <c r="G41" s="587"/>
      <c r="H41" s="588"/>
      <c r="I41" s="589"/>
    </row>
    <row r="42" spans="1:9" ht="13.5" x14ac:dyDescent="0.25">
      <c r="A42" s="584" t="s">
        <v>27</v>
      </c>
      <c r="B42" s="585"/>
      <c r="C42" s="586"/>
      <c r="D42" s="5">
        <v>24000</v>
      </c>
      <c r="E42" s="6" t="s">
        <v>16</v>
      </c>
      <c r="F42" s="590" t="s">
        <v>28</v>
      </c>
      <c r="G42" s="591"/>
      <c r="H42" s="592"/>
      <c r="I42" s="593"/>
    </row>
    <row r="43" spans="1:9" ht="14.25" thickBot="1" x14ac:dyDescent="0.3">
      <c r="A43" s="594" t="s">
        <v>29</v>
      </c>
      <c r="B43" s="595"/>
      <c r="C43" s="596"/>
      <c r="D43" s="10">
        <v>1375</v>
      </c>
      <c r="E43" s="11" t="s">
        <v>16</v>
      </c>
      <c r="F43" s="597"/>
      <c r="G43" s="597"/>
      <c r="H43" s="588"/>
      <c r="I43" s="589"/>
    </row>
    <row r="44" spans="1:9" ht="13.5" thickBot="1" x14ac:dyDescent="0.25">
      <c r="A44" s="598" t="s">
        <v>30</v>
      </c>
      <c r="B44" s="599"/>
      <c r="C44" s="599"/>
      <c r="D44" s="599"/>
      <c r="E44" s="599"/>
      <c r="F44" s="599"/>
      <c r="G44" s="599"/>
      <c r="H44" s="599"/>
      <c r="I44" s="600"/>
    </row>
    <row r="45" spans="1:9" ht="14.45" customHeight="1" x14ac:dyDescent="0.25">
      <c r="A45" s="687"/>
      <c r="B45" s="688"/>
      <c r="C45" s="688"/>
      <c r="D45" s="688"/>
      <c r="E45" s="688"/>
      <c r="F45" s="688"/>
      <c r="G45" s="688"/>
      <c r="H45" s="688"/>
      <c r="I45" s="689"/>
    </row>
    <row r="46" spans="1:9" ht="15.6" customHeight="1" x14ac:dyDescent="0.25">
      <c r="A46" s="687" t="s">
        <v>155</v>
      </c>
      <c r="B46" s="688"/>
      <c r="C46" s="688"/>
      <c r="D46" s="688"/>
      <c r="E46" s="688"/>
      <c r="F46" s="688"/>
      <c r="G46" s="688"/>
      <c r="H46" s="688"/>
      <c r="I46" s="689"/>
    </row>
    <row r="47" spans="1:9" ht="14.45" customHeight="1" x14ac:dyDescent="0.25">
      <c r="A47" s="687" t="s">
        <v>156</v>
      </c>
      <c r="B47" s="688"/>
      <c r="C47" s="688"/>
      <c r="D47" s="688"/>
      <c r="E47" s="688"/>
      <c r="F47" s="688"/>
      <c r="G47" s="688"/>
      <c r="H47" s="688"/>
      <c r="I47" s="689"/>
    </row>
    <row r="48" spans="1:9" ht="15" x14ac:dyDescent="0.25">
      <c r="A48" s="687" t="s">
        <v>157</v>
      </c>
      <c r="B48" s="688"/>
      <c r="C48" s="688"/>
      <c r="D48" s="688"/>
      <c r="E48" s="688"/>
      <c r="F48" s="688"/>
      <c r="G48" s="688"/>
      <c r="H48" s="688"/>
      <c r="I48" s="689"/>
    </row>
    <row r="49" spans="1:9" ht="15" x14ac:dyDescent="0.25">
      <c r="A49" s="687"/>
      <c r="B49" s="688"/>
      <c r="C49" s="688"/>
      <c r="D49" s="688"/>
      <c r="E49" s="688"/>
      <c r="F49" s="688"/>
      <c r="G49" s="688"/>
      <c r="H49" s="688"/>
      <c r="I49" s="689"/>
    </row>
    <row r="50" spans="1:9" ht="14.45" customHeight="1" x14ac:dyDescent="0.25">
      <c r="A50" s="672"/>
      <c r="B50" s="673"/>
      <c r="C50" s="674"/>
      <c r="D50" s="674"/>
      <c r="E50" s="674"/>
      <c r="F50" s="674"/>
      <c r="G50" s="674"/>
      <c r="H50" s="674"/>
      <c r="I50" s="675"/>
    </row>
    <row r="51" spans="1:9" ht="14.45" customHeight="1" x14ac:dyDescent="0.25">
      <c r="A51" s="690"/>
      <c r="B51" s="691"/>
      <c r="C51" s="692"/>
      <c r="D51" s="692"/>
      <c r="E51" s="692"/>
      <c r="F51" s="692"/>
      <c r="G51" s="692"/>
      <c r="H51" s="692"/>
      <c r="I51" s="693"/>
    </row>
    <row r="52" spans="1:9" ht="18" customHeight="1" x14ac:dyDescent="0.25">
      <c r="A52" s="672"/>
      <c r="B52" s="673"/>
      <c r="C52" s="674"/>
      <c r="D52" s="674"/>
      <c r="E52" s="674"/>
      <c r="F52" s="674"/>
      <c r="G52" s="674"/>
      <c r="H52" s="674"/>
      <c r="I52" s="675"/>
    </row>
    <row r="53" spans="1:9" ht="14.45" customHeight="1" thickBot="1" x14ac:dyDescent="0.3">
      <c r="A53" s="694"/>
      <c r="B53" s="695"/>
      <c r="C53" s="696"/>
      <c r="D53" s="696"/>
      <c r="E53" s="696"/>
      <c r="F53" s="696"/>
      <c r="G53" s="696"/>
      <c r="H53" s="696"/>
      <c r="I53" s="697"/>
    </row>
    <row r="54" spans="1:9" ht="14.45" customHeight="1" thickBot="1" x14ac:dyDescent="0.3">
      <c r="A54" s="698"/>
      <c r="B54" s="699"/>
      <c r="C54" s="699"/>
      <c r="D54" s="699"/>
      <c r="E54" s="699"/>
      <c r="F54" s="699"/>
      <c r="G54" s="699"/>
      <c r="H54" s="699"/>
      <c r="I54" s="700"/>
    </row>
    <row r="55" spans="1:9" ht="14.45" customHeight="1" x14ac:dyDescent="0.2">
      <c r="A55" s="726" t="s">
        <v>37</v>
      </c>
      <c r="B55" s="727"/>
      <c r="C55" s="727"/>
      <c r="D55" s="727"/>
      <c r="E55" s="727"/>
      <c r="F55" s="727"/>
      <c r="G55" s="727"/>
      <c r="H55" s="727"/>
      <c r="I55" s="727"/>
    </row>
    <row r="56" spans="1:9" ht="13.5" x14ac:dyDescent="0.25">
      <c r="A56" s="728"/>
      <c r="B56" s="729"/>
      <c r="C56" s="729"/>
      <c r="D56" s="729"/>
      <c r="E56" s="729"/>
      <c r="F56" s="729"/>
      <c r="G56" s="729"/>
      <c r="H56" s="729"/>
      <c r="I56" s="729"/>
    </row>
    <row r="57" spans="1:9" ht="13.5" x14ac:dyDescent="0.25">
      <c r="A57" s="728"/>
      <c r="B57" s="729"/>
      <c r="C57" s="729"/>
      <c r="D57" s="729"/>
      <c r="E57" s="729"/>
      <c r="F57" s="729"/>
      <c r="G57" s="729"/>
      <c r="H57" s="729"/>
      <c r="I57" s="729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56CA-C606-4AB9-910D-F3DC423A13CE}">
  <dimension ref="A1:Q91"/>
  <sheetViews>
    <sheetView topLeftCell="A2" workbookViewId="0">
      <selection activeCell="G70" sqref="G70"/>
    </sheetView>
  </sheetViews>
  <sheetFormatPr baseColWidth="10" defaultColWidth="8.42578125" defaultRowHeight="12.75" x14ac:dyDescent="0.2"/>
  <cols>
    <col min="1" max="1" width="10" style="483" bestFit="1" customWidth="1"/>
    <col min="2" max="2" width="44.28515625" style="483" bestFit="1" customWidth="1"/>
    <col min="3" max="3" width="10.42578125" style="483" bestFit="1" customWidth="1"/>
    <col min="4" max="4" width="10.42578125" style="483" customWidth="1"/>
    <col min="5" max="5" width="11" style="483" customWidth="1"/>
    <col min="6" max="6" width="9.5703125" style="483" bestFit="1" customWidth="1"/>
    <col min="7" max="7" width="10.85546875" style="565" customWidth="1"/>
    <col min="8" max="8" width="10.42578125" style="556" bestFit="1" customWidth="1"/>
    <col min="9" max="9" width="4.5703125" style="556" customWidth="1"/>
    <col min="10" max="10" width="1.85546875" style="482" customWidth="1"/>
    <col min="11" max="11" width="7" style="483" bestFit="1" customWidth="1"/>
    <col min="12" max="12" width="6.28515625" style="483" customWidth="1"/>
    <col min="13" max="13" width="20.42578125" style="483" customWidth="1"/>
    <col min="14" max="14" width="6.42578125" style="483" bestFit="1" customWidth="1"/>
    <col min="15" max="16" width="8.42578125" style="483"/>
    <col min="17" max="17" width="3.28515625" style="483" customWidth="1"/>
    <col min="18" max="16384" width="8.42578125" style="483"/>
  </cols>
  <sheetData>
    <row r="1" spans="1:10" ht="27.75" customHeight="1" x14ac:dyDescent="0.2">
      <c r="A1" s="478"/>
      <c r="B1" s="478"/>
      <c r="C1" s="478"/>
      <c r="D1" s="478"/>
      <c r="E1" s="479" t="s">
        <v>265</v>
      </c>
      <c r="F1" s="480" t="s">
        <v>266</v>
      </c>
      <c r="G1" s="480" t="s">
        <v>267</v>
      </c>
      <c r="H1" s="480" t="s">
        <v>268</v>
      </c>
      <c r="I1" s="481"/>
    </row>
    <row r="2" spans="1:10" ht="30.75" customHeight="1" x14ac:dyDescent="0.2">
      <c r="A2" s="478"/>
      <c r="B2" s="478"/>
      <c r="C2" s="478"/>
      <c r="D2" s="478"/>
      <c r="E2" s="484">
        <f>IFERROR(O62,"")</f>
        <v>24147.418181818182</v>
      </c>
      <c r="F2" s="484">
        <f>IFERROR(H53,"")</f>
        <v>20509.8</v>
      </c>
      <c r="G2" s="484">
        <f>IFERROR(H54,"")</f>
        <v>119.8</v>
      </c>
      <c r="H2" s="484">
        <f>IFERROR(H56,"")</f>
        <v>1692.95</v>
      </c>
      <c r="I2" s="485"/>
    </row>
    <row r="3" spans="1:10" ht="15" customHeight="1" x14ac:dyDescent="0.2">
      <c r="A3" s="478"/>
      <c r="B3" s="478"/>
      <c r="C3" s="478"/>
      <c r="D3" s="478"/>
      <c r="E3" s="478"/>
      <c r="F3" s="486"/>
      <c r="G3" s="486"/>
      <c r="H3" s="486"/>
      <c r="I3" s="486"/>
    </row>
    <row r="4" spans="1:10" ht="24.75" customHeight="1" thickBot="1" x14ac:dyDescent="0.25">
      <c r="A4" s="666"/>
      <c r="B4" s="666"/>
      <c r="C4" s="666"/>
      <c r="D4" s="666"/>
      <c r="E4" s="666"/>
      <c r="F4" s="666"/>
      <c r="G4" s="666"/>
      <c r="H4" s="666"/>
      <c r="I4" s="487"/>
    </row>
    <row r="5" spans="1:10" ht="19.5" customHeight="1" thickBot="1" x14ac:dyDescent="0.25">
      <c r="A5" s="667" t="s">
        <v>269</v>
      </c>
      <c r="B5" s="668"/>
      <c r="C5" s="668"/>
      <c r="D5" s="668"/>
      <c r="E5" s="668"/>
      <c r="F5" s="668"/>
      <c r="G5" s="668"/>
      <c r="H5" s="669"/>
      <c r="I5" s="488"/>
    </row>
    <row r="6" spans="1:10" ht="19.5" thickBot="1" x14ac:dyDescent="0.25">
      <c r="A6" s="488"/>
      <c r="B6" s="488"/>
      <c r="C6" s="488"/>
      <c r="D6" s="488"/>
      <c r="E6" s="488"/>
      <c r="F6" s="670" t="s">
        <v>270</v>
      </c>
      <c r="G6" s="670"/>
      <c r="H6" s="489">
        <f ca="1">TODAY()</f>
        <v>46094</v>
      </c>
      <c r="I6" s="489"/>
    </row>
    <row r="7" spans="1:10" ht="26.25" hidden="1" thickBot="1" x14ac:dyDescent="0.25">
      <c r="A7" s="490" t="s">
        <v>271</v>
      </c>
      <c r="B7" s="491" t="s">
        <v>272</v>
      </c>
      <c r="C7" s="491" t="s">
        <v>271</v>
      </c>
      <c r="D7" s="492" t="s">
        <v>273</v>
      </c>
      <c r="E7" s="492" t="s">
        <v>274</v>
      </c>
      <c r="F7" s="492" t="s">
        <v>275</v>
      </c>
      <c r="G7" s="492" t="s">
        <v>276</v>
      </c>
      <c r="H7" s="493" t="s">
        <v>277</v>
      </c>
      <c r="I7" s="494"/>
    </row>
    <row r="8" spans="1:10" ht="13.5" hidden="1" x14ac:dyDescent="0.25">
      <c r="A8" s="495"/>
      <c r="B8" s="483" t="str">
        <f>IFERROR(VLOOKUP(H8,'[1]Consolidado MP Planta'!$A$2:$M$823,3,0),"")</f>
        <v/>
      </c>
      <c r="C8" s="496">
        <f>+A8</f>
        <v>0</v>
      </c>
      <c r="D8" s="497" t="str">
        <f>IFERROR(VLOOKUP(H8,'[1]Consolidado MP Planta'!$A$2:$M$823,13,0),"")</f>
        <v/>
      </c>
      <c r="E8" s="497" t="str">
        <f>IFERROR(VLOOKUP(H8,'[1]Consolidado MP Planta'!$A$2:$M$823,12,0),"")</f>
        <v/>
      </c>
      <c r="F8" s="497" t="str">
        <f>IFERROR(C8*E8,"")</f>
        <v/>
      </c>
      <c r="G8" s="498" t="str">
        <f t="shared" ref="G8:G14" si="0">IFERROR(F8/$F$66,"")</f>
        <v/>
      </c>
      <c r="H8" s="499"/>
      <c r="I8" s="499"/>
      <c r="J8" s="500"/>
    </row>
    <row r="9" spans="1:10" ht="13.5" hidden="1" x14ac:dyDescent="0.25">
      <c r="A9" s="495"/>
      <c r="B9" s="483" t="str">
        <f>IFERROR(VLOOKUP(H9,'[1]Consolidado MP Planta'!$A$2:$M$823,3,0),"")</f>
        <v/>
      </c>
      <c r="C9" s="496">
        <f t="shared" ref="C9:C14" si="1">+A9</f>
        <v>0</v>
      </c>
      <c r="D9" s="497" t="str">
        <f>IFERROR(VLOOKUP(H9,'[1]Consolidado MP Planta'!$A$2:$M$823,13,0),"")</f>
        <v/>
      </c>
      <c r="E9" s="497" t="str">
        <f>IFERROR(VLOOKUP(H9,'[1]Consolidado MP Planta'!$A$2:$M$823,12,0),"")</f>
        <v/>
      </c>
      <c r="F9" s="497" t="str">
        <f t="shared" ref="F9:F14" si="2">IFERROR(C9*E9,"")</f>
        <v/>
      </c>
      <c r="G9" s="498" t="str">
        <f t="shared" si="0"/>
        <v/>
      </c>
      <c r="H9" s="499"/>
      <c r="I9" s="499"/>
      <c r="J9" s="500"/>
    </row>
    <row r="10" spans="1:10" ht="13.5" hidden="1" x14ac:dyDescent="0.25">
      <c r="A10" s="495"/>
      <c r="B10" s="483" t="str">
        <f>IFERROR(VLOOKUP(H10,'[1]Consolidado MP Planta'!$A$2:$M$823,3,0),"")</f>
        <v/>
      </c>
      <c r="C10" s="496">
        <f t="shared" si="1"/>
        <v>0</v>
      </c>
      <c r="D10" s="497" t="str">
        <f>IFERROR(VLOOKUP(H10,'[1]Consolidado MP Planta'!$A$2:$M$823,13,0),"")</f>
        <v/>
      </c>
      <c r="E10" s="497" t="str">
        <f>IFERROR(VLOOKUP(H10,'[1]Consolidado MP Planta'!$A$2:$M$823,12,0),"")</f>
        <v/>
      </c>
      <c r="F10" s="497" t="str">
        <f t="shared" si="2"/>
        <v/>
      </c>
      <c r="G10" s="498" t="str">
        <f t="shared" si="0"/>
        <v/>
      </c>
      <c r="H10" s="499"/>
      <c r="I10" s="499"/>
      <c r="J10" s="500"/>
    </row>
    <row r="11" spans="1:10" ht="13.5" hidden="1" x14ac:dyDescent="0.25">
      <c r="A11" s="495"/>
      <c r="B11" s="483" t="str">
        <f>IFERROR(VLOOKUP(H11,'[1]Consolidado MP Planta'!$A$2:$M$823,3,0),"")</f>
        <v/>
      </c>
      <c r="C11" s="496">
        <f t="shared" si="1"/>
        <v>0</v>
      </c>
      <c r="D11" s="497" t="str">
        <f>IFERROR(VLOOKUP(H11,'[1]Consolidado MP Planta'!$A$2:$M$823,13,0),"")</f>
        <v/>
      </c>
      <c r="E11" s="497" t="str">
        <f>IFERROR(VLOOKUP(H11,'[1]Consolidado MP Planta'!$A$2:$M$823,12,0),"")</f>
        <v/>
      </c>
      <c r="F11" s="497" t="str">
        <f t="shared" si="2"/>
        <v/>
      </c>
      <c r="G11" s="498" t="str">
        <f t="shared" si="0"/>
        <v/>
      </c>
      <c r="H11" s="499"/>
      <c r="I11" s="499"/>
      <c r="J11" s="500"/>
    </row>
    <row r="12" spans="1:10" ht="13.5" hidden="1" x14ac:dyDescent="0.25">
      <c r="A12" s="495"/>
      <c r="B12" s="483" t="str">
        <f>IFERROR(VLOOKUP(H12,'[1]Consolidado MP Planta'!$A$2:$M$823,3,0),"")</f>
        <v/>
      </c>
      <c r="C12" s="496">
        <f t="shared" si="1"/>
        <v>0</v>
      </c>
      <c r="D12" s="497" t="str">
        <f>IFERROR(VLOOKUP(H12,'[1]Consolidado MP Planta'!$A$2:$M$823,13,0),"")</f>
        <v/>
      </c>
      <c r="E12" s="497" t="str">
        <f>IFERROR(VLOOKUP(H12,'[1]Consolidado MP Planta'!$A$2:$M$823,12,0),"")</f>
        <v/>
      </c>
      <c r="F12" s="497" t="str">
        <f t="shared" si="2"/>
        <v/>
      </c>
      <c r="G12" s="498" t="str">
        <f t="shared" si="0"/>
        <v/>
      </c>
      <c r="H12" s="499"/>
      <c r="I12" s="499"/>
      <c r="J12" s="500"/>
    </row>
    <row r="13" spans="1:10" ht="13.5" hidden="1" x14ac:dyDescent="0.25">
      <c r="A13" s="495"/>
      <c r="B13" s="483" t="str">
        <f>IFERROR(VLOOKUP(H13,'[1]Consolidado MP Planta'!$A$2:$M$823,3,0),"")</f>
        <v/>
      </c>
      <c r="C13" s="496">
        <f t="shared" si="1"/>
        <v>0</v>
      </c>
      <c r="D13" s="497" t="str">
        <f>IFERROR(VLOOKUP(H13,'[1]Consolidado MP Planta'!$A$2:$M$823,13,0),"")</f>
        <v/>
      </c>
      <c r="E13" s="497" t="str">
        <f>IFERROR(VLOOKUP(H13,'[1]Consolidado MP Planta'!$A$2:$M$823,12,0),"")</f>
        <v/>
      </c>
      <c r="F13" s="497" t="str">
        <f t="shared" si="2"/>
        <v/>
      </c>
      <c r="G13" s="498" t="str">
        <f t="shared" si="0"/>
        <v/>
      </c>
      <c r="H13" s="499"/>
      <c r="I13" s="499"/>
      <c r="J13" s="500"/>
    </row>
    <row r="14" spans="1:10" ht="13.5" hidden="1" x14ac:dyDescent="0.25">
      <c r="A14" s="495"/>
      <c r="B14" s="483" t="str">
        <f>IFERROR(VLOOKUP(H14,'[1]Consolidado MP Planta'!$A$2:$M$823,3,0),"")</f>
        <v/>
      </c>
      <c r="C14" s="496">
        <f t="shared" si="1"/>
        <v>0</v>
      </c>
      <c r="D14" s="497" t="str">
        <f>IFERROR(VLOOKUP(H14,'[1]Consolidado MP Planta'!$A$2:$M$823,13,0),"")</f>
        <v/>
      </c>
      <c r="E14" s="497" t="str">
        <f>IFERROR(VLOOKUP(H14,'[1]Consolidado MP Planta'!$A$2:$M$823,12,0),"")</f>
        <v/>
      </c>
      <c r="F14" s="497" t="str">
        <f t="shared" si="2"/>
        <v/>
      </c>
      <c r="G14" s="498" t="str">
        <f t="shared" si="0"/>
        <v/>
      </c>
      <c r="H14" s="499"/>
      <c r="I14" s="499"/>
      <c r="J14" s="500"/>
    </row>
    <row r="15" spans="1:10" ht="14.25" hidden="1" thickBot="1" x14ac:dyDescent="0.3">
      <c r="A15" s="495"/>
      <c r="B15" s="483" t="str">
        <f>IFERROR(VLOOKUP(H15,[2]Hoja2!$A$2:$G$589,2,0),"")</f>
        <v/>
      </c>
      <c r="C15" s="496"/>
      <c r="D15" s="497"/>
      <c r="E15" s="497"/>
      <c r="F15" s="497"/>
      <c r="G15" s="498"/>
      <c r="H15" s="499"/>
      <c r="I15" s="499"/>
      <c r="J15" s="500"/>
    </row>
    <row r="16" spans="1:10" ht="26.25" thickBot="1" x14ac:dyDescent="0.25">
      <c r="A16" s="490" t="s">
        <v>271</v>
      </c>
      <c r="B16" s="491" t="s">
        <v>278</v>
      </c>
      <c r="C16" s="491" t="s">
        <v>271</v>
      </c>
      <c r="D16" s="492" t="s">
        <v>273</v>
      </c>
      <c r="E16" s="492" t="s">
        <v>274</v>
      </c>
      <c r="F16" s="492" t="s">
        <v>275</v>
      </c>
      <c r="G16" s="492" t="s">
        <v>276</v>
      </c>
      <c r="H16" s="493" t="s">
        <v>277</v>
      </c>
      <c r="I16" s="494"/>
      <c r="J16" s="500"/>
    </row>
    <row r="17" spans="1:12" ht="13.5" x14ac:dyDescent="0.25">
      <c r="A17" s="495">
        <v>11250</v>
      </c>
      <c r="B17" s="483" t="s">
        <v>50</v>
      </c>
      <c r="C17" s="496">
        <f>+A17</f>
        <v>11250</v>
      </c>
      <c r="D17" s="496" t="s">
        <v>317</v>
      </c>
      <c r="E17" s="497">
        <v>1.79</v>
      </c>
      <c r="F17" s="497">
        <f>IFERROR(E17*C17,"")</f>
        <v>20137.5</v>
      </c>
      <c r="G17" s="498">
        <f t="shared" ref="G17:G24" si="3">IFERROR(F17/$F$66,"")</f>
        <v>0.90417045845786315</v>
      </c>
      <c r="H17" s="499" t="s">
        <v>49</v>
      </c>
      <c r="I17" s="499"/>
      <c r="J17" s="500"/>
    </row>
    <row r="18" spans="1:12" ht="13.5" x14ac:dyDescent="0.25">
      <c r="A18" s="495">
        <v>365</v>
      </c>
      <c r="B18" s="483" t="s">
        <v>52</v>
      </c>
      <c r="C18" s="496">
        <f t="shared" ref="C18:C24" si="4">+A18</f>
        <v>365</v>
      </c>
      <c r="D18" s="496" t="s">
        <v>317</v>
      </c>
      <c r="E18" s="497">
        <v>1.02</v>
      </c>
      <c r="F18" s="497">
        <f t="shared" ref="F18:F24" si="5">IFERROR(E18*C18,"")</f>
        <v>372.3</v>
      </c>
      <c r="G18" s="498">
        <f t="shared" si="3"/>
        <v>1.6716209146312225E-2</v>
      </c>
      <c r="H18" s="499"/>
      <c r="I18" s="499"/>
      <c r="J18" s="500"/>
    </row>
    <row r="19" spans="1:12" ht="13.5" hidden="1" x14ac:dyDescent="0.25">
      <c r="A19" s="495"/>
      <c r="B19" s="483" t="str">
        <f>IFERROR(VLOOKUP(H19,[1]SEMIELABORADOS!$A$2:$M$6000,2,0),"")</f>
        <v/>
      </c>
      <c r="C19" s="496">
        <f>+A19</f>
        <v>0</v>
      </c>
      <c r="D19" s="496" t="str">
        <f>IFERROR(VLOOKUP(H19,[1]SEMIELABORADOS!$A$2:$M$6000,6,0),"")</f>
        <v/>
      </c>
      <c r="E19" s="497" t="str">
        <f>IFERROR(VLOOKUP(H19,[1]SEMIELABORADOS!$A$2:$H$65536,8,0),"")</f>
        <v/>
      </c>
      <c r="F19" s="497" t="str">
        <f>IFERROR(E19*C19,"")</f>
        <v/>
      </c>
      <c r="G19" s="498" t="str">
        <f t="shared" si="3"/>
        <v/>
      </c>
      <c r="H19" s="499"/>
      <c r="I19" s="499"/>
      <c r="J19" s="500"/>
    </row>
    <row r="20" spans="1:12" ht="13.5" hidden="1" x14ac:dyDescent="0.25">
      <c r="A20" s="495"/>
      <c r="B20" s="483" t="str">
        <f>IFERROR(VLOOKUP(H20,[1]SEMIELABORADOS!$A$2:$M$6000,2,0),"")</f>
        <v/>
      </c>
      <c r="C20" s="496">
        <f>+A20</f>
        <v>0</v>
      </c>
      <c r="D20" s="496" t="str">
        <f>IFERROR(VLOOKUP(H20,[1]SEMIELABORADOS!$A$2:$M$6000,6,0),"")</f>
        <v/>
      </c>
      <c r="E20" s="497" t="str">
        <f>IFERROR(VLOOKUP(H20,[1]SEMIELABORADOS!$A$2:$H$65536,8,0),"")</f>
        <v/>
      </c>
      <c r="F20" s="497" t="str">
        <f>IFERROR(E20*C20,"")</f>
        <v/>
      </c>
      <c r="G20" s="498" t="str">
        <f t="shared" si="3"/>
        <v/>
      </c>
      <c r="H20" s="499"/>
      <c r="I20" s="499"/>
      <c r="J20" s="500"/>
    </row>
    <row r="21" spans="1:12" ht="13.5" hidden="1" x14ac:dyDescent="0.25">
      <c r="A21" s="495"/>
      <c r="B21" s="483" t="str">
        <f>IFERROR(VLOOKUP(H21,[1]SEMIELABORADOS!$A$2:$M$6000,2,0),"")</f>
        <v/>
      </c>
      <c r="C21" s="496">
        <f>+A21</f>
        <v>0</v>
      </c>
      <c r="D21" s="496" t="str">
        <f>IFERROR(VLOOKUP(H21,[1]SEMIELABORADOS!$A$2:$M$6000,6,0),"")</f>
        <v/>
      </c>
      <c r="E21" s="497" t="str">
        <f>IFERROR(VLOOKUP(H21,[1]SEMIELABORADOS!$A$2:$H$65536,8,0),"")</f>
        <v/>
      </c>
      <c r="F21" s="497" t="str">
        <f>IFERROR(E21*C21,"")</f>
        <v/>
      </c>
      <c r="G21" s="498" t="str">
        <f t="shared" si="3"/>
        <v/>
      </c>
      <c r="H21" s="499"/>
      <c r="I21" s="499"/>
      <c r="J21" s="500"/>
    </row>
    <row r="22" spans="1:12" ht="13.5" hidden="1" x14ac:dyDescent="0.25">
      <c r="A22" s="495"/>
      <c r="B22" s="483" t="str">
        <f>IFERROR(VLOOKUP(H22,[1]SEMIELABORADOS!$A$2:$M$6000,2,0),"")</f>
        <v/>
      </c>
      <c r="C22" s="496">
        <f t="shared" si="4"/>
        <v>0</v>
      </c>
      <c r="D22" s="496" t="str">
        <f>IFERROR(VLOOKUP(H22,[1]SEMIELABORADOS!$A$2:$M$6000,6,0),"")</f>
        <v/>
      </c>
      <c r="E22" s="497" t="str">
        <f>IFERROR(VLOOKUP(H22,[1]SEMIELABORADOS!$A$2:$H$65536,8,0),"")</f>
        <v/>
      </c>
      <c r="F22" s="497" t="str">
        <f t="shared" si="5"/>
        <v/>
      </c>
      <c r="G22" s="498" t="str">
        <f t="shared" si="3"/>
        <v/>
      </c>
      <c r="H22" s="499"/>
      <c r="I22" s="499"/>
      <c r="J22" s="500"/>
    </row>
    <row r="23" spans="1:12" ht="13.5" hidden="1" x14ac:dyDescent="0.25">
      <c r="A23" s="495"/>
      <c r="B23" s="483" t="str">
        <f>IFERROR(VLOOKUP(H23,[1]SEMIELABORADOS!$A$2:$M$6000,2,0),"")</f>
        <v/>
      </c>
      <c r="C23" s="496">
        <f t="shared" si="4"/>
        <v>0</v>
      </c>
      <c r="D23" s="496" t="str">
        <f>IFERROR(VLOOKUP(H23,[1]SEMIELABORADOS!$A$2:$M$6000,6,0),"")</f>
        <v/>
      </c>
      <c r="E23" s="497" t="str">
        <f>IFERROR(VLOOKUP(H23,[1]SEMIELABORADOS!$A$2:$H$65536,8,0),"")</f>
        <v/>
      </c>
      <c r="F23" s="497" t="str">
        <f t="shared" si="5"/>
        <v/>
      </c>
      <c r="G23" s="498" t="str">
        <f t="shared" si="3"/>
        <v/>
      </c>
      <c r="H23" s="499"/>
      <c r="I23" s="499"/>
      <c r="J23" s="500"/>
    </row>
    <row r="24" spans="1:12" ht="13.5" hidden="1" x14ac:dyDescent="0.25">
      <c r="A24" s="495"/>
      <c r="B24" s="483" t="str">
        <f>IFERROR(VLOOKUP(H24,[1]SEMIELABORADOS!$A$2:$M$6000,2,0),"")</f>
        <v/>
      </c>
      <c r="C24" s="496">
        <f t="shared" si="4"/>
        <v>0</v>
      </c>
      <c r="D24" s="496" t="str">
        <f>IFERROR(VLOOKUP(H24,[1]SEMIELABORADOS!$A$2:$M$6000,6,0),"")</f>
        <v/>
      </c>
      <c r="E24" s="497" t="str">
        <f>IFERROR(VLOOKUP(H24,[1]SEMIELABORADOS!$A$2:$H$65536,8,0),"")</f>
        <v/>
      </c>
      <c r="F24" s="497" t="str">
        <f t="shared" si="5"/>
        <v/>
      </c>
      <c r="G24" s="498" t="str">
        <f t="shared" si="3"/>
        <v/>
      </c>
      <c r="H24" s="499"/>
      <c r="I24" s="499"/>
      <c r="J24" s="500"/>
    </row>
    <row r="25" spans="1:12" ht="14.25" thickBot="1" x14ac:dyDescent="0.3">
      <c r="A25" s="495"/>
      <c r="C25" s="496"/>
      <c r="D25" s="496"/>
      <c r="E25" s="497"/>
      <c r="F25" s="497"/>
      <c r="G25" s="498"/>
      <c r="H25" s="499"/>
      <c r="I25" s="499"/>
      <c r="J25" s="500"/>
    </row>
    <row r="26" spans="1:12" ht="26.25" hidden="1" thickBot="1" x14ac:dyDescent="0.25">
      <c r="A26" s="490" t="s">
        <v>271</v>
      </c>
      <c r="B26" s="491" t="s">
        <v>279</v>
      </c>
      <c r="C26" s="491" t="s">
        <v>271</v>
      </c>
      <c r="D26" s="492" t="s">
        <v>273</v>
      </c>
      <c r="E26" s="492" t="s">
        <v>274</v>
      </c>
      <c r="F26" s="492" t="s">
        <v>275</v>
      </c>
      <c r="G26" s="492" t="s">
        <v>276</v>
      </c>
      <c r="H26" s="493" t="s">
        <v>277</v>
      </c>
      <c r="I26" s="494"/>
    </row>
    <row r="27" spans="1:12" ht="13.5" hidden="1" x14ac:dyDescent="0.25">
      <c r="A27" s="495">
        <v>0</v>
      </c>
      <c r="B27" s="501" t="str">
        <f>IFERROR(VLOOKUP(H27,'[1]Consolidado MP Planta'!$A$2:$M$823,3,0),"")</f>
        <v/>
      </c>
      <c r="C27" s="496">
        <f t="shared" ref="C27:C32" si="6">+A27</f>
        <v>0</v>
      </c>
      <c r="D27" s="497" t="str">
        <f>IFERROR(VLOOKUP(H27,'[1]Consolidado MP Planta'!$A$2:$M$823,13,0),"")</f>
        <v/>
      </c>
      <c r="E27" s="497" t="str">
        <f>IFERROR(VLOOKUP(H27,'[1]Consolidado MP Planta'!$A$2:$M$823,12,0),"")</f>
        <v/>
      </c>
      <c r="F27" s="497" t="str">
        <f t="shared" ref="F27:F32" si="7">IFERROR(C27*E27,"")</f>
        <v/>
      </c>
      <c r="G27" s="498" t="str">
        <f t="shared" ref="G27:G32" si="8">IFERROR(F27/$F$66,"")</f>
        <v/>
      </c>
      <c r="H27" s="502"/>
      <c r="I27" s="502"/>
      <c r="J27" s="500"/>
      <c r="K27" s="660"/>
      <c r="L27" s="660"/>
    </row>
    <row r="28" spans="1:12" ht="13.5" hidden="1" x14ac:dyDescent="0.25">
      <c r="A28" s="495"/>
      <c r="B28" s="501" t="str">
        <f>IFERROR(VLOOKUP(H28,'[1]Consolidado MP Planta'!$A$2:$M$823,3,0),"")</f>
        <v/>
      </c>
      <c r="C28" s="496">
        <f t="shared" si="6"/>
        <v>0</v>
      </c>
      <c r="D28" s="497" t="str">
        <f>IFERROR(VLOOKUP(H28,'[1]Consolidado MP Planta'!$A$2:$M$823,13,0),"")</f>
        <v/>
      </c>
      <c r="E28" s="497" t="str">
        <f>IFERROR(VLOOKUP(H28,'[1]Consolidado MP Planta'!$A$2:$M$823,12,0),"")</f>
        <v/>
      </c>
      <c r="F28" s="497" t="str">
        <f t="shared" si="7"/>
        <v/>
      </c>
      <c r="G28" s="498" t="str">
        <f t="shared" si="8"/>
        <v/>
      </c>
      <c r="H28" s="502"/>
      <c r="I28" s="502"/>
      <c r="J28" s="500"/>
      <c r="K28" s="660"/>
      <c r="L28" s="660"/>
    </row>
    <row r="29" spans="1:12" ht="13.5" hidden="1" x14ac:dyDescent="0.25">
      <c r="A29" s="495"/>
      <c r="B29" s="501" t="str">
        <f>IFERROR(VLOOKUP(H29,'[1]Consolidado MP Planta'!$A$2:$M$823,3,0),"")</f>
        <v/>
      </c>
      <c r="C29" s="496">
        <f t="shared" si="6"/>
        <v>0</v>
      </c>
      <c r="D29" s="497" t="str">
        <f>IFERROR(VLOOKUP(H29,'[1]Consolidado MP Planta'!$A$2:$M$823,13,0),"")</f>
        <v/>
      </c>
      <c r="E29" s="497" t="str">
        <f>IFERROR(VLOOKUP(H29,'[1]Consolidado MP Planta'!$A$2:$M$823,12,0),"")</f>
        <v/>
      </c>
      <c r="F29" s="497" t="str">
        <f t="shared" si="7"/>
        <v/>
      </c>
      <c r="G29" s="498" t="str">
        <f t="shared" si="8"/>
        <v/>
      </c>
      <c r="H29" s="502"/>
      <c r="I29" s="502"/>
      <c r="J29" s="500"/>
      <c r="K29" s="660"/>
      <c r="L29" s="660"/>
    </row>
    <row r="30" spans="1:12" ht="13.5" hidden="1" x14ac:dyDescent="0.25">
      <c r="A30" s="495"/>
      <c r="B30" s="501" t="str">
        <f>IFERROR(VLOOKUP(H30,'[1]Consolidado MP Planta'!$A$2:$M$823,3,0),"")</f>
        <v/>
      </c>
      <c r="C30" s="496">
        <f t="shared" si="6"/>
        <v>0</v>
      </c>
      <c r="D30" s="497" t="str">
        <f>IFERROR(VLOOKUP(H30,'[1]Consolidado MP Planta'!$A$2:$M$823,13,0),"")</f>
        <v/>
      </c>
      <c r="E30" s="497" t="str">
        <f>IFERROR(VLOOKUP(H30,'[1]Consolidado MP Planta'!$A$2:$M$823,12,0),"")</f>
        <v/>
      </c>
      <c r="F30" s="497" t="str">
        <f t="shared" si="7"/>
        <v/>
      </c>
      <c r="G30" s="498" t="str">
        <f t="shared" si="8"/>
        <v/>
      </c>
      <c r="H30" s="502"/>
      <c r="I30" s="502"/>
      <c r="J30" s="500"/>
      <c r="K30" s="660"/>
      <c r="L30" s="660"/>
    </row>
    <row r="31" spans="1:12" ht="13.5" hidden="1" x14ac:dyDescent="0.25">
      <c r="A31" s="495"/>
      <c r="B31" s="501" t="str">
        <f>IFERROR(VLOOKUP(H31,'[1]Consolidado MP Planta'!$A$2:$M$823,3,0),"")</f>
        <v/>
      </c>
      <c r="C31" s="496">
        <f t="shared" si="6"/>
        <v>0</v>
      </c>
      <c r="D31" s="497" t="str">
        <f>IFERROR(VLOOKUP(H31,'[1]Consolidado MP Planta'!$A$2:$M$823,13,0),"")</f>
        <v/>
      </c>
      <c r="E31" s="497" t="str">
        <f>IFERROR(VLOOKUP(H31,'[1]Consolidado MP Planta'!$A$2:$M$823,12,0),"")</f>
        <v/>
      </c>
      <c r="F31" s="497" t="str">
        <f t="shared" si="7"/>
        <v/>
      </c>
      <c r="G31" s="498" t="str">
        <f t="shared" si="8"/>
        <v/>
      </c>
      <c r="H31" s="502"/>
      <c r="I31" s="502"/>
      <c r="J31" s="500"/>
      <c r="K31" s="503"/>
      <c r="L31" s="504"/>
    </row>
    <row r="32" spans="1:12" ht="13.5" hidden="1" x14ac:dyDescent="0.25">
      <c r="A32" s="495"/>
      <c r="B32" s="501" t="str">
        <f>IFERROR(VLOOKUP(H32,'[1]Consolidado MP Planta'!$A$2:$M$823,3,0),"")</f>
        <v/>
      </c>
      <c r="C32" s="496">
        <f t="shared" si="6"/>
        <v>0</v>
      </c>
      <c r="D32" s="497" t="str">
        <f>IFERROR(VLOOKUP(H32,'[1]Consolidado MP Planta'!$A$2:$M$823,13,0),"")</f>
        <v/>
      </c>
      <c r="E32" s="497" t="str">
        <f>IFERROR(VLOOKUP(H32,'[1]Consolidado MP Planta'!$A$2:$M$823,12,0),"")</f>
        <v/>
      </c>
      <c r="F32" s="497" t="str">
        <f t="shared" si="7"/>
        <v/>
      </c>
      <c r="G32" s="498" t="str">
        <f t="shared" si="8"/>
        <v/>
      </c>
      <c r="H32" s="502"/>
      <c r="I32" s="502"/>
      <c r="J32" s="500"/>
    </row>
    <row r="33" spans="1:13" ht="14.25" hidden="1" thickBot="1" x14ac:dyDescent="0.3">
      <c r="A33" s="495"/>
      <c r="B33" s="501"/>
      <c r="C33" s="496"/>
      <c r="D33" s="497"/>
      <c r="E33" s="497"/>
      <c r="F33" s="497"/>
      <c r="G33" s="498"/>
      <c r="H33" s="502"/>
      <c r="I33" s="502"/>
      <c r="J33" s="500"/>
    </row>
    <row r="34" spans="1:13" ht="26.25" thickBot="1" x14ac:dyDescent="0.25">
      <c r="A34" s="490" t="s">
        <v>271</v>
      </c>
      <c r="B34" s="491" t="s">
        <v>280</v>
      </c>
      <c r="C34" s="491" t="s">
        <v>271</v>
      </c>
      <c r="D34" s="492" t="s">
        <v>273</v>
      </c>
      <c r="E34" s="492" t="s">
        <v>274</v>
      </c>
      <c r="F34" s="492" t="s">
        <v>275</v>
      </c>
      <c r="G34" s="492" t="s">
        <v>276</v>
      </c>
      <c r="H34" s="493" t="s">
        <v>277</v>
      </c>
      <c r="I34" s="502"/>
      <c r="J34" s="500"/>
    </row>
    <row r="35" spans="1:13" ht="13.5" x14ac:dyDescent="0.25">
      <c r="A35" s="495">
        <f>+A17</f>
        <v>11250</v>
      </c>
      <c r="B35" s="501" t="s">
        <v>50</v>
      </c>
      <c r="C35" s="496">
        <f>+A35</f>
        <v>11250</v>
      </c>
      <c r="D35" s="497" t="s">
        <v>317</v>
      </c>
      <c r="E35" s="497">
        <v>0.01</v>
      </c>
      <c r="F35" s="497">
        <f>IFERROR(E35*C35,"")</f>
        <v>112.5</v>
      </c>
      <c r="G35" s="498">
        <f t="shared" ref="G35:G41" si="9">IFERROR(F35/$F$66,"")</f>
        <v>5.0512316114964418E-3</v>
      </c>
      <c r="H35" s="502" t="s">
        <v>49</v>
      </c>
      <c r="I35" s="502"/>
      <c r="J35" s="500"/>
    </row>
    <row r="36" spans="1:13" ht="13.5" x14ac:dyDescent="0.25">
      <c r="A36" s="495">
        <f t="shared" ref="A36:A41" si="10">+A18</f>
        <v>365</v>
      </c>
      <c r="B36" s="501" t="s">
        <v>52</v>
      </c>
      <c r="C36" s="496">
        <f t="shared" ref="C36:C41" si="11">+A36</f>
        <v>365</v>
      </c>
      <c r="D36" s="497" t="s">
        <v>317</v>
      </c>
      <c r="E36" s="497">
        <v>0.02</v>
      </c>
      <c r="F36" s="497">
        <f t="shared" ref="F36:F41" si="12">IFERROR(E36*C36,"")</f>
        <v>7.3</v>
      </c>
      <c r="G36" s="498">
        <f t="shared" si="9"/>
        <v>3.2776880679043577E-4</v>
      </c>
      <c r="H36" s="502"/>
      <c r="I36" s="502"/>
      <c r="J36" s="500"/>
    </row>
    <row r="37" spans="1:13" ht="13.5" hidden="1" x14ac:dyDescent="0.25">
      <c r="A37" s="495">
        <f t="shared" si="10"/>
        <v>0</v>
      </c>
      <c r="B37" s="501" t="str">
        <f>IFERROR(VLOOKUP(H37,[1]SEMIELABORADOS!$A$2:$M$6000,2,0),"")</f>
        <v/>
      </c>
      <c r="C37" s="496">
        <f t="shared" si="11"/>
        <v>0</v>
      </c>
      <c r="D37" s="497" t="str">
        <f>IFERROR(VLOOKUP(H37,[1]SEMIELABORADOS!$A$2:$M$6000,6,0),"")</f>
        <v/>
      </c>
      <c r="E37" s="497" t="str">
        <f>IFERROR(VLOOKUP(H37,[1]SEMIELABORADOS!$A$2:$M$65536,10,0),"")</f>
        <v/>
      </c>
      <c r="F37" s="497" t="str">
        <f t="shared" si="12"/>
        <v/>
      </c>
      <c r="G37" s="498" t="str">
        <f t="shared" si="9"/>
        <v/>
      </c>
      <c r="H37" s="502"/>
      <c r="I37" s="502"/>
      <c r="J37" s="500"/>
    </row>
    <row r="38" spans="1:13" ht="13.5" hidden="1" x14ac:dyDescent="0.25">
      <c r="A38" s="495">
        <f t="shared" si="10"/>
        <v>0</v>
      </c>
      <c r="B38" s="501" t="str">
        <f>IFERROR(VLOOKUP(H38,[1]SEMIELABORADOS!$A$2:$M$6000,2,0),"")</f>
        <v/>
      </c>
      <c r="C38" s="496">
        <f>+A38</f>
        <v>0</v>
      </c>
      <c r="D38" s="497" t="str">
        <f>IFERROR(VLOOKUP(H38,[1]SEMIELABORADOS!$A$2:$M$6000,6,0),"")</f>
        <v/>
      </c>
      <c r="E38" s="497" t="str">
        <f>IFERROR(VLOOKUP(H38,[1]SEMIELABORADOS!$A$2:$M$65536,10,0),"")</f>
        <v/>
      </c>
      <c r="F38" s="497" t="str">
        <f>IFERROR(E38*C38,"")</f>
        <v/>
      </c>
      <c r="G38" s="498" t="str">
        <f t="shared" si="9"/>
        <v/>
      </c>
      <c r="H38" s="502"/>
      <c r="I38" s="502"/>
      <c r="J38" s="500"/>
    </row>
    <row r="39" spans="1:13" ht="13.5" hidden="1" x14ac:dyDescent="0.25">
      <c r="A39" s="495">
        <f t="shared" si="10"/>
        <v>0</v>
      </c>
      <c r="B39" s="501" t="str">
        <f>IFERROR(VLOOKUP(H39,[1]SEMIELABORADOS!$A$2:$M$6000,2,0),"")</f>
        <v/>
      </c>
      <c r="C39" s="496">
        <f>+A39</f>
        <v>0</v>
      </c>
      <c r="D39" s="497" t="str">
        <f>IFERROR(VLOOKUP(H39,[1]SEMIELABORADOS!$A$2:$M$6000,6,0),"")</f>
        <v/>
      </c>
      <c r="E39" s="497" t="str">
        <f>IFERROR(VLOOKUP(H39,[1]SEMIELABORADOS!$A$2:$M$65536,10,0),"")</f>
        <v/>
      </c>
      <c r="F39" s="497" t="str">
        <f>IFERROR(E39*C39,"")</f>
        <v/>
      </c>
      <c r="G39" s="498" t="str">
        <f t="shared" si="9"/>
        <v/>
      </c>
      <c r="H39" s="502"/>
      <c r="I39" s="502"/>
      <c r="J39" s="500"/>
    </row>
    <row r="40" spans="1:13" ht="13.5" hidden="1" x14ac:dyDescent="0.25">
      <c r="A40" s="495">
        <f t="shared" si="10"/>
        <v>0</v>
      </c>
      <c r="B40" s="501" t="str">
        <f>IFERROR(VLOOKUP(H40,[1]SEMIELABORADOS!$A$2:$M$6000,2,0),"")</f>
        <v/>
      </c>
      <c r="C40" s="496">
        <f t="shared" si="11"/>
        <v>0</v>
      </c>
      <c r="D40" s="497" t="str">
        <f>IFERROR(VLOOKUP(H40,[1]SEMIELABORADOS!$A$2:$M$6000,6,0),"")</f>
        <v/>
      </c>
      <c r="E40" s="497" t="str">
        <f>IFERROR(VLOOKUP(H40,[1]SEMIELABORADOS!$A$2:$M$65536,10,0),"")</f>
        <v/>
      </c>
      <c r="F40" s="497" t="str">
        <f t="shared" si="12"/>
        <v/>
      </c>
      <c r="G40" s="498" t="str">
        <f t="shared" si="9"/>
        <v/>
      </c>
      <c r="H40" s="502"/>
      <c r="I40" s="502"/>
      <c r="J40" s="500"/>
    </row>
    <row r="41" spans="1:13" ht="13.5" hidden="1" x14ac:dyDescent="0.25">
      <c r="A41" s="495">
        <f t="shared" si="10"/>
        <v>0</v>
      </c>
      <c r="B41" s="501" t="str">
        <f>IFERROR(VLOOKUP(H41,[1]SEMIELABORADOS!$A$2:$M$6000,2,0),"")</f>
        <v/>
      </c>
      <c r="C41" s="496">
        <f t="shared" si="11"/>
        <v>0</v>
      </c>
      <c r="D41" s="497" t="str">
        <f>IFERROR(VLOOKUP(H41,[1]SEMIELABORADOS!$A$2:$M$6000,6,0),"")</f>
        <v/>
      </c>
      <c r="E41" s="497" t="str">
        <f>IFERROR(VLOOKUP(H41,[1]SEMIELABORADOS!$A$2:$M$65536,10,0),"")</f>
        <v/>
      </c>
      <c r="F41" s="497" t="str">
        <f t="shared" si="12"/>
        <v/>
      </c>
      <c r="G41" s="498" t="str">
        <f t="shared" si="9"/>
        <v/>
      </c>
      <c r="H41" s="502"/>
      <c r="I41" s="502"/>
      <c r="J41" s="500"/>
    </row>
    <row r="42" spans="1:13" ht="14.25" thickBot="1" x14ac:dyDescent="0.3">
      <c r="A42" s="495"/>
      <c r="B42" s="501"/>
      <c r="C42" s="496"/>
      <c r="D42" s="497"/>
      <c r="E42" s="497"/>
      <c r="F42" s="497"/>
      <c r="G42" s="498"/>
      <c r="H42" s="502"/>
      <c r="I42" s="502"/>
      <c r="J42" s="500"/>
    </row>
    <row r="43" spans="1:13" ht="26.25" thickBot="1" x14ac:dyDescent="0.25">
      <c r="A43" s="490" t="s">
        <v>271</v>
      </c>
      <c r="B43" s="491" t="s">
        <v>281</v>
      </c>
      <c r="C43" s="491" t="s">
        <v>271</v>
      </c>
      <c r="D43" s="492" t="s">
        <v>273</v>
      </c>
      <c r="E43" s="492" t="s">
        <v>274</v>
      </c>
      <c r="F43" s="492" t="s">
        <v>275</v>
      </c>
      <c r="G43" s="492" t="s">
        <v>276</v>
      </c>
      <c r="H43" s="493" t="s">
        <v>277</v>
      </c>
      <c r="I43" s="494"/>
      <c r="J43" s="500"/>
    </row>
    <row r="44" spans="1:13" ht="13.5" x14ac:dyDescent="0.25">
      <c r="A44" s="495">
        <f>+A35</f>
        <v>11250</v>
      </c>
      <c r="B44" s="501" t="s">
        <v>50</v>
      </c>
      <c r="C44" s="496">
        <f>+A44</f>
        <v>11250</v>
      </c>
      <c r="D44" s="497" t="s">
        <v>317</v>
      </c>
      <c r="E44" s="497">
        <v>0.04</v>
      </c>
      <c r="F44" s="497">
        <f>IFERROR(E44*C44,"")</f>
        <v>450</v>
      </c>
      <c r="G44" s="498">
        <f>IFERROR(F44/$F$66,"")</f>
        <v>2.0204926445985767E-2</v>
      </c>
      <c r="H44" s="502" t="s">
        <v>49</v>
      </c>
      <c r="I44" s="494"/>
      <c r="J44" s="500"/>
    </row>
    <row r="45" spans="1:13" ht="14.45" customHeight="1" x14ac:dyDescent="0.25">
      <c r="A45" s="495">
        <f t="shared" ref="A45:A50" si="13">+A36</f>
        <v>365</v>
      </c>
      <c r="B45" s="501" t="s">
        <v>52</v>
      </c>
      <c r="C45" s="496">
        <f t="shared" ref="C45:C50" si="14">+A45</f>
        <v>365</v>
      </c>
      <c r="D45" s="497" t="s">
        <v>317</v>
      </c>
      <c r="E45" s="497">
        <v>0.03</v>
      </c>
      <c r="F45" s="497">
        <f t="shared" ref="F45:F50" si="15">IFERROR(E45*C45,"")</f>
        <v>10.95</v>
      </c>
      <c r="G45" s="498">
        <f t="shared" ref="G45:G50" si="16">IFERROR(F45/$F$66,"")</f>
        <v>4.9165321018565359E-4</v>
      </c>
      <c r="H45" s="502"/>
      <c r="I45" s="494"/>
      <c r="J45" s="500"/>
      <c r="M45" s="505"/>
    </row>
    <row r="46" spans="1:13" ht="13.5" hidden="1" x14ac:dyDescent="0.25">
      <c r="A46" s="495">
        <f t="shared" si="13"/>
        <v>0</v>
      </c>
      <c r="B46" s="501" t="str">
        <f>IFERROR(VLOOKUP(H46,[1]SEMIELABORADOS!$A$2:$M$6000,2,0),"")</f>
        <v/>
      </c>
      <c r="C46" s="496">
        <f t="shared" si="14"/>
        <v>0</v>
      </c>
      <c r="D46" s="497" t="str">
        <f>IFERROR(VLOOKUP(H46,[1]SEMIELABORADOS!$A$2:$M$6000,6,0),"")</f>
        <v/>
      </c>
      <c r="E46" s="497" t="str">
        <f>IFERROR(VLOOKUP(H46,[1]SEMIELABORADOS!$A$2:$M$65536,12,0),"")</f>
        <v/>
      </c>
      <c r="F46" s="497" t="str">
        <f t="shared" si="15"/>
        <v/>
      </c>
      <c r="G46" s="498" t="str">
        <f t="shared" si="16"/>
        <v/>
      </c>
      <c r="H46" s="502"/>
      <c r="I46" s="494"/>
      <c r="J46" s="500"/>
    </row>
    <row r="47" spans="1:13" ht="13.5" hidden="1" x14ac:dyDescent="0.25">
      <c r="A47" s="495">
        <f t="shared" si="13"/>
        <v>0</v>
      </c>
      <c r="B47" s="501" t="str">
        <f>IFERROR(VLOOKUP(H47,[1]SEMIELABORADOS!$A$2:$M$6000,2,0),"")</f>
        <v/>
      </c>
      <c r="C47" s="496">
        <f t="shared" si="14"/>
        <v>0</v>
      </c>
      <c r="D47" s="497" t="str">
        <f>IFERROR(VLOOKUP(H47,[1]SEMIELABORADOS!$A$2:$M$6000,6,0),"")</f>
        <v/>
      </c>
      <c r="E47" s="497" t="str">
        <f>IFERROR(VLOOKUP(H47,[1]SEMIELABORADOS!$A$2:$M$65536,12,0),"")</f>
        <v/>
      </c>
      <c r="F47" s="497" t="str">
        <f t="shared" si="15"/>
        <v/>
      </c>
      <c r="G47" s="498" t="str">
        <f t="shared" si="16"/>
        <v/>
      </c>
      <c r="H47" s="502"/>
      <c r="I47" s="494"/>
      <c r="J47" s="500"/>
    </row>
    <row r="48" spans="1:13" ht="13.5" hidden="1" x14ac:dyDescent="0.25">
      <c r="A48" s="495">
        <f t="shared" si="13"/>
        <v>0</v>
      </c>
      <c r="B48" s="501" t="str">
        <f>IFERROR(VLOOKUP(H48,[1]SEMIELABORADOS!$A$2:$M$6000,2,0),"")</f>
        <v/>
      </c>
      <c r="C48" s="496">
        <f t="shared" si="14"/>
        <v>0</v>
      </c>
      <c r="D48" s="497" t="str">
        <f>IFERROR(VLOOKUP(H48,[1]SEMIELABORADOS!$A$2:$M$6000,6,0),"")</f>
        <v/>
      </c>
      <c r="E48" s="497" t="str">
        <f>IFERROR(VLOOKUP(H48,[1]SEMIELABORADOS!$A$2:$M$65536,12,0),"")</f>
        <v/>
      </c>
      <c r="F48" s="497" t="str">
        <f t="shared" si="15"/>
        <v/>
      </c>
      <c r="G48" s="498" t="str">
        <f t="shared" si="16"/>
        <v/>
      </c>
      <c r="H48" s="502"/>
      <c r="I48" s="494"/>
      <c r="J48" s="500"/>
    </row>
    <row r="49" spans="1:17" ht="13.5" hidden="1" x14ac:dyDescent="0.25">
      <c r="A49" s="495">
        <f t="shared" si="13"/>
        <v>0</v>
      </c>
      <c r="B49" s="501" t="str">
        <f>IFERROR(VLOOKUP(H49,[1]SEMIELABORADOS!$A$2:$M$6000,2,0),"")</f>
        <v/>
      </c>
      <c r="C49" s="496">
        <f t="shared" si="14"/>
        <v>0</v>
      </c>
      <c r="D49" s="497" t="str">
        <f>IFERROR(VLOOKUP(H49,[1]SEMIELABORADOS!$A$2:$M$6000,6,0),"")</f>
        <v/>
      </c>
      <c r="E49" s="497" t="str">
        <f>IFERROR(VLOOKUP(H49,[1]SEMIELABORADOS!$A$2:$M$65536,12,0),"")</f>
        <v/>
      </c>
      <c r="F49" s="497" t="str">
        <f t="shared" si="15"/>
        <v/>
      </c>
      <c r="G49" s="498" t="str">
        <f t="shared" si="16"/>
        <v/>
      </c>
      <c r="H49" s="502"/>
      <c r="I49" s="494"/>
      <c r="J49" s="500"/>
    </row>
    <row r="50" spans="1:17" ht="13.5" hidden="1" x14ac:dyDescent="0.25">
      <c r="A50" s="495">
        <f t="shared" si="13"/>
        <v>0</v>
      </c>
      <c r="B50" s="501" t="str">
        <f>IFERROR(VLOOKUP(H50,[1]SEMIELABORADOS!$A$2:$M$6000,2,0),"")</f>
        <v/>
      </c>
      <c r="C50" s="496">
        <f t="shared" si="14"/>
        <v>0</v>
      </c>
      <c r="D50" s="497" t="str">
        <f>IFERROR(VLOOKUP(H50,[1]SEMIELABORADOS!$A$2:$M$6000,6,0),"")</f>
        <v/>
      </c>
      <c r="E50" s="497" t="str">
        <f>IFERROR(VLOOKUP(H50,[1]SEMIELABORADOS!$A$2:$M$65536,12,0),"")</f>
        <v/>
      </c>
      <c r="F50" s="497" t="str">
        <f t="shared" si="15"/>
        <v/>
      </c>
      <c r="G50" s="498" t="str">
        <f t="shared" si="16"/>
        <v/>
      </c>
      <c r="H50" s="501"/>
      <c r="I50" s="494"/>
      <c r="J50" s="500"/>
    </row>
    <row r="51" spans="1:17" ht="13.5" x14ac:dyDescent="0.25">
      <c r="A51" s="495">
        <v>1</v>
      </c>
      <c r="B51" s="501" t="s">
        <v>282</v>
      </c>
      <c r="C51" s="496">
        <f>+A51</f>
        <v>1</v>
      </c>
      <c r="D51" s="496" t="s">
        <v>283</v>
      </c>
      <c r="E51" s="497">
        <f>+F65</f>
        <v>1232</v>
      </c>
      <c r="F51" s="497">
        <f>IFERROR(C51*E51,"")</f>
        <v>1232</v>
      </c>
      <c r="G51" s="498">
        <f>IFERROR(F51/$F$66,"")</f>
        <v>5.531659862545437E-2</v>
      </c>
      <c r="H51" s="506"/>
      <c r="I51" s="506"/>
      <c r="J51" s="500"/>
    </row>
    <row r="52" spans="1:17" ht="14.25" thickBot="1" x14ac:dyDescent="0.3">
      <c r="A52" s="495"/>
      <c r="B52" s="501"/>
      <c r="C52" s="496"/>
      <c r="D52" s="496"/>
      <c r="E52" s="497"/>
      <c r="F52" s="497"/>
      <c r="G52" s="498"/>
      <c r="H52" s="506"/>
      <c r="I52" s="506"/>
      <c r="J52" s="500"/>
    </row>
    <row r="53" spans="1:17" ht="13.5" thickBot="1" x14ac:dyDescent="0.25">
      <c r="A53" s="507"/>
      <c r="B53" s="661" t="s">
        <v>284</v>
      </c>
      <c r="C53" s="661"/>
      <c r="D53" s="661"/>
      <c r="E53" s="661"/>
      <c r="F53" s="509">
        <f>SUM(F8:F14,F17:F24)</f>
        <v>20509.8</v>
      </c>
      <c r="G53" s="498">
        <f>+F53/$F$66</f>
        <v>0.92088666760417526</v>
      </c>
      <c r="H53" s="510">
        <f>+F53/$D$60</f>
        <v>20509.8</v>
      </c>
      <c r="I53" s="510"/>
      <c r="J53" s="511"/>
      <c r="K53" s="512"/>
      <c r="L53" s="512"/>
      <c r="M53" s="512"/>
      <c r="N53" s="512"/>
      <c r="O53" s="512"/>
      <c r="P53" s="512"/>
      <c r="Q53" s="513"/>
    </row>
    <row r="54" spans="1:17" x14ac:dyDescent="0.2">
      <c r="A54" s="507"/>
      <c r="B54" s="661" t="s">
        <v>285</v>
      </c>
      <c r="C54" s="661"/>
      <c r="D54" s="661"/>
      <c r="E54" s="661"/>
      <c r="F54" s="509">
        <f>SUM(F27:F32,F35:F41)</f>
        <v>119.8</v>
      </c>
      <c r="G54" s="498">
        <f>+F54/$F$66</f>
        <v>5.3790004182868775E-3</v>
      </c>
      <c r="H54" s="510">
        <f>+F54/$D$60</f>
        <v>119.8</v>
      </c>
      <c r="I54" s="510"/>
      <c r="J54" s="514"/>
      <c r="K54" s="662" t="s">
        <v>286</v>
      </c>
      <c r="L54" s="663"/>
      <c r="M54" s="663"/>
      <c r="N54" s="663"/>
      <c r="O54" s="515">
        <f>+F55</f>
        <v>20629.599999999999</v>
      </c>
      <c r="P54" s="515"/>
      <c r="Q54" s="516"/>
    </row>
    <row r="55" spans="1:17" x14ac:dyDescent="0.2">
      <c r="A55" s="507"/>
      <c r="B55" s="661" t="s">
        <v>287</v>
      </c>
      <c r="C55" s="661"/>
      <c r="D55" s="661"/>
      <c r="E55" s="661"/>
      <c r="F55" s="509">
        <f>+F53+F54</f>
        <v>20629.599999999999</v>
      </c>
      <c r="G55" s="498">
        <f>+F55/$F$66</f>
        <v>0.92626566802246213</v>
      </c>
      <c r="H55" s="510">
        <f>+F55/$D$60</f>
        <v>20629.599999999999</v>
      </c>
      <c r="I55" s="510"/>
      <c r="J55" s="517"/>
      <c r="K55" s="518"/>
      <c r="M55" s="519" t="s">
        <v>288</v>
      </c>
      <c r="N55" s="520"/>
      <c r="O55" s="515">
        <f>+H56</f>
        <v>1692.95</v>
      </c>
      <c r="P55" s="515"/>
      <c r="Q55" s="516"/>
    </row>
    <row r="56" spans="1:17" ht="13.5" thickBot="1" x14ac:dyDescent="0.25">
      <c r="A56" s="507"/>
      <c r="B56" s="508"/>
      <c r="C56" s="661" t="s">
        <v>289</v>
      </c>
      <c r="D56" s="661"/>
      <c r="E56" s="661"/>
      <c r="F56" s="509">
        <f>SUM(F44:F51)</f>
        <v>1692.95</v>
      </c>
      <c r="G56" s="498">
        <f>+F56/$F$66</f>
        <v>7.6013178281625793E-2</v>
      </c>
      <c r="H56" s="510">
        <f>+F56/$D$60</f>
        <v>1692.95</v>
      </c>
      <c r="I56" s="510"/>
      <c r="J56" s="517"/>
      <c r="K56" s="518"/>
      <c r="L56" s="518"/>
      <c r="M56" s="518" t="s">
        <v>290</v>
      </c>
      <c r="N56" s="521"/>
      <c r="O56" s="515">
        <f>O54*N56</f>
        <v>0</v>
      </c>
      <c r="P56" s="515"/>
      <c r="Q56" s="516"/>
    </row>
    <row r="57" spans="1:17" ht="13.5" thickBot="1" x14ac:dyDescent="0.25">
      <c r="A57" s="507"/>
      <c r="B57" s="522"/>
      <c r="C57" s="522"/>
      <c r="D57" s="522"/>
      <c r="E57" s="522"/>
      <c r="F57" s="523"/>
      <c r="G57" s="498"/>
      <c r="H57" s="524"/>
      <c r="I57" s="510"/>
      <c r="J57" s="517"/>
      <c r="K57" s="525"/>
      <c r="M57" s="526" t="s">
        <v>291</v>
      </c>
      <c r="N57" s="527"/>
      <c r="O57" s="528">
        <f>SUM(O54:O56)</f>
        <v>22322.55</v>
      </c>
      <c r="P57" s="529"/>
      <c r="Q57" s="516"/>
    </row>
    <row r="58" spans="1:17" x14ac:dyDescent="0.2">
      <c r="B58" s="664" t="s">
        <v>292</v>
      </c>
      <c r="C58" s="664"/>
      <c r="D58" s="530">
        <v>10780</v>
      </c>
      <c r="E58" s="531"/>
      <c r="G58" s="498"/>
      <c r="H58" s="524">
        <f>+H56/77</f>
        <v>21.986363636363638</v>
      </c>
      <c r="I58" s="532"/>
      <c r="J58" s="517"/>
      <c r="K58" s="525"/>
      <c r="L58" s="518"/>
      <c r="M58" s="518" t="s">
        <v>293</v>
      </c>
      <c r="N58" s="533"/>
      <c r="O58" s="515">
        <f>+H59</f>
        <v>1824.8681818181819</v>
      </c>
      <c r="P58" s="515"/>
      <c r="Q58" s="516"/>
    </row>
    <row r="59" spans="1:17" x14ac:dyDescent="0.2">
      <c r="B59" s="664" t="s">
        <v>294</v>
      </c>
      <c r="C59" s="664"/>
      <c r="D59" s="534">
        <v>10780</v>
      </c>
      <c r="E59" s="531"/>
      <c r="G59" s="498"/>
      <c r="H59" s="524">
        <f>+H58*83</f>
        <v>1824.8681818181819</v>
      </c>
      <c r="I59" s="532"/>
      <c r="J59" s="517"/>
      <c r="K59" s="525"/>
      <c r="L59" s="518"/>
      <c r="M59" s="665" t="s">
        <v>291</v>
      </c>
      <c r="N59" s="665"/>
      <c r="O59" s="515">
        <f>SUM(O57:O58)</f>
        <v>24147.418181818182</v>
      </c>
      <c r="P59" s="515"/>
      <c r="Q59" s="516"/>
    </row>
    <row r="60" spans="1:17" ht="13.5" thickBot="1" x14ac:dyDescent="0.25">
      <c r="B60" s="656" t="s">
        <v>295</v>
      </c>
      <c r="C60" s="656"/>
      <c r="D60" s="530">
        <f>+D58/D59</f>
        <v>1</v>
      </c>
      <c r="E60" s="531"/>
      <c r="F60" s="535"/>
      <c r="G60" s="498"/>
      <c r="H60" s="524"/>
      <c r="I60" s="532"/>
      <c r="J60" s="517"/>
      <c r="K60" s="525"/>
      <c r="L60" s="665"/>
      <c r="M60" s="665"/>
      <c r="N60" s="533"/>
      <c r="O60" s="515">
        <f>+O59*N60</f>
        <v>0</v>
      </c>
      <c r="P60" s="515"/>
      <c r="Q60" s="516"/>
    </row>
    <row r="61" spans="1:17" ht="13.5" thickBot="1" x14ac:dyDescent="0.25">
      <c r="B61" s="656" t="s">
        <v>296</v>
      </c>
      <c r="C61" s="656"/>
      <c r="D61" s="536"/>
      <c r="E61" s="531"/>
      <c r="F61" s="535"/>
      <c r="G61" s="498"/>
      <c r="H61" s="524"/>
      <c r="I61" s="532"/>
      <c r="J61" s="517"/>
      <c r="K61" s="657" t="s">
        <v>297</v>
      </c>
      <c r="L61" s="658"/>
      <c r="M61" s="658"/>
      <c r="N61" s="659"/>
      <c r="O61" s="528">
        <f>SUM(O59:O60)</f>
        <v>24147.418181818182</v>
      </c>
      <c r="P61" s="537" t="s">
        <v>298</v>
      </c>
      <c r="Q61" s="516"/>
    </row>
    <row r="62" spans="1:17" ht="13.5" thickBot="1" x14ac:dyDescent="0.25">
      <c r="C62" s="507" t="s">
        <v>299</v>
      </c>
      <c r="D62" s="538"/>
      <c r="E62" s="481" t="s">
        <v>300</v>
      </c>
      <c r="F62" s="539" t="s">
        <v>301</v>
      </c>
      <c r="G62" s="498"/>
      <c r="H62" s="524"/>
      <c r="I62" s="532"/>
      <c r="J62" s="540"/>
      <c r="K62" s="541"/>
      <c r="L62" s="645" t="s">
        <v>302</v>
      </c>
      <c r="M62" s="645"/>
      <c r="N62" s="645"/>
      <c r="O62" s="542">
        <f>+O61/D60</f>
        <v>24147.418181818182</v>
      </c>
      <c r="P62" s="543">
        <f>+O62/D59</f>
        <v>2.2400202395007591</v>
      </c>
      <c r="Q62" s="544"/>
    </row>
    <row r="63" spans="1:17" ht="13.5" thickBot="1" x14ac:dyDescent="0.25">
      <c r="B63" s="646" t="s">
        <v>287</v>
      </c>
      <c r="C63" s="646"/>
      <c r="D63" s="646"/>
      <c r="E63" s="545">
        <f>+F63/F63</f>
        <v>1</v>
      </c>
      <c r="F63" s="546">
        <f>SUM(F55)</f>
        <v>20629.599999999999</v>
      </c>
      <c r="G63" s="498">
        <f>+F63/$F$66</f>
        <v>0.92626566802246213</v>
      </c>
      <c r="H63" s="524"/>
      <c r="I63" s="532"/>
      <c r="K63" s="647"/>
      <c r="L63" s="648"/>
      <c r="M63" s="648"/>
      <c r="N63" s="648"/>
      <c r="O63" s="547"/>
      <c r="P63" s="548"/>
    </row>
    <row r="64" spans="1:17" ht="13.5" thickBot="1" x14ac:dyDescent="0.25">
      <c r="B64" s="649" t="s">
        <v>303</v>
      </c>
      <c r="C64" s="649"/>
      <c r="D64" s="649"/>
      <c r="E64" s="549">
        <v>0.02</v>
      </c>
      <c r="F64" s="546">
        <f>+F53*E64</f>
        <v>410.19599999999997</v>
      </c>
      <c r="G64" s="498">
        <f>+F64/$F$66</f>
        <v>1.8417733352083503E-2</v>
      </c>
      <c r="H64" s="510"/>
      <c r="I64" s="532"/>
      <c r="J64" s="550"/>
      <c r="O64" s="551"/>
      <c r="P64" s="508"/>
    </row>
    <row r="65" spans="2:13" ht="13.5" thickBot="1" x14ac:dyDescent="0.25">
      <c r="B65" s="650" t="s">
        <v>304</v>
      </c>
      <c r="C65" s="651"/>
      <c r="D65" s="552">
        <v>16</v>
      </c>
      <c r="E65" s="553">
        <v>77</v>
      </c>
      <c r="F65" s="546">
        <f>+E65*D65</f>
        <v>1232</v>
      </c>
      <c r="G65" s="498">
        <f>+F65/$F$66</f>
        <v>5.531659862545437E-2</v>
      </c>
      <c r="H65" s="510"/>
      <c r="I65" s="510"/>
      <c r="J65" s="500"/>
    </row>
    <row r="66" spans="2:13" ht="13.5" thickBot="1" x14ac:dyDescent="0.25">
      <c r="B66" s="652" t="s">
        <v>305</v>
      </c>
      <c r="C66" s="653"/>
      <c r="D66" s="653"/>
      <c r="E66" s="654"/>
      <c r="F66" s="523">
        <f>SUM(F63:F65)</f>
        <v>22271.795999999998</v>
      </c>
      <c r="G66" s="498">
        <f>+F66/$F$66</f>
        <v>1</v>
      </c>
      <c r="H66" s="655"/>
      <c r="I66" s="510"/>
      <c r="J66" s="500"/>
      <c r="M66" s="483" t="s">
        <v>306</v>
      </c>
    </row>
    <row r="67" spans="2:13" x14ac:dyDescent="0.2">
      <c r="C67" s="505"/>
      <c r="D67" s="505"/>
      <c r="E67" s="555"/>
      <c r="F67" s="546"/>
      <c r="G67" s="498"/>
      <c r="H67" s="655"/>
      <c r="I67" s="554"/>
      <c r="J67" s="483"/>
      <c r="M67" s="483" t="s">
        <v>307</v>
      </c>
    </row>
    <row r="68" spans="2:13" ht="13.5" thickBot="1" x14ac:dyDescent="0.25">
      <c r="B68" s="640" t="s">
        <v>308</v>
      </c>
      <c r="C68" s="640"/>
      <c r="D68" s="640"/>
      <c r="E68" s="640"/>
      <c r="F68" s="640"/>
      <c r="G68" s="498"/>
      <c r="H68" s="557"/>
      <c r="I68" s="554"/>
      <c r="J68" s="483"/>
      <c r="M68" s="483" t="s">
        <v>309</v>
      </c>
    </row>
    <row r="69" spans="2:13" ht="13.5" thickBot="1" x14ac:dyDescent="0.25">
      <c r="B69" s="558" t="s">
        <v>310</v>
      </c>
      <c r="C69" s="559">
        <f>+F53</f>
        <v>20509.8</v>
      </c>
      <c r="D69" s="559">
        <f>+D58</f>
        <v>10780</v>
      </c>
      <c r="E69" s="560">
        <f>+C69/D69</f>
        <v>1.9025788497217069</v>
      </c>
      <c r="F69" s="498"/>
      <c r="G69" s="575">
        <f>1.9*20%</f>
        <v>0.38</v>
      </c>
      <c r="H69" s="500"/>
      <c r="I69" s="557"/>
      <c r="J69" s="483"/>
    </row>
    <row r="70" spans="2:13" x14ac:dyDescent="0.2">
      <c r="B70" s="561"/>
      <c r="C70" s="562"/>
      <c r="D70" s="563"/>
      <c r="E70" s="546"/>
      <c r="F70" s="498"/>
      <c r="G70" s="575">
        <f>1.9+0.38</f>
        <v>2.2799999999999998</v>
      </c>
      <c r="H70" s="500"/>
      <c r="I70" s="500"/>
      <c r="J70" s="483"/>
    </row>
    <row r="71" spans="2:13" x14ac:dyDescent="0.2">
      <c r="B71" s="558" t="s">
        <v>311</v>
      </c>
      <c r="C71" s="559">
        <f>SUM(F63:F64)</f>
        <v>21039.795999999998</v>
      </c>
      <c r="D71" s="559">
        <f>+D58</f>
        <v>10780</v>
      </c>
      <c r="E71" s="564">
        <f>+C71/D71</f>
        <v>1.9517435992578849</v>
      </c>
      <c r="F71" s="498"/>
      <c r="G71" s="557"/>
      <c r="H71" s="500"/>
      <c r="I71" s="500"/>
      <c r="J71" s="483"/>
    </row>
    <row r="72" spans="2:13" x14ac:dyDescent="0.2">
      <c r="B72" s="558"/>
      <c r="C72" s="559"/>
      <c r="D72" s="559"/>
      <c r="E72" s="564"/>
      <c r="F72" s="498"/>
      <c r="G72" s="557"/>
      <c r="H72" s="500"/>
      <c r="I72" s="500"/>
      <c r="J72" s="483"/>
    </row>
    <row r="73" spans="2:13" ht="13.5" thickBot="1" x14ac:dyDescent="0.25">
      <c r="B73" s="558" t="s">
        <v>312</v>
      </c>
      <c r="C73" s="559">
        <f>+F65</f>
        <v>1232</v>
      </c>
      <c r="D73" s="559">
        <f>+D58</f>
        <v>10780</v>
      </c>
      <c r="E73" s="564">
        <f>+C73/D73</f>
        <v>0.11428571428571428</v>
      </c>
      <c r="F73" s="498"/>
      <c r="G73" s="557"/>
      <c r="H73" s="500"/>
      <c r="I73" s="500"/>
      <c r="J73" s="483"/>
    </row>
    <row r="74" spans="2:13" ht="13.5" thickBot="1" x14ac:dyDescent="0.25">
      <c r="B74" s="558" t="s">
        <v>313</v>
      </c>
      <c r="C74" s="559">
        <f>+F56</f>
        <v>1692.95</v>
      </c>
      <c r="D74" s="559">
        <f>+D73</f>
        <v>10780</v>
      </c>
      <c r="E74" s="560">
        <f>+C74/D74</f>
        <v>0.15704545454545454</v>
      </c>
      <c r="F74" s="498"/>
      <c r="G74" s="557"/>
      <c r="H74" s="500"/>
      <c r="I74" s="500"/>
      <c r="J74" s="483"/>
    </row>
    <row r="75" spans="2:13" ht="13.5" thickBot="1" x14ac:dyDescent="0.25">
      <c r="B75" s="522"/>
      <c r="C75" s="523"/>
      <c r="D75" s="523"/>
      <c r="E75" s="564"/>
      <c r="F75" s="498"/>
      <c r="G75" s="557"/>
      <c r="H75" s="500"/>
      <c r="I75" s="500"/>
      <c r="J75" s="483"/>
    </row>
    <row r="76" spans="2:13" ht="13.5" thickBot="1" x14ac:dyDescent="0.25">
      <c r="B76" s="558" t="s">
        <v>314</v>
      </c>
      <c r="C76" s="559">
        <f>+F54</f>
        <v>119.8</v>
      </c>
      <c r="D76" s="559">
        <f>+D74</f>
        <v>10780</v>
      </c>
      <c r="E76" s="560">
        <f>+C76/D76</f>
        <v>1.111317254174397E-2</v>
      </c>
      <c r="F76" s="498"/>
      <c r="G76" s="557"/>
      <c r="H76" s="500"/>
      <c r="I76" s="500"/>
      <c r="J76" s="500"/>
    </row>
    <row r="77" spans="2:13" ht="13.5" thickBot="1" x14ac:dyDescent="0.25">
      <c r="B77" s="522"/>
      <c r="C77" s="523"/>
      <c r="D77" s="523"/>
      <c r="E77" s="564"/>
      <c r="F77" s="498"/>
      <c r="G77" s="557"/>
      <c r="H77" s="500"/>
      <c r="I77" s="500"/>
    </row>
    <row r="78" spans="2:13" ht="13.5" thickBot="1" x14ac:dyDescent="0.25">
      <c r="B78" s="641" t="s">
        <v>315</v>
      </c>
      <c r="C78" s="642"/>
      <c r="D78" s="643"/>
      <c r="E78" s="560">
        <f>+E69+E74</f>
        <v>2.0596243042671616</v>
      </c>
      <c r="G78" s="498"/>
      <c r="H78" s="557"/>
      <c r="I78" s="500"/>
      <c r="J78" s="564"/>
    </row>
    <row r="79" spans="2:13" x14ac:dyDescent="0.2">
      <c r="I79" s="557"/>
      <c r="J79" s="483"/>
    </row>
    <row r="80" spans="2:13" ht="13.5" thickBot="1" x14ac:dyDescent="0.25">
      <c r="B80" s="640" t="s">
        <v>316</v>
      </c>
      <c r="C80" s="640"/>
      <c r="D80" s="640"/>
      <c r="E80" s="640"/>
      <c r="F80" s="640"/>
      <c r="G80" s="498"/>
      <c r="H80" s="557"/>
      <c r="J80" s="483"/>
    </row>
    <row r="81" spans="1:10" ht="13.5" thickBot="1" x14ac:dyDescent="0.25">
      <c r="B81" s="558" t="s">
        <v>310</v>
      </c>
      <c r="C81" s="559">
        <f>+C69</f>
        <v>20509.8</v>
      </c>
      <c r="D81" s="559">
        <f>+D60</f>
        <v>1</v>
      </c>
      <c r="E81" s="560">
        <f>+C81/D81</f>
        <v>20509.8</v>
      </c>
      <c r="F81" s="498"/>
      <c r="G81" s="557"/>
      <c r="H81" s="500"/>
      <c r="I81" s="557"/>
      <c r="J81" s="483"/>
    </row>
    <row r="82" spans="1:10" x14ac:dyDescent="0.2">
      <c r="B82" s="561"/>
      <c r="C82" s="562"/>
      <c r="D82" s="563"/>
      <c r="E82" s="546"/>
      <c r="F82" s="498"/>
      <c r="G82" s="557"/>
      <c r="H82" s="500"/>
      <c r="I82" s="500"/>
      <c r="J82" s="483"/>
    </row>
    <row r="83" spans="1:10" x14ac:dyDescent="0.2">
      <c r="B83" s="558" t="s">
        <v>311</v>
      </c>
      <c r="C83" s="559">
        <f>+C71</f>
        <v>21039.795999999998</v>
      </c>
      <c r="D83" s="559">
        <f>+D60</f>
        <v>1</v>
      </c>
      <c r="E83" s="564">
        <f>+C83/D83</f>
        <v>21039.795999999998</v>
      </c>
      <c r="F83" s="498"/>
      <c r="G83" s="557"/>
      <c r="H83" s="500"/>
      <c r="I83" s="500"/>
      <c r="J83" s="483"/>
    </row>
    <row r="84" spans="1:10" x14ac:dyDescent="0.2">
      <c r="B84" s="558"/>
      <c r="C84" s="559"/>
      <c r="D84" s="559"/>
      <c r="E84" s="564"/>
      <c r="F84" s="498"/>
      <c r="G84" s="557"/>
      <c r="H84" s="500"/>
      <c r="I84" s="500"/>
      <c r="J84" s="483"/>
    </row>
    <row r="85" spans="1:10" ht="13.5" thickBot="1" x14ac:dyDescent="0.25">
      <c r="B85" s="558" t="s">
        <v>313</v>
      </c>
      <c r="C85" s="559">
        <f>+C73</f>
        <v>1232</v>
      </c>
      <c r="D85" s="559">
        <f>+D60</f>
        <v>1</v>
      </c>
      <c r="E85" s="564">
        <f>+C85/D85</f>
        <v>1232</v>
      </c>
      <c r="F85" s="566"/>
      <c r="G85" s="556"/>
      <c r="H85" s="482"/>
      <c r="I85" s="500"/>
    </row>
    <row r="86" spans="1:10" ht="13.5" thickBot="1" x14ac:dyDescent="0.25">
      <c r="B86" s="558" t="s">
        <v>313</v>
      </c>
      <c r="C86" s="559">
        <f>+C74</f>
        <v>1692.95</v>
      </c>
      <c r="D86" s="559">
        <f>+D85</f>
        <v>1</v>
      </c>
      <c r="E86" s="560">
        <f>+C86/D86</f>
        <v>1692.95</v>
      </c>
      <c r="F86" s="565"/>
      <c r="G86" s="556"/>
      <c r="H86" s="482"/>
      <c r="I86" s="482"/>
    </row>
    <row r="87" spans="1:10" x14ac:dyDescent="0.2">
      <c r="I87" s="482"/>
    </row>
    <row r="88" spans="1:10" x14ac:dyDescent="0.2">
      <c r="A88" s="644"/>
      <c r="B88" s="644"/>
      <c r="C88" s="567"/>
      <c r="D88" s="567"/>
      <c r="E88" s="568"/>
      <c r="G88" s="569"/>
    </row>
    <row r="89" spans="1:10" x14ac:dyDescent="0.2">
      <c r="A89" s="501"/>
      <c r="B89" s="570"/>
      <c r="C89" s="571"/>
      <c r="D89" s="571"/>
      <c r="E89" s="572"/>
      <c r="G89" s="569"/>
    </row>
    <row r="90" spans="1:10" x14ac:dyDescent="0.2">
      <c r="A90" s="501"/>
      <c r="B90" s="570"/>
      <c r="C90" s="573"/>
      <c r="D90" s="573"/>
      <c r="E90" s="501"/>
      <c r="G90" s="569"/>
    </row>
    <row r="91" spans="1:10" x14ac:dyDescent="0.2">
      <c r="A91" s="501"/>
      <c r="B91" s="570"/>
      <c r="C91" s="574"/>
      <c r="D91" s="574"/>
      <c r="E91" s="501"/>
      <c r="G91" s="569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B1DB-848E-4D70-8843-224455B2F508}">
  <dimension ref="A1:I64"/>
  <sheetViews>
    <sheetView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710"/>
      <c r="B1" s="711"/>
      <c r="C1" s="716" t="s">
        <v>0</v>
      </c>
      <c r="D1" s="716"/>
      <c r="E1" s="716"/>
      <c r="F1" s="716"/>
      <c r="G1" s="716"/>
      <c r="H1" s="95" t="s">
        <v>1</v>
      </c>
      <c r="I1" s="96" t="s">
        <v>158</v>
      </c>
    </row>
    <row r="2" spans="1:9" ht="16.5" thickBot="1" x14ac:dyDescent="0.3">
      <c r="A2" s="712"/>
      <c r="B2" s="713"/>
      <c r="C2" s="730" t="s">
        <v>2</v>
      </c>
      <c r="D2" s="730"/>
      <c r="E2" s="730"/>
      <c r="F2" s="730"/>
      <c r="G2" s="730"/>
      <c r="H2" s="97" t="s">
        <v>3</v>
      </c>
      <c r="I2" s="98" t="s">
        <v>98</v>
      </c>
    </row>
    <row r="3" spans="1:9" ht="15.95" customHeight="1" thickBot="1" x14ac:dyDescent="0.25">
      <c r="A3" s="712"/>
      <c r="B3" s="713"/>
      <c r="C3" s="731" t="s">
        <v>159</v>
      </c>
      <c r="D3" s="732"/>
      <c r="E3" s="732"/>
      <c r="F3" s="732"/>
      <c r="G3" s="733"/>
      <c r="H3" s="723" t="s">
        <v>4</v>
      </c>
      <c r="I3" s="701">
        <v>45609</v>
      </c>
    </row>
    <row r="4" spans="1:9" ht="13.5" x14ac:dyDescent="0.25">
      <c r="A4" s="712"/>
      <c r="B4" s="713"/>
      <c r="C4" s="99" t="s">
        <v>5</v>
      </c>
      <c r="D4" s="704" t="s">
        <v>31</v>
      </c>
      <c r="E4" s="705"/>
      <c r="F4" s="705"/>
      <c r="G4" s="706"/>
      <c r="H4" s="724"/>
      <c r="I4" s="702"/>
    </row>
    <row r="5" spans="1:9" ht="14.25" thickBot="1" x14ac:dyDescent="0.3">
      <c r="A5" s="714"/>
      <c r="B5" s="715"/>
      <c r="C5" s="100" t="s">
        <v>6</v>
      </c>
      <c r="D5" s="707" t="s">
        <v>32</v>
      </c>
      <c r="E5" s="708"/>
      <c r="F5" s="708"/>
      <c r="G5" s="709"/>
      <c r="H5" s="725"/>
      <c r="I5" s="703"/>
    </row>
    <row r="6" spans="1:9" ht="18.75" thickBot="1" x14ac:dyDescent="0.3">
      <c r="A6" s="607" t="s">
        <v>33</v>
      </c>
      <c r="B6" s="607"/>
      <c r="C6" s="607"/>
      <c r="D6" s="608" t="s">
        <v>55</v>
      </c>
      <c r="E6" s="608"/>
      <c r="F6" s="608"/>
      <c r="G6" s="609" t="s">
        <v>34</v>
      </c>
      <c r="H6" s="609"/>
      <c r="I6" s="18" t="s">
        <v>55</v>
      </c>
    </row>
    <row r="7" spans="1:9" x14ac:dyDescent="0.2">
      <c r="A7" s="610" t="s">
        <v>7</v>
      </c>
      <c r="B7" s="612" t="s">
        <v>35</v>
      </c>
      <c r="C7" s="614" t="s">
        <v>8</v>
      </c>
      <c r="D7" s="614" t="s">
        <v>9</v>
      </c>
      <c r="E7" s="614" t="s">
        <v>10</v>
      </c>
      <c r="F7" s="614"/>
      <c r="G7" s="614" t="s">
        <v>11</v>
      </c>
      <c r="H7" s="614"/>
      <c r="I7" s="19" t="s">
        <v>12</v>
      </c>
    </row>
    <row r="8" spans="1:9" ht="26.25" thickBot="1" x14ac:dyDescent="0.25">
      <c r="A8" s="611"/>
      <c r="B8" s="613"/>
      <c r="C8" s="615"/>
      <c r="D8" s="61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5" x14ac:dyDescent="0.25">
      <c r="A9" s="23"/>
      <c r="B9" s="24"/>
      <c r="C9" s="25" t="s">
        <v>36</v>
      </c>
      <c r="D9" s="26"/>
      <c r="E9" s="27"/>
      <c r="F9" s="28"/>
      <c r="G9" s="27"/>
      <c r="H9" s="28"/>
      <c r="I9" s="29"/>
    </row>
    <row r="10" spans="1:9" ht="15.95" customHeight="1" x14ac:dyDescent="0.25">
      <c r="A10" s="168">
        <v>90100409</v>
      </c>
      <c r="B10" s="169" t="s">
        <v>160</v>
      </c>
      <c r="C10" s="170" t="s">
        <v>161</v>
      </c>
      <c r="D10" s="171" t="s">
        <v>41</v>
      </c>
      <c r="E10" s="172">
        <v>43</v>
      </c>
      <c r="F10" s="35" t="s">
        <v>162</v>
      </c>
      <c r="G10" s="172">
        <f>+E10*395</f>
        <v>16985</v>
      </c>
      <c r="H10" s="173" t="s">
        <v>163</v>
      </c>
      <c r="I10" s="29"/>
    </row>
    <row r="11" spans="1:9" ht="15" x14ac:dyDescent="0.25">
      <c r="A11" s="174"/>
      <c r="B11" s="175"/>
      <c r="C11" s="176"/>
      <c r="D11" s="177"/>
      <c r="E11" s="178"/>
      <c r="F11" s="178"/>
      <c r="G11" s="179"/>
      <c r="H11" s="180"/>
      <c r="I11" s="29"/>
    </row>
    <row r="12" spans="1:9" ht="15" x14ac:dyDescent="0.25">
      <c r="A12" s="174"/>
      <c r="B12" s="175"/>
      <c r="C12" s="176"/>
      <c r="D12" s="177"/>
      <c r="E12" s="178"/>
      <c r="F12" s="178"/>
      <c r="G12" s="179"/>
      <c r="H12" s="180"/>
      <c r="I12" s="29"/>
    </row>
    <row r="13" spans="1:9" ht="15" x14ac:dyDescent="0.25">
      <c r="A13" s="174"/>
      <c r="B13" s="175"/>
      <c r="C13" s="176"/>
      <c r="D13" s="177"/>
      <c r="E13" s="178"/>
      <c r="F13" s="181"/>
      <c r="G13" s="179"/>
      <c r="H13" s="180"/>
      <c r="I13" s="29"/>
    </row>
    <row r="14" spans="1:9" ht="15" x14ac:dyDescent="0.25">
      <c r="A14" s="174"/>
      <c r="B14" s="175"/>
      <c r="C14" s="176"/>
      <c r="D14" s="177"/>
      <c r="E14" s="182"/>
      <c r="F14" s="181"/>
      <c r="G14" s="179"/>
      <c r="H14" s="180"/>
      <c r="I14" s="29"/>
    </row>
    <row r="15" spans="1:9" ht="15" x14ac:dyDescent="0.25">
      <c r="A15" s="174"/>
      <c r="B15" s="175"/>
      <c r="C15" s="176"/>
      <c r="D15" s="177"/>
      <c r="E15" s="182"/>
      <c r="F15" s="181"/>
      <c r="G15" s="179"/>
      <c r="H15" s="180"/>
      <c r="I15" s="29"/>
    </row>
    <row r="16" spans="1:9" ht="15" x14ac:dyDescent="0.25">
      <c r="A16" s="174"/>
      <c r="B16" s="175"/>
      <c r="C16" s="176"/>
      <c r="D16" s="177"/>
      <c r="E16" s="178"/>
      <c r="F16" s="178"/>
      <c r="G16" s="179"/>
      <c r="H16" s="180"/>
      <c r="I16" s="29"/>
    </row>
    <row r="17" spans="1:9" ht="15" x14ac:dyDescent="0.25">
      <c r="A17" s="174"/>
      <c r="B17" s="183"/>
      <c r="C17" s="184"/>
      <c r="D17" s="177"/>
      <c r="E17" s="178"/>
      <c r="F17" s="178"/>
      <c r="G17" s="179"/>
      <c r="H17" s="180"/>
      <c r="I17" s="29"/>
    </row>
    <row r="18" spans="1:9" ht="15" x14ac:dyDescent="0.25">
      <c r="A18" s="185"/>
      <c r="B18" s="186"/>
      <c r="C18" s="187"/>
      <c r="D18" s="177"/>
      <c r="E18" s="182"/>
      <c r="F18" s="181"/>
      <c r="G18" s="179"/>
      <c r="H18" s="180"/>
      <c r="I18" s="29"/>
    </row>
    <row r="19" spans="1:9" ht="15" x14ac:dyDescent="0.25">
      <c r="A19" s="185"/>
      <c r="B19" s="186"/>
      <c r="C19" s="188"/>
      <c r="D19" s="177"/>
      <c r="E19" s="182"/>
      <c r="F19" s="181"/>
      <c r="G19" s="179"/>
      <c r="H19" s="180"/>
      <c r="I19" s="29"/>
    </row>
    <row r="20" spans="1:9" ht="15" x14ac:dyDescent="0.25">
      <c r="A20" s="185"/>
      <c r="B20" s="186"/>
      <c r="C20" s="188"/>
      <c r="D20" s="177"/>
      <c r="E20" s="182"/>
      <c r="F20" s="181"/>
      <c r="G20" s="179"/>
      <c r="H20" s="180"/>
      <c r="I20" s="29"/>
    </row>
    <row r="21" spans="1:9" ht="15" x14ac:dyDescent="0.25">
      <c r="A21" s="185"/>
      <c r="B21" s="186"/>
      <c r="C21" s="187"/>
      <c r="D21" s="177"/>
      <c r="E21" s="189"/>
      <c r="F21" s="189"/>
      <c r="G21" s="179"/>
      <c r="H21" s="180"/>
      <c r="I21" s="29"/>
    </row>
    <row r="22" spans="1:9" ht="15" x14ac:dyDescent="0.25">
      <c r="A22" s="190"/>
      <c r="B22" s="191"/>
      <c r="C22" s="192"/>
      <c r="D22" s="193"/>
      <c r="E22" s="194"/>
      <c r="F22" s="194"/>
      <c r="G22" s="195"/>
      <c r="H22" s="180"/>
      <c r="I22" s="29"/>
    </row>
    <row r="23" spans="1:9" ht="15" x14ac:dyDescent="0.25">
      <c r="A23" s="190"/>
      <c r="B23" s="191"/>
      <c r="C23" s="192"/>
      <c r="D23" s="193"/>
      <c r="E23" s="194"/>
      <c r="F23" s="194"/>
      <c r="G23" s="195"/>
      <c r="H23" s="180"/>
      <c r="I23" s="29"/>
    </row>
    <row r="24" spans="1:9" ht="15" x14ac:dyDescent="0.25">
      <c r="A24" s="190"/>
      <c r="B24" s="191"/>
      <c r="C24" s="192"/>
      <c r="D24" s="193"/>
      <c r="E24" s="194"/>
      <c r="F24" s="194"/>
      <c r="G24" s="195"/>
      <c r="H24" s="180"/>
      <c r="I24" s="29"/>
    </row>
    <row r="25" spans="1:9" ht="15.75" x14ac:dyDescent="0.25">
      <c r="A25" s="14"/>
      <c r="B25" s="14"/>
      <c r="D25" s="33"/>
      <c r="E25" s="196"/>
      <c r="F25" s="196"/>
      <c r="G25" s="27"/>
      <c r="H25" s="180"/>
      <c r="I25" s="29"/>
    </row>
    <row r="26" spans="1:9" ht="15" x14ac:dyDescent="0.25">
      <c r="A26" s="15"/>
      <c r="B26" s="15"/>
      <c r="C26" s="32"/>
      <c r="D26" s="33"/>
      <c r="E26" s="33"/>
      <c r="F26" s="35"/>
      <c r="G26" s="27"/>
      <c r="H26" s="180"/>
      <c r="I26" s="29"/>
    </row>
    <row r="27" spans="1:9" ht="15.75" x14ac:dyDescent="0.25">
      <c r="A27" s="39"/>
      <c r="B27" s="40"/>
      <c r="C27" s="41" t="s">
        <v>17</v>
      </c>
      <c r="D27" s="34" t="s">
        <v>53</v>
      </c>
      <c r="E27" s="42"/>
      <c r="F27" s="35"/>
      <c r="G27" s="27"/>
      <c r="H27" s="180"/>
      <c r="I27" s="29"/>
    </row>
    <row r="28" spans="1:9" ht="15" x14ac:dyDescent="0.25">
      <c r="A28" s="197"/>
      <c r="B28" s="198"/>
      <c r="C28" s="199"/>
      <c r="D28" s="200" t="s">
        <v>53</v>
      </c>
      <c r="E28" s="33"/>
      <c r="F28" s="35"/>
      <c r="G28" s="27"/>
      <c r="H28" s="180"/>
      <c r="I28" s="29"/>
    </row>
    <row r="29" spans="1:9" ht="15" x14ac:dyDescent="0.25">
      <c r="A29" s="15"/>
      <c r="B29" s="15"/>
      <c r="C29" s="32"/>
      <c r="D29" s="200" t="s">
        <v>53</v>
      </c>
      <c r="E29" s="33"/>
      <c r="F29" s="35"/>
      <c r="G29" s="27"/>
      <c r="H29" s="180"/>
      <c r="I29" s="29"/>
    </row>
    <row r="30" spans="1:9" ht="15" x14ac:dyDescent="0.25">
      <c r="A30" s="201"/>
      <c r="B30" s="201"/>
      <c r="C30" s="199"/>
      <c r="D30" s="200" t="s">
        <v>53</v>
      </c>
      <c r="E30" s="33"/>
      <c r="F30" s="35"/>
      <c r="G30" s="27"/>
      <c r="H30" s="180"/>
      <c r="I30" s="29"/>
    </row>
    <row r="31" spans="1:9" ht="15" x14ac:dyDescent="0.25">
      <c r="A31" s="15"/>
      <c r="B31" s="15"/>
      <c r="C31" s="32"/>
      <c r="D31" s="33" t="s">
        <v>53</v>
      </c>
      <c r="E31" s="34"/>
      <c r="F31" s="35"/>
      <c r="G31" s="27"/>
      <c r="H31" s="180"/>
      <c r="I31" s="29"/>
    </row>
    <row r="32" spans="1:9" ht="15" x14ac:dyDescent="0.25">
      <c r="A32" s="15"/>
      <c r="B32" s="15"/>
      <c r="C32" s="32"/>
      <c r="D32" s="62" t="s">
        <v>53</v>
      </c>
      <c r="E32" s="202"/>
      <c r="F32" s="203"/>
      <c r="G32" s="27"/>
      <c r="H32" s="180"/>
      <c r="I32" s="29"/>
    </row>
    <row r="33" spans="1:9" ht="15.75" x14ac:dyDescent="0.25">
      <c r="A33" s="52"/>
      <c r="B33" s="53"/>
      <c r="C33" s="54" t="s">
        <v>18</v>
      </c>
      <c r="D33" s="55" t="s">
        <v>53</v>
      </c>
      <c r="E33" s="27"/>
      <c r="F33" s="28"/>
      <c r="G33" s="27"/>
      <c r="H33" s="180"/>
      <c r="I33" s="29"/>
    </row>
    <row r="34" spans="1:9" ht="15.75" x14ac:dyDescent="0.25">
      <c r="A34" s="63">
        <v>702123</v>
      </c>
      <c r="B34" s="63" t="s">
        <v>73</v>
      </c>
      <c r="C34" s="63" t="s">
        <v>74</v>
      </c>
      <c r="D34" s="204" t="s">
        <v>94</v>
      </c>
      <c r="E34" s="68">
        <v>4</v>
      </c>
      <c r="F34" s="173" t="s">
        <v>76</v>
      </c>
      <c r="G34" s="179"/>
      <c r="H34" s="180"/>
      <c r="I34" s="29"/>
    </row>
    <row r="35" spans="1:9" ht="15" x14ac:dyDescent="0.25">
      <c r="A35" s="63">
        <v>51600050</v>
      </c>
      <c r="B35" s="63" t="s">
        <v>164</v>
      </c>
      <c r="C35" s="63" t="s">
        <v>165</v>
      </c>
      <c r="D35" s="205"/>
      <c r="E35" s="7">
        <v>4</v>
      </c>
      <c r="F35" s="206" t="s">
        <v>76</v>
      </c>
      <c r="G35" s="207"/>
      <c r="H35" s="180"/>
      <c r="I35" s="29"/>
    </row>
    <row r="36" spans="1:9" ht="15" x14ac:dyDescent="0.25">
      <c r="A36" s="174"/>
      <c r="B36" s="208"/>
      <c r="C36" s="176"/>
      <c r="D36" s="177"/>
      <c r="E36" s="59"/>
      <c r="F36" s="60"/>
      <c r="G36" s="27"/>
      <c r="H36" s="180"/>
      <c r="I36" s="29"/>
    </row>
    <row r="37" spans="1:9" ht="15" x14ac:dyDescent="0.25">
      <c r="A37" s="209"/>
      <c r="B37" s="209"/>
      <c r="C37" s="32"/>
      <c r="D37" s="34"/>
      <c r="E37" s="33"/>
      <c r="F37" s="35"/>
      <c r="G37" s="27"/>
      <c r="H37" s="28"/>
      <c r="I37" s="29"/>
    </row>
    <row r="38" spans="1:9" ht="15" x14ac:dyDescent="0.25">
      <c r="A38" s="210"/>
      <c r="B38" s="211"/>
      <c r="C38" s="212"/>
      <c r="D38" s="34"/>
      <c r="E38" s="33"/>
      <c r="F38" s="35"/>
      <c r="G38" s="27"/>
      <c r="H38" s="28"/>
      <c r="I38" s="29"/>
    </row>
    <row r="39" spans="1:9" ht="15.75" x14ac:dyDescent="0.25">
      <c r="A39" s="210"/>
      <c r="B39" s="211"/>
      <c r="C39" s="212"/>
      <c r="D39" s="70"/>
      <c r="E39" s="33"/>
      <c r="F39" s="35"/>
      <c r="G39" s="65"/>
      <c r="H39" s="34"/>
      <c r="I39" s="29"/>
    </row>
    <row r="40" spans="1:9" ht="15.75" x14ac:dyDescent="0.25">
      <c r="A40" s="39"/>
      <c r="B40" s="40"/>
      <c r="C40" s="69"/>
      <c r="D40" s="70"/>
      <c r="E40" s="33"/>
      <c r="F40" s="35"/>
      <c r="G40" s="33"/>
      <c r="H40" s="34"/>
      <c r="I40" s="29"/>
    </row>
    <row r="41" spans="1:9" ht="15.75" x14ac:dyDescent="0.25">
      <c r="A41" s="39"/>
      <c r="B41" s="40"/>
      <c r="C41" s="69"/>
      <c r="D41" s="70"/>
      <c r="E41" s="33"/>
      <c r="F41" s="35"/>
      <c r="G41" s="68"/>
      <c r="H41" s="35"/>
      <c r="I41" s="29"/>
    </row>
    <row r="42" spans="1:9" ht="15.75" x14ac:dyDescent="0.25">
      <c r="A42" s="39"/>
      <c r="B42" s="40"/>
      <c r="C42" s="69"/>
      <c r="D42" s="34"/>
      <c r="E42" s="34"/>
      <c r="F42" s="35"/>
      <c r="G42" s="70"/>
      <c r="H42" s="70"/>
      <c r="I42" s="29"/>
    </row>
    <row r="43" spans="1:9" ht="14.25" thickBot="1" x14ac:dyDescent="0.3">
      <c r="A43" s="71"/>
      <c r="B43" s="72"/>
      <c r="C43" s="73"/>
      <c r="D43" s="73"/>
      <c r="E43" s="74"/>
      <c r="F43" s="75"/>
      <c r="G43" s="73"/>
      <c r="H43" s="73"/>
      <c r="I43" s="76"/>
    </row>
    <row r="44" spans="1:9" ht="14.25" thickBot="1" x14ac:dyDescent="0.3">
      <c r="A44" s="77"/>
      <c r="B44" s="78"/>
      <c r="C44" s="79"/>
      <c r="D44" s="80" t="s">
        <v>13</v>
      </c>
      <c r="E44" s="81" t="s">
        <v>19</v>
      </c>
      <c r="F44" s="82"/>
      <c r="G44" s="79"/>
      <c r="H44" s="79"/>
      <c r="I44" s="83"/>
    </row>
    <row r="45" spans="1:9" ht="13.5" x14ac:dyDescent="0.25">
      <c r="A45" s="601" t="s">
        <v>20</v>
      </c>
      <c r="B45" s="602"/>
      <c r="C45" s="603"/>
      <c r="D45" s="213">
        <v>16000</v>
      </c>
      <c r="E45" s="214" t="s">
        <v>16</v>
      </c>
      <c r="F45" s="604" t="s">
        <v>21</v>
      </c>
      <c r="G45" s="604"/>
      <c r="H45" s="605"/>
      <c r="I45" s="606"/>
    </row>
    <row r="46" spans="1:9" ht="13.5" x14ac:dyDescent="0.25">
      <c r="A46" s="584" t="s">
        <v>22</v>
      </c>
      <c r="B46" s="585"/>
      <c r="C46" s="586"/>
      <c r="D46" s="215">
        <v>15</v>
      </c>
      <c r="E46" s="216" t="s">
        <v>23</v>
      </c>
      <c r="F46" s="587" t="s">
        <v>24</v>
      </c>
      <c r="G46" s="587"/>
      <c r="H46" s="588"/>
      <c r="I46" s="589"/>
    </row>
    <row r="47" spans="1:9" ht="13.5" x14ac:dyDescent="0.25">
      <c r="A47" s="584" t="s">
        <v>25</v>
      </c>
      <c r="B47" s="585"/>
      <c r="C47" s="586"/>
      <c r="D47" s="216">
        <v>4</v>
      </c>
      <c r="E47" s="216" t="s">
        <v>166</v>
      </c>
      <c r="F47" s="587" t="s">
        <v>26</v>
      </c>
      <c r="G47" s="587"/>
      <c r="H47" s="588"/>
      <c r="I47" s="589"/>
    </row>
    <row r="48" spans="1:9" ht="13.5" x14ac:dyDescent="0.25">
      <c r="A48" s="584" t="s">
        <v>27</v>
      </c>
      <c r="B48" s="585"/>
      <c r="C48" s="586"/>
      <c r="D48" s="216">
        <v>4000</v>
      </c>
      <c r="E48" s="216" t="s">
        <v>16</v>
      </c>
      <c r="F48" s="590" t="s">
        <v>28</v>
      </c>
      <c r="G48" s="591"/>
      <c r="H48" s="588"/>
      <c r="I48" s="589"/>
    </row>
    <row r="49" spans="1:9" ht="14.25" thickBot="1" x14ac:dyDescent="0.3">
      <c r="A49" s="594" t="s">
        <v>29</v>
      </c>
      <c r="B49" s="595"/>
      <c r="C49" s="596"/>
      <c r="D49" s="217">
        <v>985</v>
      </c>
      <c r="E49" s="218" t="s">
        <v>16</v>
      </c>
      <c r="F49" s="597"/>
      <c r="G49" s="597"/>
      <c r="H49" s="737"/>
      <c r="I49" s="738"/>
    </row>
    <row r="50" spans="1:9" ht="13.5" thickBot="1" x14ac:dyDescent="0.25">
      <c r="A50" s="598" t="s">
        <v>30</v>
      </c>
      <c r="B50" s="599"/>
      <c r="C50" s="599"/>
      <c r="D50" s="599"/>
      <c r="E50" s="599"/>
      <c r="F50" s="599"/>
      <c r="G50" s="599"/>
      <c r="H50" s="599"/>
      <c r="I50" s="600"/>
    </row>
    <row r="51" spans="1:9" ht="13.5" x14ac:dyDescent="0.25">
      <c r="A51" s="739" t="s">
        <v>167</v>
      </c>
      <c r="B51" s="740"/>
      <c r="C51" s="741"/>
      <c r="D51" s="741"/>
      <c r="E51" s="741"/>
      <c r="F51" s="741"/>
      <c r="G51" s="741"/>
      <c r="H51" s="741"/>
      <c r="I51" s="742"/>
    </row>
    <row r="52" spans="1:9" ht="13.5" x14ac:dyDescent="0.25">
      <c r="A52" s="739" t="s">
        <v>168</v>
      </c>
      <c r="B52" s="740"/>
      <c r="C52" s="741"/>
      <c r="D52" s="741"/>
      <c r="E52" s="741"/>
      <c r="F52" s="741"/>
      <c r="G52" s="741"/>
      <c r="H52" s="741"/>
      <c r="I52" s="742"/>
    </row>
    <row r="53" spans="1:9" ht="13.5" x14ac:dyDescent="0.25">
      <c r="A53" s="743">
        <f>D46/D45</f>
        <v>9.3749999999999997E-4</v>
      </c>
      <c r="B53" s="744"/>
      <c r="C53" s="744"/>
      <c r="D53" s="744"/>
      <c r="E53" s="744"/>
      <c r="F53" s="744"/>
      <c r="G53" s="744"/>
      <c r="H53" s="744"/>
      <c r="I53" s="745"/>
    </row>
    <row r="54" spans="1:9" ht="13.5" x14ac:dyDescent="0.25">
      <c r="A54" s="746"/>
      <c r="B54" s="747"/>
      <c r="C54" s="748"/>
      <c r="D54" s="748"/>
      <c r="E54" s="748"/>
      <c r="F54" s="748"/>
      <c r="G54" s="748"/>
      <c r="H54" s="748"/>
      <c r="I54" s="749"/>
    </row>
    <row r="55" spans="1:9" ht="15" x14ac:dyDescent="0.25">
      <c r="A55" s="687"/>
      <c r="B55" s="688"/>
      <c r="C55" s="688"/>
      <c r="D55" s="688"/>
      <c r="E55" s="688"/>
      <c r="F55" s="688"/>
      <c r="G55" s="688"/>
      <c r="H55" s="688"/>
      <c r="I55" s="689"/>
    </row>
    <row r="56" spans="1:9" ht="15" x14ac:dyDescent="0.25">
      <c r="A56" s="687"/>
      <c r="B56" s="688"/>
      <c r="C56" s="688"/>
      <c r="D56" s="688"/>
      <c r="E56" s="688"/>
      <c r="F56" s="688"/>
      <c r="G56" s="688"/>
      <c r="H56" s="688"/>
      <c r="I56" s="689"/>
    </row>
    <row r="57" spans="1:9" ht="14.25" x14ac:dyDescent="0.2">
      <c r="A57" s="734"/>
      <c r="B57" s="735"/>
      <c r="C57" s="735"/>
      <c r="D57" s="735"/>
      <c r="E57" s="735"/>
      <c r="F57" s="735"/>
      <c r="G57" s="735"/>
      <c r="H57" s="735"/>
      <c r="I57" s="736"/>
    </row>
    <row r="58" spans="1:9" ht="14.25" x14ac:dyDescent="0.2">
      <c r="A58" s="734"/>
      <c r="B58" s="735"/>
      <c r="C58" s="735"/>
      <c r="D58" s="735"/>
      <c r="E58" s="735"/>
      <c r="F58" s="735"/>
      <c r="G58" s="735"/>
      <c r="H58" s="735"/>
      <c r="I58" s="736"/>
    </row>
    <row r="59" spans="1:9" ht="18" customHeight="1" thickBot="1" x14ac:dyDescent="0.25">
      <c r="A59" s="750"/>
      <c r="B59" s="751"/>
      <c r="C59" s="751"/>
      <c r="D59" s="751"/>
      <c r="E59" s="751"/>
      <c r="F59" s="751"/>
      <c r="G59" s="751"/>
      <c r="H59" s="751"/>
      <c r="I59" s="752"/>
    </row>
    <row r="60" spans="1:9" ht="15" x14ac:dyDescent="0.25">
      <c r="A60" s="219"/>
      <c r="B60" s="219"/>
      <c r="C60" s="219"/>
      <c r="D60" s="219"/>
      <c r="E60" s="219"/>
      <c r="F60" s="219"/>
      <c r="G60" s="219"/>
      <c r="H60" s="219"/>
      <c r="I60" s="219"/>
    </row>
    <row r="61" spans="1:9" ht="14.25" thickBot="1" x14ac:dyDescent="0.3">
      <c r="A61" s="753"/>
      <c r="B61" s="754"/>
      <c r="C61" s="754"/>
      <c r="D61" s="754"/>
      <c r="E61" s="754"/>
      <c r="F61" s="754"/>
      <c r="G61" s="754"/>
      <c r="H61" s="754"/>
      <c r="I61" s="755"/>
    </row>
    <row r="62" spans="1:9" x14ac:dyDescent="0.2">
      <c r="A62" s="726" t="s">
        <v>37</v>
      </c>
      <c r="B62" s="727"/>
      <c r="C62" s="727"/>
      <c r="D62" s="727"/>
      <c r="E62" s="727"/>
      <c r="F62" s="727"/>
      <c r="G62" s="727"/>
      <c r="H62" s="727"/>
      <c r="I62" s="727"/>
    </row>
    <row r="63" spans="1:9" ht="13.5" x14ac:dyDescent="0.25">
      <c r="A63" s="728"/>
      <c r="B63" s="729"/>
      <c r="C63" s="729"/>
      <c r="D63" s="729"/>
      <c r="E63" s="729"/>
      <c r="F63" s="729"/>
      <c r="G63" s="729"/>
      <c r="H63" s="729"/>
      <c r="I63" s="729"/>
    </row>
    <row r="64" spans="1:9" ht="13.5" x14ac:dyDescent="0.25">
      <c r="A64" s="728"/>
      <c r="B64" s="729"/>
      <c r="C64" s="729"/>
      <c r="D64" s="729"/>
      <c r="E64" s="729"/>
      <c r="F64" s="729"/>
      <c r="G64" s="729"/>
      <c r="H64" s="729"/>
      <c r="I64" s="729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ABE9-B207-4489-B9BC-E6CCFD0ADAD4}">
  <dimension ref="A1:I64"/>
  <sheetViews>
    <sheetView workbookViewId="0">
      <selection activeCell="D18" sqref="D1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710"/>
      <c r="B1" s="711"/>
      <c r="C1" s="716" t="s">
        <v>0</v>
      </c>
      <c r="D1" s="716"/>
      <c r="E1" s="716"/>
      <c r="F1" s="716"/>
      <c r="G1" s="716"/>
      <c r="H1" s="95" t="s">
        <v>1</v>
      </c>
      <c r="I1" s="220" t="s">
        <v>169</v>
      </c>
    </row>
    <row r="2" spans="1:9" ht="15.75" x14ac:dyDescent="0.25">
      <c r="A2" s="712"/>
      <c r="B2" s="713"/>
      <c r="C2" s="730" t="s">
        <v>2</v>
      </c>
      <c r="D2" s="730"/>
      <c r="E2" s="730"/>
      <c r="F2" s="730"/>
      <c r="G2" s="730"/>
      <c r="H2" s="97" t="s">
        <v>3</v>
      </c>
      <c r="I2" s="98" t="s">
        <v>98</v>
      </c>
    </row>
    <row r="3" spans="1:9" ht="15.75" thickBot="1" x14ac:dyDescent="0.25">
      <c r="A3" s="712"/>
      <c r="B3" s="713"/>
      <c r="C3" s="720" t="s">
        <v>170</v>
      </c>
      <c r="D3" s="721"/>
      <c r="E3" s="721"/>
      <c r="F3" s="721"/>
      <c r="G3" s="722"/>
      <c r="H3" s="723" t="s">
        <v>4</v>
      </c>
      <c r="I3" s="701">
        <v>45609</v>
      </c>
    </row>
    <row r="4" spans="1:9" ht="13.5" x14ac:dyDescent="0.25">
      <c r="A4" s="712"/>
      <c r="B4" s="713"/>
      <c r="C4" s="99" t="s">
        <v>5</v>
      </c>
      <c r="D4" s="704" t="s">
        <v>31</v>
      </c>
      <c r="E4" s="705"/>
      <c r="F4" s="705"/>
      <c r="G4" s="706"/>
      <c r="H4" s="724"/>
      <c r="I4" s="702"/>
    </row>
    <row r="5" spans="1:9" ht="14.25" thickBot="1" x14ac:dyDescent="0.3">
      <c r="A5" s="714"/>
      <c r="B5" s="715"/>
      <c r="C5" s="100" t="s">
        <v>6</v>
      </c>
      <c r="D5" s="707" t="s">
        <v>32</v>
      </c>
      <c r="E5" s="708"/>
      <c r="F5" s="708"/>
      <c r="G5" s="709"/>
      <c r="H5" s="725"/>
      <c r="I5" s="703"/>
    </row>
    <row r="6" spans="1:9" ht="18.75" thickBot="1" x14ac:dyDescent="0.3">
      <c r="A6" s="607" t="s">
        <v>33</v>
      </c>
      <c r="B6" s="607"/>
      <c r="C6" s="607"/>
      <c r="D6" s="608" t="s">
        <v>55</v>
      </c>
      <c r="E6" s="608"/>
      <c r="F6" s="608"/>
      <c r="G6" s="609" t="s">
        <v>34</v>
      </c>
      <c r="H6" s="609"/>
      <c r="I6" s="18" t="s">
        <v>18</v>
      </c>
    </row>
    <row r="7" spans="1:9" x14ac:dyDescent="0.2">
      <c r="A7" s="610" t="s">
        <v>7</v>
      </c>
      <c r="B7" s="612" t="s">
        <v>35</v>
      </c>
      <c r="C7" s="614" t="s">
        <v>8</v>
      </c>
      <c r="D7" s="614" t="s">
        <v>9</v>
      </c>
      <c r="E7" s="614" t="s">
        <v>10</v>
      </c>
      <c r="F7" s="614"/>
      <c r="G7" s="614" t="s">
        <v>11</v>
      </c>
      <c r="H7" s="614"/>
      <c r="I7" s="19" t="s">
        <v>12</v>
      </c>
    </row>
    <row r="8" spans="1:9" ht="26.25" thickBot="1" x14ac:dyDescent="0.25">
      <c r="A8" s="611"/>
      <c r="B8" s="613"/>
      <c r="C8" s="615"/>
      <c r="D8" s="61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5" x14ac:dyDescent="0.25">
      <c r="A9" s="23"/>
      <c r="B9" s="24"/>
      <c r="C9" s="25" t="s">
        <v>36</v>
      </c>
      <c r="D9" s="26"/>
      <c r="E9" s="27"/>
      <c r="F9" s="28"/>
      <c r="G9" s="27"/>
      <c r="H9" s="28"/>
      <c r="I9" s="29"/>
    </row>
    <row r="10" spans="1:9" ht="15" x14ac:dyDescent="0.25">
      <c r="A10" s="221">
        <v>505605</v>
      </c>
      <c r="B10" s="222" t="s">
        <v>171</v>
      </c>
      <c r="C10" s="223" t="s">
        <v>172</v>
      </c>
      <c r="D10" s="224" t="s">
        <v>173</v>
      </c>
      <c r="E10" s="225">
        <v>204</v>
      </c>
      <c r="F10" s="226" t="s">
        <v>76</v>
      </c>
      <c r="G10" s="172"/>
      <c r="H10" s="173"/>
      <c r="I10" s="29"/>
    </row>
    <row r="11" spans="1:9" ht="15" x14ac:dyDescent="0.25">
      <c r="A11" s="216" t="s">
        <v>102</v>
      </c>
      <c r="B11" s="216"/>
      <c r="C11" s="227" t="s">
        <v>68</v>
      </c>
      <c r="D11" s="224" t="s">
        <v>41</v>
      </c>
      <c r="E11" s="225">
        <v>60000</v>
      </c>
      <c r="F11" s="226" t="s">
        <v>16</v>
      </c>
      <c r="G11" s="179"/>
      <c r="H11" s="173"/>
      <c r="I11" s="29"/>
    </row>
    <row r="12" spans="1:9" ht="15" x14ac:dyDescent="0.25">
      <c r="A12" s="228"/>
      <c r="B12" s="228"/>
      <c r="C12" s="229"/>
      <c r="D12" s="224"/>
      <c r="E12" s="225"/>
      <c r="F12" s="226"/>
      <c r="G12" s="179"/>
      <c r="H12" s="173"/>
      <c r="I12" s="29"/>
    </row>
    <row r="13" spans="1:9" ht="15" x14ac:dyDescent="0.25">
      <c r="A13" s="216"/>
      <c r="B13" s="216"/>
      <c r="C13" s="227"/>
      <c r="D13" s="224"/>
      <c r="E13" s="230"/>
      <c r="F13" s="231"/>
      <c r="G13" s="179"/>
      <c r="H13" s="173"/>
      <c r="I13" s="29"/>
    </row>
    <row r="14" spans="1:9" ht="15" x14ac:dyDescent="0.25">
      <c r="A14" s="232"/>
      <c r="B14" s="232"/>
      <c r="C14" s="233"/>
      <c r="D14" s="224"/>
      <c r="E14" s="230"/>
      <c r="F14" s="231"/>
      <c r="G14" s="179"/>
      <c r="H14" s="173"/>
      <c r="I14" s="29"/>
    </row>
    <row r="15" spans="1:9" ht="15" x14ac:dyDescent="0.25">
      <c r="A15" s="216"/>
      <c r="B15" s="216"/>
      <c r="C15" s="227"/>
      <c r="D15" s="224"/>
      <c r="E15" s="225"/>
      <c r="F15" s="226"/>
      <c r="G15" s="179"/>
      <c r="H15" s="173"/>
      <c r="I15" s="29"/>
    </row>
    <row r="16" spans="1:9" ht="15" x14ac:dyDescent="0.25">
      <c r="A16" s="216"/>
      <c r="B16" s="216"/>
      <c r="C16" s="227"/>
      <c r="D16" s="224"/>
      <c r="E16" s="225"/>
      <c r="F16" s="226"/>
      <c r="G16" s="179"/>
      <c r="H16" s="173"/>
      <c r="I16" s="29"/>
    </row>
    <row r="17" spans="1:9" ht="15" x14ac:dyDescent="0.25">
      <c r="A17" s="216"/>
      <c r="B17" s="216"/>
      <c r="C17" s="86"/>
      <c r="D17" s="224"/>
      <c r="E17" s="230"/>
      <c r="F17" s="231"/>
      <c r="G17" s="179"/>
      <c r="H17" s="173"/>
      <c r="I17" s="29"/>
    </row>
    <row r="18" spans="1:9" ht="15" x14ac:dyDescent="0.25">
      <c r="A18" s="234"/>
      <c r="B18" s="235"/>
      <c r="C18" s="236"/>
      <c r="D18" s="237"/>
      <c r="E18" s="237"/>
      <c r="F18" s="180"/>
      <c r="G18" s="179"/>
      <c r="H18" s="173"/>
      <c r="I18" s="29"/>
    </row>
    <row r="19" spans="1:9" ht="15" x14ac:dyDescent="0.25">
      <c r="A19" s="234"/>
      <c r="B19" s="235"/>
      <c r="C19" s="236"/>
      <c r="D19" s="238"/>
      <c r="E19" s="237"/>
      <c r="F19" s="180"/>
      <c r="G19" s="179"/>
      <c r="H19" s="173"/>
      <c r="I19" s="29"/>
    </row>
    <row r="20" spans="1:9" ht="15" x14ac:dyDescent="0.25">
      <c r="A20" s="185"/>
      <c r="B20" s="186"/>
      <c r="C20" s="188"/>
      <c r="D20" s="177"/>
      <c r="E20" s="182"/>
      <c r="F20" s="181"/>
      <c r="G20" s="179"/>
      <c r="H20" s="180"/>
      <c r="I20" s="29"/>
    </row>
    <row r="21" spans="1:9" ht="15" x14ac:dyDescent="0.25">
      <c r="A21" s="185"/>
      <c r="B21" s="186"/>
      <c r="C21" s="187"/>
      <c r="D21" s="177"/>
      <c r="E21" s="189"/>
      <c r="F21" s="189"/>
      <c r="G21" s="179"/>
      <c r="H21" s="180"/>
      <c r="I21" s="29"/>
    </row>
    <row r="22" spans="1:9" ht="15" x14ac:dyDescent="0.25">
      <c r="A22" s="190"/>
      <c r="B22" s="191"/>
      <c r="C22" s="192"/>
      <c r="D22" s="193"/>
      <c r="E22" s="194"/>
      <c r="F22" s="194"/>
      <c r="G22" s="195"/>
      <c r="H22" s="180"/>
      <c r="I22" s="29"/>
    </row>
    <row r="23" spans="1:9" ht="15" x14ac:dyDescent="0.25">
      <c r="A23" s="190"/>
      <c r="B23" s="191"/>
      <c r="C23" s="192"/>
      <c r="D23" s="193"/>
      <c r="E23" s="194"/>
      <c r="F23" s="194"/>
      <c r="G23" s="195"/>
      <c r="H23" s="180"/>
      <c r="I23" s="29"/>
    </row>
    <row r="24" spans="1:9" ht="15" x14ac:dyDescent="0.25">
      <c r="A24" s="190"/>
      <c r="B24" s="191"/>
      <c r="C24" s="192"/>
      <c r="D24" s="193"/>
      <c r="E24" s="194"/>
      <c r="F24" s="194"/>
      <c r="G24" s="195"/>
      <c r="H24" s="180"/>
      <c r="I24" s="29"/>
    </row>
    <row r="25" spans="1:9" ht="15.75" x14ac:dyDescent="0.25">
      <c r="A25" s="14"/>
      <c r="B25" s="14"/>
      <c r="D25" s="33"/>
      <c r="E25" s="196"/>
      <c r="F25" s="196"/>
      <c r="G25" s="27"/>
      <c r="H25" s="180"/>
      <c r="I25" s="29"/>
    </row>
    <row r="26" spans="1:9" ht="15" x14ac:dyDescent="0.25">
      <c r="A26" s="15"/>
      <c r="B26" s="15"/>
      <c r="C26" s="32"/>
      <c r="D26" s="33"/>
      <c r="E26" s="33"/>
      <c r="F26" s="35"/>
      <c r="G26" s="27"/>
      <c r="H26" s="180"/>
      <c r="I26" s="29"/>
    </row>
    <row r="27" spans="1:9" ht="15.75" x14ac:dyDescent="0.25">
      <c r="A27" s="39"/>
      <c r="B27" s="40"/>
      <c r="C27" s="41" t="s">
        <v>17</v>
      </c>
      <c r="D27" s="34" t="s">
        <v>53</v>
      </c>
      <c r="E27" s="42"/>
      <c r="F27" s="35"/>
      <c r="G27" s="27"/>
      <c r="H27" s="180"/>
      <c r="I27" s="29"/>
    </row>
    <row r="28" spans="1:9" ht="15" x14ac:dyDescent="0.25">
      <c r="A28" s="197"/>
      <c r="B28" s="198"/>
      <c r="C28" s="199"/>
      <c r="D28" s="200" t="s">
        <v>53</v>
      </c>
      <c r="E28" s="33"/>
      <c r="F28" s="35"/>
      <c r="G28" s="27"/>
      <c r="H28" s="180"/>
      <c r="I28" s="29"/>
    </row>
    <row r="29" spans="1:9" ht="15" x14ac:dyDescent="0.25">
      <c r="A29" s="15"/>
      <c r="B29" s="15"/>
      <c r="C29" s="32"/>
      <c r="D29" s="200" t="s">
        <v>53</v>
      </c>
      <c r="E29" s="33"/>
      <c r="F29" s="35"/>
      <c r="G29" s="27"/>
      <c r="H29" s="180"/>
      <c r="I29" s="29"/>
    </row>
    <row r="30" spans="1:9" ht="15" x14ac:dyDescent="0.25">
      <c r="A30" s="201"/>
      <c r="B30" s="201"/>
      <c r="C30" s="199"/>
      <c r="D30" s="200" t="s">
        <v>53</v>
      </c>
      <c r="E30" s="33"/>
      <c r="F30" s="35"/>
      <c r="G30" s="27"/>
      <c r="H30" s="180"/>
      <c r="I30" s="29"/>
    </row>
    <row r="31" spans="1:9" ht="15" x14ac:dyDescent="0.25">
      <c r="A31" s="15"/>
      <c r="B31" s="15"/>
      <c r="C31" s="32"/>
      <c r="D31" s="33" t="s">
        <v>53</v>
      </c>
      <c r="E31" s="34"/>
      <c r="F31" s="35"/>
      <c r="G31" s="27"/>
      <c r="H31" s="180"/>
      <c r="I31" s="29"/>
    </row>
    <row r="32" spans="1:9" ht="15" x14ac:dyDescent="0.25">
      <c r="A32" s="15"/>
      <c r="B32" s="15"/>
      <c r="C32" s="32"/>
      <c r="D32" s="62" t="s">
        <v>53</v>
      </c>
      <c r="E32" s="202"/>
      <c r="F32" s="203"/>
      <c r="G32" s="27"/>
      <c r="H32" s="180"/>
      <c r="I32" s="29"/>
    </row>
    <row r="33" spans="1:9" ht="15.75" x14ac:dyDescent="0.25">
      <c r="A33" s="52"/>
      <c r="B33" s="53"/>
      <c r="C33" s="54" t="s">
        <v>18</v>
      </c>
      <c r="D33" s="55" t="s">
        <v>53</v>
      </c>
      <c r="E33" s="27"/>
      <c r="F33" s="28"/>
      <c r="G33" s="27"/>
      <c r="H33" s="180"/>
      <c r="I33" s="29"/>
    </row>
    <row r="34" spans="1:9" ht="15.75" x14ac:dyDescent="0.25">
      <c r="A34" s="239">
        <v>702069</v>
      </c>
      <c r="B34" s="240" t="s">
        <v>95</v>
      </c>
      <c r="C34" s="241" t="s">
        <v>140</v>
      </c>
      <c r="D34" s="242"/>
      <c r="E34" s="196">
        <v>208</v>
      </c>
      <c r="F34" s="196" t="s">
        <v>76</v>
      </c>
      <c r="G34" s="179"/>
      <c r="H34" s="180"/>
      <c r="I34" s="29"/>
    </row>
    <row r="35" spans="1:9" ht="15" x14ac:dyDescent="0.25">
      <c r="A35" s="243"/>
      <c r="B35" s="244"/>
      <c r="C35" s="245"/>
      <c r="D35" s="246"/>
      <c r="E35" s="247"/>
      <c r="F35" s="248"/>
      <c r="G35" s="207"/>
      <c r="H35" s="180"/>
      <c r="I35" s="29"/>
    </row>
    <row r="36" spans="1:9" ht="15" x14ac:dyDescent="0.25">
      <c r="A36" s="174"/>
      <c r="B36" s="208"/>
      <c r="C36" s="176"/>
      <c r="D36" s="177"/>
      <c r="E36" s="59"/>
      <c r="F36" s="60"/>
      <c r="G36" s="27"/>
      <c r="H36" s="180"/>
      <c r="I36" s="29"/>
    </row>
    <row r="37" spans="1:9" ht="15" x14ac:dyDescent="0.25">
      <c r="A37" s="209"/>
      <c r="B37" s="209"/>
      <c r="C37" s="32"/>
      <c r="D37" s="34"/>
      <c r="E37" s="33"/>
      <c r="F37" s="35"/>
      <c r="G37" s="27"/>
      <c r="H37" s="28"/>
      <c r="I37" s="29"/>
    </row>
    <row r="38" spans="1:9" ht="15" x14ac:dyDescent="0.25">
      <c r="A38" s="210"/>
      <c r="B38" s="211"/>
      <c r="C38" s="212"/>
      <c r="D38" s="34"/>
      <c r="E38" s="33"/>
      <c r="F38" s="35"/>
      <c r="G38" s="27"/>
      <c r="H38" s="28"/>
      <c r="I38" s="29"/>
    </row>
    <row r="39" spans="1:9" ht="15.75" x14ac:dyDescent="0.25">
      <c r="A39" s="210"/>
      <c r="B39" s="211"/>
      <c r="C39" s="212"/>
      <c r="D39" s="70"/>
      <c r="E39" s="33"/>
      <c r="F39" s="35"/>
      <c r="G39" s="65"/>
      <c r="H39" s="34"/>
      <c r="I39" s="29"/>
    </row>
    <row r="40" spans="1:9" ht="15.75" x14ac:dyDescent="0.25">
      <c r="A40" s="39"/>
      <c r="B40" s="40"/>
      <c r="C40" s="69"/>
      <c r="D40" s="70"/>
      <c r="E40" s="33"/>
      <c r="F40" s="35"/>
      <c r="G40" s="33"/>
      <c r="H40" s="34"/>
      <c r="I40" s="29"/>
    </row>
    <row r="41" spans="1:9" ht="15.75" x14ac:dyDescent="0.25">
      <c r="A41" s="39"/>
      <c r="B41" s="40"/>
      <c r="C41" s="69"/>
      <c r="D41" s="70"/>
      <c r="E41" s="33"/>
      <c r="F41" s="35"/>
      <c r="G41" s="68"/>
      <c r="H41" s="35"/>
      <c r="I41" s="29"/>
    </row>
    <row r="42" spans="1:9" ht="15.75" x14ac:dyDescent="0.25">
      <c r="A42" s="39"/>
      <c r="B42" s="40"/>
      <c r="C42" s="69"/>
      <c r="D42" s="34"/>
      <c r="E42" s="34"/>
      <c r="F42" s="35"/>
      <c r="G42" s="70"/>
      <c r="H42" s="70"/>
      <c r="I42" s="29"/>
    </row>
    <row r="43" spans="1:9" ht="14.25" thickBot="1" x14ac:dyDescent="0.3">
      <c r="A43" s="71"/>
      <c r="B43" s="72"/>
      <c r="C43" s="73"/>
      <c r="D43" s="73"/>
      <c r="E43" s="74"/>
      <c r="F43" s="75"/>
      <c r="G43" s="73"/>
      <c r="H43" s="73"/>
      <c r="I43" s="76"/>
    </row>
    <row r="44" spans="1:9" ht="14.25" thickBot="1" x14ac:dyDescent="0.3">
      <c r="A44" s="77"/>
      <c r="B44" s="78"/>
      <c r="C44" s="79"/>
      <c r="D44" s="80" t="s">
        <v>13</v>
      </c>
      <c r="E44" s="81" t="s">
        <v>19</v>
      </c>
      <c r="F44" s="82"/>
      <c r="G44" s="79"/>
      <c r="H44" s="79"/>
      <c r="I44" s="83"/>
    </row>
    <row r="45" spans="1:9" ht="13.5" x14ac:dyDescent="0.25">
      <c r="A45" s="601" t="s">
        <v>20</v>
      </c>
      <c r="B45" s="602"/>
      <c r="C45" s="603"/>
      <c r="D45" s="213">
        <v>80580</v>
      </c>
      <c r="E45" s="214" t="s">
        <v>76</v>
      </c>
      <c r="F45" s="604" t="s">
        <v>21</v>
      </c>
      <c r="G45" s="604"/>
      <c r="H45" s="605"/>
      <c r="I45" s="606"/>
    </row>
    <row r="46" spans="1:9" ht="13.5" x14ac:dyDescent="0.25">
      <c r="A46" s="584" t="s">
        <v>22</v>
      </c>
      <c r="B46" s="585"/>
      <c r="C46" s="586"/>
      <c r="D46" s="215">
        <v>75</v>
      </c>
      <c r="E46" s="216" t="s">
        <v>23</v>
      </c>
      <c r="F46" s="587" t="s">
        <v>24</v>
      </c>
      <c r="G46" s="587"/>
      <c r="H46" s="588"/>
      <c r="I46" s="589"/>
    </row>
    <row r="47" spans="1:9" ht="13.5" x14ac:dyDescent="0.25">
      <c r="A47" s="584" t="s">
        <v>25</v>
      </c>
      <c r="B47" s="585"/>
      <c r="C47" s="586"/>
      <c r="D47" s="216">
        <v>4.25</v>
      </c>
      <c r="E47" s="216" t="s">
        <v>174</v>
      </c>
      <c r="F47" s="587" t="s">
        <v>26</v>
      </c>
      <c r="G47" s="587"/>
      <c r="H47" s="588"/>
      <c r="I47" s="589"/>
    </row>
    <row r="48" spans="1:9" ht="13.5" x14ac:dyDescent="0.25">
      <c r="A48" s="584" t="s">
        <v>27</v>
      </c>
      <c r="B48" s="585"/>
      <c r="C48" s="586"/>
      <c r="D48" s="216">
        <v>18960</v>
      </c>
      <c r="E48" s="216" t="s">
        <v>16</v>
      </c>
      <c r="F48" s="590" t="s">
        <v>28</v>
      </c>
      <c r="G48" s="591"/>
      <c r="H48" s="588"/>
      <c r="I48" s="589"/>
    </row>
    <row r="49" spans="1:9" ht="14.25" thickBot="1" x14ac:dyDescent="0.3">
      <c r="A49" s="594" t="s">
        <v>29</v>
      </c>
      <c r="B49" s="595"/>
      <c r="C49" s="596"/>
      <c r="D49" s="217">
        <v>60000</v>
      </c>
      <c r="E49" s="218" t="s">
        <v>16</v>
      </c>
      <c r="F49" s="597"/>
      <c r="G49" s="597"/>
      <c r="H49" s="737"/>
      <c r="I49" s="738"/>
    </row>
    <row r="50" spans="1:9" ht="13.5" thickBot="1" x14ac:dyDescent="0.25">
      <c r="A50" s="598" t="s">
        <v>30</v>
      </c>
      <c r="B50" s="599"/>
      <c r="C50" s="599"/>
      <c r="D50" s="599"/>
      <c r="E50" s="599"/>
      <c r="F50" s="599"/>
      <c r="G50" s="599"/>
      <c r="H50" s="599"/>
      <c r="I50" s="600"/>
    </row>
    <row r="51" spans="1:9" ht="15" x14ac:dyDescent="0.25">
      <c r="A51" s="687" t="s">
        <v>175</v>
      </c>
      <c r="B51" s="688"/>
      <c r="C51" s="688"/>
      <c r="D51" s="688"/>
      <c r="E51" s="688"/>
      <c r="F51" s="688"/>
      <c r="G51" s="688"/>
      <c r="H51" s="688"/>
      <c r="I51" s="689"/>
    </row>
    <row r="52" spans="1:9" ht="15" x14ac:dyDescent="0.25">
      <c r="A52" s="687" t="s">
        <v>176</v>
      </c>
      <c r="B52" s="688"/>
      <c r="C52" s="688"/>
      <c r="D52" s="688"/>
      <c r="E52" s="688"/>
      <c r="F52" s="688"/>
      <c r="G52" s="688"/>
      <c r="H52" s="688"/>
      <c r="I52" s="689"/>
    </row>
    <row r="53" spans="1:9" ht="15" x14ac:dyDescent="0.25">
      <c r="A53" s="687" t="s">
        <v>177</v>
      </c>
      <c r="B53" s="688"/>
      <c r="C53" s="688"/>
      <c r="D53" s="688"/>
      <c r="E53" s="688"/>
      <c r="F53" s="688"/>
      <c r="G53" s="688"/>
      <c r="H53" s="688"/>
      <c r="I53" s="689"/>
    </row>
    <row r="54" spans="1:9" ht="15" x14ac:dyDescent="0.25">
      <c r="A54" s="687" t="s">
        <v>178</v>
      </c>
      <c r="B54" s="688"/>
      <c r="C54" s="688"/>
      <c r="D54" s="688"/>
      <c r="E54" s="688"/>
      <c r="F54" s="688"/>
      <c r="G54" s="688"/>
      <c r="H54" s="688"/>
      <c r="I54" s="689"/>
    </row>
    <row r="55" spans="1:9" ht="15" x14ac:dyDescent="0.25">
      <c r="A55" s="687" t="s">
        <v>179</v>
      </c>
      <c r="B55" s="688"/>
      <c r="C55" s="688"/>
      <c r="D55" s="688"/>
      <c r="E55" s="688"/>
      <c r="F55" s="688"/>
      <c r="G55" s="688"/>
      <c r="H55" s="688"/>
      <c r="I55" s="689"/>
    </row>
    <row r="56" spans="1:9" ht="15" x14ac:dyDescent="0.25">
      <c r="A56" s="687" t="s">
        <v>180</v>
      </c>
      <c r="B56" s="688"/>
      <c r="C56" s="688"/>
      <c r="D56" s="688"/>
      <c r="E56" s="688"/>
      <c r="F56" s="688"/>
      <c r="G56" s="688"/>
      <c r="H56" s="688"/>
      <c r="I56" s="689"/>
    </row>
    <row r="57" spans="1:9" ht="14.25" x14ac:dyDescent="0.2">
      <c r="A57" s="734"/>
      <c r="B57" s="735"/>
      <c r="C57" s="735"/>
      <c r="D57" s="735"/>
      <c r="E57" s="735"/>
      <c r="F57" s="735"/>
      <c r="G57" s="735"/>
      <c r="H57" s="735"/>
      <c r="I57" s="736"/>
    </row>
    <row r="58" spans="1:9" ht="14.25" x14ac:dyDescent="0.2">
      <c r="A58" s="734"/>
      <c r="B58" s="735"/>
      <c r="C58" s="735"/>
      <c r="D58" s="735"/>
      <c r="E58" s="735"/>
      <c r="F58" s="735"/>
      <c r="G58" s="735"/>
      <c r="H58" s="735"/>
      <c r="I58" s="736"/>
    </row>
    <row r="59" spans="1:9" ht="15" thickBot="1" x14ac:dyDescent="0.25">
      <c r="A59" s="750"/>
      <c r="B59" s="751"/>
      <c r="C59" s="751"/>
      <c r="D59" s="751"/>
      <c r="E59" s="751"/>
      <c r="F59" s="751"/>
      <c r="G59" s="751"/>
      <c r="H59" s="751"/>
      <c r="I59" s="752"/>
    </row>
    <row r="60" spans="1:9" ht="15" x14ac:dyDescent="0.25">
      <c r="A60" s="219"/>
      <c r="B60" s="219"/>
      <c r="C60" s="219"/>
      <c r="D60" s="219"/>
      <c r="E60" s="219"/>
      <c r="F60" s="219"/>
      <c r="G60" s="219"/>
      <c r="H60" s="219"/>
      <c r="I60" s="219"/>
    </row>
    <row r="61" spans="1:9" ht="14.25" thickBot="1" x14ac:dyDescent="0.3">
      <c r="A61" s="753"/>
      <c r="B61" s="754"/>
      <c r="C61" s="754"/>
      <c r="D61" s="754"/>
      <c r="E61" s="754"/>
      <c r="F61" s="754"/>
      <c r="G61" s="754"/>
      <c r="H61" s="754"/>
      <c r="I61" s="755"/>
    </row>
    <row r="62" spans="1:9" x14ac:dyDescent="0.2">
      <c r="A62" s="726" t="s">
        <v>37</v>
      </c>
      <c r="B62" s="727"/>
      <c r="C62" s="727"/>
      <c r="D62" s="727"/>
      <c r="E62" s="727"/>
      <c r="F62" s="727"/>
      <c r="G62" s="727"/>
      <c r="H62" s="727"/>
      <c r="I62" s="727"/>
    </row>
    <row r="63" spans="1:9" ht="13.5" x14ac:dyDescent="0.25">
      <c r="A63" s="728"/>
      <c r="B63" s="729"/>
      <c r="C63" s="729"/>
      <c r="D63" s="729"/>
      <c r="E63" s="729"/>
      <c r="F63" s="729"/>
      <c r="G63" s="729"/>
      <c r="H63" s="729"/>
      <c r="I63" s="729"/>
    </row>
    <row r="64" spans="1:9" ht="13.5" x14ac:dyDescent="0.25">
      <c r="A64" s="728"/>
      <c r="B64" s="729"/>
      <c r="C64" s="729"/>
      <c r="D64" s="729"/>
      <c r="E64" s="729"/>
      <c r="F64" s="729"/>
      <c r="G64" s="729"/>
      <c r="H64" s="729"/>
      <c r="I64" s="729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2C15-A00C-4888-873C-4B37C9F24065}">
  <dimension ref="A1:M64"/>
  <sheetViews>
    <sheetView workbookViewId="0">
      <selection activeCell="D17" sqref="D1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625"/>
      <c r="B1" s="626"/>
      <c r="C1" s="631" t="s">
        <v>0</v>
      </c>
      <c r="D1" s="631"/>
      <c r="E1" s="631"/>
      <c r="F1" s="631"/>
      <c r="G1" s="631"/>
      <c r="H1" s="3" t="s">
        <v>1</v>
      </c>
      <c r="I1" s="12" t="s">
        <v>181</v>
      </c>
    </row>
    <row r="2" spans="1:9" ht="16.5" thickBot="1" x14ac:dyDescent="0.3">
      <c r="A2" s="627"/>
      <c r="B2" s="628"/>
      <c r="C2" s="756" t="s">
        <v>2</v>
      </c>
      <c r="D2" s="756"/>
      <c r="E2" s="756"/>
      <c r="F2" s="756"/>
      <c r="G2" s="756"/>
      <c r="H2" s="4" t="s">
        <v>3</v>
      </c>
      <c r="I2" s="13" t="s">
        <v>98</v>
      </c>
    </row>
    <row r="3" spans="1:9" ht="18.75" thickBot="1" x14ac:dyDescent="0.25">
      <c r="A3" s="627"/>
      <c r="B3" s="628"/>
      <c r="C3" s="671" t="s">
        <v>182</v>
      </c>
      <c r="D3" s="635"/>
      <c r="E3" s="635"/>
      <c r="F3" s="635"/>
      <c r="G3" s="636"/>
      <c r="H3" s="637" t="s">
        <v>4</v>
      </c>
      <c r="I3" s="616">
        <v>45609</v>
      </c>
    </row>
    <row r="4" spans="1:9" ht="13.5" x14ac:dyDescent="0.25">
      <c r="A4" s="627"/>
      <c r="B4" s="628"/>
      <c r="C4" s="16" t="s">
        <v>5</v>
      </c>
      <c r="D4" s="619" t="s">
        <v>31</v>
      </c>
      <c r="E4" s="620"/>
      <c r="F4" s="620"/>
      <c r="G4" s="621"/>
      <c r="H4" s="638"/>
      <c r="I4" s="617"/>
    </row>
    <row r="5" spans="1:9" ht="14.25" thickBot="1" x14ac:dyDescent="0.3">
      <c r="A5" s="629"/>
      <c r="B5" s="630"/>
      <c r="C5" s="17" t="s">
        <v>6</v>
      </c>
      <c r="D5" s="622" t="s">
        <v>32</v>
      </c>
      <c r="E5" s="623"/>
      <c r="F5" s="623"/>
      <c r="G5" s="624"/>
      <c r="H5" s="639"/>
      <c r="I5" s="618"/>
    </row>
    <row r="6" spans="1:9" ht="18.75" thickBot="1" x14ac:dyDescent="0.3">
      <c r="A6" s="607" t="s">
        <v>33</v>
      </c>
      <c r="B6" s="607"/>
      <c r="C6" s="607"/>
      <c r="D6" s="608" t="s">
        <v>55</v>
      </c>
      <c r="E6" s="608"/>
      <c r="F6" s="608"/>
      <c r="G6" s="609" t="s">
        <v>34</v>
      </c>
      <c r="H6" s="609"/>
      <c r="I6" s="18" t="s">
        <v>55</v>
      </c>
    </row>
    <row r="7" spans="1:9" ht="25.5" x14ac:dyDescent="0.2">
      <c r="A7" s="610" t="s">
        <v>7</v>
      </c>
      <c r="B7" s="612" t="s">
        <v>35</v>
      </c>
      <c r="C7" s="614" t="s">
        <v>8</v>
      </c>
      <c r="D7" s="614" t="s">
        <v>9</v>
      </c>
      <c r="E7" s="614" t="s">
        <v>10</v>
      </c>
      <c r="F7" s="614"/>
      <c r="G7" s="614" t="s">
        <v>11</v>
      </c>
      <c r="H7" s="614"/>
      <c r="I7" s="19" t="s">
        <v>12</v>
      </c>
    </row>
    <row r="8" spans="1:9" ht="26.25" thickBot="1" x14ac:dyDescent="0.25">
      <c r="A8" s="611"/>
      <c r="B8" s="613"/>
      <c r="C8" s="615"/>
      <c r="D8" s="61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5.75" x14ac:dyDescent="0.25">
      <c r="A9" s="249"/>
      <c r="B9" s="250"/>
      <c r="C9" s="251" t="s">
        <v>36</v>
      </c>
      <c r="D9" s="252"/>
      <c r="E9" s="253"/>
      <c r="F9" s="254"/>
      <c r="G9" s="253"/>
      <c r="H9" s="254"/>
      <c r="I9" s="255"/>
    </row>
    <row r="10" spans="1:9" ht="17.25" x14ac:dyDescent="0.3">
      <c r="A10" s="256" t="s">
        <v>183</v>
      </c>
      <c r="B10" s="257" t="s">
        <v>184</v>
      </c>
      <c r="C10" s="258" t="s">
        <v>185</v>
      </c>
      <c r="D10" s="259" t="s">
        <v>186</v>
      </c>
      <c r="E10" s="260">
        <v>20000</v>
      </c>
      <c r="F10" s="261"/>
      <c r="G10" s="262"/>
      <c r="H10" s="254"/>
      <c r="I10" s="255"/>
    </row>
    <row r="11" spans="1:9" ht="17.25" x14ac:dyDescent="0.3">
      <c r="A11" s="263" t="s">
        <v>187</v>
      </c>
      <c r="B11" s="263" t="s">
        <v>188</v>
      </c>
      <c r="C11" s="263" t="s">
        <v>189</v>
      </c>
      <c r="D11" s="259" t="s">
        <v>190</v>
      </c>
      <c r="E11" s="260">
        <v>20000</v>
      </c>
      <c r="F11" s="264"/>
      <c r="G11" s="262"/>
      <c r="H11" s="254"/>
      <c r="I11" s="255"/>
    </row>
    <row r="12" spans="1:9" ht="17.25" x14ac:dyDescent="0.3">
      <c r="A12" s="265"/>
      <c r="B12" s="265"/>
      <c r="C12" s="266"/>
      <c r="D12" s="267"/>
      <c r="E12" s="268"/>
      <c r="F12" s="264"/>
      <c r="G12" s="262"/>
      <c r="H12" s="254"/>
      <c r="I12" s="255"/>
    </row>
    <row r="13" spans="1:9" ht="17.25" x14ac:dyDescent="0.3">
      <c r="A13" s="265"/>
      <c r="B13" s="265"/>
      <c r="C13" s="266"/>
      <c r="D13" s="267"/>
      <c r="E13" s="268"/>
      <c r="F13" s="264"/>
      <c r="G13" s="262"/>
      <c r="H13" s="254"/>
      <c r="I13" s="255"/>
    </row>
    <row r="14" spans="1:9" ht="17.25" x14ac:dyDescent="0.3">
      <c r="A14" s="265"/>
      <c r="B14" s="265"/>
      <c r="C14" s="266"/>
      <c r="D14" s="267"/>
      <c r="E14" s="268"/>
      <c r="F14" s="264"/>
      <c r="G14" s="262"/>
      <c r="H14" s="254"/>
      <c r="I14" s="255"/>
    </row>
    <row r="15" spans="1:9" ht="17.25" x14ac:dyDescent="0.3">
      <c r="A15" s="265"/>
      <c r="B15" s="265"/>
      <c r="C15" s="266"/>
      <c r="D15" s="267"/>
      <c r="E15" s="268"/>
      <c r="F15" s="264"/>
      <c r="G15" s="262"/>
      <c r="H15" s="254"/>
      <c r="I15" s="255"/>
    </row>
    <row r="16" spans="1:9" ht="17.25" x14ac:dyDescent="0.3">
      <c r="A16" s="265"/>
      <c r="B16" s="265"/>
      <c r="C16" s="266"/>
      <c r="D16" s="267"/>
      <c r="E16" s="268"/>
      <c r="F16" s="264"/>
      <c r="G16" s="262"/>
      <c r="H16" s="254"/>
      <c r="I16" s="255"/>
    </row>
    <row r="17" spans="1:9" ht="17.25" x14ac:dyDescent="0.3">
      <c r="A17" s="265"/>
      <c r="B17" s="265"/>
      <c r="C17" s="266"/>
      <c r="D17" s="267"/>
      <c r="E17" s="268"/>
      <c r="F17" s="264"/>
      <c r="G17" s="262"/>
      <c r="H17" s="254"/>
      <c r="I17" s="255"/>
    </row>
    <row r="18" spans="1:9" ht="17.25" x14ac:dyDescent="0.3">
      <c r="A18" s="265"/>
      <c r="B18" s="265"/>
      <c r="C18" s="266"/>
      <c r="D18" s="267"/>
      <c r="E18" s="268"/>
      <c r="F18" s="264"/>
      <c r="G18" s="262"/>
      <c r="H18" s="254"/>
      <c r="I18" s="255"/>
    </row>
    <row r="19" spans="1:9" ht="15.75" x14ac:dyDescent="0.25">
      <c r="A19" s="196"/>
      <c r="B19" s="196"/>
      <c r="C19" s="242"/>
      <c r="D19" s="269"/>
      <c r="E19" s="270"/>
      <c r="F19" s="271"/>
      <c r="G19" s="262"/>
      <c r="H19" s="254"/>
      <c r="I19" s="255"/>
    </row>
    <row r="20" spans="1:9" ht="15.75" x14ac:dyDescent="0.25">
      <c r="A20" s="196"/>
      <c r="B20" s="196"/>
      <c r="C20" s="242"/>
      <c r="D20" s="269"/>
      <c r="E20" s="270"/>
      <c r="F20" s="271"/>
      <c r="G20" s="262"/>
      <c r="H20" s="254"/>
      <c r="I20" s="255"/>
    </row>
    <row r="21" spans="1:9" ht="15.75" x14ac:dyDescent="0.25">
      <c r="A21" s="196"/>
      <c r="B21" s="196"/>
      <c r="C21" s="242"/>
      <c r="D21" s="269"/>
      <c r="E21" s="270"/>
      <c r="F21" s="271"/>
      <c r="G21" s="262"/>
      <c r="H21" s="254"/>
      <c r="I21" s="255"/>
    </row>
    <row r="22" spans="1:9" ht="15.75" x14ac:dyDescent="0.25">
      <c r="A22" s="196"/>
      <c r="B22" s="196"/>
      <c r="C22" s="242"/>
      <c r="D22" s="269"/>
      <c r="E22" s="270"/>
      <c r="F22" s="271"/>
      <c r="G22" s="262"/>
      <c r="H22" s="254"/>
      <c r="I22" s="255"/>
    </row>
    <row r="23" spans="1:9" ht="15.75" x14ac:dyDescent="0.25">
      <c r="A23" s="272"/>
      <c r="B23" s="272"/>
      <c r="C23" s="273"/>
      <c r="D23" s="274"/>
      <c r="E23" s="270"/>
      <c r="F23" s="275"/>
      <c r="G23" s="262"/>
      <c r="H23" s="254"/>
      <c r="I23" s="255"/>
    </row>
    <row r="24" spans="1:9" ht="15.75" x14ac:dyDescent="0.25">
      <c r="A24" s="272"/>
      <c r="B24" s="272"/>
      <c r="C24" s="273"/>
      <c r="D24" s="269"/>
      <c r="E24" s="270"/>
      <c r="F24" s="271"/>
      <c r="G24" s="253"/>
      <c r="H24" s="254"/>
      <c r="I24" s="255"/>
    </row>
    <row r="25" spans="1:9" ht="17.25" x14ac:dyDescent="0.3">
      <c r="A25" s="265"/>
      <c r="B25" s="196"/>
      <c r="C25" s="266"/>
      <c r="D25" s="276"/>
      <c r="E25" s="277"/>
      <c r="F25" s="271"/>
      <c r="G25" s="253"/>
      <c r="H25" s="254"/>
      <c r="I25" s="255"/>
    </row>
    <row r="26" spans="1:9" ht="17.25" x14ac:dyDescent="0.3">
      <c r="A26" s="265"/>
      <c r="B26" s="196"/>
      <c r="C26" s="266"/>
      <c r="D26" s="276"/>
      <c r="E26" s="277"/>
      <c r="F26" s="271"/>
      <c r="G26" s="253"/>
      <c r="H26" s="254"/>
      <c r="I26" s="255"/>
    </row>
    <row r="27" spans="1:9" ht="17.25" x14ac:dyDescent="0.3">
      <c r="A27" s="265"/>
      <c r="B27" s="196"/>
      <c r="C27" s="266"/>
      <c r="D27" s="276"/>
      <c r="E27" s="277"/>
      <c r="F27" s="271"/>
      <c r="G27" s="253"/>
      <c r="H27" s="254"/>
      <c r="I27" s="255"/>
    </row>
    <row r="28" spans="1:9" ht="15.75" x14ac:dyDescent="0.25">
      <c r="A28" s="196"/>
      <c r="B28" s="196"/>
      <c r="C28" s="278"/>
      <c r="D28" s="68"/>
      <c r="E28" s="68"/>
      <c r="F28" s="279"/>
      <c r="G28" s="253"/>
      <c r="H28" s="254"/>
      <c r="I28" s="255"/>
    </row>
    <row r="29" spans="1:9" ht="15.75" x14ac:dyDescent="0.25">
      <c r="A29" s="280"/>
      <c r="B29" s="281"/>
      <c r="C29" s="41" t="s">
        <v>17</v>
      </c>
      <c r="D29" s="70"/>
      <c r="E29" s="282"/>
      <c r="F29" s="279"/>
      <c r="G29" s="253"/>
      <c r="H29" s="254"/>
      <c r="I29" s="255"/>
    </row>
    <row r="30" spans="1:9" ht="15.75" x14ac:dyDescent="0.25">
      <c r="A30" s="283"/>
      <c r="B30" s="284"/>
      <c r="C30" s="285"/>
      <c r="D30" s="286"/>
      <c r="E30" s="68"/>
      <c r="F30" s="279"/>
      <c r="G30" s="253"/>
      <c r="H30" s="254"/>
      <c r="I30" s="255"/>
    </row>
    <row r="31" spans="1:9" ht="15.75" x14ac:dyDescent="0.25">
      <c r="A31" s="196"/>
      <c r="B31" s="196"/>
      <c r="C31" s="278"/>
      <c r="D31" s="286"/>
      <c r="E31" s="68"/>
      <c r="F31" s="279"/>
      <c r="G31" s="253"/>
      <c r="H31" s="254"/>
      <c r="I31" s="255"/>
    </row>
    <row r="32" spans="1:9" ht="15.75" x14ac:dyDescent="0.25">
      <c r="A32" s="287"/>
      <c r="B32" s="287"/>
      <c r="C32" s="285"/>
      <c r="D32" s="286"/>
      <c r="E32" s="68"/>
      <c r="F32" s="279"/>
      <c r="G32" s="253"/>
      <c r="H32" s="254"/>
      <c r="I32" s="255"/>
    </row>
    <row r="33" spans="1:13" ht="15.75" x14ac:dyDescent="0.25">
      <c r="A33" s="196"/>
      <c r="B33" s="196"/>
      <c r="C33" s="278"/>
      <c r="D33" s="68"/>
      <c r="E33" s="70"/>
      <c r="F33" s="279"/>
      <c r="G33" s="253"/>
      <c r="H33" s="254"/>
      <c r="I33" s="255"/>
    </row>
    <row r="34" spans="1:13" ht="15.75" x14ac:dyDescent="0.25">
      <c r="A34" s="196"/>
      <c r="B34" s="196"/>
      <c r="C34" s="278"/>
      <c r="D34" s="276"/>
      <c r="E34" s="288"/>
      <c r="F34" s="289"/>
      <c r="G34" s="253"/>
      <c r="H34" s="254"/>
      <c r="I34" s="255"/>
    </row>
    <row r="35" spans="1:13" ht="15.75" x14ac:dyDescent="0.25">
      <c r="A35" s="290"/>
      <c r="B35" s="291"/>
      <c r="C35" s="54" t="s">
        <v>18</v>
      </c>
      <c r="D35" s="292"/>
      <c r="E35" s="253"/>
      <c r="F35" s="254"/>
      <c r="G35" s="253"/>
      <c r="H35" s="254"/>
      <c r="I35" s="255"/>
    </row>
    <row r="36" spans="1:13" ht="15.75" x14ac:dyDescent="0.25">
      <c r="A36" s="272"/>
      <c r="B36" s="272"/>
      <c r="C36" s="273"/>
      <c r="D36" s="276"/>
      <c r="E36" s="1"/>
      <c r="F36" s="271"/>
      <c r="G36" s="262"/>
      <c r="H36" s="254"/>
      <c r="I36" s="255"/>
    </row>
    <row r="37" spans="1:13" ht="15.75" x14ac:dyDescent="0.25">
      <c r="A37" s="196"/>
      <c r="B37" s="196"/>
      <c r="C37" s="242"/>
      <c r="D37" s="276"/>
      <c r="E37" s="277"/>
      <c r="F37" s="271"/>
      <c r="G37" s="253"/>
      <c r="H37" s="254"/>
      <c r="I37" s="255"/>
    </row>
    <row r="38" spans="1:13" ht="15.75" x14ac:dyDescent="0.25">
      <c r="A38" s="293"/>
      <c r="B38" s="294"/>
      <c r="C38" s="295"/>
      <c r="D38" s="70"/>
      <c r="E38" s="68"/>
      <c r="F38" s="279"/>
      <c r="G38" s="253"/>
      <c r="H38" s="254"/>
      <c r="I38" s="255"/>
    </row>
    <row r="39" spans="1:13" ht="15.75" x14ac:dyDescent="0.25">
      <c r="A39" s="296"/>
      <c r="B39" s="296"/>
      <c r="C39" s="278"/>
      <c r="D39" s="70"/>
      <c r="E39" s="68"/>
      <c r="F39" s="279"/>
      <c r="G39" s="253"/>
      <c r="H39" s="254"/>
      <c r="I39" s="255"/>
    </row>
    <row r="40" spans="1:13" ht="15.75" x14ac:dyDescent="0.25">
      <c r="A40" s="293"/>
      <c r="B40" s="294"/>
      <c r="C40" s="295"/>
      <c r="D40" s="70"/>
      <c r="E40" s="68"/>
      <c r="F40" s="279"/>
      <c r="G40" s="253"/>
      <c r="H40" s="254"/>
      <c r="I40" s="255"/>
    </row>
    <row r="41" spans="1:13" ht="15.75" x14ac:dyDescent="0.25">
      <c r="A41" s="293"/>
      <c r="B41" s="294"/>
      <c r="C41" s="295"/>
      <c r="D41" s="70"/>
      <c r="E41" s="68"/>
      <c r="F41" s="279"/>
      <c r="G41" s="297"/>
      <c r="H41" s="70"/>
      <c r="I41" s="255"/>
    </row>
    <row r="42" spans="1:13" ht="15.75" x14ac:dyDescent="0.25">
      <c r="A42" s="280"/>
      <c r="B42" s="281"/>
      <c r="C42" s="298"/>
      <c r="D42" s="70"/>
      <c r="E42" s="68"/>
      <c r="F42" s="279"/>
      <c r="G42" s="68"/>
      <c r="H42" s="70"/>
      <c r="I42" s="255"/>
    </row>
    <row r="43" spans="1:13" ht="15.75" x14ac:dyDescent="0.25">
      <c r="A43" s="280"/>
      <c r="B43" s="281"/>
      <c r="C43" s="298"/>
      <c r="D43" s="70"/>
      <c r="E43" s="68"/>
      <c r="F43" s="279"/>
      <c r="G43" s="68"/>
      <c r="H43" s="279"/>
      <c r="I43" s="255"/>
    </row>
    <row r="44" spans="1:13" ht="15.75" x14ac:dyDescent="0.25">
      <c r="A44" s="280"/>
      <c r="B44" s="281"/>
      <c r="C44" s="298"/>
      <c r="D44" s="70"/>
      <c r="E44" s="70"/>
      <c r="F44" s="279"/>
      <c r="G44" s="70"/>
      <c r="H44" s="70"/>
      <c r="I44" s="255"/>
    </row>
    <row r="45" spans="1:13" ht="18" thickBot="1" x14ac:dyDescent="0.35">
      <c r="A45" s="299"/>
      <c r="B45" s="300"/>
      <c r="C45" s="301"/>
      <c r="D45" s="301"/>
      <c r="E45" s="302"/>
      <c r="F45" s="303"/>
      <c r="G45" s="301"/>
      <c r="H45" s="301"/>
      <c r="I45" s="304"/>
      <c r="J45" s="305"/>
      <c r="K45" s="305"/>
      <c r="L45" s="306"/>
      <c r="M45" s="305"/>
    </row>
    <row r="46" spans="1:13" ht="18" thickBot="1" x14ac:dyDescent="0.35">
      <c r="A46" s="307"/>
      <c r="B46" s="308"/>
      <c r="C46" s="309"/>
      <c r="D46" s="310" t="s">
        <v>13</v>
      </c>
      <c r="E46" s="311" t="s">
        <v>19</v>
      </c>
      <c r="F46" s="312"/>
      <c r="G46" s="309"/>
      <c r="H46" s="309"/>
      <c r="I46" s="313"/>
      <c r="J46" s="305"/>
      <c r="K46" s="305"/>
      <c r="L46" s="306"/>
      <c r="M46" s="305"/>
    </row>
    <row r="47" spans="1:13" ht="17.25" x14ac:dyDescent="0.3">
      <c r="A47" s="757" t="s">
        <v>20</v>
      </c>
      <c r="B47" s="758"/>
      <c r="C47" s="759"/>
      <c r="D47" s="314">
        <v>37380</v>
      </c>
      <c r="E47" s="315" t="s">
        <v>16</v>
      </c>
      <c r="F47" s="760" t="s">
        <v>21</v>
      </c>
      <c r="G47" s="760"/>
      <c r="H47" s="761"/>
      <c r="I47" s="762"/>
      <c r="J47" s="305"/>
      <c r="K47" s="305"/>
      <c r="L47" s="306"/>
      <c r="M47" s="305"/>
    </row>
    <row r="48" spans="1:13" ht="17.25" x14ac:dyDescent="0.3">
      <c r="A48" s="763" t="s">
        <v>22</v>
      </c>
      <c r="B48" s="764"/>
      <c r="C48" s="765"/>
      <c r="D48" s="316">
        <v>25</v>
      </c>
      <c r="E48" s="196" t="s">
        <v>191</v>
      </c>
      <c r="F48" s="766" t="s">
        <v>24</v>
      </c>
      <c r="G48" s="766"/>
      <c r="H48" s="767"/>
      <c r="I48" s="768"/>
      <c r="J48" s="305"/>
      <c r="K48" s="305"/>
      <c r="L48" s="306"/>
      <c r="M48" s="305"/>
    </row>
    <row r="49" spans="1:13" ht="17.25" x14ac:dyDescent="0.3">
      <c r="A49" s="763" t="s">
        <v>25</v>
      </c>
      <c r="B49" s="764"/>
      <c r="C49" s="765"/>
      <c r="D49" s="196">
        <v>1</v>
      </c>
      <c r="E49" s="196" t="s">
        <v>128</v>
      </c>
      <c r="F49" s="766" t="s">
        <v>26</v>
      </c>
      <c r="G49" s="766"/>
      <c r="H49" s="767"/>
      <c r="I49" s="768"/>
      <c r="J49" s="305"/>
      <c r="K49" s="305"/>
      <c r="L49" s="306"/>
      <c r="M49" s="305"/>
    </row>
    <row r="50" spans="1:13" ht="17.25" x14ac:dyDescent="0.3">
      <c r="A50" s="763" t="s">
        <v>27</v>
      </c>
      <c r="B50" s="764"/>
      <c r="C50" s="765"/>
      <c r="D50" s="317">
        <v>37380</v>
      </c>
      <c r="E50" s="196" t="s">
        <v>16</v>
      </c>
      <c r="F50" s="771" t="s">
        <v>28</v>
      </c>
      <c r="G50" s="772"/>
      <c r="H50" s="767"/>
      <c r="I50" s="768"/>
      <c r="J50" s="305"/>
      <c r="K50" s="305"/>
      <c r="L50" s="306"/>
      <c r="M50" s="318"/>
    </row>
    <row r="51" spans="1:13" ht="18" thickBot="1" x14ac:dyDescent="0.35">
      <c r="A51" s="773" t="s">
        <v>29</v>
      </c>
      <c r="B51" s="774"/>
      <c r="C51" s="775"/>
      <c r="D51" s="319">
        <v>2620</v>
      </c>
      <c r="E51" s="320" t="s">
        <v>16</v>
      </c>
      <c r="F51" s="776"/>
      <c r="G51" s="776"/>
      <c r="H51" s="777"/>
      <c r="I51" s="778"/>
      <c r="J51" s="73"/>
      <c r="K51" s="73"/>
      <c r="L51" s="306"/>
      <c r="M51" s="73"/>
    </row>
    <row r="52" spans="1:13" ht="15.75" thickBot="1" x14ac:dyDescent="0.25">
      <c r="A52" s="779" t="s">
        <v>30</v>
      </c>
      <c r="B52" s="780"/>
      <c r="C52" s="780"/>
      <c r="D52" s="780"/>
      <c r="E52" s="780"/>
      <c r="F52" s="780"/>
      <c r="G52" s="780"/>
      <c r="H52" s="780"/>
      <c r="I52" s="781"/>
      <c r="J52" s="305"/>
      <c r="K52" s="305"/>
      <c r="L52" s="305"/>
      <c r="M52" s="305"/>
    </row>
    <row r="53" spans="1:13" ht="18.600000000000001" customHeight="1" x14ac:dyDescent="0.25">
      <c r="A53" s="782" t="s">
        <v>192</v>
      </c>
      <c r="B53" s="783"/>
      <c r="C53" s="783"/>
      <c r="D53" s="783"/>
      <c r="E53" s="783"/>
      <c r="F53" s="783"/>
      <c r="G53" s="783"/>
      <c r="H53" s="783"/>
      <c r="I53" s="784"/>
      <c r="J53" s="305"/>
      <c r="K53" s="305"/>
      <c r="L53" s="305"/>
      <c r="M53" s="305"/>
    </row>
    <row r="54" spans="1:13" ht="24" customHeight="1" x14ac:dyDescent="0.2">
      <c r="A54" s="769" t="s">
        <v>193</v>
      </c>
      <c r="B54" s="769"/>
      <c r="C54" s="769"/>
      <c r="D54" s="769"/>
      <c r="E54" s="769"/>
      <c r="F54" s="769"/>
      <c r="G54" s="769"/>
      <c r="H54" s="769"/>
      <c r="I54" s="769"/>
      <c r="J54" s="305"/>
      <c r="K54" s="305"/>
      <c r="L54" s="305"/>
      <c r="M54" s="305"/>
    </row>
    <row r="55" spans="1:13" x14ac:dyDescent="0.2">
      <c r="A55" s="770"/>
      <c r="B55" s="770"/>
      <c r="C55" s="770"/>
      <c r="D55" s="770"/>
      <c r="E55" s="770"/>
      <c r="F55" s="770"/>
      <c r="G55" s="770"/>
      <c r="H55" s="770"/>
      <c r="I55" s="770"/>
      <c r="J55" s="305"/>
      <c r="K55" s="305"/>
      <c r="L55" s="305"/>
      <c r="M55" s="305"/>
    </row>
    <row r="56" spans="1:13" ht="15.75" x14ac:dyDescent="0.25">
      <c r="A56" s="782" t="s">
        <v>194</v>
      </c>
      <c r="B56" s="783"/>
      <c r="C56" s="783"/>
      <c r="D56" s="783"/>
      <c r="E56" s="783"/>
      <c r="F56" s="783"/>
      <c r="G56" s="783"/>
      <c r="H56" s="783"/>
      <c r="I56" s="784"/>
      <c r="J56" s="305"/>
      <c r="K56" s="305"/>
      <c r="L56" s="305"/>
      <c r="M56" s="305"/>
    </row>
    <row r="57" spans="1:13" ht="15.75" x14ac:dyDescent="0.25">
      <c r="A57" s="789"/>
      <c r="B57" s="790"/>
      <c r="C57" s="790"/>
      <c r="D57" s="790"/>
      <c r="E57" s="790"/>
      <c r="F57" s="790"/>
      <c r="G57" s="790"/>
      <c r="H57" s="790"/>
      <c r="I57" s="791"/>
      <c r="J57" s="305"/>
      <c r="K57" s="305"/>
      <c r="L57" s="305"/>
      <c r="M57" s="305"/>
    </row>
    <row r="58" spans="1:13" ht="15.75" x14ac:dyDescent="0.25">
      <c r="A58" s="792"/>
      <c r="B58" s="793"/>
      <c r="C58" s="793"/>
      <c r="D58" s="793"/>
      <c r="E58" s="793"/>
      <c r="F58" s="793"/>
      <c r="G58" s="793"/>
      <c r="H58" s="793"/>
      <c r="I58" s="794"/>
      <c r="J58" s="305"/>
      <c r="K58" s="305"/>
      <c r="L58" s="305"/>
      <c r="M58" s="305"/>
    </row>
    <row r="59" spans="1:13" ht="18" customHeight="1" x14ac:dyDescent="0.25">
      <c r="A59" s="789"/>
      <c r="B59" s="790"/>
      <c r="C59" s="790"/>
      <c r="D59" s="790"/>
      <c r="E59" s="790"/>
      <c r="F59" s="790"/>
      <c r="G59" s="790"/>
      <c r="H59" s="790"/>
      <c r="I59" s="791"/>
      <c r="J59" s="305"/>
      <c r="K59" s="305"/>
      <c r="L59" s="305"/>
      <c r="M59" s="305"/>
    </row>
    <row r="60" spans="1:13" ht="17.25" x14ac:dyDescent="0.3">
      <c r="A60" s="795"/>
      <c r="B60" s="796"/>
      <c r="C60" s="796"/>
      <c r="D60" s="796"/>
      <c r="E60" s="796"/>
      <c r="F60" s="796"/>
      <c r="G60" s="796"/>
      <c r="H60" s="796"/>
      <c r="I60" s="797"/>
      <c r="J60" s="305"/>
      <c r="K60" s="305"/>
      <c r="L60" s="305"/>
      <c r="M60" s="305"/>
    </row>
    <row r="61" spans="1:13" ht="18" thickBot="1" x14ac:dyDescent="0.35">
      <c r="A61" s="798"/>
      <c r="B61" s="799"/>
      <c r="C61" s="799"/>
      <c r="D61" s="799"/>
      <c r="E61" s="799"/>
      <c r="F61" s="799"/>
      <c r="G61" s="799"/>
      <c r="H61" s="799"/>
      <c r="I61" s="800"/>
      <c r="J61" s="305"/>
      <c r="K61" s="305"/>
      <c r="L61" s="305"/>
      <c r="M61" s="305"/>
    </row>
    <row r="62" spans="1:13" ht="15" x14ac:dyDescent="0.2">
      <c r="A62" s="785" t="s">
        <v>37</v>
      </c>
      <c r="B62" s="786"/>
      <c r="C62" s="786"/>
      <c r="D62" s="786"/>
      <c r="E62" s="786"/>
      <c r="F62" s="786"/>
      <c r="G62" s="786"/>
      <c r="H62" s="786"/>
      <c r="I62" s="786"/>
      <c r="J62" s="305"/>
      <c r="K62" s="305"/>
      <c r="L62" s="305"/>
      <c r="M62" s="305"/>
    </row>
    <row r="63" spans="1:13" ht="17.25" x14ac:dyDescent="0.3">
      <c r="A63" s="787"/>
      <c r="B63" s="788"/>
      <c r="C63" s="788"/>
      <c r="D63" s="788"/>
      <c r="E63" s="788"/>
      <c r="F63" s="788"/>
      <c r="G63" s="788"/>
      <c r="H63" s="788"/>
      <c r="I63" s="788"/>
      <c r="J63" s="305"/>
      <c r="K63" s="305"/>
      <c r="L63" s="305"/>
      <c r="M63" s="305"/>
    </row>
    <row r="64" spans="1:13" ht="13.5" x14ac:dyDescent="0.25">
      <c r="A64" s="578"/>
      <c r="B64" s="579"/>
      <c r="C64" s="579"/>
      <c r="D64" s="579"/>
      <c r="E64" s="579"/>
      <c r="F64" s="579"/>
      <c r="G64" s="579"/>
      <c r="H64" s="579"/>
      <c r="I64" s="579"/>
    </row>
  </sheetData>
  <mergeCells count="44">
    <mergeCell ref="A62:I62"/>
    <mergeCell ref="A63:I63"/>
    <mergeCell ref="A64:I64"/>
    <mergeCell ref="A56:I56"/>
    <mergeCell ref="A57:I57"/>
    <mergeCell ref="A58:I58"/>
    <mergeCell ref="A59:I59"/>
    <mergeCell ref="A60:I60"/>
    <mergeCell ref="A61:I61"/>
    <mergeCell ref="A54:I55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528B-6097-4BD0-8F22-8A8748394193}">
  <dimension ref="A1:I58"/>
  <sheetViews>
    <sheetView workbookViewId="0">
      <selection activeCell="C13" sqref="C13"/>
    </sheetView>
  </sheetViews>
  <sheetFormatPr baseColWidth="10" defaultRowHeight="12.75" x14ac:dyDescent="0.2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810"/>
      <c r="B1" s="811"/>
      <c r="C1" s="631" t="s">
        <v>0</v>
      </c>
      <c r="D1" s="631"/>
      <c r="E1" s="631"/>
      <c r="F1" s="631"/>
      <c r="G1" s="631"/>
      <c r="H1" s="321" t="s">
        <v>1</v>
      </c>
      <c r="I1" s="322" t="s">
        <v>195</v>
      </c>
    </row>
    <row r="2" spans="1:9" ht="18" thickBot="1" x14ac:dyDescent="0.35">
      <c r="A2" s="812"/>
      <c r="B2" s="813"/>
      <c r="C2" s="632" t="s">
        <v>2</v>
      </c>
      <c r="D2" s="633"/>
      <c r="E2" s="633"/>
      <c r="F2" s="633"/>
      <c r="G2" s="634"/>
      <c r="H2" s="323" t="s">
        <v>3</v>
      </c>
      <c r="I2" s="324" t="s">
        <v>196</v>
      </c>
    </row>
    <row r="3" spans="1:9" ht="15.75" thickBot="1" x14ac:dyDescent="0.25">
      <c r="A3" s="812"/>
      <c r="B3" s="813"/>
      <c r="C3" s="816" t="s">
        <v>197</v>
      </c>
      <c r="D3" s="817"/>
      <c r="E3" s="817"/>
      <c r="F3" s="817"/>
      <c r="G3" s="818"/>
      <c r="H3" s="819" t="s">
        <v>4</v>
      </c>
      <c r="I3" s="801">
        <v>45663</v>
      </c>
    </row>
    <row r="4" spans="1:9" ht="17.25" x14ac:dyDescent="0.3">
      <c r="A4" s="812"/>
      <c r="B4" s="813"/>
      <c r="C4" s="325" t="s">
        <v>5</v>
      </c>
      <c r="D4" s="804" t="s">
        <v>31</v>
      </c>
      <c r="E4" s="805"/>
      <c r="F4" s="805"/>
      <c r="G4" s="806"/>
      <c r="H4" s="820"/>
      <c r="I4" s="802"/>
    </row>
    <row r="5" spans="1:9" ht="18" thickBot="1" x14ac:dyDescent="0.35">
      <c r="A5" s="814"/>
      <c r="B5" s="815"/>
      <c r="C5" s="326" t="s">
        <v>6</v>
      </c>
      <c r="D5" s="807" t="s">
        <v>32</v>
      </c>
      <c r="E5" s="808"/>
      <c r="F5" s="808"/>
      <c r="G5" s="809"/>
      <c r="H5" s="821"/>
      <c r="I5" s="803"/>
    </row>
    <row r="6" spans="1:9" ht="16.5" thickBot="1" x14ac:dyDescent="0.3">
      <c r="A6" s="822" t="s">
        <v>33</v>
      </c>
      <c r="B6" s="822"/>
      <c r="C6" s="822"/>
      <c r="D6" s="823" t="s">
        <v>17</v>
      </c>
      <c r="E6" s="823"/>
      <c r="F6" s="823"/>
      <c r="G6" s="824" t="s">
        <v>34</v>
      </c>
      <c r="H6" s="824"/>
      <c r="I6" s="327" t="s">
        <v>38</v>
      </c>
    </row>
    <row r="7" spans="1:9" ht="15" x14ac:dyDescent="0.2">
      <c r="A7" s="825" t="s">
        <v>7</v>
      </c>
      <c r="B7" s="827" t="s">
        <v>35</v>
      </c>
      <c r="C7" s="829" t="s">
        <v>8</v>
      </c>
      <c r="D7" s="829" t="s">
        <v>9</v>
      </c>
      <c r="E7" s="829" t="s">
        <v>10</v>
      </c>
      <c r="F7" s="829"/>
      <c r="G7" s="829" t="s">
        <v>11</v>
      </c>
      <c r="H7" s="829"/>
      <c r="I7" s="328" t="s">
        <v>12</v>
      </c>
    </row>
    <row r="8" spans="1:9" ht="30.75" thickBot="1" x14ac:dyDescent="0.25">
      <c r="A8" s="826"/>
      <c r="B8" s="828"/>
      <c r="C8" s="830"/>
      <c r="D8" s="830"/>
      <c r="E8" s="329" t="s">
        <v>13</v>
      </c>
      <c r="F8" s="330" t="s">
        <v>14</v>
      </c>
      <c r="G8" s="329" t="s">
        <v>13</v>
      </c>
      <c r="H8" s="330" t="s">
        <v>14</v>
      </c>
      <c r="I8" s="331" t="s">
        <v>15</v>
      </c>
    </row>
    <row r="9" spans="1:9" ht="15.75" x14ac:dyDescent="0.25">
      <c r="A9" s="249"/>
      <c r="B9" s="250"/>
      <c r="C9" s="251" t="s">
        <v>36</v>
      </c>
      <c r="D9" s="252"/>
      <c r="E9" s="253"/>
      <c r="F9" s="254"/>
      <c r="G9" s="253"/>
      <c r="H9" s="254"/>
      <c r="I9" s="255"/>
    </row>
    <row r="10" spans="1:9" ht="17.25" x14ac:dyDescent="0.3">
      <c r="A10" s="332"/>
      <c r="B10" s="333" t="s">
        <v>198</v>
      </c>
      <c r="C10" s="334" t="s">
        <v>199</v>
      </c>
      <c r="D10" s="335" t="s">
        <v>41</v>
      </c>
      <c r="E10" s="336">
        <f>16580/16.58</f>
        <v>1000.0000000000001</v>
      </c>
      <c r="F10" s="337" t="s">
        <v>16</v>
      </c>
      <c r="G10" s="338"/>
      <c r="H10" s="339"/>
      <c r="I10" s="255"/>
    </row>
    <row r="11" spans="1:9" ht="17.25" x14ac:dyDescent="0.3">
      <c r="A11" s="332">
        <v>10400008</v>
      </c>
      <c r="B11" s="340" t="s">
        <v>200</v>
      </c>
      <c r="C11" s="341" t="s">
        <v>201</v>
      </c>
      <c r="D11" s="335" t="s">
        <v>202</v>
      </c>
      <c r="E11" s="342" t="s">
        <v>203</v>
      </c>
      <c r="F11" s="343" t="s">
        <v>16</v>
      </c>
      <c r="G11" s="338"/>
      <c r="H11" s="339"/>
      <c r="I11" s="255"/>
    </row>
    <row r="12" spans="1:9" ht="17.25" x14ac:dyDescent="0.3">
      <c r="A12" s="37"/>
      <c r="B12" s="37"/>
      <c r="C12" s="37"/>
      <c r="D12" s="37"/>
      <c r="E12" s="37"/>
      <c r="F12" s="37"/>
      <c r="G12" s="344"/>
      <c r="H12" s="339"/>
      <c r="I12" s="255"/>
    </row>
    <row r="13" spans="1:9" ht="17.25" x14ac:dyDescent="0.3">
      <c r="A13" s="333"/>
      <c r="B13" s="333"/>
      <c r="C13" s="341"/>
      <c r="D13" s="345"/>
      <c r="E13" s="336"/>
      <c r="F13" s="337"/>
      <c r="G13" s="344"/>
      <c r="H13" s="339"/>
      <c r="I13" s="255"/>
    </row>
    <row r="14" spans="1:9" ht="17.25" x14ac:dyDescent="0.3">
      <c r="A14" s="346"/>
      <c r="B14" s="347"/>
      <c r="C14" s="348"/>
      <c r="D14" s="344"/>
      <c r="E14" s="344"/>
      <c r="F14" s="349"/>
      <c r="G14" s="344"/>
      <c r="H14" s="339"/>
      <c r="I14" s="255"/>
    </row>
    <row r="15" spans="1:9" ht="17.25" x14ac:dyDescent="0.3">
      <c r="A15" s="350"/>
      <c r="B15" s="347"/>
      <c r="C15" s="351"/>
      <c r="D15" s="344"/>
      <c r="E15" s="344"/>
      <c r="F15" s="349"/>
      <c r="G15" s="344"/>
      <c r="H15" s="339"/>
      <c r="I15" s="255"/>
    </row>
    <row r="16" spans="1:9" ht="17.25" x14ac:dyDescent="0.3">
      <c r="A16" s="344"/>
      <c r="B16" s="344"/>
      <c r="C16" s="352"/>
      <c r="D16" s="353"/>
      <c r="E16" s="353"/>
      <c r="F16" s="338"/>
      <c r="G16" s="344"/>
      <c r="H16" s="339"/>
      <c r="I16" s="255"/>
    </row>
    <row r="17" spans="1:9" ht="17.25" x14ac:dyDescent="0.3">
      <c r="A17" s="347"/>
      <c r="B17" s="347"/>
      <c r="C17" s="354"/>
      <c r="D17" s="344"/>
      <c r="E17" s="344"/>
      <c r="F17" s="349"/>
      <c r="G17" s="344"/>
      <c r="H17" s="339"/>
      <c r="I17" s="255"/>
    </row>
    <row r="18" spans="1:9" ht="17.25" x14ac:dyDescent="0.3">
      <c r="A18" s="346"/>
      <c r="B18" s="347"/>
      <c r="C18" s="348"/>
      <c r="D18" s="344"/>
      <c r="E18" s="344"/>
      <c r="F18" s="349"/>
      <c r="G18" s="344"/>
      <c r="H18" s="339"/>
      <c r="I18" s="255"/>
    </row>
    <row r="19" spans="1:9" ht="17.25" x14ac:dyDescent="0.3">
      <c r="A19" s="196"/>
      <c r="B19" s="196"/>
      <c r="C19" s="242"/>
      <c r="D19" s="355"/>
      <c r="E19" s="277"/>
      <c r="F19" s="271"/>
      <c r="G19" s="253"/>
      <c r="H19" s="339"/>
      <c r="I19" s="255"/>
    </row>
    <row r="20" spans="1:9" ht="15.75" x14ac:dyDescent="0.25">
      <c r="A20" s="280"/>
      <c r="B20" s="281"/>
      <c r="C20" s="41" t="s">
        <v>17</v>
      </c>
      <c r="D20" s="70"/>
      <c r="E20" s="282"/>
      <c r="F20" s="279"/>
      <c r="G20" s="253"/>
      <c r="H20" s="254"/>
      <c r="I20" s="255"/>
    </row>
    <row r="21" spans="1:9" ht="17.25" x14ac:dyDescent="0.3">
      <c r="A21" s="332"/>
      <c r="B21" s="356"/>
      <c r="C21" s="334"/>
      <c r="D21" s="335"/>
      <c r="E21" s="342"/>
      <c r="F21" s="343"/>
      <c r="G21" s="253"/>
      <c r="H21" s="254"/>
      <c r="I21" s="255"/>
    </row>
    <row r="22" spans="1:9" ht="17.25" x14ac:dyDescent="0.3">
      <c r="A22" s="332"/>
      <c r="B22" s="356"/>
      <c r="C22" s="334"/>
      <c r="D22" s="335"/>
      <c r="E22" s="268"/>
      <c r="F22" s="343"/>
      <c r="G22" s="253"/>
      <c r="H22" s="254"/>
      <c r="I22" s="255"/>
    </row>
    <row r="23" spans="1:9" ht="17.25" x14ac:dyDescent="0.3">
      <c r="A23" s="332"/>
      <c r="B23" s="356"/>
      <c r="C23" s="334"/>
      <c r="D23" s="335"/>
      <c r="E23" s="342"/>
      <c r="F23" s="343"/>
      <c r="G23" s="253"/>
      <c r="H23" s="254"/>
      <c r="I23" s="255"/>
    </row>
    <row r="24" spans="1:9" ht="17.25" x14ac:dyDescent="0.3">
      <c r="A24" s="332"/>
      <c r="B24" s="356"/>
      <c r="C24" s="334"/>
      <c r="D24" s="335"/>
      <c r="E24" s="357"/>
      <c r="F24" s="358"/>
      <c r="G24" s="253"/>
      <c r="H24" s="254"/>
      <c r="I24" s="255"/>
    </row>
    <row r="25" spans="1:9" ht="17.25" x14ac:dyDescent="0.3">
      <c r="A25" s="332"/>
      <c r="B25" s="356"/>
      <c r="C25" s="334"/>
      <c r="D25" s="335"/>
      <c r="E25" s="336"/>
      <c r="F25" s="358"/>
      <c r="G25" s="253"/>
      <c r="H25" s="254"/>
      <c r="I25" s="255"/>
    </row>
    <row r="26" spans="1:9" ht="17.25" x14ac:dyDescent="0.3">
      <c r="A26" s="263"/>
      <c r="B26" s="263"/>
      <c r="C26" s="359"/>
      <c r="D26" s="360"/>
      <c r="E26" s="361"/>
      <c r="F26" s="261"/>
      <c r="G26" s="253"/>
      <c r="H26" s="254"/>
      <c r="I26" s="255"/>
    </row>
    <row r="27" spans="1:9" ht="17.25" x14ac:dyDescent="0.3">
      <c r="A27" s="196"/>
      <c r="B27" s="196"/>
      <c r="C27" s="242"/>
      <c r="D27" s="267"/>
      <c r="E27" s="362"/>
      <c r="F27" s="261"/>
      <c r="G27" s="253"/>
      <c r="H27" s="254"/>
      <c r="I27" s="255"/>
    </row>
    <row r="28" spans="1:9" ht="17.25" x14ac:dyDescent="0.3">
      <c r="A28" s="196"/>
      <c r="B28" s="196"/>
      <c r="C28" s="242"/>
      <c r="D28" s="267"/>
      <c r="E28" s="268"/>
      <c r="F28" s="264"/>
      <c r="G28" s="253"/>
      <c r="H28" s="254"/>
      <c r="I28" s="255"/>
    </row>
    <row r="29" spans="1:9" ht="15.75" x14ac:dyDescent="0.25">
      <c r="A29" s="290"/>
      <c r="B29" s="291"/>
      <c r="C29" s="54" t="s">
        <v>18</v>
      </c>
      <c r="D29" s="292"/>
      <c r="E29" s="363"/>
      <c r="F29" s="254"/>
      <c r="G29" s="253"/>
      <c r="H29" s="359"/>
      <c r="I29" s="255"/>
    </row>
    <row r="30" spans="1:9" ht="17.25" x14ac:dyDescent="0.3">
      <c r="A30" s="332" t="s">
        <v>204</v>
      </c>
      <c r="B30" s="340" t="s">
        <v>95</v>
      </c>
      <c r="C30" s="341" t="s">
        <v>205</v>
      </c>
      <c r="D30" s="335" t="s">
        <v>94</v>
      </c>
      <c r="E30" s="342">
        <v>1</v>
      </c>
      <c r="F30" s="343" t="s">
        <v>76</v>
      </c>
      <c r="G30" s="364"/>
      <c r="H30" s="254"/>
      <c r="I30" s="255"/>
    </row>
    <row r="31" spans="1:9" ht="17.25" x14ac:dyDescent="0.3">
      <c r="A31" s="365"/>
      <c r="B31" s="365"/>
      <c r="C31" s="298"/>
      <c r="D31" s="171"/>
      <c r="E31" s="366"/>
      <c r="F31" s="367"/>
      <c r="G31" s="364"/>
      <c r="H31" s="254"/>
      <c r="I31" s="255"/>
    </row>
    <row r="32" spans="1:9" ht="17.25" x14ac:dyDescent="0.3">
      <c r="A32" s="365"/>
      <c r="B32" s="365"/>
      <c r="C32" s="298"/>
      <c r="D32" s="171"/>
      <c r="E32" s="366"/>
      <c r="F32" s="367"/>
      <c r="G32" s="364"/>
      <c r="H32" s="254"/>
      <c r="I32" s="255"/>
    </row>
    <row r="33" spans="1:9" ht="15.75" x14ac:dyDescent="0.25">
      <c r="A33" s="272"/>
      <c r="B33" s="272"/>
      <c r="C33" s="273"/>
      <c r="D33" s="1"/>
      <c r="E33" s="368"/>
      <c r="F33" s="369"/>
      <c r="G33" s="253"/>
      <c r="H33" s="254"/>
      <c r="I33" s="255"/>
    </row>
    <row r="34" spans="1:9" ht="15.75" x14ac:dyDescent="0.25">
      <c r="A34" s="272"/>
      <c r="B34" s="272"/>
      <c r="C34" s="370"/>
      <c r="D34" s="1"/>
      <c r="E34" s="1"/>
      <c r="F34" s="369"/>
      <c r="G34" s="253"/>
      <c r="H34" s="254"/>
      <c r="I34" s="255"/>
    </row>
    <row r="35" spans="1:9" ht="15.75" x14ac:dyDescent="0.25">
      <c r="A35" s="272"/>
      <c r="B35" s="272"/>
      <c r="C35" s="370"/>
      <c r="D35" s="1"/>
      <c r="E35" s="1"/>
      <c r="F35" s="369"/>
      <c r="G35" s="297"/>
      <c r="H35" s="254"/>
      <c r="I35" s="255"/>
    </row>
    <row r="36" spans="1:9" ht="15.75" x14ac:dyDescent="0.25">
      <c r="A36" s="371"/>
      <c r="B36" s="372"/>
      <c r="C36" s="373"/>
      <c r="D36" s="274"/>
      <c r="E36" s="274"/>
      <c r="F36" s="374"/>
      <c r="G36" s="68"/>
      <c r="H36" s="254"/>
      <c r="I36" s="255"/>
    </row>
    <row r="37" spans="1:9" ht="15.75" x14ac:dyDescent="0.25">
      <c r="A37" s="280"/>
      <c r="B37" s="281"/>
      <c r="C37" s="298"/>
      <c r="D37" s="1"/>
      <c r="E37" s="68"/>
      <c r="F37" s="279"/>
      <c r="G37" s="68"/>
      <c r="H37" s="254"/>
      <c r="I37" s="255"/>
    </row>
    <row r="38" spans="1:9" ht="15.75" x14ac:dyDescent="0.25">
      <c r="A38" s="280"/>
      <c r="B38" s="281"/>
      <c r="C38" s="298"/>
      <c r="D38" s="70"/>
      <c r="E38" s="70"/>
      <c r="F38" s="279"/>
      <c r="G38" s="70"/>
      <c r="H38" s="70"/>
      <c r="I38" s="255"/>
    </row>
    <row r="39" spans="1:9" ht="18" thickBot="1" x14ac:dyDescent="0.35">
      <c r="A39" s="299"/>
      <c r="B39" s="300"/>
      <c r="C39" s="301"/>
      <c r="D39" s="301"/>
      <c r="E39" s="302"/>
      <c r="F39" s="303"/>
      <c r="G39" s="301"/>
      <c r="H39" s="301"/>
      <c r="I39" s="304"/>
    </row>
    <row r="40" spans="1:9" ht="18" thickBot="1" x14ac:dyDescent="0.35">
      <c r="A40" s="307"/>
      <c r="B40" s="308"/>
      <c r="C40" s="309"/>
      <c r="D40" s="310" t="s">
        <v>13</v>
      </c>
      <c r="E40" s="311" t="s">
        <v>19</v>
      </c>
      <c r="F40" s="312"/>
      <c r="G40" s="309"/>
      <c r="H40" s="309"/>
      <c r="I40" s="313"/>
    </row>
    <row r="41" spans="1:9" ht="17.25" x14ac:dyDescent="0.3">
      <c r="A41" s="757" t="s">
        <v>20</v>
      </c>
      <c r="B41" s="758"/>
      <c r="C41" s="759"/>
      <c r="D41" s="362">
        <v>1000</v>
      </c>
      <c r="E41" s="375" t="s">
        <v>16</v>
      </c>
      <c r="F41" s="760" t="s">
        <v>21</v>
      </c>
      <c r="G41" s="760"/>
      <c r="H41" s="761"/>
      <c r="I41" s="762"/>
    </row>
    <row r="42" spans="1:9" ht="17.25" x14ac:dyDescent="0.3">
      <c r="A42" s="763" t="s">
        <v>22</v>
      </c>
      <c r="B42" s="764"/>
      <c r="C42" s="765"/>
      <c r="D42" s="344">
        <v>3</v>
      </c>
      <c r="E42" s="344" t="s">
        <v>141</v>
      </c>
      <c r="F42" s="766" t="s">
        <v>24</v>
      </c>
      <c r="G42" s="766"/>
      <c r="H42" s="767"/>
      <c r="I42" s="768"/>
    </row>
    <row r="43" spans="1:9" ht="17.25" x14ac:dyDescent="0.3">
      <c r="A43" s="763" t="s">
        <v>25</v>
      </c>
      <c r="B43" s="764"/>
      <c r="C43" s="765"/>
      <c r="D43" s="344">
        <v>1</v>
      </c>
      <c r="E43" s="344" t="s">
        <v>128</v>
      </c>
      <c r="F43" s="766" t="s">
        <v>26</v>
      </c>
      <c r="G43" s="766"/>
      <c r="H43" s="767"/>
      <c r="I43" s="768"/>
    </row>
    <row r="44" spans="1:9" ht="17.25" x14ac:dyDescent="0.3">
      <c r="A44" s="763" t="s">
        <v>27</v>
      </c>
      <c r="B44" s="764"/>
      <c r="C44" s="765"/>
      <c r="D44" s="268">
        <v>1000</v>
      </c>
      <c r="E44" s="344" t="s">
        <v>16</v>
      </c>
      <c r="F44" s="771" t="s">
        <v>28</v>
      </c>
      <c r="G44" s="772"/>
      <c r="H44" s="834"/>
      <c r="I44" s="835"/>
    </row>
    <row r="45" spans="1:9" ht="18" thickBot="1" x14ac:dyDescent="0.35">
      <c r="A45" s="773" t="s">
        <v>29</v>
      </c>
      <c r="B45" s="774"/>
      <c r="C45" s="775"/>
      <c r="D45" s="376">
        <f>SUM(E10:E11)-D41</f>
        <v>0</v>
      </c>
      <c r="E45" s="377" t="s">
        <v>16</v>
      </c>
      <c r="F45" s="776"/>
      <c r="G45" s="776"/>
      <c r="H45" s="767"/>
      <c r="I45" s="768"/>
    </row>
    <row r="46" spans="1:9" ht="15.75" thickBot="1" x14ac:dyDescent="0.25">
      <c r="A46" s="779" t="s">
        <v>30</v>
      </c>
      <c r="B46" s="780"/>
      <c r="C46" s="780"/>
      <c r="D46" s="780"/>
      <c r="E46" s="780"/>
      <c r="F46" s="780"/>
      <c r="G46" s="780"/>
      <c r="H46" s="780"/>
      <c r="I46" s="781"/>
    </row>
    <row r="47" spans="1:9" ht="15.75" x14ac:dyDescent="0.25">
      <c r="A47" s="831" t="s">
        <v>206</v>
      </c>
      <c r="B47" s="832"/>
      <c r="C47" s="832"/>
      <c r="D47" s="832"/>
      <c r="E47" s="832"/>
      <c r="F47" s="832"/>
      <c r="G47" s="832"/>
      <c r="H47" s="832"/>
      <c r="I47" s="833"/>
    </row>
    <row r="48" spans="1:9" ht="15.75" x14ac:dyDescent="0.25">
      <c r="A48" s="831" t="s">
        <v>207</v>
      </c>
      <c r="B48" s="832"/>
      <c r="C48" s="832"/>
      <c r="D48" s="832"/>
      <c r="E48" s="832"/>
      <c r="F48" s="832"/>
      <c r="G48" s="832"/>
      <c r="H48" s="832"/>
      <c r="I48" s="833"/>
    </row>
    <row r="49" spans="1:9" ht="15.75" x14ac:dyDescent="0.25">
      <c r="A49" s="831" t="s">
        <v>208</v>
      </c>
      <c r="B49" s="832"/>
      <c r="C49" s="832"/>
      <c r="D49" s="832"/>
      <c r="E49" s="832"/>
      <c r="F49" s="832"/>
      <c r="G49" s="832"/>
      <c r="H49" s="832"/>
      <c r="I49" s="833"/>
    </row>
    <row r="50" spans="1:9" ht="15.75" x14ac:dyDescent="0.25">
      <c r="A50" s="831" t="s">
        <v>209</v>
      </c>
      <c r="B50" s="832"/>
      <c r="C50" s="832"/>
      <c r="D50" s="832"/>
      <c r="E50" s="832"/>
      <c r="F50" s="832"/>
      <c r="G50" s="832"/>
      <c r="H50" s="832"/>
      <c r="I50" s="833"/>
    </row>
    <row r="51" spans="1:9" ht="17.25" x14ac:dyDescent="0.3">
      <c r="A51" s="836"/>
      <c r="B51" s="837"/>
      <c r="C51" s="838"/>
      <c r="D51" s="838"/>
      <c r="E51" s="838"/>
      <c r="F51" s="838"/>
      <c r="G51" s="838"/>
      <c r="H51" s="838"/>
      <c r="I51" s="839"/>
    </row>
    <row r="52" spans="1:9" ht="16.5" thickBot="1" x14ac:dyDescent="0.3">
      <c r="A52" s="840"/>
      <c r="B52" s="841"/>
      <c r="C52" s="841"/>
      <c r="D52" s="841"/>
      <c r="E52" s="841"/>
      <c r="F52" s="841"/>
      <c r="G52" s="841"/>
      <c r="H52" s="841"/>
      <c r="I52" s="842"/>
    </row>
    <row r="53" spans="1:9" ht="17.25" x14ac:dyDescent="0.3">
      <c r="A53" s="843"/>
      <c r="B53" s="844"/>
      <c r="C53" s="844"/>
      <c r="D53" s="844"/>
      <c r="E53" s="844"/>
      <c r="F53" s="844"/>
      <c r="G53" s="844"/>
      <c r="H53" s="844"/>
      <c r="I53" s="845"/>
    </row>
    <row r="54" spans="1:9" ht="18" thickBot="1" x14ac:dyDescent="0.35">
      <c r="A54" s="846"/>
      <c r="B54" s="847"/>
      <c r="C54" s="847"/>
      <c r="D54" s="847"/>
      <c r="E54" s="847"/>
      <c r="F54" s="847"/>
      <c r="G54" s="847"/>
      <c r="H54" s="847"/>
      <c r="I54" s="848"/>
    </row>
    <row r="55" spans="1:9" ht="16.5" thickBot="1" x14ac:dyDescent="0.3">
      <c r="A55" s="782"/>
      <c r="B55" s="783"/>
      <c r="C55" s="783"/>
      <c r="D55" s="783"/>
      <c r="E55" s="783"/>
      <c r="F55" s="783"/>
      <c r="G55" s="783"/>
      <c r="H55" s="783"/>
      <c r="I55" s="784"/>
    </row>
    <row r="56" spans="1:9" ht="15" x14ac:dyDescent="0.2">
      <c r="A56" s="785" t="s">
        <v>37</v>
      </c>
      <c r="B56" s="786"/>
      <c r="C56" s="786"/>
      <c r="D56" s="786"/>
      <c r="E56" s="786"/>
      <c r="F56" s="786"/>
      <c r="G56" s="786"/>
      <c r="H56" s="786"/>
      <c r="I56" s="786"/>
    </row>
    <row r="57" spans="1:9" ht="17.25" x14ac:dyDescent="0.3">
      <c r="A57" s="807" t="s">
        <v>210</v>
      </c>
      <c r="B57" s="808"/>
      <c r="C57" s="808"/>
      <c r="D57" s="808"/>
      <c r="E57" s="808"/>
      <c r="F57" s="808"/>
      <c r="G57" s="808"/>
      <c r="H57" s="808"/>
      <c r="I57" s="809"/>
    </row>
    <row r="58" spans="1:9" ht="13.5" x14ac:dyDescent="0.25">
      <c r="A58" s="622" t="s">
        <v>211</v>
      </c>
      <c r="B58" s="623"/>
      <c r="C58" s="623"/>
      <c r="D58" s="623"/>
      <c r="E58" s="623"/>
      <c r="F58" s="623"/>
      <c r="G58" s="623"/>
      <c r="H58" s="623"/>
      <c r="I58" s="624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3319-AD3D-48CF-9E53-F6C142005269}">
  <dimension ref="A1:L59"/>
  <sheetViews>
    <sheetView workbookViewId="0">
      <selection activeCell="C13" sqref="C13"/>
    </sheetView>
  </sheetViews>
  <sheetFormatPr baseColWidth="10" defaultRowHeight="12.75" x14ac:dyDescent="0.2"/>
  <cols>
    <col min="1" max="1" width="12.28515625" bestFit="1" customWidth="1"/>
    <col min="3" max="3" width="49" customWidth="1"/>
    <col min="4" max="4" width="34.42578125" bestFit="1" customWidth="1"/>
    <col min="5" max="5" width="16.28515625" customWidth="1"/>
    <col min="6" max="6" width="14.42578125" customWidth="1"/>
    <col min="7" max="7" width="15.7109375" customWidth="1"/>
    <col min="8" max="8" width="47.5703125" bestFit="1" customWidth="1"/>
    <col min="9" max="9" width="21.28515625" bestFit="1" customWidth="1"/>
  </cols>
  <sheetData>
    <row r="1" spans="1:12" ht="18" x14ac:dyDescent="0.25">
      <c r="A1" s="858"/>
      <c r="B1" s="859"/>
      <c r="C1" s="864" t="s">
        <v>0</v>
      </c>
      <c r="D1" s="864"/>
      <c r="E1" s="864"/>
      <c r="F1" s="864"/>
      <c r="G1" s="864"/>
      <c r="H1" s="378" t="s">
        <v>1</v>
      </c>
      <c r="I1" s="379" t="s">
        <v>212</v>
      </c>
    </row>
    <row r="2" spans="1:12" ht="18" customHeight="1" thickBot="1" x14ac:dyDescent="0.3">
      <c r="A2" s="860"/>
      <c r="B2" s="861"/>
      <c r="C2" s="865" t="s">
        <v>2</v>
      </c>
      <c r="D2" s="866"/>
      <c r="E2" s="866"/>
      <c r="F2" s="866"/>
      <c r="G2" s="867"/>
      <c r="H2" s="380" t="s">
        <v>3</v>
      </c>
      <c r="I2" s="381" t="s">
        <v>213</v>
      </c>
    </row>
    <row r="3" spans="1:12" ht="31.5" customHeight="1" thickBot="1" x14ac:dyDescent="0.25">
      <c r="A3" s="860"/>
      <c r="B3" s="861"/>
      <c r="C3" s="868" t="s">
        <v>214</v>
      </c>
      <c r="D3" s="868"/>
      <c r="E3" s="868"/>
      <c r="F3" s="868"/>
      <c r="G3" s="868"/>
      <c r="H3" s="869" t="s">
        <v>4</v>
      </c>
      <c r="I3" s="849">
        <v>45659</v>
      </c>
    </row>
    <row r="4" spans="1:12" ht="18" customHeight="1" x14ac:dyDescent="0.25">
      <c r="A4" s="860"/>
      <c r="B4" s="861"/>
      <c r="C4" s="382" t="s">
        <v>5</v>
      </c>
      <c r="D4" s="852" t="s">
        <v>31</v>
      </c>
      <c r="E4" s="853"/>
      <c r="F4" s="853"/>
      <c r="G4" s="854"/>
      <c r="H4" s="870"/>
      <c r="I4" s="850"/>
    </row>
    <row r="5" spans="1:12" ht="18.75" thickBot="1" x14ac:dyDescent="0.3">
      <c r="A5" s="862"/>
      <c r="B5" s="863"/>
      <c r="C5" s="383" t="s">
        <v>6</v>
      </c>
      <c r="D5" s="855" t="s">
        <v>32</v>
      </c>
      <c r="E5" s="856"/>
      <c r="F5" s="856"/>
      <c r="G5" s="857"/>
      <c r="H5" s="871"/>
      <c r="I5" s="851"/>
    </row>
    <row r="6" spans="1:12" ht="18.75" thickBot="1" x14ac:dyDescent="0.3">
      <c r="A6" s="607" t="s">
        <v>33</v>
      </c>
      <c r="B6" s="607"/>
      <c r="C6" s="607"/>
      <c r="D6" s="872" t="s">
        <v>215</v>
      </c>
      <c r="E6" s="872"/>
      <c r="F6" s="872"/>
      <c r="G6" s="609" t="s">
        <v>34</v>
      </c>
      <c r="H6" s="609"/>
      <c r="I6" s="384" t="s">
        <v>17</v>
      </c>
    </row>
    <row r="7" spans="1:12" ht="36" x14ac:dyDescent="0.2">
      <c r="A7" s="873" t="s">
        <v>7</v>
      </c>
      <c r="B7" s="875" t="s">
        <v>35</v>
      </c>
      <c r="C7" s="877" t="s">
        <v>8</v>
      </c>
      <c r="D7" s="877" t="s">
        <v>9</v>
      </c>
      <c r="E7" s="877" t="s">
        <v>10</v>
      </c>
      <c r="F7" s="877"/>
      <c r="G7" s="877" t="s">
        <v>11</v>
      </c>
      <c r="H7" s="877"/>
      <c r="I7" s="385" t="s">
        <v>12</v>
      </c>
    </row>
    <row r="8" spans="1:12" ht="36.75" thickBot="1" x14ac:dyDescent="0.3">
      <c r="A8" s="874"/>
      <c r="B8" s="876"/>
      <c r="C8" s="878"/>
      <c r="D8" s="878"/>
      <c r="E8" s="386" t="s">
        <v>13</v>
      </c>
      <c r="F8" s="387" t="s">
        <v>14</v>
      </c>
      <c r="G8" s="386" t="s">
        <v>13</v>
      </c>
      <c r="H8" s="387" t="s">
        <v>14</v>
      </c>
      <c r="I8" s="388" t="s">
        <v>15</v>
      </c>
      <c r="L8" s="389"/>
    </row>
    <row r="9" spans="1:12" ht="18.600000000000001" customHeight="1" x14ac:dyDescent="0.3">
      <c r="A9" s="390"/>
      <c r="B9" s="391"/>
      <c r="C9" s="392" t="s">
        <v>36</v>
      </c>
      <c r="D9" s="393"/>
      <c r="E9" s="394"/>
      <c r="F9" s="395"/>
      <c r="G9" s="394"/>
      <c r="H9" s="395"/>
      <c r="I9" s="396"/>
    </row>
    <row r="10" spans="1:12" ht="18" customHeight="1" x14ac:dyDescent="0.3">
      <c r="A10" s="397">
        <v>310148</v>
      </c>
      <c r="B10" s="398" t="s">
        <v>216</v>
      </c>
      <c r="C10" s="399" t="s">
        <v>217</v>
      </c>
      <c r="D10" s="400" t="s">
        <v>218</v>
      </c>
      <c r="E10" s="401">
        <v>16150</v>
      </c>
      <c r="F10" s="402" t="s">
        <v>16</v>
      </c>
      <c r="G10" s="403"/>
      <c r="H10" s="404"/>
      <c r="I10" s="396"/>
      <c r="J10">
        <f>+E10/$D$39</f>
        <v>0.99299053083824285</v>
      </c>
      <c r="K10">
        <f>+J10*1000</f>
        <v>992.99053083824288</v>
      </c>
    </row>
    <row r="11" spans="1:12" ht="18.75" x14ac:dyDescent="0.3">
      <c r="A11" s="400" t="s">
        <v>102</v>
      </c>
      <c r="B11" s="400"/>
      <c r="C11" s="405" t="s">
        <v>68</v>
      </c>
      <c r="D11" s="400" t="s">
        <v>219</v>
      </c>
      <c r="E11" s="401">
        <v>100</v>
      </c>
      <c r="F11" s="402" t="s">
        <v>16</v>
      </c>
      <c r="G11" s="403"/>
      <c r="H11" s="404"/>
      <c r="I11" s="396"/>
      <c r="J11">
        <f t="shared" ref="J11:J13" si="0">+E11/$D$39</f>
        <v>6.1485481785649712E-3</v>
      </c>
      <c r="K11">
        <f t="shared" ref="K11:K13" si="1">+J11*1000</f>
        <v>6.1485481785649716</v>
      </c>
      <c r="L11" s="389">
        <f>SUM(E10:E13)</f>
        <v>16264.002020610224</v>
      </c>
    </row>
    <row r="12" spans="1:12" ht="18.75" x14ac:dyDescent="0.3">
      <c r="A12" s="400">
        <v>1212410</v>
      </c>
      <c r="B12" s="400" t="s">
        <v>119</v>
      </c>
      <c r="C12" s="405" t="s">
        <v>220</v>
      </c>
      <c r="D12" s="400" t="s">
        <v>65</v>
      </c>
      <c r="E12" s="401">
        <v>10.002020610224299</v>
      </c>
      <c r="F12" s="402" t="s">
        <v>16</v>
      </c>
      <c r="G12" s="403"/>
      <c r="H12" s="404"/>
      <c r="I12" s="396"/>
      <c r="J12">
        <f>+E12/$D$39</f>
        <v>6.149790560496392E-4</v>
      </c>
      <c r="K12">
        <f t="shared" si="1"/>
        <v>0.61497905604963921</v>
      </c>
      <c r="L12" s="389">
        <f>L11-230</f>
        <v>16034.002020610224</v>
      </c>
    </row>
    <row r="13" spans="1:12" ht="18.75" x14ac:dyDescent="0.3">
      <c r="A13" s="332">
        <v>10400008</v>
      </c>
      <c r="B13" s="340" t="s">
        <v>200</v>
      </c>
      <c r="C13" s="341" t="s">
        <v>201</v>
      </c>
      <c r="D13" s="335" t="s">
        <v>202</v>
      </c>
      <c r="E13" s="342">
        <v>4</v>
      </c>
      <c r="F13" s="343" t="s">
        <v>16</v>
      </c>
      <c r="G13" s="403"/>
      <c r="H13" s="404"/>
      <c r="I13" s="396"/>
      <c r="J13">
        <f t="shared" si="0"/>
        <v>2.4594192714259887E-4</v>
      </c>
      <c r="K13">
        <f t="shared" si="1"/>
        <v>0.24594192714259888</v>
      </c>
    </row>
    <row r="14" spans="1:12" ht="18.75" x14ac:dyDescent="0.3">
      <c r="A14" s="400"/>
      <c r="B14" s="400"/>
      <c r="C14" s="405"/>
      <c r="D14" s="400"/>
      <c r="E14" s="401"/>
      <c r="F14" s="402"/>
      <c r="G14" s="403"/>
      <c r="H14" s="404"/>
      <c r="I14" s="396"/>
    </row>
    <row r="15" spans="1:12" ht="18.75" x14ac:dyDescent="0.3">
      <c r="A15" s="400"/>
      <c r="B15" s="400"/>
      <c r="C15" s="405"/>
      <c r="D15" s="400"/>
      <c r="E15" s="401"/>
      <c r="F15" s="402"/>
      <c r="G15" s="403"/>
      <c r="H15" s="404"/>
      <c r="I15" s="396"/>
    </row>
    <row r="16" spans="1:12" ht="18.75" x14ac:dyDescent="0.3">
      <c r="A16" s="400"/>
      <c r="B16" s="400"/>
      <c r="C16" s="405"/>
      <c r="D16" s="400"/>
      <c r="E16" s="401"/>
      <c r="F16" s="402"/>
      <c r="G16" s="403"/>
      <c r="H16" s="404"/>
      <c r="I16" s="396"/>
    </row>
    <row r="17" spans="1:12" ht="18.75" x14ac:dyDescent="0.3">
      <c r="A17" s="400"/>
      <c r="B17" s="400"/>
      <c r="C17" s="405"/>
      <c r="D17" s="400"/>
      <c r="E17" s="401"/>
      <c r="F17" s="402"/>
      <c r="G17" s="403"/>
      <c r="H17" s="404"/>
      <c r="I17" s="396"/>
      <c r="L17">
        <f>E10/1000</f>
        <v>16.149999999999999</v>
      </c>
    </row>
    <row r="18" spans="1:12" ht="18.75" x14ac:dyDescent="0.3">
      <c r="A18" s="400"/>
      <c r="B18" s="400"/>
      <c r="C18" s="405"/>
      <c r="D18" s="400"/>
      <c r="E18" s="401"/>
      <c r="F18" s="402"/>
      <c r="G18" s="403"/>
      <c r="H18" s="404"/>
      <c r="I18" s="396"/>
    </row>
    <row r="19" spans="1:12" ht="18.75" x14ac:dyDescent="0.3">
      <c r="A19" s="400"/>
      <c r="B19" s="400"/>
      <c r="C19" s="405"/>
      <c r="D19" s="400"/>
      <c r="E19" s="401"/>
      <c r="F19" s="402"/>
      <c r="G19" s="403"/>
      <c r="H19" s="404"/>
      <c r="I19" s="396"/>
    </row>
    <row r="20" spans="1:12" ht="18.75" x14ac:dyDescent="0.3">
      <c r="A20" s="406"/>
      <c r="B20" s="406"/>
      <c r="C20" s="399"/>
      <c r="D20" s="407"/>
      <c r="E20" s="407"/>
      <c r="F20" s="407"/>
      <c r="G20" s="408"/>
      <c r="H20" s="404"/>
      <c r="I20" s="396"/>
    </row>
    <row r="21" spans="1:12" ht="18.75" x14ac:dyDescent="0.3">
      <c r="A21" s="409"/>
      <c r="B21" s="410"/>
      <c r="C21" s="411" t="s">
        <v>17</v>
      </c>
      <c r="D21" s="407"/>
      <c r="E21" s="407"/>
      <c r="F21" s="407"/>
      <c r="G21" s="408"/>
      <c r="H21" s="404"/>
      <c r="I21" s="396"/>
    </row>
    <row r="22" spans="1:12" ht="18.75" x14ac:dyDescent="0.3">
      <c r="A22" s="397"/>
      <c r="B22" s="398"/>
      <c r="C22" s="399"/>
      <c r="D22" s="412"/>
      <c r="E22" s="412"/>
      <c r="F22" s="412"/>
      <c r="G22" s="394"/>
      <c r="H22" s="404"/>
      <c r="I22" s="396"/>
    </row>
    <row r="23" spans="1:12" ht="18.75" x14ac:dyDescent="0.3">
      <c r="A23" s="413"/>
      <c r="B23" s="406"/>
      <c r="C23" s="399"/>
      <c r="D23" s="412"/>
      <c r="E23" s="412"/>
      <c r="F23" s="412"/>
      <c r="G23" s="394"/>
      <c r="H23" s="404"/>
      <c r="I23" s="396"/>
    </row>
    <row r="24" spans="1:12" ht="18.75" x14ac:dyDescent="0.3">
      <c r="A24" s="413"/>
      <c r="B24" s="406"/>
      <c r="C24" s="399"/>
      <c r="D24" s="412"/>
      <c r="E24" s="412"/>
      <c r="F24" s="412"/>
      <c r="G24" s="394"/>
      <c r="H24" s="404"/>
      <c r="I24" s="396"/>
    </row>
    <row r="25" spans="1:12" ht="18.75" x14ac:dyDescent="0.3">
      <c r="A25" s="409"/>
      <c r="B25" s="410"/>
      <c r="C25" s="411"/>
      <c r="D25" s="414"/>
      <c r="E25" s="415"/>
      <c r="F25" s="416"/>
      <c r="G25" s="394"/>
      <c r="H25" s="404"/>
      <c r="I25" s="396"/>
    </row>
    <row r="26" spans="1:12" ht="18.75" x14ac:dyDescent="0.3">
      <c r="A26" s="417"/>
      <c r="B26" s="418"/>
      <c r="C26" s="419"/>
      <c r="D26" s="420"/>
      <c r="E26" s="421"/>
      <c r="F26" s="422"/>
      <c r="G26" s="394"/>
      <c r="H26" s="404"/>
      <c r="I26" s="396"/>
    </row>
    <row r="27" spans="1:12" ht="18.75" x14ac:dyDescent="0.3">
      <c r="A27" s="398"/>
      <c r="B27" s="398"/>
      <c r="C27" s="399"/>
      <c r="D27" s="423"/>
      <c r="E27" s="424"/>
      <c r="F27" s="425"/>
      <c r="G27" s="394"/>
      <c r="H27" s="404"/>
      <c r="I27" s="396"/>
    </row>
    <row r="28" spans="1:12" ht="18.75" x14ac:dyDescent="0.3">
      <c r="A28" s="426"/>
      <c r="B28" s="427"/>
      <c r="C28" s="428" t="s">
        <v>18</v>
      </c>
      <c r="D28" s="429"/>
      <c r="E28" s="430"/>
      <c r="F28" s="395"/>
      <c r="G28" s="394"/>
      <c r="H28" s="404"/>
      <c r="I28" s="396"/>
    </row>
    <row r="29" spans="1:12" ht="18.75" x14ac:dyDescent="0.3">
      <c r="A29" s="431">
        <v>702123</v>
      </c>
      <c r="B29" s="432" t="s">
        <v>73</v>
      </c>
      <c r="C29" s="433" t="s">
        <v>74</v>
      </c>
      <c r="D29" s="407" t="s">
        <v>221</v>
      </c>
      <c r="E29" s="434">
        <v>1</v>
      </c>
      <c r="F29" s="435" t="s">
        <v>76</v>
      </c>
      <c r="G29" s="436"/>
      <c r="H29" s="404"/>
      <c r="I29" s="396"/>
    </row>
    <row r="30" spans="1:12" ht="18.75" x14ac:dyDescent="0.3">
      <c r="A30" s="431"/>
      <c r="B30" s="432"/>
      <c r="C30" s="433"/>
      <c r="D30" s="407"/>
      <c r="E30" s="434"/>
      <c r="F30" s="435"/>
      <c r="G30" s="436"/>
      <c r="H30" s="404"/>
      <c r="I30" s="396"/>
    </row>
    <row r="31" spans="1:12" ht="18.75" x14ac:dyDescent="0.3">
      <c r="A31" s="437"/>
      <c r="B31" s="438"/>
      <c r="C31" s="439"/>
      <c r="D31" s="407"/>
      <c r="E31" s="434"/>
      <c r="F31" s="435"/>
      <c r="G31" s="436"/>
      <c r="H31" s="404"/>
      <c r="I31" s="396"/>
    </row>
    <row r="32" spans="1:12" ht="18.75" x14ac:dyDescent="0.3">
      <c r="A32" s="440"/>
      <c r="B32" s="440"/>
      <c r="C32" s="441"/>
      <c r="D32" s="407"/>
      <c r="E32" s="434"/>
      <c r="F32" s="435"/>
      <c r="G32" s="394"/>
      <c r="H32" s="404"/>
      <c r="I32" s="396"/>
    </row>
    <row r="33" spans="1:9" ht="18.75" x14ac:dyDescent="0.3">
      <c r="A33" s="440"/>
      <c r="B33" s="440"/>
      <c r="C33" s="441"/>
      <c r="D33" s="407"/>
      <c r="E33" s="434"/>
      <c r="F33" s="435"/>
      <c r="G33" s="394"/>
      <c r="H33" s="404"/>
      <c r="I33" s="396"/>
    </row>
    <row r="34" spans="1:9" ht="18.75" x14ac:dyDescent="0.3">
      <c r="A34" s="440"/>
      <c r="B34" s="440"/>
      <c r="C34" s="441"/>
      <c r="D34" s="407"/>
      <c r="E34" s="434"/>
      <c r="F34" s="435"/>
      <c r="G34" s="442"/>
      <c r="H34" s="404"/>
      <c r="I34" s="396"/>
    </row>
    <row r="35" spans="1:9" ht="18.75" x14ac:dyDescent="0.3">
      <c r="A35" s="440"/>
      <c r="B35" s="440"/>
      <c r="C35" s="441"/>
      <c r="D35" s="407"/>
      <c r="E35" s="434"/>
      <c r="F35" s="435"/>
      <c r="G35" s="443"/>
      <c r="H35" s="404"/>
      <c r="I35" s="396"/>
    </row>
    <row r="36" spans="1:9" ht="18.75" x14ac:dyDescent="0.3">
      <c r="A36" s="444"/>
      <c r="B36" s="444"/>
      <c r="C36" s="445"/>
      <c r="D36" s="407"/>
      <c r="E36" s="425"/>
      <c r="F36" s="425"/>
      <c r="G36" s="443"/>
      <c r="H36" s="404"/>
      <c r="I36" s="396"/>
    </row>
    <row r="37" spans="1:9" ht="18.75" thickBot="1" x14ac:dyDescent="0.3">
      <c r="A37" s="446"/>
      <c r="B37" s="447"/>
      <c r="C37" s="448" t="s">
        <v>53</v>
      </c>
      <c r="D37" s="448"/>
      <c r="E37" s="449"/>
      <c r="F37" s="450"/>
      <c r="G37" s="448"/>
      <c r="H37" s="448"/>
      <c r="I37" s="451"/>
    </row>
    <row r="38" spans="1:9" ht="18.75" thickBot="1" x14ac:dyDescent="0.3">
      <c r="A38" s="452"/>
      <c r="B38" s="453"/>
      <c r="C38" s="454" t="s">
        <v>53</v>
      </c>
      <c r="D38" s="455" t="s">
        <v>13</v>
      </c>
      <c r="E38" s="456" t="s">
        <v>19</v>
      </c>
      <c r="F38" s="457"/>
      <c r="G38" s="454"/>
      <c r="H38" s="454"/>
      <c r="I38" s="458"/>
    </row>
    <row r="39" spans="1:9" ht="18" x14ac:dyDescent="0.25">
      <c r="A39" s="879" t="s">
        <v>20</v>
      </c>
      <c r="B39" s="880"/>
      <c r="C39" s="881"/>
      <c r="D39" s="459">
        <f>SUM(E10:E13)</f>
        <v>16264.002020610224</v>
      </c>
      <c r="E39" s="460" t="s">
        <v>16</v>
      </c>
      <c r="F39" s="882" t="s">
        <v>21</v>
      </c>
      <c r="G39" s="882"/>
      <c r="H39" s="883"/>
      <c r="I39" s="884"/>
    </row>
    <row r="40" spans="1:9" ht="18" x14ac:dyDescent="0.25">
      <c r="A40" s="885" t="s">
        <v>22</v>
      </c>
      <c r="B40" s="886"/>
      <c r="C40" s="887"/>
      <c r="D40" s="408">
        <v>15</v>
      </c>
      <c r="E40" s="408" t="s">
        <v>23</v>
      </c>
      <c r="F40" s="888" t="s">
        <v>24</v>
      </c>
      <c r="G40" s="888"/>
      <c r="H40" s="889"/>
      <c r="I40" s="890"/>
    </row>
    <row r="41" spans="1:9" ht="18" x14ac:dyDescent="0.25">
      <c r="A41" s="885" t="s">
        <v>25</v>
      </c>
      <c r="B41" s="886"/>
      <c r="C41" s="887"/>
      <c r="D41" s="424">
        <v>1</v>
      </c>
      <c r="E41" s="408" t="s">
        <v>128</v>
      </c>
      <c r="F41" s="888" t="s">
        <v>26</v>
      </c>
      <c r="G41" s="888"/>
      <c r="H41" s="889"/>
      <c r="I41" s="890"/>
    </row>
    <row r="42" spans="1:9" ht="18" x14ac:dyDescent="0.25">
      <c r="A42" s="885" t="s">
        <v>27</v>
      </c>
      <c r="B42" s="886"/>
      <c r="C42" s="887"/>
      <c r="D42" s="424">
        <v>16263</v>
      </c>
      <c r="E42" s="408" t="s">
        <v>16</v>
      </c>
      <c r="F42" s="891" t="s">
        <v>28</v>
      </c>
      <c r="G42" s="892"/>
      <c r="H42" s="893"/>
      <c r="I42" s="894"/>
    </row>
    <row r="43" spans="1:9" ht="18.75" thickBot="1" x14ac:dyDescent="0.3">
      <c r="A43" s="896" t="s">
        <v>29</v>
      </c>
      <c r="B43" s="897"/>
      <c r="C43" s="898"/>
      <c r="D43" s="461">
        <f>SUM(E10:E13)-D39</f>
        <v>0</v>
      </c>
      <c r="E43" s="462" t="s">
        <v>16</v>
      </c>
      <c r="F43" s="899"/>
      <c r="G43" s="899"/>
      <c r="H43" s="889"/>
      <c r="I43" s="890"/>
    </row>
    <row r="44" spans="1:9" ht="18.75" thickBot="1" x14ac:dyDescent="0.3">
      <c r="A44" s="900" t="s">
        <v>30</v>
      </c>
      <c r="B44" s="901"/>
      <c r="C44" s="901"/>
      <c r="D44" s="901"/>
      <c r="E44" s="901"/>
      <c r="F44" s="901"/>
      <c r="G44" s="901"/>
      <c r="H44" s="901"/>
      <c r="I44" s="902"/>
    </row>
    <row r="45" spans="1:9" ht="14.45" customHeight="1" x14ac:dyDescent="0.3">
      <c r="A45" s="903" t="s">
        <v>222</v>
      </c>
      <c r="B45" s="904"/>
      <c r="C45" s="904"/>
      <c r="D45" s="904"/>
      <c r="E45" s="904"/>
      <c r="F45" s="904"/>
      <c r="G45" s="904"/>
      <c r="H45" s="904"/>
      <c r="I45" s="905"/>
    </row>
    <row r="46" spans="1:9" ht="23.45" customHeight="1" x14ac:dyDescent="0.3">
      <c r="A46" s="903" t="s">
        <v>223</v>
      </c>
      <c r="B46" s="904"/>
      <c r="C46" s="904"/>
      <c r="D46" s="904"/>
      <c r="E46" s="904"/>
      <c r="F46" s="904"/>
      <c r="G46" s="904"/>
      <c r="H46" s="904"/>
      <c r="I46" s="905"/>
    </row>
    <row r="47" spans="1:9" ht="18" customHeight="1" x14ac:dyDescent="0.3">
      <c r="A47" s="903" t="s">
        <v>224</v>
      </c>
      <c r="B47" s="904"/>
      <c r="C47" s="904"/>
      <c r="D47" s="904"/>
      <c r="E47" s="904"/>
      <c r="F47" s="904"/>
      <c r="G47" s="904"/>
      <c r="H47" s="904"/>
      <c r="I47" s="905"/>
    </row>
    <row r="48" spans="1:9" ht="24" customHeight="1" x14ac:dyDescent="0.3">
      <c r="A48" s="906" t="s">
        <v>225</v>
      </c>
      <c r="B48" s="907"/>
      <c r="C48" s="907"/>
      <c r="D48" s="907"/>
      <c r="E48" s="907"/>
      <c r="F48" s="907"/>
      <c r="G48" s="907"/>
      <c r="H48" s="907"/>
      <c r="I48" s="908"/>
    </row>
    <row r="49" spans="1:9" ht="23.45" customHeight="1" x14ac:dyDescent="0.3">
      <c r="A49" s="903" t="s">
        <v>226</v>
      </c>
      <c r="B49" s="904"/>
      <c r="C49" s="904"/>
      <c r="D49" s="904"/>
      <c r="E49" s="904"/>
      <c r="F49" s="904"/>
      <c r="G49" s="904"/>
      <c r="H49" s="904"/>
      <c r="I49" s="905"/>
    </row>
    <row r="50" spans="1:9" ht="23.45" customHeight="1" x14ac:dyDescent="0.3">
      <c r="A50" s="903" t="s">
        <v>227</v>
      </c>
      <c r="B50" s="904"/>
      <c r="C50" s="904"/>
      <c r="D50" s="904"/>
      <c r="E50" s="904"/>
      <c r="F50" s="904"/>
      <c r="G50" s="904"/>
      <c r="H50" s="904"/>
      <c r="I50" s="905"/>
    </row>
    <row r="51" spans="1:9" ht="14.45" customHeight="1" x14ac:dyDescent="0.25">
      <c r="A51" s="895"/>
      <c r="B51" s="895"/>
      <c r="C51" s="895"/>
      <c r="D51" s="895"/>
      <c r="E51" s="895"/>
      <c r="F51" s="895"/>
      <c r="G51" s="895"/>
      <c r="H51" s="895"/>
      <c r="I51" s="895"/>
    </row>
    <row r="52" spans="1:9" ht="14.45" customHeight="1" x14ac:dyDescent="0.25">
      <c r="A52" s="895"/>
      <c r="B52" s="895"/>
      <c r="C52" s="895"/>
      <c r="D52" s="895"/>
      <c r="E52" s="895"/>
      <c r="F52" s="895"/>
      <c r="G52" s="895"/>
      <c r="H52" s="895"/>
      <c r="I52" s="895"/>
    </row>
    <row r="53" spans="1:9" ht="18" customHeight="1" x14ac:dyDescent="0.25">
      <c r="A53" s="895"/>
      <c r="B53" s="895"/>
      <c r="C53" s="895"/>
      <c r="D53" s="895"/>
      <c r="E53" s="895"/>
      <c r="F53" s="895"/>
      <c r="G53" s="895"/>
      <c r="H53" s="895"/>
      <c r="I53" s="895"/>
    </row>
    <row r="54" spans="1:9" ht="14.45" customHeight="1" x14ac:dyDescent="0.25">
      <c r="A54" s="895"/>
      <c r="B54" s="895"/>
      <c r="C54" s="895"/>
      <c r="D54" s="895"/>
      <c r="E54" s="895"/>
      <c r="F54" s="895"/>
      <c r="G54" s="895"/>
      <c r="H54" s="895"/>
      <c r="I54" s="895"/>
    </row>
    <row r="55" spans="1:9" ht="14.45" customHeight="1" thickBot="1" x14ac:dyDescent="0.3">
      <c r="A55" s="909"/>
      <c r="B55" s="910"/>
      <c r="C55" s="910"/>
      <c r="D55" s="910"/>
      <c r="E55" s="910"/>
      <c r="F55" s="910"/>
      <c r="G55" s="910"/>
      <c r="H55" s="910"/>
      <c r="I55" s="911"/>
    </row>
    <row r="56" spans="1:9" ht="14.45" customHeight="1" x14ac:dyDescent="0.25">
      <c r="A56" s="912" t="s">
        <v>37</v>
      </c>
      <c r="B56" s="913"/>
      <c r="C56" s="913"/>
      <c r="D56" s="913"/>
      <c r="E56" s="913"/>
      <c r="F56" s="913"/>
      <c r="G56" s="913"/>
      <c r="H56" s="913"/>
      <c r="I56" s="913"/>
    </row>
    <row r="57" spans="1:9" ht="18" x14ac:dyDescent="0.25">
      <c r="A57" s="914" t="s">
        <v>228</v>
      </c>
      <c r="B57" s="914"/>
      <c r="C57" s="914"/>
      <c r="D57" s="914"/>
      <c r="E57" s="914"/>
      <c r="F57" s="914"/>
      <c r="G57" s="914"/>
      <c r="H57" s="914"/>
      <c r="I57" s="914"/>
    </row>
    <row r="58" spans="1:9" ht="18" x14ac:dyDescent="0.25">
      <c r="A58" s="855" t="s">
        <v>229</v>
      </c>
      <c r="B58" s="856"/>
      <c r="C58" s="856"/>
      <c r="D58" s="856"/>
      <c r="E58" s="856"/>
      <c r="F58" s="856"/>
      <c r="G58" s="856"/>
      <c r="H58" s="856"/>
      <c r="I58" s="857"/>
    </row>
    <row r="59" spans="1:9" ht="18" x14ac:dyDescent="0.25">
      <c r="A59" s="855" t="s">
        <v>230</v>
      </c>
      <c r="B59" s="856"/>
      <c r="C59" s="856"/>
      <c r="D59" s="856"/>
      <c r="E59" s="856"/>
      <c r="F59" s="856"/>
      <c r="G59" s="856"/>
      <c r="H59" s="856"/>
      <c r="I59" s="857"/>
    </row>
  </sheetData>
  <mergeCells count="48">
    <mergeCell ref="A59:I59"/>
    <mergeCell ref="A53:I53"/>
    <mergeCell ref="A54:I54"/>
    <mergeCell ref="A55:I55"/>
    <mergeCell ref="A56:I56"/>
    <mergeCell ref="A57:I57"/>
    <mergeCell ref="A58:I58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C995-FF3E-44C9-B126-48507B04054B}">
  <dimension ref="A1:I64"/>
  <sheetViews>
    <sheetView workbookViewId="0">
      <selection activeCell="B10" sqref="B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625"/>
      <c r="B1" s="626"/>
      <c r="C1" s="631" t="s">
        <v>0</v>
      </c>
      <c r="D1" s="631"/>
      <c r="E1" s="631"/>
      <c r="F1" s="631"/>
      <c r="G1" s="631"/>
      <c r="H1" s="3" t="s">
        <v>1</v>
      </c>
      <c r="I1" s="220" t="s">
        <v>231</v>
      </c>
    </row>
    <row r="2" spans="1:9" ht="16.5" thickBot="1" x14ac:dyDescent="0.3">
      <c r="A2" s="627"/>
      <c r="B2" s="628"/>
      <c r="C2" s="756" t="s">
        <v>2</v>
      </c>
      <c r="D2" s="756"/>
      <c r="E2" s="756"/>
      <c r="F2" s="756"/>
      <c r="G2" s="756"/>
      <c r="H2" s="4" t="s">
        <v>3</v>
      </c>
      <c r="I2" s="13" t="s">
        <v>98</v>
      </c>
    </row>
    <row r="3" spans="1:9" ht="18.75" thickBot="1" x14ac:dyDescent="0.25">
      <c r="A3" s="627"/>
      <c r="B3" s="628"/>
      <c r="C3" s="635" t="s">
        <v>232</v>
      </c>
      <c r="D3" s="635"/>
      <c r="E3" s="635"/>
      <c r="F3" s="635"/>
      <c r="G3" s="636"/>
      <c r="H3" s="637" t="s">
        <v>4</v>
      </c>
      <c r="I3" s="616">
        <v>45609</v>
      </c>
    </row>
    <row r="4" spans="1:9" ht="13.5" x14ac:dyDescent="0.25">
      <c r="A4" s="627"/>
      <c r="B4" s="628"/>
      <c r="C4" s="16" t="s">
        <v>5</v>
      </c>
      <c r="D4" s="619" t="s">
        <v>31</v>
      </c>
      <c r="E4" s="620"/>
      <c r="F4" s="620"/>
      <c r="G4" s="621"/>
      <c r="H4" s="638"/>
      <c r="I4" s="617"/>
    </row>
    <row r="5" spans="1:9" ht="14.25" thickBot="1" x14ac:dyDescent="0.3">
      <c r="A5" s="629"/>
      <c r="B5" s="630"/>
      <c r="C5" s="17" t="s">
        <v>6</v>
      </c>
      <c r="D5" s="622" t="s">
        <v>32</v>
      </c>
      <c r="E5" s="623"/>
      <c r="F5" s="623"/>
      <c r="G5" s="624"/>
      <c r="H5" s="639"/>
      <c r="I5" s="618"/>
    </row>
    <row r="6" spans="1:9" ht="18.75" thickBot="1" x14ac:dyDescent="0.3">
      <c r="A6" s="607" t="s">
        <v>33</v>
      </c>
      <c r="B6" s="607"/>
      <c r="C6" s="607"/>
      <c r="D6" s="608" t="s">
        <v>55</v>
      </c>
      <c r="E6" s="608"/>
      <c r="F6" s="608"/>
      <c r="G6" s="609" t="s">
        <v>34</v>
      </c>
      <c r="H6" s="609"/>
      <c r="I6" s="18" t="s">
        <v>55</v>
      </c>
    </row>
    <row r="7" spans="1:9" x14ac:dyDescent="0.2">
      <c r="A7" s="610" t="s">
        <v>7</v>
      </c>
      <c r="B7" s="612" t="s">
        <v>35</v>
      </c>
      <c r="C7" s="614" t="s">
        <v>8</v>
      </c>
      <c r="D7" s="614" t="s">
        <v>9</v>
      </c>
      <c r="E7" s="614" t="s">
        <v>10</v>
      </c>
      <c r="F7" s="614"/>
      <c r="G7" s="614" t="s">
        <v>11</v>
      </c>
      <c r="H7" s="614"/>
      <c r="I7" s="19" t="s">
        <v>12</v>
      </c>
    </row>
    <row r="8" spans="1:9" ht="26.25" thickBot="1" x14ac:dyDescent="0.25">
      <c r="A8" s="611"/>
      <c r="B8" s="613"/>
      <c r="C8" s="615"/>
      <c r="D8" s="61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5" x14ac:dyDescent="0.25">
      <c r="A9" s="23"/>
      <c r="B9" s="24"/>
      <c r="C9" s="25" t="s">
        <v>36</v>
      </c>
      <c r="D9" s="26"/>
      <c r="E9" s="27"/>
      <c r="F9" s="28"/>
      <c r="G9" s="27"/>
      <c r="H9" s="28"/>
      <c r="I9" s="29"/>
    </row>
    <row r="10" spans="1:9" ht="15.75" x14ac:dyDescent="0.25">
      <c r="A10" s="15">
        <v>20100115</v>
      </c>
      <c r="B10" s="15" t="s">
        <v>233</v>
      </c>
      <c r="C10" s="37" t="s">
        <v>234</v>
      </c>
      <c r="D10" s="1" t="s">
        <v>41</v>
      </c>
      <c r="E10" s="463">
        <v>4000</v>
      </c>
      <c r="F10" s="260" t="s">
        <v>16</v>
      </c>
      <c r="G10" s="172"/>
      <c r="H10" s="173"/>
      <c r="I10" s="29"/>
    </row>
    <row r="11" spans="1:9" ht="15.75" x14ac:dyDescent="0.25">
      <c r="A11" s="15">
        <v>10400009</v>
      </c>
      <c r="B11" s="15" t="s">
        <v>69</v>
      </c>
      <c r="C11" s="86" t="s">
        <v>235</v>
      </c>
      <c r="D11" s="1" t="s">
        <v>236</v>
      </c>
      <c r="E11" s="463">
        <v>5</v>
      </c>
      <c r="F11" s="260" t="s">
        <v>16</v>
      </c>
      <c r="G11" s="179"/>
      <c r="H11" s="173"/>
      <c r="I11" s="29"/>
    </row>
    <row r="12" spans="1:9" ht="15.75" x14ac:dyDescent="0.25">
      <c r="A12" s="91"/>
      <c r="B12" s="464" t="s">
        <v>237</v>
      </c>
      <c r="C12" t="s">
        <v>238</v>
      </c>
      <c r="D12" s="1" t="s">
        <v>154</v>
      </c>
      <c r="E12" s="260">
        <v>500</v>
      </c>
      <c r="F12" s="260" t="s">
        <v>16</v>
      </c>
      <c r="G12" s="179"/>
      <c r="H12" s="173"/>
      <c r="I12" s="29"/>
    </row>
    <row r="13" spans="1:9" ht="15" x14ac:dyDescent="0.25">
      <c r="A13" s="465"/>
      <c r="B13" s="464"/>
      <c r="D13" s="237"/>
      <c r="E13" s="237"/>
      <c r="F13" s="180"/>
      <c r="G13" s="179"/>
      <c r="H13" s="173"/>
      <c r="I13" s="29"/>
    </row>
    <row r="14" spans="1:9" ht="15" x14ac:dyDescent="0.25">
      <c r="A14" s="234"/>
      <c r="B14" s="235"/>
      <c r="C14" s="236"/>
      <c r="D14" s="237"/>
      <c r="E14" s="237"/>
      <c r="F14" s="180"/>
      <c r="G14" s="179"/>
      <c r="H14" s="173"/>
      <c r="I14" s="29"/>
    </row>
    <row r="15" spans="1:9" ht="15" x14ac:dyDescent="0.25">
      <c r="A15" s="466"/>
      <c r="B15" s="235"/>
      <c r="C15" s="236"/>
      <c r="D15" s="237"/>
      <c r="E15" s="237"/>
      <c r="F15" s="180"/>
      <c r="G15" s="179"/>
      <c r="H15" s="173"/>
      <c r="I15" s="29"/>
    </row>
    <row r="16" spans="1:9" ht="15" x14ac:dyDescent="0.25">
      <c r="A16" s="466"/>
      <c r="B16" s="235"/>
      <c r="C16" s="236"/>
      <c r="D16" s="238"/>
      <c r="E16" s="237"/>
      <c r="F16" s="180"/>
      <c r="G16" s="179"/>
      <c r="H16" s="173"/>
      <c r="I16" s="29"/>
    </row>
    <row r="17" spans="1:9" ht="15" x14ac:dyDescent="0.25">
      <c r="A17" s="234"/>
      <c r="B17" s="235"/>
      <c r="C17" s="236"/>
      <c r="D17" s="237"/>
      <c r="E17" s="237"/>
      <c r="F17" s="180"/>
      <c r="G17" s="179"/>
      <c r="H17" s="173"/>
      <c r="I17" s="29"/>
    </row>
    <row r="18" spans="1:9" ht="15" x14ac:dyDescent="0.25">
      <c r="A18" s="234"/>
      <c r="B18" s="235"/>
      <c r="C18" s="236"/>
      <c r="D18" s="237"/>
      <c r="E18" s="237"/>
      <c r="F18" s="180"/>
      <c r="G18" s="179"/>
      <c r="H18" s="173"/>
      <c r="I18" s="29"/>
    </row>
    <row r="19" spans="1:9" ht="15" x14ac:dyDescent="0.25">
      <c r="A19" s="234"/>
      <c r="B19" s="235"/>
      <c r="C19" s="236"/>
      <c r="D19" s="238"/>
      <c r="E19" s="237"/>
      <c r="F19" s="180"/>
      <c r="G19" s="179"/>
      <c r="H19" s="173"/>
      <c r="I19" s="29"/>
    </row>
    <row r="20" spans="1:9" ht="15" x14ac:dyDescent="0.25">
      <c r="A20" s="185"/>
      <c r="B20" s="186"/>
      <c r="C20" s="188"/>
      <c r="D20" s="177"/>
      <c r="E20" s="182"/>
      <c r="F20" s="181"/>
      <c r="G20" s="179"/>
      <c r="H20" s="180"/>
      <c r="I20" s="29"/>
    </row>
    <row r="21" spans="1:9" ht="15" x14ac:dyDescent="0.25">
      <c r="A21" s="185"/>
      <c r="B21" s="186"/>
      <c r="C21" s="187"/>
      <c r="D21" s="177"/>
      <c r="E21" s="189"/>
      <c r="F21" s="189"/>
      <c r="G21" s="179"/>
      <c r="H21" s="180"/>
      <c r="I21" s="29"/>
    </row>
    <row r="22" spans="1:9" ht="15" x14ac:dyDescent="0.25">
      <c r="A22" s="190"/>
      <c r="B22" s="191"/>
      <c r="C22" s="192"/>
      <c r="D22" s="193"/>
      <c r="E22" s="194"/>
      <c r="F22" s="194"/>
      <c r="G22" s="195"/>
      <c r="H22" s="180"/>
      <c r="I22" s="29"/>
    </row>
    <row r="23" spans="1:9" ht="15" x14ac:dyDescent="0.25">
      <c r="A23" s="190"/>
      <c r="B23" s="191"/>
      <c r="C23" s="192"/>
      <c r="D23" s="193"/>
      <c r="E23" s="194"/>
      <c r="F23" s="194"/>
      <c r="G23" s="195"/>
      <c r="H23" s="180"/>
      <c r="I23" s="29"/>
    </row>
    <row r="24" spans="1:9" ht="15" x14ac:dyDescent="0.25">
      <c r="A24" s="190"/>
      <c r="B24" s="191"/>
      <c r="C24" s="192"/>
      <c r="D24" s="193"/>
      <c r="E24" s="194"/>
      <c r="F24" s="194"/>
      <c r="G24" s="195"/>
      <c r="H24" s="180"/>
      <c r="I24" s="29"/>
    </row>
    <row r="25" spans="1:9" ht="15.75" x14ac:dyDescent="0.25">
      <c r="A25" s="14"/>
      <c r="B25" s="14"/>
      <c r="D25" s="33"/>
      <c r="E25" s="196"/>
      <c r="F25" s="196"/>
      <c r="G25" s="27"/>
      <c r="H25" s="180"/>
      <c r="I25" s="29"/>
    </row>
    <row r="26" spans="1:9" ht="15" x14ac:dyDescent="0.25">
      <c r="A26" s="15"/>
      <c r="B26" s="15"/>
      <c r="C26" s="32"/>
      <c r="D26" s="33"/>
      <c r="E26" s="33"/>
      <c r="F26" s="35"/>
      <c r="G26" s="27"/>
      <c r="H26" s="180"/>
      <c r="I26" s="29"/>
    </row>
    <row r="27" spans="1:9" ht="15.75" x14ac:dyDescent="0.25">
      <c r="A27" s="39"/>
      <c r="B27" s="40"/>
      <c r="C27" s="41" t="s">
        <v>17</v>
      </c>
      <c r="D27" s="34" t="s">
        <v>53</v>
      </c>
      <c r="E27" s="42"/>
      <c r="F27" s="35"/>
      <c r="G27" s="27"/>
      <c r="H27" s="180"/>
      <c r="I27" s="29"/>
    </row>
    <row r="28" spans="1:9" ht="15" x14ac:dyDescent="0.25">
      <c r="A28" s="197"/>
      <c r="B28" s="198"/>
      <c r="C28" s="199"/>
      <c r="D28" s="200" t="s">
        <v>53</v>
      </c>
      <c r="E28" s="33"/>
      <c r="F28" s="35"/>
      <c r="G28" s="27"/>
      <c r="H28" s="180"/>
      <c r="I28" s="29"/>
    </row>
    <row r="29" spans="1:9" ht="15" x14ac:dyDescent="0.25">
      <c r="A29" s="15"/>
      <c r="B29" s="15"/>
      <c r="C29" s="32"/>
      <c r="D29" s="200" t="s">
        <v>53</v>
      </c>
      <c r="E29" s="33"/>
      <c r="F29" s="35"/>
      <c r="G29" s="27"/>
      <c r="H29" s="180"/>
      <c r="I29" s="29"/>
    </row>
    <row r="30" spans="1:9" ht="15" x14ac:dyDescent="0.25">
      <c r="A30" s="201"/>
      <c r="B30" s="201"/>
      <c r="C30" s="199"/>
      <c r="D30" s="200" t="s">
        <v>53</v>
      </c>
      <c r="E30" s="33"/>
      <c r="F30" s="35"/>
      <c r="G30" s="27"/>
      <c r="H30" s="180"/>
      <c r="I30" s="29"/>
    </row>
    <row r="31" spans="1:9" ht="15" x14ac:dyDescent="0.25">
      <c r="A31" s="15"/>
      <c r="B31" s="15"/>
      <c r="C31" s="32"/>
      <c r="D31" s="33" t="s">
        <v>53</v>
      </c>
      <c r="E31" s="34"/>
      <c r="F31" s="35"/>
      <c r="G31" s="27"/>
      <c r="H31" s="180"/>
      <c r="I31" s="29"/>
    </row>
    <row r="32" spans="1:9" ht="15" x14ac:dyDescent="0.25">
      <c r="A32" s="15"/>
      <c r="B32" s="15"/>
      <c r="C32" s="32"/>
      <c r="D32" s="62" t="s">
        <v>53</v>
      </c>
      <c r="E32" s="202"/>
      <c r="F32" s="203"/>
      <c r="G32" s="27"/>
      <c r="H32" s="180"/>
      <c r="I32" s="29"/>
    </row>
    <row r="33" spans="1:9" ht="15.75" x14ac:dyDescent="0.25">
      <c r="A33" s="52"/>
      <c r="B33" s="53"/>
      <c r="C33" s="54" t="s">
        <v>18</v>
      </c>
      <c r="D33" s="55" t="s">
        <v>53</v>
      </c>
      <c r="E33" s="27"/>
      <c r="F33" s="28"/>
      <c r="G33" s="27"/>
      <c r="H33" s="180"/>
      <c r="I33" s="29"/>
    </row>
    <row r="34" spans="1:9" ht="15.75" x14ac:dyDescent="0.25">
      <c r="A34" s="466"/>
      <c r="B34" s="235"/>
      <c r="C34" s="236"/>
      <c r="D34" s="238"/>
      <c r="E34" s="467"/>
      <c r="F34" s="284"/>
      <c r="G34" s="179"/>
      <c r="H34" s="180"/>
      <c r="I34" s="29"/>
    </row>
    <row r="35" spans="1:9" ht="15" x14ac:dyDescent="0.25">
      <c r="A35" s="243"/>
      <c r="B35" s="244"/>
      <c r="C35" s="245"/>
      <c r="D35" s="246"/>
      <c r="E35" s="247"/>
      <c r="F35" s="248"/>
      <c r="G35" s="207"/>
      <c r="H35" s="180"/>
      <c r="I35" s="29"/>
    </row>
    <row r="36" spans="1:9" ht="15" x14ac:dyDescent="0.25">
      <c r="A36" s="174"/>
      <c r="B36" s="208"/>
      <c r="C36" s="176"/>
      <c r="D36" s="177"/>
      <c r="E36" s="59"/>
      <c r="F36" s="60"/>
      <c r="G36" s="27"/>
      <c r="H36" s="180"/>
      <c r="I36" s="29"/>
    </row>
    <row r="37" spans="1:9" ht="15" x14ac:dyDescent="0.25">
      <c r="A37" s="209"/>
      <c r="B37" s="209"/>
      <c r="C37" s="32"/>
      <c r="D37" s="34"/>
      <c r="E37" s="33"/>
      <c r="F37" s="35"/>
      <c r="G37" s="27"/>
      <c r="H37" s="28"/>
      <c r="I37" s="29"/>
    </row>
    <row r="38" spans="1:9" ht="15" x14ac:dyDescent="0.25">
      <c r="A38" s="210"/>
      <c r="B38" s="211"/>
      <c r="C38" s="212"/>
      <c r="D38" s="34"/>
      <c r="E38" s="33"/>
      <c r="F38" s="35"/>
      <c r="G38" s="27"/>
      <c r="H38" s="28"/>
      <c r="I38" s="29"/>
    </row>
    <row r="39" spans="1:9" ht="15.75" x14ac:dyDescent="0.25">
      <c r="A39" s="210"/>
      <c r="B39" s="211"/>
      <c r="C39" s="212"/>
      <c r="D39" s="70"/>
      <c r="E39" s="33"/>
      <c r="F39" s="35"/>
      <c r="G39" s="65"/>
      <c r="H39" s="34"/>
      <c r="I39" s="29"/>
    </row>
    <row r="40" spans="1:9" ht="15.75" x14ac:dyDescent="0.25">
      <c r="A40" s="39"/>
      <c r="B40" s="40"/>
      <c r="C40" s="69"/>
      <c r="D40" s="70"/>
      <c r="E40" s="33"/>
      <c r="F40" s="35"/>
      <c r="G40" s="33"/>
      <c r="H40" s="34"/>
      <c r="I40" s="29"/>
    </row>
    <row r="41" spans="1:9" ht="15.75" x14ac:dyDescent="0.25">
      <c r="A41" s="39"/>
      <c r="B41" s="40"/>
      <c r="C41" s="69"/>
      <c r="D41" s="70"/>
      <c r="E41" s="33"/>
      <c r="F41" s="35"/>
      <c r="G41" s="68"/>
      <c r="H41" s="35"/>
      <c r="I41" s="29"/>
    </row>
    <row r="42" spans="1:9" ht="15.75" x14ac:dyDescent="0.25">
      <c r="A42" s="39"/>
      <c r="B42" s="40"/>
      <c r="C42" s="69"/>
      <c r="D42" s="34"/>
      <c r="E42" s="34"/>
      <c r="F42" s="35"/>
      <c r="G42" s="70"/>
      <c r="H42" s="70"/>
      <c r="I42" s="29"/>
    </row>
    <row r="43" spans="1:9" ht="14.25" thickBot="1" x14ac:dyDescent="0.3">
      <c r="A43" s="71"/>
      <c r="B43" s="72"/>
      <c r="C43" s="73"/>
      <c r="D43" s="73"/>
      <c r="E43" s="74"/>
      <c r="F43" s="75"/>
      <c r="G43" s="73"/>
      <c r="H43" s="73"/>
      <c r="I43" s="76"/>
    </row>
    <row r="44" spans="1:9" ht="14.25" thickBot="1" x14ac:dyDescent="0.3">
      <c r="A44" s="77"/>
      <c r="B44" s="78"/>
      <c r="C44" s="79"/>
      <c r="D44" s="80" t="s">
        <v>13</v>
      </c>
      <c r="E44" s="81" t="s">
        <v>19</v>
      </c>
      <c r="F44" s="82"/>
      <c r="G44" s="79"/>
      <c r="H44" s="79"/>
      <c r="I44" s="83"/>
    </row>
    <row r="45" spans="1:9" ht="13.5" x14ac:dyDescent="0.25">
      <c r="A45" s="601" t="s">
        <v>20</v>
      </c>
      <c r="B45" s="602"/>
      <c r="C45" s="603"/>
      <c r="D45" s="213">
        <v>4300</v>
      </c>
      <c r="E45" s="214" t="s">
        <v>16</v>
      </c>
      <c r="F45" s="604" t="s">
        <v>21</v>
      </c>
      <c r="G45" s="604"/>
      <c r="H45" s="605"/>
      <c r="I45" s="606"/>
    </row>
    <row r="46" spans="1:9" ht="13.5" x14ac:dyDescent="0.25">
      <c r="A46" s="584" t="s">
        <v>22</v>
      </c>
      <c r="B46" s="585"/>
      <c r="C46" s="586"/>
      <c r="D46" s="215">
        <v>5</v>
      </c>
      <c r="E46" s="216" t="s">
        <v>191</v>
      </c>
      <c r="F46" s="587" t="s">
        <v>24</v>
      </c>
      <c r="G46" s="587"/>
      <c r="H46" s="588"/>
      <c r="I46" s="589"/>
    </row>
    <row r="47" spans="1:9" ht="13.5" x14ac:dyDescent="0.25">
      <c r="A47" s="584" t="s">
        <v>25</v>
      </c>
      <c r="B47" s="585"/>
      <c r="C47" s="586"/>
      <c r="D47" s="216">
        <v>1</v>
      </c>
      <c r="E47" s="216" t="s">
        <v>76</v>
      </c>
      <c r="F47" s="587" t="s">
        <v>26</v>
      </c>
      <c r="G47" s="587"/>
      <c r="H47" s="588"/>
      <c r="I47" s="589"/>
    </row>
    <row r="48" spans="1:9" ht="13.5" x14ac:dyDescent="0.25">
      <c r="A48" s="584" t="s">
        <v>27</v>
      </c>
      <c r="B48" s="585"/>
      <c r="C48" s="586"/>
      <c r="D48" s="216">
        <v>4300</v>
      </c>
      <c r="E48" s="216" t="s">
        <v>16</v>
      </c>
      <c r="F48" s="590" t="s">
        <v>28</v>
      </c>
      <c r="G48" s="591"/>
      <c r="H48" s="588"/>
      <c r="I48" s="589"/>
    </row>
    <row r="49" spans="1:9" ht="14.25" thickBot="1" x14ac:dyDescent="0.3">
      <c r="A49" s="594" t="s">
        <v>29</v>
      </c>
      <c r="B49" s="595"/>
      <c r="C49" s="596"/>
      <c r="D49" s="217">
        <v>205</v>
      </c>
      <c r="E49" s="218" t="s">
        <v>16</v>
      </c>
      <c r="F49" s="597"/>
      <c r="G49" s="597"/>
      <c r="H49" s="737"/>
      <c r="I49" s="738"/>
    </row>
    <row r="50" spans="1:9" ht="13.5" thickBot="1" x14ac:dyDescent="0.25">
      <c r="A50" s="598" t="s">
        <v>30</v>
      </c>
      <c r="B50" s="599"/>
      <c r="C50" s="599"/>
      <c r="D50" s="599"/>
      <c r="E50" s="599"/>
      <c r="F50" s="599"/>
      <c r="G50" s="599"/>
      <c r="H50" s="599"/>
      <c r="I50" s="600"/>
    </row>
    <row r="51" spans="1:9" ht="15" x14ac:dyDescent="0.25">
      <c r="A51" s="915" t="s">
        <v>239</v>
      </c>
      <c r="B51" s="916"/>
      <c r="C51" s="916"/>
      <c r="D51" s="916"/>
      <c r="E51" s="916"/>
      <c r="F51" s="916"/>
      <c r="G51" s="916"/>
      <c r="H51" s="916"/>
      <c r="I51" s="917"/>
    </row>
    <row r="52" spans="1:9" ht="15" x14ac:dyDescent="0.25">
      <c r="A52" s="918" t="s">
        <v>240</v>
      </c>
      <c r="B52" s="919"/>
      <c r="C52" s="919"/>
      <c r="D52" s="919"/>
      <c r="E52" s="919"/>
      <c r="F52" s="919"/>
      <c r="G52" s="919"/>
      <c r="H52" s="919"/>
      <c r="I52" s="920"/>
    </row>
    <row r="53" spans="1:9" ht="15" x14ac:dyDescent="0.25">
      <c r="A53" s="918" t="s">
        <v>241</v>
      </c>
      <c r="B53" s="919"/>
      <c r="C53" s="919"/>
      <c r="D53" s="919"/>
      <c r="E53" s="919"/>
      <c r="F53" s="919"/>
      <c r="G53" s="919"/>
      <c r="H53" s="919"/>
      <c r="I53" s="920"/>
    </row>
    <row r="54" spans="1:9" ht="15" x14ac:dyDescent="0.25">
      <c r="A54" s="918" t="s">
        <v>242</v>
      </c>
      <c r="B54" s="919"/>
      <c r="C54" s="919"/>
      <c r="D54" s="919"/>
      <c r="E54" s="919"/>
      <c r="F54" s="919"/>
      <c r="G54" s="919"/>
      <c r="H54" s="919"/>
      <c r="I54" s="920"/>
    </row>
    <row r="55" spans="1:9" ht="15" x14ac:dyDescent="0.25">
      <c r="A55" s="918" t="s">
        <v>243</v>
      </c>
      <c r="B55" s="919"/>
      <c r="C55" s="919"/>
      <c r="D55" s="919"/>
      <c r="E55" s="919"/>
      <c r="F55" s="919"/>
      <c r="G55" s="919"/>
      <c r="H55" s="919"/>
      <c r="I55" s="920"/>
    </row>
    <row r="56" spans="1:9" ht="15" x14ac:dyDescent="0.25">
      <c r="A56" s="687"/>
      <c r="B56" s="688"/>
      <c r="C56" s="688"/>
      <c r="D56" s="688"/>
      <c r="E56" s="688"/>
      <c r="F56" s="688"/>
      <c r="G56" s="688"/>
      <c r="H56" s="688"/>
      <c r="I56" s="689"/>
    </row>
    <row r="57" spans="1:9" ht="14.25" x14ac:dyDescent="0.2">
      <c r="A57" s="734"/>
      <c r="B57" s="735"/>
      <c r="C57" s="735"/>
      <c r="D57" s="735"/>
      <c r="E57" s="735"/>
      <c r="F57" s="735"/>
      <c r="G57" s="735"/>
      <c r="H57" s="735"/>
      <c r="I57" s="736"/>
    </row>
    <row r="58" spans="1:9" ht="14.25" x14ac:dyDescent="0.2">
      <c r="A58" s="734"/>
      <c r="B58" s="735"/>
      <c r="C58" s="735"/>
      <c r="D58" s="735"/>
      <c r="E58" s="735"/>
      <c r="F58" s="735"/>
      <c r="G58" s="735"/>
      <c r="H58" s="735"/>
      <c r="I58" s="736"/>
    </row>
    <row r="59" spans="1:9" ht="15" thickBot="1" x14ac:dyDescent="0.25">
      <c r="A59" s="750"/>
      <c r="B59" s="751"/>
      <c r="C59" s="751"/>
      <c r="D59" s="751"/>
      <c r="E59" s="751"/>
      <c r="F59" s="751"/>
      <c r="G59" s="751"/>
      <c r="H59" s="751"/>
      <c r="I59" s="752"/>
    </row>
    <row r="60" spans="1:9" ht="15" x14ac:dyDescent="0.25">
      <c r="A60" s="219"/>
      <c r="B60" s="219"/>
      <c r="C60" s="219"/>
      <c r="D60" s="219"/>
      <c r="E60" s="219"/>
      <c r="F60" s="219"/>
      <c r="G60" s="219"/>
      <c r="H60" s="219"/>
      <c r="I60" s="219"/>
    </row>
    <row r="61" spans="1:9" ht="14.25" thickBot="1" x14ac:dyDescent="0.3">
      <c r="A61" s="753"/>
      <c r="B61" s="754"/>
      <c r="C61" s="754"/>
      <c r="D61" s="754"/>
      <c r="E61" s="754"/>
      <c r="F61" s="754"/>
      <c r="G61" s="754"/>
      <c r="H61" s="754"/>
      <c r="I61" s="755"/>
    </row>
    <row r="62" spans="1:9" x14ac:dyDescent="0.2">
      <c r="A62" s="576" t="s">
        <v>37</v>
      </c>
      <c r="B62" s="577"/>
      <c r="C62" s="577"/>
      <c r="D62" s="577"/>
      <c r="E62" s="577"/>
      <c r="F62" s="577"/>
      <c r="G62" s="577"/>
      <c r="H62" s="577"/>
      <c r="I62" s="577"/>
    </row>
    <row r="63" spans="1:9" ht="13.5" x14ac:dyDescent="0.25">
      <c r="A63" s="578"/>
      <c r="B63" s="579"/>
      <c r="C63" s="579"/>
      <c r="D63" s="579"/>
      <c r="E63" s="579"/>
      <c r="F63" s="579"/>
      <c r="G63" s="579"/>
      <c r="H63" s="579"/>
      <c r="I63" s="579"/>
    </row>
    <row r="64" spans="1:9" ht="13.5" x14ac:dyDescent="0.25">
      <c r="A64" s="578"/>
      <c r="B64" s="579"/>
      <c r="C64" s="579"/>
      <c r="D64" s="579"/>
      <c r="E64" s="579"/>
      <c r="F64" s="579"/>
      <c r="G64" s="579"/>
      <c r="H64" s="579"/>
      <c r="I64" s="579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B2AA-C0BF-407A-B308-39A14CBAB0FB}">
  <dimension ref="A1:I43"/>
  <sheetViews>
    <sheetView workbookViewId="0">
      <selection activeCell="D15" sqref="D14:D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625"/>
      <c r="B1" s="626"/>
      <c r="C1" s="631" t="s">
        <v>0</v>
      </c>
      <c r="D1" s="631"/>
      <c r="E1" s="631"/>
      <c r="F1" s="631"/>
      <c r="G1" s="631"/>
      <c r="H1" s="3" t="s">
        <v>1</v>
      </c>
      <c r="I1" s="12" t="s">
        <v>244</v>
      </c>
    </row>
    <row r="2" spans="1:9" ht="16.5" thickBot="1" x14ac:dyDescent="0.3">
      <c r="A2" s="627"/>
      <c r="B2" s="628"/>
      <c r="C2" s="756" t="s">
        <v>2</v>
      </c>
      <c r="D2" s="756"/>
      <c r="E2" s="756"/>
      <c r="F2" s="756"/>
      <c r="G2" s="756"/>
      <c r="H2" s="4" t="s">
        <v>3</v>
      </c>
      <c r="I2" s="13" t="s">
        <v>245</v>
      </c>
    </row>
    <row r="3" spans="1:9" ht="18.75" thickBot="1" x14ac:dyDescent="0.3">
      <c r="A3" s="627"/>
      <c r="B3" s="628"/>
      <c r="C3" s="921" t="s">
        <v>246</v>
      </c>
      <c r="D3" s="922"/>
      <c r="E3" s="922"/>
      <c r="F3" s="922"/>
      <c r="G3" s="923"/>
      <c r="H3" s="637" t="s">
        <v>4</v>
      </c>
      <c r="I3" s="616">
        <v>45609</v>
      </c>
    </row>
    <row r="4" spans="1:9" ht="13.5" x14ac:dyDescent="0.25">
      <c r="A4" s="627"/>
      <c r="B4" s="628"/>
      <c r="C4" s="16" t="s">
        <v>5</v>
      </c>
      <c r="D4" s="619" t="s">
        <v>31</v>
      </c>
      <c r="E4" s="620"/>
      <c r="F4" s="620"/>
      <c r="G4" s="621"/>
      <c r="H4" s="638"/>
      <c r="I4" s="617"/>
    </row>
    <row r="5" spans="1:9" ht="14.25" thickBot="1" x14ac:dyDescent="0.3">
      <c r="A5" s="629"/>
      <c r="B5" s="630"/>
      <c r="C5" s="17" t="s">
        <v>6</v>
      </c>
      <c r="D5" s="622" t="s">
        <v>32</v>
      </c>
      <c r="E5" s="623"/>
      <c r="F5" s="623"/>
      <c r="G5" s="624"/>
      <c r="H5" s="639"/>
      <c r="I5" s="618"/>
    </row>
    <row r="6" spans="1:9" ht="18.75" thickBot="1" x14ac:dyDescent="0.3">
      <c r="A6" s="607" t="s">
        <v>33</v>
      </c>
      <c r="B6" s="607"/>
      <c r="C6" s="607"/>
      <c r="D6" s="608" t="s">
        <v>55</v>
      </c>
      <c r="E6" s="608"/>
      <c r="F6" s="608"/>
      <c r="G6" s="609" t="s">
        <v>34</v>
      </c>
      <c r="H6" s="609"/>
      <c r="I6" s="18" t="s">
        <v>18</v>
      </c>
    </row>
    <row r="7" spans="1:9" x14ac:dyDescent="0.2">
      <c r="A7" s="610" t="s">
        <v>7</v>
      </c>
      <c r="B7" s="612" t="s">
        <v>35</v>
      </c>
      <c r="C7" s="614" t="s">
        <v>8</v>
      </c>
      <c r="D7" s="614" t="s">
        <v>9</v>
      </c>
      <c r="E7" s="614" t="s">
        <v>10</v>
      </c>
      <c r="F7" s="614"/>
      <c r="G7" s="614" t="s">
        <v>11</v>
      </c>
      <c r="H7" s="614"/>
      <c r="I7" s="19" t="s">
        <v>12</v>
      </c>
    </row>
    <row r="8" spans="1:9" ht="26.25" thickBot="1" x14ac:dyDescent="0.25">
      <c r="A8" s="611"/>
      <c r="B8" s="613"/>
      <c r="C8" s="615"/>
      <c r="D8" s="61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5.75" thickBot="1" x14ac:dyDescent="0.3">
      <c r="A9" s="23"/>
      <c r="B9" s="24"/>
      <c r="C9" s="25" t="s">
        <v>36</v>
      </c>
      <c r="D9" s="26"/>
      <c r="E9" s="27"/>
      <c r="F9" s="28"/>
      <c r="G9" s="27"/>
      <c r="H9" s="28"/>
      <c r="I9" s="29"/>
    </row>
    <row r="10" spans="1:9" ht="15.75" thickBot="1" x14ac:dyDescent="0.3">
      <c r="A10" s="468" t="s">
        <v>247</v>
      </c>
      <c r="B10" s="15" t="s">
        <v>56</v>
      </c>
      <c r="C10" s="166" t="s">
        <v>57</v>
      </c>
      <c r="D10" s="469" t="s">
        <v>58</v>
      </c>
      <c r="E10" s="50">
        <v>46000</v>
      </c>
      <c r="F10" s="470" t="s">
        <v>16</v>
      </c>
      <c r="G10" s="471"/>
      <c r="H10" s="472"/>
      <c r="I10" s="29"/>
    </row>
    <row r="11" spans="1:9" ht="15.75" thickBot="1" x14ac:dyDescent="0.3">
      <c r="A11" s="468" t="s">
        <v>248</v>
      </c>
      <c r="B11" s="15" t="s">
        <v>63</v>
      </c>
      <c r="C11" s="166" t="s">
        <v>64</v>
      </c>
      <c r="D11" s="469" t="s">
        <v>65</v>
      </c>
      <c r="E11" s="50">
        <v>124</v>
      </c>
      <c r="F11" s="470" t="s">
        <v>16</v>
      </c>
      <c r="G11" s="195"/>
      <c r="H11" s="472"/>
      <c r="I11" s="29"/>
    </row>
    <row r="12" spans="1:9" ht="15.75" thickBot="1" x14ac:dyDescent="0.3">
      <c r="A12" s="473" t="s">
        <v>249</v>
      </c>
      <c r="B12" s="15" t="s">
        <v>66</v>
      </c>
      <c r="C12" s="474" t="s">
        <v>67</v>
      </c>
      <c r="D12" s="469" t="s">
        <v>65</v>
      </c>
      <c r="E12" s="50">
        <v>2700</v>
      </c>
      <c r="F12" s="470" t="s">
        <v>16</v>
      </c>
      <c r="G12" s="195"/>
      <c r="H12" s="472"/>
      <c r="I12" s="29"/>
    </row>
    <row r="13" spans="1:9" ht="15.75" thickBot="1" x14ac:dyDescent="0.3">
      <c r="A13" s="468" t="s">
        <v>102</v>
      </c>
      <c r="B13" s="15"/>
      <c r="C13" s="166" t="s">
        <v>68</v>
      </c>
      <c r="D13" s="469" t="s">
        <v>41</v>
      </c>
      <c r="E13" s="45">
        <v>1620</v>
      </c>
      <c r="F13" s="46" t="s">
        <v>16</v>
      </c>
      <c r="G13" s="195"/>
      <c r="H13" s="472"/>
      <c r="I13" s="29"/>
    </row>
    <row r="14" spans="1:9" ht="15.75" thickBot="1" x14ac:dyDescent="0.3">
      <c r="A14" s="468" t="s">
        <v>250</v>
      </c>
      <c r="B14" s="15" t="s">
        <v>69</v>
      </c>
      <c r="C14" s="166" t="s">
        <v>70</v>
      </c>
      <c r="D14" s="469" t="s">
        <v>71</v>
      </c>
      <c r="E14" s="45">
        <v>4</v>
      </c>
      <c r="F14" s="46" t="s">
        <v>16</v>
      </c>
      <c r="G14" s="195"/>
      <c r="H14" s="472"/>
      <c r="I14" s="29"/>
    </row>
    <row r="15" spans="1:9" ht="15.75" thickBot="1" x14ac:dyDescent="0.3">
      <c r="A15" s="475" t="s">
        <v>251</v>
      </c>
      <c r="B15" s="15" t="s">
        <v>252</v>
      </c>
      <c r="C15" s="233" t="s">
        <v>253</v>
      </c>
      <c r="D15" s="469" t="s">
        <v>254</v>
      </c>
      <c r="E15" s="45">
        <v>4</v>
      </c>
      <c r="F15" s="46" t="s">
        <v>16</v>
      </c>
      <c r="G15" s="195"/>
      <c r="H15" s="472"/>
      <c r="I15" s="29"/>
    </row>
    <row r="16" spans="1:9" ht="15.75" thickBot="1" x14ac:dyDescent="0.3">
      <c r="A16" s="468" t="s">
        <v>255</v>
      </c>
      <c r="B16" s="15" t="s">
        <v>59</v>
      </c>
      <c r="C16" s="166" t="s">
        <v>60</v>
      </c>
      <c r="D16" s="469" t="s">
        <v>41</v>
      </c>
      <c r="E16" s="50">
        <v>14260</v>
      </c>
      <c r="F16" s="470" t="s">
        <v>16</v>
      </c>
      <c r="G16" s="195"/>
      <c r="H16" s="472"/>
      <c r="I16" s="29"/>
    </row>
    <row r="17" spans="1:9" ht="15.75" thickBot="1" x14ac:dyDescent="0.3">
      <c r="A17" s="468" t="s">
        <v>256</v>
      </c>
      <c r="B17" s="15" t="s">
        <v>61</v>
      </c>
      <c r="C17" s="166" t="s">
        <v>62</v>
      </c>
      <c r="D17" s="469" t="s">
        <v>41</v>
      </c>
      <c r="E17" s="50">
        <v>1840</v>
      </c>
      <c r="F17" s="470" t="s">
        <v>16</v>
      </c>
      <c r="G17" s="195"/>
      <c r="H17" s="472"/>
      <c r="I17" s="29"/>
    </row>
    <row r="18" spans="1:9" ht="15" x14ac:dyDescent="0.25">
      <c r="A18" s="476"/>
      <c r="B18" s="477"/>
      <c r="C18" s="233"/>
      <c r="D18" s="469"/>
      <c r="E18" s="45"/>
      <c r="F18" s="46"/>
      <c r="G18" s="195"/>
      <c r="H18" s="472"/>
      <c r="I18" s="29"/>
    </row>
    <row r="19" spans="1:9" ht="15.75" x14ac:dyDescent="0.25">
      <c r="A19" s="52"/>
      <c r="B19" s="53"/>
      <c r="C19" s="54" t="s">
        <v>18</v>
      </c>
      <c r="D19" s="55"/>
      <c r="E19" s="27"/>
      <c r="F19" s="28"/>
      <c r="G19" s="27"/>
      <c r="H19" s="28"/>
      <c r="I19" s="29"/>
    </row>
    <row r="20" spans="1:9" ht="15" x14ac:dyDescent="0.25">
      <c r="A20" s="14" t="s">
        <v>72</v>
      </c>
      <c r="B20" s="15" t="s">
        <v>73</v>
      </c>
      <c r="C20" s="166" t="s">
        <v>74</v>
      </c>
      <c r="D20" s="469" t="s">
        <v>75</v>
      </c>
      <c r="E20" s="50">
        <v>12</v>
      </c>
      <c r="F20" s="470" t="s">
        <v>76</v>
      </c>
      <c r="G20" s="207"/>
      <c r="H20" s="34"/>
      <c r="I20" s="29"/>
    </row>
    <row r="21" spans="1:9" ht="15" x14ac:dyDescent="0.25">
      <c r="A21" s="174"/>
      <c r="B21" s="208"/>
      <c r="C21" s="176"/>
      <c r="D21" s="177"/>
      <c r="E21" s="59"/>
      <c r="F21" s="60"/>
      <c r="G21" s="207"/>
      <c r="H21" s="34"/>
      <c r="I21" s="29"/>
    </row>
    <row r="22" spans="1:9" ht="14.25" thickBot="1" x14ac:dyDescent="0.3">
      <c r="A22" s="71"/>
      <c r="B22" s="72"/>
      <c r="C22" s="73"/>
      <c r="D22" s="73"/>
      <c r="E22" s="74"/>
      <c r="F22" s="75"/>
      <c r="G22" s="73"/>
      <c r="H22" s="73"/>
      <c r="I22" s="76"/>
    </row>
    <row r="23" spans="1:9" ht="14.25" thickBot="1" x14ac:dyDescent="0.3">
      <c r="A23" s="77"/>
      <c r="B23" s="78"/>
      <c r="C23" s="79"/>
      <c r="D23" s="80" t="s">
        <v>13</v>
      </c>
      <c r="E23" s="81" t="s">
        <v>19</v>
      </c>
      <c r="F23" s="82"/>
      <c r="G23" s="79"/>
      <c r="H23" s="79"/>
      <c r="I23" s="83"/>
    </row>
    <row r="24" spans="1:9" ht="13.5" x14ac:dyDescent="0.25">
      <c r="A24" s="601" t="s">
        <v>20</v>
      </c>
      <c r="B24" s="602"/>
      <c r="C24" s="603"/>
      <c r="D24" s="213">
        <v>62600</v>
      </c>
      <c r="E24" s="214" t="s">
        <v>16</v>
      </c>
      <c r="F24" s="604" t="s">
        <v>21</v>
      </c>
      <c r="G24" s="604"/>
      <c r="H24" s="605"/>
      <c r="I24" s="606"/>
    </row>
    <row r="25" spans="1:9" ht="13.5" x14ac:dyDescent="0.25">
      <c r="A25" s="584" t="s">
        <v>22</v>
      </c>
      <c r="B25" s="585"/>
      <c r="C25" s="586"/>
      <c r="D25" s="215">
        <v>35</v>
      </c>
      <c r="E25" s="216" t="s">
        <v>23</v>
      </c>
      <c r="F25" s="587" t="s">
        <v>24</v>
      </c>
      <c r="G25" s="587"/>
      <c r="H25" s="588"/>
      <c r="I25" s="589"/>
    </row>
    <row r="26" spans="1:9" ht="13.5" x14ac:dyDescent="0.25">
      <c r="A26" s="584" t="s">
        <v>25</v>
      </c>
      <c r="B26" s="585"/>
      <c r="C26" s="586"/>
      <c r="D26" s="216">
        <f>D24/D27</f>
        <v>12.52</v>
      </c>
      <c r="E26" s="216" t="s">
        <v>166</v>
      </c>
      <c r="F26" s="587" t="s">
        <v>26</v>
      </c>
      <c r="G26" s="587"/>
      <c r="H26" s="588"/>
      <c r="I26" s="589"/>
    </row>
    <row r="27" spans="1:9" ht="13.5" x14ac:dyDescent="0.25">
      <c r="A27" s="584" t="s">
        <v>27</v>
      </c>
      <c r="B27" s="585"/>
      <c r="C27" s="586"/>
      <c r="D27" s="216">
        <v>5000</v>
      </c>
      <c r="E27" s="216" t="s">
        <v>16</v>
      </c>
      <c r="F27" s="590" t="s">
        <v>28</v>
      </c>
      <c r="G27" s="591"/>
      <c r="H27" s="588"/>
      <c r="I27" s="589"/>
    </row>
    <row r="28" spans="1:9" ht="14.25" thickBot="1" x14ac:dyDescent="0.3">
      <c r="A28" s="594" t="s">
        <v>29</v>
      </c>
      <c r="B28" s="595"/>
      <c r="C28" s="596"/>
      <c r="D28" s="217">
        <f>SUM(E10:E17)-D24</f>
        <v>3952</v>
      </c>
      <c r="E28" s="218" t="s">
        <v>16</v>
      </c>
      <c r="F28" s="597"/>
      <c r="G28" s="597"/>
      <c r="H28" s="737"/>
      <c r="I28" s="738"/>
    </row>
    <row r="29" spans="1:9" ht="13.5" thickBot="1" x14ac:dyDescent="0.25">
      <c r="A29" s="598" t="s">
        <v>30</v>
      </c>
      <c r="B29" s="599"/>
      <c r="C29" s="599"/>
      <c r="D29" s="599"/>
      <c r="E29" s="599"/>
      <c r="F29" s="599"/>
      <c r="G29" s="599"/>
      <c r="H29" s="599"/>
      <c r="I29" s="600"/>
    </row>
    <row r="30" spans="1:9" ht="13.5" x14ac:dyDescent="0.25">
      <c r="A30" s="924" t="s">
        <v>257</v>
      </c>
      <c r="B30" s="925"/>
      <c r="C30" s="925"/>
      <c r="D30" s="925"/>
      <c r="E30" s="925"/>
      <c r="F30" s="925"/>
      <c r="G30" s="925"/>
      <c r="H30" s="925"/>
      <c r="I30" s="926"/>
    </row>
    <row r="31" spans="1:9" ht="13.5" x14ac:dyDescent="0.25">
      <c r="A31" s="684" t="s">
        <v>258</v>
      </c>
      <c r="B31" s="685"/>
      <c r="C31" s="685"/>
      <c r="D31" s="685"/>
      <c r="E31" s="685"/>
      <c r="F31" s="685"/>
      <c r="G31" s="685"/>
      <c r="H31" s="685"/>
      <c r="I31" s="686"/>
    </row>
    <row r="32" spans="1:9" ht="13.5" x14ac:dyDescent="0.25">
      <c r="A32" s="684" t="s">
        <v>77</v>
      </c>
      <c r="B32" s="685"/>
      <c r="C32" s="685"/>
      <c r="D32" s="685"/>
      <c r="E32" s="685"/>
      <c r="F32" s="685"/>
      <c r="G32" s="685"/>
      <c r="H32" s="685"/>
      <c r="I32" s="686"/>
    </row>
    <row r="33" spans="1:9" ht="13.5" x14ac:dyDescent="0.25">
      <c r="A33" s="927"/>
      <c r="B33" s="928"/>
      <c r="C33" s="928"/>
      <c r="D33" s="928"/>
      <c r="E33" s="928"/>
      <c r="F33" s="928"/>
      <c r="G33" s="928"/>
      <c r="H33" s="928"/>
      <c r="I33" s="929"/>
    </row>
    <row r="34" spans="1:9" ht="13.5" x14ac:dyDescent="0.2">
      <c r="A34" s="930"/>
      <c r="B34" s="931"/>
      <c r="C34" s="931"/>
      <c r="D34" s="931"/>
      <c r="E34" s="931"/>
      <c r="F34" s="931"/>
      <c r="G34" s="931"/>
      <c r="H34" s="931"/>
      <c r="I34" s="932"/>
    </row>
    <row r="35" spans="1:9" ht="15" x14ac:dyDescent="0.25">
      <c r="A35" s="933" t="s">
        <v>259</v>
      </c>
      <c r="B35" s="933"/>
      <c r="C35" s="933"/>
      <c r="D35" s="933"/>
      <c r="E35" s="933"/>
      <c r="F35" s="933"/>
      <c r="G35" s="933"/>
      <c r="H35" s="933"/>
      <c r="I35" s="933"/>
    </row>
    <row r="36" spans="1:9" ht="15" x14ac:dyDescent="0.25">
      <c r="A36" s="219" t="s">
        <v>260</v>
      </c>
      <c r="B36" s="219"/>
      <c r="C36" s="219"/>
      <c r="D36" s="219"/>
      <c r="E36" s="219"/>
      <c r="F36" s="219"/>
      <c r="G36" s="219"/>
      <c r="H36" s="219"/>
      <c r="I36" s="219"/>
    </row>
    <row r="37" spans="1:9" ht="15" x14ac:dyDescent="0.25">
      <c r="A37" s="919" t="s">
        <v>261</v>
      </c>
      <c r="B37" s="919"/>
      <c r="C37" s="919"/>
      <c r="D37" s="919"/>
      <c r="E37" s="919"/>
      <c r="F37" s="919"/>
      <c r="G37" s="919"/>
      <c r="H37" s="919"/>
      <c r="I37" s="919"/>
    </row>
    <row r="38" spans="1:9" ht="15" x14ac:dyDescent="0.25">
      <c r="A38" s="219" t="s">
        <v>262</v>
      </c>
      <c r="B38" s="219"/>
      <c r="C38" s="219"/>
      <c r="D38" s="219"/>
      <c r="E38" s="219"/>
      <c r="F38" s="219"/>
      <c r="G38" s="219"/>
      <c r="H38" s="219"/>
      <c r="I38" s="219"/>
    </row>
    <row r="39" spans="1:9" ht="15" x14ac:dyDescent="0.25">
      <c r="A39" s="219"/>
      <c r="B39" s="219"/>
      <c r="C39" s="219"/>
      <c r="D39" s="219"/>
      <c r="E39" s="219"/>
      <c r="F39" s="219"/>
      <c r="G39" s="219"/>
      <c r="H39" s="219"/>
      <c r="I39" s="219"/>
    </row>
    <row r="40" spans="1:9" ht="14.25" thickBot="1" x14ac:dyDescent="0.3">
      <c r="A40" s="753"/>
      <c r="B40" s="754"/>
      <c r="C40" s="754"/>
      <c r="D40" s="754"/>
      <c r="E40" s="754"/>
      <c r="F40" s="754"/>
      <c r="G40" s="754"/>
      <c r="H40" s="754"/>
      <c r="I40" s="755"/>
    </row>
    <row r="41" spans="1:9" x14ac:dyDescent="0.2">
      <c r="A41" s="576" t="s">
        <v>37</v>
      </c>
      <c r="B41" s="577"/>
      <c r="C41" s="577"/>
      <c r="D41" s="577"/>
      <c r="E41" s="577"/>
      <c r="F41" s="577"/>
      <c r="G41" s="577"/>
      <c r="H41" s="577"/>
      <c r="I41" s="577"/>
    </row>
    <row r="42" spans="1:9" ht="13.5" x14ac:dyDescent="0.25">
      <c r="A42" s="578" t="s">
        <v>263</v>
      </c>
      <c r="B42" s="579"/>
      <c r="C42" s="579"/>
      <c r="D42" s="579"/>
      <c r="E42" s="579"/>
      <c r="F42" s="579"/>
      <c r="G42" s="579"/>
      <c r="H42" s="579"/>
      <c r="I42" s="579"/>
    </row>
    <row r="43" spans="1:9" ht="13.5" x14ac:dyDescent="0.25">
      <c r="A43" s="578"/>
      <c r="B43" s="579"/>
      <c r="C43" s="579"/>
      <c r="D43" s="579"/>
      <c r="E43" s="579"/>
      <c r="F43" s="579"/>
      <c r="G43" s="579"/>
      <c r="H43" s="579"/>
      <c r="I43" s="579"/>
    </row>
  </sheetData>
  <mergeCells count="44">
    <mergeCell ref="A41:I41"/>
    <mergeCell ref="A42:I42"/>
    <mergeCell ref="A43:I43"/>
    <mergeCell ref="A32:I32"/>
    <mergeCell ref="A33:I33"/>
    <mergeCell ref="A34:I34"/>
    <mergeCell ref="A35:I35"/>
    <mergeCell ref="A37:I37"/>
    <mergeCell ref="A40:I40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5FB7-9E31-4687-A3A4-13B054A26348}">
  <dimension ref="A1:I57"/>
  <sheetViews>
    <sheetView workbookViewId="0">
      <selection activeCell="C16" sqref="C16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10"/>
      <c r="B1" s="711"/>
      <c r="C1" s="716" t="s">
        <v>0</v>
      </c>
      <c r="D1" s="716"/>
      <c r="E1" s="716"/>
      <c r="F1" s="716"/>
      <c r="G1" s="716"/>
      <c r="H1" s="95" t="s">
        <v>1</v>
      </c>
      <c r="I1" s="96" t="s">
        <v>97</v>
      </c>
    </row>
    <row r="2" spans="1:9" ht="18" customHeight="1" thickBot="1" x14ac:dyDescent="0.3">
      <c r="A2" s="712"/>
      <c r="B2" s="713"/>
      <c r="C2" s="717" t="s">
        <v>2</v>
      </c>
      <c r="D2" s="718"/>
      <c r="E2" s="718"/>
      <c r="F2" s="718"/>
      <c r="G2" s="719"/>
      <c r="H2" s="97" t="s">
        <v>3</v>
      </c>
      <c r="I2" s="98" t="s">
        <v>98</v>
      </c>
    </row>
    <row r="3" spans="1:9" ht="31.5" customHeight="1" thickBot="1" x14ac:dyDescent="0.25">
      <c r="A3" s="712"/>
      <c r="B3" s="713"/>
      <c r="C3" s="720" t="s">
        <v>99</v>
      </c>
      <c r="D3" s="721"/>
      <c r="E3" s="721"/>
      <c r="F3" s="721"/>
      <c r="G3" s="722"/>
      <c r="H3" s="723" t="s">
        <v>4</v>
      </c>
      <c r="I3" s="701">
        <v>45619</v>
      </c>
    </row>
    <row r="4" spans="1:9" ht="18" customHeight="1" x14ac:dyDescent="0.25">
      <c r="A4" s="712"/>
      <c r="B4" s="713"/>
      <c r="C4" s="99" t="s">
        <v>5</v>
      </c>
      <c r="D4" s="704" t="s">
        <v>31</v>
      </c>
      <c r="E4" s="705"/>
      <c r="F4" s="705"/>
      <c r="G4" s="706"/>
      <c r="H4" s="724"/>
      <c r="I4" s="702"/>
    </row>
    <row r="5" spans="1:9" ht="14.25" thickBot="1" x14ac:dyDescent="0.3">
      <c r="A5" s="714"/>
      <c r="B5" s="715"/>
      <c r="C5" s="100" t="s">
        <v>6</v>
      </c>
      <c r="D5" s="707" t="s">
        <v>32</v>
      </c>
      <c r="E5" s="708"/>
      <c r="F5" s="708"/>
      <c r="G5" s="709"/>
      <c r="H5" s="725"/>
      <c r="I5" s="703"/>
    </row>
    <row r="6" spans="1:9" ht="18.75" thickBot="1" x14ac:dyDescent="0.3">
      <c r="A6" s="607" t="s">
        <v>33</v>
      </c>
      <c r="B6" s="607"/>
      <c r="C6" s="607"/>
      <c r="D6" s="608" t="s">
        <v>48</v>
      </c>
      <c r="E6" s="608"/>
      <c r="F6" s="608"/>
      <c r="G6" s="609" t="s">
        <v>34</v>
      </c>
      <c r="H6" s="609"/>
      <c r="I6" s="18" t="s">
        <v>48</v>
      </c>
    </row>
    <row r="7" spans="1:9" x14ac:dyDescent="0.2">
      <c r="A7" s="610" t="s">
        <v>7</v>
      </c>
      <c r="B7" s="612" t="s">
        <v>35</v>
      </c>
      <c r="C7" s="614" t="s">
        <v>8</v>
      </c>
      <c r="D7" s="614" t="s">
        <v>9</v>
      </c>
      <c r="E7" s="614" t="s">
        <v>10</v>
      </c>
      <c r="F7" s="614"/>
      <c r="G7" s="614" t="s">
        <v>11</v>
      </c>
      <c r="H7" s="614"/>
      <c r="I7" s="19" t="s">
        <v>12</v>
      </c>
    </row>
    <row r="8" spans="1:9" ht="26.25" thickBot="1" x14ac:dyDescent="0.25">
      <c r="A8" s="611"/>
      <c r="B8" s="613"/>
      <c r="C8" s="615"/>
      <c r="D8" s="61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8.399999999999999" customHeight="1" x14ac:dyDescent="0.25">
      <c r="A9" s="23"/>
      <c r="B9" s="24"/>
      <c r="C9" s="25" t="s">
        <v>36</v>
      </c>
      <c r="D9" s="26"/>
      <c r="E9" s="27"/>
      <c r="F9" s="28"/>
      <c r="G9" s="27"/>
      <c r="H9" s="28"/>
      <c r="I9" s="29"/>
    </row>
    <row r="10" spans="1:9" ht="18" customHeight="1" x14ac:dyDescent="0.25">
      <c r="A10" s="36">
        <v>901000015</v>
      </c>
      <c r="B10" s="15" t="s">
        <v>100</v>
      </c>
      <c r="C10" s="37" t="s">
        <v>101</v>
      </c>
      <c r="D10" s="87" t="s">
        <v>41</v>
      </c>
      <c r="E10" s="88">
        <v>9771</v>
      </c>
      <c r="F10" s="89" t="s">
        <v>16</v>
      </c>
      <c r="G10" s="30"/>
      <c r="H10" s="31"/>
      <c r="I10" s="29"/>
    </row>
    <row r="11" spans="1:9" ht="15" x14ac:dyDescent="0.25">
      <c r="A11" s="87" t="s">
        <v>102</v>
      </c>
      <c r="B11" s="87"/>
      <c r="C11" s="90" t="s">
        <v>103</v>
      </c>
      <c r="D11" s="87" t="s">
        <v>41</v>
      </c>
      <c r="E11" s="88">
        <v>3250</v>
      </c>
      <c r="F11" s="89" t="s">
        <v>16</v>
      </c>
      <c r="G11" s="30"/>
      <c r="H11" s="31"/>
      <c r="I11" s="29"/>
    </row>
    <row r="12" spans="1:9" ht="15" x14ac:dyDescent="0.25">
      <c r="A12" s="87"/>
      <c r="B12" s="87"/>
      <c r="C12" s="90"/>
      <c r="D12" s="87"/>
      <c r="E12" s="88"/>
      <c r="F12" s="89"/>
      <c r="G12" s="30"/>
      <c r="H12" s="31"/>
      <c r="I12" s="29"/>
    </row>
    <row r="13" spans="1:9" ht="15" x14ac:dyDescent="0.25">
      <c r="A13" s="87"/>
      <c r="B13" s="87"/>
      <c r="C13" s="90"/>
      <c r="D13" s="87"/>
      <c r="E13" s="88"/>
      <c r="F13" s="89"/>
      <c r="G13" s="30"/>
      <c r="H13" s="31"/>
      <c r="I13" s="29"/>
    </row>
    <row r="14" spans="1:9" ht="15" x14ac:dyDescent="0.25">
      <c r="A14" s="87"/>
      <c r="B14" s="87"/>
      <c r="C14" s="90"/>
      <c r="D14" s="87"/>
      <c r="E14" s="88"/>
      <c r="F14" s="89"/>
      <c r="G14" s="30"/>
      <c r="H14" s="31"/>
      <c r="I14" s="29"/>
    </row>
    <row r="15" spans="1:9" ht="15" x14ac:dyDescent="0.25">
      <c r="A15" s="87"/>
      <c r="B15" s="87"/>
      <c r="C15" s="90"/>
      <c r="D15" s="87"/>
      <c r="E15" s="88"/>
      <c r="F15" s="89"/>
      <c r="G15" s="30"/>
      <c r="H15" s="31"/>
      <c r="I15" s="29"/>
    </row>
    <row r="16" spans="1:9" ht="15" x14ac:dyDescent="0.25">
      <c r="A16" s="87"/>
      <c r="B16" s="87"/>
      <c r="C16" s="90"/>
      <c r="D16" s="87"/>
      <c r="E16" s="88"/>
      <c r="F16" s="89"/>
      <c r="G16" s="30"/>
      <c r="H16" s="31"/>
      <c r="I16" s="29"/>
    </row>
    <row r="17" spans="1:9" ht="15" x14ac:dyDescent="0.25">
      <c r="A17" s="87"/>
      <c r="B17" s="87"/>
      <c r="C17" s="90"/>
      <c r="D17" s="87"/>
      <c r="E17" s="88"/>
      <c r="F17" s="89"/>
      <c r="G17" s="30"/>
      <c r="H17" s="31"/>
      <c r="I17" s="29"/>
    </row>
    <row r="18" spans="1:9" ht="15" x14ac:dyDescent="0.25">
      <c r="A18" s="87"/>
      <c r="B18" s="87"/>
      <c r="C18" s="90"/>
      <c r="D18" s="87"/>
      <c r="E18" s="88"/>
      <c r="F18" s="89"/>
      <c r="G18" s="30"/>
      <c r="H18" s="31"/>
      <c r="I18" s="29"/>
    </row>
    <row r="19" spans="1:9" ht="15" x14ac:dyDescent="0.25">
      <c r="A19" s="87"/>
      <c r="B19" s="87"/>
      <c r="C19" s="90"/>
      <c r="D19" s="87"/>
      <c r="E19" s="88"/>
      <c r="F19" s="89"/>
      <c r="G19" s="30"/>
      <c r="H19" s="31"/>
      <c r="I19" s="29"/>
    </row>
    <row r="20" spans="1:9" ht="15.75" x14ac:dyDescent="0.25">
      <c r="A20" s="154"/>
      <c r="B20" s="154"/>
      <c r="C20" s="37"/>
      <c r="D20" s="1"/>
      <c r="E20" s="1"/>
      <c r="F20" s="1"/>
      <c r="G20" s="6"/>
      <c r="H20" s="31"/>
      <c r="I20" s="29"/>
    </row>
    <row r="21" spans="1:9" ht="15.75" x14ac:dyDescent="0.25">
      <c r="A21" s="39"/>
      <c r="B21" s="40"/>
      <c r="C21" s="41" t="s">
        <v>17</v>
      </c>
      <c r="D21" s="1"/>
      <c r="E21" s="1"/>
      <c r="F21" s="1"/>
      <c r="G21" s="6"/>
      <c r="H21" s="31"/>
      <c r="I21" s="29"/>
    </row>
    <row r="22" spans="1:9" ht="15" x14ac:dyDescent="0.25">
      <c r="A22" s="36"/>
      <c r="B22" s="15"/>
      <c r="C22" s="37"/>
      <c r="D22" s="38"/>
      <c r="E22" s="38"/>
      <c r="F22" s="38"/>
      <c r="G22" s="27"/>
      <c r="H22" s="31"/>
      <c r="I22" s="29"/>
    </row>
    <row r="23" spans="1:9" ht="15" x14ac:dyDescent="0.25">
      <c r="A23" s="155"/>
      <c r="B23" s="154"/>
      <c r="C23" s="37"/>
      <c r="D23" s="38"/>
      <c r="E23" s="38"/>
      <c r="F23" s="38"/>
      <c r="G23" s="27"/>
      <c r="H23" s="31"/>
      <c r="I23" s="29"/>
    </row>
    <row r="24" spans="1:9" ht="15" x14ac:dyDescent="0.25">
      <c r="A24" s="155"/>
      <c r="B24" s="154"/>
      <c r="C24" s="37"/>
      <c r="D24" s="38"/>
      <c r="E24" s="38"/>
      <c r="F24" s="38"/>
      <c r="G24" s="27"/>
      <c r="H24" s="31"/>
      <c r="I24" s="29"/>
    </row>
    <row r="25" spans="1:9" ht="15.75" x14ac:dyDescent="0.25">
      <c r="A25" s="39"/>
      <c r="B25" s="40"/>
      <c r="C25" s="41"/>
      <c r="D25" s="34"/>
      <c r="E25" s="42"/>
      <c r="F25" s="35"/>
      <c r="G25" s="27"/>
      <c r="H25" s="31"/>
      <c r="I25" s="29"/>
    </row>
    <row r="26" spans="1:9" ht="15" x14ac:dyDescent="0.25">
      <c r="A26" s="43"/>
      <c r="B26" s="156"/>
      <c r="C26" s="157"/>
      <c r="D26" s="44"/>
      <c r="E26" s="45"/>
      <c r="F26" s="46"/>
      <c r="G26" s="27"/>
      <c r="H26" s="31"/>
      <c r="I26" s="29"/>
    </row>
    <row r="27" spans="1:9" ht="15" x14ac:dyDescent="0.25">
      <c r="A27" s="15"/>
      <c r="B27" s="15"/>
      <c r="C27" s="37"/>
      <c r="D27" s="51"/>
      <c r="E27" s="5"/>
      <c r="F27" s="8"/>
      <c r="G27" s="27"/>
      <c r="H27" s="31"/>
      <c r="I27" s="29"/>
    </row>
    <row r="28" spans="1:9" ht="15.75" x14ac:dyDescent="0.25">
      <c r="A28" s="52"/>
      <c r="B28" s="53"/>
      <c r="C28" s="54" t="s">
        <v>18</v>
      </c>
      <c r="D28" s="55"/>
      <c r="E28" s="56"/>
      <c r="F28" s="28"/>
      <c r="G28" s="27"/>
      <c r="H28" s="31"/>
      <c r="I28" s="29"/>
    </row>
    <row r="29" spans="1:9" ht="15" x14ac:dyDescent="0.25">
      <c r="A29" s="91"/>
      <c r="B29" s="92"/>
      <c r="C29" s="93"/>
      <c r="D29" s="58"/>
      <c r="E29" s="59"/>
      <c r="F29" s="60"/>
      <c r="G29" s="61"/>
      <c r="H29" s="31"/>
      <c r="I29" s="29"/>
    </row>
    <row r="30" spans="1:9" ht="15" x14ac:dyDescent="0.25">
      <c r="A30" s="91"/>
      <c r="B30" s="92"/>
      <c r="C30" s="93"/>
      <c r="D30" s="58"/>
      <c r="E30" s="59"/>
      <c r="F30" s="60"/>
      <c r="G30" s="61"/>
      <c r="H30" s="31"/>
      <c r="I30" s="29"/>
    </row>
    <row r="31" spans="1:9" ht="15" x14ac:dyDescent="0.25">
      <c r="A31" s="158"/>
      <c r="B31" s="159"/>
      <c r="C31" s="160"/>
      <c r="D31" s="58"/>
      <c r="E31" s="59"/>
      <c r="F31" s="60"/>
      <c r="G31" s="61"/>
      <c r="H31" s="31"/>
      <c r="I31" s="29"/>
    </row>
    <row r="32" spans="1:9" ht="15" x14ac:dyDescent="0.25">
      <c r="A32" s="63"/>
      <c r="B32" s="63"/>
      <c r="C32" s="64"/>
      <c r="D32" s="58"/>
      <c r="E32" s="59"/>
      <c r="F32" s="60"/>
      <c r="G32" s="27"/>
      <c r="H32" s="31"/>
      <c r="I32" s="29"/>
    </row>
    <row r="33" spans="1:9" ht="15" x14ac:dyDescent="0.25">
      <c r="A33" s="63"/>
      <c r="B33" s="63"/>
      <c r="C33" s="64"/>
      <c r="D33" s="58"/>
      <c r="E33" s="59"/>
      <c r="F33" s="60"/>
      <c r="G33" s="27"/>
      <c r="H33" s="31"/>
      <c r="I33" s="29"/>
    </row>
    <row r="34" spans="1:9" ht="15" x14ac:dyDescent="0.25">
      <c r="A34" s="63"/>
      <c r="B34" s="63"/>
      <c r="C34" s="64"/>
      <c r="D34" s="58"/>
      <c r="E34" s="59"/>
      <c r="F34" s="60"/>
      <c r="G34" s="65"/>
      <c r="H34" s="31"/>
      <c r="I34" s="29"/>
    </row>
    <row r="35" spans="1:9" ht="15.75" x14ac:dyDescent="0.25">
      <c r="A35" s="63"/>
      <c r="B35" s="63"/>
      <c r="C35" s="64"/>
      <c r="D35" s="1"/>
      <c r="E35" s="59"/>
      <c r="F35" s="60"/>
      <c r="G35" s="33"/>
      <c r="H35" s="31"/>
      <c r="I35" s="29"/>
    </row>
    <row r="36" spans="1:9" ht="15" x14ac:dyDescent="0.25">
      <c r="A36" s="66"/>
      <c r="B36" s="66"/>
      <c r="C36" s="67"/>
      <c r="D36" s="58"/>
      <c r="E36" s="8"/>
      <c r="F36" s="8"/>
      <c r="G36" s="33"/>
      <c r="H36" s="28"/>
      <c r="I36" s="29"/>
    </row>
    <row r="37" spans="1:9" ht="14.25" thickBot="1" x14ac:dyDescent="0.3">
      <c r="A37" s="71"/>
      <c r="B37" s="72"/>
      <c r="C37" s="73" t="s">
        <v>53</v>
      </c>
      <c r="D37" s="73"/>
      <c r="E37" s="74"/>
      <c r="F37" s="75"/>
      <c r="G37" s="73"/>
      <c r="H37" s="73"/>
      <c r="I37" s="76"/>
    </row>
    <row r="38" spans="1:9" ht="14.25" thickBot="1" x14ac:dyDescent="0.3">
      <c r="A38" s="77"/>
      <c r="B38" s="78"/>
      <c r="C38" s="79" t="s">
        <v>53</v>
      </c>
      <c r="D38" s="80" t="s">
        <v>13</v>
      </c>
      <c r="E38" s="81" t="s">
        <v>19</v>
      </c>
      <c r="F38" s="82"/>
      <c r="G38" s="79"/>
      <c r="H38" s="79"/>
      <c r="I38" s="83"/>
    </row>
    <row r="39" spans="1:9" ht="13.5" x14ac:dyDescent="0.25">
      <c r="A39" s="601" t="s">
        <v>20</v>
      </c>
      <c r="B39" s="602"/>
      <c r="C39" s="603"/>
      <c r="D39" s="94">
        <v>11250</v>
      </c>
      <c r="E39" s="9" t="s">
        <v>16</v>
      </c>
      <c r="F39" s="604" t="s">
        <v>21</v>
      </c>
      <c r="G39" s="604"/>
      <c r="H39" s="605"/>
      <c r="I39" s="606"/>
    </row>
    <row r="40" spans="1:9" ht="13.5" x14ac:dyDescent="0.25">
      <c r="A40" s="584" t="s">
        <v>22</v>
      </c>
      <c r="B40" s="585"/>
      <c r="C40" s="586"/>
      <c r="D40" s="6">
        <v>5</v>
      </c>
      <c r="E40" s="6" t="s">
        <v>23</v>
      </c>
      <c r="F40" s="587" t="s">
        <v>24</v>
      </c>
      <c r="G40" s="587"/>
      <c r="H40" s="588"/>
      <c r="I40" s="589"/>
    </row>
    <row r="41" spans="1:9" ht="13.5" x14ac:dyDescent="0.25">
      <c r="A41" s="584" t="s">
        <v>25</v>
      </c>
      <c r="B41" s="585"/>
      <c r="C41" s="586"/>
      <c r="D41" s="5">
        <v>1</v>
      </c>
      <c r="E41" s="6" t="s">
        <v>82</v>
      </c>
      <c r="F41" s="587" t="s">
        <v>26</v>
      </c>
      <c r="G41" s="587"/>
      <c r="H41" s="588"/>
      <c r="I41" s="589"/>
    </row>
    <row r="42" spans="1:9" ht="13.5" x14ac:dyDescent="0.25">
      <c r="A42" s="584" t="s">
        <v>27</v>
      </c>
      <c r="B42" s="585"/>
      <c r="C42" s="586"/>
      <c r="D42" s="5">
        <v>11250</v>
      </c>
      <c r="E42" s="6" t="s">
        <v>16</v>
      </c>
      <c r="F42" s="590" t="s">
        <v>28</v>
      </c>
      <c r="G42" s="591"/>
      <c r="H42" s="592"/>
      <c r="I42" s="593"/>
    </row>
    <row r="43" spans="1:9" ht="14.25" thickBot="1" x14ac:dyDescent="0.3">
      <c r="A43" s="594" t="s">
        <v>29</v>
      </c>
      <c r="B43" s="595"/>
      <c r="C43" s="596"/>
      <c r="D43" s="10">
        <v>1771</v>
      </c>
      <c r="E43" s="11" t="s">
        <v>16</v>
      </c>
      <c r="F43" s="597"/>
      <c r="G43" s="597"/>
      <c r="H43" s="588"/>
      <c r="I43" s="589"/>
    </row>
    <row r="44" spans="1:9" ht="13.5" thickBot="1" x14ac:dyDescent="0.25">
      <c r="A44" s="598" t="s">
        <v>30</v>
      </c>
      <c r="B44" s="599"/>
      <c r="C44" s="599"/>
      <c r="D44" s="599"/>
      <c r="E44" s="599"/>
      <c r="F44" s="599"/>
      <c r="G44" s="599"/>
      <c r="H44" s="599"/>
      <c r="I44" s="600"/>
    </row>
    <row r="45" spans="1:9" ht="14.65" customHeight="1" x14ac:dyDescent="0.25">
      <c r="A45" s="934" t="s">
        <v>104</v>
      </c>
      <c r="B45" s="935"/>
      <c r="C45" s="935"/>
      <c r="D45" s="935"/>
      <c r="E45" s="935"/>
      <c r="F45" s="935"/>
      <c r="G45" s="935"/>
      <c r="H45" s="935"/>
      <c r="I45" s="936"/>
    </row>
    <row r="46" spans="1:9" ht="15.4" customHeight="1" x14ac:dyDescent="0.25">
      <c r="A46" s="937" t="s">
        <v>105</v>
      </c>
      <c r="B46" s="938"/>
      <c r="C46" s="938"/>
      <c r="D46" s="938"/>
      <c r="E46" s="938"/>
      <c r="F46" s="938"/>
      <c r="G46" s="938"/>
      <c r="H46" s="938"/>
      <c r="I46" s="939"/>
    </row>
    <row r="47" spans="1:9" ht="14.65" customHeight="1" x14ac:dyDescent="0.25">
      <c r="A47" s="934" t="s">
        <v>106</v>
      </c>
      <c r="B47" s="935"/>
      <c r="C47" s="935"/>
      <c r="D47" s="935"/>
      <c r="E47" s="935"/>
      <c r="F47" s="935"/>
      <c r="G47" s="935"/>
      <c r="H47" s="935"/>
      <c r="I47" s="936"/>
    </row>
    <row r="48" spans="1:9" ht="14.65" customHeight="1" x14ac:dyDescent="0.25">
      <c r="A48" s="687"/>
      <c r="B48" s="688"/>
      <c r="C48" s="688"/>
      <c r="D48" s="688"/>
      <c r="E48" s="688"/>
      <c r="F48" s="688"/>
      <c r="G48" s="688"/>
      <c r="H48" s="688"/>
      <c r="I48" s="689"/>
    </row>
    <row r="49" spans="1:9" ht="15.75" x14ac:dyDescent="0.25">
      <c r="A49" s="580"/>
      <c r="B49" s="581"/>
      <c r="C49" s="582"/>
      <c r="D49" s="582"/>
      <c r="E49" s="582"/>
      <c r="F49" s="582"/>
      <c r="G49" s="582"/>
      <c r="H49" s="582"/>
      <c r="I49" s="583"/>
    </row>
    <row r="50" spans="1:9" ht="14.65" customHeight="1" x14ac:dyDescent="0.25">
      <c r="A50" s="672"/>
      <c r="B50" s="673"/>
      <c r="C50" s="674"/>
      <c r="D50" s="674"/>
      <c r="E50" s="674"/>
      <c r="F50" s="674"/>
      <c r="G50" s="674"/>
      <c r="H50" s="674"/>
      <c r="I50" s="675"/>
    </row>
    <row r="51" spans="1:9" ht="14.65" customHeight="1" x14ac:dyDescent="0.25">
      <c r="A51" s="690"/>
      <c r="B51" s="691"/>
      <c r="C51" s="692"/>
      <c r="D51" s="692"/>
      <c r="E51" s="692"/>
      <c r="F51" s="692"/>
      <c r="G51" s="692"/>
      <c r="H51" s="692"/>
      <c r="I51" s="693"/>
    </row>
    <row r="52" spans="1:9" ht="18" customHeight="1" x14ac:dyDescent="0.25">
      <c r="A52" s="672"/>
      <c r="B52" s="673"/>
      <c r="C52" s="674"/>
      <c r="D52" s="674"/>
      <c r="E52" s="674"/>
      <c r="F52" s="674"/>
      <c r="G52" s="674"/>
      <c r="H52" s="674"/>
      <c r="I52" s="675"/>
    </row>
    <row r="53" spans="1:9" ht="14.65" customHeight="1" thickBot="1" x14ac:dyDescent="0.3">
      <c r="A53" s="694"/>
      <c r="B53" s="695"/>
      <c r="C53" s="696"/>
      <c r="D53" s="696"/>
      <c r="E53" s="696"/>
      <c r="F53" s="696"/>
      <c r="G53" s="696"/>
      <c r="H53" s="696"/>
      <c r="I53" s="697"/>
    </row>
    <row r="54" spans="1:9" ht="14.65" customHeight="1" thickBot="1" x14ac:dyDescent="0.3">
      <c r="A54" s="698"/>
      <c r="B54" s="699"/>
      <c r="C54" s="699"/>
      <c r="D54" s="699"/>
      <c r="E54" s="699"/>
      <c r="F54" s="699"/>
      <c r="G54" s="699"/>
      <c r="H54" s="699"/>
      <c r="I54" s="700"/>
    </row>
    <row r="55" spans="1:9" ht="14.65" customHeight="1" x14ac:dyDescent="0.2">
      <c r="A55" s="726" t="s">
        <v>37</v>
      </c>
      <c r="B55" s="727"/>
      <c r="C55" s="727"/>
      <c r="D55" s="727"/>
      <c r="E55" s="727"/>
      <c r="F55" s="727"/>
      <c r="G55" s="727"/>
      <c r="H55" s="727"/>
      <c r="I55" s="727"/>
    </row>
    <row r="56" spans="1:9" ht="13.5" x14ac:dyDescent="0.25">
      <c r="A56" s="728"/>
      <c r="B56" s="729"/>
      <c r="C56" s="729"/>
      <c r="D56" s="729"/>
      <c r="E56" s="729"/>
      <c r="F56" s="729"/>
      <c r="G56" s="729"/>
      <c r="H56" s="729"/>
      <c r="I56" s="729"/>
    </row>
    <row r="57" spans="1:9" ht="13.5" x14ac:dyDescent="0.25">
      <c r="A57" s="728"/>
      <c r="B57" s="729"/>
      <c r="C57" s="729"/>
      <c r="D57" s="729"/>
      <c r="E57" s="729"/>
      <c r="F57" s="729"/>
      <c r="G57" s="729"/>
      <c r="H57" s="729"/>
      <c r="I57" s="729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D228-C3C5-4D65-A251-18DE0A25E567}">
  <dimension ref="A1:I55"/>
  <sheetViews>
    <sheetView zoomScaleNormal="100" workbookViewId="0">
      <selection activeCell="D16" sqref="D16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8" customWidth="1"/>
    <col min="9" max="9" width="18.140625" bestFit="1" customWidth="1"/>
  </cols>
  <sheetData>
    <row r="1" spans="1:9" ht="15.75" x14ac:dyDescent="0.25">
      <c r="A1" s="625"/>
      <c r="B1" s="626"/>
      <c r="C1" s="631" t="s">
        <v>0</v>
      </c>
      <c r="D1" s="631"/>
      <c r="E1" s="631"/>
      <c r="F1" s="631"/>
      <c r="G1" s="631"/>
      <c r="H1" s="3" t="s">
        <v>1</v>
      </c>
      <c r="I1" s="12" t="s">
        <v>107</v>
      </c>
    </row>
    <row r="2" spans="1:9" ht="18" customHeight="1" thickBot="1" x14ac:dyDescent="0.3">
      <c r="A2" s="627"/>
      <c r="B2" s="628"/>
      <c r="C2" s="632" t="s">
        <v>2</v>
      </c>
      <c r="D2" s="633"/>
      <c r="E2" s="633"/>
      <c r="F2" s="633"/>
      <c r="G2" s="634"/>
      <c r="H2" s="4" t="s">
        <v>3</v>
      </c>
      <c r="I2" s="13" t="s">
        <v>98</v>
      </c>
    </row>
    <row r="3" spans="1:9" ht="31.5" customHeight="1" thickBot="1" x14ac:dyDescent="0.25">
      <c r="A3" s="627"/>
      <c r="B3" s="628"/>
      <c r="C3" s="671" t="s">
        <v>108</v>
      </c>
      <c r="D3" s="635"/>
      <c r="E3" s="635"/>
      <c r="F3" s="635"/>
      <c r="G3" s="636"/>
      <c r="H3" s="637" t="s">
        <v>4</v>
      </c>
      <c r="I3" s="616">
        <v>45616</v>
      </c>
    </row>
    <row r="4" spans="1:9" ht="18" customHeight="1" x14ac:dyDescent="0.25">
      <c r="A4" s="627"/>
      <c r="B4" s="628"/>
      <c r="C4" s="16" t="s">
        <v>5</v>
      </c>
      <c r="D4" s="619" t="s">
        <v>31</v>
      </c>
      <c r="E4" s="620"/>
      <c r="F4" s="620"/>
      <c r="G4" s="621"/>
      <c r="H4" s="638"/>
      <c r="I4" s="617"/>
    </row>
    <row r="5" spans="1:9" ht="14.25" thickBot="1" x14ac:dyDescent="0.3">
      <c r="A5" s="629"/>
      <c r="B5" s="630"/>
      <c r="C5" s="17" t="s">
        <v>6</v>
      </c>
      <c r="D5" s="622" t="s">
        <v>32</v>
      </c>
      <c r="E5" s="623"/>
      <c r="F5" s="623"/>
      <c r="G5" s="624"/>
      <c r="H5" s="639"/>
      <c r="I5" s="618"/>
    </row>
    <row r="6" spans="1:9" ht="18.75" thickBot="1" x14ac:dyDescent="0.3">
      <c r="A6" s="607" t="s">
        <v>33</v>
      </c>
      <c r="B6" s="607"/>
      <c r="C6" s="607"/>
      <c r="D6" s="608" t="s">
        <v>109</v>
      </c>
      <c r="E6" s="608"/>
      <c r="F6" s="608"/>
      <c r="G6" s="609" t="s">
        <v>34</v>
      </c>
      <c r="H6" s="609"/>
      <c r="I6" s="18" t="s">
        <v>109</v>
      </c>
    </row>
    <row r="7" spans="1:9" x14ac:dyDescent="0.2">
      <c r="A7" s="610" t="s">
        <v>7</v>
      </c>
      <c r="B7" s="612" t="s">
        <v>35</v>
      </c>
      <c r="C7" s="614" t="s">
        <v>8</v>
      </c>
      <c r="D7" s="614" t="s">
        <v>9</v>
      </c>
      <c r="E7" s="614" t="s">
        <v>10</v>
      </c>
      <c r="F7" s="614"/>
      <c r="G7" s="614" t="s">
        <v>11</v>
      </c>
      <c r="H7" s="614"/>
      <c r="I7" s="19" t="s">
        <v>12</v>
      </c>
    </row>
    <row r="8" spans="1:9" ht="26.25" thickBot="1" x14ac:dyDescent="0.25">
      <c r="A8" s="611"/>
      <c r="B8" s="613"/>
      <c r="C8" s="615"/>
      <c r="D8" s="61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8.600000000000001" customHeight="1" x14ac:dyDescent="0.25">
      <c r="A9" s="23"/>
      <c r="B9" s="24"/>
      <c r="C9" s="25" t="s">
        <v>36</v>
      </c>
      <c r="D9" s="26"/>
      <c r="E9" s="27"/>
      <c r="F9" s="28"/>
      <c r="G9" s="27"/>
      <c r="H9" s="28"/>
      <c r="I9" s="29"/>
    </row>
    <row r="10" spans="1:9" ht="18" customHeight="1" x14ac:dyDescent="0.25">
      <c r="A10" s="161" t="s">
        <v>110</v>
      </c>
      <c r="B10" s="161" t="s">
        <v>111</v>
      </c>
      <c r="C10" s="162" t="s">
        <v>112</v>
      </c>
      <c r="D10" s="163" t="s">
        <v>113</v>
      </c>
      <c r="E10" s="164">
        <v>760</v>
      </c>
      <c r="F10" s="165" t="s">
        <v>16</v>
      </c>
      <c r="G10" s="30"/>
      <c r="H10" s="31"/>
      <c r="I10" s="29"/>
    </row>
    <row r="11" spans="1:9" ht="15" x14ac:dyDescent="0.25">
      <c r="A11" s="161" t="s">
        <v>114</v>
      </c>
      <c r="B11" s="161" t="s">
        <v>115</v>
      </c>
      <c r="C11" s="162" t="s">
        <v>116</v>
      </c>
      <c r="D11" s="58" t="s">
        <v>117</v>
      </c>
      <c r="E11" s="59">
        <v>9000</v>
      </c>
      <c r="F11" s="60" t="s">
        <v>16</v>
      </c>
      <c r="G11" s="30"/>
      <c r="H11" s="31"/>
      <c r="I11" s="29"/>
    </row>
    <row r="12" spans="1:9" ht="15.75" x14ac:dyDescent="0.25">
      <c r="A12" s="161" t="s">
        <v>118</v>
      </c>
      <c r="B12" s="161" t="s">
        <v>119</v>
      </c>
      <c r="C12" s="162" t="s">
        <v>120</v>
      </c>
      <c r="D12" s="1" t="s">
        <v>65</v>
      </c>
      <c r="E12" s="1">
        <v>11</v>
      </c>
      <c r="F12" s="1" t="s">
        <v>16</v>
      </c>
      <c r="G12" s="6"/>
      <c r="H12" s="31"/>
      <c r="I12" s="29"/>
    </row>
    <row r="13" spans="1:9" ht="15.75" x14ac:dyDescent="0.25">
      <c r="A13" s="15"/>
      <c r="B13" s="15"/>
      <c r="C13" s="166"/>
      <c r="D13" s="1"/>
      <c r="E13" s="1"/>
      <c r="F13" s="1"/>
      <c r="G13" s="6"/>
      <c r="H13" s="31"/>
      <c r="I13" s="29"/>
    </row>
    <row r="14" spans="1:9" ht="15.75" x14ac:dyDescent="0.25">
      <c r="A14" s="161"/>
      <c r="B14" s="161"/>
      <c r="C14" s="167"/>
      <c r="D14" s="1"/>
      <c r="E14" s="1"/>
      <c r="F14" s="1"/>
      <c r="G14" s="6"/>
      <c r="H14" s="31"/>
      <c r="I14" s="29"/>
    </row>
    <row r="15" spans="1:9" ht="15.75" x14ac:dyDescent="0.25">
      <c r="A15" s="15"/>
      <c r="B15" s="15"/>
      <c r="C15" s="37"/>
      <c r="D15" s="1"/>
      <c r="E15" s="1"/>
      <c r="F15" s="1"/>
      <c r="G15" s="6"/>
      <c r="H15" s="31"/>
      <c r="I15" s="29"/>
    </row>
    <row r="16" spans="1:9" ht="15.75" x14ac:dyDescent="0.25">
      <c r="A16" s="15"/>
      <c r="B16" s="15"/>
      <c r="C16" s="37"/>
      <c r="D16" s="1"/>
      <c r="E16" s="1"/>
      <c r="F16" s="1"/>
      <c r="G16" s="6"/>
      <c r="H16" s="31"/>
      <c r="I16" s="29"/>
    </row>
    <row r="17" spans="1:9" ht="15.75" x14ac:dyDescent="0.25">
      <c r="A17" s="15"/>
      <c r="B17" s="15"/>
      <c r="C17" s="37"/>
      <c r="D17" s="1"/>
      <c r="E17" s="1"/>
      <c r="F17" s="1"/>
      <c r="G17" s="6"/>
      <c r="H17" s="31"/>
      <c r="I17" s="29"/>
    </row>
    <row r="18" spans="1:9" ht="15.75" x14ac:dyDescent="0.25">
      <c r="A18" s="39"/>
      <c r="B18" s="40"/>
      <c r="C18" s="41" t="s">
        <v>17</v>
      </c>
      <c r="D18" s="38"/>
      <c r="E18" s="38"/>
      <c r="F18" s="38"/>
      <c r="G18" s="27"/>
      <c r="H18" s="31"/>
      <c r="I18" s="29"/>
    </row>
    <row r="19" spans="1:9" ht="15.75" x14ac:dyDescent="0.25">
      <c r="A19" s="39"/>
      <c r="B19" s="40"/>
      <c r="C19" s="41"/>
      <c r="D19" s="34"/>
      <c r="E19" s="42"/>
      <c r="F19" s="35"/>
      <c r="G19" s="27"/>
      <c r="H19" s="31"/>
      <c r="I19" s="29"/>
    </row>
    <row r="20" spans="1:9" ht="15" x14ac:dyDescent="0.25">
      <c r="A20" s="43"/>
      <c r="B20" s="156"/>
      <c r="C20" s="157"/>
      <c r="D20" s="44"/>
      <c r="E20" s="45"/>
      <c r="F20" s="46"/>
      <c r="G20" s="27"/>
      <c r="H20" s="31"/>
      <c r="I20" s="29"/>
    </row>
    <row r="21" spans="1:9" ht="15" x14ac:dyDescent="0.25">
      <c r="A21" s="43"/>
      <c r="B21" s="156"/>
      <c r="C21" s="157"/>
      <c r="D21" s="44"/>
      <c r="E21" s="47"/>
      <c r="F21" s="46"/>
      <c r="G21" s="27"/>
      <c r="H21" s="28"/>
      <c r="I21" s="29"/>
    </row>
    <row r="22" spans="1:9" ht="15" x14ac:dyDescent="0.25">
      <c r="A22" s="43"/>
      <c r="B22" s="156"/>
      <c r="C22" s="157"/>
      <c r="D22" s="44"/>
      <c r="E22" s="45"/>
      <c r="F22" s="46"/>
      <c r="G22" s="27"/>
      <c r="H22" s="28"/>
      <c r="I22" s="29"/>
    </row>
    <row r="23" spans="1:9" ht="15" x14ac:dyDescent="0.25">
      <c r="A23" s="43"/>
      <c r="B23" s="156"/>
      <c r="C23" s="157"/>
      <c r="D23" s="44"/>
      <c r="E23" s="48"/>
      <c r="F23" s="49"/>
      <c r="G23" s="27"/>
      <c r="H23" s="28"/>
      <c r="I23" s="29"/>
    </row>
    <row r="24" spans="1:9" ht="15" x14ac:dyDescent="0.25">
      <c r="A24" s="15"/>
      <c r="B24" s="15"/>
      <c r="C24" s="37"/>
      <c r="D24" s="51"/>
      <c r="E24" s="5"/>
      <c r="F24" s="8"/>
      <c r="G24" s="27"/>
      <c r="H24" s="28"/>
      <c r="I24" s="29"/>
    </row>
    <row r="25" spans="1:9" ht="15.75" x14ac:dyDescent="0.25">
      <c r="A25" s="52"/>
      <c r="B25" s="53"/>
      <c r="C25" s="54" t="s">
        <v>18</v>
      </c>
      <c r="D25" s="55"/>
      <c r="E25" s="56"/>
      <c r="F25" s="28"/>
      <c r="G25" s="27"/>
      <c r="I25" s="29"/>
    </row>
    <row r="26" spans="1:9" ht="15" x14ac:dyDescent="0.25">
      <c r="A26" s="91" t="s">
        <v>121</v>
      </c>
      <c r="B26" s="92" t="s">
        <v>122</v>
      </c>
      <c r="C26" s="93" t="s">
        <v>123</v>
      </c>
      <c r="D26" s="58" t="s">
        <v>124</v>
      </c>
      <c r="E26" s="59">
        <v>1</v>
      </c>
      <c r="F26" s="60" t="s">
        <v>76</v>
      </c>
      <c r="G26" s="61"/>
      <c r="H26" s="28"/>
      <c r="I26" s="29"/>
    </row>
    <row r="27" spans="1:9" ht="15" x14ac:dyDescent="0.25">
      <c r="A27" s="91" t="s">
        <v>72</v>
      </c>
      <c r="B27" s="92" t="s">
        <v>73</v>
      </c>
      <c r="C27" s="93" t="s">
        <v>74</v>
      </c>
      <c r="D27" s="58" t="s">
        <v>94</v>
      </c>
      <c r="E27" s="59">
        <v>1</v>
      </c>
      <c r="F27" s="60" t="s">
        <v>76</v>
      </c>
      <c r="G27" s="61"/>
      <c r="H27" s="28"/>
      <c r="I27" s="29"/>
    </row>
    <row r="28" spans="1:9" ht="15" x14ac:dyDescent="0.25">
      <c r="A28" s="158" t="s">
        <v>125</v>
      </c>
      <c r="B28" s="159" t="s">
        <v>126</v>
      </c>
      <c r="C28" s="160" t="s">
        <v>127</v>
      </c>
      <c r="D28" s="58" t="s">
        <v>94</v>
      </c>
      <c r="E28" s="59">
        <v>1</v>
      </c>
      <c r="F28" s="60" t="s">
        <v>76</v>
      </c>
      <c r="G28" s="61"/>
      <c r="H28" s="28"/>
      <c r="I28" s="29"/>
    </row>
    <row r="29" spans="1:9" ht="15" x14ac:dyDescent="0.25">
      <c r="A29" s="63"/>
      <c r="B29" s="63"/>
      <c r="C29" s="64"/>
      <c r="D29" s="58"/>
      <c r="E29" s="59"/>
      <c r="F29" s="60"/>
      <c r="G29" s="27"/>
      <c r="H29" s="28"/>
      <c r="I29" s="29"/>
    </row>
    <row r="30" spans="1:9" ht="15" x14ac:dyDescent="0.25">
      <c r="A30" s="63"/>
      <c r="B30" s="63"/>
      <c r="C30" s="64"/>
      <c r="D30" s="58"/>
      <c r="E30" s="59"/>
      <c r="F30" s="60"/>
      <c r="G30" s="27"/>
      <c r="H30" s="28"/>
      <c r="I30" s="29"/>
    </row>
    <row r="31" spans="1:9" ht="15" x14ac:dyDescent="0.25">
      <c r="A31" s="63"/>
      <c r="B31" s="63"/>
      <c r="C31" s="64"/>
      <c r="D31" s="58"/>
      <c r="E31" s="59"/>
      <c r="F31" s="60"/>
      <c r="G31" s="65"/>
      <c r="H31" s="28"/>
      <c r="I31" s="29"/>
    </row>
    <row r="32" spans="1:9" ht="15.75" x14ac:dyDescent="0.25">
      <c r="A32" s="63"/>
      <c r="B32" s="63"/>
      <c r="C32" s="64"/>
      <c r="D32" s="1"/>
      <c r="E32" s="59"/>
      <c r="F32" s="60"/>
      <c r="G32" s="33"/>
      <c r="H32" s="28"/>
      <c r="I32" s="29"/>
    </row>
    <row r="33" spans="1:9" ht="15" x14ac:dyDescent="0.25">
      <c r="A33" s="66"/>
      <c r="B33" s="66"/>
      <c r="C33" s="67"/>
      <c r="D33" s="58"/>
      <c r="E33" s="8"/>
      <c r="F33" s="8"/>
      <c r="G33" s="33"/>
      <c r="H33" s="28"/>
      <c r="I33" s="29"/>
    </row>
    <row r="34" spans="1:9" ht="15" x14ac:dyDescent="0.25">
      <c r="A34" s="57"/>
      <c r="B34" s="15"/>
      <c r="C34" s="2"/>
      <c r="D34" s="62"/>
      <c r="E34" s="5"/>
      <c r="F34" s="6"/>
      <c r="G34" s="33"/>
      <c r="H34" s="28"/>
      <c r="I34" s="29"/>
    </row>
    <row r="35" spans="1:9" ht="15.75" x14ac:dyDescent="0.25">
      <c r="A35" s="63"/>
      <c r="B35" s="63"/>
      <c r="C35" s="64"/>
      <c r="D35" s="58"/>
      <c r="E35" s="5"/>
      <c r="F35" s="6"/>
      <c r="G35" s="68"/>
      <c r="H35" s="28"/>
      <c r="I35" s="29"/>
    </row>
    <row r="36" spans="1:9" ht="15.75" x14ac:dyDescent="0.25">
      <c r="A36" s="39"/>
      <c r="B36" s="40"/>
      <c r="C36" s="69"/>
      <c r="D36" s="34"/>
      <c r="E36" s="34"/>
      <c r="F36" s="35"/>
      <c r="G36" s="70"/>
      <c r="H36" s="70"/>
      <c r="I36" s="29"/>
    </row>
    <row r="37" spans="1:9" ht="14.25" thickBot="1" x14ac:dyDescent="0.3">
      <c r="A37" s="71"/>
      <c r="B37" s="72"/>
      <c r="C37" s="73"/>
      <c r="D37" s="73"/>
      <c r="E37" s="74"/>
      <c r="F37" s="75"/>
      <c r="G37" s="73"/>
      <c r="H37" s="73"/>
      <c r="I37" s="76"/>
    </row>
    <row r="38" spans="1:9" ht="14.25" thickBot="1" x14ac:dyDescent="0.3">
      <c r="A38" s="77"/>
      <c r="B38" s="78"/>
      <c r="C38" s="79"/>
      <c r="D38" s="80" t="s">
        <v>13</v>
      </c>
      <c r="E38" s="81" t="s">
        <v>19</v>
      </c>
      <c r="F38" s="82"/>
      <c r="G38" s="79"/>
      <c r="H38" s="79"/>
      <c r="I38" s="83"/>
    </row>
    <row r="39" spans="1:9" ht="13.5" x14ac:dyDescent="0.25">
      <c r="A39" s="601" t="s">
        <v>20</v>
      </c>
      <c r="B39" s="602"/>
      <c r="C39" s="603"/>
      <c r="D39" s="7">
        <v>9771</v>
      </c>
      <c r="E39" s="9" t="s">
        <v>16</v>
      </c>
      <c r="F39" s="604" t="s">
        <v>21</v>
      </c>
      <c r="G39" s="604"/>
      <c r="H39" s="605"/>
      <c r="I39" s="606"/>
    </row>
    <row r="40" spans="1:9" ht="13.5" x14ac:dyDescent="0.25">
      <c r="A40" s="584" t="s">
        <v>22</v>
      </c>
      <c r="B40" s="585"/>
      <c r="C40" s="586"/>
      <c r="D40" s="5">
        <v>2</v>
      </c>
      <c r="E40" s="6" t="s">
        <v>23</v>
      </c>
      <c r="F40" s="587" t="s">
        <v>24</v>
      </c>
      <c r="G40" s="587"/>
      <c r="H40" s="588"/>
      <c r="I40" s="589"/>
    </row>
    <row r="41" spans="1:9" ht="13.5" x14ac:dyDescent="0.25">
      <c r="A41" s="584" t="s">
        <v>25</v>
      </c>
      <c r="B41" s="585"/>
      <c r="C41" s="586"/>
      <c r="D41" s="5">
        <v>1</v>
      </c>
      <c r="E41" s="6" t="s">
        <v>128</v>
      </c>
      <c r="F41" s="587" t="s">
        <v>26</v>
      </c>
      <c r="G41" s="587"/>
      <c r="H41" s="588"/>
      <c r="I41" s="589"/>
    </row>
    <row r="42" spans="1:9" ht="13.5" x14ac:dyDescent="0.25">
      <c r="A42" s="584" t="s">
        <v>27</v>
      </c>
      <c r="B42" s="585"/>
      <c r="C42" s="586"/>
      <c r="D42" s="5">
        <v>9771</v>
      </c>
      <c r="E42" s="6" t="s">
        <v>16</v>
      </c>
      <c r="F42" s="590" t="s">
        <v>28</v>
      </c>
      <c r="G42" s="591"/>
      <c r="H42" s="592"/>
      <c r="I42" s="593"/>
    </row>
    <row r="43" spans="1:9" ht="14.25" thickBot="1" x14ac:dyDescent="0.3">
      <c r="A43" s="594" t="s">
        <v>29</v>
      </c>
      <c r="B43" s="595"/>
      <c r="C43" s="596"/>
      <c r="D43" s="10">
        <v>0</v>
      </c>
      <c r="E43" s="11" t="s">
        <v>16</v>
      </c>
      <c r="F43" s="597"/>
      <c r="G43" s="597"/>
      <c r="H43" s="588"/>
      <c r="I43" s="589"/>
    </row>
    <row r="44" spans="1:9" ht="13.5" thickBot="1" x14ac:dyDescent="0.25">
      <c r="A44" s="598" t="s">
        <v>30</v>
      </c>
      <c r="B44" s="599"/>
      <c r="C44" s="599"/>
      <c r="D44" s="599"/>
      <c r="E44" s="599"/>
      <c r="F44" s="599"/>
      <c r="G44" s="599"/>
      <c r="H44" s="599"/>
      <c r="I44" s="600"/>
    </row>
    <row r="45" spans="1:9" ht="14.45" customHeight="1" x14ac:dyDescent="0.25">
      <c r="A45" s="940" t="s">
        <v>129</v>
      </c>
      <c r="B45" s="941"/>
      <c r="C45" s="941"/>
      <c r="D45" s="941"/>
      <c r="E45" s="941"/>
      <c r="F45" s="941"/>
      <c r="G45" s="941"/>
      <c r="H45" s="941"/>
      <c r="I45" s="942"/>
    </row>
    <row r="46" spans="1:9" ht="15.6" customHeight="1" x14ac:dyDescent="0.25">
      <c r="A46" s="934" t="s">
        <v>130</v>
      </c>
      <c r="B46" s="935"/>
      <c r="C46" s="935"/>
      <c r="D46" s="935"/>
      <c r="E46" s="935"/>
      <c r="F46" s="935"/>
      <c r="G46" s="935"/>
      <c r="H46" s="935"/>
      <c r="I46" s="936"/>
    </row>
    <row r="47" spans="1:9" ht="14.45" customHeight="1" thickBot="1" x14ac:dyDescent="0.3">
      <c r="A47" s="840"/>
      <c r="B47" s="841"/>
      <c r="C47" s="841"/>
      <c r="D47" s="841"/>
      <c r="E47" s="841"/>
      <c r="F47" s="841"/>
      <c r="G47" s="841"/>
      <c r="H47" s="841"/>
      <c r="I47" s="842"/>
    </row>
    <row r="48" spans="1:9" ht="14.45" customHeight="1" x14ac:dyDescent="0.25">
      <c r="A48" s="580"/>
      <c r="B48" s="581"/>
      <c r="C48" s="582"/>
      <c r="D48" s="582"/>
      <c r="E48" s="582"/>
      <c r="F48" s="582"/>
      <c r="G48" s="582"/>
      <c r="H48" s="582"/>
      <c r="I48" s="583"/>
    </row>
    <row r="49" spans="1:9" ht="14.45" customHeight="1" x14ac:dyDescent="0.25">
      <c r="A49" s="580"/>
      <c r="B49" s="581"/>
      <c r="C49" s="582"/>
      <c r="D49" s="582"/>
      <c r="E49" s="582"/>
      <c r="F49" s="582"/>
      <c r="G49" s="582"/>
      <c r="H49" s="582"/>
      <c r="I49" s="583"/>
    </row>
    <row r="50" spans="1:9" ht="18" customHeight="1" thickBot="1" x14ac:dyDescent="0.3">
      <c r="A50" s="943"/>
      <c r="B50" s="944"/>
      <c r="C50" s="945"/>
      <c r="D50" s="945"/>
      <c r="E50" s="945"/>
      <c r="F50" s="945"/>
      <c r="G50" s="945"/>
      <c r="H50" s="945"/>
      <c r="I50" s="946"/>
    </row>
    <row r="51" spans="1:9" ht="15.75" x14ac:dyDescent="0.25">
      <c r="A51" s="947"/>
      <c r="B51" s="948"/>
      <c r="C51" s="948"/>
      <c r="D51" s="948"/>
      <c r="E51" s="948"/>
      <c r="F51" s="948"/>
      <c r="G51" s="948"/>
      <c r="H51" s="948"/>
      <c r="I51" s="949"/>
    </row>
    <row r="52" spans="1:9" ht="15" thickBot="1" x14ac:dyDescent="0.25">
      <c r="A52" s="734"/>
      <c r="B52" s="735"/>
      <c r="C52" s="735"/>
      <c r="D52" s="735"/>
      <c r="E52" s="735"/>
      <c r="F52" s="735"/>
      <c r="G52" s="735"/>
      <c r="H52" s="735"/>
      <c r="I52" s="736"/>
    </row>
    <row r="53" spans="1:9" x14ac:dyDescent="0.2">
      <c r="A53" s="576" t="s">
        <v>37</v>
      </c>
      <c r="B53" s="577"/>
      <c r="C53" s="577"/>
      <c r="D53" s="577"/>
      <c r="E53" s="577"/>
      <c r="F53" s="577"/>
      <c r="G53" s="577"/>
      <c r="H53" s="577"/>
      <c r="I53" s="577"/>
    </row>
    <row r="54" spans="1:9" ht="13.5" x14ac:dyDescent="0.25">
      <c r="A54" s="578"/>
      <c r="B54" s="579"/>
      <c r="C54" s="579"/>
      <c r="D54" s="579"/>
      <c r="E54" s="579"/>
      <c r="F54" s="579"/>
      <c r="G54" s="579"/>
      <c r="H54" s="579"/>
      <c r="I54" s="579"/>
    </row>
    <row r="55" spans="1:9" ht="13.5" x14ac:dyDescent="0.25">
      <c r="A55" s="578"/>
      <c r="B55" s="579"/>
      <c r="C55" s="579"/>
      <c r="D55" s="579"/>
      <c r="E55" s="579"/>
      <c r="F55" s="579"/>
      <c r="G55" s="579"/>
      <c r="H55" s="579"/>
      <c r="I55" s="579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1A13-EE31-4AB9-826B-62FA66EF3B46}">
  <sheetPr>
    <pageSetUpPr fitToPage="1"/>
  </sheetPr>
  <dimension ref="A1:I40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.85546875" customWidth="1"/>
    <col min="2" max="2" width="16.28515625" customWidth="1"/>
    <col min="3" max="3" width="68.42578125" customWidth="1"/>
    <col min="4" max="4" width="21.7109375" customWidth="1"/>
    <col min="5" max="5" width="12.5703125" customWidth="1"/>
    <col min="6" max="6" width="12.7109375" customWidth="1"/>
    <col min="7" max="7" width="20.85546875" customWidth="1"/>
    <col min="8" max="8" width="16.140625" customWidth="1"/>
    <col min="9" max="9" width="18.140625" customWidth="1"/>
  </cols>
  <sheetData>
    <row r="1" spans="1:9" ht="15.75" x14ac:dyDescent="0.25">
      <c r="A1" s="710"/>
      <c r="B1" s="711"/>
      <c r="C1" s="716" t="s">
        <v>0</v>
      </c>
      <c r="D1" s="716"/>
      <c r="E1" s="716"/>
      <c r="F1" s="716"/>
      <c r="G1" s="716"/>
      <c r="H1" s="95" t="s">
        <v>1</v>
      </c>
      <c r="I1" s="96" t="s">
        <v>325</v>
      </c>
    </row>
    <row r="2" spans="1:9" ht="16.5" thickBot="1" x14ac:dyDescent="0.3">
      <c r="A2" s="712"/>
      <c r="B2" s="713"/>
      <c r="C2" s="730" t="s">
        <v>2</v>
      </c>
      <c r="D2" s="730"/>
      <c r="E2" s="730"/>
      <c r="F2" s="730"/>
      <c r="G2" s="730"/>
      <c r="H2" s="97" t="s">
        <v>3</v>
      </c>
      <c r="I2" s="98" t="s">
        <v>98</v>
      </c>
    </row>
    <row r="3" spans="1:9" ht="30" customHeight="1" thickBot="1" x14ac:dyDescent="0.25">
      <c r="A3" s="712"/>
      <c r="B3" s="713"/>
      <c r="C3" s="950" t="s">
        <v>324</v>
      </c>
      <c r="D3" s="951"/>
      <c r="E3" s="951"/>
      <c r="F3" s="951"/>
      <c r="G3" s="952"/>
      <c r="H3" s="723" t="s">
        <v>4</v>
      </c>
      <c r="I3" s="701">
        <v>46094</v>
      </c>
    </row>
    <row r="4" spans="1:9" ht="13.5" x14ac:dyDescent="0.25">
      <c r="A4" s="712"/>
      <c r="B4" s="713"/>
      <c r="C4" s="99" t="s">
        <v>5</v>
      </c>
      <c r="D4" s="704" t="s">
        <v>54</v>
      </c>
      <c r="E4" s="705"/>
      <c r="F4" s="705"/>
      <c r="G4" s="706"/>
      <c r="H4" s="724"/>
      <c r="I4" s="702"/>
    </row>
    <row r="5" spans="1:9" ht="14.25" thickBot="1" x14ac:dyDescent="0.3">
      <c r="A5" s="714"/>
      <c r="B5" s="715"/>
      <c r="C5" s="100" t="s">
        <v>6</v>
      </c>
      <c r="D5" s="707" t="s">
        <v>32</v>
      </c>
      <c r="E5" s="708"/>
      <c r="F5" s="708"/>
      <c r="G5" s="709"/>
      <c r="H5" s="725"/>
      <c r="I5" s="703"/>
    </row>
    <row r="6" spans="1:9" ht="18.75" thickBot="1" x14ac:dyDescent="0.3">
      <c r="A6" s="607" t="s">
        <v>33</v>
      </c>
      <c r="B6" s="607"/>
      <c r="C6" s="607"/>
      <c r="D6" s="823" t="s">
        <v>55</v>
      </c>
      <c r="E6" s="823"/>
      <c r="F6" s="823"/>
      <c r="G6" s="609" t="s">
        <v>34</v>
      </c>
      <c r="H6" s="609"/>
      <c r="I6" s="327" t="s">
        <v>18</v>
      </c>
    </row>
    <row r="7" spans="1:9" ht="36" customHeight="1" x14ac:dyDescent="0.2">
      <c r="A7" s="610" t="s">
        <v>7</v>
      </c>
      <c r="B7" s="612" t="s">
        <v>35</v>
      </c>
      <c r="C7" s="614" t="s">
        <v>8</v>
      </c>
      <c r="D7" s="614" t="s">
        <v>9</v>
      </c>
      <c r="E7" s="614" t="s">
        <v>10</v>
      </c>
      <c r="F7" s="614"/>
      <c r="G7" s="614" t="s">
        <v>11</v>
      </c>
      <c r="H7" s="614"/>
      <c r="I7" s="19" t="s">
        <v>12</v>
      </c>
    </row>
    <row r="8" spans="1:9" ht="33" customHeight="1" thickBot="1" x14ac:dyDescent="0.25">
      <c r="A8" s="611"/>
      <c r="B8" s="613"/>
      <c r="C8" s="615"/>
      <c r="D8" s="61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22.5" x14ac:dyDescent="0.25">
      <c r="A9" s="23"/>
      <c r="B9" s="24"/>
      <c r="C9" s="990" t="s">
        <v>36</v>
      </c>
      <c r="D9" s="26"/>
      <c r="E9" s="27"/>
      <c r="F9" s="28"/>
      <c r="G9" s="27"/>
      <c r="H9" s="28"/>
      <c r="I9" s="29"/>
    </row>
    <row r="10" spans="1:9" ht="20.25" x14ac:dyDescent="0.3">
      <c r="A10" s="101"/>
      <c r="B10" s="101" t="s">
        <v>56</v>
      </c>
      <c r="C10" s="102" t="s">
        <v>57</v>
      </c>
      <c r="D10" s="103" t="s">
        <v>58</v>
      </c>
      <c r="E10" s="104">
        <v>500</v>
      </c>
      <c r="F10" s="105" t="s">
        <v>16</v>
      </c>
      <c r="G10" s="106"/>
      <c r="H10" s="107"/>
      <c r="I10" s="108"/>
    </row>
    <row r="11" spans="1:9" ht="20.25" x14ac:dyDescent="0.3">
      <c r="A11" s="101"/>
      <c r="B11" s="101" t="s">
        <v>264</v>
      </c>
      <c r="C11" s="102" t="s">
        <v>80</v>
      </c>
      <c r="D11" s="103"/>
      <c r="E11" s="104">
        <v>200</v>
      </c>
      <c r="F11" s="105" t="s">
        <v>16</v>
      </c>
      <c r="G11" s="106"/>
      <c r="H11" s="107"/>
      <c r="I11" s="108"/>
    </row>
    <row r="12" spans="1:9" ht="20.25" x14ac:dyDescent="0.3">
      <c r="A12" s="101"/>
      <c r="B12" s="101" t="s">
        <v>78</v>
      </c>
      <c r="C12" s="85" t="s">
        <v>79</v>
      </c>
      <c r="D12" s="103"/>
      <c r="E12" s="104">
        <v>100</v>
      </c>
      <c r="F12" s="105" t="s">
        <v>16</v>
      </c>
      <c r="G12" s="106"/>
      <c r="H12" s="107"/>
      <c r="I12" s="108"/>
    </row>
    <row r="13" spans="1:9" ht="20.25" x14ac:dyDescent="0.3">
      <c r="A13" s="101"/>
      <c r="B13" s="101" t="s">
        <v>59</v>
      </c>
      <c r="C13" s="102" t="s">
        <v>60</v>
      </c>
      <c r="D13" s="103" t="s">
        <v>41</v>
      </c>
      <c r="E13" s="104">
        <v>100</v>
      </c>
      <c r="F13" s="105" t="s">
        <v>16</v>
      </c>
      <c r="G13" s="106"/>
      <c r="H13" s="107"/>
      <c r="I13" s="108"/>
    </row>
    <row r="14" spans="1:9" ht="20.25" x14ac:dyDescent="0.3">
      <c r="A14" s="101"/>
      <c r="B14" s="101" t="s">
        <v>61</v>
      </c>
      <c r="C14" s="102" t="s">
        <v>62</v>
      </c>
      <c r="D14" s="103" t="s">
        <v>41</v>
      </c>
      <c r="E14" s="104">
        <v>2</v>
      </c>
      <c r="F14" s="105" t="s">
        <v>16</v>
      </c>
      <c r="G14" s="106"/>
      <c r="H14" s="107"/>
      <c r="I14" s="108"/>
    </row>
    <row r="15" spans="1:9" ht="20.25" x14ac:dyDescent="0.3">
      <c r="A15" s="101"/>
      <c r="B15" s="101" t="s">
        <v>63</v>
      </c>
      <c r="C15" s="102" t="s">
        <v>64</v>
      </c>
      <c r="D15" s="103" t="s">
        <v>65</v>
      </c>
      <c r="E15" s="104">
        <v>2</v>
      </c>
      <c r="F15" s="105" t="s">
        <v>16</v>
      </c>
      <c r="G15" s="106"/>
      <c r="H15" s="107"/>
      <c r="I15" s="108"/>
    </row>
    <row r="16" spans="1:9" ht="20.25" x14ac:dyDescent="0.3">
      <c r="A16" s="101"/>
      <c r="B16" s="101" t="s">
        <v>69</v>
      </c>
      <c r="C16" s="102" t="s">
        <v>70</v>
      </c>
      <c r="D16" s="103" t="s">
        <v>71</v>
      </c>
      <c r="E16" s="110" t="s">
        <v>81</v>
      </c>
      <c r="F16" s="111" t="s">
        <v>16</v>
      </c>
      <c r="G16" s="112"/>
      <c r="H16" s="107"/>
      <c r="I16" s="108"/>
    </row>
    <row r="17" spans="1:9" ht="20.25" x14ac:dyDescent="0.3">
      <c r="A17" s="84"/>
      <c r="B17" s="101" t="s">
        <v>66</v>
      </c>
      <c r="C17" s="109" t="s">
        <v>67</v>
      </c>
      <c r="D17" s="103" t="s">
        <v>65</v>
      </c>
      <c r="E17" s="104">
        <v>50</v>
      </c>
      <c r="F17" s="105" t="s">
        <v>16</v>
      </c>
      <c r="G17" s="112"/>
      <c r="H17" s="107"/>
      <c r="I17" s="108"/>
    </row>
    <row r="18" spans="1:9" ht="20.25" x14ac:dyDescent="0.3">
      <c r="A18" s="101"/>
      <c r="B18" s="101"/>
      <c r="C18" s="102" t="s">
        <v>68</v>
      </c>
      <c r="D18" s="103" t="s">
        <v>41</v>
      </c>
      <c r="E18" s="110">
        <v>70</v>
      </c>
      <c r="F18" s="111" t="s">
        <v>16</v>
      </c>
      <c r="G18" s="112"/>
      <c r="H18" s="107"/>
      <c r="I18" s="108"/>
    </row>
    <row r="19" spans="1:9" ht="20.25" x14ac:dyDescent="0.3">
      <c r="A19" s="115"/>
      <c r="B19" s="115"/>
      <c r="C19" s="116"/>
      <c r="D19" s="114"/>
      <c r="E19" s="101"/>
      <c r="F19" s="113"/>
      <c r="G19" s="112"/>
      <c r="H19" s="107"/>
      <c r="I19" s="108"/>
    </row>
    <row r="20" spans="1:9" ht="20.25" x14ac:dyDescent="0.3">
      <c r="A20" s="121"/>
      <c r="B20" s="122"/>
      <c r="C20" s="123" t="s">
        <v>17</v>
      </c>
      <c r="D20" s="124"/>
      <c r="E20" s="125"/>
      <c r="F20" s="120"/>
      <c r="G20" s="118"/>
      <c r="H20" s="107"/>
      <c r="I20" s="108"/>
    </row>
    <row r="21" spans="1:9" ht="20.25" x14ac:dyDescent="0.3">
      <c r="A21" s="101"/>
      <c r="B21" s="101"/>
      <c r="C21" s="119"/>
      <c r="D21" s="114"/>
      <c r="E21" s="126"/>
      <c r="F21" s="127"/>
      <c r="G21" s="118"/>
      <c r="H21" s="107"/>
      <c r="I21" s="108"/>
    </row>
    <row r="22" spans="1:9" ht="20.25" x14ac:dyDescent="0.3">
      <c r="A22" s="988"/>
      <c r="B22" s="988"/>
      <c r="C22" s="987" t="s">
        <v>18</v>
      </c>
      <c r="D22" s="128"/>
      <c r="E22" s="118"/>
      <c r="F22" s="107"/>
      <c r="G22" s="118"/>
      <c r="H22" s="107"/>
      <c r="I22" s="108"/>
    </row>
    <row r="23" spans="1:9" ht="20.25" x14ac:dyDescent="0.3">
      <c r="A23" s="989" t="s">
        <v>72</v>
      </c>
      <c r="B23" s="101" t="s">
        <v>73</v>
      </c>
      <c r="C23" s="129" t="s">
        <v>74</v>
      </c>
      <c r="D23" s="103" t="s">
        <v>75</v>
      </c>
      <c r="E23" s="104">
        <v>1</v>
      </c>
      <c r="F23" s="105" t="s">
        <v>76</v>
      </c>
      <c r="G23" s="130"/>
      <c r="H23" s="124"/>
      <c r="I23" s="108"/>
    </row>
    <row r="24" spans="1:9" ht="20.25" x14ac:dyDescent="0.3">
      <c r="A24" s="131"/>
      <c r="B24" s="132"/>
      <c r="C24" s="133"/>
      <c r="D24" s="134"/>
      <c r="E24" s="135"/>
      <c r="F24" s="136"/>
      <c r="G24" s="130"/>
      <c r="H24" s="124"/>
      <c r="I24" s="108"/>
    </row>
    <row r="25" spans="1:9" ht="21" thickBot="1" x14ac:dyDescent="0.35">
      <c r="A25" s="137"/>
      <c r="B25" s="138"/>
      <c r="C25" s="139"/>
      <c r="D25" s="139"/>
      <c r="E25" s="140"/>
      <c r="F25" s="141"/>
      <c r="G25" s="139"/>
      <c r="H25" s="139"/>
      <c r="I25" s="142"/>
    </row>
    <row r="26" spans="1:9" ht="21" thickBot="1" x14ac:dyDescent="0.35">
      <c r="A26" s="143"/>
      <c r="B26" s="144"/>
      <c r="C26" s="145"/>
      <c r="D26" s="146" t="s">
        <v>13</v>
      </c>
      <c r="E26" s="147" t="s">
        <v>19</v>
      </c>
      <c r="F26" s="148"/>
      <c r="G26" s="145"/>
      <c r="H26" s="145"/>
      <c r="I26" s="149"/>
    </row>
    <row r="27" spans="1:9" ht="20.25" x14ac:dyDescent="0.3">
      <c r="A27" s="953" t="s">
        <v>20</v>
      </c>
      <c r="B27" s="954"/>
      <c r="C27" s="955"/>
      <c r="D27" s="106">
        <v>1000</v>
      </c>
      <c r="E27" s="150" t="s">
        <v>16</v>
      </c>
      <c r="F27" s="956" t="s">
        <v>21</v>
      </c>
      <c r="G27" s="956"/>
      <c r="H27" s="957"/>
      <c r="I27" s="958"/>
    </row>
    <row r="28" spans="1:9" ht="20.25" x14ac:dyDescent="0.3">
      <c r="A28" s="959" t="s">
        <v>22</v>
      </c>
      <c r="B28" s="960"/>
      <c r="C28" s="961"/>
      <c r="D28" s="151">
        <v>3</v>
      </c>
      <c r="E28" s="101" t="s">
        <v>23</v>
      </c>
      <c r="F28" s="962" t="s">
        <v>24</v>
      </c>
      <c r="G28" s="962"/>
      <c r="H28" s="963"/>
      <c r="I28" s="964"/>
    </row>
    <row r="29" spans="1:9" ht="20.25" x14ac:dyDescent="0.3">
      <c r="A29" s="959" t="s">
        <v>25</v>
      </c>
      <c r="B29" s="960"/>
      <c r="C29" s="961"/>
      <c r="D29" s="101">
        <v>1</v>
      </c>
      <c r="E29" s="101" t="s">
        <v>82</v>
      </c>
      <c r="F29" s="962" t="s">
        <v>26</v>
      </c>
      <c r="G29" s="962"/>
      <c r="H29" s="963"/>
      <c r="I29" s="964"/>
    </row>
    <row r="30" spans="1:9" ht="20.25" x14ac:dyDescent="0.3">
      <c r="A30" s="959" t="s">
        <v>27</v>
      </c>
      <c r="B30" s="960"/>
      <c r="C30" s="961"/>
      <c r="D30" s="117">
        <v>1000</v>
      </c>
      <c r="E30" s="101" t="s">
        <v>16</v>
      </c>
      <c r="F30" s="968" t="s">
        <v>28</v>
      </c>
      <c r="G30" s="969"/>
      <c r="H30" s="963"/>
      <c r="I30" s="964"/>
    </row>
    <row r="31" spans="1:9" ht="21" thickBot="1" x14ac:dyDescent="0.35">
      <c r="A31" s="970" t="s">
        <v>29</v>
      </c>
      <c r="B31" s="971"/>
      <c r="C31" s="972"/>
      <c r="D31" s="152">
        <f>SUM(E10:E18)-D27</f>
        <v>24</v>
      </c>
      <c r="E31" s="153" t="s">
        <v>16</v>
      </c>
      <c r="F31" s="973"/>
      <c r="G31" s="973"/>
      <c r="H31" s="974"/>
      <c r="I31" s="975"/>
    </row>
    <row r="32" spans="1:9" ht="21" thickBot="1" x14ac:dyDescent="0.35">
      <c r="A32" s="976" t="s">
        <v>30</v>
      </c>
      <c r="B32" s="977"/>
      <c r="C32" s="977"/>
      <c r="D32" s="977"/>
      <c r="E32" s="977"/>
      <c r="F32" s="977"/>
      <c r="G32" s="977"/>
      <c r="H32" s="977"/>
      <c r="I32" s="978"/>
    </row>
    <row r="33" spans="1:9" ht="20.25" x14ac:dyDescent="0.3">
      <c r="A33" s="979" t="s">
        <v>83</v>
      </c>
      <c r="B33" s="980"/>
      <c r="C33" s="980"/>
      <c r="D33" s="980"/>
      <c r="E33" s="980"/>
      <c r="F33" s="980"/>
      <c r="G33" s="980"/>
      <c r="H33" s="980"/>
      <c r="I33" s="981"/>
    </row>
    <row r="34" spans="1:9" ht="20.25" x14ac:dyDescent="0.3">
      <c r="A34" s="965" t="s">
        <v>84</v>
      </c>
      <c r="B34" s="966"/>
      <c r="C34" s="966"/>
      <c r="D34" s="966"/>
      <c r="E34" s="966"/>
      <c r="F34" s="966"/>
      <c r="G34" s="966"/>
      <c r="H34" s="966"/>
      <c r="I34" s="967"/>
    </row>
    <row r="35" spans="1:9" ht="20.25" x14ac:dyDescent="0.3">
      <c r="A35" s="965" t="s">
        <v>77</v>
      </c>
      <c r="B35" s="966"/>
      <c r="C35" s="966"/>
      <c r="D35" s="966"/>
      <c r="E35" s="966"/>
      <c r="F35" s="966"/>
      <c r="G35" s="966"/>
      <c r="H35" s="966"/>
      <c r="I35" s="967"/>
    </row>
    <row r="36" spans="1:9" ht="20.25" x14ac:dyDescent="0.3">
      <c r="A36" s="965"/>
      <c r="B36" s="966"/>
      <c r="C36" s="966"/>
      <c r="D36" s="966"/>
      <c r="E36" s="966"/>
      <c r="F36" s="966"/>
      <c r="G36" s="966"/>
      <c r="H36" s="966"/>
      <c r="I36" s="967"/>
    </row>
    <row r="37" spans="1:9" ht="20.25" x14ac:dyDescent="0.3">
      <c r="A37" s="982"/>
      <c r="B37" s="983"/>
      <c r="C37" s="983"/>
      <c r="D37" s="983"/>
      <c r="E37" s="983"/>
      <c r="F37" s="983"/>
      <c r="G37" s="983"/>
      <c r="H37" s="983"/>
      <c r="I37" s="984"/>
    </row>
    <row r="38" spans="1:9" ht="20.25" x14ac:dyDescent="0.3">
      <c r="A38" s="985" t="s">
        <v>37</v>
      </c>
      <c r="B38" s="985"/>
      <c r="C38" s="985"/>
      <c r="D38" s="985"/>
      <c r="E38" s="985"/>
      <c r="F38" s="985"/>
      <c r="G38" s="985"/>
      <c r="H38" s="985"/>
      <c r="I38" s="985"/>
    </row>
    <row r="39" spans="1:9" ht="20.25" x14ac:dyDescent="0.3">
      <c r="A39" s="986"/>
      <c r="B39" s="986"/>
      <c r="C39" s="986"/>
      <c r="D39" s="986"/>
      <c r="E39" s="986"/>
      <c r="F39" s="986"/>
      <c r="G39" s="986"/>
      <c r="H39" s="986"/>
      <c r="I39" s="986"/>
    </row>
    <row r="40" spans="1:9" ht="20.25" x14ac:dyDescent="0.3">
      <c r="A40" s="986"/>
      <c r="B40" s="986"/>
      <c r="C40" s="986"/>
      <c r="D40" s="986"/>
      <c r="E40" s="986"/>
      <c r="F40" s="986"/>
      <c r="G40" s="986"/>
      <c r="H40" s="986"/>
      <c r="I40" s="986"/>
    </row>
  </sheetData>
  <mergeCells count="41">
    <mergeCell ref="A38:I38"/>
    <mergeCell ref="A39:I39"/>
    <mergeCell ref="A40:I40"/>
    <mergeCell ref="A35:I35"/>
    <mergeCell ref="A36:I36"/>
    <mergeCell ref="A37:I37"/>
    <mergeCell ref="A34:I34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I32"/>
    <mergeCell ref="A33:I33"/>
    <mergeCell ref="A27:C27"/>
    <mergeCell ref="F27:G27"/>
    <mergeCell ref="H27:I27"/>
    <mergeCell ref="A28:C28"/>
    <mergeCell ref="F28:G28"/>
    <mergeCell ref="H28:I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CB8-FF4A-45B4-9029-1C1C6761058F}">
  <dimension ref="A1:Q91"/>
  <sheetViews>
    <sheetView topLeftCell="A16" workbookViewId="0">
      <selection activeCell="B66" sqref="B66:E66"/>
    </sheetView>
  </sheetViews>
  <sheetFormatPr baseColWidth="10" defaultColWidth="8.42578125" defaultRowHeight="12.75" x14ac:dyDescent="0.2"/>
  <cols>
    <col min="1" max="1" width="10" style="483" bestFit="1" customWidth="1"/>
    <col min="2" max="2" width="44.28515625" style="483" bestFit="1" customWidth="1"/>
    <col min="3" max="3" width="10.42578125" style="483" bestFit="1" customWidth="1"/>
    <col min="4" max="4" width="10.42578125" style="483" customWidth="1"/>
    <col min="5" max="5" width="11" style="483" customWidth="1"/>
    <col min="6" max="6" width="9.5703125" style="483" bestFit="1" customWidth="1"/>
    <col min="7" max="7" width="10.85546875" style="565" customWidth="1"/>
    <col min="8" max="8" width="10.42578125" style="556" bestFit="1" customWidth="1"/>
    <col min="9" max="9" width="4.5703125" style="556" customWidth="1"/>
    <col min="10" max="10" width="1.85546875" style="482" customWidth="1"/>
    <col min="11" max="11" width="7" style="483" bestFit="1" customWidth="1"/>
    <col min="12" max="12" width="6.28515625" style="483" customWidth="1"/>
    <col min="13" max="13" width="20.42578125" style="483" customWidth="1"/>
    <col min="14" max="14" width="6.42578125" style="483" bestFit="1" customWidth="1"/>
    <col min="15" max="16" width="8.42578125" style="483"/>
    <col min="17" max="17" width="3.28515625" style="483" customWidth="1"/>
    <col min="18" max="16384" width="8.42578125" style="483"/>
  </cols>
  <sheetData>
    <row r="1" spans="1:10" ht="27.75" customHeight="1" x14ac:dyDescent="0.2">
      <c r="A1" s="478"/>
      <c r="B1" s="478"/>
      <c r="C1" s="478"/>
      <c r="D1" s="478"/>
      <c r="E1" s="479" t="s">
        <v>265</v>
      </c>
      <c r="F1" s="480" t="s">
        <v>266</v>
      </c>
      <c r="G1" s="480" t="s">
        <v>267</v>
      </c>
      <c r="H1" s="480" t="s">
        <v>268</v>
      </c>
      <c r="I1" s="481"/>
    </row>
    <row r="2" spans="1:10" ht="30.75" customHeight="1" x14ac:dyDescent="0.2">
      <c r="A2" s="478"/>
      <c r="B2" s="478"/>
      <c r="C2" s="478"/>
      <c r="D2" s="478"/>
      <c r="E2" s="484">
        <f>IFERROR(O62,"")</f>
        <v>2959.0370389610389</v>
      </c>
      <c r="F2" s="484">
        <f>IFERROR(H53,"")</f>
        <v>2469.7260000000001</v>
      </c>
      <c r="G2" s="484">
        <f>IFERROR(H54,"")</f>
        <v>7.1499999999999995</v>
      </c>
      <c r="H2" s="484">
        <f>IFERROR(H56,"")</f>
        <v>232.04</v>
      </c>
      <c r="I2" s="485"/>
    </row>
    <row r="3" spans="1:10" ht="15" customHeight="1" x14ac:dyDescent="0.2">
      <c r="A3" s="478"/>
      <c r="B3" s="478"/>
      <c r="C3" s="478"/>
      <c r="D3" s="478"/>
      <c r="E3" s="478"/>
      <c r="F3" s="486"/>
      <c r="G3" s="486"/>
      <c r="H3" s="486"/>
      <c r="I3" s="486"/>
    </row>
    <row r="4" spans="1:10" ht="24.75" customHeight="1" thickBot="1" x14ac:dyDescent="0.25">
      <c r="A4" s="666"/>
      <c r="B4" s="666"/>
      <c r="C4" s="666"/>
      <c r="D4" s="666"/>
      <c r="E4" s="666"/>
      <c r="F4" s="666"/>
      <c r="G4" s="666"/>
      <c r="H4" s="666"/>
      <c r="I4" s="487"/>
    </row>
    <row r="5" spans="1:10" ht="19.5" customHeight="1" thickBot="1" x14ac:dyDescent="0.25">
      <c r="A5" s="667" t="s">
        <v>269</v>
      </c>
      <c r="B5" s="668"/>
      <c r="C5" s="668"/>
      <c r="D5" s="668"/>
      <c r="E5" s="668"/>
      <c r="F5" s="668"/>
      <c r="G5" s="668"/>
      <c r="H5" s="669"/>
      <c r="I5" s="488"/>
    </row>
    <row r="6" spans="1:10" ht="19.5" thickBot="1" x14ac:dyDescent="0.25">
      <c r="A6" s="488"/>
      <c r="B6" s="488"/>
      <c r="C6" s="488"/>
      <c r="D6" s="488"/>
      <c r="E6" s="488"/>
      <c r="F6" s="670" t="s">
        <v>270</v>
      </c>
      <c r="G6" s="670"/>
      <c r="H6" s="489">
        <f ca="1">TODAY()</f>
        <v>46094</v>
      </c>
      <c r="I6" s="489"/>
    </row>
    <row r="7" spans="1:10" ht="26.25" thickBot="1" x14ac:dyDescent="0.25">
      <c r="A7" s="490" t="s">
        <v>271</v>
      </c>
      <c r="B7" s="491" t="s">
        <v>272</v>
      </c>
      <c r="C7" s="491" t="s">
        <v>271</v>
      </c>
      <c r="D7" s="492" t="s">
        <v>273</v>
      </c>
      <c r="E7" s="492" t="s">
        <v>274</v>
      </c>
      <c r="F7" s="492" t="s">
        <v>275</v>
      </c>
      <c r="G7" s="492" t="s">
        <v>276</v>
      </c>
      <c r="H7" s="493" t="s">
        <v>277</v>
      </c>
      <c r="I7" s="494"/>
    </row>
    <row r="8" spans="1:10" ht="13.5" x14ac:dyDescent="0.25">
      <c r="A8" s="495">
        <v>500</v>
      </c>
      <c r="B8" s="483" t="s">
        <v>57</v>
      </c>
      <c r="C8" s="496">
        <f>+A8</f>
        <v>500</v>
      </c>
      <c r="D8" s="497" t="s">
        <v>317</v>
      </c>
      <c r="E8" s="497">
        <v>2.2999999999999998</v>
      </c>
      <c r="F8" s="497">
        <f>IFERROR(C8*E8,"")</f>
        <v>1150</v>
      </c>
      <c r="G8" s="498">
        <f t="shared" ref="G8:G14" si="0">IFERROR(F8/$F$66,"")</f>
        <v>0.41707913375144634</v>
      </c>
      <c r="H8" s="499" t="s">
        <v>56</v>
      </c>
      <c r="I8" s="499"/>
      <c r="J8" s="500"/>
    </row>
    <row r="9" spans="1:10" ht="13.5" x14ac:dyDescent="0.25">
      <c r="A9" s="495">
        <v>200</v>
      </c>
      <c r="B9" s="483" t="s">
        <v>80</v>
      </c>
      <c r="C9" s="496">
        <f t="shared" ref="C9:C14" si="1">+A9</f>
        <v>200</v>
      </c>
      <c r="D9" s="497" t="s">
        <v>317</v>
      </c>
      <c r="E9" s="497">
        <v>3.7</v>
      </c>
      <c r="F9" s="497">
        <f t="shared" ref="F9:F14" si="2">IFERROR(C9*E9,"")</f>
        <v>740</v>
      </c>
      <c r="G9" s="498">
        <f t="shared" si="0"/>
        <v>0.26838135563136545</v>
      </c>
      <c r="H9" s="499" t="s">
        <v>264</v>
      </c>
      <c r="I9" s="499"/>
      <c r="J9" s="500"/>
    </row>
    <row r="10" spans="1:10" ht="13.5" x14ac:dyDescent="0.25">
      <c r="A10" s="495">
        <v>100</v>
      </c>
      <c r="B10" s="483" t="s">
        <v>79</v>
      </c>
      <c r="C10" s="496">
        <f t="shared" si="1"/>
        <v>100</v>
      </c>
      <c r="D10" s="497" t="s">
        <v>317</v>
      </c>
      <c r="E10" s="497">
        <v>4.13</v>
      </c>
      <c r="F10" s="497">
        <f t="shared" si="2"/>
        <v>413</v>
      </c>
      <c r="G10" s="498">
        <f t="shared" si="0"/>
        <v>0.14978581064291072</v>
      </c>
      <c r="H10" s="499" t="s">
        <v>78</v>
      </c>
      <c r="I10" s="499"/>
      <c r="J10" s="500"/>
    </row>
    <row r="11" spans="1:10" ht="13.5" x14ac:dyDescent="0.25">
      <c r="A11" s="495">
        <v>2</v>
      </c>
      <c r="B11" s="483" t="s">
        <v>64</v>
      </c>
      <c r="C11" s="496">
        <f t="shared" si="1"/>
        <v>2</v>
      </c>
      <c r="D11" s="497" t="s">
        <v>317</v>
      </c>
      <c r="E11" s="497">
        <v>8.39</v>
      </c>
      <c r="F11" s="497">
        <f t="shared" si="2"/>
        <v>16.78</v>
      </c>
      <c r="G11" s="498">
        <f t="shared" si="0"/>
        <v>6.0857285776950171E-3</v>
      </c>
      <c r="H11" s="499" t="s">
        <v>63</v>
      </c>
      <c r="I11" s="499"/>
      <c r="J11" s="500"/>
    </row>
    <row r="12" spans="1:10" ht="13.5" x14ac:dyDescent="0.25">
      <c r="A12" s="495">
        <v>0.1</v>
      </c>
      <c r="B12" s="483" t="s">
        <v>70</v>
      </c>
      <c r="C12" s="496">
        <f t="shared" si="1"/>
        <v>0.1</v>
      </c>
      <c r="D12" s="497" t="s">
        <v>317</v>
      </c>
      <c r="E12" s="497">
        <v>18.46</v>
      </c>
      <c r="F12" s="497">
        <f t="shared" si="2"/>
        <v>1.8460000000000001</v>
      </c>
      <c r="G12" s="498">
        <f t="shared" si="0"/>
        <v>6.6950267904797387E-4</v>
      </c>
      <c r="H12" s="499" t="s">
        <v>69</v>
      </c>
      <c r="I12" s="499"/>
      <c r="J12" s="500"/>
    </row>
    <row r="13" spans="1:10" ht="13.5" x14ac:dyDescent="0.25">
      <c r="A13" s="495">
        <v>50</v>
      </c>
      <c r="B13" s="483" t="s">
        <v>67</v>
      </c>
      <c r="C13" s="496">
        <f t="shared" si="1"/>
        <v>50</v>
      </c>
      <c r="D13" s="497" t="s">
        <v>317</v>
      </c>
      <c r="E13" s="497">
        <v>2</v>
      </c>
      <c r="F13" s="497">
        <f t="shared" si="2"/>
        <v>100</v>
      </c>
      <c r="G13" s="498">
        <f t="shared" si="0"/>
        <v>3.6267750760995331E-2</v>
      </c>
      <c r="H13" s="499" t="s">
        <v>66</v>
      </c>
      <c r="I13" s="499"/>
      <c r="J13" s="500"/>
    </row>
    <row r="14" spans="1:10" ht="13.5" x14ac:dyDescent="0.25">
      <c r="A14" s="495"/>
      <c r="B14" s="483" t="str">
        <f>IFERROR(VLOOKUP(H14,'[1]Consolidado MP Planta'!$A$2:$M$823,3,0),"")</f>
        <v/>
      </c>
      <c r="C14" s="496">
        <f t="shared" si="1"/>
        <v>0</v>
      </c>
      <c r="D14" s="497" t="str">
        <f>IFERROR(VLOOKUP(H14,'[1]Consolidado MP Planta'!$A$2:$M$823,13,0),"")</f>
        <v/>
      </c>
      <c r="E14" s="497" t="str">
        <f>IFERROR(VLOOKUP(H14,'[1]Consolidado MP Planta'!$A$2:$M$823,12,0),"")</f>
        <v/>
      </c>
      <c r="F14" s="497" t="str">
        <f t="shared" si="2"/>
        <v/>
      </c>
      <c r="G14" s="498" t="str">
        <f t="shared" si="0"/>
        <v/>
      </c>
      <c r="H14" s="499"/>
      <c r="I14" s="499"/>
      <c r="J14" s="500"/>
    </row>
    <row r="15" spans="1:10" ht="14.25" thickBot="1" x14ac:dyDescent="0.3">
      <c r="A15" s="495"/>
      <c r="B15" s="483" t="str">
        <f>IFERROR(VLOOKUP(H15,[2]Hoja2!$A$2:$G$589,2,0),"")</f>
        <v/>
      </c>
      <c r="C15" s="496"/>
      <c r="D15" s="497"/>
      <c r="E15" s="497"/>
      <c r="F15" s="497"/>
      <c r="G15" s="498"/>
      <c r="H15" s="499"/>
      <c r="I15" s="499"/>
      <c r="J15" s="500"/>
    </row>
    <row r="16" spans="1:10" ht="26.25" thickBot="1" x14ac:dyDescent="0.25">
      <c r="A16" s="490" t="s">
        <v>271</v>
      </c>
      <c r="B16" s="491" t="s">
        <v>278</v>
      </c>
      <c r="C16" s="491" t="s">
        <v>271</v>
      </c>
      <c r="D16" s="492" t="s">
        <v>273</v>
      </c>
      <c r="E16" s="492" t="s">
        <v>274</v>
      </c>
      <c r="F16" s="492" t="s">
        <v>275</v>
      </c>
      <c r="G16" s="492" t="s">
        <v>276</v>
      </c>
      <c r="H16" s="493" t="s">
        <v>277</v>
      </c>
      <c r="I16" s="494"/>
      <c r="J16" s="500"/>
    </row>
    <row r="17" spans="1:12" ht="13.5" x14ac:dyDescent="0.25">
      <c r="A17" s="495">
        <v>100</v>
      </c>
      <c r="B17" s="483" t="s">
        <v>60</v>
      </c>
      <c r="C17" s="496">
        <f>+A17</f>
        <v>100</v>
      </c>
      <c r="D17" s="496" t="s">
        <v>317</v>
      </c>
      <c r="E17" s="497">
        <v>0.47</v>
      </c>
      <c r="F17" s="497">
        <f>IFERROR(E17*C17,"")</f>
        <v>47</v>
      </c>
      <c r="G17" s="498">
        <f t="shared" ref="G17:G24" si="3">IFERROR(F17/$F$66,"")</f>
        <v>1.7045842857667807E-2</v>
      </c>
      <c r="H17" s="499" t="s">
        <v>59</v>
      </c>
      <c r="I17" s="499"/>
      <c r="J17" s="500"/>
    </row>
    <row r="18" spans="1:12" ht="13.5" x14ac:dyDescent="0.25">
      <c r="A18" s="495">
        <v>2</v>
      </c>
      <c r="B18" s="483" t="s">
        <v>62</v>
      </c>
      <c r="C18" s="496">
        <f t="shared" ref="C18:C24" si="4">+A18</f>
        <v>2</v>
      </c>
      <c r="D18" s="496" t="s">
        <v>317</v>
      </c>
      <c r="E18" s="497">
        <v>0.55000000000000004</v>
      </c>
      <c r="F18" s="497">
        <f t="shared" ref="F18:F24" si="5">IFERROR(E18*C18,"")</f>
        <v>1.1000000000000001</v>
      </c>
      <c r="G18" s="498">
        <f t="shared" si="3"/>
        <v>3.9894525837094871E-4</v>
      </c>
      <c r="H18" s="499" t="s">
        <v>61</v>
      </c>
      <c r="I18" s="499"/>
      <c r="J18" s="500"/>
    </row>
    <row r="19" spans="1:12" ht="13.5" hidden="1" x14ac:dyDescent="0.25">
      <c r="A19" s="495"/>
      <c r="B19" s="483" t="str">
        <f>IFERROR(VLOOKUP(H19,[1]SEMIELABORADOS!$A$2:$M$6000,2,0),"")</f>
        <v/>
      </c>
      <c r="C19" s="496">
        <f>+A19</f>
        <v>0</v>
      </c>
      <c r="D19" s="496" t="str">
        <f>IFERROR(VLOOKUP(H19,[1]SEMIELABORADOS!$A$2:$M$6000,6,0),"")</f>
        <v/>
      </c>
      <c r="E19" s="497" t="str">
        <f>IFERROR(VLOOKUP(H19,[1]SEMIELABORADOS!$A$2:$H$65536,8,0),"")</f>
        <v/>
      </c>
      <c r="F19" s="497" t="str">
        <f>IFERROR(E19*C19,"")</f>
        <v/>
      </c>
      <c r="G19" s="498" t="str">
        <f t="shared" si="3"/>
        <v/>
      </c>
      <c r="H19" s="499"/>
      <c r="I19" s="499"/>
      <c r="J19" s="500"/>
    </row>
    <row r="20" spans="1:12" ht="13.5" hidden="1" x14ac:dyDescent="0.25">
      <c r="A20" s="495"/>
      <c r="B20" s="483" t="str">
        <f>IFERROR(VLOOKUP(H20,[1]SEMIELABORADOS!$A$2:$M$6000,2,0),"")</f>
        <v/>
      </c>
      <c r="C20" s="496">
        <f>+A20</f>
        <v>0</v>
      </c>
      <c r="D20" s="496" t="str">
        <f>IFERROR(VLOOKUP(H20,[1]SEMIELABORADOS!$A$2:$M$6000,6,0),"")</f>
        <v/>
      </c>
      <c r="E20" s="497" t="str">
        <f>IFERROR(VLOOKUP(H20,[1]SEMIELABORADOS!$A$2:$H$65536,8,0),"")</f>
        <v/>
      </c>
      <c r="F20" s="497" t="str">
        <f>IFERROR(E20*C20,"")</f>
        <v/>
      </c>
      <c r="G20" s="498" t="str">
        <f t="shared" si="3"/>
        <v/>
      </c>
      <c r="H20" s="499"/>
      <c r="I20" s="499"/>
      <c r="J20" s="500"/>
    </row>
    <row r="21" spans="1:12" ht="13.5" hidden="1" x14ac:dyDescent="0.25">
      <c r="A21" s="495"/>
      <c r="B21" s="483" t="str">
        <f>IFERROR(VLOOKUP(H21,[1]SEMIELABORADOS!$A$2:$M$6000,2,0),"")</f>
        <v/>
      </c>
      <c r="C21" s="496">
        <f>+A21</f>
        <v>0</v>
      </c>
      <c r="D21" s="496" t="str">
        <f>IFERROR(VLOOKUP(H21,[1]SEMIELABORADOS!$A$2:$M$6000,6,0),"")</f>
        <v/>
      </c>
      <c r="E21" s="497" t="str">
        <f>IFERROR(VLOOKUP(H21,[1]SEMIELABORADOS!$A$2:$H$65536,8,0),"")</f>
        <v/>
      </c>
      <c r="F21" s="497" t="str">
        <f>IFERROR(E21*C21,"")</f>
        <v/>
      </c>
      <c r="G21" s="498" t="str">
        <f t="shared" si="3"/>
        <v/>
      </c>
      <c r="H21" s="499"/>
      <c r="I21" s="499"/>
      <c r="J21" s="500"/>
    </row>
    <row r="22" spans="1:12" ht="13.5" hidden="1" x14ac:dyDescent="0.25">
      <c r="A22" s="495"/>
      <c r="B22" s="483" t="str">
        <f>IFERROR(VLOOKUP(H22,[1]SEMIELABORADOS!$A$2:$M$6000,2,0),"")</f>
        <v/>
      </c>
      <c r="C22" s="496">
        <f t="shared" si="4"/>
        <v>0</v>
      </c>
      <c r="D22" s="496" t="str">
        <f>IFERROR(VLOOKUP(H22,[1]SEMIELABORADOS!$A$2:$M$6000,6,0),"")</f>
        <v/>
      </c>
      <c r="E22" s="497" t="str">
        <f>IFERROR(VLOOKUP(H22,[1]SEMIELABORADOS!$A$2:$H$65536,8,0),"")</f>
        <v/>
      </c>
      <c r="F22" s="497" t="str">
        <f t="shared" si="5"/>
        <v/>
      </c>
      <c r="G22" s="498" t="str">
        <f t="shared" si="3"/>
        <v/>
      </c>
      <c r="H22" s="499"/>
      <c r="I22" s="499"/>
      <c r="J22" s="500"/>
    </row>
    <row r="23" spans="1:12" ht="13.5" hidden="1" x14ac:dyDescent="0.25">
      <c r="A23" s="495"/>
      <c r="B23" s="483" t="str">
        <f>IFERROR(VLOOKUP(H23,[1]SEMIELABORADOS!$A$2:$M$6000,2,0),"")</f>
        <v/>
      </c>
      <c r="C23" s="496">
        <f t="shared" si="4"/>
        <v>0</v>
      </c>
      <c r="D23" s="496" t="str">
        <f>IFERROR(VLOOKUP(H23,[1]SEMIELABORADOS!$A$2:$M$6000,6,0),"")</f>
        <v/>
      </c>
      <c r="E23" s="497" t="str">
        <f>IFERROR(VLOOKUP(H23,[1]SEMIELABORADOS!$A$2:$H$65536,8,0),"")</f>
        <v/>
      </c>
      <c r="F23" s="497" t="str">
        <f t="shared" si="5"/>
        <v/>
      </c>
      <c r="G23" s="498" t="str">
        <f t="shared" si="3"/>
        <v/>
      </c>
      <c r="H23" s="499"/>
      <c r="I23" s="499"/>
      <c r="J23" s="500"/>
    </row>
    <row r="24" spans="1:12" ht="13.5" hidden="1" x14ac:dyDescent="0.25">
      <c r="A24" s="495"/>
      <c r="B24" s="483" t="str">
        <f>IFERROR(VLOOKUP(H24,[1]SEMIELABORADOS!$A$2:$M$6000,2,0),"")</f>
        <v/>
      </c>
      <c r="C24" s="496">
        <f t="shared" si="4"/>
        <v>0</v>
      </c>
      <c r="D24" s="496" t="str">
        <f>IFERROR(VLOOKUP(H24,[1]SEMIELABORADOS!$A$2:$M$6000,6,0),"")</f>
        <v/>
      </c>
      <c r="E24" s="497" t="str">
        <f>IFERROR(VLOOKUP(H24,[1]SEMIELABORADOS!$A$2:$H$65536,8,0),"")</f>
        <v/>
      </c>
      <c r="F24" s="497" t="str">
        <f t="shared" si="5"/>
        <v/>
      </c>
      <c r="G24" s="498" t="str">
        <f t="shared" si="3"/>
        <v/>
      </c>
      <c r="H24" s="499"/>
      <c r="I24" s="499"/>
      <c r="J24" s="500"/>
    </row>
    <row r="25" spans="1:12" ht="14.25" thickBot="1" x14ac:dyDescent="0.3">
      <c r="A25" s="495"/>
      <c r="C25" s="496"/>
      <c r="D25" s="496"/>
      <c r="E25" s="497"/>
      <c r="F25" s="497"/>
      <c r="G25" s="498"/>
      <c r="H25" s="499"/>
      <c r="I25" s="499"/>
      <c r="J25" s="500"/>
    </row>
    <row r="26" spans="1:12" ht="26.25" thickBot="1" x14ac:dyDescent="0.25">
      <c r="A26" s="490" t="s">
        <v>271</v>
      </c>
      <c r="B26" s="491" t="s">
        <v>279</v>
      </c>
      <c r="C26" s="491" t="s">
        <v>271</v>
      </c>
      <c r="D26" s="492" t="s">
        <v>273</v>
      </c>
      <c r="E26" s="492" t="s">
        <v>274</v>
      </c>
      <c r="F26" s="492" t="s">
        <v>275</v>
      </c>
      <c r="G26" s="492" t="s">
        <v>276</v>
      </c>
      <c r="H26" s="493" t="s">
        <v>277</v>
      </c>
      <c r="I26" s="494"/>
    </row>
    <row r="27" spans="1:12" ht="13.5" x14ac:dyDescent="0.25">
      <c r="A27" s="495">
        <v>1</v>
      </c>
      <c r="B27" s="501" t="str">
        <f>IFERROR(VLOOKUP(H27,'[1]Consolidado MP Planta'!$A$2:$M$823,3,0),"")</f>
        <v>ETIQUETA BLANCA 2 5/8X1 15/16 (UND)</v>
      </c>
      <c r="C27" s="496">
        <f t="shared" ref="C27:C32" si="6">+A27</f>
        <v>1</v>
      </c>
      <c r="D27" s="497" t="str">
        <f>IFERROR(VLOOKUP(H27,'[1]Consolidado MP Planta'!$A$2:$M$823,13,0),"")</f>
        <v>Und</v>
      </c>
      <c r="E27" s="497">
        <v>2.13</v>
      </c>
      <c r="F27" s="497">
        <f t="shared" ref="F27:F32" si="7">IFERROR(C27*E27,"")</f>
        <v>2.13</v>
      </c>
      <c r="G27" s="498">
        <f t="shared" ref="G27:G32" si="8">IFERROR(F27/$F$66,"")</f>
        <v>7.7250309120920058E-4</v>
      </c>
      <c r="H27" s="502" t="s">
        <v>72</v>
      </c>
      <c r="I27" s="502"/>
      <c r="J27" s="500"/>
      <c r="K27" s="660"/>
      <c r="L27" s="660"/>
    </row>
    <row r="28" spans="1:12" ht="13.5" hidden="1" x14ac:dyDescent="0.25">
      <c r="A28" s="495"/>
      <c r="B28" s="501" t="str">
        <f>IFERROR(VLOOKUP(H28,'[1]Consolidado MP Planta'!$A$2:$M$823,3,0),"")</f>
        <v/>
      </c>
      <c r="C28" s="496">
        <f t="shared" si="6"/>
        <v>0</v>
      </c>
      <c r="D28" s="497" t="str">
        <f>IFERROR(VLOOKUP(H28,'[1]Consolidado MP Planta'!$A$2:$M$823,13,0),"")</f>
        <v/>
      </c>
      <c r="E28" s="497" t="str">
        <f>IFERROR(VLOOKUP(H28,'[1]Consolidado MP Planta'!$A$2:$M$823,12,0),"")</f>
        <v/>
      </c>
      <c r="F28" s="497" t="str">
        <f t="shared" si="7"/>
        <v/>
      </c>
      <c r="G28" s="498" t="str">
        <f t="shared" si="8"/>
        <v/>
      </c>
      <c r="H28" s="502"/>
      <c r="I28" s="502"/>
      <c r="J28" s="500"/>
      <c r="K28" s="660"/>
      <c r="L28" s="660"/>
    </row>
    <row r="29" spans="1:12" ht="13.5" hidden="1" x14ac:dyDescent="0.25">
      <c r="A29" s="495"/>
      <c r="B29" s="501" t="str">
        <f>IFERROR(VLOOKUP(H29,'[1]Consolidado MP Planta'!$A$2:$M$823,3,0),"")</f>
        <v/>
      </c>
      <c r="C29" s="496">
        <f t="shared" si="6"/>
        <v>0</v>
      </c>
      <c r="D29" s="497" t="str">
        <f>IFERROR(VLOOKUP(H29,'[1]Consolidado MP Planta'!$A$2:$M$823,13,0),"")</f>
        <v/>
      </c>
      <c r="E29" s="497" t="str">
        <f>IFERROR(VLOOKUP(H29,'[1]Consolidado MP Planta'!$A$2:$M$823,12,0),"")</f>
        <v/>
      </c>
      <c r="F29" s="497" t="str">
        <f t="shared" si="7"/>
        <v/>
      </c>
      <c r="G29" s="498" t="str">
        <f t="shared" si="8"/>
        <v/>
      </c>
      <c r="H29" s="502"/>
      <c r="I29" s="502"/>
      <c r="J29" s="500"/>
      <c r="K29" s="660"/>
      <c r="L29" s="660"/>
    </row>
    <row r="30" spans="1:12" ht="13.5" hidden="1" x14ac:dyDescent="0.25">
      <c r="A30" s="495"/>
      <c r="B30" s="501" t="str">
        <f>IFERROR(VLOOKUP(H30,'[1]Consolidado MP Planta'!$A$2:$M$823,3,0),"")</f>
        <v/>
      </c>
      <c r="C30" s="496">
        <f t="shared" si="6"/>
        <v>0</v>
      </c>
      <c r="D30" s="497" t="str">
        <f>IFERROR(VLOOKUP(H30,'[1]Consolidado MP Planta'!$A$2:$M$823,13,0),"")</f>
        <v/>
      </c>
      <c r="E30" s="497" t="str">
        <f>IFERROR(VLOOKUP(H30,'[1]Consolidado MP Planta'!$A$2:$M$823,12,0),"")</f>
        <v/>
      </c>
      <c r="F30" s="497" t="str">
        <f t="shared" si="7"/>
        <v/>
      </c>
      <c r="G30" s="498" t="str">
        <f t="shared" si="8"/>
        <v/>
      </c>
      <c r="H30" s="502"/>
      <c r="I30" s="502"/>
      <c r="J30" s="500"/>
      <c r="K30" s="660"/>
      <c r="L30" s="660"/>
    </row>
    <row r="31" spans="1:12" ht="13.5" hidden="1" x14ac:dyDescent="0.25">
      <c r="A31" s="495"/>
      <c r="B31" s="501" t="str">
        <f>IFERROR(VLOOKUP(H31,'[1]Consolidado MP Planta'!$A$2:$M$823,3,0),"")</f>
        <v/>
      </c>
      <c r="C31" s="496">
        <f t="shared" si="6"/>
        <v>0</v>
      </c>
      <c r="D31" s="497" t="str">
        <f>IFERROR(VLOOKUP(H31,'[1]Consolidado MP Planta'!$A$2:$M$823,13,0),"")</f>
        <v/>
      </c>
      <c r="E31" s="497" t="str">
        <f>IFERROR(VLOOKUP(H31,'[1]Consolidado MP Planta'!$A$2:$M$823,12,0),"")</f>
        <v/>
      </c>
      <c r="F31" s="497" t="str">
        <f t="shared" si="7"/>
        <v/>
      </c>
      <c r="G31" s="498" t="str">
        <f t="shared" si="8"/>
        <v/>
      </c>
      <c r="H31" s="502"/>
      <c r="I31" s="502"/>
      <c r="J31" s="500"/>
      <c r="K31" s="503"/>
      <c r="L31" s="504"/>
    </row>
    <row r="32" spans="1:12" ht="13.5" hidden="1" x14ac:dyDescent="0.25">
      <c r="A32" s="495"/>
      <c r="B32" s="501" t="str">
        <f>IFERROR(VLOOKUP(H32,'[1]Consolidado MP Planta'!$A$2:$M$823,3,0),"")</f>
        <v/>
      </c>
      <c r="C32" s="496">
        <f t="shared" si="6"/>
        <v>0</v>
      </c>
      <c r="D32" s="497" t="str">
        <f>IFERROR(VLOOKUP(H32,'[1]Consolidado MP Planta'!$A$2:$M$823,13,0),"")</f>
        <v/>
      </c>
      <c r="E32" s="497" t="str">
        <f>IFERROR(VLOOKUP(H32,'[1]Consolidado MP Planta'!$A$2:$M$823,12,0),"")</f>
        <v/>
      </c>
      <c r="F32" s="497" t="str">
        <f t="shared" si="7"/>
        <v/>
      </c>
      <c r="G32" s="498" t="str">
        <f t="shared" si="8"/>
        <v/>
      </c>
      <c r="H32" s="502"/>
      <c r="I32" s="502"/>
      <c r="J32" s="500"/>
    </row>
    <row r="33" spans="1:13" ht="14.25" thickBot="1" x14ac:dyDescent="0.3">
      <c r="A33" s="495"/>
      <c r="B33" s="501"/>
      <c r="C33" s="496"/>
      <c r="D33" s="497"/>
      <c r="E33" s="497"/>
      <c r="F33" s="497"/>
      <c r="G33" s="498"/>
      <c r="H33" s="502"/>
      <c r="I33" s="502"/>
      <c r="J33" s="500"/>
    </row>
    <row r="34" spans="1:13" ht="26.25" thickBot="1" x14ac:dyDescent="0.25">
      <c r="A34" s="490" t="s">
        <v>271</v>
      </c>
      <c r="B34" s="491" t="s">
        <v>280</v>
      </c>
      <c r="C34" s="491" t="s">
        <v>271</v>
      </c>
      <c r="D34" s="492" t="s">
        <v>273</v>
      </c>
      <c r="E34" s="492" t="s">
        <v>274</v>
      </c>
      <c r="F34" s="492" t="s">
        <v>275</v>
      </c>
      <c r="G34" s="492" t="s">
        <v>276</v>
      </c>
      <c r="H34" s="493" t="s">
        <v>277</v>
      </c>
      <c r="I34" s="502"/>
      <c r="J34" s="500"/>
    </row>
    <row r="35" spans="1:13" ht="13.5" x14ac:dyDescent="0.25">
      <c r="A35" s="495">
        <f>+A17</f>
        <v>100</v>
      </c>
      <c r="B35" s="501" t="s">
        <v>60</v>
      </c>
      <c r="C35" s="496">
        <f>+A35</f>
        <v>100</v>
      </c>
      <c r="D35" s="497" t="s">
        <v>317</v>
      </c>
      <c r="E35" s="497">
        <v>0.05</v>
      </c>
      <c r="F35" s="497">
        <f>IFERROR(E35*C35,"")</f>
        <v>5</v>
      </c>
      <c r="G35" s="498">
        <f t="shared" ref="G35:G41" si="9">IFERROR(F35/$F$66,"")</f>
        <v>1.8133875380497667E-3</v>
      </c>
      <c r="H35" s="502" t="s">
        <v>59</v>
      </c>
      <c r="I35" s="502"/>
      <c r="J35" s="500"/>
    </row>
    <row r="36" spans="1:13" ht="13.5" x14ac:dyDescent="0.25">
      <c r="A36" s="495">
        <f t="shared" ref="A36:A41" si="10">+A18</f>
        <v>2</v>
      </c>
      <c r="B36" s="501" t="s">
        <v>62</v>
      </c>
      <c r="C36" s="496">
        <f t="shared" ref="C36:C41" si="11">+A36</f>
        <v>2</v>
      </c>
      <c r="D36" s="497" t="s">
        <v>317</v>
      </c>
      <c r="E36" s="497">
        <v>0.01</v>
      </c>
      <c r="F36" s="497">
        <f t="shared" ref="F36:F41" si="12">IFERROR(E36*C36,"")</f>
        <v>0.02</v>
      </c>
      <c r="G36" s="498">
        <f t="shared" si="9"/>
        <v>7.253550152199067E-6</v>
      </c>
      <c r="H36" s="502" t="s">
        <v>61</v>
      </c>
      <c r="I36" s="502"/>
      <c r="J36" s="500"/>
    </row>
    <row r="37" spans="1:13" ht="13.5" hidden="1" x14ac:dyDescent="0.25">
      <c r="A37" s="495">
        <f t="shared" si="10"/>
        <v>0</v>
      </c>
      <c r="B37" s="501" t="str">
        <f>IFERROR(VLOOKUP(H37,[1]SEMIELABORADOS!$A$2:$M$6000,2,0),"")</f>
        <v/>
      </c>
      <c r="C37" s="496">
        <f t="shared" si="11"/>
        <v>0</v>
      </c>
      <c r="D37" s="497" t="str">
        <f>IFERROR(VLOOKUP(H37,[1]SEMIELABORADOS!$A$2:$M$6000,6,0),"")</f>
        <v/>
      </c>
      <c r="E37" s="497" t="str">
        <f>IFERROR(VLOOKUP(H37,[1]SEMIELABORADOS!$A$2:$M$65536,10,0),"")</f>
        <v/>
      </c>
      <c r="F37" s="497" t="str">
        <f t="shared" si="12"/>
        <v/>
      </c>
      <c r="G37" s="498" t="str">
        <f t="shared" si="9"/>
        <v/>
      </c>
      <c r="H37" s="502"/>
      <c r="I37" s="502"/>
      <c r="J37" s="500"/>
    </row>
    <row r="38" spans="1:13" ht="13.5" hidden="1" x14ac:dyDescent="0.25">
      <c r="A38" s="495">
        <f t="shared" si="10"/>
        <v>0</v>
      </c>
      <c r="B38" s="501" t="str">
        <f>IFERROR(VLOOKUP(H38,[1]SEMIELABORADOS!$A$2:$M$6000,2,0),"")</f>
        <v/>
      </c>
      <c r="C38" s="496">
        <f>+A38</f>
        <v>0</v>
      </c>
      <c r="D38" s="497" t="str">
        <f>IFERROR(VLOOKUP(H38,[1]SEMIELABORADOS!$A$2:$M$6000,6,0),"")</f>
        <v/>
      </c>
      <c r="E38" s="497" t="str">
        <f>IFERROR(VLOOKUP(H38,[1]SEMIELABORADOS!$A$2:$M$65536,10,0),"")</f>
        <v/>
      </c>
      <c r="F38" s="497" t="str">
        <f>IFERROR(E38*C38,"")</f>
        <v/>
      </c>
      <c r="G38" s="498" t="str">
        <f t="shared" si="9"/>
        <v/>
      </c>
      <c r="H38" s="502"/>
      <c r="I38" s="502"/>
      <c r="J38" s="500"/>
    </row>
    <row r="39" spans="1:13" ht="13.5" hidden="1" x14ac:dyDescent="0.25">
      <c r="A39" s="495">
        <f t="shared" si="10"/>
        <v>0</v>
      </c>
      <c r="B39" s="501" t="str">
        <f>IFERROR(VLOOKUP(H39,[1]SEMIELABORADOS!$A$2:$M$6000,2,0),"")</f>
        <v/>
      </c>
      <c r="C39" s="496">
        <f>+A39</f>
        <v>0</v>
      </c>
      <c r="D39" s="497" t="str">
        <f>IFERROR(VLOOKUP(H39,[1]SEMIELABORADOS!$A$2:$M$6000,6,0),"")</f>
        <v/>
      </c>
      <c r="E39" s="497" t="str">
        <f>IFERROR(VLOOKUP(H39,[1]SEMIELABORADOS!$A$2:$M$65536,10,0),"")</f>
        <v/>
      </c>
      <c r="F39" s="497" t="str">
        <f>IFERROR(E39*C39,"")</f>
        <v/>
      </c>
      <c r="G39" s="498" t="str">
        <f t="shared" si="9"/>
        <v/>
      </c>
      <c r="H39" s="502"/>
      <c r="I39" s="502"/>
      <c r="J39" s="500"/>
    </row>
    <row r="40" spans="1:13" ht="13.5" hidden="1" x14ac:dyDescent="0.25">
      <c r="A40" s="495">
        <f t="shared" si="10"/>
        <v>0</v>
      </c>
      <c r="B40" s="501" t="str">
        <f>IFERROR(VLOOKUP(H40,[1]SEMIELABORADOS!$A$2:$M$6000,2,0),"")</f>
        <v/>
      </c>
      <c r="C40" s="496">
        <f t="shared" si="11"/>
        <v>0</v>
      </c>
      <c r="D40" s="497" t="str">
        <f>IFERROR(VLOOKUP(H40,[1]SEMIELABORADOS!$A$2:$M$6000,6,0),"")</f>
        <v/>
      </c>
      <c r="E40" s="497" t="str">
        <f>IFERROR(VLOOKUP(H40,[1]SEMIELABORADOS!$A$2:$M$65536,10,0),"")</f>
        <v/>
      </c>
      <c r="F40" s="497" t="str">
        <f t="shared" si="12"/>
        <v/>
      </c>
      <c r="G40" s="498" t="str">
        <f t="shared" si="9"/>
        <v/>
      </c>
      <c r="H40" s="502"/>
      <c r="I40" s="502"/>
      <c r="J40" s="500"/>
    </row>
    <row r="41" spans="1:13" ht="13.5" hidden="1" x14ac:dyDescent="0.25">
      <c r="A41" s="495">
        <f t="shared" si="10"/>
        <v>0</v>
      </c>
      <c r="B41" s="501" t="str">
        <f>IFERROR(VLOOKUP(H41,[1]SEMIELABORADOS!$A$2:$M$6000,2,0),"")</f>
        <v/>
      </c>
      <c r="C41" s="496">
        <f t="shared" si="11"/>
        <v>0</v>
      </c>
      <c r="D41" s="497" t="str">
        <f>IFERROR(VLOOKUP(H41,[1]SEMIELABORADOS!$A$2:$M$6000,6,0),"")</f>
        <v/>
      </c>
      <c r="E41" s="497" t="str">
        <f>IFERROR(VLOOKUP(H41,[1]SEMIELABORADOS!$A$2:$M$65536,10,0),"")</f>
        <v/>
      </c>
      <c r="F41" s="497" t="str">
        <f t="shared" si="12"/>
        <v/>
      </c>
      <c r="G41" s="498" t="str">
        <f t="shared" si="9"/>
        <v/>
      </c>
      <c r="H41" s="502"/>
      <c r="I41" s="502"/>
      <c r="J41" s="500"/>
    </row>
    <row r="42" spans="1:13" ht="14.25" thickBot="1" x14ac:dyDescent="0.3">
      <c r="A42" s="495"/>
      <c r="B42" s="501"/>
      <c r="C42" s="496"/>
      <c r="D42" s="497"/>
      <c r="E42" s="497"/>
      <c r="F42" s="497"/>
      <c r="G42" s="498"/>
      <c r="H42" s="502"/>
      <c r="I42" s="502"/>
      <c r="J42" s="500"/>
    </row>
    <row r="43" spans="1:13" ht="26.25" thickBot="1" x14ac:dyDescent="0.25">
      <c r="A43" s="490" t="s">
        <v>271</v>
      </c>
      <c r="B43" s="491" t="s">
        <v>281</v>
      </c>
      <c r="C43" s="491" t="s">
        <v>271</v>
      </c>
      <c r="D43" s="492" t="s">
        <v>273</v>
      </c>
      <c r="E43" s="492" t="s">
        <v>274</v>
      </c>
      <c r="F43" s="492" t="s">
        <v>275</v>
      </c>
      <c r="G43" s="492" t="s">
        <v>276</v>
      </c>
      <c r="H43" s="493" t="s">
        <v>277</v>
      </c>
      <c r="I43" s="494"/>
      <c r="J43" s="500"/>
    </row>
    <row r="44" spans="1:13" ht="13.5" x14ac:dyDescent="0.25">
      <c r="A44" s="495">
        <f>+A35</f>
        <v>100</v>
      </c>
      <c r="B44" s="501" t="s">
        <v>60</v>
      </c>
      <c r="C44" s="496">
        <f>+A44</f>
        <v>100</v>
      </c>
      <c r="D44" s="497" t="s">
        <v>317</v>
      </c>
      <c r="E44" s="497">
        <v>0.01</v>
      </c>
      <c r="F44" s="497">
        <f>IFERROR(E44*C44,"")</f>
        <v>1</v>
      </c>
      <c r="G44" s="498">
        <f>IFERROR(F44/$F$66,"")</f>
        <v>3.6267750760995331E-4</v>
      </c>
      <c r="H44" s="502" t="s">
        <v>59</v>
      </c>
      <c r="I44" s="494"/>
      <c r="J44" s="500"/>
    </row>
    <row r="45" spans="1:13" ht="13.5" x14ac:dyDescent="0.25">
      <c r="A45" s="495">
        <f t="shared" ref="A45:A50" si="13">+A36</f>
        <v>2</v>
      </c>
      <c r="B45" s="501" t="s">
        <v>62</v>
      </c>
      <c r="C45" s="496">
        <f t="shared" ref="C45:C50" si="14">+A45</f>
        <v>2</v>
      </c>
      <c r="D45" s="497" t="s">
        <v>317</v>
      </c>
      <c r="E45" s="497">
        <v>0.02</v>
      </c>
      <c r="F45" s="497">
        <f t="shared" ref="F45:F50" si="15">IFERROR(E45*C45,"")</f>
        <v>0.04</v>
      </c>
      <c r="G45" s="498">
        <f t="shared" ref="G45:G50" si="16">IFERROR(F45/$F$66,"")</f>
        <v>1.4507100304398134E-5</v>
      </c>
      <c r="H45" s="502" t="s">
        <v>61</v>
      </c>
      <c r="I45" s="494"/>
      <c r="J45" s="500"/>
      <c r="M45" s="505"/>
    </row>
    <row r="46" spans="1:13" ht="13.5" hidden="1" x14ac:dyDescent="0.25">
      <c r="A46" s="495">
        <f t="shared" si="13"/>
        <v>0</v>
      </c>
      <c r="B46" s="501" t="str">
        <f>IFERROR(VLOOKUP(H46,[1]SEMIELABORADOS!$A$2:$M$6000,2,0),"")</f>
        <v/>
      </c>
      <c r="C46" s="496">
        <f t="shared" si="14"/>
        <v>0</v>
      </c>
      <c r="D46" s="497" t="str">
        <f>IFERROR(VLOOKUP(H46,[1]SEMIELABORADOS!$A$2:$M$6000,6,0),"")</f>
        <v/>
      </c>
      <c r="E46" s="497" t="str">
        <f>IFERROR(VLOOKUP(H46,[1]SEMIELABORADOS!$A$2:$M$65536,12,0),"")</f>
        <v/>
      </c>
      <c r="F46" s="497" t="str">
        <f t="shared" si="15"/>
        <v/>
      </c>
      <c r="G46" s="498" t="str">
        <f t="shared" si="16"/>
        <v/>
      </c>
      <c r="H46" s="502"/>
      <c r="I46" s="494"/>
      <c r="J46" s="500"/>
    </row>
    <row r="47" spans="1:13" ht="13.5" hidden="1" x14ac:dyDescent="0.25">
      <c r="A47" s="495">
        <f t="shared" si="13"/>
        <v>0</v>
      </c>
      <c r="B47" s="501" t="str">
        <f>IFERROR(VLOOKUP(H47,[1]SEMIELABORADOS!$A$2:$M$6000,2,0),"")</f>
        <v/>
      </c>
      <c r="C47" s="496">
        <f t="shared" si="14"/>
        <v>0</v>
      </c>
      <c r="D47" s="497" t="str">
        <f>IFERROR(VLOOKUP(H47,[1]SEMIELABORADOS!$A$2:$M$6000,6,0),"")</f>
        <v/>
      </c>
      <c r="E47" s="497" t="str">
        <f>IFERROR(VLOOKUP(H47,[1]SEMIELABORADOS!$A$2:$M$65536,12,0),"")</f>
        <v/>
      </c>
      <c r="F47" s="497" t="str">
        <f t="shared" si="15"/>
        <v/>
      </c>
      <c r="G47" s="498" t="str">
        <f t="shared" si="16"/>
        <v/>
      </c>
      <c r="H47" s="502"/>
      <c r="I47" s="494"/>
      <c r="J47" s="500"/>
    </row>
    <row r="48" spans="1:13" ht="13.5" hidden="1" x14ac:dyDescent="0.25">
      <c r="A48" s="495">
        <f t="shared" si="13"/>
        <v>0</v>
      </c>
      <c r="B48" s="501" t="str">
        <f>IFERROR(VLOOKUP(H48,[1]SEMIELABORADOS!$A$2:$M$6000,2,0),"")</f>
        <v/>
      </c>
      <c r="C48" s="496">
        <f t="shared" si="14"/>
        <v>0</v>
      </c>
      <c r="D48" s="497" t="str">
        <f>IFERROR(VLOOKUP(H48,[1]SEMIELABORADOS!$A$2:$M$6000,6,0),"")</f>
        <v/>
      </c>
      <c r="E48" s="497" t="str">
        <f>IFERROR(VLOOKUP(H48,[1]SEMIELABORADOS!$A$2:$M$65536,12,0),"")</f>
        <v/>
      </c>
      <c r="F48" s="497" t="str">
        <f t="shared" si="15"/>
        <v/>
      </c>
      <c r="G48" s="498" t="str">
        <f t="shared" si="16"/>
        <v/>
      </c>
      <c r="H48" s="502"/>
      <c r="I48" s="494"/>
      <c r="J48" s="500"/>
    </row>
    <row r="49" spans="1:17" ht="13.5" hidden="1" x14ac:dyDescent="0.25">
      <c r="A49" s="495">
        <f t="shared" si="13"/>
        <v>0</v>
      </c>
      <c r="B49" s="501" t="str">
        <f>IFERROR(VLOOKUP(H49,[1]SEMIELABORADOS!$A$2:$M$6000,2,0),"")</f>
        <v/>
      </c>
      <c r="C49" s="496">
        <f t="shared" si="14"/>
        <v>0</v>
      </c>
      <c r="D49" s="497" t="str">
        <f>IFERROR(VLOOKUP(H49,[1]SEMIELABORADOS!$A$2:$M$6000,6,0),"")</f>
        <v/>
      </c>
      <c r="E49" s="497" t="str">
        <f>IFERROR(VLOOKUP(H49,[1]SEMIELABORADOS!$A$2:$M$65536,12,0),"")</f>
        <v/>
      </c>
      <c r="F49" s="497" t="str">
        <f t="shared" si="15"/>
        <v/>
      </c>
      <c r="G49" s="498" t="str">
        <f t="shared" si="16"/>
        <v/>
      </c>
      <c r="H49" s="502"/>
      <c r="I49" s="494"/>
      <c r="J49" s="500"/>
    </row>
    <row r="50" spans="1:17" ht="13.5" hidden="1" x14ac:dyDescent="0.25">
      <c r="A50" s="495">
        <f t="shared" si="13"/>
        <v>0</v>
      </c>
      <c r="B50" s="501" t="str">
        <f>IFERROR(VLOOKUP(H50,[1]SEMIELABORADOS!$A$2:$M$6000,2,0),"")</f>
        <v/>
      </c>
      <c r="C50" s="496">
        <f t="shared" si="14"/>
        <v>0</v>
      </c>
      <c r="D50" s="497" t="str">
        <f>IFERROR(VLOOKUP(H50,[1]SEMIELABORADOS!$A$2:$M$6000,6,0),"")</f>
        <v/>
      </c>
      <c r="E50" s="497" t="str">
        <f>IFERROR(VLOOKUP(H50,[1]SEMIELABORADOS!$A$2:$M$65536,12,0),"")</f>
        <v/>
      </c>
      <c r="F50" s="497" t="str">
        <f t="shared" si="15"/>
        <v/>
      </c>
      <c r="G50" s="498" t="str">
        <f t="shared" si="16"/>
        <v/>
      </c>
      <c r="H50" s="501"/>
      <c r="I50" s="494"/>
      <c r="J50" s="500"/>
    </row>
    <row r="51" spans="1:17" ht="13.5" x14ac:dyDescent="0.25">
      <c r="A51" s="495">
        <v>1</v>
      </c>
      <c r="B51" s="501" t="s">
        <v>282</v>
      </c>
      <c r="C51" s="496">
        <f>+A51</f>
        <v>1</v>
      </c>
      <c r="D51" s="496" t="s">
        <v>283</v>
      </c>
      <c r="E51" s="497">
        <f>+F65</f>
        <v>231</v>
      </c>
      <c r="F51" s="497">
        <f>IFERROR(C51*E51,"")</f>
        <v>231</v>
      </c>
      <c r="G51" s="498">
        <f>IFERROR(F51/$F$66,"")</f>
        <v>8.377850425789922E-2</v>
      </c>
      <c r="H51" s="506"/>
      <c r="I51" s="506"/>
      <c r="J51" s="500"/>
    </row>
    <row r="52" spans="1:17" ht="14.25" thickBot="1" x14ac:dyDescent="0.3">
      <c r="A52" s="495"/>
      <c r="B52" s="501"/>
      <c r="C52" s="496"/>
      <c r="D52" s="496"/>
      <c r="E52" s="497"/>
      <c r="F52" s="497"/>
      <c r="G52" s="498"/>
      <c r="H52" s="506"/>
      <c r="I52" s="506"/>
      <c r="J52" s="500"/>
    </row>
    <row r="53" spans="1:17" ht="13.5" thickBot="1" x14ac:dyDescent="0.25">
      <c r="A53" s="507"/>
      <c r="B53" s="661" t="s">
        <v>284</v>
      </c>
      <c r="C53" s="661"/>
      <c r="D53" s="661"/>
      <c r="E53" s="661"/>
      <c r="F53" s="509">
        <f>SUM(F8:F14,F17:F24)</f>
        <v>2469.7260000000001</v>
      </c>
      <c r="G53" s="498">
        <f>+F53/$F$66</f>
        <v>0.89571407015949966</v>
      </c>
      <c r="H53" s="510">
        <f>+F53/$D$60</f>
        <v>2469.7260000000001</v>
      </c>
      <c r="I53" s="510"/>
      <c r="J53" s="511"/>
      <c r="K53" s="512"/>
      <c r="L53" s="512"/>
      <c r="M53" s="512"/>
      <c r="N53" s="512"/>
      <c r="O53" s="512"/>
      <c r="P53" s="512"/>
      <c r="Q53" s="513"/>
    </row>
    <row r="54" spans="1:17" x14ac:dyDescent="0.2">
      <c r="A54" s="507"/>
      <c r="B54" s="661" t="s">
        <v>285</v>
      </c>
      <c r="C54" s="661"/>
      <c r="D54" s="661"/>
      <c r="E54" s="661"/>
      <c r="F54" s="509">
        <f>SUM(F27:F32,F35:F41)</f>
        <v>7.1499999999999995</v>
      </c>
      <c r="G54" s="498">
        <f>+F54/$F$66</f>
        <v>2.593144179411166E-3</v>
      </c>
      <c r="H54" s="510">
        <f>+F54/$D$60</f>
        <v>7.1499999999999995</v>
      </c>
      <c r="I54" s="510"/>
      <c r="J54" s="514"/>
      <c r="K54" s="662" t="s">
        <v>286</v>
      </c>
      <c r="L54" s="663"/>
      <c r="M54" s="663"/>
      <c r="N54" s="663"/>
      <c r="O54" s="515">
        <f>+F55</f>
        <v>2476.8760000000002</v>
      </c>
      <c r="P54" s="515"/>
      <c r="Q54" s="516"/>
    </row>
    <row r="55" spans="1:17" x14ac:dyDescent="0.2">
      <c r="A55" s="507"/>
      <c r="B55" s="661" t="s">
        <v>287</v>
      </c>
      <c r="C55" s="661"/>
      <c r="D55" s="661"/>
      <c r="E55" s="661"/>
      <c r="F55" s="509">
        <f>+F53+F54</f>
        <v>2476.8760000000002</v>
      </c>
      <c r="G55" s="498">
        <f>+F55/$F$66</f>
        <v>0.89830721433891081</v>
      </c>
      <c r="H55" s="510">
        <f>+F55/$D$60</f>
        <v>2476.8760000000002</v>
      </c>
      <c r="I55" s="510"/>
      <c r="J55" s="517"/>
      <c r="K55" s="518"/>
      <c r="M55" s="519" t="s">
        <v>288</v>
      </c>
      <c r="N55" s="520"/>
      <c r="O55" s="515">
        <f>+H56</f>
        <v>232.04</v>
      </c>
      <c r="P55" s="515"/>
      <c r="Q55" s="516"/>
    </row>
    <row r="56" spans="1:17" ht="13.5" thickBot="1" x14ac:dyDescent="0.25">
      <c r="A56" s="507"/>
      <c r="B56" s="508"/>
      <c r="C56" s="661" t="s">
        <v>289</v>
      </c>
      <c r="D56" s="661"/>
      <c r="E56" s="661"/>
      <c r="F56" s="509">
        <f>SUM(F44:F51)</f>
        <v>232.04</v>
      </c>
      <c r="G56" s="498">
        <f>+F56/$F$66</f>
        <v>8.4155688865813566E-2</v>
      </c>
      <c r="H56" s="510">
        <f>+F56/$D$60</f>
        <v>232.04</v>
      </c>
      <c r="I56" s="510"/>
      <c r="J56" s="517"/>
      <c r="K56" s="518"/>
      <c r="L56" s="518"/>
      <c r="M56" s="518" t="s">
        <v>290</v>
      </c>
      <c r="N56" s="521"/>
      <c r="O56" s="515">
        <f>O54*N56</f>
        <v>0</v>
      </c>
      <c r="P56" s="515"/>
      <c r="Q56" s="516"/>
    </row>
    <row r="57" spans="1:17" ht="13.5" thickBot="1" x14ac:dyDescent="0.25">
      <c r="A57" s="507"/>
      <c r="B57" s="522"/>
      <c r="C57" s="522"/>
      <c r="D57" s="522"/>
      <c r="E57" s="522"/>
      <c r="F57" s="523"/>
      <c r="G57" s="498"/>
      <c r="H57" s="524"/>
      <c r="I57" s="510"/>
      <c r="J57" s="517"/>
      <c r="K57" s="525"/>
      <c r="M57" s="526" t="s">
        <v>291</v>
      </c>
      <c r="N57" s="527"/>
      <c r="O57" s="528">
        <f>SUM(O54:O56)</f>
        <v>2708.9160000000002</v>
      </c>
      <c r="P57" s="529"/>
      <c r="Q57" s="516"/>
    </row>
    <row r="58" spans="1:17" x14ac:dyDescent="0.2">
      <c r="B58" s="664" t="s">
        <v>292</v>
      </c>
      <c r="C58" s="664"/>
      <c r="D58" s="530">
        <v>1000</v>
      </c>
      <c r="E58" s="531"/>
      <c r="G58" s="498"/>
      <c r="H58" s="524">
        <f>+H56/77</f>
        <v>3.0135064935064935</v>
      </c>
      <c r="I58" s="532"/>
      <c r="J58" s="517"/>
      <c r="K58" s="525"/>
      <c r="L58" s="518"/>
      <c r="M58" s="518" t="s">
        <v>293</v>
      </c>
      <c r="N58" s="533"/>
      <c r="O58" s="515">
        <f>+H59</f>
        <v>250.12103896103895</v>
      </c>
      <c r="P58" s="515"/>
      <c r="Q58" s="516"/>
    </row>
    <row r="59" spans="1:17" x14ac:dyDescent="0.2">
      <c r="B59" s="664" t="s">
        <v>294</v>
      </c>
      <c r="C59" s="664"/>
      <c r="D59" s="534">
        <v>1000</v>
      </c>
      <c r="E59" s="531"/>
      <c r="G59" s="498"/>
      <c r="H59" s="524">
        <f>+H58*83</f>
        <v>250.12103896103895</v>
      </c>
      <c r="I59" s="532"/>
      <c r="J59" s="517"/>
      <c r="K59" s="525"/>
      <c r="L59" s="518"/>
      <c r="M59" s="665" t="s">
        <v>291</v>
      </c>
      <c r="N59" s="665"/>
      <c r="O59" s="515">
        <f>SUM(O57:O58)</f>
        <v>2959.0370389610389</v>
      </c>
      <c r="P59" s="515"/>
      <c r="Q59" s="516"/>
    </row>
    <row r="60" spans="1:17" ht="13.5" thickBot="1" x14ac:dyDescent="0.25">
      <c r="B60" s="656" t="s">
        <v>295</v>
      </c>
      <c r="C60" s="656"/>
      <c r="D60" s="530">
        <f>+D58/D59</f>
        <v>1</v>
      </c>
      <c r="E60" s="531"/>
      <c r="F60" s="535"/>
      <c r="G60" s="498"/>
      <c r="H60" s="524"/>
      <c r="I60" s="532"/>
      <c r="J60" s="517"/>
      <c r="K60" s="525"/>
      <c r="L60" s="665"/>
      <c r="M60" s="665"/>
      <c r="N60" s="533"/>
      <c r="O60" s="515">
        <f>+O59*N60</f>
        <v>0</v>
      </c>
      <c r="P60" s="515"/>
      <c r="Q60" s="516"/>
    </row>
    <row r="61" spans="1:17" ht="13.5" thickBot="1" x14ac:dyDescent="0.25">
      <c r="B61" s="656" t="s">
        <v>296</v>
      </c>
      <c r="C61" s="656"/>
      <c r="D61" s="536"/>
      <c r="E61" s="531"/>
      <c r="F61" s="535"/>
      <c r="G61" s="498"/>
      <c r="H61" s="524"/>
      <c r="I61" s="532"/>
      <c r="J61" s="517"/>
      <c r="K61" s="657" t="s">
        <v>297</v>
      </c>
      <c r="L61" s="658"/>
      <c r="M61" s="658"/>
      <c r="N61" s="659"/>
      <c r="O61" s="528">
        <f>SUM(O59:O60)</f>
        <v>2959.0370389610389</v>
      </c>
      <c r="P61" s="537" t="s">
        <v>298</v>
      </c>
      <c r="Q61" s="516"/>
    </row>
    <row r="62" spans="1:17" ht="13.5" thickBot="1" x14ac:dyDescent="0.25">
      <c r="C62" s="507" t="s">
        <v>299</v>
      </c>
      <c r="D62" s="538"/>
      <c r="E62" s="481" t="s">
        <v>300</v>
      </c>
      <c r="F62" s="539" t="s">
        <v>301</v>
      </c>
      <c r="G62" s="498"/>
      <c r="H62" s="524"/>
      <c r="I62" s="532"/>
      <c r="J62" s="540"/>
      <c r="K62" s="541"/>
      <c r="L62" s="645" t="s">
        <v>302</v>
      </c>
      <c r="M62" s="645"/>
      <c r="N62" s="645"/>
      <c r="O62" s="542">
        <f>+O61/D60</f>
        <v>2959.0370389610389</v>
      </c>
      <c r="P62" s="543">
        <f>+O62/D59</f>
        <v>2.9590370389610388</v>
      </c>
      <c r="Q62" s="544"/>
    </row>
    <row r="63" spans="1:17" ht="13.5" thickBot="1" x14ac:dyDescent="0.25">
      <c r="B63" s="646" t="s">
        <v>287</v>
      </c>
      <c r="C63" s="646"/>
      <c r="D63" s="646"/>
      <c r="E63" s="545">
        <f>+F63/F63</f>
        <v>1</v>
      </c>
      <c r="F63" s="546">
        <f>SUM(F55)</f>
        <v>2476.8760000000002</v>
      </c>
      <c r="G63" s="498">
        <f>+F63/$F$66</f>
        <v>0.89830721433891081</v>
      </c>
      <c r="H63" s="524"/>
      <c r="I63" s="532"/>
      <c r="K63" s="647"/>
      <c r="L63" s="648"/>
      <c r="M63" s="648"/>
      <c r="N63" s="648"/>
      <c r="O63" s="547"/>
      <c r="P63" s="548"/>
    </row>
    <row r="64" spans="1:17" ht="13.5" thickBot="1" x14ac:dyDescent="0.25">
      <c r="B64" s="649" t="s">
        <v>303</v>
      </c>
      <c r="C64" s="649"/>
      <c r="D64" s="649"/>
      <c r="E64" s="549">
        <v>0.02</v>
      </c>
      <c r="F64" s="546">
        <f>+F53*E64</f>
        <v>49.39452</v>
      </c>
      <c r="G64" s="498">
        <f>+F64/$F$66</f>
        <v>1.7914281403189992E-2</v>
      </c>
      <c r="H64" s="510"/>
      <c r="I64" s="532"/>
      <c r="J64" s="550"/>
      <c r="O64" s="551"/>
      <c r="P64" s="508"/>
    </row>
    <row r="65" spans="2:13" ht="13.5" thickBot="1" x14ac:dyDescent="0.25">
      <c r="B65" s="650" t="s">
        <v>304</v>
      </c>
      <c r="C65" s="651"/>
      <c r="D65" s="552">
        <v>3</v>
      </c>
      <c r="E65" s="553">
        <v>77</v>
      </c>
      <c r="F65" s="546">
        <f>+E65*D65</f>
        <v>231</v>
      </c>
      <c r="G65" s="498">
        <f>+F65/$F$66</f>
        <v>8.377850425789922E-2</v>
      </c>
      <c r="H65" s="510"/>
      <c r="I65" s="510"/>
      <c r="J65" s="500"/>
    </row>
    <row r="66" spans="2:13" ht="13.5" thickBot="1" x14ac:dyDescent="0.25">
      <c r="B66" s="652" t="s">
        <v>305</v>
      </c>
      <c r="C66" s="653"/>
      <c r="D66" s="653"/>
      <c r="E66" s="654"/>
      <c r="F66" s="523">
        <f>SUM(F63:F65)</f>
        <v>2757.27052</v>
      </c>
      <c r="G66" s="498">
        <f>+F66/$F$66</f>
        <v>1</v>
      </c>
      <c r="H66" s="655"/>
      <c r="I66" s="510"/>
      <c r="J66" s="500"/>
      <c r="M66" s="483" t="s">
        <v>306</v>
      </c>
    </row>
    <row r="67" spans="2:13" x14ac:dyDescent="0.2">
      <c r="C67" s="505"/>
      <c r="D67" s="505"/>
      <c r="E67" s="555"/>
      <c r="F67" s="546"/>
      <c r="G67" s="498"/>
      <c r="H67" s="655"/>
      <c r="I67" s="554"/>
      <c r="J67" s="483"/>
      <c r="M67" s="483" t="s">
        <v>307</v>
      </c>
    </row>
    <row r="68" spans="2:13" ht="13.5" thickBot="1" x14ac:dyDescent="0.25">
      <c r="B68" s="640" t="s">
        <v>308</v>
      </c>
      <c r="C68" s="640"/>
      <c r="D68" s="640"/>
      <c r="E68" s="640"/>
      <c r="F68" s="640"/>
      <c r="G68" s="498"/>
      <c r="H68" s="557"/>
      <c r="I68" s="554"/>
      <c r="J68" s="483"/>
      <c r="M68" s="483" t="s">
        <v>309</v>
      </c>
    </row>
    <row r="69" spans="2:13" ht="13.5" thickBot="1" x14ac:dyDescent="0.25">
      <c r="B69" s="558" t="s">
        <v>310</v>
      </c>
      <c r="C69" s="559">
        <f>+F53</f>
        <v>2469.7260000000001</v>
      </c>
      <c r="D69" s="559">
        <f>+D58</f>
        <v>1000</v>
      </c>
      <c r="E69" s="560">
        <f>+C69/D69</f>
        <v>2.4697260000000001</v>
      </c>
      <c r="F69" s="498"/>
      <c r="G69" s="557"/>
      <c r="H69" s="500"/>
      <c r="I69" s="557"/>
      <c r="J69" s="483"/>
    </row>
    <row r="70" spans="2:13" x14ac:dyDescent="0.2">
      <c r="B70" s="561"/>
      <c r="C70" s="562"/>
      <c r="D70" s="563"/>
      <c r="E70" s="546"/>
      <c r="F70" s="498"/>
      <c r="G70" s="557"/>
      <c r="H70" s="500"/>
      <c r="I70" s="500"/>
      <c r="J70" s="483"/>
    </row>
    <row r="71" spans="2:13" x14ac:dyDescent="0.2">
      <c r="B71" s="558" t="s">
        <v>311</v>
      </c>
      <c r="C71" s="559">
        <f>SUM(F63:F64)</f>
        <v>2526.27052</v>
      </c>
      <c r="D71" s="559">
        <f>+D58</f>
        <v>1000</v>
      </c>
      <c r="E71" s="564">
        <f>+C71/D71</f>
        <v>2.5262705200000002</v>
      </c>
      <c r="F71" s="498"/>
      <c r="G71" s="557"/>
      <c r="H71" s="500"/>
      <c r="I71" s="500"/>
      <c r="J71" s="483"/>
    </row>
    <row r="72" spans="2:13" x14ac:dyDescent="0.2">
      <c r="B72" s="558"/>
      <c r="C72" s="559"/>
      <c r="D72" s="559"/>
      <c r="E72" s="564"/>
      <c r="F72" s="498"/>
      <c r="G72" s="557"/>
      <c r="H72" s="500"/>
      <c r="I72" s="500"/>
      <c r="J72" s="483"/>
    </row>
    <row r="73" spans="2:13" ht="13.5" thickBot="1" x14ac:dyDescent="0.25">
      <c r="B73" s="558" t="s">
        <v>312</v>
      </c>
      <c r="C73" s="559">
        <f>+F65</f>
        <v>231</v>
      </c>
      <c r="D73" s="559">
        <f>+D58</f>
        <v>1000</v>
      </c>
      <c r="E73" s="564">
        <f>+C73/D73</f>
        <v>0.23100000000000001</v>
      </c>
      <c r="F73" s="498"/>
      <c r="G73" s="557"/>
      <c r="H73" s="500"/>
      <c r="I73" s="500"/>
      <c r="J73" s="483"/>
    </row>
    <row r="74" spans="2:13" ht="13.5" thickBot="1" x14ac:dyDescent="0.25">
      <c r="B74" s="558" t="s">
        <v>313</v>
      </c>
      <c r="C74" s="559">
        <f>+F56</f>
        <v>232.04</v>
      </c>
      <c r="D74" s="559">
        <f>+D73</f>
        <v>1000</v>
      </c>
      <c r="E74" s="560">
        <f>+C74/D74</f>
        <v>0.23204</v>
      </c>
      <c r="F74" s="498"/>
      <c r="G74" s="557"/>
      <c r="H74" s="500"/>
      <c r="I74" s="500"/>
      <c r="J74" s="483"/>
    </row>
    <row r="75" spans="2:13" ht="13.5" thickBot="1" x14ac:dyDescent="0.25">
      <c r="B75" s="522"/>
      <c r="C75" s="523"/>
      <c r="D75" s="523"/>
      <c r="E75" s="564"/>
      <c r="F75" s="498"/>
      <c r="G75" s="557"/>
      <c r="H75" s="500"/>
      <c r="I75" s="500"/>
      <c r="J75" s="483"/>
    </row>
    <row r="76" spans="2:13" ht="13.5" thickBot="1" x14ac:dyDescent="0.25">
      <c r="B76" s="558" t="s">
        <v>314</v>
      </c>
      <c r="C76" s="559">
        <f>+F54</f>
        <v>7.1499999999999995</v>
      </c>
      <c r="D76" s="559">
        <f>+D74</f>
        <v>1000</v>
      </c>
      <c r="E76" s="560">
        <f>+C76/D76</f>
        <v>7.1499999999999992E-3</v>
      </c>
      <c r="F76" s="498"/>
      <c r="G76" s="557"/>
      <c r="H76" s="500"/>
      <c r="I76" s="500"/>
      <c r="J76" s="500"/>
    </row>
    <row r="77" spans="2:13" ht="13.5" thickBot="1" x14ac:dyDescent="0.25">
      <c r="B77" s="522"/>
      <c r="C77" s="523"/>
      <c r="D77" s="523"/>
      <c r="E77" s="564"/>
      <c r="F77" s="498"/>
      <c r="G77" s="557"/>
      <c r="H77" s="500"/>
      <c r="I77" s="500"/>
    </row>
    <row r="78" spans="2:13" ht="13.5" thickBot="1" x14ac:dyDescent="0.25">
      <c r="B78" s="641" t="s">
        <v>315</v>
      </c>
      <c r="C78" s="642"/>
      <c r="D78" s="643"/>
      <c r="E78" s="560">
        <f>+E69+E74</f>
        <v>2.7017660000000001</v>
      </c>
      <c r="G78" s="498"/>
      <c r="H78" s="557"/>
      <c r="I78" s="500"/>
      <c r="J78" s="564"/>
    </row>
    <row r="79" spans="2:13" x14ac:dyDescent="0.2">
      <c r="I79" s="557"/>
      <c r="J79" s="483"/>
    </row>
    <row r="80" spans="2:13" ht="13.5" thickBot="1" x14ac:dyDescent="0.25">
      <c r="B80" s="640" t="s">
        <v>316</v>
      </c>
      <c r="C80" s="640"/>
      <c r="D80" s="640"/>
      <c r="E80" s="640"/>
      <c r="F80" s="640"/>
      <c r="G80" s="498"/>
      <c r="H80" s="557"/>
      <c r="J80" s="483"/>
    </row>
    <row r="81" spans="1:10" ht="13.5" thickBot="1" x14ac:dyDescent="0.25">
      <c r="B81" s="558" t="s">
        <v>310</v>
      </c>
      <c r="C81" s="559">
        <f>+C69</f>
        <v>2469.7260000000001</v>
      </c>
      <c r="D81" s="559">
        <f>+D60</f>
        <v>1</v>
      </c>
      <c r="E81" s="560">
        <f>+C81/D81</f>
        <v>2469.7260000000001</v>
      </c>
      <c r="F81" s="498"/>
      <c r="G81" s="557"/>
      <c r="H81" s="500"/>
      <c r="I81" s="557"/>
      <c r="J81" s="483"/>
    </row>
    <row r="82" spans="1:10" x14ac:dyDescent="0.2">
      <c r="B82" s="561"/>
      <c r="C82" s="562"/>
      <c r="D82" s="563"/>
      <c r="E82" s="546"/>
      <c r="F82" s="498"/>
      <c r="G82" s="557"/>
      <c r="H82" s="500"/>
      <c r="I82" s="500"/>
      <c r="J82" s="483"/>
    </row>
    <row r="83" spans="1:10" x14ac:dyDescent="0.2">
      <c r="B83" s="558" t="s">
        <v>311</v>
      </c>
      <c r="C83" s="559">
        <f>+C71</f>
        <v>2526.27052</v>
      </c>
      <c r="D83" s="559">
        <f>+D60</f>
        <v>1</v>
      </c>
      <c r="E83" s="564">
        <f>+C83/D83</f>
        <v>2526.27052</v>
      </c>
      <c r="F83" s="498"/>
      <c r="G83" s="557"/>
      <c r="H83" s="500"/>
      <c r="I83" s="500"/>
      <c r="J83" s="483"/>
    </row>
    <row r="84" spans="1:10" x14ac:dyDescent="0.2">
      <c r="B84" s="558"/>
      <c r="C84" s="559"/>
      <c r="D84" s="559"/>
      <c r="E84" s="564"/>
      <c r="F84" s="498"/>
      <c r="G84" s="557"/>
      <c r="H84" s="500"/>
      <c r="I84" s="500"/>
      <c r="J84" s="483"/>
    </row>
    <row r="85" spans="1:10" ht="13.5" thickBot="1" x14ac:dyDescent="0.25">
      <c r="B85" s="558" t="s">
        <v>313</v>
      </c>
      <c r="C85" s="559">
        <f>+C73</f>
        <v>231</v>
      </c>
      <c r="D85" s="559">
        <f>+D60</f>
        <v>1</v>
      </c>
      <c r="E85" s="564">
        <f>+C85/D85</f>
        <v>231</v>
      </c>
      <c r="F85" s="566"/>
      <c r="G85" s="556"/>
      <c r="H85" s="482"/>
      <c r="I85" s="500"/>
    </row>
    <row r="86" spans="1:10" ht="13.5" thickBot="1" x14ac:dyDescent="0.25">
      <c r="B86" s="558" t="s">
        <v>313</v>
      </c>
      <c r="C86" s="559">
        <f>+C74</f>
        <v>232.04</v>
      </c>
      <c r="D86" s="559">
        <f>+D85</f>
        <v>1</v>
      </c>
      <c r="E86" s="560">
        <f>+C86/D86</f>
        <v>232.04</v>
      </c>
      <c r="F86" s="565"/>
      <c r="G86" s="556"/>
      <c r="H86" s="482"/>
      <c r="I86" s="482"/>
    </row>
    <row r="87" spans="1:10" x14ac:dyDescent="0.2">
      <c r="I87" s="482"/>
    </row>
    <row r="88" spans="1:10" x14ac:dyDescent="0.2">
      <c r="A88" s="644"/>
      <c r="B88" s="644"/>
      <c r="C88" s="567"/>
      <c r="D88" s="567"/>
      <c r="E88" s="568"/>
      <c r="G88" s="569"/>
    </row>
    <row r="89" spans="1:10" x14ac:dyDescent="0.2">
      <c r="A89" s="501"/>
      <c r="B89" s="570"/>
      <c r="C89" s="571"/>
      <c r="D89" s="571"/>
      <c r="E89" s="572"/>
      <c r="G89" s="569"/>
    </row>
    <row r="90" spans="1:10" x14ac:dyDescent="0.2">
      <c r="A90" s="501"/>
      <c r="B90" s="570"/>
      <c r="C90" s="573"/>
      <c r="D90" s="573"/>
      <c r="E90" s="501"/>
      <c r="G90" s="569"/>
    </row>
    <row r="91" spans="1:10" x14ac:dyDescent="0.2">
      <c r="A91" s="501"/>
      <c r="B91" s="570"/>
      <c r="C91" s="574"/>
      <c r="D91" s="574"/>
      <c r="E91" s="501"/>
      <c r="G91" s="569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49CB83C-A6E4-48C7-89CA-E3FA29DC1609}"/>
</file>

<file path=customXml/itemProps2.xml><?xml version="1.0" encoding="utf-8"?>
<ds:datastoreItem xmlns:ds="http://schemas.openxmlformats.org/officeDocument/2006/customXml" ds:itemID="{301CC3D5-A989-4BB4-A390-1F72F30453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49688B-0C87-4022-9F33-FCF00B9AF3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Hoja5</vt:lpstr>
      <vt:lpstr>Costo ensamble </vt:lpstr>
      <vt:lpstr>Rosquete Vainilla Dawn</vt:lpstr>
      <vt:lpstr>Batido Vainilla Dawn</vt:lpstr>
      <vt:lpstr>Costo suspiro</vt:lpstr>
      <vt:lpstr>Trasvasado Leche Condensada </vt:lpstr>
      <vt:lpstr>Leche condensada cocinada </vt:lpstr>
      <vt:lpstr>Ganache Chocolate Blanco</vt:lpstr>
      <vt:lpstr>Crema Beidge </vt:lpstr>
      <vt:lpstr>Crema Blanca supremo</vt:lpstr>
      <vt:lpstr>Salsa de Fresa</vt:lpstr>
      <vt:lpstr>Relleno Fresa Espesa</vt:lpstr>
      <vt:lpstr>Merengue para suspiro</vt:lpstr>
      <vt:lpstr>Premezcla suspiro</vt:lpstr>
      <vt:lpstr>Relleno fresa-frambuesa</vt:lpstr>
      <vt:lpstr>costo Fresa- Frambuesa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Rodriguez</dc:creator>
  <cp:keywords/>
  <dc:description/>
  <cp:lastModifiedBy>Allan Brenes</cp:lastModifiedBy>
  <cp:revision/>
  <cp:lastPrinted>2026-03-13T22:50:33Z</cp:lastPrinted>
  <dcterms:created xsi:type="dcterms:W3CDTF">2012-08-16T22:23:23Z</dcterms:created>
  <dcterms:modified xsi:type="dcterms:W3CDTF">2026-03-13T22:50:35Z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
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1EB49B13-2CAE-444B-AC5E-618B0CCA981A}" xr6:coauthVersionLast="47" xr6:coauthVersionMax="47" xr10:uidLastSave="{CCF4B823-FD37-405D-8CBC-010B44643279}"/>
  <bookViews>
    <workbookView xWindow="-120" yWindow="-120" windowWidth="20730" windowHeight="11040" firstSheet="2" activeTab="2" xr2:uid="{86A95AF8-34C1-4DB7-AE30-E3F9DEB6557E}"/>
  </bookViews>
  <sheets>
    <sheet name="Miel para flan de coco" sheetId="7" state="hidden" r:id="rId1"/>
    <sheet name="Costo MIEL " sheetId="8" state="hidden" r:id="rId2"/>
    <sheet name="Empaque " sheetId="9" r:id="rId3"/>
    <sheet name="Costo Empaque" sheetId="10" state="hidden" r:id="rId4"/>
  </sheets>
  <externalReferences>
    <externalReference r:id="rId5"/>
    <externalReference r:id="rId6"/>
  </externalReferences>
  <definedNames>
    <definedName name="_xlnm.Print_Area" localSheetId="2">'Empaque 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0" l="1"/>
  <c r="D74" i="10" s="1"/>
  <c r="D76" i="10" s="1"/>
  <c r="D71" i="10"/>
  <c r="D69" i="10"/>
  <c r="F65" i="10"/>
  <c r="E51" i="10" s="1"/>
  <c r="D60" i="10"/>
  <c r="D85" i="10" s="1"/>
  <c r="D86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E41" i="10"/>
  <c r="D41" i="10"/>
  <c r="B41" i="10"/>
  <c r="A41" i="10"/>
  <c r="C41" i="10" s="1"/>
  <c r="E40" i="10"/>
  <c r="D40" i="10"/>
  <c r="B40" i="10"/>
  <c r="A40" i="10"/>
  <c r="A49" i="10" s="1"/>
  <c r="C49" i="10" s="1"/>
  <c r="E39" i="10"/>
  <c r="D39" i="10"/>
  <c r="B39" i="10"/>
  <c r="A39" i="10"/>
  <c r="C39" i="10" s="1"/>
  <c r="E38" i="10"/>
  <c r="D38" i="10"/>
  <c r="B38" i="10"/>
  <c r="A38" i="10"/>
  <c r="A47" i="10" s="1"/>
  <c r="C47" i="10" s="1"/>
  <c r="E37" i="10"/>
  <c r="D37" i="10"/>
  <c r="B37" i="10"/>
  <c r="A37" i="10"/>
  <c r="A46" i="10" s="1"/>
  <c r="C46" i="10" s="1"/>
  <c r="E36" i="10"/>
  <c r="D36" i="10"/>
  <c r="B36" i="10"/>
  <c r="A36" i="10"/>
  <c r="C36" i="10" s="1"/>
  <c r="A35" i="10"/>
  <c r="C35" i="10" s="1"/>
  <c r="E32" i="10"/>
  <c r="D32" i="10"/>
  <c r="C32" i="10"/>
  <c r="B32" i="10"/>
  <c r="E31" i="10"/>
  <c r="F31" i="10" s="1"/>
  <c r="D31" i="10"/>
  <c r="C31" i="10"/>
  <c r="B31" i="10"/>
  <c r="E30" i="10"/>
  <c r="D30" i="10"/>
  <c r="C30" i="10"/>
  <c r="B30" i="10"/>
  <c r="E29" i="10"/>
  <c r="F29" i="10" s="1"/>
  <c r="D29" i="10"/>
  <c r="C29" i="10"/>
  <c r="B29" i="10"/>
  <c r="E28" i="10"/>
  <c r="D28" i="10"/>
  <c r="C28" i="10"/>
  <c r="B28" i="10"/>
  <c r="C27" i="10"/>
  <c r="F27" i="10" s="1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F10" i="10" s="1"/>
  <c r="D10" i="10"/>
  <c r="C10" i="10"/>
  <c r="B10" i="10"/>
  <c r="E9" i="10"/>
  <c r="D9" i="10"/>
  <c r="C9" i="10"/>
  <c r="B9" i="10"/>
  <c r="H6" i="10"/>
  <c r="D73" i="8"/>
  <c r="D74" i="8" s="1"/>
  <c r="D76" i="8" s="1"/>
  <c r="D71" i="8"/>
  <c r="D69" i="8"/>
  <c r="F65" i="8"/>
  <c r="E51" i="8" s="1"/>
  <c r="D60" i="8"/>
  <c r="D85" i="8" s="1"/>
  <c r="D86" i="8" s="1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1" i="8"/>
  <c r="D41" i="8"/>
  <c r="B41" i="8"/>
  <c r="A41" i="8"/>
  <c r="A50" i="8" s="1"/>
  <c r="C50" i="8" s="1"/>
  <c r="E40" i="8"/>
  <c r="D40" i="8"/>
  <c r="B40" i="8"/>
  <c r="A40" i="8"/>
  <c r="C40" i="8" s="1"/>
  <c r="E39" i="8"/>
  <c r="D39" i="8"/>
  <c r="B39" i="8"/>
  <c r="A39" i="8"/>
  <c r="C39" i="8" s="1"/>
  <c r="E38" i="8"/>
  <c r="D38" i="8"/>
  <c r="B38" i="8"/>
  <c r="A38" i="8"/>
  <c r="C38" i="8" s="1"/>
  <c r="E37" i="8"/>
  <c r="D37" i="8"/>
  <c r="C37" i="8"/>
  <c r="B37" i="8"/>
  <c r="A37" i="8"/>
  <c r="A46" i="8" s="1"/>
  <c r="C46" i="8" s="1"/>
  <c r="E36" i="8"/>
  <c r="D36" i="8"/>
  <c r="B36" i="8"/>
  <c r="A36" i="8"/>
  <c r="C36" i="8" s="1"/>
  <c r="E35" i="8"/>
  <c r="D35" i="8"/>
  <c r="B35" i="8"/>
  <c r="A35" i="8"/>
  <c r="A44" i="8" s="1"/>
  <c r="C44" i="8" s="1"/>
  <c r="E32" i="8"/>
  <c r="D32" i="8"/>
  <c r="C32" i="8"/>
  <c r="B32" i="8"/>
  <c r="E31" i="8"/>
  <c r="F31" i="8" s="1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C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E17" i="8"/>
  <c r="F17" i="8" s="1"/>
  <c r="D17" i="8"/>
  <c r="C17" i="8"/>
  <c r="B17" i="8"/>
  <c r="B15" i="8"/>
  <c r="E14" i="8"/>
  <c r="F14" i="8" s="1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D11" i="8"/>
  <c r="C11" i="8"/>
  <c r="B11" i="8"/>
  <c r="E10" i="8"/>
  <c r="F10" i="8" s="1"/>
  <c r="D10" i="8"/>
  <c r="C10" i="8"/>
  <c r="B10" i="8"/>
  <c r="E9" i="8"/>
  <c r="D9" i="8"/>
  <c r="C9" i="8"/>
  <c r="B9" i="8"/>
  <c r="C8" i="8"/>
  <c r="H6" i="8"/>
  <c r="D43" i="7"/>
  <c r="E11" i="7"/>
  <c r="E10" i="7"/>
  <c r="J39" i="7"/>
  <c r="F28" i="10" l="1"/>
  <c r="C73" i="8"/>
  <c r="C85" i="8" s="1"/>
  <c r="E85" i="8" s="1"/>
  <c r="C37" i="10"/>
  <c r="F36" i="10"/>
  <c r="F30" i="10"/>
  <c r="F9" i="10"/>
  <c r="F13" i="10"/>
  <c r="F11" i="10"/>
  <c r="F37" i="10"/>
  <c r="C40" i="10"/>
  <c r="F40" i="10" s="1"/>
  <c r="A50" i="10"/>
  <c r="C50" i="10" s="1"/>
  <c r="C38" i="10"/>
  <c r="F38" i="10" s="1"/>
  <c r="F41" i="10"/>
  <c r="F12" i="10"/>
  <c r="F14" i="10"/>
  <c r="F39" i="10"/>
  <c r="F47" i="10"/>
  <c r="F51" i="10"/>
  <c r="F32" i="10"/>
  <c r="F49" i="10"/>
  <c r="F46" i="10"/>
  <c r="F50" i="10"/>
  <c r="A45" i="10"/>
  <c r="C45" i="10" s="1"/>
  <c r="F45" i="10" s="1"/>
  <c r="D81" i="10"/>
  <c r="C73" i="10"/>
  <c r="D83" i="10"/>
  <c r="A44" i="10"/>
  <c r="C44" i="10" s="1"/>
  <c r="A48" i="10"/>
  <c r="C48" i="10" s="1"/>
  <c r="F48" i="10" s="1"/>
  <c r="F13" i="8"/>
  <c r="F30" i="8"/>
  <c r="F32" i="8"/>
  <c r="F51" i="8"/>
  <c r="F40" i="8"/>
  <c r="F37" i="8"/>
  <c r="F38" i="8"/>
  <c r="F39" i="8"/>
  <c r="C35" i="8"/>
  <c r="F35" i="8" s="1"/>
  <c r="F46" i="8"/>
  <c r="F11" i="8"/>
  <c r="F9" i="8"/>
  <c r="F29" i="8"/>
  <c r="F27" i="8"/>
  <c r="F28" i="8"/>
  <c r="F8" i="8"/>
  <c r="F50" i="8"/>
  <c r="F47" i="8"/>
  <c r="F36" i="8"/>
  <c r="F44" i="8"/>
  <c r="C41" i="8"/>
  <c r="F41" i="8" s="1"/>
  <c r="A45" i="8"/>
  <c r="C45" i="8" s="1"/>
  <c r="F45" i="8" s="1"/>
  <c r="D81" i="8"/>
  <c r="A47" i="8"/>
  <c r="C47" i="8" s="1"/>
  <c r="A49" i="8"/>
  <c r="C49" i="8" s="1"/>
  <c r="F49" i="8" s="1"/>
  <c r="D83" i="8"/>
  <c r="A48" i="8"/>
  <c r="C48" i="8" s="1"/>
  <c r="F48" i="8" s="1"/>
  <c r="E73" i="8" l="1"/>
  <c r="C85" i="10"/>
  <c r="E85" i="10" s="1"/>
  <c r="E73" i="10"/>
  <c r="F53" i="8"/>
  <c r="F54" i="8"/>
  <c r="H54" i="8" s="1"/>
  <c r="G2" i="8" s="1"/>
  <c r="F56" i="8"/>
  <c r="C76" i="8" l="1"/>
  <c r="E76" i="8" s="1"/>
  <c r="E35" i="10" s="1"/>
  <c r="F35" i="10" s="1"/>
  <c r="F54" i="10" s="1"/>
  <c r="C76" i="10" s="1"/>
  <c r="E76" i="10" s="1"/>
  <c r="F55" i="8"/>
  <c r="H55" i="8" s="1"/>
  <c r="H53" i="8"/>
  <c r="F2" i="8" s="1"/>
  <c r="F64" i="8"/>
  <c r="C69" i="8"/>
  <c r="C81" i="8" s="1"/>
  <c r="E81" i="8" s="1"/>
  <c r="H56" i="8"/>
  <c r="C74" i="8"/>
  <c r="H54" i="10" l="1"/>
  <c r="G2" i="10" s="1"/>
  <c r="F63" i="8"/>
  <c r="E63" i="8" s="1"/>
  <c r="O54" i="8"/>
  <c r="O56" i="8" s="1"/>
  <c r="E69" i="8"/>
  <c r="E17" i="10" s="1"/>
  <c r="F17" i="10" s="1"/>
  <c r="F53" i="10" s="1"/>
  <c r="C86" i="8"/>
  <c r="E86" i="8" s="1"/>
  <c r="E74" i="8"/>
  <c r="E44" i="10" s="1"/>
  <c r="F44" i="10" s="1"/>
  <c r="F56" i="10" s="1"/>
  <c r="H2" i="8"/>
  <c r="O55" i="8"/>
  <c r="H58" i="8"/>
  <c r="H59" i="8" s="1"/>
  <c r="O58" i="8" s="1"/>
  <c r="C69" i="10" l="1"/>
  <c r="H53" i="10"/>
  <c r="F2" i="10" s="1"/>
  <c r="F55" i="10"/>
  <c r="F64" i="10"/>
  <c r="C74" i="10"/>
  <c r="H56" i="10"/>
  <c r="O57" i="8"/>
  <c r="O59" i="8" s="1"/>
  <c r="F66" i="8"/>
  <c r="G63" i="8" s="1"/>
  <c r="C71" i="8"/>
  <c r="E71" i="8" s="1"/>
  <c r="E78" i="8"/>
  <c r="H55" i="10" l="1"/>
  <c r="O54" i="10"/>
  <c r="O56" i="10" s="1"/>
  <c r="F63" i="10"/>
  <c r="E69" i="10"/>
  <c r="C81" i="10"/>
  <c r="E81" i="10" s="1"/>
  <c r="O55" i="10"/>
  <c r="H58" i="10"/>
  <c r="H59" i="10" s="1"/>
  <c r="O58" i="10" s="1"/>
  <c r="H2" i="10"/>
  <c r="C86" i="10"/>
  <c r="E86" i="10" s="1"/>
  <c r="E74" i="10"/>
  <c r="G44" i="8"/>
  <c r="G35" i="8"/>
  <c r="G10" i="8"/>
  <c r="G9" i="8"/>
  <c r="G24" i="8"/>
  <c r="G45" i="8"/>
  <c r="C83" i="8"/>
  <c r="E83" i="8" s="1"/>
  <c r="G55" i="8"/>
  <c r="G46" i="8"/>
  <c r="G29" i="8"/>
  <c r="G19" i="8"/>
  <c r="G12" i="8"/>
  <c r="G40" i="8"/>
  <c r="G53" i="8"/>
  <c r="G31" i="8"/>
  <c r="G17" i="8"/>
  <c r="G30" i="8"/>
  <c r="G14" i="8"/>
  <c r="G21" i="8"/>
  <c r="G38" i="8"/>
  <c r="G8" i="8"/>
  <c r="G54" i="8"/>
  <c r="G39" i="8"/>
  <c r="G50" i="8"/>
  <c r="G22" i="8"/>
  <c r="G36" i="8"/>
  <c r="G13" i="8"/>
  <c r="G65" i="8"/>
  <c r="G47" i="8"/>
  <c r="G27" i="8"/>
  <c r="G11" i="8"/>
  <c r="G66" i="8"/>
  <c r="G20" i="8"/>
  <c r="G49" i="8"/>
  <c r="G51" i="8"/>
  <c r="O60" i="8"/>
  <c r="O61" i="8" s="1"/>
  <c r="O62" i="8" s="1"/>
  <c r="P62" i="8" s="1"/>
  <c r="G28" i="8"/>
  <c r="G48" i="8"/>
  <c r="G56" i="8"/>
  <c r="G64" i="8"/>
  <c r="G18" i="8"/>
  <c r="G37" i="8"/>
  <c r="G41" i="8"/>
  <c r="G23" i="8"/>
  <c r="G32" i="8"/>
  <c r="E78" i="10" l="1"/>
  <c r="F66" i="10"/>
  <c r="G63" i="10" s="1"/>
  <c r="E63" i="10"/>
  <c r="C71" i="10"/>
  <c r="O57" i="10"/>
  <c r="O59" i="10" s="1"/>
  <c r="O60" i="10" s="1"/>
  <c r="O61" i="10" s="1"/>
  <c r="O62" i="10" s="1"/>
  <c r="E2" i="8"/>
  <c r="C83" i="10" l="1"/>
  <c r="E83" i="10" s="1"/>
  <c r="E71" i="10"/>
  <c r="G65" i="10"/>
  <c r="G14" i="10"/>
  <c r="G36" i="10"/>
  <c r="G31" i="10"/>
  <c r="G23" i="10"/>
  <c r="G10" i="10"/>
  <c r="G56" i="10"/>
  <c r="G19" i="10"/>
  <c r="G40" i="10"/>
  <c r="G29" i="10"/>
  <c r="G55" i="10"/>
  <c r="G28" i="10"/>
  <c r="G27" i="10"/>
  <c r="G54" i="10"/>
  <c r="G51" i="10"/>
  <c r="G17" i="10"/>
  <c r="G48" i="10"/>
  <c r="G38" i="10"/>
  <c r="G20" i="10"/>
  <c r="G37" i="10"/>
  <c r="G12" i="10"/>
  <c r="G44" i="10"/>
  <c r="G35" i="10"/>
  <c r="G46" i="10"/>
  <c r="G47" i="10"/>
  <c r="G18" i="10"/>
  <c r="G53" i="10"/>
  <c r="G21" i="10"/>
  <c r="G9" i="10"/>
  <c r="G30" i="10"/>
  <c r="G49" i="10"/>
  <c r="G32" i="10"/>
  <c r="G24" i="10"/>
  <c r="G50" i="10"/>
  <c r="G41" i="10"/>
  <c r="G39" i="10"/>
  <c r="G45" i="10"/>
  <c r="G13" i="10"/>
  <c r="G11" i="10"/>
  <c r="G66" i="10"/>
  <c r="G22" i="10"/>
  <c r="G64" i="10"/>
  <c r="P62" i="10"/>
  <c r="E2" i="10"/>
</calcChain>
</file>

<file path=xl/sharedStrings.xml><?xml version="1.0" encoding="utf-8"?>
<sst xmlns="http://schemas.openxmlformats.org/spreadsheetml/2006/main" count="332" uniqueCount="126">
  <si>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</si>
  <si>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</si>
  <si>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</si>
  <si>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</si>
  <si>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</si>
  <si>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</si>
  <si>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</si>
  <si>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</si>
  <si>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</si>
  <si>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</si>
  <si>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</si>
  <si>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</si>
  <si>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</si>
  <si>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</si>
  <si>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</si>
  <si>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</si>
  <si>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</si>
  <si>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</si>
  <si>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</si>
  <si>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</si>
  <si>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</si>
  <si>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</si>
  <si>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</si>
  <si>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</si>
  <si>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</si>
  <si>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</si>
  <si>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</si>
  <si>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</si>
  <si>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</si>
  <si>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</si>
  <si>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</si>
  <si>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</si>
  <si>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</si>
  <si>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</si>
  <si>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</si>
  <si>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</si>
  <si>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</si>
  <si>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ud</t>
  </si>
  <si>
    <t>ETIPLAST</t>
  </si>
  <si>
    <t>CEMUSA</t>
  </si>
  <si>
    <t>Sebastian Díaz, Gte Manufactura</t>
  </si>
  <si>
    <t>EM10037</t>
  </si>
  <si>
    <t>Bolsa 8X12 Transparente</t>
  </si>
  <si>
    <t>Unid</t>
  </si>
  <si>
    <t>Decoración</t>
  </si>
  <si>
    <t xml:space="preserve">Cocina </t>
  </si>
  <si>
    <t>Empaque</t>
  </si>
  <si>
    <t>0702069</t>
  </si>
  <si>
    <t>EM10002</t>
  </si>
  <si>
    <t>ETIQ.BLANCA 1 1/4 * 3/4 (UND)</t>
  </si>
  <si>
    <t>0702012</t>
  </si>
  <si>
    <t>EM10005</t>
  </si>
  <si>
    <t>ETIQ.FECHA VENCIMIENTO VERDE (ROLLO)</t>
  </si>
  <si>
    <t xml:space="preserve">Agua potable </t>
  </si>
  <si>
    <t>MP10074</t>
  </si>
  <si>
    <t>Azucar Blanco Industrial</t>
  </si>
  <si>
    <t>Tanda</t>
  </si>
  <si>
    <t xml:space="preserve">1, Colocar en una olla el agua con el azucar y revolver, hasta que todo este bien disuelto. </t>
  </si>
  <si>
    <t xml:space="preserve">2, Dejar un momento más hasta que empieze a espezar un poquito. </t>
  </si>
  <si>
    <t xml:space="preserve">3, Retirar, colocar en bandejas y enfriar. </t>
  </si>
  <si>
    <t xml:space="preserve">4, Una vez frio empacar y etiquetar. </t>
  </si>
  <si>
    <t xml:space="preserve">Miel Para Flan de Caramelo Local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</si>
  <si>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</si>
  <si>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</si>
  <si>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</si>
  <si>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</si>
  <si>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</si>
  <si>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</si>
  <si>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</si>
  <si>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</si>
  <si>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</si>
  <si>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</si>
  <si>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</si>
  <si>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</si>
  <si>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</si>
  <si>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</si>
  <si>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</si>
  <si>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</si>
  <si>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</si>
  <si>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</si>
  <si>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</si>
  <si>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</si>
  <si>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</si>
  <si>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</si>
  <si>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</si>
  <si>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</si>
  <si>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</si>
  <si>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</si>
  <si>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</si>
  <si>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</si>
  <si>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</si>
  <si>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</si>
  <si>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</si>
  <si>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</si>
  <si>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</si>
  <si>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</si>
  <si>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</si>
  <si>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</si>
  <si>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</si>
  <si>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</si>
  <si>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</si>
  <si>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</si>
  <si>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</si>
  <si>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</si>
  <si>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</si>
  <si>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</si>
  <si>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</si>
  <si>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</si>
  <si>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</si>
  <si>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</si>
  <si>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</si>
  <si>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</si>
  <si>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</si>
  <si>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</si>
  <si>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</si>
  <si>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 xml:space="preserve">Miel para Flan de Coco </t>
  </si>
  <si>
    <t>EM10124</t>
  </si>
  <si>
    <t>Etiqueta Blanca R-153</t>
  </si>
  <si>
    <t>Etiplast</t>
  </si>
  <si>
    <t xml:space="preserve">2, Etiquetar </t>
  </si>
  <si>
    <t>PTL00273- 20100212  Empaque Miel para Flan</t>
  </si>
  <si>
    <t>SE00770</t>
  </si>
  <si>
    <t>ESP-RE-EMPS-097</t>
  </si>
  <si>
    <t xml:space="preserve">2, Se agrega doble bolsa de empaque, </t>
  </si>
  <si>
    <t>02</t>
  </si>
  <si>
    <t xml:space="preserve">1, Empacar en una bolsa de 8*12 de miel para flan de coco, cerrar con nudo y volver a colocarlo en otra bolsa y cerrar con nudo.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</si>
</sst>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6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Times New Roman"/>
      <family val="1"/>
    </font>
    <font>
      <sz val="14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indexed="8"/>
      <name val="Times New Roman"/>
      <family val="1"/>
    </font>
    <font>
      <b/>
      <sz val="14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8"/>
      <name val="Century Gothic"/>
      <family val="2"/>
    </font>
    <font>
      <b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29">
    <xf numFmtId="0" fontId="0" fillId="0" borderId="0" xfId="0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1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0" fontId="20" fillId="0" borderId="15" xfId="1" applyFont="1" applyBorder="1" applyAlignment="1">
      <alignment vertical="center"/>
    </xf>
    <xf numFmtId="0" fontId="19" fillId="0" borderId="15" xfId="0" applyFont="1" applyBorder="1"/>
    <xf numFmtId="16" fontId="17" fillId="4" borderId="15" xfId="0" applyNumberFormat="1" applyFont="1" applyFill="1" applyBorder="1" applyAlignment="1">
      <alignment horizontal="center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27" xfId="1" applyNumberFormat="1" applyFont="1" applyBorder="1" applyAlignment="1">
      <alignment horizontal="center"/>
    </xf>
    <xf numFmtId="1" fontId="17" fillId="0" borderId="9" xfId="1" applyNumberFormat="1" applyFont="1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/>
    <xf numFmtId="0" fontId="17" fillId="0" borderId="15" xfId="1" applyFont="1" applyBorder="1"/>
    <xf numFmtId="0" fontId="19" fillId="0" borderId="8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8" fillId="0" borderId="15" xfId="1" applyFont="1" applyBorder="1"/>
    <xf numFmtId="0" fontId="17" fillId="4" borderId="15" xfId="0" applyFont="1" applyFill="1" applyBorder="1"/>
    <xf numFmtId="1" fontId="17" fillId="4" borderId="15" xfId="0" applyNumberFormat="1" applyFont="1" applyFill="1" applyBorder="1" applyAlignment="1">
      <alignment horizontal="center" wrapText="1"/>
    </xf>
    <xf numFmtId="166" fontId="18" fillId="4" borderId="15" xfId="9" applyNumberFormat="1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12" fontId="24" fillId="0" borderId="15" xfId="1" applyNumberFormat="1" applyFont="1" applyBorder="1" applyAlignment="1">
      <alignment horizontal="left"/>
    </xf>
    <xf numFmtId="49" fontId="17" fillId="0" borderId="16" xfId="1" applyNumberFormat="1" applyFont="1" applyBorder="1" applyAlignment="1">
      <alignment horizontal="center"/>
    </xf>
    <xf numFmtId="49" fontId="17" fillId="0" borderId="8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17" fillId="0" borderId="15" xfId="1" applyNumberFormat="1" applyFont="1" applyBorder="1" applyAlignment="1">
      <alignment horizontal="center" wrapText="1"/>
    </xf>
    <xf numFmtId="0" fontId="17" fillId="0" borderId="15" xfId="0" applyFont="1" applyBorder="1" applyAlignment="1">
      <alignment horizontal="left" vertical="center"/>
    </xf>
    <xf numFmtId="0" fontId="19" fillId="0" borderId="27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1" fontId="0" fillId="0" borderId="0" xfId="0" applyNumberFormat="1"/>
    <xf numFmtId="0" fontId="26" fillId="0" borderId="15" xfId="0" applyFont="1" applyBorder="1" applyAlignment="1">
      <alignment horizontal="center"/>
    </xf>
    <xf numFmtId="0" fontId="26" fillId="0" borderId="15" xfId="0" applyFont="1" applyBorder="1"/>
    <xf numFmtId="49" fontId="27" fillId="4" borderId="15" xfId="1" applyNumberFormat="1" applyFont="1" applyFill="1" applyBorder="1" applyAlignment="1">
      <alignment horizontal="center"/>
    </xf>
    <xf numFmtId="16" fontId="17" fillId="0" borderId="15" xfId="1" applyNumberFormat="1" applyFont="1" applyBorder="1" applyAlignment="1">
      <alignment horizontal="center"/>
    </xf>
    <xf numFmtId="0" fontId="28" fillId="4" borderId="15" xfId="1" applyFont="1" applyFill="1" applyBorder="1" applyAlignment="1">
      <alignment horizontal="left"/>
    </xf>
    <xf numFmtId="0" fontId="3" fillId="0" borderId="15" xfId="0" applyFont="1" applyBorder="1"/>
    <xf numFmtId="1" fontId="3" fillId="0" borderId="15" xfId="0" applyNumberFormat="1" applyFont="1" applyBorder="1" applyAlignment="1">
      <alignment horizontal="center"/>
    </xf>
    <xf numFmtId="1" fontId="3" fillId="0" borderId="15" xfId="1" applyNumberFormat="1" applyFont="1" applyBorder="1" applyAlignment="1">
      <alignment horizontal="center"/>
    </xf>
    <xf numFmtId="1" fontId="3" fillId="0" borderId="15" xfId="1" applyNumberFormat="1" applyFont="1" applyBorder="1" applyAlignment="1">
      <alignment horizontal="center" wrapText="1"/>
    </xf>
    <xf numFmtId="0" fontId="6" fillId="4" borderId="15" xfId="0" applyFont="1" applyFill="1" applyBorder="1" applyAlignment="1">
      <alignment horizontal="center" vertical="center"/>
    </xf>
    <xf numFmtId="1" fontId="6" fillId="4" borderId="15" xfId="0" applyNumberFormat="1" applyFont="1" applyFill="1" applyBorder="1" applyAlignment="1">
      <alignment horizontal="center"/>
    </xf>
    <xf numFmtId="0" fontId="29" fillId="0" borderId="15" xfId="1" applyFont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3" fillId="0" borderId="15" xfId="1" applyFont="1" applyBorder="1"/>
    <xf numFmtId="0" fontId="31" fillId="4" borderId="0" xfId="0" applyFont="1" applyFill="1" applyAlignment="1">
      <alignment vertical="center"/>
    </xf>
    <xf numFmtId="0" fontId="32" fillId="7" borderId="15" xfId="0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3" fontId="32" fillId="0" borderId="15" xfId="9" applyFont="1" applyFill="1" applyBorder="1" applyAlignment="1">
      <alignment horizontal="center" vertical="center"/>
    </xf>
    <xf numFmtId="43" fontId="32" fillId="0" borderId="0" xfId="9" applyFont="1" applyFill="1" applyBorder="1" applyAlignment="1">
      <alignment horizontal="center" vertical="center"/>
    </xf>
    <xf numFmtId="43" fontId="34" fillId="0" borderId="0" xfId="9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8" fontId="37" fillId="0" borderId="0" xfId="0" applyNumberFormat="1" applyFont="1" applyAlignment="1">
      <alignment horizontal="center" vertical="center" wrapText="1"/>
    </xf>
    <xf numFmtId="0" fontId="32" fillId="8" borderId="48" xfId="0" applyFont="1" applyFill="1" applyBorder="1" applyAlignment="1">
      <alignment horizontal="center" vertical="center"/>
    </xf>
    <xf numFmtId="0" fontId="32" fillId="8" borderId="49" xfId="0" applyFont="1" applyFill="1" applyBorder="1" applyAlignment="1">
      <alignment horizontal="center" vertical="center"/>
    </xf>
    <xf numFmtId="0" fontId="32" fillId="8" borderId="49" xfId="0" applyFont="1" applyFill="1" applyBorder="1" applyAlignment="1">
      <alignment horizontal="center" vertical="center" wrapText="1"/>
    </xf>
    <xf numFmtId="0" fontId="32" fillId="8" borderId="5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8" fillId="0" borderId="0" xfId="0" applyNumberFormat="1" applyFont="1" applyAlignment="1">
      <alignment horizontal="center"/>
    </xf>
    <xf numFmtId="4" fontId="38" fillId="0" borderId="0" xfId="10" applyNumberFormat="1" applyFont="1" applyFill="1" applyAlignment="1">
      <alignment horizontal="center" vertical="center"/>
    </xf>
    <xf numFmtId="4" fontId="32" fillId="0" borderId="0" xfId="10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0" fontId="31" fillId="0" borderId="0" xfId="0" applyFont="1"/>
    <xf numFmtId="49" fontId="32" fillId="0" borderId="0" xfId="0" applyNumberFormat="1" applyFont="1" applyAlignment="1">
      <alignment horizontal="center"/>
    </xf>
    <xf numFmtId="169" fontId="31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43" fontId="31" fillId="0" borderId="0" xfId="9" applyFont="1" applyFill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4" fontId="32" fillId="0" borderId="0" xfId="9" applyNumberFormat="1" applyFont="1" applyFill="1" applyAlignment="1">
      <alignment vertical="center"/>
    </xf>
    <xf numFmtId="43" fontId="40" fillId="0" borderId="0" xfId="9" applyFont="1" applyFill="1" applyAlignment="1">
      <alignment horizontal="center" vertical="center"/>
    </xf>
    <xf numFmtId="10" fontId="33" fillId="8" borderId="51" xfId="7" applyNumberFormat="1" applyFont="1" applyFill="1" applyBorder="1" applyAlignment="1">
      <alignment vertical="center"/>
    </xf>
    <xf numFmtId="0" fontId="31" fillId="8" borderId="37" xfId="0" applyFont="1" applyFill="1" applyBorder="1" applyAlignment="1">
      <alignment vertical="center"/>
    </xf>
    <xf numFmtId="0" fontId="31" fillId="8" borderId="51" xfId="0" applyFont="1" applyFill="1" applyBorder="1" applyAlignment="1">
      <alignment vertical="center"/>
    </xf>
    <xf numFmtId="43" fontId="40" fillId="8" borderId="52" xfId="9" applyFont="1" applyFill="1" applyBorder="1" applyAlignment="1">
      <alignment horizontal="center" vertical="center"/>
    </xf>
    <xf numFmtId="43" fontId="42" fillId="0" borderId="0" xfId="9" applyFont="1" applyFill="1" applyBorder="1" applyAlignment="1">
      <alignment horizontal="right"/>
    </xf>
    <xf numFmtId="0" fontId="31" fillId="8" borderId="52" xfId="0" applyFont="1" applyFill="1" applyBorder="1" applyAlignment="1">
      <alignment vertical="center"/>
    </xf>
    <xf numFmtId="10" fontId="33" fillId="8" borderId="52" xfId="7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0" fontId="41" fillId="0" borderId="0" xfId="0" applyFont="1"/>
    <xf numFmtId="9" fontId="41" fillId="0" borderId="0" xfId="0" applyNumberFormat="1" applyFont="1"/>
    <xf numFmtId="9" fontId="43" fillId="0" borderId="0" xfId="7" applyFont="1" applyFill="1" applyAlignment="1">
      <alignment horizontal="center"/>
    </xf>
    <xf numFmtId="0" fontId="40" fillId="0" borderId="0" xfId="0" applyFont="1" applyAlignment="1">
      <alignment horizontal="right" vertical="center"/>
    </xf>
    <xf numFmtId="4" fontId="40" fillId="0" borderId="0" xfId="9" applyNumberFormat="1" applyFont="1" applyFill="1" applyAlignment="1">
      <alignment vertical="center"/>
    </xf>
    <xf numFmtId="4" fontId="40" fillId="0" borderId="0" xfId="10" applyNumberFormat="1" applyFont="1" applyAlignment="1">
      <alignment horizontal="center" vertical="center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5" fillId="0" borderId="20" xfId="0" applyFont="1" applyBorder="1" applyAlignment="1">
      <alignment horizontal="right"/>
    </xf>
    <xf numFmtId="43" fontId="46" fillId="5" borderId="53" xfId="9" applyFont="1" applyFill="1" applyBorder="1" applyAlignment="1">
      <alignment horizontal="right"/>
    </xf>
    <xf numFmtId="43" fontId="46" fillId="0" borderId="0" xfId="9" applyFont="1" applyFill="1" applyBorder="1" applyAlignment="1">
      <alignment horizontal="right"/>
    </xf>
    <xf numFmtId="43" fontId="32" fillId="0" borderId="15" xfId="9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4" fontId="40" fillId="0" borderId="0" xfId="10" applyNumberFormat="1" applyFont="1" applyFill="1" applyAlignment="1">
      <alignment horizontal="center" vertical="center"/>
    </xf>
    <xf numFmtId="10" fontId="48" fillId="0" borderId="0" xfId="7" applyNumberFormat="1" applyFont="1" applyFill="1" applyAlignment="1">
      <alignment horizontal="right"/>
    </xf>
    <xf numFmtId="170" fontId="32" fillId="8" borderId="15" xfId="9" applyNumberFormat="1" applyFont="1" applyFill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43" fontId="32" fillId="9" borderId="15" xfId="9" applyFont="1" applyFill="1" applyBorder="1" applyAlignment="1">
      <alignment vertical="center"/>
    </xf>
    <xf numFmtId="167" fontId="49" fillId="0" borderId="0" xfId="0" applyNumberFormat="1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33" fillId="8" borderId="5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2" fontId="48" fillId="0" borderId="0" xfId="9" applyNumberFormat="1" applyFont="1" applyFill="1" applyBorder="1" applyAlignment="1">
      <alignment horizontal="center"/>
    </xf>
    <xf numFmtId="2" fontId="45" fillId="0" borderId="0" xfId="9" applyNumberFormat="1" applyFont="1" applyFill="1" applyBorder="1" applyAlignment="1">
      <alignment horizontal="center"/>
    </xf>
    <xf numFmtId="0" fontId="31" fillId="8" borderId="54" xfId="0" applyFont="1" applyFill="1" applyBorder="1" applyAlignment="1">
      <alignment vertical="center"/>
    </xf>
    <xf numFmtId="10" fontId="31" fillId="0" borderId="0" xfId="7" applyNumberFormat="1" applyFont="1" applyFill="1" applyAlignment="1">
      <alignment vertical="center"/>
    </xf>
    <xf numFmtId="4" fontId="31" fillId="0" borderId="0" xfId="9" applyNumberFormat="1" applyFont="1" applyFill="1" applyAlignment="1">
      <alignment vertical="center"/>
    </xf>
    <xf numFmtId="43" fontId="46" fillId="8" borderId="37" xfId="9" applyFont="1" applyFill="1" applyBorder="1" applyAlignment="1">
      <alignment horizontal="right"/>
    </xf>
    <xf numFmtId="0" fontId="32" fillId="8" borderId="38" xfId="0" applyFont="1" applyFill="1" applyBorder="1" applyAlignment="1">
      <alignment horizontal="right" vertical="center"/>
    </xf>
    <xf numFmtId="10" fontId="52" fillId="0" borderId="0" xfId="9" applyNumberFormat="1" applyFont="1" applyFill="1" applyAlignment="1">
      <alignment vertical="center"/>
    </xf>
    <xf numFmtId="10" fontId="33" fillId="0" borderId="0" xfId="7" applyNumberFormat="1" applyFont="1" applyFill="1" applyBorder="1" applyAlignment="1">
      <alignment vertical="center"/>
    </xf>
    <xf numFmtId="167" fontId="53" fillId="0" borderId="0" xfId="0" applyNumberFormat="1" applyFont="1" applyAlignment="1">
      <alignment horizontal="center" vertical="center"/>
    </xf>
    <xf numFmtId="0" fontId="31" fillId="4" borderId="53" xfId="0" applyFont="1" applyFill="1" applyBorder="1" applyAlignment="1">
      <alignment horizontal="center" vertical="center"/>
    </xf>
    <xf numFmtId="43" fontId="54" fillId="0" borderId="0" xfId="9" applyFont="1" applyFill="1" applyAlignment="1">
      <alignment vertical="center"/>
    </xf>
    <xf numFmtId="4" fontId="55" fillId="0" borderId="0" xfId="10" applyNumberFormat="1" applyFont="1" applyFill="1" applyAlignment="1">
      <alignment horizontal="center" vertical="center" wrapText="1"/>
    </xf>
    <xf numFmtId="9" fontId="31" fillId="0" borderId="0" xfId="9" applyNumberFormat="1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9" fillId="0" borderId="0" xfId="0" applyFont="1" applyAlignment="1">
      <alignment horizontal="right" vertical="center"/>
    </xf>
    <xf numFmtId="4" fontId="39" fillId="0" borderId="0" xfId="9" applyNumberFormat="1" applyFont="1" applyFill="1" applyAlignment="1">
      <alignment vertical="center"/>
    </xf>
    <xf numFmtId="4" fontId="32" fillId="11" borderId="53" xfId="9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43" fontId="56" fillId="0" borderId="0" xfId="9" applyFont="1" applyFill="1" applyAlignment="1">
      <alignment vertical="center"/>
    </xf>
    <xf numFmtId="9" fontId="56" fillId="0" borderId="0" xfId="9" applyNumberFormat="1" applyFont="1" applyFill="1" applyAlignment="1">
      <alignment vertical="center"/>
    </xf>
    <xf numFmtId="4" fontId="32" fillId="0" borderId="0" xfId="9" applyNumberFormat="1" applyFont="1" applyFill="1" applyAlignment="1">
      <alignment horizontal="center" vertical="center"/>
    </xf>
    <xf numFmtId="10" fontId="49" fillId="0" borderId="0" xfId="7" applyNumberFormat="1" applyFont="1" applyFill="1" applyAlignment="1">
      <alignment vertical="center"/>
    </xf>
    <xf numFmtId="43" fontId="49" fillId="0" borderId="0" xfId="9" applyFont="1" applyFill="1" applyBorder="1" applyAlignment="1">
      <alignment vertical="center"/>
    </xf>
    <xf numFmtId="4" fontId="31" fillId="0" borderId="0" xfId="0" applyNumberFormat="1" applyFont="1" applyAlignment="1">
      <alignment horizontal="center"/>
    </xf>
    <xf numFmtId="43" fontId="31" fillId="0" borderId="0" xfId="9" applyFont="1" applyFill="1" applyBorder="1"/>
    <xf numFmtId="10" fontId="49" fillId="0" borderId="0" xfId="7" applyNumberFormat="1" applyFont="1" applyFill="1" applyBorder="1" applyAlignment="1">
      <alignment vertical="center"/>
    </xf>
    <xf numFmtId="0" fontId="49" fillId="0" borderId="0" xfId="0" applyFont="1" applyAlignment="1">
      <alignment horizontal="right"/>
    </xf>
    <xf numFmtId="43" fontId="31" fillId="0" borderId="0" xfId="9" applyFont="1" applyFill="1" applyBorder="1" applyAlignment="1">
      <alignment horizontal="center"/>
    </xf>
    <xf numFmtId="9" fontId="59" fillId="0" borderId="0" xfId="0" applyNumberFormat="1" applyFont="1" applyAlignment="1">
      <alignment horizontal="left"/>
    </xf>
    <xf numFmtId="4" fontId="32" fillId="0" borderId="0" xfId="0" applyNumberFormat="1" applyFont="1" applyAlignment="1">
      <alignment horizontal="center"/>
    </xf>
    <xf numFmtId="167" fontId="32" fillId="0" borderId="0" xfId="0" applyNumberFormat="1" applyFont="1"/>
    <xf numFmtId="0" fontId="60" fillId="0" borderId="16" xfId="1" applyFont="1" applyBorder="1" applyAlignment="1">
      <alignment horizontal="center" vertical="center"/>
    </xf>
    <xf numFmtId="0" fontId="60" fillId="0" borderId="15" xfId="1" applyFont="1" applyBorder="1" applyAlignment="1">
      <alignment horizontal="center" vertical="center"/>
    </xf>
    <xf numFmtId="0" fontId="61" fillId="0" borderId="15" xfId="1" applyFont="1" applyBorder="1" applyAlignment="1">
      <alignment vertical="center"/>
    </xf>
    <xf numFmtId="1" fontId="60" fillId="0" borderId="15" xfId="1" applyNumberFormat="1" applyFont="1" applyBorder="1" applyAlignment="1">
      <alignment horizontal="center"/>
    </xf>
    <xf numFmtId="1" fontId="60" fillId="0" borderId="15" xfId="1" applyNumberFormat="1" applyFont="1" applyBorder="1" applyAlignment="1">
      <alignment horizontal="center" wrapText="1"/>
    </xf>
    <xf numFmtId="0" fontId="62" fillId="0" borderId="14" xfId="1" applyFont="1" applyBorder="1" applyAlignment="1">
      <alignment horizontal="center"/>
    </xf>
    <xf numFmtId="49" fontId="63" fillId="4" borderId="15" xfId="1" applyNumberFormat="1" applyFont="1" applyFill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0" borderId="15" xfId="0" applyFont="1" applyBorder="1"/>
    <xf numFmtId="16" fontId="62" fillId="0" borderId="15" xfId="1" applyNumberFormat="1" applyFont="1" applyBorder="1" applyAlignment="1">
      <alignment horizontal="center"/>
    </xf>
    <xf numFmtId="1" fontId="62" fillId="0" borderId="15" xfId="0" applyNumberFormat="1" applyFont="1" applyBorder="1" applyAlignment="1">
      <alignment horizontal="center"/>
    </xf>
    <xf numFmtId="1" fontId="62" fillId="0" borderId="15" xfId="0" applyNumberFormat="1" applyFont="1" applyBorder="1" applyAlignment="1">
      <alignment horizontal="center" vertical="center" wrapText="1"/>
    </xf>
    <xf numFmtId="1" fontId="62" fillId="0" borderId="27" xfId="1" applyNumberFormat="1" applyFont="1" applyBorder="1" applyAlignment="1">
      <alignment horizontal="center"/>
    </xf>
    <xf numFmtId="0" fontId="64" fillId="0" borderId="11" xfId="0" applyFont="1" applyBorder="1" applyAlignment="1">
      <alignment horizontal="center"/>
    </xf>
    <xf numFmtId="0" fontId="62" fillId="0" borderId="15" xfId="1" applyFont="1" applyBorder="1" applyAlignment="1">
      <alignment horizontal="center"/>
    </xf>
    <xf numFmtId="1" fontId="62" fillId="0" borderId="9" xfId="1" applyNumberFormat="1" applyFont="1" applyBorder="1" applyAlignment="1">
      <alignment horizontal="center"/>
    </xf>
    <xf numFmtId="0" fontId="62" fillId="0" borderId="8" xfId="1" applyFont="1" applyBorder="1" applyAlignment="1">
      <alignment horizontal="center"/>
    </xf>
    <xf numFmtId="0" fontId="62" fillId="0" borderId="15" xfId="1" applyFont="1" applyBorder="1"/>
    <xf numFmtId="0" fontId="62" fillId="0" borderId="15" xfId="0" applyFont="1" applyBorder="1" applyAlignment="1">
      <alignment horizontal="center"/>
    </xf>
    <xf numFmtId="0" fontId="64" fillId="0" borderId="8" xfId="0" applyFont="1" applyBorder="1" applyAlignment="1">
      <alignment horizontal="center"/>
    </xf>
    <xf numFmtId="0" fontId="60" fillId="4" borderId="15" xfId="1" applyFont="1" applyFill="1" applyBorder="1" applyAlignment="1">
      <alignment horizontal="left"/>
    </xf>
    <xf numFmtId="0" fontId="60" fillId="0" borderId="15" xfId="1" applyFont="1" applyBorder="1"/>
    <xf numFmtId="1" fontId="62" fillId="0" borderId="15" xfId="1" applyNumberFormat="1" applyFont="1" applyBorder="1" applyAlignment="1">
      <alignment horizontal="center"/>
    </xf>
    <xf numFmtId="0" fontId="62" fillId="4" borderId="15" xfId="0" applyFont="1" applyFill="1" applyBorder="1" applyAlignment="1">
      <alignment horizontal="center"/>
    </xf>
    <xf numFmtId="0" fontId="62" fillId="4" borderId="15" xfId="0" applyFont="1" applyFill="1" applyBorder="1"/>
    <xf numFmtId="16" fontId="62" fillId="4" borderId="15" xfId="0" applyNumberFormat="1" applyFont="1" applyFill="1" applyBorder="1" applyAlignment="1">
      <alignment horizontal="center"/>
    </xf>
    <xf numFmtId="1" fontId="62" fillId="4" borderId="15" xfId="0" applyNumberFormat="1" applyFont="1" applyFill="1" applyBorder="1" applyAlignment="1">
      <alignment horizontal="center" wrapText="1"/>
    </xf>
    <xf numFmtId="0" fontId="62" fillId="0" borderId="15" xfId="0" applyFont="1" applyBorder="1"/>
    <xf numFmtId="0" fontId="63" fillId="0" borderId="15" xfId="1" applyFont="1" applyBorder="1" applyAlignment="1">
      <alignment horizontal="center" vertical="center"/>
    </xf>
    <xf numFmtId="0" fontId="64" fillId="0" borderId="0" xfId="0" applyFont="1"/>
    <xf numFmtId="1" fontId="62" fillId="0" borderId="15" xfId="1" applyNumberFormat="1" applyFont="1" applyBorder="1" applyAlignment="1">
      <alignment horizontal="center" wrapText="1"/>
    </xf>
    <xf numFmtId="0" fontId="62" fillId="4" borderId="15" xfId="0" applyFont="1" applyFill="1" applyBorder="1" applyAlignment="1">
      <alignment horizontal="center" vertical="center"/>
    </xf>
    <xf numFmtId="1" fontId="62" fillId="4" borderId="15" xfId="0" applyNumberFormat="1" applyFont="1" applyFill="1" applyBorder="1" applyAlignment="1">
      <alignment horizontal="center"/>
    </xf>
    <xf numFmtId="49" fontId="62" fillId="0" borderId="16" xfId="1" applyNumberFormat="1" applyFont="1" applyBorder="1" applyAlignment="1">
      <alignment horizontal="center"/>
    </xf>
    <xf numFmtId="49" fontId="62" fillId="0" borderId="8" xfId="1" applyNumberFormat="1" applyFont="1" applyBorder="1" applyAlignment="1">
      <alignment horizontal="center"/>
    </xf>
    <xf numFmtId="49" fontId="62" fillId="0" borderId="15" xfId="1" applyNumberFormat="1" applyFont="1" applyBorder="1"/>
    <xf numFmtId="1" fontId="62" fillId="0" borderId="15" xfId="0" applyNumberFormat="1" applyFont="1" applyBorder="1" applyAlignment="1">
      <alignment horizontal="center" wrapText="1"/>
    </xf>
    <xf numFmtId="0" fontId="64" fillId="0" borderId="0" xfId="0" applyFont="1" applyAlignment="1">
      <alignment horizontal="center"/>
    </xf>
    <xf numFmtId="49" fontId="63" fillId="3" borderId="21" xfId="1" applyNumberFormat="1" applyFont="1" applyFill="1" applyBorder="1" applyAlignment="1">
      <alignment horizontal="center" vertical="center"/>
    </xf>
    <xf numFmtId="49" fontId="63" fillId="3" borderId="0" xfId="1" applyNumberFormat="1" applyFont="1" applyFill="1" applyAlignment="1">
      <alignment horizontal="center" vertical="center"/>
    </xf>
    <xf numFmtId="0" fontId="62" fillId="3" borderId="0" xfId="1" applyFont="1" applyFill="1"/>
    <xf numFmtId="1" fontId="62" fillId="3" borderId="0" xfId="1" applyNumberFormat="1" applyFont="1" applyFill="1" applyAlignment="1">
      <alignment horizontal="center"/>
    </xf>
    <xf numFmtId="164" fontId="62" fillId="3" borderId="0" xfId="1" applyNumberFormat="1" applyFont="1" applyFill="1" applyAlignment="1">
      <alignment horizontal="center" wrapText="1"/>
    </xf>
    <xf numFmtId="0" fontId="62" fillId="3" borderId="20" xfId="1" applyFont="1" applyFill="1" applyBorder="1" applyAlignment="1">
      <alignment horizontal="center"/>
    </xf>
    <xf numFmtId="0" fontId="62" fillId="2" borderId="42" xfId="1" applyFont="1" applyFill="1" applyBorder="1" applyAlignment="1">
      <alignment horizontal="center"/>
    </xf>
    <xf numFmtId="0" fontId="62" fillId="2" borderId="37" xfId="1" applyFont="1" applyFill="1" applyBorder="1" applyAlignment="1">
      <alignment horizontal="center"/>
    </xf>
    <xf numFmtId="0" fontId="62" fillId="2" borderId="37" xfId="1" applyFont="1" applyFill="1" applyBorder="1"/>
    <xf numFmtId="0" fontId="60" fillId="2" borderId="37" xfId="1" applyFont="1" applyFill="1" applyBorder="1" applyAlignment="1">
      <alignment horizontal="center"/>
    </xf>
    <xf numFmtId="1" fontId="60" fillId="2" borderId="37" xfId="1" applyNumberFormat="1" applyFont="1" applyFill="1" applyBorder="1" applyAlignment="1">
      <alignment horizontal="center"/>
    </xf>
    <xf numFmtId="164" fontId="62" fillId="2" borderId="37" xfId="1" applyNumberFormat="1" applyFont="1" applyFill="1" applyBorder="1" applyAlignment="1">
      <alignment horizontal="center" wrapText="1"/>
    </xf>
    <xf numFmtId="0" fontId="62" fillId="2" borderId="38" xfId="1" applyFont="1" applyFill="1" applyBorder="1" applyAlignment="1">
      <alignment horizontal="center"/>
    </xf>
    <xf numFmtId="1" fontId="62" fillId="0" borderId="11" xfId="0" applyNumberFormat="1" applyFont="1" applyBorder="1" applyAlignment="1">
      <alignment horizontal="center"/>
    </xf>
    <xf numFmtId="0" fontId="62" fillId="0" borderId="27" xfId="0" applyFont="1" applyBorder="1" applyAlignment="1">
      <alignment horizontal="center"/>
    </xf>
    <xf numFmtId="1" fontId="62" fillId="0" borderId="2" xfId="0" applyNumberFormat="1" applyFont="1" applyBorder="1" applyAlignment="1">
      <alignment horizontal="center"/>
    </xf>
    <xf numFmtId="0" fontId="62" fillId="0" borderId="2" xfId="0" applyFont="1" applyBorder="1" applyAlignment="1">
      <alignment horizontal="center"/>
    </xf>
    <xf numFmtId="14" fontId="67" fillId="3" borderId="0" xfId="2" applyNumberFormat="1" applyFont="1" applyFill="1" applyAlignment="1">
      <alignment horizontal="center" vertical="center" wrapText="1"/>
    </xf>
    <xf numFmtId="0" fontId="65" fillId="0" borderId="15" xfId="0" applyFont="1" applyBorder="1" applyAlignment="1">
      <alignment horizontal="center"/>
    </xf>
    <xf numFmtId="0" fontId="65" fillId="0" borderId="15" xfId="0" applyFont="1" applyBorder="1"/>
    <xf numFmtId="166" fontId="60" fillId="4" borderId="15" xfId="14" applyNumberFormat="1" applyFont="1" applyFill="1" applyBorder="1" applyAlignment="1">
      <alignment horizontal="center"/>
    </xf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16" fillId="5" borderId="42" xfId="2" applyFont="1" applyFill="1" applyBorder="1" applyAlignment="1">
      <alignment horizontal="center" vertical="center" wrapText="1"/>
    </xf>
    <xf numFmtId="0" fontId="16" fillId="5" borderId="37" xfId="2" applyFont="1" applyFill="1" applyBorder="1" applyAlignment="1">
      <alignment horizontal="center" vertical="center" wrapText="1"/>
    </xf>
    <xf numFmtId="0" fontId="16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21" fillId="0" borderId="7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21" fillId="0" borderId="15" xfId="1" applyFont="1" applyBorder="1" applyAlignment="1">
      <alignment horizontal="left" wrapText="1"/>
    </xf>
    <xf numFmtId="0" fontId="22" fillId="0" borderId="1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1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13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40" fillId="0" borderId="0" xfId="0" applyFont="1" applyAlignment="1">
      <alignment horizontal="center" vertical="center"/>
    </xf>
    <xf numFmtId="0" fontId="57" fillId="0" borderId="42" xfId="0" applyFont="1" applyBorder="1" applyAlignment="1">
      <alignment horizontal="right" vertical="center"/>
    </xf>
    <xf numFmtId="0" fontId="57" fillId="0" borderId="37" xfId="0" applyFont="1" applyBorder="1" applyAlignment="1">
      <alignment horizontal="right" vertical="center"/>
    </xf>
    <xf numFmtId="0" fontId="57" fillId="0" borderId="38" xfId="0" applyFont="1" applyBorder="1" applyAlignment="1">
      <alignment horizontal="right" vertical="center"/>
    </xf>
    <xf numFmtId="0" fontId="58" fillId="0" borderId="0" xfId="0" applyFont="1" applyAlignment="1">
      <alignment horizontal="right"/>
    </xf>
    <xf numFmtId="0" fontId="48" fillId="0" borderId="30" xfId="0" applyFont="1" applyBorder="1" applyAlignment="1">
      <alignment horizontal="right"/>
    </xf>
    <xf numFmtId="0" fontId="40" fillId="0" borderId="0" xfId="0" applyFont="1" applyAlignment="1">
      <alignment horizontal="right" vertical="center"/>
    </xf>
    <xf numFmtId="0" fontId="46" fillId="8" borderId="42" xfId="0" applyFont="1" applyFill="1" applyBorder="1" applyAlignment="1">
      <alignment horizontal="right"/>
    </xf>
    <xf numFmtId="0" fontId="46" fillId="8" borderId="37" xfId="0" applyFont="1" applyFill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2" fillId="0" borderId="30" xfId="0" applyFont="1" applyBorder="1" applyAlignment="1">
      <alignment horizontal="right" vertical="center"/>
    </xf>
    <xf numFmtId="0" fontId="32" fillId="0" borderId="55" xfId="0" applyFont="1" applyBorder="1" applyAlignment="1">
      <alignment horizontal="right" vertical="center"/>
    </xf>
    <xf numFmtId="0" fontId="32" fillId="10" borderId="42" xfId="0" applyFont="1" applyFill="1" applyBorder="1" applyAlignment="1">
      <alignment horizontal="right" vertical="center"/>
    </xf>
    <xf numFmtId="0" fontId="32" fillId="10" borderId="37" xfId="0" applyFont="1" applyFill="1" applyBorder="1" applyAlignment="1">
      <alignment horizontal="right" vertical="center"/>
    </xf>
    <xf numFmtId="0" fontId="32" fillId="10" borderId="38" xfId="0" applyFont="1" applyFill="1" applyBorder="1" applyAlignment="1">
      <alignment horizontal="right" vertical="center"/>
    </xf>
    <xf numFmtId="4" fontId="55" fillId="0" borderId="0" xfId="10" applyNumberFormat="1" applyFont="1" applyFill="1" applyAlignment="1">
      <alignment horizontal="center" vertical="center" wrapText="1"/>
    </xf>
    <xf numFmtId="0" fontId="49" fillId="0" borderId="15" xfId="0" applyFont="1" applyBorder="1" applyAlignment="1">
      <alignment horizontal="right" vertical="center"/>
    </xf>
    <xf numFmtId="0" fontId="50" fillId="0" borderId="21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0" fillId="0" borderId="20" xfId="0" applyFont="1" applyBorder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41" fillId="0" borderId="36" xfId="0" applyFont="1" applyBorder="1" applyAlignment="1">
      <alignment horizontal="right"/>
    </xf>
    <xf numFmtId="0" fontId="41" fillId="0" borderId="35" xfId="0" applyFont="1" applyBorder="1" applyAlignment="1">
      <alignment horizontal="right"/>
    </xf>
    <xf numFmtId="0" fontId="31" fillId="0" borderId="15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5" fillId="0" borderId="30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right" vertical="center" wrapText="1"/>
    </xf>
    <xf numFmtId="0" fontId="62" fillId="0" borderId="15" xfId="1" applyFont="1" applyBorder="1" applyAlignment="1">
      <alignment horizontal="left" wrapText="1"/>
    </xf>
    <xf numFmtId="0" fontId="62" fillId="3" borderId="15" xfId="2" applyFont="1" applyFill="1" applyBorder="1" applyAlignment="1">
      <alignment horizontal="left"/>
    </xf>
    <xf numFmtId="0" fontId="62" fillId="0" borderId="7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8" xfId="0" applyFont="1" applyBorder="1" applyAlignment="1">
      <alignment horizontal="left" wrapText="1"/>
    </xf>
    <xf numFmtId="0" fontId="62" fillId="0" borderId="7" xfId="0" applyFont="1" applyBorder="1" applyAlignment="1">
      <alignment horizontal="left"/>
    </xf>
    <xf numFmtId="0" fontId="62" fillId="0" borderId="6" xfId="0" applyFont="1" applyBorder="1" applyAlignment="1">
      <alignment horizontal="left"/>
    </xf>
    <xf numFmtId="0" fontId="62" fillId="0" borderId="5" xfId="0" applyFont="1" applyBorder="1" applyAlignment="1">
      <alignment horizontal="left"/>
    </xf>
    <xf numFmtId="0" fontId="62" fillId="0" borderId="56" xfId="1" applyFont="1" applyBorder="1" applyAlignment="1">
      <alignment horizontal="left"/>
    </xf>
    <xf numFmtId="0" fontId="62" fillId="0" borderId="57" xfId="1" applyFont="1" applyBorder="1" applyAlignment="1">
      <alignment horizontal="left"/>
    </xf>
    <xf numFmtId="0" fontId="62" fillId="0" borderId="58" xfId="1" applyFont="1" applyBorder="1" applyAlignment="1">
      <alignment horizontal="left"/>
    </xf>
    <xf numFmtId="0" fontId="60" fillId="6" borderId="15" xfId="2" applyFont="1" applyFill="1" applyBorder="1" applyAlignment="1">
      <alignment horizontal="center"/>
    </xf>
    <xf numFmtId="0" fontId="60" fillId="0" borderId="4" xfId="1" applyFont="1" applyBorder="1" applyAlignment="1">
      <alignment horizontal="right"/>
    </xf>
    <xf numFmtId="0" fontId="60" fillId="0" borderId="3" xfId="1" applyFont="1" applyBorder="1" applyAlignment="1">
      <alignment horizontal="right"/>
    </xf>
    <xf numFmtId="0" fontId="60" fillId="0" borderId="2" xfId="1" applyFont="1" applyBorder="1" applyAlignment="1">
      <alignment horizontal="right"/>
    </xf>
    <xf numFmtId="0" fontId="62" fillId="0" borderId="2" xfId="1" applyFont="1" applyBorder="1" applyAlignment="1">
      <alignment horizontal="right"/>
    </xf>
    <xf numFmtId="164" fontId="62" fillId="0" borderId="23" xfId="1" applyNumberFormat="1" applyFont="1" applyBorder="1" applyAlignment="1">
      <alignment horizontal="center"/>
    </xf>
    <xf numFmtId="164" fontId="62" fillId="0" borderId="22" xfId="1" applyNumberFormat="1" applyFont="1" applyBorder="1" applyAlignment="1">
      <alignment horizontal="center"/>
    </xf>
    <xf numFmtId="0" fontId="62" fillId="0" borderId="7" xfId="1" applyFont="1" applyBorder="1" applyAlignment="1">
      <alignment horizontal="left"/>
    </xf>
    <xf numFmtId="0" fontId="62" fillId="0" borderId="6" xfId="1" applyFont="1" applyBorder="1" applyAlignment="1">
      <alignment horizontal="left"/>
    </xf>
    <xf numFmtId="0" fontId="62" fillId="0" borderId="5" xfId="1" applyFont="1" applyBorder="1" applyAlignment="1">
      <alignment horizontal="left"/>
    </xf>
    <xf numFmtId="0" fontId="60" fillId="0" borderId="39" xfId="1" applyFont="1" applyBorder="1" applyAlignment="1">
      <alignment horizontal="right"/>
    </xf>
    <xf numFmtId="0" fontId="60" fillId="0" borderId="40" xfId="1" applyFont="1" applyBorder="1" applyAlignment="1">
      <alignment horizontal="right"/>
    </xf>
    <xf numFmtId="0" fontId="60" fillId="0" borderId="12" xfId="1" applyFont="1" applyBorder="1" applyAlignment="1">
      <alignment horizontal="right"/>
    </xf>
    <xf numFmtId="164" fontId="62" fillId="0" borderId="11" xfId="1" applyNumberFormat="1" applyFont="1" applyBorder="1" applyAlignment="1">
      <alignment horizontal="right"/>
    </xf>
    <xf numFmtId="0" fontId="62" fillId="3" borderId="27" xfId="1" applyFont="1" applyFill="1" applyBorder="1" applyAlignment="1">
      <alignment horizontal="center"/>
    </xf>
    <xf numFmtId="0" fontId="62" fillId="3" borderId="43" xfId="1" applyFont="1" applyFill="1" applyBorder="1" applyAlignment="1">
      <alignment horizontal="center"/>
    </xf>
    <xf numFmtId="0" fontId="60" fillId="0" borderId="7" xfId="1" applyFont="1" applyBorder="1" applyAlignment="1">
      <alignment horizontal="right"/>
    </xf>
    <xf numFmtId="0" fontId="60" fillId="0" borderId="6" xfId="1" applyFont="1" applyBorder="1" applyAlignment="1">
      <alignment horizontal="right"/>
    </xf>
    <xf numFmtId="0" fontId="60" fillId="0" borderId="8" xfId="1" applyFont="1" applyBorder="1" applyAlignment="1">
      <alignment horizontal="right"/>
    </xf>
    <xf numFmtId="164" fontId="62" fillId="0" borderId="9" xfId="1" applyNumberFormat="1" applyFont="1" applyBorder="1" applyAlignment="1">
      <alignment horizontal="right" wrapText="1"/>
    </xf>
    <xf numFmtId="164" fontId="62" fillId="0" borderId="8" xfId="1" applyNumberFormat="1" applyFont="1" applyBorder="1" applyAlignment="1">
      <alignment horizontal="right" wrapText="1"/>
    </xf>
    <xf numFmtId="164" fontId="62" fillId="0" borderId="9" xfId="1" applyNumberFormat="1" applyFont="1" applyBorder="1" applyAlignment="1">
      <alignment horizontal="center"/>
    </xf>
    <xf numFmtId="164" fontId="62" fillId="0" borderId="5" xfId="1" applyNumberFormat="1" applyFont="1" applyBorder="1" applyAlignment="1">
      <alignment horizontal="center"/>
    </xf>
    <xf numFmtId="0" fontId="62" fillId="0" borderId="15" xfId="1" applyFont="1" applyBorder="1" applyAlignment="1">
      <alignment horizontal="right"/>
    </xf>
    <xf numFmtId="0" fontId="67" fillId="3" borderId="30" xfId="2" applyFont="1" applyFill="1" applyBorder="1" applyAlignment="1">
      <alignment horizontal="center"/>
    </xf>
    <xf numFmtId="0" fontId="66" fillId="5" borderId="42" xfId="2" applyFont="1" applyFill="1" applyBorder="1" applyAlignment="1">
      <alignment horizontal="center" vertical="center" wrapText="1"/>
    </xf>
    <xf numFmtId="0" fontId="66" fillId="5" borderId="37" xfId="2" applyFont="1" applyFill="1" applyBorder="1" applyAlignment="1">
      <alignment horizontal="center" vertical="center" wrapText="1"/>
    </xf>
    <xf numFmtId="0" fontId="66" fillId="5" borderId="38" xfId="2" applyFont="1" applyFill="1" applyBorder="1" applyAlignment="1">
      <alignment horizontal="center" vertical="center" wrapText="1"/>
    </xf>
    <xf numFmtId="0" fontId="60" fillId="2" borderId="42" xfId="1" applyFont="1" applyFill="1" applyBorder="1" applyAlignment="1">
      <alignment horizontal="center"/>
    </xf>
    <xf numFmtId="0" fontId="60" fillId="2" borderId="37" xfId="1" applyFont="1" applyFill="1" applyBorder="1" applyAlignment="1">
      <alignment horizontal="center"/>
    </xf>
    <xf numFmtId="0" fontId="60" fillId="2" borderId="38" xfId="1" applyFont="1" applyFill="1" applyBorder="1" applyAlignment="1">
      <alignment horizontal="center"/>
    </xf>
  </cellXfs>
  <cellStyles count="15">
    <cellStyle name="Millares" xfId="9" builtinId="3"/>
    <cellStyle name="Millares [0]" xfId="10" builtinId="6"/>
    <cellStyle name="Millares [0] 2" xfId="12" xr:uid="{0B4BC7A4-C4C1-4897-B9E3-B186B89DA0AE}"/>
    <cellStyle name="Millares 2" xfId="11" xr:uid="{117EDA02-B710-457F-A1CF-CF097A1190D6}"/>
    <cellStyle name="Millares 3" xfId="13" xr:uid="{9805CD6F-5ECC-4B60-8FB9-F415286CDF2A}"/>
    <cellStyle name="Millares 4" xfId="14" xr:uid="{7FC61C63-5B55-4A4D-98E5-D58A52216988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EBFF37AA-A9E6-4923-827A-696DBB98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40081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3" name="Imagen 2">
          <a:extLst>
            <a:ext uri="{FF2B5EF4-FFF2-40B4-BE49-F238E27FC236}">
              <a16:creationId xmlns:a16="http://schemas.microsoft.com/office/drawing/2014/main" id="{7478E26A-1EA4-4D3F-BFFB-EFDABEA5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4" name="Imagen 3">
          <a:extLst>
            <a:ext uri="{FF2B5EF4-FFF2-40B4-BE49-F238E27FC236}">
              <a16:creationId xmlns:a16="http://schemas.microsoft.com/office/drawing/2014/main" id="{745DC134-FC46-41E6-8409-0475564D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190499</xdr:rowOff>
    </xdr:from>
    <xdr:to>
      <xdr:col>1</xdr:col>
      <xdr:colOff>1093239</xdr:colOff>
      <xdr:row>4</xdr:row>
      <xdr:rowOff>11906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90F2F92-5B87-4EF1-8DBA-CB6ABD08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190499"/>
          <a:ext cx="1950490" cy="88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4DB-43C2-4B2F-B097-D17933D1576D}">
  <dimension ref="A1:K59"/>
  <sheetViews>
    <sheetView zoomScale="73" workbookViewId="0">
      <selection activeCell="D26" sqref="D26"/>
    </sheetView>
  </sheetViews>
  <sheetFormatPr baseColWidth="10" defaultRowHeight="15" x14ac:dyDescent="0.25"/>
  <cols>
    <col min="1" max="1" width="1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9" ht="17.25" x14ac:dyDescent="0.3">
      <c r="A1" s="282"/>
      <c r="B1" s="283"/>
      <c r="C1" s="288" t="s">
        <v>30</v>
      </c>
      <c r="D1" s="288"/>
      <c r="E1" s="288"/>
      <c r="F1" s="288"/>
      <c r="G1" s="288"/>
      <c r="H1" s="5" t="s">
        <v>29</v>
      </c>
      <c r="I1" s="6"/>
    </row>
    <row r="2" spans="1:9" ht="18" thickBot="1" x14ac:dyDescent="0.35">
      <c r="A2" s="284"/>
      <c r="B2" s="285"/>
      <c r="C2" s="289" t="s">
        <v>28</v>
      </c>
      <c r="D2" s="289"/>
      <c r="E2" s="289"/>
      <c r="F2" s="289"/>
      <c r="G2" s="289"/>
      <c r="H2" s="7" t="s">
        <v>27</v>
      </c>
      <c r="I2" s="8"/>
    </row>
    <row r="3" spans="1:9" ht="22.9" customHeight="1" thickBot="1" x14ac:dyDescent="0.3">
      <c r="A3" s="284"/>
      <c r="B3" s="285"/>
      <c r="C3" s="290" t="s">
        <v>61</v>
      </c>
      <c r="D3" s="291"/>
      <c r="E3" s="291"/>
      <c r="F3" s="291"/>
      <c r="G3" s="292"/>
      <c r="H3" s="293" t="s">
        <v>26</v>
      </c>
      <c r="I3" s="273"/>
    </row>
    <row r="4" spans="1:9" ht="17.25" x14ac:dyDescent="0.3">
      <c r="A4" s="284"/>
      <c r="B4" s="285"/>
      <c r="C4" s="9" t="s">
        <v>25</v>
      </c>
      <c r="D4" s="276" t="s">
        <v>35</v>
      </c>
      <c r="E4" s="277"/>
      <c r="F4" s="277"/>
      <c r="G4" s="278"/>
      <c r="H4" s="294"/>
      <c r="I4" s="274"/>
    </row>
    <row r="5" spans="1:9" ht="18" thickBot="1" x14ac:dyDescent="0.35">
      <c r="A5" s="286"/>
      <c r="B5" s="287"/>
      <c r="C5" s="10" t="s">
        <v>24</v>
      </c>
      <c r="D5" s="279" t="s">
        <v>40</v>
      </c>
      <c r="E5" s="280"/>
      <c r="F5" s="280"/>
      <c r="G5" s="281"/>
      <c r="H5" s="295"/>
      <c r="I5" s="275"/>
    </row>
    <row r="6" spans="1:9" ht="16.5" thickBot="1" x14ac:dyDescent="0.3">
      <c r="A6" s="306" t="s">
        <v>23</v>
      </c>
      <c r="B6" s="306"/>
      <c r="C6" s="306"/>
      <c r="D6" s="307" t="s">
        <v>45</v>
      </c>
      <c r="E6" s="307"/>
      <c r="F6" s="307"/>
      <c r="G6" s="298" t="s">
        <v>22</v>
      </c>
      <c r="H6" s="298"/>
      <c r="I6" s="11" t="s">
        <v>46</v>
      </c>
    </row>
    <row r="7" spans="1:9" x14ac:dyDescent="0.25">
      <c r="A7" s="299" t="s">
        <v>21</v>
      </c>
      <c r="B7" s="301" t="s">
        <v>31</v>
      </c>
      <c r="C7" s="303" t="s">
        <v>20</v>
      </c>
      <c r="D7" s="303" t="s">
        <v>19</v>
      </c>
      <c r="E7" s="303" t="s">
        <v>18</v>
      </c>
      <c r="F7" s="303"/>
      <c r="G7" s="303" t="s">
        <v>17</v>
      </c>
      <c r="H7" s="303"/>
      <c r="I7" s="12" t="s">
        <v>16</v>
      </c>
    </row>
    <row r="8" spans="1:9" ht="31.5" thickBot="1" x14ac:dyDescent="0.3">
      <c r="A8" s="300"/>
      <c r="B8" s="302"/>
      <c r="C8" s="304"/>
      <c r="D8" s="305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9" ht="19.899999999999999" customHeight="1" x14ac:dyDescent="0.3">
      <c r="A9" s="84"/>
      <c r="B9" s="85"/>
      <c r="C9" s="70" t="s">
        <v>32</v>
      </c>
      <c r="D9" s="85"/>
      <c r="E9" s="69"/>
      <c r="F9" s="86"/>
      <c r="G9" s="69"/>
      <c r="H9" s="86"/>
      <c r="I9" s="16"/>
    </row>
    <row r="10" spans="1:9" ht="17.45" customHeight="1" x14ac:dyDescent="0.3">
      <c r="A10" s="105"/>
      <c r="B10" s="103" t="s">
        <v>54</v>
      </c>
      <c r="C10" s="104" t="s">
        <v>55</v>
      </c>
      <c r="D10" s="106"/>
      <c r="E10" s="61">
        <f>274*14.32</f>
        <v>3923.6800000000003</v>
      </c>
      <c r="F10" s="73"/>
      <c r="G10" s="74"/>
      <c r="H10" s="87"/>
      <c r="I10" s="3"/>
    </row>
    <row r="11" spans="1:9" ht="17.45" customHeight="1" x14ac:dyDescent="0.3">
      <c r="A11" s="64"/>
      <c r="B11" s="64"/>
      <c r="C11" s="71" t="s">
        <v>53</v>
      </c>
      <c r="D11" s="106" t="s">
        <v>36</v>
      </c>
      <c r="E11" s="61">
        <f>238*14.32</f>
        <v>3408.16</v>
      </c>
      <c r="F11" s="73"/>
      <c r="G11" s="74"/>
      <c r="H11" s="100"/>
      <c r="I11" s="3"/>
    </row>
    <row r="12" spans="1:9" ht="17.45" customHeight="1" x14ac:dyDescent="0.3">
      <c r="A12" s="64"/>
      <c r="B12" s="64"/>
      <c r="C12" s="71"/>
      <c r="D12" s="106"/>
      <c r="E12" s="61"/>
      <c r="F12" s="73"/>
      <c r="G12" s="74"/>
      <c r="H12" s="100"/>
      <c r="I12" s="3"/>
    </row>
    <row r="13" spans="1:9" ht="18" customHeight="1" x14ac:dyDescent="0.3">
      <c r="A13" s="64"/>
      <c r="B13" s="64"/>
      <c r="C13" s="71"/>
      <c r="D13" s="106"/>
      <c r="E13" s="61"/>
      <c r="F13" s="73"/>
      <c r="G13" s="74"/>
      <c r="H13" s="100"/>
      <c r="I13" s="3"/>
    </row>
    <row r="14" spans="1:9" ht="18.75" x14ac:dyDescent="0.3">
      <c r="A14" s="66"/>
      <c r="B14" s="64"/>
      <c r="C14" s="71"/>
      <c r="D14" s="106"/>
      <c r="E14" s="61"/>
      <c r="F14" s="73"/>
      <c r="G14" s="74"/>
      <c r="H14" s="100"/>
      <c r="I14" s="3"/>
    </row>
    <row r="15" spans="1:9" ht="18.75" x14ac:dyDescent="0.3">
      <c r="A15" s="66"/>
      <c r="B15" s="64"/>
      <c r="C15" s="71"/>
      <c r="D15" s="106"/>
      <c r="E15" s="76"/>
      <c r="F15" s="73"/>
      <c r="G15" s="74"/>
      <c r="H15" s="64"/>
      <c r="I15" s="3"/>
    </row>
    <row r="16" spans="1:9" ht="18.75" x14ac:dyDescent="0.3">
      <c r="A16" s="66"/>
      <c r="B16" s="71"/>
      <c r="C16" s="71"/>
      <c r="D16" s="77"/>
      <c r="E16" s="78"/>
      <c r="F16" s="73"/>
      <c r="G16" s="75"/>
      <c r="H16" s="64"/>
      <c r="I16" s="3"/>
    </row>
    <row r="17" spans="1:10" ht="18.75" x14ac:dyDescent="0.3">
      <c r="A17" s="65"/>
      <c r="B17" s="66"/>
      <c r="C17" s="80"/>
      <c r="D17" s="62"/>
      <c r="E17" s="64"/>
      <c r="F17" s="81"/>
      <c r="G17" s="75"/>
      <c r="H17" s="64"/>
      <c r="I17" s="3"/>
    </row>
    <row r="18" spans="1:10" ht="18.75" x14ac:dyDescent="0.3">
      <c r="A18" s="65"/>
      <c r="B18" s="66"/>
      <c r="C18" s="107" t="s">
        <v>44</v>
      </c>
      <c r="D18" s="62"/>
      <c r="E18" s="64"/>
      <c r="F18" s="81"/>
      <c r="G18" s="75"/>
      <c r="H18" s="64"/>
      <c r="I18" s="3"/>
    </row>
    <row r="19" spans="1:10" ht="18.75" x14ac:dyDescent="0.3">
      <c r="A19" s="66"/>
      <c r="B19" s="66"/>
      <c r="C19" s="88"/>
      <c r="D19" s="64"/>
      <c r="E19" s="71"/>
      <c r="F19" s="64"/>
      <c r="G19" s="63"/>
      <c r="H19" s="64"/>
      <c r="I19" s="3"/>
    </row>
    <row r="20" spans="1:10" ht="18.75" x14ac:dyDescent="0.3">
      <c r="A20" s="66"/>
      <c r="B20" s="66"/>
      <c r="C20" s="80"/>
      <c r="D20" s="64"/>
      <c r="E20" s="64"/>
      <c r="F20" s="64"/>
      <c r="G20" s="63"/>
      <c r="H20" s="64"/>
      <c r="I20" s="3"/>
    </row>
    <row r="21" spans="1:10" ht="18.75" x14ac:dyDescent="0.3">
      <c r="A21" s="66"/>
      <c r="B21" s="64"/>
      <c r="C21" s="71"/>
      <c r="D21" s="106"/>
      <c r="E21" s="68"/>
      <c r="F21" s="68"/>
      <c r="G21" s="63"/>
      <c r="H21" s="101"/>
      <c r="I21" s="3"/>
      <c r="J21" s="61"/>
    </row>
    <row r="22" spans="1:10" ht="18.75" x14ac:dyDescent="0.3">
      <c r="A22" s="66"/>
      <c r="B22" s="64"/>
      <c r="C22" s="99"/>
      <c r="D22" s="77"/>
      <c r="E22" s="68"/>
      <c r="F22" s="68"/>
      <c r="G22" s="69"/>
      <c r="H22" s="86"/>
      <c r="I22" s="3"/>
    </row>
    <row r="23" spans="1:10" ht="18.75" x14ac:dyDescent="0.3">
      <c r="A23" s="71"/>
      <c r="B23" s="67"/>
      <c r="C23" s="89"/>
      <c r="D23" s="72"/>
      <c r="E23" s="67"/>
      <c r="F23" s="90"/>
      <c r="G23" s="69"/>
      <c r="H23" s="86"/>
      <c r="I23" s="16"/>
    </row>
    <row r="24" spans="1:10" ht="18.75" x14ac:dyDescent="0.3">
      <c r="A24" s="66"/>
      <c r="B24" s="66"/>
      <c r="C24" s="88" t="s">
        <v>34</v>
      </c>
      <c r="D24" s="71"/>
      <c r="E24" s="71"/>
      <c r="F24" s="64"/>
      <c r="G24" s="63"/>
      <c r="H24" s="64"/>
      <c r="I24" s="16"/>
    </row>
    <row r="25" spans="1:10" ht="18.75" x14ac:dyDescent="0.3">
      <c r="A25" s="27" t="s">
        <v>41</v>
      </c>
      <c r="B25" s="47" t="s">
        <v>41</v>
      </c>
      <c r="C25" s="108" t="s">
        <v>42</v>
      </c>
      <c r="D25" s="47" t="s">
        <v>39</v>
      </c>
      <c r="E25" s="109">
        <v>1</v>
      </c>
      <c r="F25" s="47" t="s">
        <v>43</v>
      </c>
      <c r="G25" s="63"/>
      <c r="H25" s="64"/>
      <c r="I25" s="16"/>
    </row>
    <row r="26" spans="1:10" ht="18.75" x14ac:dyDescent="0.3">
      <c r="A26" s="114" t="s">
        <v>47</v>
      </c>
      <c r="B26" s="115" t="s">
        <v>48</v>
      </c>
      <c r="C26" s="116" t="s">
        <v>49</v>
      </c>
      <c r="D26" s="2" t="s">
        <v>38</v>
      </c>
      <c r="E26" s="2">
        <v>1</v>
      </c>
      <c r="F26" s="2" t="s">
        <v>37</v>
      </c>
      <c r="H26" s="64"/>
      <c r="I26" s="16"/>
      <c r="J26" s="102"/>
    </row>
    <row r="27" spans="1:10" s="60" customFormat="1" ht="18.75" x14ac:dyDescent="0.3">
      <c r="A27" s="114" t="s">
        <v>50</v>
      </c>
      <c r="B27" s="115" t="s">
        <v>51</v>
      </c>
      <c r="C27" s="116" t="s">
        <v>52</v>
      </c>
      <c r="D27" s="2" t="s">
        <v>38</v>
      </c>
      <c r="E27" s="110">
        <v>1</v>
      </c>
      <c r="F27" s="111" t="s">
        <v>37</v>
      </c>
      <c r="H27" s="64"/>
      <c r="I27" s="16"/>
    </row>
    <row r="28" spans="1:10" ht="18.75" x14ac:dyDescent="0.3">
      <c r="A28" s="27"/>
      <c r="B28" s="1"/>
      <c r="C28" s="23"/>
      <c r="D28" s="112"/>
      <c r="E28" s="113"/>
      <c r="F28" s="113"/>
      <c r="G28" s="91"/>
      <c r="H28" s="66"/>
      <c r="I28" s="16"/>
    </row>
    <row r="29" spans="1:10" ht="18.75" x14ac:dyDescent="0.3">
      <c r="A29" s="61"/>
      <c r="B29" s="62"/>
      <c r="C29" s="79"/>
      <c r="D29" s="82"/>
      <c r="E29" s="83"/>
      <c r="F29" s="83"/>
      <c r="G29" s="69"/>
      <c r="H29" s="66"/>
      <c r="I29" s="16"/>
      <c r="J29" s="102"/>
    </row>
    <row r="30" spans="1:10" ht="18.75" x14ac:dyDescent="0.3">
      <c r="A30" s="67"/>
      <c r="B30" s="92"/>
      <c r="C30" s="89"/>
      <c r="D30" s="67"/>
      <c r="E30" s="67"/>
      <c r="F30" s="93"/>
      <c r="G30" s="63"/>
      <c r="H30" s="94"/>
      <c r="I30" s="16"/>
    </row>
    <row r="31" spans="1:10" ht="18.75" x14ac:dyDescent="0.3">
      <c r="A31" s="95"/>
      <c r="B31" s="96"/>
      <c r="C31" s="97"/>
      <c r="D31" s="62"/>
      <c r="E31" s="63"/>
      <c r="F31" s="98"/>
      <c r="G31" s="63"/>
      <c r="H31" s="94"/>
      <c r="I31" s="16"/>
    </row>
    <row r="32" spans="1:10" ht="16.149999999999999" customHeight="1" x14ac:dyDescent="0.25">
      <c r="A32" s="52"/>
      <c r="B32" s="52"/>
      <c r="C32" s="53"/>
      <c r="D32" s="54"/>
      <c r="E32" s="52"/>
      <c r="F32" s="55"/>
      <c r="G32" s="56"/>
      <c r="H32" s="50"/>
      <c r="I32" s="16"/>
    </row>
    <row r="33" spans="1:11" ht="15.75" x14ac:dyDescent="0.25">
      <c r="A33" s="57"/>
      <c r="B33" s="57"/>
      <c r="C33" s="58"/>
      <c r="D33" s="17"/>
      <c r="E33" s="57"/>
      <c r="F33" s="4"/>
      <c r="G33" s="51"/>
      <c r="H33" s="59"/>
      <c r="I33" s="16"/>
    </row>
    <row r="34" spans="1:11" ht="17.25" x14ac:dyDescent="0.3">
      <c r="A34" s="20"/>
      <c r="B34" s="21"/>
      <c r="C34" s="22"/>
      <c r="D34" s="23"/>
      <c r="E34" s="24"/>
      <c r="F34" s="24"/>
      <c r="G34" s="19"/>
      <c r="H34" s="2"/>
      <c r="I34" s="16"/>
    </row>
    <row r="35" spans="1:11" ht="15.75" x14ac:dyDescent="0.25">
      <c r="A35" s="21"/>
      <c r="B35" s="25"/>
      <c r="C35" s="26"/>
      <c r="D35" s="1"/>
      <c r="E35" s="27"/>
      <c r="F35" s="18"/>
      <c r="G35" s="19"/>
      <c r="H35" s="3"/>
      <c r="I35" s="16"/>
    </row>
    <row r="36" spans="1:11" ht="15.75" x14ac:dyDescent="0.25">
      <c r="A36" s="28"/>
      <c r="B36" s="29"/>
      <c r="C36" s="30"/>
      <c r="D36" s="3"/>
      <c r="E36" s="3"/>
      <c r="F36" s="31"/>
      <c r="G36" s="3"/>
      <c r="H36" s="3"/>
      <c r="I36" s="16"/>
    </row>
    <row r="37" spans="1:11" ht="18" thickBot="1" x14ac:dyDescent="0.35">
      <c r="A37" s="32"/>
      <c r="B37" s="33"/>
      <c r="C37" s="34"/>
      <c r="D37" s="34"/>
      <c r="E37" s="35"/>
      <c r="F37" s="36"/>
      <c r="G37" s="34"/>
      <c r="H37" s="34"/>
      <c r="I37" s="37"/>
      <c r="K37" s="102"/>
    </row>
    <row r="38" spans="1:11" ht="18" thickBot="1" x14ac:dyDescent="0.35">
      <c r="A38" s="38"/>
      <c r="B38" s="39"/>
      <c r="C38" s="40"/>
      <c r="D38" s="41" t="s">
        <v>13</v>
      </c>
      <c r="E38" s="42" t="s">
        <v>12</v>
      </c>
      <c r="F38" s="43"/>
      <c r="G38" s="40"/>
      <c r="H38" s="40"/>
      <c r="I38" s="44"/>
      <c r="J38" s="102"/>
    </row>
    <row r="39" spans="1:11" ht="17.25" x14ac:dyDescent="0.3">
      <c r="A39" s="308" t="s">
        <v>11</v>
      </c>
      <c r="B39" s="309"/>
      <c r="C39" s="310"/>
      <c r="D39" s="45">
        <v>5000</v>
      </c>
      <c r="E39" s="46" t="s">
        <v>1</v>
      </c>
      <c r="F39" s="311" t="s">
        <v>10</v>
      </c>
      <c r="G39" s="311"/>
      <c r="H39" s="296"/>
      <c r="I39" s="297"/>
      <c r="J39">
        <f>5000/349</f>
        <v>14.326647564469914</v>
      </c>
    </row>
    <row r="40" spans="1:11" ht="17.25" x14ac:dyDescent="0.3">
      <c r="A40" s="312" t="s">
        <v>9</v>
      </c>
      <c r="B40" s="313"/>
      <c r="C40" s="314"/>
      <c r="D40" s="47">
        <v>10</v>
      </c>
      <c r="E40" s="47" t="s">
        <v>8</v>
      </c>
      <c r="F40" s="315" t="s">
        <v>7</v>
      </c>
      <c r="G40" s="315"/>
      <c r="H40" s="316"/>
      <c r="I40" s="317"/>
    </row>
    <row r="41" spans="1:11" ht="17.25" x14ac:dyDescent="0.3">
      <c r="A41" s="312" t="s">
        <v>6</v>
      </c>
      <c r="B41" s="313"/>
      <c r="C41" s="314"/>
      <c r="D41" s="47">
        <v>1</v>
      </c>
      <c r="E41" s="47" t="s">
        <v>56</v>
      </c>
      <c r="F41" s="315" t="s">
        <v>5</v>
      </c>
      <c r="G41" s="315"/>
      <c r="H41" s="316"/>
      <c r="I41" s="317"/>
    </row>
    <row r="42" spans="1:11" ht="17.25" x14ac:dyDescent="0.3">
      <c r="A42" s="312" t="s">
        <v>4</v>
      </c>
      <c r="B42" s="313"/>
      <c r="C42" s="314"/>
      <c r="D42" s="47">
        <v>360</v>
      </c>
      <c r="E42" s="47" t="s">
        <v>1</v>
      </c>
      <c r="F42" s="318" t="s">
        <v>3</v>
      </c>
      <c r="G42" s="319"/>
      <c r="H42" s="316"/>
      <c r="I42" s="317"/>
    </row>
    <row r="43" spans="1:11" ht="18" thickBot="1" x14ac:dyDescent="0.35">
      <c r="A43" s="320" t="s">
        <v>2</v>
      </c>
      <c r="B43" s="321"/>
      <c r="C43" s="322"/>
      <c r="D43" s="48">
        <f>SUM(E10:E11)-D39</f>
        <v>2331.84</v>
      </c>
      <c r="E43" s="49" t="s">
        <v>1</v>
      </c>
      <c r="F43" s="332"/>
      <c r="G43" s="332"/>
      <c r="H43" s="333"/>
      <c r="I43" s="334"/>
    </row>
    <row r="44" spans="1:11" ht="16.5" thickBot="1" x14ac:dyDescent="0.3">
      <c r="A44" s="323" t="s">
        <v>0</v>
      </c>
      <c r="B44" s="324"/>
      <c r="C44" s="324"/>
      <c r="D44" s="324"/>
      <c r="E44" s="324"/>
      <c r="F44" s="324"/>
      <c r="G44" s="324"/>
      <c r="H44" s="324"/>
      <c r="I44" s="325"/>
    </row>
    <row r="45" spans="1:11" ht="20.45" customHeight="1" x14ac:dyDescent="0.25">
      <c r="A45" s="335" t="s">
        <v>57</v>
      </c>
      <c r="B45" s="336"/>
      <c r="C45" s="336"/>
      <c r="D45" s="336"/>
      <c r="E45" s="336"/>
      <c r="F45" s="336"/>
      <c r="G45" s="336"/>
      <c r="H45" s="336"/>
      <c r="I45" s="337"/>
    </row>
    <row r="46" spans="1:11" ht="22.9" customHeight="1" x14ac:dyDescent="0.25">
      <c r="A46" s="338" t="s">
        <v>58</v>
      </c>
      <c r="B46" s="338"/>
      <c r="C46" s="338"/>
      <c r="D46" s="338"/>
      <c r="E46" s="338"/>
      <c r="F46" s="338"/>
      <c r="G46" s="338"/>
      <c r="H46" s="338"/>
      <c r="I46" s="338"/>
    </row>
    <row r="47" spans="1:11" ht="19.899999999999999" customHeight="1" x14ac:dyDescent="0.25">
      <c r="A47" s="339" t="s">
        <v>59</v>
      </c>
      <c r="B47" s="339"/>
      <c r="C47" s="339"/>
      <c r="D47" s="339"/>
      <c r="E47" s="339"/>
      <c r="F47" s="339"/>
      <c r="G47" s="339"/>
      <c r="H47" s="339"/>
      <c r="I47" s="339"/>
    </row>
    <row r="48" spans="1:11" ht="20.45" customHeight="1" x14ac:dyDescent="0.25">
      <c r="A48" s="339" t="s">
        <v>60</v>
      </c>
      <c r="B48" s="339"/>
      <c r="C48" s="339"/>
      <c r="D48" s="339"/>
      <c r="E48" s="339"/>
      <c r="F48" s="339"/>
      <c r="G48" s="339"/>
      <c r="H48" s="339"/>
      <c r="I48" s="339"/>
    </row>
    <row r="49" spans="1:9" ht="20.45" customHeight="1" x14ac:dyDescent="0.25">
      <c r="A49" s="340"/>
      <c r="B49" s="340"/>
      <c r="C49" s="340"/>
      <c r="D49" s="340"/>
      <c r="E49" s="340"/>
      <c r="F49" s="340"/>
      <c r="G49" s="340"/>
      <c r="H49" s="340"/>
      <c r="I49" s="340"/>
    </row>
    <row r="50" spans="1:9" ht="20.45" customHeight="1" x14ac:dyDescent="0.25">
      <c r="A50" s="340"/>
      <c r="B50" s="340"/>
      <c r="C50" s="340"/>
      <c r="D50" s="340"/>
      <c r="E50" s="340"/>
      <c r="F50" s="340"/>
      <c r="G50" s="340"/>
      <c r="H50" s="340"/>
      <c r="I50" s="340"/>
    </row>
    <row r="51" spans="1:9" ht="19.899999999999999" customHeight="1" x14ac:dyDescent="0.25">
      <c r="A51" s="326"/>
      <c r="B51" s="327"/>
      <c r="C51" s="328"/>
      <c r="D51" s="328"/>
      <c r="E51" s="328"/>
      <c r="F51" s="328"/>
      <c r="G51" s="328"/>
      <c r="H51" s="328"/>
      <c r="I51" s="329"/>
    </row>
    <row r="52" spans="1:9" ht="18" x14ac:dyDescent="0.25">
      <c r="A52" s="341"/>
      <c r="B52" s="342"/>
      <c r="C52" s="342"/>
      <c r="D52" s="342"/>
      <c r="E52" s="342"/>
      <c r="F52" s="342"/>
      <c r="G52" s="342"/>
      <c r="H52" s="342"/>
      <c r="I52" s="343"/>
    </row>
    <row r="54" spans="1:9" ht="18" customHeight="1" x14ac:dyDescent="0.25">
      <c r="A54" s="344"/>
      <c r="B54" s="345"/>
      <c r="C54" s="346"/>
      <c r="D54" s="346"/>
      <c r="E54" s="346"/>
      <c r="F54" s="346"/>
      <c r="G54" s="346"/>
      <c r="H54" s="346"/>
      <c r="I54" s="347"/>
    </row>
    <row r="55" spans="1:9" ht="17.25" x14ac:dyDescent="0.3">
      <c r="A55" s="348"/>
      <c r="B55" s="349"/>
      <c r="C55" s="349"/>
      <c r="D55" s="349"/>
      <c r="E55" s="349"/>
      <c r="F55" s="349"/>
      <c r="G55" s="349"/>
      <c r="H55" s="349"/>
      <c r="I55" s="350"/>
    </row>
    <row r="56" spans="1:9" ht="18" thickBot="1" x14ac:dyDescent="0.35">
      <c r="A56" s="351"/>
      <c r="B56" s="352"/>
      <c r="C56" s="352"/>
      <c r="D56" s="352"/>
      <c r="E56" s="352"/>
      <c r="F56" s="352"/>
      <c r="G56" s="352"/>
      <c r="H56" s="352"/>
      <c r="I56" s="353"/>
    </row>
    <row r="57" spans="1:9" x14ac:dyDescent="0.25">
      <c r="A57" s="354" t="s">
        <v>33</v>
      </c>
      <c r="B57" s="355"/>
      <c r="C57" s="355"/>
      <c r="D57" s="355"/>
      <c r="E57" s="355"/>
      <c r="F57" s="355"/>
      <c r="G57" s="355"/>
      <c r="H57" s="355"/>
      <c r="I57" s="355"/>
    </row>
    <row r="58" spans="1:9" x14ac:dyDescent="0.25">
      <c r="A58" s="330"/>
      <c r="B58" s="331"/>
      <c r="C58" s="331"/>
      <c r="D58" s="331"/>
      <c r="E58" s="331"/>
      <c r="F58" s="331"/>
      <c r="G58" s="331"/>
      <c r="H58" s="331"/>
      <c r="I58" s="331"/>
    </row>
    <row r="59" spans="1:9" x14ac:dyDescent="0.25">
      <c r="A59" s="330"/>
      <c r="B59" s="331"/>
      <c r="C59" s="331"/>
      <c r="D59" s="331"/>
      <c r="E59" s="331"/>
      <c r="F59" s="331"/>
      <c r="G59" s="331"/>
      <c r="H59" s="331"/>
      <c r="I59" s="331"/>
    </row>
  </sheetData>
  <mergeCells count="47">
    <mergeCell ref="A51:I51"/>
    <mergeCell ref="A58:I58"/>
    <mergeCell ref="A59:I59"/>
    <mergeCell ref="F43:G43"/>
    <mergeCell ref="H43:I43"/>
    <mergeCell ref="A45:I45"/>
    <mergeCell ref="A46:I46"/>
    <mergeCell ref="A48:I48"/>
    <mergeCell ref="A50:I50"/>
    <mergeCell ref="A52:I52"/>
    <mergeCell ref="A47:I47"/>
    <mergeCell ref="A49:I49"/>
    <mergeCell ref="A54:I54"/>
    <mergeCell ref="A55:I55"/>
    <mergeCell ref="A56:I56"/>
    <mergeCell ref="A57:I57"/>
    <mergeCell ref="A42:C42"/>
    <mergeCell ref="F42:G42"/>
    <mergeCell ref="H42:I42"/>
    <mergeCell ref="A43:C43"/>
    <mergeCell ref="A44:I44"/>
    <mergeCell ref="A41:C41"/>
    <mergeCell ref="F41:G41"/>
    <mergeCell ref="H41:I41"/>
    <mergeCell ref="A40:C40"/>
    <mergeCell ref="F40:G40"/>
    <mergeCell ref="H40:I40"/>
    <mergeCell ref="H39:I39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A39:C39"/>
    <mergeCell ref="F39:G39"/>
    <mergeCell ref="I3:I5"/>
    <mergeCell ref="D4:G4"/>
    <mergeCell ref="D5:G5"/>
    <mergeCell ref="A1:B5"/>
    <mergeCell ref="C1:G1"/>
    <mergeCell ref="C2:G2"/>
    <mergeCell ref="C3:G3"/>
    <mergeCell ref="H3:H5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6D94-157B-4A93-B118-E2677C4F69EC}">
  <dimension ref="A1:Q91"/>
  <sheetViews>
    <sheetView topLeftCell="A5" workbookViewId="0">
      <selection activeCell="B55" sqref="B55:E55"/>
    </sheetView>
  </sheetViews>
  <sheetFormatPr baseColWidth="10" defaultColWidth="8.42578125" defaultRowHeight="12.75" x14ac:dyDescent="0.25"/>
  <cols>
    <col min="1" max="1" width="10" style="122" bestFit="1" customWidth="1"/>
    <col min="2" max="2" width="44.28515625" style="122" bestFit="1" customWidth="1"/>
    <col min="3" max="3" width="10.42578125" style="122" bestFit="1" customWidth="1"/>
    <col min="4" max="4" width="10.42578125" style="122" customWidth="1"/>
    <col min="5" max="5" width="11" style="122" customWidth="1"/>
    <col min="6" max="6" width="9.5703125" style="122" bestFit="1" customWidth="1"/>
    <col min="7" max="7" width="10.85546875" style="204" customWidth="1"/>
    <col min="8" max="8" width="10.42578125" style="195" bestFit="1" customWidth="1"/>
    <col min="9" max="9" width="4.5703125" style="195" customWidth="1"/>
    <col min="10" max="10" width="1.85546875" style="121" customWidth="1"/>
    <col min="11" max="11" width="7" style="122" bestFit="1" customWidth="1"/>
    <col min="12" max="12" width="6.28515625" style="122" customWidth="1"/>
    <col min="13" max="13" width="20.42578125" style="122" customWidth="1"/>
    <col min="14" max="14" width="6.42578125" style="122" bestFit="1" customWidth="1"/>
    <col min="15" max="16" width="8.42578125" style="122"/>
    <col min="17" max="17" width="3.28515625" style="122" customWidth="1"/>
    <col min="18" max="16384" width="8.42578125" style="122"/>
  </cols>
  <sheetData>
    <row r="1" spans="1:10" ht="27.75" customHeight="1" x14ac:dyDescent="0.25">
      <c r="A1" s="117"/>
      <c r="B1" s="117"/>
      <c r="C1" s="117"/>
      <c r="D1" s="117"/>
      <c r="E1" s="118" t="s">
        <v>62</v>
      </c>
      <c r="F1" s="119" t="s">
        <v>63</v>
      </c>
      <c r="G1" s="119" t="s">
        <v>64</v>
      </c>
      <c r="H1" s="119" t="s">
        <v>65</v>
      </c>
      <c r="I1" s="120"/>
    </row>
    <row r="2" spans="1:10" ht="30.75" customHeight="1" x14ac:dyDescent="0.25">
      <c r="A2" s="117"/>
      <c r="B2" s="117"/>
      <c r="C2" s="117"/>
      <c r="D2" s="117"/>
      <c r="E2" s="123">
        <f>IFERROR(O62,"")</f>
        <v>3303.2333333333336</v>
      </c>
      <c r="F2" s="123">
        <f>IFERROR(H53,"")</f>
        <v>1687.32</v>
      </c>
      <c r="G2" s="123">
        <f>IFERROR(H54,"")</f>
        <v>15.913333333333334</v>
      </c>
      <c r="H2" s="123">
        <f>IFERROR(H56,"")</f>
        <v>770</v>
      </c>
      <c r="I2" s="124"/>
    </row>
    <row r="3" spans="1:10" ht="15" customHeight="1" x14ac:dyDescent="0.25">
      <c r="A3" s="117"/>
      <c r="B3" s="117"/>
      <c r="C3" s="117"/>
      <c r="D3" s="117"/>
      <c r="E3" s="117"/>
      <c r="F3" s="125"/>
      <c r="G3" s="125"/>
      <c r="H3" s="125"/>
      <c r="I3" s="125"/>
    </row>
    <row r="4" spans="1:10" ht="24.75" customHeight="1" thickBot="1" x14ac:dyDescent="0.3">
      <c r="A4" s="382"/>
      <c r="B4" s="382"/>
      <c r="C4" s="382"/>
      <c r="D4" s="382"/>
      <c r="E4" s="382"/>
      <c r="F4" s="382"/>
      <c r="G4" s="382"/>
      <c r="H4" s="382"/>
      <c r="I4" s="126"/>
    </row>
    <row r="5" spans="1:10" ht="19.5" customHeight="1" thickBot="1" x14ac:dyDescent="0.3">
      <c r="A5" s="383" t="s">
        <v>66</v>
      </c>
      <c r="B5" s="384"/>
      <c r="C5" s="384"/>
      <c r="D5" s="384"/>
      <c r="E5" s="384"/>
      <c r="F5" s="384"/>
      <c r="G5" s="384"/>
      <c r="H5" s="385"/>
      <c r="I5" s="127"/>
    </row>
    <row r="6" spans="1:10" ht="19.5" thickBot="1" x14ac:dyDescent="0.3">
      <c r="A6" s="127"/>
      <c r="B6" s="127"/>
      <c r="C6" s="127"/>
      <c r="D6" s="127"/>
      <c r="E6" s="127"/>
      <c r="F6" s="386" t="s">
        <v>67</v>
      </c>
      <c r="G6" s="386"/>
      <c r="H6" s="128">
        <f ca="1">TODAY()</f>
        <v>46069</v>
      </c>
      <c r="I6" s="128"/>
    </row>
    <row r="7" spans="1:10" ht="26.25" thickBot="1" x14ac:dyDescent="0.3">
      <c r="A7" s="129" t="s">
        <v>68</v>
      </c>
      <c r="B7" s="130" t="s">
        <v>69</v>
      </c>
      <c r="C7" s="130" t="s">
        <v>68</v>
      </c>
      <c r="D7" s="131" t="s">
        <v>70</v>
      </c>
      <c r="E7" s="131" t="s">
        <v>71</v>
      </c>
      <c r="F7" s="131" t="s">
        <v>72</v>
      </c>
      <c r="G7" s="131" t="s">
        <v>73</v>
      </c>
      <c r="H7" s="132" t="s">
        <v>74</v>
      </c>
      <c r="I7" s="133"/>
    </row>
    <row r="8" spans="1:10" ht="13.5" x14ac:dyDescent="0.25">
      <c r="A8" s="134">
        <v>3924</v>
      </c>
      <c r="B8" s="122" t="s">
        <v>55</v>
      </c>
      <c r="C8" s="135">
        <f>+A8</f>
        <v>3924</v>
      </c>
      <c r="D8" s="136" t="s">
        <v>113</v>
      </c>
      <c r="E8" s="136">
        <v>0.43</v>
      </c>
      <c r="F8" s="136">
        <f>IFERROR(C8*E8,"")</f>
        <v>1687.32</v>
      </c>
      <c r="G8" s="137">
        <f t="shared" ref="G8:G14" si="0">IFERROR(F8/$F$66,"")</f>
        <v>0.67304891920945187</v>
      </c>
      <c r="H8" s="138"/>
      <c r="I8" s="138"/>
      <c r="J8" s="139"/>
    </row>
    <row r="9" spans="1:10" ht="13.5" hidden="1" x14ac:dyDescent="0.25">
      <c r="A9" s="134"/>
      <c r="B9" s="122" t="str">
        <f>IFERROR(VLOOKUP(H9,'[1]Consolidado MP Planta'!$A$2:$M$823,3,0),"")</f>
        <v/>
      </c>
      <c r="C9" s="135">
        <f t="shared" ref="C9:C14" si="1">+A9</f>
        <v>0</v>
      </c>
      <c r="D9" s="136" t="str">
        <f>IFERROR(VLOOKUP(H9,'[1]Consolidado MP Planta'!$A$2:$M$823,13,0),"")</f>
        <v/>
      </c>
      <c r="E9" s="136" t="str">
        <f>IFERROR(VLOOKUP(H9,'[1]Consolidado MP Planta'!$A$2:$M$823,12,0),"")</f>
        <v/>
      </c>
      <c r="F9" s="136" t="str">
        <f t="shared" ref="F9:F14" si="2">IFERROR(C9*E9,"")</f>
        <v/>
      </c>
      <c r="G9" s="137" t="str">
        <f t="shared" si="0"/>
        <v/>
      </c>
      <c r="H9" s="138"/>
      <c r="I9" s="138"/>
      <c r="J9" s="139"/>
    </row>
    <row r="10" spans="1:10" ht="13.5" hidden="1" x14ac:dyDescent="0.25">
      <c r="A10" s="134"/>
      <c r="B10" s="122" t="str">
        <f>IFERROR(VLOOKUP(H10,'[1]Consolidado MP Planta'!$A$2:$M$823,3,0),"")</f>
        <v/>
      </c>
      <c r="C10" s="135">
        <f t="shared" si="1"/>
        <v>0</v>
      </c>
      <c r="D10" s="136" t="str">
        <f>IFERROR(VLOOKUP(H10,'[1]Consolidado MP Planta'!$A$2:$M$823,13,0),"")</f>
        <v/>
      </c>
      <c r="E10" s="136" t="str">
        <f>IFERROR(VLOOKUP(H10,'[1]Consolidado MP Planta'!$A$2:$M$823,12,0),"")</f>
        <v/>
      </c>
      <c r="F10" s="136" t="str">
        <f t="shared" si="2"/>
        <v/>
      </c>
      <c r="G10" s="137" t="str">
        <f t="shared" si="0"/>
        <v/>
      </c>
      <c r="H10" s="138"/>
      <c r="I10" s="138"/>
      <c r="J10" s="139"/>
    </row>
    <row r="11" spans="1:10" ht="13.5" hidden="1" x14ac:dyDescent="0.25">
      <c r="A11" s="134"/>
      <c r="B11" s="122" t="str">
        <f>IFERROR(VLOOKUP(H11,'[1]Consolidado MP Planta'!$A$2:$M$823,3,0),"")</f>
        <v/>
      </c>
      <c r="C11" s="135">
        <f t="shared" si="1"/>
        <v>0</v>
      </c>
      <c r="D11" s="136" t="str">
        <f>IFERROR(VLOOKUP(H11,'[1]Consolidado MP Planta'!$A$2:$M$823,13,0),"")</f>
        <v/>
      </c>
      <c r="E11" s="136" t="str">
        <f>IFERROR(VLOOKUP(H11,'[1]Consolidado MP Planta'!$A$2:$M$823,12,0),"")</f>
        <v/>
      </c>
      <c r="F11" s="136" t="str">
        <f t="shared" si="2"/>
        <v/>
      </c>
      <c r="G11" s="137" t="str">
        <f t="shared" si="0"/>
        <v/>
      </c>
      <c r="H11" s="138"/>
      <c r="I11" s="138"/>
      <c r="J11" s="139"/>
    </row>
    <row r="12" spans="1:10" ht="13.5" hidden="1" x14ac:dyDescent="0.25">
      <c r="A12" s="134"/>
      <c r="B12" s="122" t="str">
        <f>IFERROR(VLOOKUP(H12,'[1]Consolidado MP Planta'!$A$2:$M$823,3,0),"")</f>
        <v/>
      </c>
      <c r="C12" s="135">
        <f t="shared" si="1"/>
        <v>0</v>
      </c>
      <c r="D12" s="136" t="str">
        <f>IFERROR(VLOOKUP(H12,'[1]Consolidado MP Planta'!$A$2:$M$823,13,0),"")</f>
        <v/>
      </c>
      <c r="E12" s="136" t="str">
        <f>IFERROR(VLOOKUP(H12,'[1]Consolidado MP Planta'!$A$2:$M$823,12,0),"")</f>
        <v/>
      </c>
      <c r="F12" s="136" t="str">
        <f t="shared" si="2"/>
        <v/>
      </c>
      <c r="G12" s="137" t="str">
        <f t="shared" si="0"/>
        <v/>
      </c>
      <c r="H12" s="138"/>
      <c r="I12" s="138"/>
      <c r="J12" s="139"/>
    </row>
    <row r="13" spans="1:10" ht="13.5" hidden="1" x14ac:dyDescent="0.25">
      <c r="A13" s="134"/>
      <c r="B13" s="122" t="str">
        <f>IFERROR(VLOOKUP(H13,'[1]Consolidado MP Planta'!$A$2:$M$823,3,0),"")</f>
        <v/>
      </c>
      <c r="C13" s="135">
        <f t="shared" si="1"/>
        <v>0</v>
      </c>
      <c r="D13" s="136" t="str">
        <f>IFERROR(VLOOKUP(H13,'[1]Consolidado MP Planta'!$A$2:$M$823,13,0),"")</f>
        <v/>
      </c>
      <c r="E13" s="136" t="str">
        <f>IFERROR(VLOOKUP(H13,'[1]Consolidado MP Planta'!$A$2:$M$823,12,0),"")</f>
        <v/>
      </c>
      <c r="F13" s="136" t="str">
        <f t="shared" si="2"/>
        <v/>
      </c>
      <c r="G13" s="137" t="str">
        <f t="shared" si="0"/>
        <v/>
      </c>
      <c r="H13" s="138"/>
      <c r="I13" s="138"/>
      <c r="J13" s="139"/>
    </row>
    <row r="14" spans="1:10" ht="13.5" hidden="1" x14ac:dyDescent="0.25">
      <c r="A14" s="134"/>
      <c r="B14" s="122" t="str">
        <f>IFERROR(VLOOKUP(H14,'[1]Consolidado MP Planta'!$A$2:$M$823,3,0),"")</f>
        <v/>
      </c>
      <c r="C14" s="135">
        <f t="shared" si="1"/>
        <v>0</v>
      </c>
      <c r="D14" s="136" t="str">
        <f>IFERROR(VLOOKUP(H14,'[1]Consolidado MP Planta'!$A$2:$M$823,13,0),"")</f>
        <v/>
      </c>
      <c r="E14" s="136" t="str">
        <f>IFERROR(VLOOKUP(H14,'[1]Consolidado MP Planta'!$A$2:$M$823,12,0),"")</f>
        <v/>
      </c>
      <c r="F14" s="136" t="str">
        <f t="shared" si="2"/>
        <v/>
      </c>
      <c r="G14" s="137" t="str">
        <f t="shared" si="0"/>
        <v/>
      </c>
      <c r="H14" s="138"/>
      <c r="I14" s="138"/>
      <c r="J14" s="139"/>
    </row>
    <row r="15" spans="1:10" ht="14.25" thickBot="1" x14ac:dyDescent="0.3">
      <c r="A15" s="134"/>
      <c r="B15" s="122" t="str">
        <f>IFERROR(VLOOKUP(H15,[2]Hoja2!$A$2:$G$589,2,0),"")</f>
        <v/>
      </c>
      <c r="C15" s="135"/>
      <c r="D15" s="136"/>
      <c r="E15" s="136"/>
      <c r="F15" s="136"/>
      <c r="G15" s="137"/>
      <c r="H15" s="138"/>
      <c r="I15" s="138"/>
      <c r="J15" s="139"/>
    </row>
    <row r="16" spans="1:10" ht="26.25" hidden="1" thickBot="1" x14ac:dyDescent="0.3">
      <c r="A16" s="129" t="s">
        <v>68</v>
      </c>
      <c r="B16" s="130" t="s">
        <v>75</v>
      </c>
      <c r="C16" s="130" t="s">
        <v>68</v>
      </c>
      <c r="D16" s="131" t="s">
        <v>70</v>
      </c>
      <c r="E16" s="131" t="s">
        <v>71</v>
      </c>
      <c r="F16" s="131" t="s">
        <v>72</v>
      </c>
      <c r="G16" s="131" t="s">
        <v>73</v>
      </c>
      <c r="H16" s="132" t="s">
        <v>74</v>
      </c>
      <c r="I16" s="133"/>
      <c r="J16" s="139"/>
    </row>
    <row r="17" spans="1:12" ht="13.5" hidden="1" x14ac:dyDescent="0.25">
      <c r="A17" s="134"/>
      <c r="B17" s="122" t="str">
        <f>IFERROR(VLOOKUP(H17,[1]SEMIELABORADOS!$A$2:$M$6000,2,0),"")</f>
        <v/>
      </c>
      <c r="C17" s="135">
        <f>+A17</f>
        <v>0</v>
      </c>
      <c r="D17" s="135" t="str">
        <f>IFERROR(VLOOKUP(H17,[1]SEMIELABORADOS!$A$2:$M$6000,6,0),"")</f>
        <v/>
      </c>
      <c r="E17" s="136" t="str">
        <f>IFERROR(VLOOKUP(H17,[1]SEMIELABORADOS!$A$2:$H$65536,8,0),"")</f>
        <v/>
      </c>
      <c r="F17" s="136" t="str">
        <f>IFERROR(E17*C17,"")</f>
        <v/>
      </c>
      <c r="G17" s="137" t="str">
        <f t="shared" ref="G17:G24" si="3">IFERROR(F17/$F$66,"")</f>
        <v/>
      </c>
      <c r="H17" s="138"/>
      <c r="I17" s="138"/>
      <c r="J17" s="139"/>
    </row>
    <row r="18" spans="1:12" ht="13.5" hidden="1" x14ac:dyDescent="0.25">
      <c r="A18" s="134"/>
      <c r="B18" s="122" t="str">
        <f>IFERROR(VLOOKUP(H18,[1]SEMIELABORADOS!$A$2:$M$6000,2,0),"")</f>
        <v/>
      </c>
      <c r="C18" s="135">
        <f t="shared" ref="C18:C24" si="4">+A18</f>
        <v>0</v>
      </c>
      <c r="D18" s="135" t="str">
        <f>IFERROR(VLOOKUP(H18,[1]SEMIELABORADOS!$A$2:$M$6000,6,0),"")</f>
        <v/>
      </c>
      <c r="E18" s="136" t="str">
        <f>IFERROR(VLOOKUP(H18,[1]SEMIELABORADOS!$A$2:$H$65536,8,0),"")</f>
        <v/>
      </c>
      <c r="F18" s="136" t="str">
        <f t="shared" ref="F18:F24" si="5">IFERROR(E18*C18,"")</f>
        <v/>
      </c>
      <c r="G18" s="137" t="str">
        <f t="shared" si="3"/>
        <v/>
      </c>
      <c r="H18" s="138"/>
      <c r="I18" s="138"/>
      <c r="J18" s="139"/>
    </row>
    <row r="19" spans="1:12" ht="13.5" hidden="1" x14ac:dyDescent="0.25">
      <c r="A19" s="134"/>
      <c r="B19" s="122" t="str">
        <f>IFERROR(VLOOKUP(H19,[1]SEMIELABORADOS!$A$2:$M$6000,2,0),"")</f>
        <v/>
      </c>
      <c r="C19" s="135">
        <f>+A19</f>
        <v>0</v>
      </c>
      <c r="D19" s="135" t="str">
        <f>IFERROR(VLOOKUP(H19,[1]SEMIELABORADOS!$A$2:$M$6000,6,0),"")</f>
        <v/>
      </c>
      <c r="E19" s="136" t="str">
        <f>IFERROR(VLOOKUP(H19,[1]SEMIELABORADOS!$A$2:$H$65536,8,0),"")</f>
        <v/>
      </c>
      <c r="F19" s="136" t="str">
        <f>IFERROR(E19*C19,"")</f>
        <v/>
      </c>
      <c r="G19" s="137" t="str">
        <f t="shared" si="3"/>
        <v/>
      </c>
      <c r="H19" s="138"/>
      <c r="I19" s="138"/>
      <c r="J19" s="139"/>
    </row>
    <row r="20" spans="1:12" ht="13.5" hidden="1" x14ac:dyDescent="0.25">
      <c r="A20" s="134"/>
      <c r="B20" s="122" t="str">
        <f>IFERROR(VLOOKUP(H20,[1]SEMIELABORADOS!$A$2:$M$6000,2,0),"")</f>
        <v/>
      </c>
      <c r="C20" s="135">
        <f>+A20</f>
        <v>0</v>
      </c>
      <c r="D20" s="135" t="str">
        <f>IFERROR(VLOOKUP(H20,[1]SEMIELABORADOS!$A$2:$M$6000,6,0),"")</f>
        <v/>
      </c>
      <c r="E20" s="136" t="str">
        <f>IFERROR(VLOOKUP(H20,[1]SEMIELABORADOS!$A$2:$H$65536,8,0),"")</f>
        <v/>
      </c>
      <c r="F20" s="136" t="str">
        <f>IFERROR(E20*C20,"")</f>
        <v/>
      </c>
      <c r="G20" s="137" t="str">
        <f t="shared" si="3"/>
        <v/>
      </c>
      <c r="H20" s="138"/>
      <c r="I20" s="138"/>
      <c r="J20" s="139"/>
    </row>
    <row r="21" spans="1:12" ht="13.5" hidden="1" x14ac:dyDescent="0.25">
      <c r="A21" s="134"/>
      <c r="B21" s="122" t="str">
        <f>IFERROR(VLOOKUP(H21,[1]SEMIELABORADOS!$A$2:$M$6000,2,0),"")</f>
        <v/>
      </c>
      <c r="C21" s="135">
        <f>+A21</f>
        <v>0</v>
      </c>
      <c r="D21" s="135" t="str">
        <f>IFERROR(VLOOKUP(H21,[1]SEMIELABORADOS!$A$2:$M$6000,6,0),"")</f>
        <v/>
      </c>
      <c r="E21" s="136" t="str">
        <f>IFERROR(VLOOKUP(H21,[1]SEMIELABORADOS!$A$2:$H$65536,8,0),"")</f>
        <v/>
      </c>
      <c r="F21" s="136" t="str">
        <f>IFERROR(E21*C21,"")</f>
        <v/>
      </c>
      <c r="G21" s="137" t="str">
        <f t="shared" si="3"/>
        <v/>
      </c>
      <c r="H21" s="138"/>
      <c r="I21" s="138"/>
      <c r="J21" s="139"/>
    </row>
    <row r="22" spans="1:12" ht="13.5" hidden="1" x14ac:dyDescent="0.25">
      <c r="A22" s="134"/>
      <c r="B22" s="122" t="str">
        <f>IFERROR(VLOOKUP(H22,[1]SEMIELABORADOS!$A$2:$M$6000,2,0),"")</f>
        <v/>
      </c>
      <c r="C22" s="135">
        <f t="shared" si="4"/>
        <v>0</v>
      </c>
      <c r="D22" s="135" t="str">
        <f>IFERROR(VLOOKUP(H22,[1]SEMIELABORADOS!$A$2:$M$6000,6,0),"")</f>
        <v/>
      </c>
      <c r="E22" s="136" t="str">
        <f>IFERROR(VLOOKUP(H22,[1]SEMIELABORADOS!$A$2:$H$65536,8,0),"")</f>
        <v/>
      </c>
      <c r="F22" s="136" t="str">
        <f t="shared" si="5"/>
        <v/>
      </c>
      <c r="G22" s="137" t="str">
        <f t="shared" si="3"/>
        <v/>
      </c>
      <c r="H22" s="138"/>
      <c r="I22" s="138"/>
      <c r="J22" s="139"/>
    </row>
    <row r="23" spans="1:12" ht="13.5" hidden="1" x14ac:dyDescent="0.25">
      <c r="A23" s="134"/>
      <c r="B23" s="122" t="str">
        <f>IFERROR(VLOOKUP(H23,[1]SEMIELABORADOS!$A$2:$M$6000,2,0),"")</f>
        <v/>
      </c>
      <c r="C23" s="135">
        <f t="shared" si="4"/>
        <v>0</v>
      </c>
      <c r="D23" s="135" t="str">
        <f>IFERROR(VLOOKUP(H23,[1]SEMIELABORADOS!$A$2:$M$6000,6,0),"")</f>
        <v/>
      </c>
      <c r="E23" s="136" t="str">
        <f>IFERROR(VLOOKUP(H23,[1]SEMIELABORADOS!$A$2:$H$65536,8,0),"")</f>
        <v/>
      </c>
      <c r="F23" s="136" t="str">
        <f t="shared" si="5"/>
        <v/>
      </c>
      <c r="G23" s="137" t="str">
        <f t="shared" si="3"/>
        <v/>
      </c>
      <c r="H23" s="138"/>
      <c r="I23" s="138"/>
      <c r="J23" s="139"/>
    </row>
    <row r="24" spans="1:12" ht="13.5" hidden="1" x14ac:dyDescent="0.25">
      <c r="A24" s="134"/>
      <c r="B24" s="122" t="str">
        <f>IFERROR(VLOOKUP(H24,[1]SEMIELABORADOS!$A$2:$M$6000,2,0),"")</f>
        <v/>
      </c>
      <c r="C24" s="135">
        <f t="shared" si="4"/>
        <v>0</v>
      </c>
      <c r="D24" s="135" t="str">
        <f>IFERROR(VLOOKUP(H24,[1]SEMIELABORADOS!$A$2:$M$6000,6,0),"")</f>
        <v/>
      </c>
      <c r="E24" s="136" t="str">
        <f>IFERROR(VLOOKUP(H24,[1]SEMIELABORADOS!$A$2:$H$65536,8,0),"")</f>
        <v/>
      </c>
      <c r="F24" s="136" t="str">
        <f t="shared" si="5"/>
        <v/>
      </c>
      <c r="G24" s="137" t="str">
        <f t="shared" si="3"/>
        <v/>
      </c>
      <c r="H24" s="138"/>
      <c r="I24" s="138"/>
      <c r="J24" s="139"/>
    </row>
    <row r="25" spans="1:12" ht="14.25" hidden="1" thickBot="1" x14ac:dyDescent="0.3">
      <c r="A25" s="134"/>
      <c r="C25" s="135"/>
      <c r="D25" s="135"/>
      <c r="E25" s="136"/>
      <c r="F25" s="136"/>
      <c r="G25" s="137"/>
      <c r="H25" s="138"/>
      <c r="I25" s="138"/>
      <c r="J25" s="139"/>
    </row>
    <row r="26" spans="1:12" ht="26.25" thickBot="1" x14ac:dyDescent="0.3">
      <c r="A26" s="129" t="s">
        <v>68</v>
      </c>
      <c r="B26" s="130" t="s">
        <v>34</v>
      </c>
      <c r="C26" s="130" t="s">
        <v>68</v>
      </c>
      <c r="D26" s="131" t="s">
        <v>70</v>
      </c>
      <c r="E26" s="131" t="s">
        <v>71</v>
      </c>
      <c r="F26" s="131" t="s">
        <v>72</v>
      </c>
      <c r="G26" s="131" t="s">
        <v>73</v>
      </c>
      <c r="H26" s="132" t="s">
        <v>74</v>
      </c>
      <c r="I26" s="133"/>
    </row>
    <row r="27" spans="1:12" ht="15.75" x14ac:dyDescent="0.25">
      <c r="A27" s="134">
        <v>1</v>
      </c>
      <c r="B27" s="108" t="s">
        <v>42</v>
      </c>
      <c r="C27" s="135">
        <f t="shared" ref="C27:C32" si="6">+A27</f>
        <v>1</v>
      </c>
      <c r="D27" s="136" t="s">
        <v>114</v>
      </c>
      <c r="E27" s="136">
        <v>15</v>
      </c>
      <c r="F27" s="136">
        <f t="shared" ref="F27:F32" si="7">IFERROR(C27*E27,"")</f>
        <v>15</v>
      </c>
      <c r="G27" s="137">
        <f t="shared" ref="G27:G32" si="8">IFERROR(F27/$F$66,"")</f>
        <v>5.9832952778025375E-3</v>
      </c>
      <c r="H27" s="141" t="s">
        <v>41</v>
      </c>
      <c r="I27" s="141"/>
      <c r="J27" s="139"/>
      <c r="K27" s="376"/>
      <c r="L27" s="376"/>
    </row>
    <row r="28" spans="1:12" ht="13.5" x14ac:dyDescent="0.25">
      <c r="A28" s="134">
        <v>1</v>
      </c>
      <c r="B28" s="140" t="str">
        <f>IFERROR(VLOOKUP(H28,'[1]Consolidado MP Planta'!$A$2:$M$823,3,0),"")</f>
        <v>ETIQ.BLANCA 1 1/4 * 3/4 (UND)</v>
      </c>
      <c r="C28" s="135">
        <f t="shared" si="6"/>
        <v>1</v>
      </c>
      <c r="D28" s="136" t="str">
        <f>IFERROR(VLOOKUP(H28,'[1]Consolidado MP Planta'!$A$2:$M$823,13,0),"")</f>
        <v>Und</v>
      </c>
      <c r="E28" s="136">
        <f>IFERROR(VLOOKUP(H28,'[1]Consolidado MP Planta'!$A$2:$M$823,12,0),"")</f>
        <v>0.57999999999999996</v>
      </c>
      <c r="F28" s="136">
        <f t="shared" si="7"/>
        <v>0.57999999999999996</v>
      </c>
      <c r="G28" s="137">
        <f t="shared" si="8"/>
        <v>2.3135408407503144E-4</v>
      </c>
      <c r="H28" s="141" t="s">
        <v>47</v>
      </c>
      <c r="I28" s="141"/>
      <c r="J28" s="139"/>
      <c r="K28" s="376"/>
      <c r="L28" s="376"/>
    </row>
    <row r="29" spans="1:12" ht="13.5" x14ac:dyDescent="0.25">
      <c r="A29" s="134">
        <v>1</v>
      </c>
      <c r="B29" s="140" t="str">
        <f>IFERROR(VLOOKUP(H29,'[1]Consolidado MP Planta'!$A$2:$M$823,3,0),"")</f>
        <v>ETIQ.FECHA VENCIMIENTO VERDE (ROLLO)</v>
      </c>
      <c r="C29" s="135">
        <f t="shared" si="6"/>
        <v>1</v>
      </c>
      <c r="D29" s="136" t="str">
        <f>IFERROR(VLOOKUP(H29,'[1]Consolidado MP Planta'!$A$2:$M$823,13,0),"")</f>
        <v>Und</v>
      </c>
      <c r="E29" s="136">
        <f>IFERROR(VLOOKUP(H29,'[1]Consolidado MP Planta'!$A$2:$M$823,12,0),"")</f>
        <v>0.33333333333333331</v>
      </c>
      <c r="F29" s="136">
        <f t="shared" si="7"/>
        <v>0.33333333333333331</v>
      </c>
      <c r="G29" s="137">
        <f t="shared" si="8"/>
        <v>1.3296211728450083E-4</v>
      </c>
      <c r="H29" s="141" t="s">
        <v>50</v>
      </c>
      <c r="I29" s="141"/>
      <c r="J29" s="139"/>
      <c r="K29" s="376"/>
      <c r="L29" s="376"/>
    </row>
    <row r="30" spans="1:12" ht="13.5" hidden="1" x14ac:dyDescent="0.25">
      <c r="A30" s="134"/>
      <c r="B30" s="140" t="str">
        <f>IFERROR(VLOOKUP(H30,'[1]Consolidado MP Planta'!$A$2:$M$823,3,0),"")</f>
        <v/>
      </c>
      <c r="C30" s="135">
        <f t="shared" si="6"/>
        <v>0</v>
      </c>
      <c r="D30" s="136" t="str">
        <f>IFERROR(VLOOKUP(H30,'[1]Consolidado MP Planta'!$A$2:$M$823,13,0),"")</f>
        <v/>
      </c>
      <c r="E30" s="136" t="str">
        <f>IFERROR(VLOOKUP(H30,'[1]Consolidado MP Planta'!$A$2:$M$823,12,0),"")</f>
        <v/>
      </c>
      <c r="F30" s="136" t="str">
        <f t="shared" si="7"/>
        <v/>
      </c>
      <c r="G30" s="137" t="str">
        <f t="shared" si="8"/>
        <v/>
      </c>
      <c r="H30" s="141"/>
      <c r="I30" s="141"/>
      <c r="J30" s="139"/>
      <c r="K30" s="376"/>
      <c r="L30" s="376"/>
    </row>
    <row r="31" spans="1:12" ht="13.5" hidden="1" x14ac:dyDescent="0.25">
      <c r="A31" s="134"/>
      <c r="B31" s="140" t="str">
        <f>IFERROR(VLOOKUP(H31,'[1]Consolidado MP Planta'!$A$2:$M$823,3,0),"")</f>
        <v/>
      </c>
      <c r="C31" s="135">
        <f t="shared" si="6"/>
        <v>0</v>
      </c>
      <c r="D31" s="136" t="str">
        <f>IFERROR(VLOOKUP(H31,'[1]Consolidado MP Planta'!$A$2:$M$823,13,0),"")</f>
        <v/>
      </c>
      <c r="E31" s="136" t="str">
        <f>IFERROR(VLOOKUP(H31,'[1]Consolidado MP Planta'!$A$2:$M$823,12,0),"")</f>
        <v/>
      </c>
      <c r="F31" s="136" t="str">
        <f t="shared" si="7"/>
        <v/>
      </c>
      <c r="G31" s="137" t="str">
        <f t="shared" si="8"/>
        <v/>
      </c>
      <c r="H31" s="141"/>
      <c r="I31" s="141"/>
      <c r="J31" s="139"/>
      <c r="K31" s="142"/>
      <c r="L31" s="143"/>
    </row>
    <row r="32" spans="1:12" ht="13.5" hidden="1" x14ac:dyDescent="0.25">
      <c r="A32" s="134"/>
      <c r="B32" s="140" t="str">
        <f>IFERROR(VLOOKUP(H32,'[1]Consolidado MP Planta'!$A$2:$M$823,3,0),"")</f>
        <v/>
      </c>
      <c r="C32" s="135">
        <f t="shared" si="6"/>
        <v>0</v>
      </c>
      <c r="D32" s="136" t="str">
        <f>IFERROR(VLOOKUP(H32,'[1]Consolidado MP Planta'!$A$2:$M$823,13,0),"")</f>
        <v/>
      </c>
      <c r="E32" s="136" t="str">
        <f>IFERROR(VLOOKUP(H32,'[1]Consolidado MP Planta'!$A$2:$M$823,12,0),"")</f>
        <v/>
      </c>
      <c r="F32" s="136" t="str">
        <f t="shared" si="7"/>
        <v/>
      </c>
      <c r="G32" s="137" t="str">
        <f t="shared" si="8"/>
        <v/>
      </c>
      <c r="H32" s="141"/>
      <c r="I32" s="141"/>
      <c r="J32" s="139"/>
    </row>
    <row r="33" spans="1:13" ht="14.25" thickBot="1" x14ac:dyDescent="0.3">
      <c r="A33" s="134"/>
      <c r="B33" s="140"/>
      <c r="C33" s="135"/>
      <c r="D33" s="136"/>
      <c r="E33" s="136"/>
      <c r="F33" s="136"/>
      <c r="G33" s="137"/>
      <c r="H33" s="141"/>
      <c r="I33" s="141"/>
      <c r="J33" s="139"/>
    </row>
    <row r="34" spans="1:13" ht="26.25" hidden="1" thickBot="1" x14ac:dyDescent="0.25">
      <c r="A34" s="129" t="s">
        <v>68</v>
      </c>
      <c r="B34" s="130" t="s">
        <v>76</v>
      </c>
      <c r="C34" s="130" t="s">
        <v>68</v>
      </c>
      <c r="D34" s="131" t="s">
        <v>70</v>
      </c>
      <c r="E34" s="131" t="s">
        <v>71</v>
      </c>
      <c r="F34" s="131" t="s">
        <v>72</v>
      </c>
      <c r="G34" s="131" t="s">
        <v>73</v>
      </c>
      <c r="H34" s="132" t="s">
        <v>74</v>
      </c>
      <c r="I34" s="141"/>
      <c r="J34" s="139"/>
    </row>
    <row r="35" spans="1:13" ht="13.5" hidden="1" x14ac:dyDescent="0.25">
      <c r="A35" s="134">
        <f>+A17</f>
        <v>0</v>
      </c>
      <c r="B35" s="140" t="str">
        <f>IFERROR(VLOOKUP(H35,[1]SEMIELABORADOS!$A$2:$M$6000,2,0),"")</f>
        <v/>
      </c>
      <c r="C35" s="135">
        <f>+A35</f>
        <v>0</v>
      </c>
      <c r="D35" s="136" t="str">
        <f>IFERROR(VLOOKUP(H35,[1]SEMIELABORADOS!$A$2:$M$6000,6,0),"")</f>
        <v/>
      </c>
      <c r="E35" s="136" t="str">
        <f>IFERROR(VLOOKUP(H35,[1]SEMIELABORADOS!$A$2:$M$65536,10,0),"")</f>
        <v/>
      </c>
      <c r="F35" s="136" t="str">
        <f>IFERROR(E35*C35,"")</f>
        <v/>
      </c>
      <c r="G35" s="137" t="str">
        <f t="shared" ref="G35:G41" si="9">IFERROR(F35/$F$66,"")</f>
        <v/>
      </c>
      <c r="H35" s="141"/>
      <c r="I35" s="141"/>
      <c r="J35" s="139"/>
    </row>
    <row r="36" spans="1:13" ht="13.5" hidden="1" x14ac:dyDescent="0.25">
      <c r="A36" s="134">
        <f t="shared" ref="A36:A41" si="10">+A18</f>
        <v>0</v>
      </c>
      <c r="B36" s="140" t="str">
        <f>IFERROR(VLOOKUP(H36,[1]SEMIELABORADOS!$A$2:$M$6000,2,0),"")</f>
        <v/>
      </c>
      <c r="C36" s="135">
        <f t="shared" ref="C36:C41" si="11">+A36</f>
        <v>0</v>
      </c>
      <c r="D36" s="136" t="str">
        <f>IFERROR(VLOOKUP(H36,[1]SEMIELABORADOS!$A$2:$M$6000,6,0),"")</f>
        <v/>
      </c>
      <c r="E36" s="136" t="str">
        <f>IFERROR(VLOOKUP(H36,[1]SEMIELABORADOS!$A$2:$M$65536,10,0),"")</f>
        <v/>
      </c>
      <c r="F36" s="136" t="str">
        <f t="shared" ref="F36:F41" si="12">IFERROR(E36*C36,"")</f>
        <v/>
      </c>
      <c r="G36" s="137" t="str">
        <f t="shared" si="9"/>
        <v/>
      </c>
      <c r="H36" s="141"/>
      <c r="I36" s="141"/>
      <c r="J36" s="139"/>
    </row>
    <row r="37" spans="1:13" ht="13.5" hidden="1" x14ac:dyDescent="0.25">
      <c r="A37" s="134">
        <f t="shared" si="10"/>
        <v>0</v>
      </c>
      <c r="B37" s="140" t="str">
        <f>IFERROR(VLOOKUP(H37,[1]SEMIELABORADOS!$A$2:$M$6000,2,0),"")</f>
        <v/>
      </c>
      <c r="C37" s="135">
        <f t="shared" si="11"/>
        <v>0</v>
      </c>
      <c r="D37" s="136" t="str">
        <f>IFERROR(VLOOKUP(H37,[1]SEMIELABORADOS!$A$2:$M$6000,6,0),"")</f>
        <v/>
      </c>
      <c r="E37" s="136" t="str">
        <f>IFERROR(VLOOKUP(H37,[1]SEMIELABORADOS!$A$2:$M$65536,10,0),"")</f>
        <v/>
      </c>
      <c r="F37" s="136" t="str">
        <f t="shared" si="12"/>
        <v/>
      </c>
      <c r="G37" s="137" t="str">
        <f t="shared" si="9"/>
        <v/>
      </c>
      <c r="H37" s="141"/>
      <c r="I37" s="141"/>
      <c r="J37" s="139"/>
    </row>
    <row r="38" spans="1:13" ht="13.5" hidden="1" x14ac:dyDescent="0.25">
      <c r="A38" s="134">
        <f t="shared" si="10"/>
        <v>0</v>
      </c>
      <c r="B38" s="140" t="str">
        <f>IFERROR(VLOOKUP(H38,[1]SEMIELABORADOS!$A$2:$M$6000,2,0),"")</f>
        <v/>
      </c>
      <c r="C38" s="135">
        <f>+A38</f>
        <v>0</v>
      </c>
      <c r="D38" s="136" t="str">
        <f>IFERROR(VLOOKUP(H38,[1]SEMIELABORADOS!$A$2:$M$6000,6,0),"")</f>
        <v/>
      </c>
      <c r="E38" s="136" t="str">
        <f>IFERROR(VLOOKUP(H38,[1]SEMIELABORADOS!$A$2:$M$65536,10,0),"")</f>
        <v/>
      </c>
      <c r="F38" s="136" t="str">
        <f>IFERROR(E38*C38,"")</f>
        <v/>
      </c>
      <c r="G38" s="137" t="str">
        <f t="shared" si="9"/>
        <v/>
      </c>
      <c r="H38" s="141"/>
      <c r="I38" s="141"/>
      <c r="J38" s="139"/>
    </row>
    <row r="39" spans="1:13" ht="13.5" hidden="1" x14ac:dyDescent="0.25">
      <c r="A39" s="134">
        <f t="shared" si="10"/>
        <v>0</v>
      </c>
      <c r="B39" s="140" t="str">
        <f>IFERROR(VLOOKUP(H39,[1]SEMIELABORADOS!$A$2:$M$6000,2,0),"")</f>
        <v/>
      </c>
      <c r="C39" s="135">
        <f>+A39</f>
        <v>0</v>
      </c>
      <c r="D39" s="136" t="str">
        <f>IFERROR(VLOOKUP(H39,[1]SEMIELABORADOS!$A$2:$M$6000,6,0),"")</f>
        <v/>
      </c>
      <c r="E39" s="136" t="str">
        <f>IFERROR(VLOOKUP(H39,[1]SEMIELABORADOS!$A$2:$M$65536,10,0),"")</f>
        <v/>
      </c>
      <c r="F39" s="136" t="str">
        <f>IFERROR(E39*C39,"")</f>
        <v/>
      </c>
      <c r="G39" s="137" t="str">
        <f t="shared" si="9"/>
        <v/>
      </c>
      <c r="H39" s="141"/>
      <c r="I39" s="141"/>
      <c r="J39" s="139"/>
    </row>
    <row r="40" spans="1:13" ht="13.5" hidden="1" x14ac:dyDescent="0.25">
      <c r="A40" s="134">
        <f t="shared" si="10"/>
        <v>0</v>
      </c>
      <c r="B40" s="140" t="str">
        <f>IFERROR(VLOOKUP(H40,[1]SEMIELABORADOS!$A$2:$M$6000,2,0),"")</f>
        <v/>
      </c>
      <c r="C40" s="135">
        <f t="shared" si="11"/>
        <v>0</v>
      </c>
      <c r="D40" s="136" t="str">
        <f>IFERROR(VLOOKUP(H40,[1]SEMIELABORADOS!$A$2:$M$6000,6,0),"")</f>
        <v/>
      </c>
      <c r="E40" s="136" t="str">
        <f>IFERROR(VLOOKUP(H40,[1]SEMIELABORADOS!$A$2:$M$65536,10,0),"")</f>
        <v/>
      </c>
      <c r="F40" s="136" t="str">
        <f t="shared" si="12"/>
        <v/>
      </c>
      <c r="G40" s="137" t="str">
        <f t="shared" si="9"/>
        <v/>
      </c>
      <c r="H40" s="141"/>
      <c r="I40" s="141"/>
      <c r="J40" s="139"/>
    </row>
    <row r="41" spans="1:13" ht="13.5" hidden="1" x14ac:dyDescent="0.25">
      <c r="A41" s="134">
        <f t="shared" si="10"/>
        <v>0</v>
      </c>
      <c r="B41" s="140" t="str">
        <f>IFERROR(VLOOKUP(H41,[1]SEMIELABORADOS!$A$2:$M$6000,2,0),"")</f>
        <v/>
      </c>
      <c r="C41" s="135">
        <f t="shared" si="11"/>
        <v>0</v>
      </c>
      <c r="D41" s="136" t="str">
        <f>IFERROR(VLOOKUP(H41,[1]SEMIELABORADOS!$A$2:$M$6000,6,0),"")</f>
        <v/>
      </c>
      <c r="E41" s="136" t="str">
        <f>IFERROR(VLOOKUP(H41,[1]SEMIELABORADOS!$A$2:$M$65536,10,0),"")</f>
        <v/>
      </c>
      <c r="F41" s="136" t="str">
        <f t="shared" si="12"/>
        <v/>
      </c>
      <c r="G41" s="137" t="str">
        <f t="shared" si="9"/>
        <v/>
      </c>
      <c r="H41" s="141"/>
      <c r="I41" s="141"/>
      <c r="J41" s="139"/>
    </row>
    <row r="42" spans="1:13" ht="14.25" hidden="1" thickBot="1" x14ac:dyDescent="0.3">
      <c r="A42" s="134"/>
      <c r="B42" s="140"/>
      <c r="C42" s="135"/>
      <c r="D42" s="136"/>
      <c r="E42" s="136"/>
      <c r="F42" s="136"/>
      <c r="G42" s="137"/>
      <c r="H42" s="141"/>
      <c r="I42" s="141"/>
      <c r="J42" s="139"/>
    </row>
    <row r="43" spans="1:13" ht="26.25" thickBot="1" x14ac:dyDescent="0.3">
      <c r="A43" s="129" t="s">
        <v>68</v>
      </c>
      <c r="B43" s="130" t="s">
        <v>77</v>
      </c>
      <c r="C43" s="130" t="s">
        <v>68</v>
      </c>
      <c r="D43" s="131" t="s">
        <v>70</v>
      </c>
      <c r="E43" s="131" t="s">
        <v>71</v>
      </c>
      <c r="F43" s="131" t="s">
        <v>72</v>
      </c>
      <c r="G43" s="131" t="s">
        <v>73</v>
      </c>
      <c r="H43" s="132" t="s">
        <v>74</v>
      </c>
      <c r="I43" s="133"/>
      <c r="J43" s="139"/>
    </row>
    <row r="44" spans="1:13" ht="13.5" hidden="1" x14ac:dyDescent="0.25">
      <c r="A44" s="134">
        <f>+A35</f>
        <v>0</v>
      </c>
      <c r="B44" s="140" t="str">
        <f>IFERROR(VLOOKUP(H44,[1]SEMIELABORADOS!$A$2:$M$6000,2,0),"")</f>
        <v/>
      </c>
      <c r="C44" s="135">
        <f>+A44</f>
        <v>0</v>
      </c>
      <c r="D44" s="136" t="str">
        <f>IFERROR(VLOOKUP(H44,[1]SEMIELABORADOS!$A$2:$M$6000,6,0),"")</f>
        <v/>
      </c>
      <c r="E44" s="136" t="str">
        <f>IFERROR(VLOOKUP(H44,[1]SEMIELABORADOS!$A$2:$M$65536,12,0),"")</f>
        <v/>
      </c>
      <c r="F44" s="136" t="str">
        <f>IFERROR(E44*C44,"")</f>
        <v/>
      </c>
      <c r="G44" s="137" t="str">
        <f>IFERROR(F44/$F$66,"")</f>
        <v/>
      </c>
      <c r="H44" s="141"/>
      <c r="I44" s="133"/>
      <c r="J44" s="139"/>
    </row>
    <row r="45" spans="1:13" ht="13.5" hidden="1" x14ac:dyDescent="0.25">
      <c r="A45" s="134">
        <f t="shared" ref="A45:A50" si="13">+A36</f>
        <v>0</v>
      </c>
      <c r="B45" s="140" t="str">
        <f>IFERROR(VLOOKUP(H45,[1]SEMIELABORADOS!$A$2:$M$6000,2,0),"")</f>
        <v/>
      </c>
      <c r="C45" s="135">
        <f t="shared" ref="C45:C50" si="14">+A45</f>
        <v>0</v>
      </c>
      <c r="D45" s="136" t="str">
        <f>IFERROR(VLOOKUP(H45,[1]SEMIELABORADOS!$A$2:$M$6000,6,0),"")</f>
        <v/>
      </c>
      <c r="E45" s="136" t="str">
        <f>IFERROR(VLOOKUP(H45,[1]SEMIELABORADOS!$A$2:$M$65536,12,0),"")</f>
        <v/>
      </c>
      <c r="F45" s="136" t="str">
        <f t="shared" ref="F45:F50" si="15">IFERROR(E45*C45,"")</f>
        <v/>
      </c>
      <c r="G45" s="137" t="str">
        <f t="shared" ref="G45:G50" si="16">IFERROR(F45/$F$66,"")</f>
        <v/>
      </c>
      <c r="H45" s="141"/>
      <c r="I45" s="133"/>
      <c r="J45" s="139"/>
      <c r="M45" s="144"/>
    </row>
    <row r="46" spans="1:13" ht="13.5" hidden="1" x14ac:dyDescent="0.25">
      <c r="A46" s="134">
        <f t="shared" si="13"/>
        <v>0</v>
      </c>
      <c r="B46" s="140" t="str">
        <f>IFERROR(VLOOKUP(H46,[1]SEMIELABORADOS!$A$2:$M$6000,2,0),"")</f>
        <v/>
      </c>
      <c r="C46" s="135">
        <f t="shared" si="14"/>
        <v>0</v>
      </c>
      <c r="D46" s="136" t="str">
        <f>IFERROR(VLOOKUP(H46,[1]SEMIELABORADOS!$A$2:$M$6000,6,0),"")</f>
        <v/>
      </c>
      <c r="E46" s="136" t="str">
        <f>IFERROR(VLOOKUP(H46,[1]SEMIELABORADOS!$A$2:$M$65536,12,0),"")</f>
        <v/>
      </c>
      <c r="F46" s="136" t="str">
        <f t="shared" si="15"/>
        <v/>
      </c>
      <c r="G46" s="137" t="str">
        <f t="shared" si="16"/>
        <v/>
      </c>
      <c r="H46" s="141"/>
      <c r="I46" s="133"/>
      <c r="J46" s="139"/>
    </row>
    <row r="47" spans="1:13" ht="13.5" hidden="1" x14ac:dyDescent="0.25">
      <c r="A47" s="134">
        <f t="shared" si="13"/>
        <v>0</v>
      </c>
      <c r="B47" s="140" t="str">
        <f>IFERROR(VLOOKUP(H47,[1]SEMIELABORADOS!$A$2:$M$6000,2,0),"")</f>
        <v/>
      </c>
      <c r="C47" s="135">
        <f t="shared" si="14"/>
        <v>0</v>
      </c>
      <c r="D47" s="136" t="str">
        <f>IFERROR(VLOOKUP(H47,[1]SEMIELABORADOS!$A$2:$M$6000,6,0),"")</f>
        <v/>
      </c>
      <c r="E47" s="136" t="str">
        <f>IFERROR(VLOOKUP(H47,[1]SEMIELABORADOS!$A$2:$M$65536,12,0),"")</f>
        <v/>
      </c>
      <c r="F47" s="136" t="str">
        <f t="shared" si="15"/>
        <v/>
      </c>
      <c r="G47" s="137" t="str">
        <f t="shared" si="16"/>
        <v/>
      </c>
      <c r="H47" s="141"/>
      <c r="I47" s="133"/>
      <c r="J47" s="139"/>
    </row>
    <row r="48" spans="1:13" ht="13.5" hidden="1" x14ac:dyDescent="0.25">
      <c r="A48" s="134">
        <f t="shared" si="13"/>
        <v>0</v>
      </c>
      <c r="B48" s="140" t="str">
        <f>IFERROR(VLOOKUP(H48,[1]SEMIELABORADOS!$A$2:$M$6000,2,0),"")</f>
        <v/>
      </c>
      <c r="C48" s="135">
        <f t="shared" si="14"/>
        <v>0</v>
      </c>
      <c r="D48" s="136" t="str">
        <f>IFERROR(VLOOKUP(H48,[1]SEMIELABORADOS!$A$2:$M$6000,6,0),"")</f>
        <v/>
      </c>
      <c r="E48" s="136" t="str">
        <f>IFERROR(VLOOKUP(H48,[1]SEMIELABORADOS!$A$2:$M$65536,12,0),"")</f>
        <v/>
      </c>
      <c r="F48" s="136" t="str">
        <f t="shared" si="15"/>
        <v/>
      </c>
      <c r="G48" s="137" t="str">
        <f t="shared" si="16"/>
        <v/>
      </c>
      <c r="H48" s="141"/>
      <c r="I48" s="133"/>
      <c r="J48" s="139"/>
    </row>
    <row r="49" spans="1:17" ht="13.5" hidden="1" x14ac:dyDescent="0.25">
      <c r="A49" s="134">
        <f t="shared" si="13"/>
        <v>0</v>
      </c>
      <c r="B49" s="140" t="str">
        <f>IFERROR(VLOOKUP(H49,[1]SEMIELABORADOS!$A$2:$M$6000,2,0),"")</f>
        <v/>
      </c>
      <c r="C49" s="135">
        <f t="shared" si="14"/>
        <v>0</v>
      </c>
      <c r="D49" s="136" t="str">
        <f>IFERROR(VLOOKUP(H49,[1]SEMIELABORADOS!$A$2:$M$6000,6,0),"")</f>
        <v/>
      </c>
      <c r="E49" s="136" t="str">
        <f>IFERROR(VLOOKUP(H49,[1]SEMIELABORADOS!$A$2:$M$65536,12,0),"")</f>
        <v/>
      </c>
      <c r="F49" s="136" t="str">
        <f t="shared" si="15"/>
        <v/>
      </c>
      <c r="G49" s="137" t="str">
        <f t="shared" si="16"/>
        <v/>
      </c>
      <c r="H49" s="141"/>
      <c r="I49" s="133"/>
      <c r="J49" s="139"/>
    </row>
    <row r="50" spans="1:17" ht="13.5" hidden="1" x14ac:dyDescent="0.25">
      <c r="A50" s="134">
        <f t="shared" si="13"/>
        <v>0</v>
      </c>
      <c r="B50" s="140" t="str">
        <f>IFERROR(VLOOKUP(H50,[1]SEMIELABORADOS!$A$2:$M$6000,2,0),"")</f>
        <v/>
      </c>
      <c r="C50" s="135">
        <f t="shared" si="14"/>
        <v>0</v>
      </c>
      <c r="D50" s="136" t="str">
        <f>IFERROR(VLOOKUP(H50,[1]SEMIELABORADOS!$A$2:$M$6000,6,0),"")</f>
        <v/>
      </c>
      <c r="E50" s="136" t="str">
        <f>IFERROR(VLOOKUP(H50,[1]SEMIELABORADOS!$A$2:$M$65536,12,0),"")</f>
        <v/>
      </c>
      <c r="F50" s="136" t="str">
        <f t="shared" si="15"/>
        <v/>
      </c>
      <c r="G50" s="137" t="str">
        <f t="shared" si="16"/>
        <v/>
      </c>
      <c r="H50" s="140"/>
      <c r="I50" s="133"/>
      <c r="J50" s="139"/>
    </row>
    <row r="51" spans="1:17" ht="13.5" x14ac:dyDescent="0.25">
      <c r="A51" s="134">
        <v>1</v>
      </c>
      <c r="B51" s="140" t="s">
        <v>78</v>
      </c>
      <c r="C51" s="135">
        <f>+A51</f>
        <v>1</v>
      </c>
      <c r="D51" s="135" t="s">
        <v>79</v>
      </c>
      <c r="E51" s="136">
        <f>+F65</f>
        <v>770</v>
      </c>
      <c r="F51" s="136">
        <f>IFERROR(C51*E51,"")</f>
        <v>770</v>
      </c>
      <c r="G51" s="137">
        <f>IFERROR(F51/$F$66,"")</f>
        <v>0.30714249092719692</v>
      </c>
      <c r="H51" s="145"/>
      <c r="I51" s="145"/>
      <c r="J51" s="139"/>
    </row>
    <row r="52" spans="1:17" ht="14.25" thickBot="1" x14ac:dyDescent="0.3">
      <c r="A52" s="134"/>
      <c r="B52" s="140"/>
      <c r="C52" s="135"/>
      <c r="D52" s="135"/>
      <c r="E52" s="136"/>
      <c r="F52" s="136"/>
      <c r="G52" s="137"/>
      <c r="H52" s="145"/>
      <c r="I52" s="145"/>
      <c r="J52" s="139"/>
    </row>
    <row r="53" spans="1:17" ht="13.5" thickBot="1" x14ac:dyDescent="0.3">
      <c r="A53" s="146"/>
      <c r="B53" s="377" t="s">
        <v>80</v>
      </c>
      <c r="C53" s="377"/>
      <c r="D53" s="377"/>
      <c r="E53" s="377"/>
      <c r="F53" s="148">
        <f>SUM(F8:F14,F17:F24)</f>
        <v>1687.32</v>
      </c>
      <c r="G53" s="137">
        <f>+F53/$F$66</f>
        <v>0.67304891920945187</v>
      </c>
      <c r="H53" s="149">
        <f>+F53/$D$60</f>
        <v>1687.32</v>
      </c>
      <c r="I53" s="149"/>
      <c r="J53" s="150"/>
      <c r="K53" s="151"/>
      <c r="L53" s="151"/>
      <c r="M53" s="151"/>
      <c r="N53" s="151"/>
      <c r="O53" s="151"/>
      <c r="P53" s="151"/>
      <c r="Q53" s="152"/>
    </row>
    <row r="54" spans="1:17" x14ac:dyDescent="0.2">
      <c r="A54" s="146"/>
      <c r="B54" s="377" t="s">
        <v>81</v>
      </c>
      <c r="C54" s="377"/>
      <c r="D54" s="377"/>
      <c r="E54" s="377"/>
      <c r="F54" s="148">
        <f>SUM(F27:F32,F35:F41)</f>
        <v>15.913333333333334</v>
      </c>
      <c r="G54" s="137">
        <f>+F54/$F$66</f>
        <v>6.3476114791620707E-3</v>
      </c>
      <c r="H54" s="149">
        <f>+F54/$D$60</f>
        <v>15.913333333333334</v>
      </c>
      <c r="I54" s="149"/>
      <c r="J54" s="153"/>
      <c r="K54" s="378" t="s">
        <v>82</v>
      </c>
      <c r="L54" s="379"/>
      <c r="M54" s="379"/>
      <c r="N54" s="379"/>
      <c r="O54" s="154">
        <f>+F55</f>
        <v>1703.2333333333333</v>
      </c>
      <c r="P54" s="154"/>
      <c r="Q54" s="155"/>
    </row>
    <row r="55" spans="1:17" x14ac:dyDescent="0.2">
      <c r="A55" s="146"/>
      <c r="B55" s="377" t="s">
        <v>83</v>
      </c>
      <c r="C55" s="377"/>
      <c r="D55" s="377"/>
      <c r="E55" s="377"/>
      <c r="F55" s="148">
        <f>+F53+F54</f>
        <v>1703.2333333333333</v>
      </c>
      <c r="G55" s="137">
        <f>+F55/$F$66</f>
        <v>0.67939653068861394</v>
      </c>
      <c r="H55" s="149">
        <f>+F55/$D$60</f>
        <v>1703.2333333333333</v>
      </c>
      <c r="I55" s="149"/>
      <c r="J55" s="156"/>
      <c r="K55" s="157"/>
      <c r="M55" s="158" t="s">
        <v>84</v>
      </c>
      <c r="N55" s="159"/>
      <c r="O55" s="154">
        <f>+H56</f>
        <v>770</v>
      </c>
      <c r="P55" s="154"/>
      <c r="Q55" s="155"/>
    </row>
    <row r="56" spans="1:17" ht="13.5" thickBot="1" x14ac:dyDescent="0.25">
      <c r="A56" s="146"/>
      <c r="B56" s="147"/>
      <c r="C56" s="377" t="s">
        <v>85</v>
      </c>
      <c r="D56" s="377"/>
      <c r="E56" s="377"/>
      <c r="F56" s="148">
        <f>SUM(F44:F51)</f>
        <v>770</v>
      </c>
      <c r="G56" s="137">
        <f>+F56/$F$66</f>
        <v>0.30714249092719692</v>
      </c>
      <c r="H56" s="149">
        <f>+F56/$D$60</f>
        <v>770</v>
      </c>
      <c r="I56" s="149"/>
      <c r="J56" s="156"/>
      <c r="K56" s="157"/>
      <c r="L56" s="157"/>
      <c r="M56" s="157" t="s">
        <v>86</v>
      </c>
      <c r="N56" s="160"/>
      <c r="O56" s="154">
        <f>O54*N56</f>
        <v>0</v>
      </c>
      <c r="P56" s="154"/>
      <c r="Q56" s="155"/>
    </row>
    <row r="57" spans="1:17" ht="13.5" thickBot="1" x14ac:dyDescent="0.25">
      <c r="A57" s="146"/>
      <c r="B57" s="161"/>
      <c r="C57" s="161"/>
      <c r="D57" s="161"/>
      <c r="E57" s="161"/>
      <c r="F57" s="162"/>
      <c r="G57" s="137"/>
      <c r="H57" s="163"/>
      <c r="I57" s="149"/>
      <c r="J57" s="156"/>
      <c r="K57" s="164"/>
      <c r="M57" s="165" t="s">
        <v>87</v>
      </c>
      <c r="N57" s="166"/>
      <c r="O57" s="167">
        <f>SUM(O54:O56)</f>
        <v>2473.2333333333336</v>
      </c>
      <c r="P57" s="168"/>
      <c r="Q57" s="155"/>
    </row>
    <row r="58" spans="1:17" x14ac:dyDescent="0.2">
      <c r="B58" s="380" t="s">
        <v>88</v>
      </c>
      <c r="C58" s="380"/>
      <c r="D58" s="169">
        <v>5000</v>
      </c>
      <c r="E58" s="170"/>
      <c r="G58" s="137"/>
      <c r="H58" s="163">
        <f>+H56/77</f>
        <v>10</v>
      </c>
      <c r="I58" s="171"/>
      <c r="J58" s="156"/>
      <c r="K58" s="164"/>
      <c r="L58" s="157"/>
      <c r="M58" s="157" t="s">
        <v>89</v>
      </c>
      <c r="N58" s="172"/>
      <c r="O58" s="154">
        <f>+H59</f>
        <v>830</v>
      </c>
      <c r="P58" s="154"/>
      <c r="Q58" s="155"/>
    </row>
    <row r="59" spans="1:17" x14ac:dyDescent="0.2">
      <c r="B59" s="380" t="s">
        <v>90</v>
      </c>
      <c r="C59" s="380"/>
      <c r="D59" s="173">
        <v>5000</v>
      </c>
      <c r="E59" s="170"/>
      <c r="G59" s="137"/>
      <c r="H59" s="163">
        <f>+H58*83</f>
        <v>830</v>
      </c>
      <c r="I59" s="171"/>
      <c r="J59" s="156"/>
      <c r="K59" s="164"/>
      <c r="L59" s="157"/>
      <c r="M59" s="381" t="s">
        <v>87</v>
      </c>
      <c r="N59" s="381"/>
      <c r="O59" s="154">
        <f>SUM(O57:O58)</f>
        <v>3303.2333333333336</v>
      </c>
      <c r="P59" s="154"/>
      <c r="Q59" s="155"/>
    </row>
    <row r="60" spans="1:17" ht="13.5" thickBot="1" x14ac:dyDescent="0.25">
      <c r="B60" s="372" t="s">
        <v>91</v>
      </c>
      <c r="C60" s="372"/>
      <c r="D60" s="169">
        <f>+D58/D59</f>
        <v>1</v>
      </c>
      <c r="E60" s="170"/>
      <c r="F60" s="174"/>
      <c r="G60" s="137"/>
      <c r="H60" s="163"/>
      <c r="I60" s="171"/>
      <c r="J60" s="156"/>
      <c r="K60" s="164"/>
      <c r="L60" s="381"/>
      <c r="M60" s="381"/>
      <c r="N60" s="172"/>
      <c r="O60" s="154">
        <f>+O59*N60</f>
        <v>0</v>
      </c>
      <c r="P60" s="154"/>
      <c r="Q60" s="155"/>
    </row>
    <row r="61" spans="1:17" ht="13.5" thickBot="1" x14ac:dyDescent="0.25">
      <c r="B61" s="372" t="s">
        <v>92</v>
      </c>
      <c r="C61" s="372"/>
      <c r="D61" s="175"/>
      <c r="E61" s="170"/>
      <c r="F61" s="174"/>
      <c r="G61" s="137"/>
      <c r="H61" s="163"/>
      <c r="I61" s="171"/>
      <c r="J61" s="156"/>
      <c r="K61" s="373" t="s">
        <v>93</v>
      </c>
      <c r="L61" s="374"/>
      <c r="M61" s="374"/>
      <c r="N61" s="375"/>
      <c r="O61" s="167">
        <f>SUM(O59:O60)</f>
        <v>3303.2333333333336</v>
      </c>
      <c r="P61" s="176" t="s">
        <v>94</v>
      </c>
      <c r="Q61" s="155"/>
    </row>
    <row r="62" spans="1:17" ht="13.5" thickBot="1" x14ac:dyDescent="0.25">
      <c r="C62" s="146" t="s">
        <v>95</v>
      </c>
      <c r="D62" s="177"/>
      <c r="E62" s="120" t="s">
        <v>96</v>
      </c>
      <c r="F62" s="178" t="s">
        <v>97</v>
      </c>
      <c r="G62" s="137"/>
      <c r="H62" s="163"/>
      <c r="I62" s="171"/>
      <c r="J62" s="179"/>
      <c r="K62" s="180"/>
      <c r="L62" s="361" t="s">
        <v>98</v>
      </c>
      <c r="M62" s="361"/>
      <c r="N62" s="361"/>
      <c r="O62" s="181">
        <f>+O61/D60</f>
        <v>3303.2333333333336</v>
      </c>
      <c r="P62" s="182">
        <f>+O62/D59</f>
        <v>0.66064666666666672</v>
      </c>
      <c r="Q62" s="183"/>
    </row>
    <row r="63" spans="1:17" ht="13.5" thickBot="1" x14ac:dyDescent="0.25">
      <c r="B63" s="362" t="s">
        <v>83</v>
      </c>
      <c r="C63" s="362"/>
      <c r="D63" s="362"/>
      <c r="E63" s="184">
        <f>+F63/F63</f>
        <v>1</v>
      </c>
      <c r="F63" s="185">
        <f>SUM(F55)</f>
        <v>1703.2333333333333</v>
      </c>
      <c r="G63" s="137">
        <f>+F63/$F$66</f>
        <v>0.67939653068861394</v>
      </c>
      <c r="H63" s="163"/>
      <c r="I63" s="171"/>
      <c r="K63" s="363"/>
      <c r="L63" s="364"/>
      <c r="M63" s="364"/>
      <c r="N63" s="364"/>
      <c r="O63" s="186"/>
      <c r="P63" s="187"/>
    </row>
    <row r="64" spans="1:17" ht="13.5" thickBot="1" x14ac:dyDescent="0.3">
      <c r="B64" s="365" t="s">
        <v>99</v>
      </c>
      <c r="C64" s="365"/>
      <c r="D64" s="365"/>
      <c r="E64" s="188">
        <v>0.02</v>
      </c>
      <c r="F64" s="185">
        <f>+F53*E64</f>
        <v>33.746400000000001</v>
      </c>
      <c r="G64" s="137">
        <f>+F64/$F$66</f>
        <v>1.3460978384189038E-2</v>
      </c>
      <c r="H64" s="149"/>
      <c r="I64" s="171"/>
      <c r="J64" s="189"/>
      <c r="O64" s="190"/>
      <c r="P64" s="147"/>
    </row>
    <row r="65" spans="2:13" ht="13.5" thickBot="1" x14ac:dyDescent="0.3">
      <c r="B65" s="366" t="s">
        <v>100</v>
      </c>
      <c r="C65" s="367"/>
      <c r="D65" s="191">
        <v>10</v>
      </c>
      <c r="E65" s="192">
        <v>77</v>
      </c>
      <c r="F65" s="185">
        <f>+E65*D65</f>
        <v>770</v>
      </c>
      <c r="G65" s="137">
        <f>+F65/$F$66</f>
        <v>0.30714249092719692</v>
      </c>
      <c r="H65" s="149"/>
      <c r="I65" s="149"/>
      <c r="J65" s="139"/>
    </row>
    <row r="66" spans="2:13" ht="13.5" thickBot="1" x14ac:dyDescent="0.3">
      <c r="B66" s="368" t="s">
        <v>101</v>
      </c>
      <c r="C66" s="369"/>
      <c r="D66" s="369"/>
      <c r="E66" s="370"/>
      <c r="F66" s="162">
        <f>SUM(F63:F65)</f>
        <v>2506.9797333333336</v>
      </c>
      <c r="G66" s="137">
        <f>+F66/$F$66</f>
        <v>1</v>
      </c>
      <c r="H66" s="371"/>
      <c r="I66" s="149"/>
      <c r="J66" s="139"/>
      <c r="M66" s="122" t="s">
        <v>102</v>
      </c>
    </row>
    <row r="67" spans="2:13" x14ac:dyDescent="0.25">
      <c r="C67" s="144"/>
      <c r="D67" s="144"/>
      <c r="E67" s="194"/>
      <c r="F67" s="185"/>
      <c r="G67" s="137"/>
      <c r="H67" s="371"/>
      <c r="I67" s="193"/>
      <c r="J67" s="122"/>
      <c r="M67" s="122" t="s">
        <v>103</v>
      </c>
    </row>
    <row r="68" spans="2:13" ht="13.5" thickBot="1" x14ac:dyDescent="0.3">
      <c r="B68" s="356" t="s">
        <v>104</v>
      </c>
      <c r="C68" s="356"/>
      <c r="D68" s="356"/>
      <c r="E68" s="356"/>
      <c r="F68" s="356"/>
      <c r="G68" s="137"/>
      <c r="H68" s="196"/>
      <c r="I68" s="193"/>
      <c r="J68" s="122"/>
      <c r="M68" s="122" t="s">
        <v>105</v>
      </c>
    </row>
    <row r="69" spans="2:13" ht="13.5" thickBot="1" x14ac:dyDescent="0.3">
      <c r="B69" s="197" t="s">
        <v>106</v>
      </c>
      <c r="C69" s="198">
        <f>+F53</f>
        <v>1687.32</v>
      </c>
      <c r="D69" s="198">
        <f>+D58</f>
        <v>5000</v>
      </c>
      <c r="E69" s="199">
        <f>+C69/D69</f>
        <v>0.33746399999999999</v>
      </c>
      <c r="F69" s="137"/>
      <c r="G69" s="196"/>
      <c r="H69" s="139"/>
      <c r="I69" s="196"/>
      <c r="J69" s="122"/>
    </row>
    <row r="70" spans="2:13" x14ac:dyDescent="0.25">
      <c r="B70" s="200"/>
      <c r="C70" s="201"/>
      <c r="D70" s="202"/>
      <c r="E70" s="185"/>
      <c r="F70" s="137"/>
      <c r="G70" s="196"/>
      <c r="H70" s="139"/>
      <c r="I70" s="139"/>
      <c r="J70" s="122"/>
    </row>
    <row r="71" spans="2:13" x14ac:dyDescent="0.25">
      <c r="B71" s="197" t="s">
        <v>107</v>
      </c>
      <c r="C71" s="198">
        <f>SUM(F63:F64)</f>
        <v>1736.9797333333333</v>
      </c>
      <c r="D71" s="198">
        <f>+D58</f>
        <v>5000</v>
      </c>
      <c r="E71" s="203">
        <f>+C71/D71</f>
        <v>0.34739594666666668</v>
      </c>
      <c r="F71" s="137"/>
      <c r="G71" s="196"/>
      <c r="H71" s="139"/>
      <c r="I71" s="139"/>
      <c r="J71" s="122"/>
    </row>
    <row r="72" spans="2:13" x14ac:dyDescent="0.25">
      <c r="B72" s="197"/>
      <c r="C72" s="198"/>
      <c r="D72" s="198"/>
      <c r="E72" s="203"/>
      <c r="F72" s="137"/>
      <c r="G72" s="196"/>
      <c r="H72" s="139"/>
      <c r="I72" s="139"/>
      <c r="J72" s="122"/>
    </row>
    <row r="73" spans="2:13" ht="13.5" thickBot="1" x14ac:dyDescent="0.3">
      <c r="B73" s="197" t="s">
        <v>108</v>
      </c>
      <c r="C73" s="198">
        <f>+F65</f>
        <v>770</v>
      </c>
      <c r="D73" s="198">
        <f>+D58</f>
        <v>5000</v>
      </c>
      <c r="E73" s="203">
        <f>+C73/D73</f>
        <v>0.154</v>
      </c>
      <c r="F73" s="137"/>
      <c r="G73" s="196"/>
      <c r="H73" s="139"/>
      <c r="I73" s="139"/>
      <c r="J73" s="122"/>
    </row>
    <row r="74" spans="2:13" ht="13.5" thickBot="1" x14ac:dyDescent="0.3">
      <c r="B74" s="197" t="s">
        <v>109</v>
      </c>
      <c r="C74" s="198">
        <f>+F56</f>
        <v>770</v>
      </c>
      <c r="D74" s="198">
        <f>+D73</f>
        <v>5000</v>
      </c>
      <c r="E74" s="199">
        <f>+C74/D74</f>
        <v>0.154</v>
      </c>
      <c r="F74" s="137"/>
      <c r="G74" s="196"/>
      <c r="H74" s="139"/>
      <c r="I74" s="139"/>
      <c r="J74" s="122"/>
    </row>
    <row r="75" spans="2:13" ht="13.5" thickBot="1" x14ac:dyDescent="0.3">
      <c r="B75" s="161"/>
      <c r="C75" s="162"/>
      <c r="D75" s="162"/>
      <c r="E75" s="203"/>
      <c r="F75" s="137"/>
      <c r="G75" s="196"/>
      <c r="H75" s="139"/>
      <c r="I75" s="139"/>
      <c r="J75" s="122"/>
    </row>
    <row r="76" spans="2:13" ht="13.5" thickBot="1" x14ac:dyDescent="0.3">
      <c r="B76" s="197" t="s">
        <v>110</v>
      </c>
      <c r="C76" s="198">
        <f>+F54</f>
        <v>15.913333333333334</v>
      </c>
      <c r="D76" s="198">
        <f>+D74</f>
        <v>5000</v>
      </c>
      <c r="E76" s="199">
        <f>+C76/D76</f>
        <v>3.182666666666667E-3</v>
      </c>
      <c r="F76" s="137"/>
      <c r="G76" s="196"/>
      <c r="H76" s="139"/>
      <c r="I76" s="139"/>
      <c r="J76" s="139"/>
    </row>
    <row r="77" spans="2:13" ht="13.5" thickBot="1" x14ac:dyDescent="0.3">
      <c r="B77" s="161"/>
      <c r="C77" s="162"/>
      <c r="D77" s="162"/>
      <c r="E77" s="203"/>
      <c r="F77" s="137"/>
      <c r="G77" s="196"/>
      <c r="H77" s="139"/>
      <c r="I77" s="139"/>
    </row>
    <row r="78" spans="2:13" ht="13.5" thickBot="1" x14ac:dyDescent="0.3">
      <c r="B78" s="357" t="s">
        <v>111</v>
      </c>
      <c r="C78" s="358"/>
      <c r="D78" s="359"/>
      <c r="E78" s="199">
        <f>+E69+E74</f>
        <v>0.49146400000000001</v>
      </c>
      <c r="G78" s="137"/>
      <c r="H78" s="196"/>
      <c r="I78" s="139"/>
      <c r="J78" s="203"/>
    </row>
    <row r="79" spans="2:13" x14ac:dyDescent="0.25">
      <c r="I79" s="196"/>
      <c r="J79" s="122"/>
    </row>
    <row r="80" spans="2:13" ht="13.5" thickBot="1" x14ac:dyDescent="0.3">
      <c r="B80" s="356" t="s">
        <v>112</v>
      </c>
      <c r="C80" s="356"/>
      <c r="D80" s="356"/>
      <c r="E80" s="356"/>
      <c r="F80" s="356"/>
      <c r="G80" s="137"/>
      <c r="H80" s="196"/>
      <c r="J80" s="122"/>
    </row>
    <row r="81" spans="1:10" ht="13.5" thickBot="1" x14ac:dyDescent="0.3">
      <c r="B81" s="197" t="s">
        <v>106</v>
      </c>
      <c r="C81" s="198">
        <f>+C69</f>
        <v>1687.32</v>
      </c>
      <c r="D81" s="198">
        <f>+D60</f>
        <v>1</v>
      </c>
      <c r="E81" s="199">
        <f>+C81/D81</f>
        <v>1687.32</v>
      </c>
      <c r="F81" s="137"/>
      <c r="G81" s="196"/>
      <c r="H81" s="139"/>
      <c r="I81" s="196"/>
      <c r="J81" s="122"/>
    </row>
    <row r="82" spans="1:10" x14ac:dyDescent="0.25">
      <c r="B82" s="200"/>
      <c r="C82" s="201"/>
      <c r="D82" s="202"/>
      <c r="E82" s="185"/>
      <c r="F82" s="137"/>
      <c r="G82" s="196"/>
      <c r="H82" s="139"/>
      <c r="I82" s="139"/>
      <c r="J82" s="122"/>
    </row>
    <row r="83" spans="1:10" x14ac:dyDescent="0.25">
      <c r="B83" s="197" t="s">
        <v>107</v>
      </c>
      <c r="C83" s="198">
        <f>+C71</f>
        <v>1736.9797333333333</v>
      </c>
      <c r="D83" s="198">
        <f>+D60</f>
        <v>1</v>
      </c>
      <c r="E83" s="203">
        <f>+C83/D83</f>
        <v>1736.9797333333333</v>
      </c>
      <c r="F83" s="137"/>
      <c r="G83" s="196"/>
      <c r="H83" s="139"/>
      <c r="I83" s="139"/>
      <c r="J83" s="122"/>
    </row>
    <row r="84" spans="1:10" x14ac:dyDescent="0.25">
      <c r="B84" s="197"/>
      <c r="C84" s="198"/>
      <c r="D84" s="198"/>
      <c r="E84" s="203"/>
      <c r="F84" s="137"/>
      <c r="G84" s="196"/>
      <c r="H84" s="139"/>
      <c r="I84" s="139"/>
      <c r="J84" s="122"/>
    </row>
    <row r="85" spans="1:10" ht="13.5" thickBot="1" x14ac:dyDescent="0.3">
      <c r="B85" s="197" t="s">
        <v>109</v>
      </c>
      <c r="C85" s="198">
        <f>+C73</f>
        <v>770</v>
      </c>
      <c r="D85" s="198">
        <f>+D60</f>
        <v>1</v>
      </c>
      <c r="E85" s="203">
        <f>+C85/D85</f>
        <v>770</v>
      </c>
      <c r="F85" s="205"/>
      <c r="G85" s="195"/>
      <c r="H85" s="121"/>
      <c r="I85" s="139"/>
    </row>
    <row r="86" spans="1:10" ht="13.5" thickBot="1" x14ac:dyDescent="0.3">
      <c r="B86" s="197" t="s">
        <v>109</v>
      </c>
      <c r="C86" s="198">
        <f>+C74</f>
        <v>770</v>
      </c>
      <c r="D86" s="198">
        <f>+D85</f>
        <v>1</v>
      </c>
      <c r="E86" s="199">
        <f>+C86/D86</f>
        <v>770</v>
      </c>
      <c r="F86" s="204"/>
      <c r="G86" s="195"/>
      <c r="H86" s="121"/>
      <c r="I86" s="121"/>
    </row>
    <row r="87" spans="1:10" x14ac:dyDescent="0.25">
      <c r="I87" s="121"/>
    </row>
    <row r="88" spans="1:10" x14ac:dyDescent="0.2">
      <c r="A88" s="360"/>
      <c r="B88" s="360"/>
      <c r="C88" s="206"/>
      <c r="D88" s="206"/>
      <c r="E88" s="207"/>
      <c r="G88" s="208"/>
    </row>
    <row r="89" spans="1:10" x14ac:dyDescent="0.2">
      <c r="A89" s="140"/>
      <c r="B89" s="209"/>
      <c r="C89" s="210"/>
      <c r="D89" s="210"/>
      <c r="E89" s="211"/>
      <c r="G89" s="208"/>
    </row>
    <row r="90" spans="1:10" x14ac:dyDescent="0.2">
      <c r="A90" s="140"/>
      <c r="B90" s="209"/>
      <c r="C90" s="212"/>
      <c r="D90" s="212"/>
      <c r="E90" s="140"/>
      <c r="G90" s="208"/>
    </row>
    <row r="91" spans="1:10" x14ac:dyDescent="0.2">
      <c r="A91" s="140"/>
      <c r="B91" s="209"/>
      <c r="C91" s="213"/>
      <c r="D91" s="213"/>
      <c r="E91" s="140"/>
      <c r="G91" s="20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8FBE-FABD-4535-A1F8-F83FBF900C63}">
  <sheetPr>
    <pageSetUpPr fitToPage="1"/>
  </sheetPr>
  <dimension ref="A1:K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4.28515625" bestFit="1" customWidth="1"/>
    <col min="2" max="2" width="17" customWidth="1"/>
    <col min="3" max="3" width="45" customWidth="1"/>
    <col min="4" max="4" width="15.140625" bestFit="1" customWidth="1"/>
    <col min="5" max="5" width="15.42578125" customWidth="1"/>
    <col min="6" max="6" width="13.5703125" customWidth="1"/>
    <col min="7" max="7" width="19.7109375" customWidth="1"/>
    <col min="8" max="8" width="18.42578125" customWidth="1"/>
    <col min="9" max="9" width="19.7109375" bestFit="1" customWidth="1"/>
  </cols>
  <sheetData>
    <row r="1" spans="1:10" ht="17.25" x14ac:dyDescent="0.3">
      <c r="A1" s="282"/>
      <c r="B1" s="283"/>
      <c r="C1" s="288" t="s">
        <v>30</v>
      </c>
      <c r="D1" s="288"/>
      <c r="E1" s="288"/>
      <c r="F1" s="288"/>
      <c r="G1" s="288"/>
      <c r="H1" s="5" t="s">
        <v>29</v>
      </c>
      <c r="I1" s="6" t="s">
        <v>122</v>
      </c>
    </row>
    <row r="2" spans="1:10" ht="18" thickBot="1" x14ac:dyDescent="0.35">
      <c r="A2" s="284"/>
      <c r="B2" s="285"/>
      <c r="C2" s="289" t="s">
        <v>28</v>
      </c>
      <c r="D2" s="289"/>
      <c r="E2" s="289"/>
      <c r="F2" s="289"/>
      <c r="G2" s="289"/>
      <c r="H2" s="7" t="s">
        <v>27</v>
      </c>
      <c r="I2" s="8" t="s">
        <v>124</v>
      </c>
    </row>
    <row r="3" spans="1:10" ht="31.5" customHeight="1" thickBot="1" x14ac:dyDescent="0.3">
      <c r="A3" s="284"/>
      <c r="B3" s="285"/>
      <c r="C3" s="423" t="s">
        <v>120</v>
      </c>
      <c r="D3" s="424"/>
      <c r="E3" s="424"/>
      <c r="F3" s="424"/>
      <c r="G3" s="425"/>
      <c r="H3" s="293" t="s">
        <v>26</v>
      </c>
      <c r="I3" s="273">
        <v>45981</v>
      </c>
    </row>
    <row r="4" spans="1:10" ht="17.25" x14ac:dyDescent="0.3">
      <c r="A4" s="284"/>
      <c r="B4" s="285"/>
      <c r="C4" s="9" t="s">
        <v>25</v>
      </c>
      <c r="D4" s="276" t="s">
        <v>35</v>
      </c>
      <c r="E4" s="277"/>
      <c r="F4" s="277"/>
      <c r="G4" s="278"/>
      <c r="H4" s="294"/>
      <c r="I4" s="274"/>
    </row>
    <row r="5" spans="1:10" ht="18" thickBot="1" x14ac:dyDescent="0.35">
      <c r="A5" s="286"/>
      <c r="B5" s="287"/>
      <c r="C5" s="10" t="s">
        <v>24</v>
      </c>
      <c r="D5" s="279" t="s">
        <v>40</v>
      </c>
      <c r="E5" s="280"/>
      <c r="F5" s="280"/>
      <c r="G5" s="281"/>
      <c r="H5" s="295"/>
      <c r="I5" s="275"/>
    </row>
    <row r="6" spans="1:10" ht="18.75" thickBot="1" x14ac:dyDescent="0.3">
      <c r="A6" s="306" t="s">
        <v>23</v>
      </c>
      <c r="B6" s="306"/>
      <c r="C6" s="306"/>
      <c r="D6" s="422" t="s">
        <v>45</v>
      </c>
      <c r="E6" s="422"/>
      <c r="F6" s="422"/>
      <c r="G6" s="298" t="s">
        <v>22</v>
      </c>
      <c r="H6" s="298"/>
      <c r="I6" s="269" t="s">
        <v>46</v>
      </c>
    </row>
    <row r="7" spans="1:10" ht="30" x14ac:dyDescent="0.25">
      <c r="A7" s="299" t="s">
        <v>21</v>
      </c>
      <c r="B7" s="301" t="s">
        <v>31</v>
      </c>
      <c r="C7" s="303" t="s">
        <v>20</v>
      </c>
      <c r="D7" s="303" t="s">
        <v>19</v>
      </c>
      <c r="E7" s="303" t="s">
        <v>18</v>
      </c>
      <c r="F7" s="303"/>
      <c r="G7" s="303" t="s">
        <v>17</v>
      </c>
      <c r="H7" s="303"/>
      <c r="I7" s="12" t="s">
        <v>16</v>
      </c>
    </row>
    <row r="8" spans="1:10" ht="31.5" thickBot="1" x14ac:dyDescent="0.3">
      <c r="A8" s="300"/>
      <c r="B8" s="302"/>
      <c r="C8" s="304"/>
      <c r="D8" s="305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20.25" x14ac:dyDescent="0.3">
      <c r="A9" s="214"/>
      <c r="B9" s="215"/>
      <c r="C9" s="216" t="s">
        <v>32</v>
      </c>
      <c r="D9" s="215"/>
      <c r="E9" s="217"/>
      <c r="F9" s="218"/>
      <c r="G9" s="217"/>
      <c r="H9" s="218"/>
      <c r="I9" s="219"/>
    </row>
    <row r="10" spans="1:10" ht="20.25" x14ac:dyDescent="0.3">
      <c r="A10" s="220"/>
      <c r="B10" s="221" t="s">
        <v>121</v>
      </c>
      <c r="C10" s="222" t="s">
        <v>115</v>
      </c>
      <c r="D10" s="223" t="s">
        <v>36</v>
      </c>
      <c r="E10" s="224">
        <v>360</v>
      </c>
      <c r="F10" s="225" t="s">
        <v>1</v>
      </c>
      <c r="G10" s="226"/>
      <c r="H10" s="227"/>
      <c r="I10" s="228"/>
    </row>
    <row r="11" spans="1:10" ht="20.25" x14ac:dyDescent="0.3">
      <c r="A11" s="230"/>
      <c r="B11" s="228"/>
      <c r="C11" s="231"/>
      <c r="D11" s="232"/>
      <c r="E11" s="221"/>
      <c r="F11" s="233"/>
      <c r="G11" s="229"/>
      <c r="H11" s="221"/>
      <c r="I11" s="228"/>
    </row>
    <row r="12" spans="1:10" ht="20.25" x14ac:dyDescent="0.3">
      <c r="A12" s="230"/>
      <c r="B12" s="228"/>
      <c r="C12" s="234" t="s">
        <v>44</v>
      </c>
      <c r="D12" s="232"/>
      <c r="E12" s="221"/>
      <c r="F12" s="233"/>
      <c r="G12" s="229"/>
      <c r="H12" s="221"/>
      <c r="I12" s="228"/>
    </row>
    <row r="13" spans="1:10" ht="20.25" x14ac:dyDescent="0.3">
      <c r="A13" s="222"/>
      <c r="B13" s="237"/>
      <c r="C13" s="238"/>
      <c r="D13" s="239"/>
      <c r="E13" s="237"/>
      <c r="F13" s="240"/>
      <c r="G13" s="217"/>
      <c r="H13" s="218"/>
      <c r="I13" s="219"/>
    </row>
    <row r="14" spans="1:10" ht="20.25" x14ac:dyDescent="0.3">
      <c r="A14" s="228"/>
      <c r="B14" s="228"/>
      <c r="C14" s="235" t="s">
        <v>34</v>
      </c>
      <c r="D14" s="222"/>
      <c r="E14" s="222"/>
      <c r="F14" s="221"/>
      <c r="G14" s="236"/>
      <c r="H14" s="221"/>
      <c r="I14" s="219"/>
    </row>
    <row r="15" spans="1:10" ht="20.25" x14ac:dyDescent="0.3">
      <c r="A15" s="224" t="s">
        <v>41</v>
      </c>
      <c r="B15" s="232" t="s">
        <v>41</v>
      </c>
      <c r="C15" s="241" t="s">
        <v>42</v>
      </c>
      <c r="D15" s="232" t="s">
        <v>39</v>
      </c>
      <c r="E15" s="224">
        <v>2</v>
      </c>
      <c r="F15" s="232" t="s">
        <v>43</v>
      </c>
      <c r="G15" s="236"/>
      <c r="H15" s="221"/>
      <c r="I15" s="219"/>
    </row>
    <row r="16" spans="1:10" ht="20.25" x14ac:dyDescent="0.3">
      <c r="A16" s="242" t="s">
        <v>47</v>
      </c>
      <c r="B16" s="221" t="s">
        <v>48</v>
      </c>
      <c r="C16" s="231" t="s">
        <v>49</v>
      </c>
      <c r="D16" s="228" t="s">
        <v>38</v>
      </c>
      <c r="E16" s="228">
        <v>1</v>
      </c>
      <c r="F16" s="228" t="s">
        <v>37</v>
      </c>
      <c r="G16" s="243"/>
      <c r="H16" s="221"/>
      <c r="I16" s="219"/>
      <c r="J16" s="102"/>
    </row>
    <row r="17" spans="1:11" ht="20.25" x14ac:dyDescent="0.3">
      <c r="A17" s="242"/>
      <c r="B17" s="270" t="s">
        <v>116</v>
      </c>
      <c r="C17" s="271" t="s">
        <v>117</v>
      </c>
      <c r="D17" s="236" t="s">
        <v>118</v>
      </c>
      <c r="E17" s="236">
        <v>1</v>
      </c>
      <c r="F17" s="244" t="s">
        <v>37</v>
      </c>
      <c r="G17" s="243"/>
      <c r="H17" s="221"/>
      <c r="I17" s="219"/>
      <c r="J17" s="60"/>
    </row>
    <row r="18" spans="1:11" ht="20.25" x14ac:dyDescent="0.3">
      <c r="A18" s="224"/>
      <c r="B18" s="232"/>
      <c r="C18" s="241"/>
      <c r="D18" s="245"/>
      <c r="E18" s="246"/>
      <c r="F18" s="246"/>
      <c r="G18" s="272"/>
      <c r="H18" s="228"/>
      <c r="I18" s="219"/>
    </row>
    <row r="19" spans="1:11" ht="20.25" x14ac:dyDescent="0.3">
      <c r="A19" s="221"/>
      <c r="B19" s="251"/>
      <c r="C19" s="222"/>
      <c r="D19" s="232"/>
      <c r="E19" s="224"/>
      <c r="F19" s="250"/>
      <c r="G19" s="236"/>
      <c r="H19" s="228"/>
      <c r="I19" s="219"/>
    </row>
    <row r="20" spans="1:11" ht="20.25" x14ac:dyDescent="0.3">
      <c r="A20" s="247"/>
      <c r="B20" s="248"/>
      <c r="C20" s="249"/>
      <c r="D20" s="228"/>
      <c r="E20" s="228"/>
      <c r="F20" s="244"/>
      <c r="G20" s="228"/>
      <c r="H20" s="228"/>
      <c r="I20" s="219"/>
    </row>
    <row r="21" spans="1:11" ht="21" thickBot="1" x14ac:dyDescent="0.35">
      <c r="A21" s="252"/>
      <c r="B21" s="253"/>
      <c r="C21" s="254"/>
      <c r="D21" s="254"/>
      <c r="E21" s="255"/>
      <c r="F21" s="256"/>
      <c r="G21" s="254"/>
      <c r="H21" s="254"/>
      <c r="I21" s="257"/>
      <c r="K21" s="102"/>
    </row>
    <row r="22" spans="1:11" ht="21" thickBot="1" x14ac:dyDescent="0.35">
      <c r="A22" s="258"/>
      <c r="B22" s="259"/>
      <c r="C22" s="260"/>
      <c r="D22" s="261" t="s">
        <v>13</v>
      </c>
      <c r="E22" s="262" t="s">
        <v>12</v>
      </c>
      <c r="F22" s="263"/>
      <c r="G22" s="260"/>
      <c r="H22" s="260"/>
      <c r="I22" s="264"/>
      <c r="J22" s="102"/>
    </row>
    <row r="23" spans="1:11" ht="20.25" x14ac:dyDescent="0.3">
      <c r="A23" s="408" t="s">
        <v>11</v>
      </c>
      <c r="B23" s="409"/>
      <c r="C23" s="410"/>
      <c r="D23" s="265">
        <v>360</v>
      </c>
      <c r="E23" s="266" t="s">
        <v>1</v>
      </c>
      <c r="F23" s="411" t="s">
        <v>10</v>
      </c>
      <c r="G23" s="411"/>
      <c r="H23" s="412"/>
      <c r="I23" s="413"/>
      <c r="J23">
        <v>14.326647564469914</v>
      </c>
    </row>
    <row r="24" spans="1:11" ht="20.25" x14ac:dyDescent="0.3">
      <c r="A24" s="414" t="s">
        <v>9</v>
      </c>
      <c r="B24" s="415"/>
      <c r="C24" s="416"/>
      <c r="D24" s="232">
        <v>1</v>
      </c>
      <c r="E24" s="232" t="s">
        <v>8</v>
      </c>
      <c r="F24" s="421" t="s">
        <v>7</v>
      </c>
      <c r="G24" s="421"/>
      <c r="H24" s="419"/>
      <c r="I24" s="420"/>
    </row>
    <row r="25" spans="1:11" ht="20.25" x14ac:dyDescent="0.3">
      <c r="A25" s="414" t="s">
        <v>6</v>
      </c>
      <c r="B25" s="415"/>
      <c r="C25" s="416"/>
      <c r="D25" s="232">
        <v>1</v>
      </c>
      <c r="E25" s="232" t="s">
        <v>37</v>
      </c>
      <c r="F25" s="421" t="s">
        <v>5</v>
      </c>
      <c r="G25" s="421"/>
      <c r="H25" s="419"/>
      <c r="I25" s="420"/>
    </row>
    <row r="26" spans="1:11" ht="20.25" x14ac:dyDescent="0.3">
      <c r="A26" s="414" t="s">
        <v>4</v>
      </c>
      <c r="B26" s="415"/>
      <c r="C26" s="416"/>
      <c r="D26" s="232">
        <v>360</v>
      </c>
      <c r="E26" s="232" t="s">
        <v>1</v>
      </c>
      <c r="F26" s="417" t="s">
        <v>3</v>
      </c>
      <c r="G26" s="418"/>
      <c r="H26" s="419"/>
      <c r="I26" s="420"/>
    </row>
    <row r="27" spans="1:11" ht="21" thickBot="1" x14ac:dyDescent="0.35">
      <c r="A27" s="399" t="s">
        <v>2</v>
      </c>
      <c r="B27" s="400"/>
      <c r="C27" s="401"/>
      <c r="D27" s="267">
        <v>0</v>
      </c>
      <c r="E27" s="268" t="s">
        <v>1</v>
      </c>
      <c r="F27" s="402"/>
      <c r="G27" s="402"/>
      <c r="H27" s="403"/>
      <c r="I27" s="404"/>
    </row>
    <row r="28" spans="1:11" ht="21" thickBot="1" x14ac:dyDescent="0.35">
      <c r="A28" s="426" t="s">
        <v>0</v>
      </c>
      <c r="B28" s="427"/>
      <c r="C28" s="427"/>
      <c r="D28" s="427"/>
      <c r="E28" s="427"/>
      <c r="F28" s="427"/>
      <c r="G28" s="427"/>
      <c r="H28" s="427"/>
      <c r="I28" s="428"/>
    </row>
    <row r="29" spans="1:11" ht="20.25" x14ac:dyDescent="0.3">
      <c r="A29" s="405" t="s">
        <v>125</v>
      </c>
      <c r="B29" s="406"/>
      <c r="C29" s="406"/>
      <c r="D29" s="406"/>
      <c r="E29" s="406"/>
      <c r="F29" s="406"/>
      <c r="G29" s="406"/>
      <c r="H29" s="406"/>
      <c r="I29" s="407"/>
    </row>
    <row r="30" spans="1:11" ht="20.25" x14ac:dyDescent="0.3">
      <c r="A30" s="387" t="s">
        <v>119</v>
      </c>
      <c r="B30" s="387"/>
      <c r="C30" s="387"/>
      <c r="D30" s="387"/>
      <c r="E30" s="387"/>
      <c r="F30" s="387"/>
      <c r="G30" s="387"/>
      <c r="H30" s="387"/>
      <c r="I30" s="387"/>
    </row>
    <row r="31" spans="1:11" ht="20.25" x14ac:dyDescent="0.3">
      <c r="A31" s="389"/>
      <c r="B31" s="390"/>
      <c r="C31" s="390"/>
      <c r="D31" s="390"/>
      <c r="E31" s="390"/>
      <c r="F31" s="390"/>
      <c r="G31" s="390"/>
      <c r="H31" s="390"/>
      <c r="I31" s="391"/>
    </row>
    <row r="32" spans="1:11" ht="20.25" x14ac:dyDescent="0.3">
      <c r="A32" s="392"/>
      <c r="B32" s="393"/>
      <c r="C32" s="393"/>
      <c r="D32" s="393"/>
      <c r="E32" s="393"/>
      <c r="F32" s="393"/>
      <c r="G32" s="393"/>
      <c r="H32" s="393"/>
      <c r="I32" s="394"/>
    </row>
    <row r="33" spans="1:9" ht="20.25" x14ac:dyDescent="0.3">
      <c r="A33" s="395"/>
      <c r="B33" s="396"/>
      <c r="C33" s="396"/>
      <c r="D33" s="396"/>
      <c r="E33" s="396"/>
      <c r="F33" s="396"/>
      <c r="G33" s="396"/>
      <c r="H33" s="396"/>
      <c r="I33" s="397"/>
    </row>
    <row r="34" spans="1:9" ht="20.25" x14ac:dyDescent="0.3">
      <c r="A34" s="398" t="s">
        <v>33</v>
      </c>
      <c r="B34" s="398"/>
      <c r="C34" s="398"/>
      <c r="D34" s="398"/>
      <c r="E34" s="398"/>
      <c r="F34" s="398"/>
      <c r="G34" s="398"/>
      <c r="H34" s="398"/>
      <c r="I34" s="398"/>
    </row>
    <row r="35" spans="1:9" ht="20.25" x14ac:dyDescent="0.3">
      <c r="A35" s="388" t="s">
        <v>123</v>
      </c>
      <c r="B35" s="388"/>
      <c r="C35" s="388"/>
      <c r="D35" s="388"/>
      <c r="E35" s="388"/>
      <c r="F35" s="388"/>
      <c r="G35" s="388"/>
      <c r="H35" s="388"/>
      <c r="I35" s="388"/>
    </row>
    <row r="36" spans="1:9" ht="20.25" x14ac:dyDescent="0.3">
      <c r="A36" s="388"/>
      <c r="B36" s="388"/>
      <c r="C36" s="388"/>
      <c r="D36" s="388"/>
      <c r="E36" s="388"/>
      <c r="F36" s="388"/>
      <c r="G36" s="388"/>
      <c r="H36" s="388"/>
      <c r="I36" s="388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6:C26"/>
    <mergeCell ref="F26:G26"/>
    <mergeCell ref="H26:I26"/>
    <mergeCell ref="A25:C25"/>
    <mergeCell ref="F25:G25"/>
    <mergeCell ref="H25:I25"/>
    <mergeCell ref="A24:C24"/>
    <mergeCell ref="F24:G24"/>
    <mergeCell ref="H24:I24"/>
    <mergeCell ref="A27:C27"/>
    <mergeCell ref="F27:G27"/>
    <mergeCell ref="H27:I27"/>
    <mergeCell ref="A28:I28"/>
    <mergeCell ref="A29:I29"/>
    <mergeCell ref="A30:I30"/>
    <mergeCell ref="A36:I36"/>
    <mergeCell ref="A31:I31"/>
    <mergeCell ref="A32:I32"/>
    <mergeCell ref="A33:I33"/>
    <mergeCell ref="A34:I34"/>
    <mergeCell ref="A35:I35"/>
  </mergeCells>
  <pageMargins left="0.25" right="0.25" top="0.75" bottom="0.75" header="0.3" footer="0.3"/>
  <pageSetup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A09E-68D4-493D-B73B-3BBE59FCF048}">
  <dimension ref="A1:Q91"/>
  <sheetViews>
    <sheetView topLeftCell="A52" workbookViewId="0">
      <selection activeCell="D51" sqref="D51"/>
    </sheetView>
  </sheetViews>
  <sheetFormatPr baseColWidth="10" defaultColWidth="8.42578125" defaultRowHeight="12.75" x14ac:dyDescent="0.25"/>
  <cols>
    <col min="1" max="1" width="10" style="122" bestFit="1" customWidth="1"/>
    <col min="2" max="2" width="44.28515625" style="122" bestFit="1" customWidth="1"/>
    <col min="3" max="3" width="10.42578125" style="122" bestFit="1" customWidth="1"/>
    <col min="4" max="4" width="10.42578125" style="122" customWidth="1"/>
    <col min="5" max="5" width="11" style="122" customWidth="1"/>
    <col min="6" max="6" width="9.5703125" style="122" bestFit="1" customWidth="1"/>
    <col min="7" max="7" width="10.85546875" style="204" customWidth="1"/>
    <col min="8" max="8" width="10.42578125" style="195" bestFit="1" customWidth="1"/>
    <col min="9" max="9" width="4.5703125" style="195" customWidth="1"/>
    <col min="10" max="10" width="1.85546875" style="121" customWidth="1"/>
    <col min="11" max="11" width="7" style="122" bestFit="1" customWidth="1"/>
    <col min="12" max="12" width="6.28515625" style="122" customWidth="1"/>
    <col min="13" max="13" width="20.42578125" style="122" customWidth="1"/>
    <col min="14" max="14" width="6.42578125" style="122" bestFit="1" customWidth="1"/>
    <col min="15" max="16" width="8.42578125" style="122"/>
    <col min="17" max="17" width="3.28515625" style="122" customWidth="1"/>
    <col min="18" max="16384" width="8.42578125" style="122"/>
  </cols>
  <sheetData>
    <row r="1" spans="1:10" ht="27.75" customHeight="1" x14ac:dyDescent="0.25">
      <c r="A1" s="117"/>
      <c r="B1" s="117"/>
      <c r="C1" s="117"/>
      <c r="D1" s="117"/>
      <c r="E1" s="118" t="s">
        <v>62</v>
      </c>
      <c r="F1" s="119" t="s">
        <v>63</v>
      </c>
      <c r="G1" s="119" t="s">
        <v>64</v>
      </c>
      <c r="H1" s="119" t="s">
        <v>65</v>
      </c>
      <c r="I1" s="120"/>
    </row>
    <row r="2" spans="1:10" ht="30.75" customHeight="1" x14ac:dyDescent="0.25">
      <c r="A2" s="117"/>
      <c r="B2" s="117"/>
      <c r="C2" s="117"/>
      <c r="D2" s="117"/>
      <c r="E2" s="123">
        <f>IFERROR(O62,"")</f>
        <v>413.74613333333332</v>
      </c>
      <c r="F2" s="123">
        <f>IFERROR(H53,"")</f>
        <v>121.48703999999999</v>
      </c>
      <c r="G2" s="123">
        <f>IFERROR(H54,"")</f>
        <v>17.059093333333333</v>
      </c>
      <c r="H2" s="123">
        <f>IFERROR(H56,"")</f>
        <v>132.44</v>
      </c>
      <c r="I2" s="124"/>
    </row>
    <row r="3" spans="1:10" ht="15" customHeight="1" x14ac:dyDescent="0.25">
      <c r="A3" s="117"/>
      <c r="B3" s="117"/>
      <c r="C3" s="117"/>
      <c r="D3" s="117"/>
      <c r="E3" s="117"/>
      <c r="F3" s="125"/>
      <c r="G3" s="125"/>
      <c r="H3" s="125"/>
      <c r="I3" s="125"/>
    </row>
    <row r="4" spans="1:10" ht="24.75" customHeight="1" thickBot="1" x14ac:dyDescent="0.3">
      <c r="A4" s="382"/>
      <c r="B4" s="382"/>
      <c r="C4" s="382"/>
      <c r="D4" s="382"/>
      <c r="E4" s="382"/>
      <c r="F4" s="382"/>
      <c r="G4" s="382"/>
      <c r="H4" s="382"/>
      <c r="I4" s="126"/>
    </row>
    <row r="5" spans="1:10" ht="19.5" customHeight="1" thickBot="1" x14ac:dyDescent="0.3">
      <c r="A5" s="383" t="s">
        <v>66</v>
      </c>
      <c r="B5" s="384"/>
      <c r="C5" s="384"/>
      <c r="D5" s="384"/>
      <c r="E5" s="384"/>
      <c r="F5" s="384"/>
      <c r="G5" s="384"/>
      <c r="H5" s="385"/>
      <c r="I5" s="127"/>
    </row>
    <row r="6" spans="1:10" ht="19.5" thickBot="1" x14ac:dyDescent="0.3">
      <c r="A6" s="127"/>
      <c r="B6" s="127"/>
      <c r="C6" s="127"/>
      <c r="D6" s="127"/>
      <c r="E6" s="127"/>
      <c r="F6" s="386" t="s">
        <v>67</v>
      </c>
      <c r="G6" s="386"/>
      <c r="H6" s="128">
        <f ca="1">TODAY()</f>
        <v>46069</v>
      </c>
      <c r="I6" s="128"/>
    </row>
    <row r="7" spans="1:10" ht="26.25" hidden="1" thickBot="1" x14ac:dyDescent="0.3">
      <c r="A7" s="129" t="s">
        <v>68</v>
      </c>
      <c r="B7" s="130" t="s">
        <v>69</v>
      </c>
      <c r="C7" s="130" t="s">
        <v>68</v>
      </c>
      <c r="D7" s="131" t="s">
        <v>70</v>
      </c>
      <c r="E7" s="131" t="s">
        <v>71</v>
      </c>
      <c r="F7" s="131" t="s">
        <v>72</v>
      </c>
      <c r="G7" s="131" t="s">
        <v>73</v>
      </c>
      <c r="H7" s="132" t="s">
        <v>74</v>
      </c>
      <c r="I7" s="133"/>
    </row>
    <row r="8" spans="1:10" ht="13.5" hidden="1" x14ac:dyDescent="0.25">
      <c r="A8" s="134"/>
      <c r="C8" s="135"/>
      <c r="D8" s="136"/>
      <c r="E8" s="136"/>
      <c r="F8" s="136"/>
      <c r="G8" s="137"/>
      <c r="H8" s="138"/>
      <c r="I8" s="138"/>
      <c r="J8" s="139"/>
    </row>
    <row r="9" spans="1:10" ht="13.5" hidden="1" x14ac:dyDescent="0.25">
      <c r="A9" s="134"/>
      <c r="B9" s="122" t="str">
        <f>IFERROR(VLOOKUP(H9,'[1]Consolidado MP Planta'!$A$2:$M$823,3,0),"")</f>
        <v/>
      </c>
      <c r="C9" s="135">
        <f t="shared" ref="C9:C14" si="0">+A9</f>
        <v>0</v>
      </c>
      <c r="D9" s="136" t="str">
        <f>IFERROR(VLOOKUP(H9,'[1]Consolidado MP Planta'!$A$2:$M$823,13,0),"")</f>
        <v/>
      </c>
      <c r="E9" s="136" t="str">
        <f>IFERROR(VLOOKUP(H9,'[1]Consolidado MP Planta'!$A$2:$M$823,12,0),"")</f>
        <v/>
      </c>
      <c r="F9" s="136" t="str">
        <f t="shared" ref="F9:F14" si="1">IFERROR(C9*E9,"")</f>
        <v/>
      </c>
      <c r="G9" s="137" t="str">
        <f t="shared" ref="G9:G14" si="2">IFERROR(F9/$F$66,"")</f>
        <v/>
      </c>
      <c r="H9" s="138"/>
      <c r="I9" s="138"/>
      <c r="J9" s="139"/>
    </row>
    <row r="10" spans="1:10" ht="13.5" hidden="1" x14ac:dyDescent="0.25">
      <c r="A10" s="134"/>
      <c r="B10" s="122" t="str">
        <f>IFERROR(VLOOKUP(H10,'[1]Consolidado MP Planta'!$A$2:$M$823,3,0),"")</f>
        <v/>
      </c>
      <c r="C10" s="135">
        <f t="shared" si="0"/>
        <v>0</v>
      </c>
      <c r="D10" s="136" t="str">
        <f>IFERROR(VLOOKUP(H10,'[1]Consolidado MP Planta'!$A$2:$M$823,13,0),"")</f>
        <v/>
      </c>
      <c r="E10" s="136" t="str">
        <f>IFERROR(VLOOKUP(H10,'[1]Consolidado MP Planta'!$A$2:$M$823,12,0),"")</f>
        <v/>
      </c>
      <c r="F10" s="136" t="str">
        <f t="shared" si="1"/>
        <v/>
      </c>
      <c r="G10" s="137" t="str">
        <f t="shared" si="2"/>
        <v/>
      </c>
      <c r="H10" s="138"/>
      <c r="I10" s="138"/>
      <c r="J10" s="139"/>
    </row>
    <row r="11" spans="1:10" ht="13.5" hidden="1" x14ac:dyDescent="0.25">
      <c r="A11" s="134"/>
      <c r="B11" s="122" t="str">
        <f>IFERROR(VLOOKUP(H11,'[1]Consolidado MP Planta'!$A$2:$M$823,3,0),"")</f>
        <v/>
      </c>
      <c r="C11" s="135">
        <f t="shared" si="0"/>
        <v>0</v>
      </c>
      <c r="D11" s="136" t="str">
        <f>IFERROR(VLOOKUP(H11,'[1]Consolidado MP Planta'!$A$2:$M$823,13,0),"")</f>
        <v/>
      </c>
      <c r="E11" s="136" t="str">
        <f>IFERROR(VLOOKUP(H11,'[1]Consolidado MP Planta'!$A$2:$M$823,12,0),"")</f>
        <v/>
      </c>
      <c r="F11" s="136" t="str">
        <f t="shared" si="1"/>
        <v/>
      </c>
      <c r="G11" s="137" t="str">
        <f t="shared" si="2"/>
        <v/>
      </c>
      <c r="H11" s="138"/>
      <c r="I11" s="138"/>
      <c r="J11" s="139"/>
    </row>
    <row r="12" spans="1:10" ht="13.5" hidden="1" x14ac:dyDescent="0.25">
      <c r="A12" s="134"/>
      <c r="B12" s="122" t="str">
        <f>IFERROR(VLOOKUP(H12,'[1]Consolidado MP Planta'!$A$2:$M$823,3,0),"")</f>
        <v/>
      </c>
      <c r="C12" s="135">
        <f t="shared" si="0"/>
        <v>0</v>
      </c>
      <c r="D12" s="136" t="str">
        <f>IFERROR(VLOOKUP(H12,'[1]Consolidado MP Planta'!$A$2:$M$823,13,0),"")</f>
        <v/>
      </c>
      <c r="E12" s="136" t="str">
        <f>IFERROR(VLOOKUP(H12,'[1]Consolidado MP Planta'!$A$2:$M$823,12,0),"")</f>
        <v/>
      </c>
      <c r="F12" s="136" t="str">
        <f t="shared" si="1"/>
        <v/>
      </c>
      <c r="G12" s="137" t="str">
        <f t="shared" si="2"/>
        <v/>
      </c>
      <c r="H12" s="138"/>
      <c r="I12" s="138"/>
      <c r="J12" s="139"/>
    </row>
    <row r="13" spans="1:10" ht="13.5" hidden="1" x14ac:dyDescent="0.25">
      <c r="A13" s="134"/>
      <c r="B13" s="122" t="str">
        <f>IFERROR(VLOOKUP(H13,'[1]Consolidado MP Planta'!$A$2:$M$823,3,0),"")</f>
        <v/>
      </c>
      <c r="C13" s="135">
        <f t="shared" si="0"/>
        <v>0</v>
      </c>
      <c r="D13" s="136" t="str">
        <f>IFERROR(VLOOKUP(H13,'[1]Consolidado MP Planta'!$A$2:$M$823,13,0),"")</f>
        <v/>
      </c>
      <c r="E13" s="136" t="str">
        <f>IFERROR(VLOOKUP(H13,'[1]Consolidado MP Planta'!$A$2:$M$823,12,0),"")</f>
        <v/>
      </c>
      <c r="F13" s="136" t="str">
        <f t="shared" si="1"/>
        <v/>
      </c>
      <c r="G13" s="137" t="str">
        <f t="shared" si="2"/>
        <v/>
      </c>
      <c r="H13" s="138"/>
      <c r="I13" s="138"/>
      <c r="J13" s="139"/>
    </row>
    <row r="14" spans="1:10" ht="13.5" hidden="1" x14ac:dyDescent="0.25">
      <c r="A14" s="134"/>
      <c r="B14" s="122" t="str">
        <f>IFERROR(VLOOKUP(H14,'[1]Consolidado MP Planta'!$A$2:$M$823,3,0),"")</f>
        <v/>
      </c>
      <c r="C14" s="135">
        <f t="shared" si="0"/>
        <v>0</v>
      </c>
      <c r="D14" s="136" t="str">
        <f>IFERROR(VLOOKUP(H14,'[1]Consolidado MP Planta'!$A$2:$M$823,13,0),"")</f>
        <v/>
      </c>
      <c r="E14" s="136" t="str">
        <f>IFERROR(VLOOKUP(H14,'[1]Consolidado MP Planta'!$A$2:$M$823,12,0),"")</f>
        <v/>
      </c>
      <c r="F14" s="136" t="str">
        <f t="shared" si="1"/>
        <v/>
      </c>
      <c r="G14" s="137" t="str">
        <f t="shared" si="2"/>
        <v/>
      </c>
      <c r="H14" s="138"/>
      <c r="I14" s="138"/>
      <c r="J14" s="139"/>
    </row>
    <row r="15" spans="1:10" ht="14.25" hidden="1" thickBot="1" x14ac:dyDescent="0.3">
      <c r="A15" s="134"/>
      <c r="B15" s="122" t="str">
        <f>IFERROR(VLOOKUP(H15,[2]Hoja2!$A$2:$G$589,2,0),"")</f>
        <v/>
      </c>
      <c r="C15" s="135"/>
      <c r="D15" s="136"/>
      <c r="E15" s="136"/>
      <c r="F15" s="136"/>
      <c r="G15" s="137"/>
      <c r="H15" s="138"/>
      <c r="I15" s="138"/>
      <c r="J15" s="139"/>
    </row>
    <row r="16" spans="1:10" ht="26.25" thickBot="1" x14ac:dyDescent="0.3">
      <c r="A16" s="129" t="s">
        <v>68</v>
      </c>
      <c r="B16" s="130" t="s">
        <v>75</v>
      </c>
      <c r="C16" s="130" t="s">
        <v>68</v>
      </c>
      <c r="D16" s="131" t="s">
        <v>70</v>
      </c>
      <c r="E16" s="131" t="s">
        <v>71</v>
      </c>
      <c r="F16" s="131" t="s">
        <v>72</v>
      </c>
      <c r="G16" s="131" t="s">
        <v>73</v>
      </c>
      <c r="H16" s="132" t="s">
        <v>74</v>
      </c>
      <c r="I16" s="133"/>
      <c r="J16" s="139"/>
    </row>
    <row r="17" spans="1:12" ht="13.5" x14ac:dyDescent="0.25">
      <c r="A17" s="134">
        <v>360</v>
      </c>
      <c r="B17" s="122" t="s">
        <v>115</v>
      </c>
      <c r="C17" s="135">
        <f>+A17</f>
        <v>360</v>
      </c>
      <c r="D17" s="135" t="s">
        <v>113</v>
      </c>
      <c r="E17" s="136">
        <f>+'Costo MIEL '!E69</f>
        <v>0.33746399999999999</v>
      </c>
      <c r="F17" s="136">
        <f>IFERROR(E17*C17,"")</f>
        <v>121.48703999999999</v>
      </c>
      <c r="G17" s="137">
        <f t="shared" ref="G17:G24" si="3">IFERROR(F17/$F$66,"")</f>
        <v>0.55734168050950339</v>
      </c>
      <c r="H17" s="138"/>
      <c r="I17" s="138"/>
      <c r="J17" s="139"/>
    </row>
    <row r="18" spans="1:12" ht="13.5" hidden="1" x14ac:dyDescent="0.25">
      <c r="A18" s="134"/>
      <c r="B18" s="122" t="str">
        <f>IFERROR(VLOOKUP(H18,[1]SEMIELABORADOS!$A$2:$M$6000,2,0),"")</f>
        <v/>
      </c>
      <c r="C18" s="135">
        <f t="shared" ref="C18:C24" si="4">+A18</f>
        <v>0</v>
      </c>
      <c r="D18" s="135" t="str">
        <f>IFERROR(VLOOKUP(H18,[1]SEMIELABORADOS!$A$2:$M$6000,6,0),"")</f>
        <v/>
      </c>
      <c r="E18" s="136" t="str">
        <f>IFERROR(VLOOKUP(H18,[1]SEMIELABORADOS!$A$2:$H$65536,8,0),"")</f>
        <v/>
      </c>
      <c r="F18" s="136" t="str">
        <f t="shared" ref="F18:F24" si="5">IFERROR(E18*C18,"")</f>
        <v/>
      </c>
      <c r="G18" s="137" t="str">
        <f t="shared" si="3"/>
        <v/>
      </c>
      <c r="H18" s="138"/>
      <c r="I18" s="138"/>
      <c r="J18" s="139"/>
    </row>
    <row r="19" spans="1:12" ht="13.5" hidden="1" x14ac:dyDescent="0.25">
      <c r="A19" s="134"/>
      <c r="B19" s="122" t="str">
        <f>IFERROR(VLOOKUP(H19,[1]SEMIELABORADOS!$A$2:$M$6000,2,0),"")</f>
        <v/>
      </c>
      <c r="C19" s="135">
        <f>+A19</f>
        <v>0</v>
      </c>
      <c r="D19" s="135" t="str">
        <f>IFERROR(VLOOKUP(H19,[1]SEMIELABORADOS!$A$2:$M$6000,6,0),"")</f>
        <v/>
      </c>
      <c r="E19" s="136" t="str">
        <f>IFERROR(VLOOKUP(H19,[1]SEMIELABORADOS!$A$2:$H$65536,8,0),"")</f>
        <v/>
      </c>
      <c r="F19" s="136" t="str">
        <f>IFERROR(E19*C19,"")</f>
        <v/>
      </c>
      <c r="G19" s="137" t="str">
        <f t="shared" si="3"/>
        <v/>
      </c>
      <c r="H19" s="138"/>
      <c r="I19" s="138"/>
      <c r="J19" s="139"/>
    </row>
    <row r="20" spans="1:12" ht="13.5" hidden="1" x14ac:dyDescent="0.25">
      <c r="A20" s="134"/>
      <c r="B20" s="122" t="str">
        <f>IFERROR(VLOOKUP(H20,[1]SEMIELABORADOS!$A$2:$M$6000,2,0),"")</f>
        <v/>
      </c>
      <c r="C20" s="135">
        <f>+A20</f>
        <v>0</v>
      </c>
      <c r="D20" s="135" t="str">
        <f>IFERROR(VLOOKUP(H20,[1]SEMIELABORADOS!$A$2:$M$6000,6,0),"")</f>
        <v/>
      </c>
      <c r="E20" s="136" t="str">
        <f>IFERROR(VLOOKUP(H20,[1]SEMIELABORADOS!$A$2:$H$65536,8,0),"")</f>
        <v/>
      </c>
      <c r="F20" s="136" t="str">
        <f>IFERROR(E20*C20,"")</f>
        <v/>
      </c>
      <c r="G20" s="137" t="str">
        <f t="shared" si="3"/>
        <v/>
      </c>
      <c r="H20" s="138"/>
      <c r="I20" s="138"/>
      <c r="J20" s="139"/>
    </row>
    <row r="21" spans="1:12" ht="13.5" hidden="1" x14ac:dyDescent="0.25">
      <c r="A21" s="134"/>
      <c r="B21" s="122" t="str">
        <f>IFERROR(VLOOKUP(H21,[1]SEMIELABORADOS!$A$2:$M$6000,2,0),"")</f>
        <v/>
      </c>
      <c r="C21" s="135">
        <f>+A21</f>
        <v>0</v>
      </c>
      <c r="D21" s="135" t="str">
        <f>IFERROR(VLOOKUP(H21,[1]SEMIELABORADOS!$A$2:$M$6000,6,0),"")</f>
        <v/>
      </c>
      <c r="E21" s="136" t="str">
        <f>IFERROR(VLOOKUP(H21,[1]SEMIELABORADOS!$A$2:$H$65536,8,0),"")</f>
        <v/>
      </c>
      <c r="F21" s="136" t="str">
        <f>IFERROR(E21*C21,"")</f>
        <v/>
      </c>
      <c r="G21" s="137" t="str">
        <f t="shared" si="3"/>
        <v/>
      </c>
      <c r="H21" s="138"/>
      <c r="I21" s="138"/>
      <c r="J21" s="139"/>
    </row>
    <row r="22" spans="1:12" ht="13.5" hidden="1" x14ac:dyDescent="0.25">
      <c r="A22" s="134"/>
      <c r="B22" s="122" t="str">
        <f>IFERROR(VLOOKUP(H22,[1]SEMIELABORADOS!$A$2:$M$6000,2,0),"")</f>
        <v/>
      </c>
      <c r="C22" s="135">
        <f t="shared" si="4"/>
        <v>0</v>
      </c>
      <c r="D22" s="135" t="str">
        <f>IFERROR(VLOOKUP(H22,[1]SEMIELABORADOS!$A$2:$M$6000,6,0),"")</f>
        <v/>
      </c>
      <c r="E22" s="136" t="str">
        <f>IFERROR(VLOOKUP(H22,[1]SEMIELABORADOS!$A$2:$H$65536,8,0),"")</f>
        <v/>
      </c>
      <c r="F22" s="136" t="str">
        <f t="shared" si="5"/>
        <v/>
      </c>
      <c r="G22" s="137" t="str">
        <f t="shared" si="3"/>
        <v/>
      </c>
      <c r="H22" s="138"/>
      <c r="I22" s="138"/>
      <c r="J22" s="139"/>
    </row>
    <row r="23" spans="1:12" ht="13.5" hidden="1" x14ac:dyDescent="0.25">
      <c r="A23" s="134"/>
      <c r="B23" s="122" t="str">
        <f>IFERROR(VLOOKUP(H23,[1]SEMIELABORADOS!$A$2:$M$6000,2,0),"")</f>
        <v/>
      </c>
      <c r="C23" s="135">
        <f t="shared" si="4"/>
        <v>0</v>
      </c>
      <c r="D23" s="135" t="str">
        <f>IFERROR(VLOOKUP(H23,[1]SEMIELABORADOS!$A$2:$M$6000,6,0),"")</f>
        <v/>
      </c>
      <c r="E23" s="136" t="str">
        <f>IFERROR(VLOOKUP(H23,[1]SEMIELABORADOS!$A$2:$H$65536,8,0),"")</f>
        <v/>
      </c>
      <c r="F23" s="136" t="str">
        <f t="shared" si="5"/>
        <v/>
      </c>
      <c r="G23" s="137" t="str">
        <f t="shared" si="3"/>
        <v/>
      </c>
      <c r="H23" s="138"/>
      <c r="I23" s="138"/>
      <c r="J23" s="139"/>
    </row>
    <row r="24" spans="1:12" ht="13.5" hidden="1" x14ac:dyDescent="0.25">
      <c r="A24" s="134"/>
      <c r="B24" s="122" t="str">
        <f>IFERROR(VLOOKUP(H24,[1]SEMIELABORADOS!$A$2:$M$6000,2,0),"")</f>
        <v/>
      </c>
      <c r="C24" s="135">
        <f t="shared" si="4"/>
        <v>0</v>
      </c>
      <c r="D24" s="135" t="str">
        <f>IFERROR(VLOOKUP(H24,[1]SEMIELABORADOS!$A$2:$M$6000,6,0),"")</f>
        <v/>
      </c>
      <c r="E24" s="136" t="str">
        <f>IFERROR(VLOOKUP(H24,[1]SEMIELABORADOS!$A$2:$H$65536,8,0),"")</f>
        <v/>
      </c>
      <c r="F24" s="136" t="str">
        <f t="shared" si="5"/>
        <v/>
      </c>
      <c r="G24" s="137" t="str">
        <f t="shared" si="3"/>
        <v/>
      </c>
      <c r="H24" s="138"/>
      <c r="I24" s="138"/>
      <c r="J24" s="139"/>
    </row>
    <row r="25" spans="1:12" ht="14.25" thickBot="1" x14ac:dyDescent="0.3">
      <c r="A25" s="134"/>
      <c r="C25" s="135"/>
      <c r="D25" s="135"/>
      <c r="E25" s="136"/>
      <c r="F25" s="136"/>
      <c r="G25" s="137"/>
      <c r="H25" s="138"/>
      <c r="I25" s="138"/>
      <c r="J25" s="139"/>
    </row>
    <row r="26" spans="1:12" ht="26.25" thickBot="1" x14ac:dyDescent="0.3">
      <c r="A26" s="129" t="s">
        <v>68</v>
      </c>
      <c r="B26" s="130" t="s">
        <v>34</v>
      </c>
      <c r="C26" s="130" t="s">
        <v>68</v>
      </c>
      <c r="D26" s="131" t="s">
        <v>70</v>
      </c>
      <c r="E26" s="131" t="s">
        <v>71</v>
      </c>
      <c r="F26" s="131" t="s">
        <v>72</v>
      </c>
      <c r="G26" s="131" t="s">
        <v>73</v>
      </c>
      <c r="H26" s="132" t="s">
        <v>74</v>
      </c>
      <c r="I26" s="133"/>
    </row>
    <row r="27" spans="1:12" ht="15.75" x14ac:dyDescent="0.25">
      <c r="A27" s="134">
        <v>1</v>
      </c>
      <c r="B27" s="108" t="s">
        <v>42</v>
      </c>
      <c r="C27" s="135">
        <f t="shared" ref="C27:C32" si="6">+A27</f>
        <v>1</v>
      </c>
      <c r="D27" s="136" t="s">
        <v>114</v>
      </c>
      <c r="E27" s="136">
        <v>15</v>
      </c>
      <c r="F27" s="136">
        <f t="shared" ref="F27:F32" si="7">IFERROR(C27*E27,"")</f>
        <v>15</v>
      </c>
      <c r="G27" s="137">
        <f t="shared" ref="G27:G32" si="8">IFERROR(F27/$F$66,"")</f>
        <v>6.8814955139598039E-2</v>
      </c>
      <c r="H27" s="141" t="s">
        <v>41</v>
      </c>
      <c r="I27" s="141"/>
      <c r="J27" s="139"/>
      <c r="K27" s="376"/>
      <c r="L27" s="376"/>
    </row>
    <row r="28" spans="1:12" ht="13.5" x14ac:dyDescent="0.25">
      <c r="A28" s="134">
        <v>1</v>
      </c>
      <c r="B28" s="140" t="str">
        <f>IFERROR(VLOOKUP(H28,'[1]Consolidado MP Planta'!$A$2:$M$823,3,0),"")</f>
        <v>ETIQ.BLANCA 1 1/4 * 3/4 (UND)</v>
      </c>
      <c r="C28" s="135">
        <f t="shared" si="6"/>
        <v>1</v>
      </c>
      <c r="D28" s="136" t="str">
        <f>IFERROR(VLOOKUP(H28,'[1]Consolidado MP Planta'!$A$2:$M$823,13,0),"")</f>
        <v>Und</v>
      </c>
      <c r="E28" s="136">
        <f>IFERROR(VLOOKUP(H28,'[1]Consolidado MP Planta'!$A$2:$M$823,12,0),"")</f>
        <v>0.57999999999999996</v>
      </c>
      <c r="F28" s="136">
        <f t="shared" si="7"/>
        <v>0.57999999999999996</v>
      </c>
      <c r="G28" s="137">
        <f t="shared" si="8"/>
        <v>2.6608449320644572E-3</v>
      </c>
      <c r="H28" s="141" t="s">
        <v>47</v>
      </c>
      <c r="I28" s="141"/>
      <c r="J28" s="139"/>
      <c r="K28" s="376"/>
      <c r="L28" s="376"/>
    </row>
    <row r="29" spans="1:12" ht="13.5" x14ac:dyDescent="0.25">
      <c r="A29" s="134">
        <v>1</v>
      </c>
      <c r="B29" s="140" t="str">
        <f>IFERROR(VLOOKUP(H29,'[1]Consolidado MP Planta'!$A$2:$M$823,3,0),"")</f>
        <v>ETIQ.FECHA VENCIMIENTO VERDE (ROLLO)</v>
      </c>
      <c r="C29" s="135">
        <f t="shared" si="6"/>
        <v>1</v>
      </c>
      <c r="D29" s="136" t="str">
        <f>IFERROR(VLOOKUP(H29,'[1]Consolidado MP Planta'!$A$2:$M$823,13,0),"")</f>
        <v>Und</v>
      </c>
      <c r="E29" s="136">
        <f>IFERROR(VLOOKUP(H29,'[1]Consolidado MP Planta'!$A$2:$M$823,12,0),"")</f>
        <v>0.33333333333333331</v>
      </c>
      <c r="F29" s="136">
        <f t="shared" si="7"/>
        <v>0.33333333333333331</v>
      </c>
      <c r="G29" s="137">
        <f t="shared" si="8"/>
        <v>1.5292212253244007E-3</v>
      </c>
      <c r="H29" s="141" t="s">
        <v>50</v>
      </c>
      <c r="I29" s="141"/>
      <c r="J29" s="139"/>
      <c r="K29" s="376"/>
      <c r="L29" s="376"/>
    </row>
    <row r="30" spans="1:12" ht="13.5" hidden="1" x14ac:dyDescent="0.25">
      <c r="A30" s="134"/>
      <c r="B30" s="140" t="str">
        <f>IFERROR(VLOOKUP(H30,'[1]Consolidado MP Planta'!$A$2:$M$823,3,0),"")</f>
        <v/>
      </c>
      <c r="C30" s="135">
        <f t="shared" si="6"/>
        <v>0</v>
      </c>
      <c r="D30" s="136" t="str">
        <f>IFERROR(VLOOKUP(H30,'[1]Consolidado MP Planta'!$A$2:$M$823,13,0),"")</f>
        <v/>
      </c>
      <c r="E30" s="136" t="str">
        <f>IFERROR(VLOOKUP(H30,'[1]Consolidado MP Planta'!$A$2:$M$823,12,0),"")</f>
        <v/>
      </c>
      <c r="F30" s="136" t="str">
        <f t="shared" si="7"/>
        <v/>
      </c>
      <c r="G30" s="137" t="str">
        <f t="shared" si="8"/>
        <v/>
      </c>
      <c r="H30" s="141"/>
      <c r="I30" s="141"/>
      <c r="J30" s="139"/>
      <c r="K30" s="376"/>
      <c r="L30" s="376"/>
    </row>
    <row r="31" spans="1:12" ht="13.5" hidden="1" x14ac:dyDescent="0.25">
      <c r="A31" s="134"/>
      <c r="B31" s="140" t="str">
        <f>IFERROR(VLOOKUP(H31,'[1]Consolidado MP Planta'!$A$2:$M$823,3,0),"")</f>
        <v/>
      </c>
      <c r="C31" s="135">
        <f t="shared" si="6"/>
        <v>0</v>
      </c>
      <c r="D31" s="136" t="str">
        <f>IFERROR(VLOOKUP(H31,'[1]Consolidado MP Planta'!$A$2:$M$823,13,0),"")</f>
        <v/>
      </c>
      <c r="E31" s="136" t="str">
        <f>IFERROR(VLOOKUP(H31,'[1]Consolidado MP Planta'!$A$2:$M$823,12,0),"")</f>
        <v/>
      </c>
      <c r="F31" s="136" t="str">
        <f t="shared" si="7"/>
        <v/>
      </c>
      <c r="G31" s="137" t="str">
        <f t="shared" si="8"/>
        <v/>
      </c>
      <c r="H31" s="141"/>
      <c r="I31" s="141"/>
      <c r="J31" s="139"/>
      <c r="K31" s="142"/>
      <c r="L31" s="143"/>
    </row>
    <row r="32" spans="1:12" ht="13.5" hidden="1" x14ac:dyDescent="0.25">
      <c r="A32" s="134"/>
      <c r="B32" s="140" t="str">
        <f>IFERROR(VLOOKUP(H32,'[1]Consolidado MP Planta'!$A$2:$M$823,3,0),"")</f>
        <v/>
      </c>
      <c r="C32" s="135">
        <f t="shared" si="6"/>
        <v>0</v>
      </c>
      <c r="D32" s="136" t="str">
        <f>IFERROR(VLOOKUP(H32,'[1]Consolidado MP Planta'!$A$2:$M$823,13,0),"")</f>
        <v/>
      </c>
      <c r="E32" s="136" t="str">
        <f>IFERROR(VLOOKUP(H32,'[1]Consolidado MP Planta'!$A$2:$M$823,12,0),"")</f>
        <v/>
      </c>
      <c r="F32" s="136" t="str">
        <f t="shared" si="7"/>
        <v/>
      </c>
      <c r="G32" s="137" t="str">
        <f t="shared" si="8"/>
        <v/>
      </c>
      <c r="H32" s="141"/>
      <c r="I32" s="141"/>
      <c r="J32" s="139"/>
    </row>
    <row r="33" spans="1:13" ht="14.25" thickBot="1" x14ac:dyDescent="0.3">
      <c r="A33" s="134"/>
      <c r="B33" s="140"/>
      <c r="C33" s="135"/>
      <c r="D33" s="136"/>
      <c r="E33" s="136"/>
      <c r="F33" s="136"/>
      <c r="G33" s="137"/>
      <c r="H33" s="141"/>
      <c r="I33" s="141"/>
      <c r="J33" s="139"/>
    </row>
    <row r="34" spans="1:13" ht="26.25" thickBot="1" x14ac:dyDescent="0.25">
      <c r="A34" s="129" t="s">
        <v>68</v>
      </c>
      <c r="B34" s="130" t="s">
        <v>76</v>
      </c>
      <c r="C34" s="130" t="s">
        <v>68</v>
      </c>
      <c r="D34" s="131" t="s">
        <v>70</v>
      </c>
      <c r="E34" s="131" t="s">
        <v>71</v>
      </c>
      <c r="F34" s="131" t="s">
        <v>72</v>
      </c>
      <c r="G34" s="131" t="s">
        <v>73</v>
      </c>
      <c r="H34" s="132" t="s">
        <v>74</v>
      </c>
      <c r="I34" s="141"/>
      <c r="J34" s="139"/>
    </row>
    <row r="35" spans="1:13" ht="13.5" x14ac:dyDescent="0.25">
      <c r="A35" s="134">
        <f>+A17</f>
        <v>360</v>
      </c>
      <c r="B35" s="140" t="s">
        <v>115</v>
      </c>
      <c r="C35" s="135">
        <f>+A35</f>
        <v>360</v>
      </c>
      <c r="D35" s="136" t="s">
        <v>113</v>
      </c>
      <c r="E35" s="136">
        <f>+'Costo MIEL '!E76</f>
        <v>3.182666666666667E-3</v>
      </c>
      <c r="F35" s="136">
        <f>IFERROR(E35*C35,"")</f>
        <v>1.1457600000000001</v>
      </c>
      <c r="G35" s="137">
        <f t="shared" ref="G35:G41" si="9">IFERROR(F35/$F$66,"")</f>
        <v>5.2563615333830567E-3</v>
      </c>
      <c r="H35" s="141"/>
      <c r="I35" s="141"/>
      <c r="J35" s="139"/>
    </row>
    <row r="36" spans="1:13" ht="13.5" hidden="1" x14ac:dyDescent="0.25">
      <c r="A36" s="134">
        <f t="shared" ref="A36:A41" si="10">+A18</f>
        <v>0</v>
      </c>
      <c r="B36" s="140" t="str">
        <f>IFERROR(VLOOKUP(H36,[1]SEMIELABORADOS!$A$2:$M$6000,2,0),"")</f>
        <v/>
      </c>
      <c r="C36" s="135">
        <f t="shared" ref="C36:C41" si="11">+A36</f>
        <v>0</v>
      </c>
      <c r="D36" s="136" t="str">
        <f>IFERROR(VLOOKUP(H36,[1]SEMIELABORADOS!$A$2:$M$6000,6,0),"")</f>
        <v/>
      </c>
      <c r="E36" s="136" t="str">
        <f>IFERROR(VLOOKUP(H36,[1]SEMIELABORADOS!$A$2:$M$65536,10,0),"")</f>
        <v/>
      </c>
      <c r="F36" s="136" t="str">
        <f t="shared" ref="F36:F41" si="12">IFERROR(E36*C36,"")</f>
        <v/>
      </c>
      <c r="G36" s="137" t="str">
        <f t="shared" si="9"/>
        <v/>
      </c>
      <c r="H36" s="141"/>
      <c r="I36" s="141"/>
      <c r="J36" s="139"/>
    </row>
    <row r="37" spans="1:13" ht="13.5" hidden="1" x14ac:dyDescent="0.25">
      <c r="A37" s="134">
        <f t="shared" si="10"/>
        <v>0</v>
      </c>
      <c r="B37" s="140" t="str">
        <f>IFERROR(VLOOKUP(H37,[1]SEMIELABORADOS!$A$2:$M$6000,2,0),"")</f>
        <v/>
      </c>
      <c r="C37" s="135">
        <f t="shared" si="11"/>
        <v>0</v>
      </c>
      <c r="D37" s="136" t="str">
        <f>IFERROR(VLOOKUP(H37,[1]SEMIELABORADOS!$A$2:$M$6000,6,0),"")</f>
        <v/>
      </c>
      <c r="E37" s="136" t="str">
        <f>IFERROR(VLOOKUP(H37,[1]SEMIELABORADOS!$A$2:$M$65536,10,0),"")</f>
        <v/>
      </c>
      <c r="F37" s="136" t="str">
        <f t="shared" si="12"/>
        <v/>
      </c>
      <c r="G37" s="137" t="str">
        <f t="shared" si="9"/>
        <v/>
      </c>
      <c r="H37" s="141"/>
      <c r="I37" s="141"/>
      <c r="J37" s="139"/>
    </row>
    <row r="38" spans="1:13" ht="13.5" hidden="1" x14ac:dyDescent="0.25">
      <c r="A38" s="134">
        <f t="shared" si="10"/>
        <v>0</v>
      </c>
      <c r="B38" s="140" t="str">
        <f>IFERROR(VLOOKUP(H38,[1]SEMIELABORADOS!$A$2:$M$6000,2,0),"")</f>
        <v/>
      </c>
      <c r="C38" s="135">
        <f>+A38</f>
        <v>0</v>
      </c>
      <c r="D38" s="136" t="str">
        <f>IFERROR(VLOOKUP(H38,[1]SEMIELABORADOS!$A$2:$M$6000,6,0),"")</f>
        <v/>
      </c>
      <c r="E38" s="136" t="str">
        <f>IFERROR(VLOOKUP(H38,[1]SEMIELABORADOS!$A$2:$M$65536,10,0),"")</f>
        <v/>
      </c>
      <c r="F38" s="136" t="str">
        <f>IFERROR(E38*C38,"")</f>
        <v/>
      </c>
      <c r="G38" s="137" t="str">
        <f t="shared" si="9"/>
        <v/>
      </c>
      <c r="H38" s="141"/>
      <c r="I38" s="141"/>
      <c r="J38" s="139"/>
    </row>
    <row r="39" spans="1:13" ht="13.5" hidden="1" x14ac:dyDescent="0.25">
      <c r="A39" s="134">
        <f t="shared" si="10"/>
        <v>0</v>
      </c>
      <c r="B39" s="140" t="str">
        <f>IFERROR(VLOOKUP(H39,[1]SEMIELABORADOS!$A$2:$M$6000,2,0),"")</f>
        <v/>
      </c>
      <c r="C39" s="135">
        <f>+A39</f>
        <v>0</v>
      </c>
      <c r="D39" s="136" t="str">
        <f>IFERROR(VLOOKUP(H39,[1]SEMIELABORADOS!$A$2:$M$6000,6,0),"")</f>
        <v/>
      </c>
      <c r="E39" s="136" t="str">
        <f>IFERROR(VLOOKUP(H39,[1]SEMIELABORADOS!$A$2:$M$65536,10,0),"")</f>
        <v/>
      </c>
      <c r="F39" s="136" t="str">
        <f>IFERROR(E39*C39,"")</f>
        <v/>
      </c>
      <c r="G39" s="137" t="str">
        <f t="shared" si="9"/>
        <v/>
      </c>
      <c r="H39" s="141"/>
      <c r="I39" s="141"/>
      <c r="J39" s="139"/>
    </row>
    <row r="40" spans="1:13" ht="13.5" hidden="1" x14ac:dyDescent="0.25">
      <c r="A40" s="134">
        <f t="shared" si="10"/>
        <v>0</v>
      </c>
      <c r="B40" s="140" t="str">
        <f>IFERROR(VLOOKUP(H40,[1]SEMIELABORADOS!$A$2:$M$6000,2,0),"")</f>
        <v/>
      </c>
      <c r="C40" s="135">
        <f t="shared" si="11"/>
        <v>0</v>
      </c>
      <c r="D40" s="136" t="str">
        <f>IFERROR(VLOOKUP(H40,[1]SEMIELABORADOS!$A$2:$M$6000,6,0),"")</f>
        <v/>
      </c>
      <c r="E40" s="136" t="str">
        <f>IFERROR(VLOOKUP(H40,[1]SEMIELABORADOS!$A$2:$M$65536,10,0),"")</f>
        <v/>
      </c>
      <c r="F40" s="136" t="str">
        <f t="shared" si="12"/>
        <v/>
      </c>
      <c r="G40" s="137" t="str">
        <f t="shared" si="9"/>
        <v/>
      </c>
      <c r="H40" s="141"/>
      <c r="I40" s="141"/>
      <c r="J40" s="139"/>
    </row>
    <row r="41" spans="1:13" ht="13.5" hidden="1" x14ac:dyDescent="0.25">
      <c r="A41" s="134">
        <f t="shared" si="10"/>
        <v>0</v>
      </c>
      <c r="B41" s="140" t="str">
        <f>IFERROR(VLOOKUP(H41,[1]SEMIELABORADOS!$A$2:$M$6000,2,0),"")</f>
        <v/>
      </c>
      <c r="C41" s="135">
        <f t="shared" si="11"/>
        <v>0</v>
      </c>
      <c r="D41" s="136" t="str">
        <f>IFERROR(VLOOKUP(H41,[1]SEMIELABORADOS!$A$2:$M$6000,6,0),"")</f>
        <v/>
      </c>
      <c r="E41" s="136" t="str">
        <f>IFERROR(VLOOKUP(H41,[1]SEMIELABORADOS!$A$2:$M$65536,10,0),"")</f>
        <v/>
      </c>
      <c r="F41" s="136" t="str">
        <f t="shared" si="12"/>
        <v/>
      </c>
      <c r="G41" s="137" t="str">
        <f t="shared" si="9"/>
        <v/>
      </c>
      <c r="H41" s="141"/>
      <c r="I41" s="141"/>
      <c r="J41" s="139"/>
    </row>
    <row r="42" spans="1:13" ht="14.25" thickBot="1" x14ac:dyDescent="0.3">
      <c r="A42" s="134"/>
      <c r="B42" s="140"/>
      <c r="C42" s="135"/>
      <c r="D42" s="136"/>
      <c r="E42" s="136"/>
      <c r="F42" s="136"/>
      <c r="G42" s="137"/>
      <c r="H42" s="141"/>
      <c r="I42" s="141"/>
      <c r="J42" s="139"/>
    </row>
    <row r="43" spans="1:13" ht="26.25" thickBot="1" x14ac:dyDescent="0.3">
      <c r="A43" s="129" t="s">
        <v>68</v>
      </c>
      <c r="B43" s="130" t="s">
        <v>77</v>
      </c>
      <c r="C43" s="130" t="s">
        <v>68</v>
      </c>
      <c r="D43" s="131" t="s">
        <v>70</v>
      </c>
      <c r="E43" s="131" t="s">
        <v>71</v>
      </c>
      <c r="F43" s="131" t="s">
        <v>72</v>
      </c>
      <c r="G43" s="131" t="s">
        <v>73</v>
      </c>
      <c r="H43" s="132" t="s">
        <v>74</v>
      </c>
      <c r="I43" s="133"/>
      <c r="J43" s="139"/>
    </row>
    <row r="44" spans="1:13" ht="13.5" x14ac:dyDescent="0.25">
      <c r="A44" s="134">
        <f>+A35</f>
        <v>360</v>
      </c>
      <c r="B44" s="140" t="s">
        <v>115</v>
      </c>
      <c r="C44" s="135">
        <f>+A44</f>
        <v>360</v>
      </c>
      <c r="D44" s="136" t="s">
        <v>113</v>
      </c>
      <c r="E44" s="136">
        <f>+'Costo MIEL '!E74</f>
        <v>0.154</v>
      </c>
      <c r="F44" s="136">
        <f>IFERROR(E44*C44,"")</f>
        <v>55.44</v>
      </c>
      <c r="G44" s="137">
        <f>IFERROR(F44/$F$66,"")</f>
        <v>0.25434007419595434</v>
      </c>
      <c r="H44" s="141"/>
      <c r="I44" s="133"/>
      <c r="J44" s="139"/>
    </row>
    <row r="45" spans="1:13" ht="13.5" hidden="1" x14ac:dyDescent="0.25">
      <c r="A45" s="134">
        <f t="shared" ref="A45:A50" si="13">+A36</f>
        <v>0</v>
      </c>
      <c r="B45" s="140" t="str">
        <f>IFERROR(VLOOKUP(H45,[1]SEMIELABORADOS!$A$2:$M$6000,2,0),"")</f>
        <v/>
      </c>
      <c r="C45" s="135">
        <f t="shared" ref="C45:C50" si="14">+A45</f>
        <v>0</v>
      </c>
      <c r="D45" s="136" t="str">
        <f>IFERROR(VLOOKUP(H45,[1]SEMIELABORADOS!$A$2:$M$6000,6,0),"")</f>
        <v/>
      </c>
      <c r="E45" s="136" t="str">
        <f>IFERROR(VLOOKUP(H45,[1]SEMIELABORADOS!$A$2:$M$65536,12,0),"")</f>
        <v/>
      </c>
      <c r="F45" s="136" t="str">
        <f t="shared" ref="F45:F50" si="15">IFERROR(E45*C45,"")</f>
        <v/>
      </c>
      <c r="G45" s="137" t="str">
        <f t="shared" ref="G45:G50" si="16">IFERROR(F45/$F$66,"")</f>
        <v/>
      </c>
      <c r="H45" s="141"/>
      <c r="I45" s="133"/>
      <c r="J45" s="139"/>
      <c r="M45" s="144"/>
    </row>
    <row r="46" spans="1:13" ht="13.5" hidden="1" x14ac:dyDescent="0.25">
      <c r="A46" s="134">
        <f t="shared" si="13"/>
        <v>0</v>
      </c>
      <c r="B46" s="140" t="str">
        <f>IFERROR(VLOOKUP(H46,[1]SEMIELABORADOS!$A$2:$M$6000,2,0),"")</f>
        <v/>
      </c>
      <c r="C46" s="135">
        <f t="shared" si="14"/>
        <v>0</v>
      </c>
      <c r="D46" s="136" t="str">
        <f>IFERROR(VLOOKUP(H46,[1]SEMIELABORADOS!$A$2:$M$6000,6,0),"")</f>
        <v/>
      </c>
      <c r="E46" s="136" t="str">
        <f>IFERROR(VLOOKUP(H46,[1]SEMIELABORADOS!$A$2:$M$65536,12,0),"")</f>
        <v/>
      </c>
      <c r="F46" s="136" t="str">
        <f t="shared" si="15"/>
        <v/>
      </c>
      <c r="G46" s="137" t="str">
        <f t="shared" si="16"/>
        <v/>
      </c>
      <c r="H46" s="141"/>
      <c r="I46" s="133"/>
      <c r="J46" s="139"/>
    </row>
    <row r="47" spans="1:13" ht="13.5" hidden="1" x14ac:dyDescent="0.25">
      <c r="A47" s="134">
        <f t="shared" si="13"/>
        <v>0</v>
      </c>
      <c r="B47" s="140" t="str">
        <f>IFERROR(VLOOKUP(H47,[1]SEMIELABORADOS!$A$2:$M$6000,2,0),"")</f>
        <v/>
      </c>
      <c r="C47" s="135">
        <f t="shared" si="14"/>
        <v>0</v>
      </c>
      <c r="D47" s="136" t="str">
        <f>IFERROR(VLOOKUP(H47,[1]SEMIELABORADOS!$A$2:$M$6000,6,0),"")</f>
        <v/>
      </c>
      <c r="E47" s="136" t="str">
        <f>IFERROR(VLOOKUP(H47,[1]SEMIELABORADOS!$A$2:$M$65536,12,0),"")</f>
        <v/>
      </c>
      <c r="F47" s="136" t="str">
        <f t="shared" si="15"/>
        <v/>
      </c>
      <c r="G47" s="137" t="str">
        <f t="shared" si="16"/>
        <v/>
      </c>
      <c r="H47" s="141"/>
      <c r="I47" s="133"/>
      <c r="J47" s="139"/>
    </row>
    <row r="48" spans="1:13" ht="13.5" hidden="1" x14ac:dyDescent="0.25">
      <c r="A48" s="134">
        <f t="shared" si="13"/>
        <v>0</v>
      </c>
      <c r="B48" s="140" t="str">
        <f>IFERROR(VLOOKUP(H48,[1]SEMIELABORADOS!$A$2:$M$6000,2,0),"")</f>
        <v/>
      </c>
      <c r="C48" s="135">
        <f t="shared" si="14"/>
        <v>0</v>
      </c>
      <c r="D48" s="136" t="str">
        <f>IFERROR(VLOOKUP(H48,[1]SEMIELABORADOS!$A$2:$M$6000,6,0),"")</f>
        <v/>
      </c>
      <c r="E48" s="136" t="str">
        <f>IFERROR(VLOOKUP(H48,[1]SEMIELABORADOS!$A$2:$M$65536,12,0),"")</f>
        <v/>
      </c>
      <c r="F48" s="136" t="str">
        <f t="shared" si="15"/>
        <v/>
      </c>
      <c r="G48" s="137" t="str">
        <f t="shared" si="16"/>
        <v/>
      </c>
      <c r="H48" s="141"/>
      <c r="I48" s="133"/>
      <c r="J48" s="139"/>
    </row>
    <row r="49" spans="1:17" ht="13.5" hidden="1" x14ac:dyDescent="0.25">
      <c r="A49" s="134">
        <f t="shared" si="13"/>
        <v>0</v>
      </c>
      <c r="B49" s="140" t="str">
        <f>IFERROR(VLOOKUP(H49,[1]SEMIELABORADOS!$A$2:$M$6000,2,0),"")</f>
        <v/>
      </c>
      <c r="C49" s="135">
        <f t="shared" si="14"/>
        <v>0</v>
      </c>
      <c r="D49" s="136" t="str">
        <f>IFERROR(VLOOKUP(H49,[1]SEMIELABORADOS!$A$2:$M$6000,6,0),"")</f>
        <v/>
      </c>
      <c r="E49" s="136" t="str">
        <f>IFERROR(VLOOKUP(H49,[1]SEMIELABORADOS!$A$2:$M$65536,12,0),"")</f>
        <v/>
      </c>
      <c r="F49" s="136" t="str">
        <f t="shared" si="15"/>
        <v/>
      </c>
      <c r="G49" s="137" t="str">
        <f t="shared" si="16"/>
        <v/>
      </c>
      <c r="H49" s="141"/>
      <c r="I49" s="133"/>
      <c r="J49" s="139"/>
    </row>
    <row r="50" spans="1:17" ht="13.5" hidden="1" x14ac:dyDescent="0.25">
      <c r="A50" s="134">
        <f t="shared" si="13"/>
        <v>0</v>
      </c>
      <c r="B50" s="140" t="str">
        <f>IFERROR(VLOOKUP(H50,[1]SEMIELABORADOS!$A$2:$M$6000,2,0),"")</f>
        <v/>
      </c>
      <c r="C50" s="135">
        <f t="shared" si="14"/>
        <v>0</v>
      </c>
      <c r="D50" s="136" t="str">
        <f>IFERROR(VLOOKUP(H50,[1]SEMIELABORADOS!$A$2:$M$6000,6,0),"")</f>
        <v/>
      </c>
      <c r="E50" s="136" t="str">
        <f>IFERROR(VLOOKUP(H50,[1]SEMIELABORADOS!$A$2:$M$65536,12,0),"")</f>
        <v/>
      </c>
      <c r="F50" s="136" t="str">
        <f t="shared" si="15"/>
        <v/>
      </c>
      <c r="G50" s="137" t="str">
        <f t="shared" si="16"/>
        <v/>
      </c>
      <c r="H50" s="140"/>
      <c r="I50" s="133"/>
      <c r="J50" s="139"/>
    </row>
    <row r="51" spans="1:17" ht="13.5" x14ac:dyDescent="0.25">
      <c r="A51" s="134">
        <v>1</v>
      </c>
      <c r="B51" s="140" t="s">
        <v>78</v>
      </c>
      <c r="C51" s="135">
        <f>+A51</f>
        <v>1</v>
      </c>
      <c r="D51" s="135" t="s">
        <v>79</v>
      </c>
      <c r="E51" s="136">
        <f>+F65</f>
        <v>77</v>
      </c>
      <c r="F51" s="136">
        <f>IFERROR(C51*E51,"")</f>
        <v>77</v>
      </c>
      <c r="G51" s="137">
        <f>IFERROR(F51/$F$66,"")</f>
        <v>0.35325010304993659</v>
      </c>
      <c r="H51" s="145"/>
      <c r="I51" s="145"/>
      <c r="J51" s="139"/>
    </row>
    <row r="52" spans="1:17" ht="14.25" thickBot="1" x14ac:dyDescent="0.3">
      <c r="A52" s="134"/>
      <c r="B52" s="140"/>
      <c r="C52" s="135"/>
      <c r="D52" s="135"/>
      <c r="E52" s="136"/>
      <c r="F52" s="136"/>
      <c r="G52" s="137"/>
      <c r="H52" s="145"/>
      <c r="I52" s="145"/>
      <c r="J52" s="139"/>
    </row>
    <row r="53" spans="1:17" ht="13.5" thickBot="1" x14ac:dyDescent="0.3">
      <c r="A53" s="146"/>
      <c r="B53" s="377" t="s">
        <v>80</v>
      </c>
      <c r="C53" s="377"/>
      <c r="D53" s="377"/>
      <c r="E53" s="377"/>
      <c r="F53" s="148">
        <f>SUM(F8:F14,F17:F24)</f>
        <v>121.48703999999999</v>
      </c>
      <c r="G53" s="137">
        <f>+F53/$F$66</f>
        <v>0.55734168050950339</v>
      </c>
      <c r="H53" s="149">
        <f>+F53/$D$60</f>
        <v>121.48703999999999</v>
      </c>
      <c r="I53" s="149"/>
      <c r="J53" s="150"/>
      <c r="K53" s="151"/>
      <c r="L53" s="151"/>
      <c r="M53" s="151"/>
      <c r="N53" s="151"/>
      <c r="O53" s="151"/>
      <c r="P53" s="151"/>
      <c r="Q53" s="152"/>
    </row>
    <row r="54" spans="1:17" x14ac:dyDescent="0.2">
      <c r="A54" s="146"/>
      <c r="B54" s="377" t="s">
        <v>81</v>
      </c>
      <c r="C54" s="377"/>
      <c r="D54" s="377"/>
      <c r="E54" s="377"/>
      <c r="F54" s="148">
        <f>SUM(F27:F32,F35:F41)</f>
        <v>17.059093333333333</v>
      </c>
      <c r="G54" s="137">
        <f>+F54/$F$66</f>
        <v>7.8261382830369944E-2</v>
      </c>
      <c r="H54" s="149">
        <f>+F54/$D$60</f>
        <v>17.059093333333333</v>
      </c>
      <c r="I54" s="149"/>
      <c r="J54" s="153"/>
      <c r="K54" s="378" t="s">
        <v>82</v>
      </c>
      <c r="L54" s="379"/>
      <c r="M54" s="379"/>
      <c r="N54" s="379"/>
      <c r="O54" s="154">
        <f>+F55</f>
        <v>138.54613333333333</v>
      </c>
      <c r="P54" s="154"/>
      <c r="Q54" s="155"/>
    </row>
    <row r="55" spans="1:17" x14ac:dyDescent="0.2">
      <c r="A55" s="146"/>
      <c r="B55" s="377" t="s">
        <v>83</v>
      </c>
      <c r="C55" s="377"/>
      <c r="D55" s="377"/>
      <c r="E55" s="377"/>
      <c r="F55" s="148">
        <f>+F53+F54</f>
        <v>138.54613333333333</v>
      </c>
      <c r="G55" s="137">
        <f>+F55/$F$66</f>
        <v>0.63560306333987338</v>
      </c>
      <c r="H55" s="149">
        <f>+F55/$D$60</f>
        <v>138.54613333333333</v>
      </c>
      <c r="I55" s="149"/>
      <c r="J55" s="156"/>
      <c r="K55" s="157"/>
      <c r="M55" s="158" t="s">
        <v>84</v>
      </c>
      <c r="N55" s="159"/>
      <c r="O55" s="154">
        <f>+H56</f>
        <v>132.44</v>
      </c>
      <c r="P55" s="154"/>
      <c r="Q55" s="155"/>
    </row>
    <row r="56" spans="1:17" ht="13.5" thickBot="1" x14ac:dyDescent="0.25">
      <c r="A56" s="146"/>
      <c r="B56" s="147"/>
      <c r="C56" s="377" t="s">
        <v>85</v>
      </c>
      <c r="D56" s="377"/>
      <c r="E56" s="377"/>
      <c r="F56" s="148">
        <f>SUM(F44:F51)</f>
        <v>132.44</v>
      </c>
      <c r="G56" s="137">
        <f>+F56/$F$66</f>
        <v>0.60759017724589093</v>
      </c>
      <c r="H56" s="149">
        <f>+F56/$D$60</f>
        <v>132.44</v>
      </c>
      <c r="I56" s="149"/>
      <c r="J56" s="156"/>
      <c r="K56" s="157"/>
      <c r="L56" s="157"/>
      <c r="M56" s="157" t="s">
        <v>86</v>
      </c>
      <c r="N56" s="160"/>
      <c r="O56" s="154">
        <f>O54*N56</f>
        <v>0</v>
      </c>
      <c r="P56" s="154"/>
      <c r="Q56" s="155"/>
    </row>
    <row r="57" spans="1:17" ht="13.5" thickBot="1" x14ac:dyDescent="0.25">
      <c r="A57" s="146"/>
      <c r="B57" s="161"/>
      <c r="C57" s="161"/>
      <c r="D57" s="161"/>
      <c r="E57" s="161"/>
      <c r="F57" s="162"/>
      <c r="G57" s="137"/>
      <c r="H57" s="163"/>
      <c r="I57" s="149"/>
      <c r="J57" s="156"/>
      <c r="K57" s="164"/>
      <c r="M57" s="165" t="s">
        <v>87</v>
      </c>
      <c r="N57" s="166"/>
      <c r="O57" s="167">
        <f>SUM(O54:O56)</f>
        <v>270.98613333333333</v>
      </c>
      <c r="P57" s="168"/>
      <c r="Q57" s="155"/>
    </row>
    <row r="58" spans="1:17" x14ac:dyDescent="0.2">
      <c r="B58" s="380" t="s">
        <v>88</v>
      </c>
      <c r="C58" s="380"/>
      <c r="D58" s="169">
        <v>360</v>
      </c>
      <c r="E58" s="170"/>
      <c r="G58" s="137"/>
      <c r="H58" s="163">
        <f>+H56/77</f>
        <v>1.72</v>
      </c>
      <c r="I58" s="171"/>
      <c r="J58" s="156"/>
      <c r="K58" s="164"/>
      <c r="L58" s="157"/>
      <c r="M58" s="157" t="s">
        <v>89</v>
      </c>
      <c r="N58" s="172"/>
      <c r="O58" s="154">
        <f>+H59</f>
        <v>142.76</v>
      </c>
      <c r="P58" s="154"/>
      <c r="Q58" s="155"/>
    </row>
    <row r="59" spans="1:17" x14ac:dyDescent="0.2">
      <c r="B59" s="380" t="s">
        <v>90</v>
      </c>
      <c r="C59" s="380"/>
      <c r="D59" s="173">
        <v>360</v>
      </c>
      <c r="E59" s="170"/>
      <c r="G59" s="137"/>
      <c r="H59" s="163">
        <f>+H58*83</f>
        <v>142.76</v>
      </c>
      <c r="I59" s="171"/>
      <c r="J59" s="156"/>
      <c r="K59" s="164"/>
      <c r="L59" s="157"/>
      <c r="M59" s="381" t="s">
        <v>87</v>
      </c>
      <c r="N59" s="381"/>
      <c r="O59" s="154">
        <f>SUM(O57:O58)</f>
        <v>413.74613333333332</v>
      </c>
      <c r="P59" s="154"/>
      <c r="Q59" s="155"/>
    </row>
    <row r="60" spans="1:17" ht="13.5" thickBot="1" x14ac:dyDescent="0.25">
      <c r="B60" s="372" t="s">
        <v>91</v>
      </c>
      <c r="C60" s="372"/>
      <c r="D60" s="169">
        <f>+D58/D59</f>
        <v>1</v>
      </c>
      <c r="E60" s="170"/>
      <c r="F60" s="174"/>
      <c r="G60" s="137"/>
      <c r="H60" s="163"/>
      <c r="I60" s="171"/>
      <c r="J60" s="156"/>
      <c r="K60" s="164"/>
      <c r="L60" s="381"/>
      <c r="M60" s="381"/>
      <c r="N60" s="172"/>
      <c r="O60" s="154">
        <f>+O59*N60</f>
        <v>0</v>
      </c>
      <c r="P60" s="154"/>
      <c r="Q60" s="155"/>
    </row>
    <row r="61" spans="1:17" ht="13.5" thickBot="1" x14ac:dyDescent="0.25">
      <c r="B61" s="372" t="s">
        <v>92</v>
      </c>
      <c r="C61" s="372"/>
      <c r="D61" s="175"/>
      <c r="E61" s="170"/>
      <c r="F61" s="174"/>
      <c r="G61" s="137"/>
      <c r="H61" s="163"/>
      <c r="I61" s="171"/>
      <c r="J61" s="156"/>
      <c r="K61" s="373" t="s">
        <v>93</v>
      </c>
      <c r="L61" s="374"/>
      <c r="M61" s="374"/>
      <c r="N61" s="375"/>
      <c r="O61" s="167">
        <f>SUM(O59:O60)</f>
        <v>413.74613333333332</v>
      </c>
      <c r="P61" s="176" t="s">
        <v>94</v>
      </c>
      <c r="Q61" s="155"/>
    </row>
    <row r="62" spans="1:17" ht="13.5" thickBot="1" x14ac:dyDescent="0.25">
      <c r="C62" s="146" t="s">
        <v>95</v>
      </c>
      <c r="D62" s="177"/>
      <c r="E62" s="120" t="s">
        <v>96</v>
      </c>
      <c r="F62" s="178" t="s">
        <v>97</v>
      </c>
      <c r="G62" s="137"/>
      <c r="H62" s="163"/>
      <c r="I62" s="171"/>
      <c r="J62" s="179"/>
      <c r="K62" s="180"/>
      <c r="L62" s="361" t="s">
        <v>98</v>
      </c>
      <c r="M62" s="361"/>
      <c r="N62" s="361"/>
      <c r="O62" s="181">
        <f>+O61/D60</f>
        <v>413.74613333333332</v>
      </c>
      <c r="P62" s="182">
        <f>+O62/D59</f>
        <v>1.1492948148148148</v>
      </c>
      <c r="Q62" s="183"/>
    </row>
    <row r="63" spans="1:17" ht="13.5" thickBot="1" x14ac:dyDescent="0.25">
      <c r="B63" s="362" t="s">
        <v>83</v>
      </c>
      <c r="C63" s="362"/>
      <c r="D63" s="362"/>
      <c r="E63" s="184">
        <f>+F63/F63</f>
        <v>1</v>
      </c>
      <c r="F63" s="185">
        <f>SUM(F55)</f>
        <v>138.54613333333333</v>
      </c>
      <c r="G63" s="137">
        <f>+F63/$F$66</f>
        <v>0.63560306333987338</v>
      </c>
      <c r="H63" s="163"/>
      <c r="I63" s="171"/>
      <c r="K63" s="363"/>
      <c r="L63" s="364"/>
      <c r="M63" s="364"/>
      <c r="N63" s="364"/>
      <c r="O63" s="186"/>
      <c r="P63" s="187"/>
    </row>
    <row r="64" spans="1:17" ht="13.5" thickBot="1" x14ac:dyDescent="0.3">
      <c r="B64" s="365" t="s">
        <v>99</v>
      </c>
      <c r="C64" s="365"/>
      <c r="D64" s="365"/>
      <c r="E64" s="188">
        <v>0.02</v>
      </c>
      <c r="F64" s="185">
        <f>+F53*E64</f>
        <v>2.4297407999999998</v>
      </c>
      <c r="G64" s="137">
        <f>+F64/$F$66</f>
        <v>1.1146833610190069E-2</v>
      </c>
      <c r="H64" s="149"/>
      <c r="I64" s="171"/>
      <c r="J64" s="189"/>
      <c r="O64" s="190"/>
      <c r="P64" s="147"/>
    </row>
    <row r="65" spans="2:13" ht="13.5" thickBot="1" x14ac:dyDescent="0.3">
      <c r="B65" s="366" t="s">
        <v>100</v>
      </c>
      <c r="C65" s="367"/>
      <c r="D65" s="191">
        <v>1</v>
      </c>
      <c r="E65" s="192">
        <v>77</v>
      </c>
      <c r="F65" s="185">
        <f>+E65*D65</f>
        <v>77</v>
      </c>
      <c r="G65" s="137">
        <f>+F65/$F$66</f>
        <v>0.35325010304993659</v>
      </c>
      <c r="H65" s="149"/>
      <c r="I65" s="149"/>
      <c r="J65" s="139"/>
    </row>
    <row r="66" spans="2:13" ht="13.5" thickBot="1" x14ac:dyDescent="0.3">
      <c r="B66" s="368" t="s">
        <v>101</v>
      </c>
      <c r="C66" s="369"/>
      <c r="D66" s="369"/>
      <c r="E66" s="370"/>
      <c r="F66" s="162">
        <f>SUM(F63:F65)</f>
        <v>217.97587413333332</v>
      </c>
      <c r="G66" s="137">
        <f>+F66/$F$66</f>
        <v>1</v>
      </c>
      <c r="H66" s="371"/>
      <c r="I66" s="149"/>
      <c r="J66" s="139"/>
      <c r="M66" s="122" t="s">
        <v>102</v>
      </c>
    </row>
    <row r="67" spans="2:13" x14ac:dyDescent="0.25">
      <c r="C67" s="144"/>
      <c r="D67" s="144"/>
      <c r="E67" s="194"/>
      <c r="F67" s="185"/>
      <c r="G67" s="137"/>
      <c r="H67" s="371"/>
      <c r="I67" s="193"/>
      <c r="J67" s="122"/>
      <c r="M67" s="122" t="s">
        <v>103</v>
      </c>
    </row>
    <row r="68" spans="2:13" ht="13.5" thickBot="1" x14ac:dyDescent="0.3">
      <c r="B68" s="356" t="s">
        <v>104</v>
      </c>
      <c r="C68" s="356"/>
      <c r="D68" s="356"/>
      <c r="E68" s="356"/>
      <c r="F68" s="356"/>
      <c r="G68" s="137"/>
      <c r="H68" s="196"/>
      <c r="I68" s="193"/>
      <c r="J68" s="122"/>
      <c r="M68" s="122" t="s">
        <v>105</v>
      </c>
    </row>
    <row r="69" spans="2:13" ht="13.5" thickBot="1" x14ac:dyDescent="0.3">
      <c r="B69" s="197" t="s">
        <v>106</v>
      </c>
      <c r="C69" s="198">
        <f>+F53</f>
        <v>121.48703999999999</v>
      </c>
      <c r="D69" s="198">
        <f>+D58</f>
        <v>360</v>
      </c>
      <c r="E69" s="199">
        <f>+C69/D69</f>
        <v>0.33746399999999999</v>
      </c>
      <c r="F69" s="137"/>
      <c r="G69" s="196"/>
      <c r="H69" s="139"/>
      <c r="I69" s="196"/>
      <c r="J69" s="122"/>
    </row>
    <row r="70" spans="2:13" x14ac:dyDescent="0.25">
      <c r="B70" s="200"/>
      <c r="C70" s="201"/>
      <c r="D70" s="202"/>
      <c r="E70" s="185"/>
      <c r="F70" s="137"/>
      <c r="G70" s="196"/>
      <c r="H70" s="139"/>
      <c r="I70" s="139"/>
      <c r="J70" s="122"/>
    </row>
    <row r="71" spans="2:13" x14ac:dyDescent="0.25">
      <c r="B71" s="197" t="s">
        <v>107</v>
      </c>
      <c r="C71" s="198">
        <f>SUM(F63:F64)</f>
        <v>140.97587413333332</v>
      </c>
      <c r="D71" s="198">
        <f>+D58</f>
        <v>360</v>
      </c>
      <c r="E71" s="203">
        <f>+C71/D71</f>
        <v>0.39159965037037031</v>
      </c>
      <c r="F71" s="137"/>
      <c r="G71" s="196"/>
      <c r="H71" s="139"/>
      <c r="I71" s="139"/>
      <c r="J71" s="122"/>
    </row>
    <row r="72" spans="2:13" x14ac:dyDescent="0.25">
      <c r="B72" s="197"/>
      <c r="C72" s="198"/>
      <c r="D72" s="198"/>
      <c r="E72" s="203"/>
      <c r="F72" s="137"/>
      <c r="G72" s="196"/>
      <c r="H72" s="139"/>
      <c r="I72" s="139"/>
      <c r="J72" s="122"/>
    </row>
    <row r="73" spans="2:13" ht="13.5" thickBot="1" x14ac:dyDescent="0.3">
      <c r="B73" s="197" t="s">
        <v>108</v>
      </c>
      <c r="C73" s="198">
        <f>+F65</f>
        <v>77</v>
      </c>
      <c r="D73" s="198">
        <f>+D58</f>
        <v>360</v>
      </c>
      <c r="E73" s="203">
        <f>+C73/D73</f>
        <v>0.21388888888888888</v>
      </c>
      <c r="F73" s="137"/>
      <c r="G73" s="196"/>
      <c r="H73" s="139"/>
      <c r="I73" s="139"/>
      <c r="J73" s="122"/>
    </row>
    <row r="74" spans="2:13" ht="13.5" thickBot="1" x14ac:dyDescent="0.3">
      <c r="B74" s="197" t="s">
        <v>109</v>
      </c>
      <c r="C74" s="198">
        <f>+F56</f>
        <v>132.44</v>
      </c>
      <c r="D74" s="198">
        <f>+D73</f>
        <v>360</v>
      </c>
      <c r="E74" s="199">
        <f>+C74/D74</f>
        <v>0.36788888888888888</v>
      </c>
      <c r="F74" s="137"/>
      <c r="G74" s="196"/>
      <c r="H74" s="139"/>
      <c r="I74" s="139"/>
      <c r="J74" s="122"/>
    </row>
    <row r="75" spans="2:13" ht="13.5" thickBot="1" x14ac:dyDescent="0.3">
      <c r="B75" s="161"/>
      <c r="C75" s="162"/>
      <c r="D75" s="162"/>
      <c r="E75" s="203"/>
      <c r="F75" s="137"/>
      <c r="G75" s="196"/>
      <c r="H75" s="139"/>
      <c r="I75" s="139"/>
      <c r="J75" s="122"/>
    </row>
    <row r="76" spans="2:13" ht="13.5" thickBot="1" x14ac:dyDescent="0.3">
      <c r="B76" s="197" t="s">
        <v>110</v>
      </c>
      <c r="C76" s="198">
        <f>+F54</f>
        <v>17.059093333333333</v>
      </c>
      <c r="D76" s="198">
        <f>+D74</f>
        <v>360</v>
      </c>
      <c r="E76" s="199">
        <f>+C76/D76</f>
        <v>4.738637037037037E-2</v>
      </c>
      <c r="F76" s="137"/>
      <c r="G76" s="196"/>
      <c r="H76" s="139"/>
      <c r="I76" s="139"/>
      <c r="J76" s="139"/>
    </row>
    <row r="77" spans="2:13" ht="13.5" thickBot="1" x14ac:dyDescent="0.3">
      <c r="B77" s="161"/>
      <c r="C77" s="162"/>
      <c r="D77" s="162"/>
      <c r="E77" s="203"/>
      <c r="F77" s="137"/>
      <c r="G77" s="196"/>
      <c r="H77" s="139"/>
      <c r="I77" s="139"/>
    </row>
    <row r="78" spans="2:13" ht="13.5" thickBot="1" x14ac:dyDescent="0.3">
      <c r="B78" s="357" t="s">
        <v>111</v>
      </c>
      <c r="C78" s="358"/>
      <c r="D78" s="359"/>
      <c r="E78" s="199">
        <f>+E69+E74</f>
        <v>0.70535288888888892</v>
      </c>
      <c r="G78" s="137"/>
      <c r="H78" s="196"/>
      <c r="I78" s="139"/>
      <c r="J78" s="203"/>
    </row>
    <row r="79" spans="2:13" x14ac:dyDescent="0.25">
      <c r="I79" s="196"/>
      <c r="J79" s="122"/>
    </row>
    <row r="80" spans="2:13" ht="13.5" thickBot="1" x14ac:dyDescent="0.3">
      <c r="B80" s="356" t="s">
        <v>112</v>
      </c>
      <c r="C80" s="356"/>
      <c r="D80" s="356"/>
      <c r="E80" s="356"/>
      <c r="F80" s="356"/>
      <c r="G80" s="137"/>
      <c r="H80" s="196"/>
      <c r="J80" s="122"/>
    </row>
    <row r="81" spans="1:10" ht="13.5" thickBot="1" x14ac:dyDescent="0.3">
      <c r="B81" s="197" t="s">
        <v>106</v>
      </c>
      <c r="C81" s="198">
        <f>+C69</f>
        <v>121.48703999999999</v>
      </c>
      <c r="D81" s="198">
        <f>+D60</f>
        <v>1</v>
      </c>
      <c r="E81" s="199">
        <f>+C81/D81</f>
        <v>121.48703999999999</v>
      </c>
      <c r="F81" s="137"/>
      <c r="G81" s="196"/>
      <c r="H81" s="139"/>
      <c r="I81" s="196"/>
      <c r="J81" s="122"/>
    </row>
    <row r="82" spans="1:10" x14ac:dyDescent="0.25">
      <c r="B82" s="200"/>
      <c r="C82" s="201"/>
      <c r="D82" s="202"/>
      <c r="E82" s="185"/>
      <c r="F82" s="137"/>
      <c r="G82" s="196"/>
      <c r="H82" s="139"/>
      <c r="I82" s="139"/>
      <c r="J82" s="122"/>
    </row>
    <row r="83" spans="1:10" x14ac:dyDescent="0.25">
      <c r="B83" s="197" t="s">
        <v>107</v>
      </c>
      <c r="C83" s="198">
        <f>+C71</f>
        <v>140.97587413333332</v>
      </c>
      <c r="D83" s="198">
        <f>+D60</f>
        <v>1</v>
      </c>
      <c r="E83" s="203">
        <f>+C83/D83</f>
        <v>140.97587413333332</v>
      </c>
      <c r="F83" s="137"/>
      <c r="G83" s="196"/>
      <c r="H83" s="139"/>
      <c r="I83" s="139"/>
      <c r="J83" s="122"/>
    </row>
    <row r="84" spans="1:10" x14ac:dyDescent="0.25">
      <c r="B84" s="197"/>
      <c r="C84" s="198"/>
      <c r="D84" s="198"/>
      <c r="E84" s="203"/>
      <c r="F84" s="137"/>
      <c r="G84" s="196"/>
      <c r="H84" s="139"/>
      <c r="I84" s="139"/>
      <c r="J84" s="122"/>
    </row>
    <row r="85" spans="1:10" ht="13.5" thickBot="1" x14ac:dyDescent="0.3">
      <c r="B85" s="197" t="s">
        <v>109</v>
      </c>
      <c r="C85" s="198">
        <f>+C73</f>
        <v>77</v>
      </c>
      <c r="D85" s="198">
        <f>+D60</f>
        <v>1</v>
      </c>
      <c r="E85" s="203">
        <f>+C85/D85</f>
        <v>77</v>
      </c>
      <c r="F85" s="205"/>
      <c r="G85" s="195"/>
      <c r="H85" s="121"/>
      <c r="I85" s="139"/>
    </row>
    <row r="86" spans="1:10" ht="13.5" thickBot="1" x14ac:dyDescent="0.3">
      <c r="B86" s="197" t="s">
        <v>109</v>
      </c>
      <c r="C86" s="198">
        <f>+C74</f>
        <v>132.44</v>
      </c>
      <c r="D86" s="198">
        <f>+D85</f>
        <v>1</v>
      </c>
      <c r="E86" s="199">
        <f>+C86/D86</f>
        <v>132.44</v>
      </c>
      <c r="F86" s="204"/>
      <c r="G86" s="195"/>
      <c r="H86" s="121"/>
      <c r="I86" s="121"/>
    </row>
    <row r="87" spans="1:10" x14ac:dyDescent="0.25">
      <c r="I87" s="121"/>
    </row>
    <row r="88" spans="1:10" x14ac:dyDescent="0.2">
      <c r="A88" s="360"/>
      <c r="B88" s="360"/>
      <c r="C88" s="206"/>
      <c r="D88" s="206"/>
      <c r="E88" s="207"/>
      <c r="G88" s="208"/>
    </row>
    <row r="89" spans="1:10" x14ac:dyDescent="0.2">
      <c r="A89" s="140"/>
      <c r="B89" s="209"/>
      <c r="C89" s="210"/>
      <c r="D89" s="210"/>
      <c r="E89" s="211"/>
      <c r="G89" s="208"/>
    </row>
    <row r="90" spans="1:10" x14ac:dyDescent="0.2">
      <c r="A90" s="140"/>
      <c r="B90" s="209"/>
      <c r="C90" s="212"/>
      <c r="D90" s="212"/>
      <c r="E90" s="140"/>
      <c r="G90" s="208"/>
    </row>
    <row r="91" spans="1:10" x14ac:dyDescent="0.2">
      <c r="A91" s="140"/>
      <c r="B91" s="209"/>
      <c r="C91" s="213"/>
      <c r="D91" s="213"/>
      <c r="E91" s="140"/>
      <c r="G91" s="20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830283-C5E9-4C25-9DB5-C6DE54984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Miel para flan de coco</vt:lpstr>
      <vt:lpstr>Costo MIEL </vt:lpstr>
      <vt:lpstr>Empaque </vt:lpstr>
      <vt:lpstr>Costo Empaque</vt:lpstr>
      <vt:lpstr>'Empaque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2026-02-16T17:37:58Z</cp:lastPrinted>
  <dcterms:created xsi:type="dcterms:W3CDTF">2025-01-06T20:55:42Z</dcterms:created>
  <dcterms:modified xsi:type="dcterms:W3CDTF">2026-02-16T19:08:51Z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
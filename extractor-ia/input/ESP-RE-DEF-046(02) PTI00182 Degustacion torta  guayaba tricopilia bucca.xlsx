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3" documentId="8_{463BFC3E-2651-4FD1-96F6-9B70C3560A41}" xr6:coauthVersionLast="47" xr6:coauthVersionMax="47" xr10:uidLastSave="{C36E2935-05A3-4B4E-9A96-9765BD9238BC}"/>
  <bookViews>
    <workbookView xWindow="-120" yWindow="-120" windowWidth="20730" windowHeight="11040" xr2:uid="{5FDDD80E-D764-49C6-869B-42CF221836D9}"/>
  </bookViews>
  <sheets>
    <sheet name="Hoja1" sheetId="5" r:id="rId1"/>
  </sheets>
  <definedNames>
    <definedName name="_xlnm.Print_Area" localSheetId="0">Hoja1!$A$1:$I$50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5" l="1"/>
</calcChain>
</file>

<file path=xl/sharedStrings.xml><?xml version="1.0" encoding="utf-8"?>
<sst xmlns="http://schemas.openxmlformats.org/spreadsheetml/2006/main" count="134" uniqueCount="100">
  <si>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</si>
  <si>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</si>
  <si>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</si>
  <si>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</si>
  <si>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</si>
  <si>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</si>
  <si>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</si>
  <si>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</si>
  <si>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</si>
  <si>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</si>
  <si>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</si>
  <si>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</si>
  <si>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</si>
  <si>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</si>
  <si>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</si>
  <si>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</si>
  <si>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</si>
  <si>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</si>
  <si>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</si>
  <si>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</si>
  <si>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</si>
  <si>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</si>
  <si>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</si>
  <si>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</si>
  <si>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</si>
  <si>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</si>
  <si>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</si>
  <si>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</si>
  <si>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ud</t>
  </si>
  <si>
    <t>min</t>
  </si>
  <si>
    <t>AREA QUE PRODUCE:</t>
  </si>
  <si>
    <t xml:space="preserve">AREA QUE EMPACA: </t>
  </si>
  <si>
    <t>Esteban Cartin, Gte Manufactura</t>
  </si>
  <si>
    <t># Código Netsuite</t>
  </si>
  <si>
    <t>Ensamble</t>
  </si>
  <si>
    <t>Decoración</t>
  </si>
  <si>
    <t>Empaque</t>
  </si>
  <si>
    <t>CONTROL DE CAMBIOS</t>
  </si>
  <si>
    <t>Decoracion</t>
  </si>
  <si>
    <t>FAS</t>
  </si>
  <si>
    <t>cm</t>
  </si>
  <si>
    <t>EM10248</t>
  </si>
  <si>
    <t>ETIPLAST</t>
  </si>
  <si>
    <t>EM10124</t>
  </si>
  <si>
    <t>caja</t>
  </si>
  <si>
    <t>EM10264</t>
  </si>
  <si>
    <t>CONTEDENOR 4 ONZAS (118 ML)</t>
  </si>
  <si>
    <t>Estuardo</t>
  </si>
  <si>
    <t>EM10266</t>
  </si>
  <si>
    <t>TAPA CONTEDENOR 4 ONZAS (118 ML)</t>
  </si>
  <si>
    <t>Exp pmt</t>
  </si>
  <si>
    <t>EM10004</t>
  </si>
  <si>
    <t>Etiq.Fecha Vencimiento Blanco</t>
  </si>
  <si>
    <t>Etiplast</t>
  </si>
  <si>
    <t>juliano, cada uno y la caja</t>
  </si>
  <si>
    <t>EM10336</t>
  </si>
  <si>
    <t>Etiqueta Regalia Spoon</t>
  </si>
  <si>
    <t>mercadeo, cada uno y la caja</t>
  </si>
  <si>
    <t>Etiqueta Blanca R-153</t>
  </si>
  <si>
    <t>Cemusa</t>
  </si>
  <si>
    <t>fecha de vencimiento en la caja</t>
  </si>
  <si>
    <t xml:space="preserve">1 por caja </t>
  </si>
  <si>
    <t>Cinta Adhesiva transp. 1/ 2*100 mts</t>
  </si>
  <si>
    <t>EM10066</t>
  </si>
  <si>
    <t>Caja Six Pack Musmanni</t>
  </si>
  <si>
    <t>Fas</t>
  </si>
  <si>
    <t>10g x vasito</t>
  </si>
  <si>
    <t>30g x vasito</t>
  </si>
  <si>
    <t>5g x vasito</t>
  </si>
  <si>
    <t>2g x vasito</t>
  </si>
  <si>
    <t>1 unidad</t>
  </si>
  <si>
    <t>4. Tapar, etiquetar.</t>
  </si>
  <si>
    <t xml:space="preserve">Decoración </t>
  </si>
  <si>
    <t>BOQUILLA #22</t>
  </si>
  <si>
    <t>1 Caja con 18 vasitos, Cada uno peso:75g</t>
  </si>
  <si>
    <t>Juan Pablo Brenes, Chef</t>
  </si>
  <si>
    <t>SE00454</t>
  </si>
  <si>
    <t>Rosquete Vainilla BC 350g</t>
  </si>
  <si>
    <t>SE00717</t>
  </si>
  <si>
    <t>ALMIBAR GUAYABA</t>
  </si>
  <si>
    <t>MP10763</t>
  </si>
  <si>
    <t>RELLENO GUAYABA TRICOPILIA</t>
  </si>
  <si>
    <t>SE00718</t>
  </si>
  <si>
    <t>RELLENO QUESO BUCCA</t>
  </si>
  <si>
    <t>SE00010</t>
  </si>
  <si>
    <t>Crema Chantilly Blanca (Spoon-Ind)</t>
  </si>
  <si>
    <t>SE00719</t>
  </si>
  <si>
    <t>SALSA DE GUAYABA</t>
  </si>
  <si>
    <t>MP10762</t>
  </si>
  <si>
    <t>BOCADITOS TRICOPILIA GUAYABA</t>
  </si>
  <si>
    <t>2 ud</t>
  </si>
  <si>
    <t xml:space="preserve">1. Colocar en cada vasito, primero el rosquete, despues el almibar y majarlo un poco. </t>
  </si>
  <si>
    <t xml:space="preserve">2. Agregar el relleno de guayaba, despues relleno de queso. </t>
  </si>
  <si>
    <t>3. Decorar con la crema blanca y la salsa de guayaba y por ultimo colocarle el trozo de tricopilia.</t>
  </si>
  <si>
    <t>PTI00182 Degustacion torta  guayaba tricopilia bucca</t>
  </si>
  <si>
    <t>ESP-RE-DEF-046</t>
  </si>
  <si>
    <t>EM10326</t>
  </si>
  <si>
    <t>Etiq Blanca 3x3</t>
  </si>
  <si>
    <t xml:space="preserve">2, Se actualiza etiqueta de ingredientes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</si>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</sst>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20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indexed="8"/>
      <name val="Arial"/>
      <family val="2"/>
    </font>
    <font>
      <sz val="16"/>
      <color rgb="FF000000"/>
      <name val="Arial"/>
      <family val="2"/>
    </font>
    <font>
      <sz val="16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163">
    <xf numFmtId="0" fontId="0" fillId="0" borderId="0" xfId="0"/>
    <xf numFmtId="0" fontId="7" fillId="3" borderId="3" xfId="3" applyFont="1" applyFill="1" applyBorder="1" applyAlignment="1">
      <alignment horizontal="center" vertical="center" wrapText="1"/>
    </xf>
    <xf numFmtId="1" fontId="7" fillId="3" borderId="7" xfId="3" applyNumberFormat="1" applyFont="1" applyFill="1" applyBorder="1" applyAlignment="1">
      <alignment horizontal="center"/>
    </xf>
    <xf numFmtId="1" fontId="7" fillId="3" borderId="7" xfId="3" applyNumberFormat="1" applyFont="1" applyFill="1" applyBorder="1" applyAlignment="1">
      <alignment horizontal="center" wrapText="1"/>
    </xf>
    <xf numFmtId="0" fontId="7" fillId="3" borderId="8" xfId="3" applyFont="1" applyFill="1" applyBorder="1" applyAlignment="1">
      <alignment horizontal="center"/>
    </xf>
    <xf numFmtId="0" fontId="7" fillId="2" borderId="2" xfId="13" applyFont="1" applyFill="1" applyBorder="1" applyAlignment="1">
      <alignment horizontal="right"/>
    </xf>
    <xf numFmtId="0" fontId="5" fillId="2" borderId="3" xfId="13" applyFont="1" applyFill="1" applyBorder="1" applyAlignment="1">
      <alignment horizontal="center"/>
    </xf>
    <xf numFmtId="0" fontId="7" fillId="2" borderId="1" xfId="13" applyFont="1" applyFill="1" applyBorder="1" applyAlignment="1">
      <alignment horizontal="right"/>
    </xf>
    <xf numFmtId="49" fontId="5" fillId="2" borderId="4" xfId="13" applyNumberFormat="1" applyFont="1" applyFill="1" applyBorder="1" applyAlignment="1">
      <alignment horizontal="center"/>
    </xf>
    <xf numFmtId="0" fontId="5" fillId="2" borderId="10" xfId="13" applyFont="1" applyFill="1" applyBorder="1" applyAlignment="1">
      <alignment horizontal="right"/>
    </xf>
    <xf numFmtId="0" fontId="5" fillId="2" borderId="1" xfId="13" applyFont="1" applyFill="1" applyBorder="1" applyAlignment="1">
      <alignment horizontal="right"/>
    </xf>
    <xf numFmtId="0" fontId="0" fillId="5" borderId="0" xfId="0" applyFill="1"/>
    <xf numFmtId="0" fontId="8" fillId="2" borderId="0" xfId="13" applyFont="1" applyFill="1" applyAlignment="1">
      <alignment horizontal="right"/>
    </xf>
    <xf numFmtId="0" fontId="8" fillId="2" borderId="0" xfId="13" applyFont="1" applyFill="1"/>
    <xf numFmtId="0" fontId="7" fillId="3" borderId="39" xfId="3" applyFont="1" applyFill="1" applyBorder="1" applyAlignment="1">
      <alignment horizontal="center" vertical="center"/>
    </xf>
    <xf numFmtId="0" fontId="7" fillId="3" borderId="12" xfId="3" applyFont="1" applyFill="1" applyBorder="1" applyAlignment="1">
      <alignment horizontal="center" vertical="center"/>
    </xf>
    <xf numFmtId="0" fontId="7" fillId="3" borderId="39" xfId="3" applyFont="1" applyFill="1" applyBorder="1" applyAlignment="1">
      <alignment horizontal="center" vertical="center" wrapText="1"/>
    </xf>
    <xf numFmtId="0" fontId="7" fillId="3" borderId="12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/>
    </xf>
    <xf numFmtId="0" fontId="7" fillId="3" borderId="7" xfId="3" applyFont="1" applyFill="1" applyBorder="1" applyAlignment="1">
      <alignment horizontal="center" vertical="center"/>
    </xf>
    <xf numFmtId="14" fontId="5" fillId="2" borderId="29" xfId="13" applyNumberFormat="1" applyFont="1" applyFill="1" applyBorder="1" applyAlignment="1">
      <alignment horizontal="center" vertical="center" wrapText="1"/>
    </xf>
    <xf numFmtId="14" fontId="5" fillId="2" borderId="30" xfId="13" applyNumberFormat="1" applyFont="1" applyFill="1" applyBorder="1" applyAlignment="1">
      <alignment horizontal="center" vertical="center" wrapText="1"/>
    </xf>
    <xf numFmtId="14" fontId="5" fillId="2" borderId="11" xfId="13" applyNumberFormat="1" applyFont="1" applyFill="1" applyBorder="1" applyAlignment="1">
      <alignment horizontal="center" vertical="center" wrapText="1"/>
    </xf>
    <xf numFmtId="0" fontId="5" fillId="2" borderId="27" xfId="13" applyFont="1" applyFill="1" applyBorder="1" applyAlignment="1">
      <alignment horizontal="left"/>
    </xf>
    <xf numFmtId="0" fontId="5" fillId="2" borderId="28" xfId="13" applyFont="1" applyFill="1" applyBorder="1" applyAlignment="1">
      <alignment horizontal="left"/>
    </xf>
    <xf numFmtId="0" fontId="5" fillId="2" borderId="23" xfId="13" applyFont="1" applyFill="1" applyBorder="1" applyAlignment="1">
      <alignment horizontal="left"/>
    </xf>
    <xf numFmtId="0" fontId="5" fillId="2" borderId="19" xfId="13" applyFont="1" applyFill="1" applyBorder="1" applyAlignment="1">
      <alignment horizontal="left"/>
    </xf>
    <xf numFmtId="0" fontId="5" fillId="2" borderId="20" xfId="13" applyFont="1" applyFill="1" applyBorder="1" applyAlignment="1">
      <alignment horizontal="left"/>
    </xf>
    <xf numFmtId="0" fontId="5" fillId="2" borderId="6" xfId="13" applyFont="1" applyFill="1" applyBorder="1" applyAlignment="1">
      <alignment horizontal="left"/>
    </xf>
    <xf numFmtId="0" fontId="5" fillId="2" borderId="31" xfId="13" applyFont="1" applyFill="1" applyBorder="1" applyAlignment="1">
      <alignment horizontal="center"/>
    </xf>
    <xf numFmtId="0" fontId="5" fillId="2" borderId="32" xfId="13" applyFont="1" applyFill="1" applyBorder="1" applyAlignment="1">
      <alignment horizontal="center"/>
    </xf>
    <xf numFmtId="0" fontId="5" fillId="2" borderId="13" xfId="13" applyFont="1" applyFill="1" applyBorder="1" applyAlignment="1">
      <alignment horizontal="center"/>
    </xf>
    <xf numFmtId="0" fontId="5" fillId="2" borderId="0" xfId="13" applyFont="1" applyFill="1" applyAlignment="1">
      <alignment horizontal="center"/>
    </xf>
    <xf numFmtId="0" fontId="5" fillId="2" borderId="9" xfId="13" applyFont="1" applyFill="1" applyBorder="1" applyAlignment="1">
      <alignment horizontal="center"/>
    </xf>
    <xf numFmtId="0" fontId="5" fillId="2" borderId="21" xfId="13" applyFont="1" applyFill="1" applyBorder="1" applyAlignment="1">
      <alignment horizontal="center"/>
    </xf>
    <xf numFmtId="0" fontId="6" fillId="2" borderId="2" xfId="13" applyFont="1" applyFill="1" applyBorder="1" applyAlignment="1">
      <alignment horizontal="center"/>
    </xf>
    <xf numFmtId="0" fontId="6" fillId="2" borderId="36" xfId="13" applyFont="1" applyFill="1" applyBorder="1" applyAlignment="1">
      <alignment horizontal="center"/>
    </xf>
    <xf numFmtId="0" fontId="6" fillId="2" borderId="38" xfId="13" applyFont="1" applyFill="1" applyBorder="1" applyAlignment="1">
      <alignment horizontal="center"/>
    </xf>
    <xf numFmtId="0" fontId="6" fillId="2" borderId="22" xfId="13" applyFont="1" applyFill="1" applyBorder="1" applyAlignment="1">
      <alignment horizontal="center"/>
    </xf>
    <xf numFmtId="0" fontId="9" fillId="4" borderId="16" xfId="13" applyFont="1" applyFill="1" applyBorder="1" applyAlignment="1">
      <alignment horizontal="center" vertical="center" wrapText="1"/>
    </xf>
    <xf numFmtId="0" fontId="9" fillId="4" borderId="17" xfId="13" applyFont="1" applyFill="1" applyBorder="1" applyAlignment="1">
      <alignment horizontal="center" vertical="center" wrapText="1"/>
    </xf>
    <xf numFmtId="0" fontId="7" fillId="2" borderId="24" xfId="13" applyFont="1" applyFill="1" applyBorder="1" applyAlignment="1">
      <alignment horizontal="right" vertical="top" wrapText="1"/>
    </xf>
    <xf numFmtId="0" fontId="7" fillId="2" borderId="25" xfId="13" applyFont="1" applyFill="1" applyBorder="1" applyAlignment="1">
      <alignment horizontal="right" vertical="top" wrapText="1"/>
    </xf>
    <xf numFmtId="0" fontId="7" fillId="2" borderId="26" xfId="13" applyFont="1" applyFill="1" applyBorder="1" applyAlignment="1">
      <alignment horizontal="right" vertical="top" wrapText="1"/>
    </xf>
    <xf numFmtId="0" fontId="10" fillId="2" borderId="37" xfId="13" applyFont="1" applyFill="1" applyBorder="1" applyAlignment="1">
      <alignment horizontal="center"/>
    </xf>
    <xf numFmtId="14" fontId="10" fillId="2" borderId="0" xfId="13" applyNumberFormat="1" applyFont="1" applyFill="1" applyAlignment="1">
      <alignment horizontal="center" vertical="center" wrapText="1"/>
    </xf>
    <xf numFmtId="0" fontId="11" fillId="0" borderId="40" xfId="3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0" fontId="12" fillId="0" borderId="1" xfId="3" applyFont="1" applyBorder="1" applyAlignment="1">
      <alignment vertical="center"/>
    </xf>
    <xf numFmtId="0" fontId="11" fillId="0" borderId="1" xfId="3" applyFont="1" applyBorder="1" applyAlignment="1">
      <alignment horizontal="center" vertical="center"/>
    </xf>
    <xf numFmtId="1" fontId="11" fillId="0" borderId="1" xfId="3" applyNumberFormat="1" applyFont="1" applyBorder="1" applyAlignment="1">
      <alignment horizontal="center"/>
    </xf>
    <xf numFmtId="1" fontId="11" fillId="0" borderId="1" xfId="3" applyNumberFormat="1" applyFont="1" applyBorder="1" applyAlignment="1">
      <alignment horizontal="center" wrapText="1"/>
    </xf>
    <xf numFmtId="0" fontId="13" fillId="0" borderId="4" xfId="3" applyFont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3" fillId="0" borderId="0" xfId="3" applyFont="1" applyAlignment="1">
      <alignment horizontal="center"/>
    </xf>
    <xf numFmtId="0" fontId="13" fillId="0" borderId="0" xfId="3" applyFont="1"/>
    <xf numFmtId="16" fontId="13" fillId="0" borderId="1" xfId="3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" fontId="15" fillId="0" borderId="1" xfId="3" applyNumberFormat="1" applyFont="1" applyBorder="1" applyAlignment="1">
      <alignment horizontal="center"/>
    </xf>
    <xf numFmtId="1" fontId="13" fillId="0" borderId="1" xfId="3" applyNumberFormat="1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2" fontId="15" fillId="0" borderId="1" xfId="3" applyNumberFormat="1" applyFont="1" applyBorder="1" applyAlignment="1">
      <alignment horizontal="center"/>
    </xf>
    <xf numFmtId="12" fontId="13" fillId="0" borderId="1" xfId="3" applyNumberFormat="1" applyFont="1" applyBorder="1" applyAlignment="1">
      <alignment horizontal="center"/>
    </xf>
    <xf numFmtId="0" fontId="16" fillId="0" borderId="45" xfId="3" applyFont="1" applyBorder="1" applyAlignment="1">
      <alignment horizontal="center" vertical="center"/>
    </xf>
    <xf numFmtId="0" fontId="13" fillId="0" borderId="10" xfId="3" applyFont="1" applyBorder="1"/>
    <xf numFmtId="0" fontId="17" fillId="0" borderId="1" xfId="0" applyFont="1" applyBorder="1" applyAlignment="1">
      <alignment horizontal="center"/>
    </xf>
    <xf numFmtId="0" fontId="17" fillId="7" borderId="0" xfId="0" applyFont="1" applyFill="1" applyAlignment="1">
      <alignment horizontal="center"/>
    </xf>
    <xf numFmtId="0" fontId="13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12" fontId="18" fillId="8" borderId="1" xfId="3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12" fontId="13" fillId="0" borderId="1" xfId="0" applyNumberFormat="1" applyFont="1" applyBorder="1" applyAlignment="1">
      <alignment horizontal="center"/>
    </xf>
    <xf numFmtId="49" fontId="13" fillId="0" borderId="40" xfId="3" applyNumberFormat="1" applyFont="1" applyBorder="1" applyAlignment="1">
      <alignment horizontal="center"/>
    </xf>
    <xf numFmtId="49" fontId="13" fillId="0" borderId="6" xfId="3" applyNumberFormat="1" applyFont="1" applyBorder="1" applyAlignment="1">
      <alignment horizontal="center"/>
    </xf>
    <xf numFmtId="0" fontId="11" fillId="5" borderId="1" xfId="3" applyFont="1" applyFill="1" applyBorder="1" applyAlignment="1">
      <alignment horizontal="left"/>
    </xf>
    <xf numFmtId="0" fontId="13" fillId="0" borderId="1" xfId="3" applyFont="1" applyBorder="1" applyAlignment="1">
      <alignment horizontal="center"/>
    </xf>
    <xf numFmtId="165" fontId="13" fillId="0" borderId="1" xfId="3" applyNumberFormat="1" applyFont="1" applyBorder="1" applyAlignment="1">
      <alignment horizontal="center"/>
    </xf>
    <xf numFmtId="1" fontId="13" fillId="0" borderId="1" xfId="3" applyNumberFormat="1" applyFont="1" applyBorder="1" applyAlignment="1">
      <alignment horizontal="center" wrapText="1"/>
    </xf>
    <xf numFmtId="0" fontId="14" fillId="5" borderId="5" xfId="0" applyFont="1" applyFill="1" applyBorder="1" applyAlignment="1">
      <alignment horizontal="center"/>
    </xf>
    <xf numFmtId="0" fontId="14" fillId="5" borderId="10" xfId="0" applyFont="1" applyFill="1" applyBorder="1"/>
    <xf numFmtId="0" fontId="13" fillId="5" borderId="6" xfId="0" applyFont="1" applyFill="1" applyBorder="1" applyAlignment="1">
      <alignment horizontal="center"/>
    </xf>
    <xf numFmtId="1" fontId="13" fillId="5" borderId="10" xfId="0" applyNumberFormat="1" applyFont="1" applyFill="1" applyBorder="1" applyAlignment="1">
      <alignment horizontal="center"/>
    </xf>
    <xf numFmtId="1" fontId="13" fillId="5" borderId="10" xfId="0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16" fontId="13" fillId="5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" fontId="13" fillId="0" borderId="10" xfId="0" applyNumberFormat="1" applyFont="1" applyBorder="1" applyAlignment="1">
      <alignment horizontal="center" wrapText="1"/>
    </xf>
    <xf numFmtId="0" fontId="13" fillId="0" borderId="1" xfId="0" applyFont="1" applyBorder="1"/>
    <xf numFmtId="16" fontId="13" fillId="0" borderId="1" xfId="0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wrapText="1"/>
    </xf>
    <xf numFmtId="49" fontId="11" fillId="0" borderId="34" xfId="3" applyNumberFormat="1" applyFont="1" applyBorder="1" applyAlignment="1">
      <alignment horizontal="center"/>
    </xf>
    <xf numFmtId="49" fontId="11" fillId="0" borderId="20" xfId="3" applyNumberFormat="1" applyFont="1" applyBorder="1" applyAlignment="1">
      <alignment horizontal="center"/>
    </xf>
    <xf numFmtId="0" fontId="12" fillId="5" borderId="1" xfId="3" applyFont="1" applyFill="1" applyBorder="1" applyAlignment="1">
      <alignment vertical="center"/>
    </xf>
    <xf numFmtId="0" fontId="11" fillId="0" borderId="6" xfId="3" applyFont="1" applyBorder="1" applyAlignment="1">
      <alignment horizontal="center"/>
    </xf>
    <xf numFmtId="165" fontId="11" fillId="0" borderId="1" xfId="3" applyNumberFormat="1" applyFont="1" applyBorder="1" applyAlignment="1">
      <alignment horizontal="center"/>
    </xf>
    <xf numFmtId="0" fontId="14" fillId="0" borderId="1" xfId="15" applyFont="1" applyBorder="1" applyAlignment="1">
      <alignment horizontal="center"/>
    </xf>
    <xf numFmtId="0" fontId="13" fillId="0" borderId="1" xfId="15" applyFont="1" applyBorder="1" applyAlignment="1">
      <alignment horizontal="left"/>
    </xf>
    <xf numFmtId="0" fontId="13" fillId="0" borderId="1" xfId="15" applyFont="1" applyBorder="1" applyAlignment="1">
      <alignment horizontal="center"/>
    </xf>
    <xf numFmtId="1" fontId="13" fillId="0" borderId="1" xfId="3" applyNumberFormat="1" applyFont="1" applyBorder="1" applyAlignment="1">
      <alignment horizontal="center" vertical="center"/>
    </xf>
    <xf numFmtId="1" fontId="13" fillId="0" borderId="1" xfId="3" applyNumberFormat="1" applyFont="1" applyBorder="1" applyAlignment="1">
      <alignment horizontal="center" vertical="center" wrapText="1"/>
    </xf>
    <xf numFmtId="12" fontId="18" fillId="0" borderId="1" xfId="3" applyNumberFormat="1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4" fillId="0" borderId="1" xfId="15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1" xfId="3" applyFont="1" applyBorder="1"/>
    <xf numFmtId="0" fontId="13" fillId="0" borderId="1" xfId="16" applyFont="1" applyBorder="1" applyAlignment="1">
      <alignment horizontal="center" vertical="center"/>
    </xf>
    <xf numFmtId="1" fontId="13" fillId="0" borderId="1" xfId="16" applyNumberFormat="1" applyFont="1" applyBorder="1" applyAlignment="1">
      <alignment horizontal="center" vertical="center"/>
    </xf>
    <xf numFmtId="1" fontId="13" fillId="0" borderId="1" xfId="16" applyNumberFormat="1" applyFont="1" applyBorder="1" applyAlignment="1">
      <alignment horizontal="center" vertical="center" wrapText="1"/>
    </xf>
    <xf numFmtId="0" fontId="13" fillId="5" borderId="40" xfId="0" applyFont="1" applyFill="1" applyBorder="1" applyAlignment="1">
      <alignment horizontal="center"/>
    </xf>
    <xf numFmtId="49" fontId="13" fillId="0" borderId="1" xfId="3" applyNumberFormat="1" applyFont="1" applyBorder="1"/>
    <xf numFmtId="49" fontId="16" fillId="2" borderId="13" xfId="3" applyNumberFormat="1" applyFont="1" applyFill="1" applyBorder="1" applyAlignment="1">
      <alignment horizontal="center" vertical="center"/>
    </xf>
    <xf numFmtId="49" fontId="16" fillId="2" borderId="0" xfId="3" applyNumberFormat="1" applyFont="1" applyFill="1" applyAlignment="1">
      <alignment horizontal="center" vertical="center"/>
    </xf>
    <xf numFmtId="0" fontId="13" fillId="2" borderId="0" xfId="3" applyFont="1" applyFill="1"/>
    <xf numFmtId="1" fontId="13" fillId="2" borderId="0" xfId="3" applyNumberFormat="1" applyFont="1" applyFill="1" applyAlignment="1">
      <alignment horizontal="center"/>
    </xf>
    <xf numFmtId="166" fontId="13" fillId="2" borderId="0" xfId="3" applyNumberFormat="1" applyFont="1" applyFill="1" applyAlignment="1">
      <alignment horizontal="center" wrapText="1"/>
    </xf>
    <xf numFmtId="0" fontId="13" fillId="2" borderId="14" xfId="3" applyFont="1" applyFill="1" applyBorder="1" applyAlignment="1">
      <alignment horizontal="center"/>
    </xf>
    <xf numFmtId="0" fontId="13" fillId="3" borderId="15" xfId="3" applyFont="1" applyFill="1" applyBorder="1" applyAlignment="1">
      <alignment horizontal="center"/>
    </xf>
    <xf numFmtId="0" fontId="13" fillId="3" borderId="16" xfId="3" applyFont="1" applyFill="1" applyBorder="1" applyAlignment="1">
      <alignment horizontal="center"/>
    </xf>
    <xf numFmtId="0" fontId="13" fillId="3" borderId="16" xfId="3" applyFont="1" applyFill="1" applyBorder="1"/>
    <xf numFmtId="0" fontId="11" fillId="3" borderId="16" xfId="3" applyFont="1" applyFill="1" applyBorder="1" applyAlignment="1">
      <alignment horizontal="center"/>
    </xf>
    <xf numFmtId="1" fontId="11" fillId="3" borderId="16" xfId="3" applyNumberFormat="1" applyFont="1" applyFill="1" applyBorder="1" applyAlignment="1">
      <alignment horizontal="center"/>
    </xf>
    <xf numFmtId="166" fontId="13" fillId="3" borderId="16" xfId="3" applyNumberFormat="1" applyFont="1" applyFill="1" applyBorder="1" applyAlignment="1">
      <alignment horizontal="center" wrapText="1"/>
    </xf>
    <xf numFmtId="0" fontId="13" fillId="3" borderId="17" xfId="3" applyFont="1" applyFill="1" applyBorder="1" applyAlignment="1">
      <alignment horizontal="center"/>
    </xf>
    <xf numFmtId="0" fontId="11" fillId="0" borderId="9" xfId="3" applyFont="1" applyBorder="1" applyAlignment="1">
      <alignment horizontal="right"/>
    </xf>
    <xf numFmtId="0" fontId="11" fillId="0" borderId="21" xfId="3" applyFont="1" applyBorder="1" applyAlignment="1">
      <alignment horizontal="right"/>
    </xf>
    <xf numFmtId="0" fontId="11" fillId="0" borderId="5" xfId="3" applyFont="1" applyBorder="1" applyAlignment="1">
      <alignment horizontal="right"/>
    </xf>
    <xf numFmtId="0" fontId="13" fillId="0" borderId="18" xfId="0" applyFont="1" applyBorder="1" applyAlignment="1">
      <alignment horizontal="center"/>
    </xf>
    <xf numFmtId="166" fontId="13" fillId="0" borderId="10" xfId="3" applyNumberFormat="1" applyFont="1" applyBorder="1" applyAlignment="1">
      <alignment horizontal="right"/>
    </xf>
    <xf numFmtId="0" fontId="13" fillId="2" borderId="18" xfId="3" applyFont="1" applyFill="1" applyBorder="1" applyAlignment="1">
      <alignment horizontal="center"/>
    </xf>
    <xf numFmtId="0" fontId="13" fillId="2" borderId="33" xfId="3" applyFont="1" applyFill="1" applyBorder="1" applyAlignment="1">
      <alignment horizontal="center"/>
    </xf>
    <xf numFmtId="0" fontId="11" fillId="0" borderId="34" xfId="3" applyFont="1" applyBorder="1" applyAlignment="1">
      <alignment horizontal="right"/>
    </xf>
    <xf numFmtId="0" fontId="11" fillId="0" borderId="20" xfId="3" applyFont="1" applyBorder="1" applyAlignment="1">
      <alignment horizontal="right"/>
    </xf>
    <xf numFmtId="0" fontId="11" fillId="0" borderId="6" xfId="3" applyFont="1" applyBorder="1" applyAlignment="1">
      <alignment horizontal="right"/>
    </xf>
    <xf numFmtId="0" fontId="13" fillId="0" borderId="1" xfId="3" applyFont="1" applyBorder="1" applyAlignment="1">
      <alignment horizontal="right"/>
    </xf>
    <xf numFmtId="166" fontId="13" fillId="0" borderId="19" xfId="3" applyNumberFormat="1" applyFont="1" applyBorder="1" applyAlignment="1">
      <alignment horizontal="center"/>
    </xf>
    <xf numFmtId="166" fontId="13" fillId="0" borderId="35" xfId="3" applyNumberFormat="1" applyFont="1" applyBorder="1" applyAlignment="1">
      <alignment horizontal="center"/>
    </xf>
    <xf numFmtId="166" fontId="13" fillId="0" borderId="19" xfId="3" applyNumberFormat="1" applyFont="1" applyBorder="1" applyAlignment="1">
      <alignment horizontal="right" wrapText="1"/>
    </xf>
    <xf numFmtId="166" fontId="13" fillId="0" borderId="6" xfId="3" applyNumberFormat="1" applyFont="1" applyBorder="1" applyAlignment="1">
      <alignment horizontal="right" wrapText="1"/>
    </xf>
    <xf numFmtId="166" fontId="13" fillId="0" borderId="19" xfId="0" applyNumberFormat="1" applyFont="1" applyBorder="1" applyAlignment="1">
      <alignment horizontal="center"/>
    </xf>
    <xf numFmtId="166" fontId="13" fillId="0" borderId="35" xfId="0" applyNumberFormat="1" applyFont="1" applyBorder="1" applyAlignment="1">
      <alignment horizontal="center"/>
    </xf>
    <xf numFmtId="0" fontId="11" fillId="0" borderId="12" xfId="3" applyFont="1" applyBorder="1" applyAlignment="1">
      <alignment horizontal="right"/>
    </xf>
    <xf numFmtId="0" fontId="11" fillId="0" borderId="22" xfId="3" applyFont="1" applyBorder="1" applyAlignment="1">
      <alignment horizontal="right"/>
    </xf>
    <xf numFmtId="0" fontId="11" fillId="0" borderId="7" xfId="3" applyFont="1" applyBorder="1" applyAlignment="1">
      <alignment horizontal="right"/>
    </xf>
    <xf numFmtId="1" fontId="13" fillId="0" borderId="7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7" xfId="3" applyFont="1" applyBorder="1" applyAlignment="1">
      <alignment horizontal="right"/>
    </xf>
    <xf numFmtId="0" fontId="13" fillId="0" borderId="43" xfId="3" applyFont="1" applyBorder="1" applyAlignment="1">
      <alignment horizontal="left" vertical="center" wrapText="1"/>
    </xf>
    <xf numFmtId="0" fontId="13" fillId="0" borderId="28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/>
    </xf>
    <xf numFmtId="0" fontId="13" fillId="0" borderId="38" xfId="0" applyFont="1" applyBorder="1" applyAlignment="1">
      <alignment horizontal="left"/>
    </xf>
    <xf numFmtId="0" fontId="13" fillId="0" borderId="42" xfId="0" applyFont="1" applyBorder="1" applyAlignment="1">
      <alignment horizontal="left"/>
    </xf>
    <xf numFmtId="0" fontId="11" fillId="0" borderId="46" xfId="0" applyFont="1" applyBorder="1" applyAlignment="1">
      <alignment horizontal="left"/>
    </xf>
    <xf numFmtId="0" fontId="11" fillId="0" borderId="47" xfId="0" applyFont="1" applyBorder="1" applyAlignment="1">
      <alignment horizontal="left"/>
    </xf>
    <xf numFmtId="0" fontId="11" fillId="0" borderId="48" xfId="0" applyFont="1" applyBorder="1" applyAlignment="1">
      <alignment horizontal="left"/>
    </xf>
    <xf numFmtId="0" fontId="11" fillId="6" borderId="1" xfId="13" applyFont="1" applyFill="1" applyBorder="1" applyAlignment="1">
      <alignment horizontal="center"/>
    </xf>
    <xf numFmtId="0" fontId="13" fillId="2" borderId="1" xfId="13" applyFont="1" applyFill="1" applyBorder="1" applyAlignment="1">
      <alignment horizontal="left"/>
    </xf>
    <xf numFmtId="0" fontId="11" fillId="3" borderId="15" xfId="3" applyFont="1" applyFill="1" applyBorder="1" applyAlignment="1">
      <alignment horizontal="center"/>
    </xf>
    <xf numFmtId="0" fontId="11" fillId="3" borderId="16" xfId="3" applyFont="1" applyFill="1" applyBorder="1" applyAlignment="1">
      <alignment horizontal="center"/>
    </xf>
    <xf numFmtId="0" fontId="11" fillId="3" borderId="17" xfId="3" applyFont="1" applyFill="1" applyBorder="1" applyAlignment="1">
      <alignment horizontal="center"/>
    </xf>
  </cellXfs>
  <cellStyles count="17">
    <cellStyle name="Millares [0] 2" xfId="1" xr:uid="{7DFE7C12-6D7B-41EF-A64D-4307AA0C7AF7}"/>
    <cellStyle name="Millares [0] 2 2" xfId="2" xr:uid="{D7CF44B9-D4BB-4175-9792-D295CFCAC306}"/>
    <cellStyle name="Millares [0] 2 2 2" xfId="6" xr:uid="{03352898-8DEE-415D-8C91-378119A9E0D0}"/>
    <cellStyle name="Millares [0] 2 3" xfId="5" xr:uid="{EAF4CD44-780B-4588-9895-A1FEDC1E5555}"/>
    <cellStyle name="Millares [0] 3" xfId="7" xr:uid="{8AF19DA6-46CE-416B-941A-F06D027BAC08}"/>
    <cellStyle name="Millares 2" xfId="8" xr:uid="{A0DBBFE3-32CF-44A9-9BA2-CF50A70CF775}"/>
    <cellStyle name="Millares 2 2" xfId="9" xr:uid="{01659234-4F4A-45D3-94BA-5D63B306F15A}"/>
    <cellStyle name="Millares 3" xfId="10" xr:uid="{7D25FDEB-EF05-451F-8E69-3A382067A8E9}"/>
    <cellStyle name="Millares 4" xfId="11" xr:uid="{6F4C2490-BC9C-4612-8052-B9F73B6758F2}"/>
    <cellStyle name="Millares 5" xfId="12" xr:uid="{4449D273-B21C-48BB-9946-CA6A85440C05}"/>
    <cellStyle name="Normal" xfId="0" builtinId="0"/>
    <cellStyle name="Normal 2" xfId="3" xr:uid="{419E731E-8F2B-478C-9CC2-20AC1824D53D}"/>
    <cellStyle name="Normal 3" xfId="14" xr:uid="{33F50D1E-1E1A-436B-B541-A02B7BE69EFA}"/>
    <cellStyle name="Normal 4 2" xfId="16" xr:uid="{9A55F6AF-A9EA-4DAF-A4C7-DAE7786D5B9F}"/>
    <cellStyle name="Normal 5" xfId="15" xr:uid="{5C6331DB-6239-401D-80A5-2AC19657E82A}"/>
    <cellStyle name="Normal_CRITERIOS DE EVALUACION PT DE GB 2" xfId="13" xr:uid="{3C291BC1-2169-4118-9055-87E8A565F6C5}"/>
    <cellStyle name="Porcentaje 2" xfId="4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154970</xdr:colOff>
      <xdr:row>1</xdr:row>
      <xdr:rowOff>41769</xdr:rowOff>
    </xdr:from>
    <xdr:to>
      <xdr:col>1</xdr:col>
      <xdr:colOff>1088946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D3B090-3ED1-48DE-9675-5A8BCF59F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970" y="244175"/>
          <a:ext cx="1695976" cy="779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4D7-3888-4AA2-8ED5-224FA4CC56D4}">
  <sheetPr>
    <pageSetUpPr fitToPage="1"/>
  </sheetPr>
  <dimension ref="A1:M50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2" max="2" width="18.5703125" bestFit="1" customWidth="1"/>
    <col min="3" max="3" width="55.85546875" customWidth="1"/>
    <col min="4" max="4" width="17.7109375" customWidth="1"/>
    <col min="7" max="7" width="21.28515625" customWidth="1"/>
    <col min="8" max="8" width="42.28515625" customWidth="1"/>
    <col min="9" max="9" width="17.42578125" bestFit="1" customWidth="1"/>
  </cols>
  <sheetData>
    <row r="1" spans="1:9" ht="15.75" x14ac:dyDescent="0.25">
      <c r="A1" s="29"/>
      <c r="B1" s="30"/>
      <c r="C1" s="35" t="s">
        <v>5</v>
      </c>
      <c r="D1" s="35"/>
      <c r="E1" s="35"/>
      <c r="F1" s="35"/>
      <c r="G1" s="35"/>
      <c r="H1" s="5" t="s">
        <v>6</v>
      </c>
      <c r="I1" s="6" t="s">
        <v>95</v>
      </c>
    </row>
    <row r="2" spans="1:9" ht="18" customHeight="1" thickBot="1" x14ac:dyDescent="0.3">
      <c r="A2" s="31"/>
      <c r="B2" s="32"/>
      <c r="C2" s="36" t="s">
        <v>0</v>
      </c>
      <c r="D2" s="37"/>
      <c r="E2" s="37"/>
      <c r="F2" s="37"/>
      <c r="G2" s="38"/>
      <c r="H2" s="7" t="s">
        <v>7</v>
      </c>
      <c r="I2" s="8" t="s">
        <v>99</v>
      </c>
    </row>
    <row r="3" spans="1:9" ht="31.5" customHeight="1" thickBot="1" x14ac:dyDescent="0.25">
      <c r="A3" s="31"/>
      <c r="B3" s="32"/>
      <c r="C3" s="39" t="s">
        <v>94</v>
      </c>
      <c r="D3" s="39"/>
      <c r="E3" s="39"/>
      <c r="F3" s="39"/>
      <c r="G3" s="40"/>
      <c r="H3" s="41" t="s">
        <v>8</v>
      </c>
      <c r="I3" s="20">
        <v>45784</v>
      </c>
    </row>
    <row r="4" spans="1:9" ht="18" customHeight="1" x14ac:dyDescent="0.25">
      <c r="A4" s="31"/>
      <c r="B4" s="32"/>
      <c r="C4" s="9" t="s">
        <v>9</v>
      </c>
      <c r="D4" s="23" t="s">
        <v>75</v>
      </c>
      <c r="E4" s="24"/>
      <c r="F4" s="24"/>
      <c r="G4" s="25"/>
      <c r="H4" s="42"/>
      <c r="I4" s="21"/>
    </row>
    <row r="5" spans="1:9" ht="14.25" thickBot="1" x14ac:dyDescent="0.3">
      <c r="A5" s="33"/>
      <c r="B5" s="34"/>
      <c r="C5" s="10" t="s">
        <v>10</v>
      </c>
      <c r="D5" s="26" t="s">
        <v>32</v>
      </c>
      <c r="E5" s="27"/>
      <c r="F5" s="27"/>
      <c r="G5" s="28"/>
      <c r="H5" s="43"/>
      <c r="I5" s="22"/>
    </row>
    <row r="6" spans="1:9" ht="18.75" thickBot="1" x14ac:dyDescent="0.3">
      <c r="A6" s="12" t="s">
        <v>30</v>
      </c>
      <c r="B6" s="12"/>
      <c r="C6" s="12"/>
      <c r="D6" s="44" t="s">
        <v>72</v>
      </c>
      <c r="E6" s="44"/>
      <c r="F6" s="44"/>
      <c r="G6" s="13" t="s">
        <v>31</v>
      </c>
      <c r="H6" s="13"/>
      <c r="I6" s="45" t="s">
        <v>38</v>
      </c>
    </row>
    <row r="7" spans="1:9" ht="25.5" x14ac:dyDescent="0.2">
      <c r="A7" s="14" t="s">
        <v>11</v>
      </c>
      <c r="B7" s="16" t="s">
        <v>33</v>
      </c>
      <c r="C7" s="18" t="s">
        <v>12</v>
      </c>
      <c r="D7" s="18" t="s">
        <v>13</v>
      </c>
      <c r="E7" s="18" t="s">
        <v>14</v>
      </c>
      <c r="F7" s="18"/>
      <c r="G7" s="18" t="s">
        <v>15</v>
      </c>
      <c r="H7" s="18"/>
      <c r="I7" s="1" t="s">
        <v>16</v>
      </c>
    </row>
    <row r="8" spans="1:9" ht="26.25" thickBot="1" x14ac:dyDescent="0.25">
      <c r="A8" s="15"/>
      <c r="B8" s="17"/>
      <c r="C8" s="19"/>
      <c r="D8" s="19"/>
      <c r="E8" s="2" t="s">
        <v>4</v>
      </c>
      <c r="F8" s="3" t="s">
        <v>17</v>
      </c>
      <c r="G8" s="2" t="s">
        <v>4</v>
      </c>
      <c r="H8" s="3" t="s">
        <v>17</v>
      </c>
      <c r="I8" s="4" t="s">
        <v>18</v>
      </c>
    </row>
    <row r="9" spans="1:9" ht="18.399999999999999" customHeight="1" x14ac:dyDescent="0.3">
      <c r="A9" s="46"/>
      <c r="B9" s="47"/>
      <c r="C9" s="48" t="s">
        <v>34</v>
      </c>
      <c r="D9" s="49"/>
      <c r="E9" s="50"/>
      <c r="F9" s="51"/>
      <c r="G9" s="50"/>
      <c r="H9" s="51"/>
      <c r="I9" s="52"/>
    </row>
    <row r="10" spans="1:9" ht="18" customHeight="1" x14ac:dyDescent="0.3">
      <c r="A10" s="53"/>
      <c r="B10" s="54" t="s">
        <v>76</v>
      </c>
      <c r="C10" s="55" t="s">
        <v>77</v>
      </c>
      <c r="D10" s="56" t="s">
        <v>39</v>
      </c>
      <c r="E10" s="57">
        <v>180</v>
      </c>
      <c r="F10" s="51" t="s">
        <v>3</v>
      </c>
      <c r="G10" s="58" t="s">
        <v>66</v>
      </c>
      <c r="H10" s="59" t="s">
        <v>70</v>
      </c>
      <c r="I10" s="52"/>
    </row>
    <row r="11" spans="1:9" ht="20.25" x14ac:dyDescent="0.3">
      <c r="A11" s="53"/>
      <c r="B11" s="54" t="s">
        <v>78</v>
      </c>
      <c r="C11" s="55" t="s">
        <v>79</v>
      </c>
      <c r="D11" s="56" t="s">
        <v>39</v>
      </c>
      <c r="E11" s="60">
        <v>180</v>
      </c>
      <c r="F11" s="51" t="s">
        <v>3</v>
      </c>
      <c r="G11" s="61" t="s">
        <v>66</v>
      </c>
      <c r="H11" s="62"/>
      <c r="I11" s="52"/>
    </row>
    <row r="12" spans="1:9" ht="20.25" x14ac:dyDescent="0.3">
      <c r="A12" s="53"/>
      <c r="B12" s="63" t="s">
        <v>80</v>
      </c>
      <c r="C12" s="64" t="s">
        <v>81</v>
      </c>
      <c r="D12" s="56" t="s">
        <v>39</v>
      </c>
      <c r="E12" s="60">
        <v>540</v>
      </c>
      <c r="F12" s="51" t="s">
        <v>3</v>
      </c>
      <c r="G12" s="61" t="s">
        <v>67</v>
      </c>
      <c r="H12" s="62"/>
      <c r="I12" s="52"/>
    </row>
    <row r="13" spans="1:9" ht="20.25" x14ac:dyDescent="0.3">
      <c r="A13" s="53"/>
      <c r="B13" s="63" t="s">
        <v>82</v>
      </c>
      <c r="C13" s="64" t="s">
        <v>83</v>
      </c>
      <c r="D13" s="56" t="s">
        <v>39</v>
      </c>
      <c r="E13" s="60">
        <v>180</v>
      </c>
      <c r="F13" s="51" t="s">
        <v>3</v>
      </c>
      <c r="G13" s="61" t="s">
        <v>66</v>
      </c>
      <c r="H13" s="62"/>
      <c r="I13" s="52"/>
    </row>
    <row r="14" spans="1:9" ht="20.25" x14ac:dyDescent="0.3">
      <c r="A14" s="65"/>
      <c r="B14" s="54" t="s">
        <v>84</v>
      </c>
      <c r="C14" s="55" t="s">
        <v>85</v>
      </c>
      <c r="D14" s="56" t="s">
        <v>39</v>
      </c>
      <c r="E14" s="60">
        <v>90</v>
      </c>
      <c r="F14" s="51" t="s">
        <v>3</v>
      </c>
      <c r="G14" s="61" t="s">
        <v>68</v>
      </c>
      <c r="H14" s="62"/>
      <c r="I14" s="52"/>
    </row>
    <row r="15" spans="1:9" ht="20.25" x14ac:dyDescent="0.3">
      <c r="A15" s="66"/>
      <c r="B15" s="63" t="s">
        <v>86</v>
      </c>
      <c r="C15" s="64" t="s">
        <v>87</v>
      </c>
      <c r="D15" s="56" t="s">
        <v>65</v>
      </c>
      <c r="E15" s="60">
        <v>90</v>
      </c>
      <c r="F15" s="51" t="s">
        <v>3</v>
      </c>
      <c r="G15" s="61" t="s">
        <v>68</v>
      </c>
      <c r="H15" s="62" t="s">
        <v>73</v>
      </c>
      <c r="I15" s="52"/>
    </row>
    <row r="16" spans="1:9" ht="20.25" x14ac:dyDescent="0.3">
      <c r="A16" s="67"/>
      <c r="B16" s="63" t="s">
        <v>86</v>
      </c>
      <c r="C16" s="64" t="s">
        <v>87</v>
      </c>
      <c r="D16" s="56" t="s">
        <v>65</v>
      </c>
      <c r="E16" s="60">
        <v>90</v>
      </c>
      <c r="F16" s="51" t="s">
        <v>3</v>
      </c>
      <c r="G16" s="61" t="s">
        <v>68</v>
      </c>
      <c r="H16" s="62"/>
      <c r="I16" s="52"/>
    </row>
    <row r="17" spans="1:13" ht="20.25" x14ac:dyDescent="0.3">
      <c r="A17" s="68"/>
      <c r="B17" s="63" t="s">
        <v>88</v>
      </c>
      <c r="C17" s="64" t="s">
        <v>89</v>
      </c>
      <c r="D17" s="56" t="s">
        <v>39</v>
      </c>
      <c r="E17" s="60">
        <v>36</v>
      </c>
      <c r="F17" s="51" t="s">
        <v>3</v>
      </c>
      <c r="G17" s="61" t="s">
        <v>69</v>
      </c>
      <c r="H17" s="69" t="s">
        <v>90</v>
      </c>
      <c r="I17" s="52"/>
    </row>
    <row r="18" spans="1:13" ht="20.25" x14ac:dyDescent="0.3">
      <c r="A18" s="65"/>
      <c r="B18" s="54"/>
      <c r="C18" s="55"/>
      <c r="D18" s="67"/>
      <c r="E18" s="67"/>
      <c r="F18" s="70"/>
      <c r="G18" s="67"/>
      <c r="H18" s="71"/>
      <c r="I18" s="52"/>
    </row>
    <row r="19" spans="1:13" ht="20.25" x14ac:dyDescent="0.3">
      <c r="A19" s="72"/>
      <c r="B19" s="73"/>
      <c r="C19" s="74" t="s">
        <v>35</v>
      </c>
      <c r="D19" s="75"/>
      <c r="E19" s="76"/>
      <c r="F19" s="77"/>
      <c r="G19" s="50"/>
      <c r="H19" s="51"/>
      <c r="I19" s="52"/>
      <c r="M19" s="11"/>
    </row>
    <row r="20" spans="1:13" ht="20.25" x14ac:dyDescent="0.3">
      <c r="A20" s="53"/>
      <c r="B20" s="78"/>
      <c r="C20" s="79"/>
      <c r="D20" s="80"/>
      <c r="E20" s="81"/>
      <c r="F20" s="82"/>
      <c r="G20" s="50"/>
      <c r="H20" s="51"/>
      <c r="I20" s="52"/>
    </row>
    <row r="21" spans="1:13" ht="20.25" x14ac:dyDescent="0.3">
      <c r="A21" s="83"/>
      <c r="B21" s="83"/>
      <c r="C21" s="84"/>
      <c r="D21" s="85"/>
      <c r="E21" s="86"/>
      <c r="F21" s="87"/>
      <c r="G21" s="50"/>
      <c r="H21" s="51"/>
      <c r="I21" s="52"/>
    </row>
    <row r="22" spans="1:13" ht="20.25" x14ac:dyDescent="0.3">
      <c r="A22" s="67"/>
      <c r="B22" s="67"/>
      <c r="C22" s="88"/>
      <c r="D22" s="89"/>
      <c r="E22" s="90"/>
      <c r="F22" s="87"/>
      <c r="G22" s="50"/>
      <c r="H22" s="51"/>
      <c r="I22" s="52"/>
    </row>
    <row r="23" spans="1:13" ht="20.25" x14ac:dyDescent="0.3">
      <c r="A23" s="67"/>
      <c r="B23" s="67"/>
      <c r="C23" s="88"/>
      <c r="D23" s="89"/>
      <c r="E23" s="91"/>
      <c r="F23" s="92"/>
      <c r="G23" s="50"/>
      <c r="H23" s="51"/>
      <c r="I23" s="52"/>
    </row>
    <row r="24" spans="1:13" ht="20.25" x14ac:dyDescent="0.3">
      <c r="A24" s="93"/>
      <c r="B24" s="94"/>
      <c r="C24" s="95" t="s">
        <v>36</v>
      </c>
      <c r="D24" s="96"/>
      <c r="E24" s="97"/>
      <c r="F24" s="51"/>
      <c r="G24" s="50"/>
      <c r="H24" s="84"/>
      <c r="I24" s="52"/>
    </row>
    <row r="25" spans="1:13" ht="20.25" x14ac:dyDescent="0.3">
      <c r="A25" s="83"/>
      <c r="B25" s="98" t="s">
        <v>45</v>
      </c>
      <c r="C25" s="99" t="s">
        <v>46</v>
      </c>
      <c r="D25" s="100" t="s">
        <v>47</v>
      </c>
      <c r="E25" s="101"/>
      <c r="F25" s="101">
        <v>18</v>
      </c>
      <c r="G25" s="102" t="s">
        <v>28</v>
      </c>
      <c r="H25" s="61"/>
      <c r="I25" s="103"/>
    </row>
    <row r="26" spans="1:13" ht="20.25" x14ac:dyDescent="0.3">
      <c r="A26" s="104"/>
      <c r="B26" s="98" t="s">
        <v>48</v>
      </c>
      <c r="C26" s="105" t="s">
        <v>49</v>
      </c>
      <c r="D26" s="100" t="s">
        <v>50</v>
      </c>
      <c r="E26" s="101"/>
      <c r="F26" s="101">
        <v>18</v>
      </c>
      <c r="G26" s="102" t="s">
        <v>28</v>
      </c>
      <c r="H26" s="61"/>
      <c r="I26" s="103"/>
    </row>
    <row r="27" spans="1:13" ht="20.25" x14ac:dyDescent="0.3">
      <c r="A27" s="83"/>
      <c r="B27" s="83" t="s">
        <v>51</v>
      </c>
      <c r="C27" s="106" t="s">
        <v>52</v>
      </c>
      <c r="D27" s="100" t="s">
        <v>53</v>
      </c>
      <c r="E27" s="101"/>
      <c r="F27" s="101">
        <v>19</v>
      </c>
      <c r="G27" s="102" t="s">
        <v>28</v>
      </c>
      <c r="H27" s="75" t="s">
        <v>54</v>
      </c>
      <c r="I27" s="107"/>
    </row>
    <row r="28" spans="1:13" ht="20.25" x14ac:dyDescent="0.3">
      <c r="A28" s="104"/>
      <c r="B28" s="67" t="s">
        <v>55</v>
      </c>
      <c r="C28" s="106" t="s">
        <v>56</v>
      </c>
      <c r="D28" s="100" t="s">
        <v>53</v>
      </c>
      <c r="E28" s="101"/>
      <c r="F28" s="101">
        <v>19</v>
      </c>
      <c r="G28" s="102" t="s">
        <v>28</v>
      </c>
      <c r="H28" s="75" t="s">
        <v>57</v>
      </c>
      <c r="I28" s="107"/>
    </row>
    <row r="29" spans="1:13" ht="20.25" x14ac:dyDescent="0.3">
      <c r="A29" s="104"/>
      <c r="B29" s="67" t="s">
        <v>43</v>
      </c>
      <c r="C29" s="106" t="s">
        <v>58</v>
      </c>
      <c r="D29" s="100" t="s">
        <v>59</v>
      </c>
      <c r="E29" s="101"/>
      <c r="F29" s="101">
        <v>18</v>
      </c>
      <c r="G29" s="102" t="s">
        <v>28</v>
      </c>
      <c r="H29" s="75" t="s">
        <v>60</v>
      </c>
      <c r="I29" s="107"/>
    </row>
    <row r="30" spans="1:13" ht="20.25" x14ac:dyDescent="0.3">
      <c r="A30" s="104"/>
      <c r="B30" s="67" t="s">
        <v>96</v>
      </c>
      <c r="C30" s="88" t="s">
        <v>97</v>
      </c>
      <c r="D30" s="108" t="s">
        <v>42</v>
      </c>
      <c r="E30" s="109"/>
      <c r="F30" s="109">
        <v>1</v>
      </c>
      <c r="G30" s="110" t="s">
        <v>28</v>
      </c>
      <c r="H30" s="75" t="s">
        <v>61</v>
      </c>
      <c r="I30" s="107"/>
    </row>
    <row r="31" spans="1:13" ht="20.25" x14ac:dyDescent="0.3">
      <c r="A31" s="111"/>
      <c r="B31" s="67" t="s">
        <v>41</v>
      </c>
      <c r="C31" s="106" t="s">
        <v>62</v>
      </c>
      <c r="D31" s="100" t="s">
        <v>53</v>
      </c>
      <c r="E31" s="101"/>
      <c r="F31" s="101">
        <v>50</v>
      </c>
      <c r="G31" s="102" t="s">
        <v>40</v>
      </c>
      <c r="H31" s="103"/>
      <c r="I31" s="103"/>
    </row>
    <row r="32" spans="1:13" ht="20.25" x14ac:dyDescent="0.3">
      <c r="A32" s="72"/>
      <c r="B32" s="67" t="s">
        <v>63</v>
      </c>
      <c r="C32" s="106" t="s">
        <v>64</v>
      </c>
      <c r="D32" s="100" t="s">
        <v>39</v>
      </c>
      <c r="E32" s="101"/>
      <c r="F32" s="101">
        <v>1</v>
      </c>
      <c r="G32" s="102" t="s">
        <v>28</v>
      </c>
      <c r="H32" s="103"/>
      <c r="I32" s="103"/>
    </row>
    <row r="33" spans="1:9" ht="20.25" x14ac:dyDescent="0.3">
      <c r="A33" s="72"/>
      <c r="B33" s="73"/>
      <c r="C33" s="112"/>
      <c r="D33" s="75"/>
      <c r="E33" s="75"/>
      <c r="F33" s="77"/>
      <c r="G33" s="75"/>
      <c r="H33" s="75"/>
      <c r="I33" s="52"/>
    </row>
    <row r="34" spans="1:9" ht="21" thickBot="1" x14ac:dyDescent="0.35">
      <c r="A34" s="113"/>
      <c r="B34" s="114"/>
      <c r="C34" s="115"/>
      <c r="D34" s="115"/>
      <c r="E34" s="116"/>
      <c r="F34" s="117"/>
      <c r="G34" s="115"/>
      <c r="H34" s="115"/>
      <c r="I34" s="118"/>
    </row>
    <row r="35" spans="1:9" ht="21" thickBot="1" x14ac:dyDescent="0.35">
      <c r="A35" s="119"/>
      <c r="B35" s="120"/>
      <c r="C35" s="121"/>
      <c r="D35" s="122" t="s">
        <v>4</v>
      </c>
      <c r="E35" s="123" t="s">
        <v>19</v>
      </c>
      <c r="F35" s="124"/>
      <c r="G35" s="121"/>
      <c r="H35" s="121"/>
      <c r="I35" s="125"/>
    </row>
    <row r="36" spans="1:9" ht="20.25" x14ac:dyDescent="0.3">
      <c r="A36" s="126" t="s">
        <v>2</v>
      </c>
      <c r="B36" s="127"/>
      <c r="C36" s="128"/>
      <c r="D36" s="90">
        <v>1350</v>
      </c>
      <c r="E36" s="129" t="s">
        <v>3</v>
      </c>
      <c r="F36" s="130" t="s">
        <v>20</v>
      </c>
      <c r="G36" s="130"/>
      <c r="H36" s="131"/>
      <c r="I36" s="132"/>
    </row>
    <row r="37" spans="1:9" ht="20.25" x14ac:dyDescent="0.3">
      <c r="A37" s="133" t="s">
        <v>1</v>
      </c>
      <c r="B37" s="134"/>
      <c r="C37" s="135"/>
      <c r="D37" s="67">
        <v>18</v>
      </c>
      <c r="E37" s="67" t="s">
        <v>29</v>
      </c>
      <c r="F37" s="136" t="s">
        <v>21</v>
      </c>
      <c r="G37" s="136"/>
      <c r="H37" s="137"/>
      <c r="I37" s="138"/>
    </row>
    <row r="38" spans="1:9" ht="20.25" x14ac:dyDescent="0.3">
      <c r="A38" s="133" t="s">
        <v>22</v>
      </c>
      <c r="B38" s="134"/>
      <c r="C38" s="135"/>
      <c r="D38" s="67">
        <v>1</v>
      </c>
      <c r="E38" s="67" t="s">
        <v>44</v>
      </c>
      <c r="F38" s="136" t="s">
        <v>23</v>
      </c>
      <c r="G38" s="136"/>
      <c r="H38" s="137"/>
      <c r="I38" s="138"/>
    </row>
    <row r="39" spans="1:9" ht="20.25" x14ac:dyDescent="0.3">
      <c r="A39" s="133" t="s">
        <v>24</v>
      </c>
      <c r="B39" s="134"/>
      <c r="C39" s="135"/>
      <c r="D39" s="91">
        <v>1355</v>
      </c>
      <c r="E39" s="67" t="s">
        <v>3</v>
      </c>
      <c r="F39" s="139" t="s">
        <v>25</v>
      </c>
      <c r="G39" s="140"/>
      <c r="H39" s="141" t="s">
        <v>74</v>
      </c>
      <c r="I39" s="142"/>
    </row>
    <row r="40" spans="1:9" ht="21" thickBot="1" x14ac:dyDescent="0.35">
      <c r="A40" s="143" t="s">
        <v>26</v>
      </c>
      <c r="B40" s="144"/>
      <c r="C40" s="145"/>
      <c r="D40" s="146">
        <f>SUM(E10:E17)-D36</f>
        <v>36</v>
      </c>
      <c r="E40" s="147" t="s">
        <v>3</v>
      </c>
      <c r="F40" s="148"/>
      <c r="G40" s="148"/>
      <c r="H40" s="137"/>
      <c r="I40" s="138"/>
    </row>
    <row r="41" spans="1:9" ht="21" thickBot="1" x14ac:dyDescent="0.35">
      <c r="A41" s="160" t="s">
        <v>27</v>
      </c>
      <c r="B41" s="161"/>
      <c r="C41" s="161"/>
      <c r="D41" s="161"/>
      <c r="E41" s="161"/>
      <c r="F41" s="161"/>
      <c r="G41" s="161"/>
      <c r="H41" s="161"/>
      <c r="I41" s="162"/>
    </row>
    <row r="42" spans="1:9" ht="21" thickBot="1" x14ac:dyDescent="0.25">
      <c r="A42" s="149" t="s">
        <v>91</v>
      </c>
      <c r="B42" s="150"/>
      <c r="C42" s="150"/>
      <c r="D42" s="150"/>
      <c r="E42" s="150"/>
      <c r="F42" s="150"/>
      <c r="G42" s="150"/>
      <c r="H42" s="150"/>
      <c r="I42" s="151"/>
    </row>
    <row r="43" spans="1:9" ht="22.9" customHeight="1" thickBot="1" x14ac:dyDescent="0.25">
      <c r="A43" s="149" t="s">
        <v>92</v>
      </c>
      <c r="B43" s="150"/>
      <c r="C43" s="150"/>
      <c r="D43" s="150"/>
      <c r="E43" s="150"/>
      <c r="F43" s="150"/>
      <c r="G43" s="150"/>
      <c r="H43" s="150"/>
      <c r="I43" s="151"/>
    </row>
    <row r="44" spans="1:9" ht="21" thickBot="1" x14ac:dyDescent="0.25">
      <c r="A44" s="149" t="s">
        <v>93</v>
      </c>
      <c r="B44" s="150"/>
      <c r="C44" s="150"/>
      <c r="D44" s="150"/>
      <c r="E44" s="150"/>
      <c r="F44" s="150"/>
      <c r="G44" s="150"/>
      <c r="H44" s="150"/>
      <c r="I44" s="151"/>
    </row>
    <row r="45" spans="1:9" ht="20.25" x14ac:dyDescent="0.2">
      <c r="A45" s="149" t="s">
        <v>71</v>
      </c>
      <c r="B45" s="150"/>
      <c r="C45" s="150"/>
      <c r="D45" s="150"/>
      <c r="E45" s="150"/>
      <c r="F45" s="150"/>
      <c r="G45" s="150"/>
      <c r="H45" s="150"/>
      <c r="I45" s="151"/>
    </row>
    <row r="46" spans="1:9" ht="21" thickBot="1" x14ac:dyDescent="0.35">
      <c r="A46" s="152"/>
      <c r="B46" s="153"/>
      <c r="C46" s="153"/>
      <c r="D46" s="153"/>
      <c r="E46" s="153"/>
      <c r="F46" s="153"/>
      <c r="G46" s="153"/>
      <c r="H46" s="153"/>
      <c r="I46" s="154"/>
    </row>
    <row r="47" spans="1:9" ht="20.25" x14ac:dyDescent="0.3">
      <c r="A47" s="155"/>
      <c r="B47" s="156"/>
      <c r="C47" s="156"/>
      <c r="D47" s="156"/>
      <c r="E47" s="156"/>
      <c r="F47" s="156"/>
      <c r="G47" s="156"/>
      <c r="H47" s="156"/>
      <c r="I47" s="157"/>
    </row>
    <row r="48" spans="1:9" ht="20.25" x14ac:dyDescent="0.3">
      <c r="A48" s="158" t="s">
        <v>37</v>
      </c>
      <c r="B48" s="158"/>
      <c r="C48" s="158"/>
      <c r="D48" s="158"/>
      <c r="E48" s="158"/>
      <c r="F48" s="158"/>
      <c r="G48" s="158"/>
      <c r="H48" s="158"/>
      <c r="I48" s="158"/>
    </row>
    <row r="49" spans="1:9" ht="20.25" x14ac:dyDescent="0.3">
      <c r="A49" s="159" t="s">
        <v>98</v>
      </c>
      <c r="B49" s="159"/>
      <c r="C49" s="159"/>
      <c r="D49" s="159"/>
      <c r="E49" s="159"/>
      <c r="F49" s="159"/>
      <c r="G49" s="159"/>
      <c r="H49" s="159"/>
      <c r="I49" s="159"/>
    </row>
    <row r="50" spans="1:9" ht="20.25" x14ac:dyDescent="0.3">
      <c r="A50" s="159"/>
      <c r="B50" s="159"/>
      <c r="C50" s="159"/>
      <c r="D50" s="159"/>
      <c r="E50" s="159"/>
      <c r="F50" s="159"/>
      <c r="G50" s="159"/>
      <c r="H50" s="159"/>
      <c r="I50" s="159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38:C3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4:I44"/>
    <mergeCell ref="A45:I45"/>
    <mergeCell ref="A40:C40"/>
    <mergeCell ref="F40:G40"/>
    <mergeCell ref="H40:I40"/>
    <mergeCell ref="A47:I47"/>
    <mergeCell ref="A48:I48"/>
    <mergeCell ref="A49:I49"/>
    <mergeCell ref="A50:I50"/>
    <mergeCell ref="F38:G38"/>
    <mergeCell ref="H38:I38"/>
    <mergeCell ref="A39:C39"/>
    <mergeCell ref="F39:G39"/>
    <mergeCell ref="H39:I39"/>
    <mergeCell ref="A46:I46"/>
    <mergeCell ref="A41:I41"/>
    <mergeCell ref="A42:I42"/>
    <mergeCell ref="A43:I43"/>
  </mergeCells>
  <pageMargins left="0.7" right="0.7" top="0.75" bottom="0.75" header="0.3" footer="0.3"/>
  <pageSetup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E7D572D-BC20-4433-B054-2F99C3981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Allan Brenes</cp:lastModifiedBy>
  <cp:lastPrinted>2025-09-01T15:12:13Z</cp:lastPrinted>
  <dcterms:created xsi:type="dcterms:W3CDTF">2011-03-28T17:12:21Z</dcterms:created>
  <dcterms:modified xsi:type="dcterms:W3CDTF">2025-09-01T15:13:48Z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
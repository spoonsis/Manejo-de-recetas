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2" documentId="8_{B6ABB12E-F0F4-47D7-A2E1-6548C3A8A9DC}" xr6:coauthVersionLast="47" xr6:coauthVersionMax="47" xr10:uidLastSave="{BBDB0710-3E2F-4086-AC11-06A3DCAB3D3A}"/>
  <bookViews>
    <workbookView xWindow="-120" yWindow="-120" windowWidth="20730" windowHeight="11040" firstSheet="1" activeTab="1" xr2:uid="{86A95AF8-34C1-4DB7-AE30-E3F9DEB6557E}"/>
  </bookViews>
  <sheets>
    <sheet name="Costo Empaque " sheetId="15" state="hidden" r:id="rId1"/>
    <sheet name="Relleno Crema Pastelera Bailes " sheetId="12" r:id="rId2"/>
    <sheet name="Costo relleno Crema Past Bailey" sheetId="14" state="hidden" r:id="rId3"/>
  </sheets>
  <externalReferences>
    <externalReference r:id="rId4"/>
    <externalReference r:id="rId5"/>
  </externalReferences>
  <definedNames>
    <definedName name="_xlnm.Print_Area" localSheetId="1">'Relleno Crema Pastelera Bailes '!$A$1:$I$43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2" l="1"/>
  <c r="J29" i="12"/>
  <c r="J27" i="12"/>
  <c r="C12" i="14"/>
  <c r="C11" i="14"/>
  <c r="D73" i="15"/>
  <c r="D74" i="15" s="1"/>
  <c r="D76" i="15" s="1"/>
  <c r="D71" i="15"/>
  <c r="D69" i="15"/>
  <c r="F65" i="15"/>
  <c r="E51" i="15" s="1"/>
  <c r="D60" i="15"/>
  <c r="D85" i="15" s="1"/>
  <c r="D86" i="15" s="1"/>
  <c r="C51" i="15"/>
  <c r="E50" i="15"/>
  <c r="D50" i="15"/>
  <c r="B50" i="15"/>
  <c r="E49" i="15"/>
  <c r="D49" i="15"/>
  <c r="B49" i="15"/>
  <c r="E48" i="15"/>
  <c r="D48" i="15"/>
  <c r="B48" i="15"/>
  <c r="E47" i="15"/>
  <c r="D47" i="15"/>
  <c r="B47" i="15"/>
  <c r="E46" i="15"/>
  <c r="D46" i="15"/>
  <c r="B46" i="15"/>
  <c r="E45" i="15"/>
  <c r="D45" i="15"/>
  <c r="B45" i="15"/>
  <c r="E41" i="15"/>
  <c r="D41" i="15"/>
  <c r="B41" i="15"/>
  <c r="A41" i="15"/>
  <c r="A50" i="15" s="1"/>
  <c r="C50" i="15" s="1"/>
  <c r="E40" i="15"/>
  <c r="D40" i="15"/>
  <c r="B40" i="15"/>
  <c r="A40" i="15"/>
  <c r="C40" i="15" s="1"/>
  <c r="E39" i="15"/>
  <c r="D39" i="15"/>
  <c r="B39" i="15"/>
  <c r="A39" i="15"/>
  <c r="C39" i="15" s="1"/>
  <c r="E38" i="15"/>
  <c r="D38" i="15"/>
  <c r="B38" i="15"/>
  <c r="A38" i="15"/>
  <c r="C38" i="15" s="1"/>
  <c r="E37" i="15"/>
  <c r="D37" i="15"/>
  <c r="C37" i="15"/>
  <c r="B37" i="15"/>
  <c r="A37" i="15"/>
  <c r="A46" i="15" s="1"/>
  <c r="C46" i="15" s="1"/>
  <c r="E36" i="15"/>
  <c r="D36" i="15"/>
  <c r="B36" i="15"/>
  <c r="A36" i="15"/>
  <c r="A45" i="15" s="1"/>
  <c r="C45" i="15" s="1"/>
  <c r="A35" i="15"/>
  <c r="A44" i="15" s="1"/>
  <c r="C44" i="15" s="1"/>
  <c r="E32" i="15"/>
  <c r="F32" i="15" s="1"/>
  <c r="D32" i="15"/>
  <c r="C32" i="15"/>
  <c r="B32" i="15"/>
  <c r="E31" i="15"/>
  <c r="F31" i="15" s="1"/>
  <c r="D31" i="15"/>
  <c r="C31" i="15"/>
  <c r="B31" i="15"/>
  <c r="E30" i="15"/>
  <c r="D30" i="15"/>
  <c r="C30" i="15"/>
  <c r="B30" i="15"/>
  <c r="C29" i="15"/>
  <c r="F28" i="15"/>
  <c r="C28" i="15"/>
  <c r="C27" i="15"/>
  <c r="E24" i="15"/>
  <c r="F24" i="15" s="1"/>
  <c r="D24" i="15"/>
  <c r="C24" i="15"/>
  <c r="B24" i="15"/>
  <c r="E23" i="15"/>
  <c r="F23" i="15" s="1"/>
  <c r="D23" i="15"/>
  <c r="C23" i="15"/>
  <c r="B23" i="15"/>
  <c r="E22" i="15"/>
  <c r="F22" i="15" s="1"/>
  <c r="D22" i="15"/>
  <c r="C22" i="15"/>
  <c r="B22" i="15"/>
  <c r="E21" i="15"/>
  <c r="F21" i="15" s="1"/>
  <c r="D21" i="15"/>
  <c r="C21" i="15"/>
  <c r="B21" i="15"/>
  <c r="E20" i="15"/>
  <c r="F20" i="15" s="1"/>
  <c r="D20" i="15"/>
  <c r="C20" i="15"/>
  <c r="B20" i="15"/>
  <c r="E19" i="15"/>
  <c r="F19" i="15" s="1"/>
  <c r="D19" i="15"/>
  <c r="C19" i="15"/>
  <c r="B19" i="15"/>
  <c r="E18" i="15"/>
  <c r="F18" i="15" s="1"/>
  <c r="D18" i="15"/>
  <c r="C18" i="15"/>
  <c r="B18" i="15"/>
  <c r="C17" i="15"/>
  <c r="B15" i="15"/>
  <c r="E14" i="15"/>
  <c r="D14" i="15"/>
  <c r="C14" i="15"/>
  <c r="B14" i="15"/>
  <c r="E13" i="15"/>
  <c r="D13" i="15"/>
  <c r="C13" i="15"/>
  <c r="B13" i="15"/>
  <c r="E12" i="15"/>
  <c r="F12" i="15" s="1"/>
  <c r="D12" i="15"/>
  <c r="C12" i="15"/>
  <c r="B12" i="15"/>
  <c r="E11" i="15"/>
  <c r="F11" i="15" s="1"/>
  <c r="D11" i="15"/>
  <c r="C11" i="15"/>
  <c r="B11" i="15"/>
  <c r="E10" i="15"/>
  <c r="F10" i="15" s="1"/>
  <c r="D10" i="15"/>
  <c r="C10" i="15"/>
  <c r="B10" i="15"/>
  <c r="E9" i="15"/>
  <c r="F9" i="15" s="1"/>
  <c r="D9" i="15"/>
  <c r="C9" i="15"/>
  <c r="B9" i="15"/>
  <c r="E8" i="15"/>
  <c r="F8" i="15" s="1"/>
  <c r="D8" i="15"/>
  <c r="C8" i="15"/>
  <c r="B8" i="15"/>
  <c r="H6" i="15"/>
  <c r="D75" i="14"/>
  <c r="D76" i="14" s="1"/>
  <c r="D78" i="14" s="1"/>
  <c r="D73" i="14"/>
  <c r="D71" i="14"/>
  <c r="F67" i="14"/>
  <c r="E53" i="14" s="1"/>
  <c r="D62" i="14"/>
  <c r="D87" i="14" s="1"/>
  <c r="D88" i="14" s="1"/>
  <c r="C53" i="14"/>
  <c r="E52" i="14"/>
  <c r="D52" i="14"/>
  <c r="B52" i="14"/>
  <c r="E51" i="14"/>
  <c r="D51" i="14"/>
  <c r="B51" i="14"/>
  <c r="E50" i="14"/>
  <c r="D50" i="14"/>
  <c r="B50" i="14"/>
  <c r="E49" i="14"/>
  <c r="D49" i="14"/>
  <c r="B49" i="14"/>
  <c r="E48" i="14"/>
  <c r="D48" i="14"/>
  <c r="B48" i="14"/>
  <c r="E47" i="14"/>
  <c r="D47" i="14"/>
  <c r="B47" i="14"/>
  <c r="E46" i="14"/>
  <c r="D46" i="14"/>
  <c r="B46" i="14"/>
  <c r="E43" i="14"/>
  <c r="D43" i="14"/>
  <c r="B43" i="14"/>
  <c r="A43" i="14"/>
  <c r="A52" i="14" s="1"/>
  <c r="C52" i="14" s="1"/>
  <c r="E42" i="14"/>
  <c r="D42" i="14"/>
  <c r="B42" i="14"/>
  <c r="A42" i="14"/>
  <c r="C42" i="14" s="1"/>
  <c r="E41" i="14"/>
  <c r="D41" i="14"/>
  <c r="B41" i="14"/>
  <c r="A41" i="14"/>
  <c r="C41" i="14" s="1"/>
  <c r="E40" i="14"/>
  <c r="D40" i="14"/>
  <c r="B40" i="14"/>
  <c r="A40" i="14"/>
  <c r="C40" i="14" s="1"/>
  <c r="E39" i="14"/>
  <c r="D39" i="14"/>
  <c r="B39" i="14"/>
  <c r="A39" i="14"/>
  <c r="C39" i="14" s="1"/>
  <c r="E38" i="14"/>
  <c r="D38" i="14"/>
  <c r="B38" i="14"/>
  <c r="A38" i="14"/>
  <c r="A47" i="14" s="1"/>
  <c r="C47" i="14" s="1"/>
  <c r="E37" i="14"/>
  <c r="D37" i="14"/>
  <c r="B37" i="14"/>
  <c r="A37" i="14"/>
  <c r="A46" i="14" s="1"/>
  <c r="C46" i="14" s="1"/>
  <c r="E34" i="14"/>
  <c r="D34" i="14"/>
  <c r="C34" i="14"/>
  <c r="B34" i="14"/>
  <c r="E33" i="14"/>
  <c r="D33" i="14"/>
  <c r="C33" i="14"/>
  <c r="B33" i="14"/>
  <c r="E32" i="14"/>
  <c r="F32" i="14" s="1"/>
  <c r="D32" i="14"/>
  <c r="C32" i="14"/>
  <c r="B32" i="14"/>
  <c r="E31" i="14"/>
  <c r="D31" i="14"/>
  <c r="C31" i="14"/>
  <c r="B31" i="14"/>
  <c r="E30" i="14"/>
  <c r="D30" i="14"/>
  <c r="C30" i="14"/>
  <c r="B30" i="14"/>
  <c r="F29" i="14"/>
  <c r="C29" i="14"/>
  <c r="E26" i="14"/>
  <c r="D26" i="14"/>
  <c r="C26" i="14"/>
  <c r="B26" i="14"/>
  <c r="E25" i="14"/>
  <c r="F25" i="14" s="1"/>
  <c r="D25" i="14"/>
  <c r="C25" i="14"/>
  <c r="B25" i="14"/>
  <c r="E24" i="14"/>
  <c r="F24" i="14" s="1"/>
  <c r="D24" i="14"/>
  <c r="C24" i="14"/>
  <c r="B24" i="14"/>
  <c r="E23" i="14"/>
  <c r="F23" i="14" s="1"/>
  <c r="D23" i="14"/>
  <c r="C23" i="14"/>
  <c r="B23" i="14"/>
  <c r="E22" i="14"/>
  <c r="F22" i="14" s="1"/>
  <c r="D22" i="14"/>
  <c r="C22" i="14"/>
  <c r="B22" i="14"/>
  <c r="E21" i="14"/>
  <c r="F21" i="14" s="1"/>
  <c r="D21" i="14"/>
  <c r="C21" i="14"/>
  <c r="B21" i="14"/>
  <c r="E20" i="14"/>
  <c r="F20" i="14" s="1"/>
  <c r="D20" i="14"/>
  <c r="C20" i="14"/>
  <c r="B20" i="14"/>
  <c r="E19" i="14"/>
  <c r="F19" i="14" s="1"/>
  <c r="D19" i="14"/>
  <c r="C19" i="14"/>
  <c r="B19" i="14"/>
  <c r="B17" i="14"/>
  <c r="E16" i="14"/>
  <c r="D16" i="14"/>
  <c r="C16" i="14"/>
  <c r="B16" i="14"/>
  <c r="C15" i="14"/>
  <c r="C14" i="14"/>
  <c r="C13" i="14"/>
  <c r="C10" i="14"/>
  <c r="C9" i="14"/>
  <c r="C8" i="14"/>
  <c r="H6" i="14"/>
  <c r="F16" i="14" l="1"/>
  <c r="F13" i="15"/>
  <c r="F14" i="15"/>
  <c r="F30" i="15"/>
  <c r="F51" i="15"/>
  <c r="C73" i="15"/>
  <c r="F29" i="15"/>
  <c r="F27" i="15"/>
  <c r="F38" i="15"/>
  <c r="F39" i="15"/>
  <c r="F40" i="15"/>
  <c r="F37" i="15"/>
  <c r="F46" i="15"/>
  <c r="C36" i="15"/>
  <c r="F45" i="15"/>
  <c r="F36" i="15"/>
  <c r="C35" i="15"/>
  <c r="F40" i="14"/>
  <c r="F11" i="14"/>
  <c r="F15" i="14"/>
  <c r="F8" i="14"/>
  <c r="F12" i="14"/>
  <c r="F14" i="14"/>
  <c r="F26" i="14"/>
  <c r="F31" i="14"/>
  <c r="F34" i="14"/>
  <c r="F13" i="14"/>
  <c r="C37" i="14"/>
  <c r="F37" i="14" s="1"/>
  <c r="C43" i="14"/>
  <c r="F43" i="14" s="1"/>
  <c r="F9" i="14"/>
  <c r="F47" i="14"/>
  <c r="F30" i="14"/>
  <c r="F33" i="14"/>
  <c r="C38" i="14"/>
  <c r="F38" i="14" s="1"/>
  <c r="F10" i="14"/>
  <c r="F50" i="15"/>
  <c r="C41" i="15"/>
  <c r="F41" i="15" s="1"/>
  <c r="D81" i="15"/>
  <c r="A47" i="15"/>
  <c r="C47" i="15" s="1"/>
  <c r="F47" i="15" s="1"/>
  <c r="A49" i="15"/>
  <c r="C49" i="15" s="1"/>
  <c r="F49" i="15" s="1"/>
  <c r="D83" i="15"/>
  <c r="A48" i="15"/>
  <c r="C48" i="15" s="1"/>
  <c r="F48" i="15" s="1"/>
  <c r="F39" i="14"/>
  <c r="F42" i="14"/>
  <c r="F52" i="14"/>
  <c r="F53" i="14"/>
  <c r="F41" i="14"/>
  <c r="F46" i="14"/>
  <c r="D83" i="14"/>
  <c r="A49" i="14"/>
  <c r="C49" i="14" s="1"/>
  <c r="F49" i="14" s="1"/>
  <c r="C75" i="14"/>
  <c r="A51" i="14"/>
  <c r="C51" i="14" s="1"/>
  <c r="F51" i="14" s="1"/>
  <c r="D85" i="14"/>
  <c r="A48" i="14"/>
  <c r="C48" i="14" s="1"/>
  <c r="F48" i="14" s="1"/>
  <c r="A50" i="14"/>
  <c r="C50" i="14" s="1"/>
  <c r="F50" i="14" s="1"/>
  <c r="D32" i="12"/>
  <c r="E73" i="15" l="1"/>
  <c r="C85" i="15"/>
  <c r="E85" i="15" s="1"/>
  <c r="F55" i="14"/>
  <c r="F66" i="14" s="1"/>
  <c r="F56" i="14"/>
  <c r="F58" i="14"/>
  <c r="C87" i="14"/>
  <c r="E87" i="14" s="1"/>
  <c r="E75" i="14"/>
  <c r="H55" i="14" l="1"/>
  <c r="F2" i="14" s="1"/>
  <c r="C71" i="14"/>
  <c r="E71" i="14" s="1"/>
  <c r="E17" i="15" s="1"/>
  <c r="F17" i="15" s="1"/>
  <c r="F53" i="15" s="1"/>
  <c r="H58" i="14"/>
  <c r="C76" i="14"/>
  <c r="C78" i="14"/>
  <c r="E78" i="14" s="1"/>
  <c r="E35" i="15" s="1"/>
  <c r="F35" i="15" s="1"/>
  <c r="F54" i="15" s="1"/>
  <c r="H54" i="15" s="1"/>
  <c r="G2" i="15" s="1"/>
  <c r="H56" i="14"/>
  <c r="G2" i="14" s="1"/>
  <c r="F57" i="14"/>
  <c r="F55" i="15" l="1"/>
  <c r="O54" i="15" s="1"/>
  <c r="O56" i="15" s="1"/>
  <c r="C76" i="15"/>
  <c r="E76" i="15" s="1"/>
  <c r="F64" i="15"/>
  <c r="H53" i="15"/>
  <c r="F2" i="15" s="1"/>
  <c r="C69" i="15"/>
  <c r="C83" i="14"/>
  <c r="E83" i="14" s="1"/>
  <c r="O57" i="14"/>
  <c r="H60" i="14"/>
  <c r="H61" i="14" s="1"/>
  <c r="O60" i="14" s="1"/>
  <c r="H2" i="14"/>
  <c r="H57" i="14"/>
  <c r="O56" i="14"/>
  <c r="F65" i="14"/>
  <c r="C88" i="14"/>
  <c r="E88" i="14" s="1"/>
  <c r="E76" i="14"/>
  <c r="H55" i="15" l="1"/>
  <c r="F63" i="15"/>
  <c r="F66" i="15" s="1"/>
  <c r="G37" i="15" s="1"/>
  <c r="E80" i="14"/>
  <c r="E44" i="15"/>
  <c r="F44" i="15" s="1"/>
  <c r="F56" i="15" s="1"/>
  <c r="C81" i="15"/>
  <c r="E81" i="15" s="1"/>
  <c r="E69" i="15"/>
  <c r="C73" i="14"/>
  <c r="E65" i="14"/>
  <c r="F68" i="14"/>
  <c r="O58" i="14"/>
  <c r="O59" i="14" s="1"/>
  <c r="O61" i="14" s="1"/>
  <c r="G17" i="15" l="1"/>
  <c r="G39" i="15"/>
  <c r="G28" i="15"/>
  <c r="G49" i="15"/>
  <c r="G36" i="15"/>
  <c r="G19" i="15"/>
  <c r="G23" i="15"/>
  <c r="G27" i="15"/>
  <c r="G46" i="15"/>
  <c r="G64" i="15"/>
  <c r="G30" i="15"/>
  <c r="G41" i="15"/>
  <c r="G32" i="15"/>
  <c r="G47" i="15"/>
  <c r="G65" i="15"/>
  <c r="G11" i="15"/>
  <c r="G20" i="15"/>
  <c r="G66" i="15"/>
  <c r="G9" i="15"/>
  <c r="G8" i="15"/>
  <c r="C71" i="15"/>
  <c r="E71" i="15" s="1"/>
  <c r="G21" i="15"/>
  <c r="G51" i="15"/>
  <c r="G55" i="15"/>
  <c r="G29" i="15"/>
  <c r="G48" i="15"/>
  <c r="G18" i="15"/>
  <c r="G13" i="15"/>
  <c r="G10" i="15"/>
  <c r="G53" i="15"/>
  <c r="G12" i="15"/>
  <c r="G45" i="15"/>
  <c r="G50" i="15"/>
  <c r="G35" i="15"/>
  <c r="G31" i="15"/>
  <c r="G54" i="15"/>
  <c r="G22" i="15"/>
  <c r="G38" i="15"/>
  <c r="E63" i="15"/>
  <c r="G40" i="15"/>
  <c r="G63" i="15"/>
  <c r="G24" i="15"/>
  <c r="G14" i="15"/>
  <c r="G56" i="15"/>
  <c r="G44" i="15"/>
  <c r="H56" i="15"/>
  <c r="C74" i="15"/>
  <c r="G12" i="14"/>
  <c r="G11" i="14"/>
  <c r="G68" i="14"/>
  <c r="G25" i="14"/>
  <c r="G9" i="14"/>
  <c r="G15" i="14"/>
  <c r="G23" i="14"/>
  <c r="G40" i="14"/>
  <c r="G20" i="14"/>
  <c r="G13" i="14"/>
  <c r="G43" i="14"/>
  <c r="G34" i="14"/>
  <c r="G14" i="14"/>
  <c r="G21" i="14"/>
  <c r="G19" i="14"/>
  <c r="G8" i="14"/>
  <c r="G24" i="14"/>
  <c r="G33" i="14"/>
  <c r="G26" i="14"/>
  <c r="G29" i="14"/>
  <c r="G30" i="14"/>
  <c r="G67" i="14"/>
  <c r="G37" i="14"/>
  <c r="G16" i="14"/>
  <c r="G10" i="14"/>
  <c r="G32" i="14"/>
  <c r="G22" i="14"/>
  <c r="G31" i="14"/>
  <c r="G38" i="14"/>
  <c r="G47" i="14"/>
  <c r="G50" i="14"/>
  <c r="G42" i="14"/>
  <c r="G41" i="14"/>
  <c r="G52" i="14"/>
  <c r="G48" i="14"/>
  <c r="G49" i="14"/>
  <c r="G55" i="14"/>
  <c r="G51" i="14"/>
  <c r="G53" i="14"/>
  <c r="G39" i="14"/>
  <c r="G46" i="14"/>
  <c r="G56" i="14"/>
  <c r="G66" i="14"/>
  <c r="G58" i="14"/>
  <c r="G57" i="14"/>
  <c r="C85" i="14"/>
  <c r="E85" i="14" s="1"/>
  <c r="E73" i="14"/>
  <c r="O62" i="14"/>
  <c r="O63" i="14" s="1"/>
  <c r="O64" i="14" s="1"/>
  <c r="G65" i="14"/>
  <c r="C83" i="15" l="1"/>
  <c r="E83" i="15" s="1"/>
  <c r="C86" i="15"/>
  <c r="E86" i="15" s="1"/>
  <c r="E74" i="15"/>
  <c r="E78" i="15" s="1"/>
  <c r="H2" i="15"/>
  <c r="O55" i="15"/>
  <c r="O57" i="15" s="1"/>
  <c r="H58" i="15"/>
  <c r="H59" i="15" s="1"/>
  <c r="O58" i="15" s="1"/>
  <c r="P64" i="14"/>
  <c r="E2" i="14"/>
  <c r="O59" i="15" l="1"/>
  <c r="O60" i="15" s="1"/>
  <c r="O61" i="15" s="1"/>
  <c r="O62" i="15" s="1"/>
  <c r="P62" i="15" s="1"/>
  <c r="E2" i="15" l="1"/>
</calcChain>
</file>

<file path=xl/sharedStrings.xml><?xml version="1.0" encoding="utf-8"?>
<sst xmlns="http://schemas.openxmlformats.org/spreadsheetml/2006/main" count="299" uniqueCount="137">
  <si>
    <t>PROCEDIMIENTO DE PREPARACION DE LA  RECETA</t>
  </si>
  <si>
    <t>g</t>
  </si>
  <si>
    <t>MERMA</t>
  </si>
  <si>
    <t>Otros</t>
  </si>
  <si>
    <t>PESO DE CADA PORCIÓN</t>
  </si>
  <si>
    <t>Temperatura de Horneo: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</si>
  <si>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</si>
  <si>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</si>
  <si>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</si>
  <si>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</si>
  <si>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</si>
  <si>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</si>
  <si>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</si>
  <si>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</si>
  <si>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</si>
  <si>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</si>
  <si>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</si>
  <si>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</si>
  <si>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</si>
  <si>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</si>
  <si>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</si>
  <si>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</si>
  <si>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</si>
  <si>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</si>
  <si>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</si>
  <si>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</si>
  <si>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</si>
  <si>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</si>
  <si>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</si>
  <si>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</si>
  <si>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</si>
  <si>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# Código Netsuite</t>
  </si>
  <si>
    <t>CONTROL DE CAMBIOS</t>
  </si>
  <si>
    <t>FAS</t>
  </si>
  <si>
    <t>Mariela Barrantes Sánchez, Chef</t>
  </si>
  <si>
    <t>Cocina</t>
  </si>
  <si>
    <t>Ensamble</t>
  </si>
  <si>
    <t>Tanda</t>
  </si>
  <si>
    <t>Sebastian Díaz, Gte Manufactura</t>
  </si>
  <si>
    <t>EMPAQUE</t>
  </si>
  <si>
    <t>EM10011</t>
  </si>
  <si>
    <t>Etiqueta Blanca 2 5/8X1 15/16</t>
  </si>
  <si>
    <t>MP10024</t>
  </si>
  <si>
    <t>Leche Evaporada</t>
  </si>
  <si>
    <t>NESTLE</t>
  </si>
  <si>
    <t>MP10030</t>
  </si>
  <si>
    <t>Leche 2% Pasteurizada</t>
  </si>
  <si>
    <t>DOS PINOS</t>
  </si>
  <si>
    <t>MP10385</t>
  </si>
  <si>
    <t>Vainilla Oscura</t>
  </si>
  <si>
    <t>Malluquer</t>
  </si>
  <si>
    <t>MP10037</t>
  </si>
  <si>
    <t>Yema De Huevo Pasteurizada</t>
  </si>
  <si>
    <t>INNOVO</t>
  </si>
  <si>
    <t>MP10074</t>
  </si>
  <si>
    <t>Azucar Blanco Industrial</t>
  </si>
  <si>
    <t xml:space="preserve">Para almidon </t>
  </si>
  <si>
    <t>MP10026</t>
  </si>
  <si>
    <t>Almidon Modificado</t>
  </si>
  <si>
    <t>MP10025</t>
  </si>
  <si>
    <t>Preservante 1017S</t>
  </si>
  <si>
    <t>ASEAL</t>
  </si>
  <si>
    <t xml:space="preserve">DECORACIÓN </t>
  </si>
  <si>
    <t>1, Colocar en una olla la leche evaporada junto con la leche estandar y la vainilla, llevar a hervir</t>
  </si>
  <si>
    <t>2, Colocar en un bolw las yemas y junto con el azúcar, con ayuda de un batidor mezclar bien, agregar el almidon y preservante y terminar de incorporar</t>
  </si>
  <si>
    <t>3, Colocar un poco de leche caliente a la mezcla de yemas, mezclar bien. Y luego esta misma mezcla agregar a la olla con el restante de leche calliente.</t>
  </si>
  <si>
    <t>4, Mezclar con batidor hasta que hierva por 1 min y hasta que la mezcle corte formando la crema pastelera</t>
  </si>
  <si>
    <t>5, Colocar en bandejas, enviar a empaque a enfriar con nombre en etiqueta</t>
  </si>
  <si>
    <t>1012341</t>
  </si>
  <si>
    <t>MP10406</t>
  </si>
  <si>
    <t>BAILEYS (BOTELLA=1 LITRO)</t>
  </si>
  <si>
    <t>BAILEYS</t>
  </si>
  <si>
    <t>EM10037</t>
  </si>
  <si>
    <t>Bolsa 8X12 Transparente</t>
  </si>
  <si>
    <t>EM10002</t>
  </si>
  <si>
    <t>ETIQ.BLANCA 1 1/4 * 3/4 (UND)</t>
  </si>
  <si>
    <t>EM10004</t>
  </si>
  <si>
    <t>ETIQ.FECHA VENCIMIENTO BLANCO (ROLLO)</t>
  </si>
  <si>
    <t xml:space="preserve">Relleno Crema Pastelera Espesa de Baylies 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</si>
  <si>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</si>
  <si>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</si>
  <si>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</si>
  <si>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</si>
  <si>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</si>
  <si>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</si>
  <si>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</si>
  <si>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</si>
  <si>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</si>
  <si>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</si>
  <si>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</si>
  <si>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</si>
  <si>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</si>
  <si>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</si>
  <si>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</si>
  <si>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</si>
  <si>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</si>
  <si>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</si>
  <si>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</si>
  <si>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</si>
  <si>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</si>
  <si>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</si>
  <si>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</si>
  <si>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</si>
  <si>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</si>
  <si>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</si>
  <si>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</si>
  <si>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</si>
  <si>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</si>
  <si>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</si>
  <si>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</si>
  <si>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</si>
  <si>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</si>
  <si>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</si>
  <si>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</si>
  <si>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</si>
  <si>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</si>
  <si>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</si>
  <si>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</si>
  <si>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</si>
  <si>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</si>
  <si>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83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</si>
  <si>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</si>
  <si>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</si>
  <si>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</si>
  <si>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</si>
  <si>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</si>
  <si>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</si>
  <si>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</si>
  <si>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</si>
  <si>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</si>
  <si>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Gramos</t>
  </si>
  <si>
    <t>und</t>
  </si>
  <si>
    <t>UND</t>
  </si>
  <si>
    <t>SE00781 RELLENO CREMA PASTELERA ESPESA DE BAILEYS</t>
  </si>
  <si>
    <t>ESP-RE-COCS-130</t>
  </si>
  <si>
    <t xml:space="preserve">2, Se actualiza rendimiento 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</si>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</sst>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_(* #,##0.00_);_(* \(#,##0.00\);_(* &quot;-&quot;??_);_(@_)"/>
    <numFmt numFmtId="166" formatCode="[$-409]d\-mmm\-yy;@"/>
    <numFmt numFmtId="167" formatCode="&quot;$&quot;#,##0_);[Red]\(&quot;$&quot;#,##0\)"/>
    <numFmt numFmtId="168" formatCode="_-* #,##0.0\ _€_-;\-* #,##0.0\ _€_-;_-* &quot;-&quot;??\ _€_-;_-@_-"/>
  </numFmts>
  <fonts count="4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1"/>
      <color theme="1"/>
      <name val="Aptos Narrow"/>
      <family val="2"/>
      <scheme val="minor"/>
    </font>
    <font>
      <b/>
      <sz val="12"/>
      <name val="Century Gothic"/>
      <family val="2"/>
    </font>
    <font>
      <sz val="12"/>
      <name val="Century Gothic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sz val="1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0" fontId="2" fillId="0" borderId="0"/>
    <xf numFmtId="0" fontId="3" fillId="0" borderId="0"/>
    <xf numFmtId="0" fontId="1" fillId="0" borderId="0"/>
    <xf numFmtId="0" fontId="3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274">
    <xf numFmtId="0" fontId="0" fillId="0" borderId="0" xfId="0"/>
    <xf numFmtId="1" fontId="0" fillId="0" borderId="0" xfId="0" applyNumberFormat="1"/>
    <xf numFmtId="14" fontId="7" fillId="3" borderId="0" xfId="2" applyNumberFormat="1" applyFont="1" applyFill="1" applyAlignment="1">
      <alignment horizontal="center" vertical="center" wrapText="1"/>
    </xf>
    <xf numFmtId="0" fontId="4" fillId="3" borderId="17" xfId="2" applyFont="1" applyFill="1" applyBorder="1" applyAlignment="1">
      <alignment horizontal="right"/>
    </xf>
    <xf numFmtId="0" fontId="5" fillId="3" borderId="16" xfId="2" applyFont="1" applyFill="1" applyBorder="1" applyAlignment="1">
      <alignment horizontal="center"/>
    </xf>
    <xf numFmtId="0" fontId="4" fillId="3" borderId="14" xfId="2" applyFont="1" applyFill="1" applyBorder="1" applyAlignment="1">
      <alignment horizontal="right"/>
    </xf>
    <xf numFmtId="49" fontId="5" fillId="3" borderId="13" xfId="2" applyNumberFormat="1" applyFont="1" applyFill="1" applyBorder="1" applyAlignment="1">
      <alignment horizontal="center"/>
    </xf>
    <xf numFmtId="0" fontId="5" fillId="3" borderId="11" xfId="2" applyFont="1" applyFill="1" applyBorder="1" applyAlignment="1">
      <alignment horizontal="right"/>
    </xf>
    <xf numFmtId="0" fontId="5" fillId="3" borderId="14" xfId="2" applyFont="1" applyFill="1" applyBorder="1" applyAlignment="1">
      <alignment horizontal="right"/>
    </xf>
    <xf numFmtId="0" fontId="4" fillId="2" borderId="16" xfId="1" applyFont="1" applyFill="1" applyBorder="1" applyAlignment="1">
      <alignment horizontal="center" vertical="center" wrapText="1"/>
    </xf>
    <xf numFmtId="1" fontId="4" fillId="2" borderId="2" xfId="1" applyNumberFormat="1" applyFont="1" applyFill="1" applyBorder="1" applyAlignment="1">
      <alignment horizontal="center"/>
    </xf>
    <xf numFmtId="1" fontId="4" fillId="2" borderId="2" xfId="1" applyNumberFormat="1" applyFont="1" applyFill="1" applyBorder="1" applyAlignment="1">
      <alignment horizontal="center" wrapText="1"/>
    </xf>
    <xf numFmtId="0" fontId="4" fillId="2" borderId="1" xfId="1" applyFont="1" applyFill="1" applyBorder="1" applyAlignment="1">
      <alignment horizontal="center"/>
    </xf>
    <xf numFmtId="2" fontId="0" fillId="0" borderId="0" xfId="0" applyNumberFormat="1"/>
    <xf numFmtId="0" fontId="8" fillId="4" borderId="0" xfId="0" applyFont="1" applyFill="1" applyAlignment="1">
      <alignment vertical="center"/>
    </xf>
    <xf numFmtId="0" fontId="9" fillId="7" borderId="14" xfId="0" applyFont="1" applyFill="1" applyBorder="1" applyAlignment="1">
      <alignment horizontal="center" vertical="center" wrapText="1"/>
    </xf>
    <xf numFmtId="0" fontId="9" fillId="7" borderId="14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43" fontId="9" fillId="0" borderId="14" xfId="10" applyFont="1" applyFill="1" applyBorder="1" applyAlignment="1">
      <alignment horizontal="center" vertical="center"/>
    </xf>
    <xf numFmtId="43" fontId="9" fillId="0" borderId="0" xfId="10" applyFont="1" applyFill="1" applyBorder="1" applyAlignment="1">
      <alignment horizontal="center" vertical="center"/>
    </xf>
    <xf numFmtId="43" fontId="11" fillId="0" borderId="0" xfId="1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166" fontId="14" fillId="0" borderId="0" xfId="0" applyNumberFormat="1" applyFont="1" applyAlignment="1">
      <alignment horizontal="center" vertical="center" wrapText="1"/>
    </xf>
    <xf numFmtId="0" fontId="9" fillId="8" borderId="44" xfId="0" applyFont="1" applyFill="1" applyBorder="1" applyAlignment="1">
      <alignment horizontal="center" vertical="center"/>
    </xf>
    <xf numFmtId="0" fontId="9" fillId="8" borderId="45" xfId="0" applyFont="1" applyFill="1" applyBorder="1" applyAlignment="1">
      <alignment horizontal="center" vertical="center"/>
    </xf>
    <xf numFmtId="0" fontId="9" fillId="8" borderId="45" xfId="0" applyFont="1" applyFill="1" applyBorder="1" applyAlignment="1">
      <alignment horizontal="center" vertical="center" wrapText="1"/>
    </xf>
    <xf numFmtId="0" fontId="9" fillId="8" borderId="46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2" fontId="15" fillId="0" borderId="0" xfId="0" applyNumberFormat="1" applyFont="1" applyAlignment="1">
      <alignment horizontal="center"/>
    </xf>
    <xf numFmtId="4" fontId="15" fillId="0" borderId="0" xfId="11" applyNumberFormat="1" applyFont="1" applyFill="1" applyAlignment="1">
      <alignment horizontal="center" vertical="center"/>
    </xf>
    <xf numFmtId="4" fontId="9" fillId="0" borderId="0" xfId="11" applyNumberFormat="1" applyFont="1" applyFill="1" applyAlignment="1">
      <alignment horizontal="center" vertical="center"/>
    </xf>
    <xf numFmtId="10" fontId="9" fillId="0" borderId="0" xfId="7" applyNumberFormat="1" applyFont="1" applyFill="1" applyAlignment="1">
      <alignment vertical="center"/>
    </xf>
    <xf numFmtId="49" fontId="9" fillId="0" borderId="0" xfId="0" applyNumberFormat="1" applyFont="1" applyAlignment="1">
      <alignment horizontal="center" vertical="center"/>
    </xf>
    <xf numFmtId="10" fontId="10" fillId="0" borderId="0" xfId="7" applyNumberFormat="1" applyFont="1" applyFill="1" applyAlignment="1">
      <alignment vertical="center"/>
    </xf>
    <xf numFmtId="0" fontId="8" fillId="0" borderId="0" xfId="0" applyFont="1"/>
    <xf numFmtId="49" fontId="9" fillId="0" borderId="0" xfId="0" applyNumberFormat="1" applyFont="1" applyAlignment="1">
      <alignment horizontal="center"/>
    </xf>
    <xf numFmtId="167" fontId="8" fillId="0" borderId="0" xfId="0" applyNumberFormat="1" applyFont="1" applyAlignment="1">
      <alignment vertical="center"/>
    </xf>
    <xf numFmtId="0" fontId="8" fillId="0" borderId="0" xfId="0" applyFont="1" applyAlignment="1">
      <alignment horizontal="left" vertical="center"/>
    </xf>
    <xf numFmtId="43" fontId="8" fillId="0" borderId="0" xfId="10" applyFont="1" applyFill="1" applyAlignment="1">
      <alignment vertical="center"/>
    </xf>
    <xf numFmtId="49" fontId="16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4" fontId="9" fillId="0" borderId="0" xfId="10" applyNumberFormat="1" applyFont="1" applyFill="1" applyAlignment="1">
      <alignment vertical="center"/>
    </xf>
    <xf numFmtId="43" fontId="17" fillId="0" borderId="0" xfId="10" applyFont="1" applyFill="1" applyAlignment="1">
      <alignment horizontal="center" vertical="center"/>
    </xf>
    <xf numFmtId="10" fontId="10" fillId="8" borderId="47" xfId="7" applyNumberFormat="1" applyFont="1" applyFill="1" applyBorder="1" applyAlignment="1">
      <alignment vertical="center"/>
    </xf>
    <xf numFmtId="0" fontId="8" fillId="8" borderId="34" xfId="0" applyFont="1" applyFill="1" applyBorder="1" applyAlignment="1">
      <alignment vertical="center"/>
    </xf>
    <xf numFmtId="0" fontId="8" fillId="8" borderId="47" xfId="0" applyFont="1" applyFill="1" applyBorder="1" applyAlignment="1">
      <alignment vertical="center"/>
    </xf>
    <xf numFmtId="43" fontId="17" fillId="8" borderId="48" xfId="10" applyFont="1" applyFill="1" applyBorder="1" applyAlignment="1">
      <alignment horizontal="center" vertical="center"/>
    </xf>
    <xf numFmtId="43" fontId="19" fillId="0" borderId="0" xfId="10" applyFont="1" applyFill="1" applyBorder="1" applyAlignment="1">
      <alignment horizontal="right"/>
    </xf>
    <xf numFmtId="0" fontId="8" fillId="8" borderId="48" xfId="0" applyFont="1" applyFill="1" applyBorder="1" applyAlignment="1">
      <alignment vertical="center"/>
    </xf>
    <xf numFmtId="10" fontId="10" fillId="8" borderId="48" xfId="7" applyNumberFormat="1" applyFont="1" applyFill="1" applyBorder="1" applyAlignment="1">
      <alignment vertical="center"/>
    </xf>
    <xf numFmtId="0" fontId="18" fillId="0" borderId="0" xfId="0" applyFont="1" applyAlignment="1">
      <alignment horizontal="right"/>
    </xf>
    <xf numFmtId="0" fontId="18" fillId="0" borderId="0" xfId="0" applyFont="1"/>
    <xf numFmtId="9" fontId="18" fillId="0" borderId="0" xfId="0" applyNumberFormat="1" applyFont="1"/>
    <xf numFmtId="9" fontId="20" fillId="0" borderId="0" xfId="7" applyFont="1" applyFill="1" applyAlignment="1">
      <alignment horizontal="center"/>
    </xf>
    <xf numFmtId="0" fontId="17" fillId="0" borderId="0" xfId="0" applyFont="1" applyAlignment="1">
      <alignment horizontal="right" vertical="center"/>
    </xf>
    <xf numFmtId="4" fontId="17" fillId="0" borderId="0" xfId="10" applyNumberFormat="1" applyFont="1" applyFill="1" applyAlignment="1">
      <alignment vertical="center"/>
    </xf>
    <xf numFmtId="4" fontId="17" fillId="0" borderId="0" xfId="11" applyNumberFormat="1" applyFont="1" applyAlignment="1">
      <alignment horizontal="center" vertical="center"/>
    </xf>
    <xf numFmtId="0" fontId="21" fillId="0" borderId="0" xfId="0" applyFont="1" applyAlignment="1">
      <alignment horizontal="right"/>
    </xf>
    <xf numFmtId="0" fontId="22" fillId="0" borderId="0" xfId="0" applyFont="1" applyAlignment="1">
      <alignment horizontal="right"/>
    </xf>
    <xf numFmtId="0" fontId="22" fillId="0" borderId="19" xfId="0" applyFont="1" applyBorder="1" applyAlignment="1">
      <alignment horizontal="right"/>
    </xf>
    <xf numFmtId="43" fontId="23" fillId="5" borderId="49" xfId="10" applyFont="1" applyFill="1" applyBorder="1" applyAlignment="1">
      <alignment horizontal="right"/>
    </xf>
    <xf numFmtId="43" fontId="23" fillId="0" borderId="0" xfId="10" applyFont="1" applyFill="1" applyBorder="1" applyAlignment="1">
      <alignment horizontal="right"/>
    </xf>
    <xf numFmtId="43" fontId="9" fillId="0" borderId="14" xfId="10" applyFont="1" applyFill="1" applyBorder="1" applyAlignment="1">
      <alignment vertical="center"/>
    </xf>
    <xf numFmtId="0" fontId="24" fillId="0" borderId="0" xfId="0" applyFont="1" applyAlignment="1">
      <alignment horizontal="left" vertical="center"/>
    </xf>
    <xf numFmtId="4" fontId="17" fillId="0" borderId="0" xfId="11" applyNumberFormat="1" applyFont="1" applyFill="1" applyAlignment="1">
      <alignment horizontal="center" vertical="center"/>
    </xf>
    <xf numFmtId="10" fontId="25" fillId="0" borderId="0" xfId="7" applyNumberFormat="1" applyFont="1" applyFill="1" applyAlignment="1">
      <alignment horizontal="right"/>
    </xf>
    <xf numFmtId="168" fontId="9" fillId="8" borderId="14" xfId="10" applyNumberFormat="1" applyFont="1" applyFill="1" applyBorder="1" applyAlignment="1">
      <alignment vertical="center"/>
    </xf>
    <xf numFmtId="4" fontId="8" fillId="0" borderId="0" xfId="0" applyNumberFormat="1" applyFont="1" applyAlignment="1">
      <alignment horizontal="center" vertical="center"/>
    </xf>
    <xf numFmtId="43" fontId="9" fillId="9" borderId="14" xfId="10" applyFont="1" applyFill="1" applyBorder="1" applyAlignment="1">
      <alignment vertical="center"/>
    </xf>
    <xf numFmtId="165" fontId="26" fillId="0" borderId="0" xfId="0" applyNumberFormat="1" applyFont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4" fontId="9" fillId="0" borderId="0" xfId="0" applyNumberFormat="1" applyFont="1" applyAlignment="1">
      <alignment horizontal="center" vertical="center"/>
    </xf>
    <xf numFmtId="0" fontId="10" fillId="8" borderId="50" xfId="0" applyFont="1" applyFill="1" applyBorder="1" applyAlignment="1">
      <alignment vertical="center"/>
    </xf>
    <xf numFmtId="0" fontId="28" fillId="0" borderId="0" xfId="0" applyFont="1" applyAlignment="1">
      <alignment vertical="center"/>
    </xf>
    <xf numFmtId="2" fontId="25" fillId="0" borderId="0" xfId="10" applyNumberFormat="1" applyFont="1" applyFill="1" applyBorder="1" applyAlignment="1">
      <alignment horizontal="center"/>
    </xf>
    <xf numFmtId="2" fontId="22" fillId="0" borderId="0" xfId="10" applyNumberFormat="1" applyFont="1" applyFill="1" applyBorder="1" applyAlignment="1">
      <alignment horizontal="center"/>
    </xf>
    <xf numFmtId="0" fontId="8" fillId="8" borderId="50" xfId="0" applyFont="1" applyFill="1" applyBorder="1" applyAlignment="1">
      <alignment vertical="center"/>
    </xf>
    <xf numFmtId="10" fontId="8" fillId="0" borderId="0" xfId="7" applyNumberFormat="1" applyFont="1" applyFill="1" applyAlignment="1">
      <alignment vertical="center"/>
    </xf>
    <xf numFmtId="4" fontId="8" fillId="0" borderId="0" xfId="10" applyNumberFormat="1" applyFont="1" applyFill="1" applyAlignment="1">
      <alignment vertical="center"/>
    </xf>
    <xf numFmtId="43" fontId="23" fillId="8" borderId="34" xfId="10" applyFont="1" applyFill="1" applyBorder="1" applyAlignment="1">
      <alignment horizontal="right"/>
    </xf>
    <xf numFmtId="0" fontId="9" fillId="8" borderId="35" xfId="0" applyFont="1" applyFill="1" applyBorder="1" applyAlignment="1">
      <alignment horizontal="right" vertical="center"/>
    </xf>
    <xf numFmtId="10" fontId="29" fillId="0" borderId="0" xfId="10" applyNumberFormat="1" applyFont="1" applyFill="1" applyAlignment="1">
      <alignment vertical="center"/>
    </xf>
    <xf numFmtId="10" fontId="10" fillId="0" borderId="0" xfId="7" applyNumberFormat="1" applyFont="1" applyFill="1" applyBorder="1" applyAlignment="1">
      <alignment vertical="center"/>
    </xf>
    <xf numFmtId="165" fontId="30" fillId="0" borderId="0" xfId="0" applyNumberFormat="1" applyFont="1" applyAlignment="1">
      <alignment horizontal="center" vertical="center"/>
    </xf>
    <xf numFmtId="0" fontId="8" fillId="4" borderId="49" xfId="0" applyFont="1" applyFill="1" applyBorder="1" applyAlignment="1">
      <alignment horizontal="center" vertical="center"/>
    </xf>
    <xf numFmtId="43" fontId="31" fillId="0" borderId="0" xfId="10" applyFont="1" applyFill="1" applyAlignment="1">
      <alignment vertical="center"/>
    </xf>
    <xf numFmtId="4" fontId="32" fillId="0" borderId="0" xfId="11" applyNumberFormat="1" applyFont="1" applyFill="1" applyAlignment="1">
      <alignment horizontal="center" vertical="center" wrapText="1"/>
    </xf>
    <xf numFmtId="9" fontId="8" fillId="0" borderId="0" xfId="10" applyNumberFormat="1" applyFont="1" applyFill="1" applyAlignment="1">
      <alignment vertical="center"/>
    </xf>
    <xf numFmtId="0" fontId="1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right" vertical="center"/>
    </xf>
    <xf numFmtId="4" fontId="16" fillId="0" borderId="0" xfId="10" applyNumberFormat="1" applyFont="1" applyFill="1" applyAlignment="1">
      <alignment vertical="center"/>
    </xf>
    <xf numFmtId="4" fontId="9" fillId="11" borderId="49" xfId="10" applyNumberFormat="1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43" fontId="33" fillId="0" borderId="0" xfId="10" applyFont="1" applyFill="1" applyAlignment="1">
      <alignment vertical="center"/>
    </xf>
    <xf numFmtId="9" fontId="33" fillId="0" borderId="0" xfId="10" applyNumberFormat="1" applyFont="1" applyFill="1" applyAlignment="1">
      <alignment vertical="center"/>
    </xf>
    <xf numFmtId="4" fontId="9" fillId="0" borderId="0" xfId="10" applyNumberFormat="1" applyFont="1" applyFill="1" applyAlignment="1">
      <alignment horizontal="center" vertical="center"/>
    </xf>
    <xf numFmtId="10" fontId="26" fillId="0" borderId="0" xfId="7" applyNumberFormat="1" applyFont="1" applyFill="1" applyAlignment="1">
      <alignment vertical="center"/>
    </xf>
    <xf numFmtId="43" fontId="26" fillId="0" borderId="0" xfId="10" applyFont="1" applyFill="1" applyBorder="1" applyAlignment="1">
      <alignment vertical="center"/>
    </xf>
    <xf numFmtId="4" fontId="8" fillId="0" borderId="0" xfId="0" applyNumberFormat="1" applyFont="1" applyAlignment="1">
      <alignment horizontal="center"/>
    </xf>
    <xf numFmtId="43" fontId="8" fillId="0" borderId="0" xfId="10" applyFont="1" applyFill="1" applyBorder="1"/>
    <xf numFmtId="10" fontId="26" fillId="0" borderId="0" xfId="7" applyNumberFormat="1" applyFont="1" applyFill="1" applyBorder="1" applyAlignment="1">
      <alignment vertical="center"/>
    </xf>
    <xf numFmtId="0" fontId="26" fillId="0" borderId="0" xfId="0" applyFont="1" applyAlignment="1">
      <alignment horizontal="right"/>
    </xf>
    <xf numFmtId="43" fontId="8" fillId="0" borderId="0" xfId="10" applyFont="1" applyFill="1" applyBorder="1" applyAlignment="1">
      <alignment horizontal="center"/>
    </xf>
    <xf numFmtId="9" fontId="36" fillId="0" borderId="0" xfId="0" applyNumberFormat="1" applyFont="1" applyAlignment="1">
      <alignment horizontal="left"/>
    </xf>
    <xf numFmtId="4" fontId="9" fillId="0" borderId="0" xfId="0" applyNumberFormat="1" applyFont="1" applyAlignment="1">
      <alignment horizontal="center"/>
    </xf>
    <xf numFmtId="165" fontId="9" fillId="0" borderId="0" xfId="0" applyNumberFormat="1" applyFont="1"/>
    <xf numFmtId="0" fontId="37" fillId="0" borderId="14" xfId="1" applyFont="1" applyBorder="1" applyAlignment="1">
      <alignment horizontal="center" vertical="center"/>
    </xf>
    <xf numFmtId="0" fontId="38" fillId="0" borderId="14" xfId="1" applyFont="1" applyBorder="1" applyAlignment="1">
      <alignment vertical="center"/>
    </xf>
    <xf numFmtId="1" fontId="37" fillId="0" borderId="14" xfId="1" applyNumberFormat="1" applyFont="1" applyBorder="1" applyAlignment="1">
      <alignment horizontal="center"/>
    </xf>
    <xf numFmtId="1" fontId="37" fillId="0" borderId="14" xfId="1" applyNumberFormat="1" applyFont="1" applyBorder="1" applyAlignment="1">
      <alignment horizontal="center" wrapText="1"/>
    </xf>
    <xf numFmtId="0" fontId="39" fillId="0" borderId="13" xfId="1" applyFont="1" applyBorder="1" applyAlignment="1">
      <alignment horizontal="center"/>
    </xf>
    <xf numFmtId="0" fontId="39" fillId="0" borderId="14" xfId="0" applyFont="1" applyBorder="1" applyAlignment="1">
      <alignment horizontal="center"/>
    </xf>
    <xf numFmtId="0" fontId="39" fillId="0" borderId="11" xfId="0" applyFont="1" applyBorder="1" applyAlignment="1">
      <alignment horizontal="center"/>
    </xf>
    <xf numFmtId="0" fontId="40" fillId="0" borderId="14" xfId="0" applyFont="1" applyBorder="1"/>
    <xf numFmtId="0" fontId="40" fillId="0" borderId="14" xfId="0" applyFont="1" applyBorder="1" applyAlignment="1">
      <alignment horizontal="center"/>
    </xf>
    <xf numFmtId="0" fontId="39" fillId="4" borderId="14" xfId="0" applyFont="1" applyFill="1" applyBorder="1" applyAlignment="1">
      <alignment horizontal="center"/>
    </xf>
    <xf numFmtId="1" fontId="39" fillId="0" borderId="14" xfId="1" applyNumberFormat="1" applyFont="1" applyBorder="1" applyAlignment="1">
      <alignment horizontal="center" wrapText="1"/>
    </xf>
    <xf numFmtId="12" fontId="39" fillId="0" borderId="14" xfId="0" applyNumberFormat="1" applyFont="1" applyBorder="1" applyAlignment="1">
      <alignment horizontal="center"/>
    </xf>
    <xf numFmtId="16" fontId="39" fillId="0" borderId="14" xfId="0" applyNumberFormat="1" applyFont="1" applyBorder="1" applyAlignment="1">
      <alignment horizontal="center"/>
    </xf>
    <xf numFmtId="1" fontId="39" fillId="0" borderId="14" xfId="0" applyNumberFormat="1" applyFont="1" applyBorder="1" applyAlignment="1">
      <alignment horizontal="center"/>
    </xf>
    <xf numFmtId="1" fontId="39" fillId="0" borderId="14" xfId="0" applyNumberFormat="1" applyFont="1" applyBorder="1" applyAlignment="1">
      <alignment horizontal="center" wrapText="1"/>
    </xf>
    <xf numFmtId="0" fontId="39" fillId="0" borderId="14" xfId="1" applyFont="1" applyBorder="1" applyAlignment="1">
      <alignment horizontal="center"/>
    </xf>
    <xf numFmtId="16" fontId="39" fillId="4" borderId="14" xfId="0" applyNumberFormat="1" applyFont="1" applyFill="1" applyBorder="1" applyAlignment="1">
      <alignment horizontal="center"/>
    </xf>
    <xf numFmtId="1" fontId="39" fillId="0" borderId="11" xfId="0" applyNumberFormat="1" applyFont="1" applyBorder="1" applyAlignment="1">
      <alignment horizontal="center"/>
    </xf>
    <xf numFmtId="0" fontId="39" fillId="0" borderId="14" xfId="0" applyFont="1" applyBorder="1" applyAlignment="1">
      <alignment horizontal="center" vertical="center"/>
    </xf>
    <xf numFmtId="49" fontId="39" fillId="0" borderId="15" xfId="1" applyNumberFormat="1" applyFont="1" applyBorder="1" applyAlignment="1">
      <alignment horizontal="center"/>
    </xf>
    <xf numFmtId="49" fontId="39" fillId="0" borderId="8" xfId="1" applyNumberFormat="1" applyFont="1" applyBorder="1" applyAlignment="1">
      <alignment horizontal="center"/>
    </xf>
    <xf numFmtId="49" fontId="39" fillId="0" borderId="14" xfId="1" applyNumberFormat="1" applyFont="1" applyBorder="1"/>
    <xf numFmtId="49" fontId="41" fillId="3" borderId="20" xfId="1" applyNumberFormat="1" applyFont="1" applyFill="1" applyBorder="1" applyAlignment="1">
      <alignment horizontal="center" vertical="center"/>
    </xf>
    <xf numFmtId="49" fontId="41" fillId="3" borderId="0" xfId="1" applyNumberFormat="1" applyFont="1" applyFill="1" applyAlignment="1">
      <alignment horizontal="center" vertical="center"/>
    </xf>
    <xf numFmtId="0" fontId="39" fillId="3" borderId="0" xfId="1" applyFont="1" applyFill="1"/>
    <xf numFmtId="1" fontId="39" fillId="3" borderId="0" xfId="1" applyNumberFormat="1" applyFont="1" applyFill="1" applyAlignment="1">
      <alignment horizontal="center"/>
    </xf>
    <xf numFmtId="164" fontId="39" fillId="3" borderId="0" xfId="1" applyNumberFormat="1" applyFont="1" applyFill="1" applyAlignment="1">
      <alignment horizontal="center" wrapText="1"/>
    </xf>
    <xf numFmtId="0" fontId="39" fillId="3" borderId="19" xfId="1" applyFont="1" applyFill="1" applyBorder="1" applyAlignment="1">
      <alignment horizontal="center"/>
    </xf>
    <xf numFmtId="0" fontId="39" fillId="2" borderId="39" xfId="1" applyFont="1" applyFill="1" applyBorder="1" applyAlignment="1">
      <alignment horizontal="center"/>
    </xf>
    <xf numFmtId="0" fontId="39" fillId="2" borderId="34" xfId="1" applyFont="1" applyFill="1" applyBorder="1" applyAlignment="1">
      <alignment horizontal="center"/>
    </xf>
    <xf numFmtId="0" fontId="39" fillId="2" borderId="34" xfId="1" applyFont="1" applyFill="1" applyBorder="1"/>
    <xf numFmtId="0" fontId="37" fillId="2" borderId="34" xfId="1" applyFont="1" applyFill="1" applyBorder="1" applyAlignment="1">
      <alignment horizontal="center"/>
    </xf>
    <xf numFmtId="1" fontId="37" fillId="2" borderId="34" xfId="1" applyNumberFormat="1" applyFont="1" applyFill="1" applyBorder="1" applyAlignment="1">
      <alignment horizontal="center"/>
    </xf>
    <xf numFmtId="164" fontId="39" fillId="2" borderId="34" xfId="1" applyNumberFormat="1" applyFont="1" applyFill="1" applyBorder="1" applyAlignment="1">
      <alignment horizontal="center" wrapText="1"/>
    </xf>
    <xf numFmtId="0" fontId="39" fillId="2" borderId="35" xfId="1" applyFont="1" applyFill="1" applyBorder="1" applyAlignment="1">
      <alignment horizontal="center"/>
    </xf>
    <xf numFmtId="0" fontId="39" fillId="0" borderId="24" xfId="0" applyFont="1" applyBorder="1" applyAlignment="1">
      <alignment horizontal="center"/>
    </xf>
    <xf numFmtId="0" fontId="39" fillId="0" borderId="2" xfId="0" applyFont="1" applyBorder="1" applyAlignment="1">
      <alignment horizontal="center"/>
    </xf>
    <xf numFmtId="0" fontId="37" fillId="0" borderId="15" xfId="1" applyFont="1" applyBorder="1" applyAlignment="1">
      <alignment horizontal="center" vertical="center"/>
    </xf>
    <xf numFmtId="0" fontId="37" fillId="0" borderId="8" xfId="1" applyFont="1" applyBorder="1" applyAlignment="1">
      <alignment horizontal="center" vertical="center"/>
    </xf>
    <xf numFmtId="49" fontId="39" fillId="0" borderId="14" xfId="0" applyNumberFormat="1" applyFont="1" applyBorder="1" applyAlignment="1">
      <alignment horizontal="center"/>
    </xf>
    <xf numFmtId="0" fontId="39" fillId="0" borderId="17" xfId="0" applyFont="1" applyBorder="1" applyAlignment="1">
      <alignment horizontal="center" vertical="center"/>
    </xf>
    <xf numFmtId="1" fontId="39" fillId="0" borderId="17" xfId="0" applyNumberFormat="1" applyFont="1" applyBorder="1" applyAlignment="1">
      <alignment horizontal="center" vertical="center"/>
    </xf>
    <xf numFmtId="0" fontId="39" fillId="4" borderId="8" xfId="2" applyFont="1" applyFill="1" applyBorder="1" applyAlignment="1">
      <alignment vertical="center" wrapText="1"/>
    </xf>
    <xf numFmtId="1" fontId="39" fillId="0" borderId="14" xfId="0" applyNumberFormat="1" applyFont="1" applyBorder="1" applyAlignment="1">
      <alignment horizontal="center" vertical="center"/>
    </xf>
    <xf numFmtId="49" fontId="39" fillId="0" borderId="14" xfId="0" applyNumberFormat="1" applyFont="1" applyBorder="1"/>
    <xf numFmtId="0" fontId="40" fillId="0" borderId="8" xfId="0" applyFont="1" applyBorder="1"/>
    <xf numFmtId="0" fontId="40" fillId="0" borderId="8" xfId="0" applyFont="1" applyBorder="1" applyAlignment="1">
      <alignment horizontal="center"/>
    </xf>
    <xf numFmtId="49" fontId="39" fillId="4" borderId="14" xfId="0" applyNumberFormat="1" applyFont="1" applyFill="1" applyBorder="1"/>
    <xf numFmtId="1" fontId="39" fillId="4" borderId="14" xfId="0" applyNumberFormat="1" applyFont="1" applyFill="1" applyBorder="1" applyAlignment="1">
      <alignment horizontal="center" vertical="center" wrapText="1"/>
    </xf>
    <xf numFmtId="49" fontId="39" fillId="4" borderId="14" xfId="0" applyNumberFormat="1" applyFont="1" applyFill="1" applyBorder="1" applyAlignment="1">
      <alignment horizontal="center"/>
    </xf>
    <xf numFmtId="49" fontId="39" fillId="4" borderId="9" xfId="0" applyNumberFormat="1" applyFont="1" applyFill="1" applyBorder="1" applyAlignment="1">
      <alignment horizontal="center"/>
    </xf>
    <xf numFmtId="49" fontId="37" fillId="4" borderId="14" xfId="0" applyNumberFormat="1" applyFont="1" applyFill="1" applyBorder="1"/>
    <xf numFmtId="0" fontId="40" fillId="0" borderId="14" xfId="0" quotePrefix="1" applyFont="1" applyBorder="1"/>
    <xf numFmtId="49" fontId="37" fillId="0" borderId="14" xfId="0" applyNumberFormat="1" applyFont="1" applyBorder="1" applyAlignment="1">
      <alignment horizontal="left"/>
    </xf>
    <xf numFmtId="1" fontId="39" fillId="0" borderId="14" xfId="1" applyNumberFormat="1" applyFont="1" applyBorder="1" applyAlignment="1">
      <alignment horizontal="center"/>
    </xf>
    <xf numFmtId="0" fontId="40" fillId="0" borderId="0" xfId="0" applyFont="1" applyAlignment="1">
      <alignment horizontal="center"/>
    </xf>
    <xf numFmtId="0" fontId="37" fillId="0" borderId="14" xfId="0" applyFont="1" applyBorder="1" applyAlignment="1">
      <alignment horizontal="center"/>
    </xf>
    <xf numFmtId="1" fontId="37" fillId="0" borderId="2" xfId="0" applyNumberFormat="1" applyFont="1" applyBorder="1" applyAlignment="1">
      <alignment horizontal="center"/>
    </xf>
    <xf numFmtId="0" fontId="37" fillId="0" borderId="36" xfId="1" applyFont="1" applyBorder="1" applyAlignment="1">
      <alignment horizontal="right"/>
    </xf>
    <xf numFmtId="0" fontId="37" fillId="0" borderId="37" xfId="1" applyFont="1" applyBorder="1" applyAlignment="1">
      <alignment horizontal="right"/>
    </xf>
    <xf numFmtId="0" fontId="37" fillId="0" borderId="12" xfId="1" applyFont="1" applyBorder="1" applyAlignment="1">
      <alignment horizontal="right"/>
    </xf>
    <xf numFmtId="164" fontId="39" fillId="0" borderId="11" xfId="1" applyNumberFormat="1" applyFont="1" applyBorder="1" applyAlignment="1">
      <alignment horizontal="right"/>
    </xf>
    <xf numFmtId="0" fontId="39" fillId="3" borderId="24" xfId="1" applyFont="1" applyFill="1" applyBorder="1" applyAlignment="1">
      <alignment horizontal="center"/>
    </xf>
    <xf numFmtId="0" fontId="39" fillId="3" borderId="40" xfId="1" applyFont="1" applyFill="1" applyBorder="1" applyAlignment="1">
      <alignment horizontal="center"/>
    </xf>
    <xf numFmtId="0" fontId="37" fillId="0" borderId="7" xfId="1" applyFont="1" applyBorder="1" applyAlignment="1">
      <alignment horizontal="right"/>
    </xf>
    <xf numFmtId="0" fontId="37" fillId="0" borderId="6" xfId="1" applyFont="1" applyBorder="1" applyAlignment="1">
      <alignment horizontal="right"/>
    </xf>
    <xf numFmtId="0" fontId="37" fillId="0" borderId="8" xfId="1" applyFont="1" applyBorder="1" applyAlignment="1">
      <alignment horizontal="right"/>
    </xf>
    <xf numFmtId="0" fontId="39" fillId="0" borderId="14" xfId="1" applyFont="1" applyBorder="1" applyAlignment="1">
      <alignment horizontal="right"/>
    </xf>
    <xf numFmtId="164" fontId="39" fillId="0" borderId="9" xfId="1" applyNumberFormat="1" applyFont="1" applyBorder="1" applyAlignment="1">
      <alignment horizontal="center"/>
    </xf>
    <xf numFmtId="164" fontId="39" fillId="0" borderId="5" xfId="1" applyNumberFormat="1" applyFont="1" applyBorder="1" applyAlignment="1">
      <alignment horizontal="center"/>
    </xf>
    <xf numFmtId="0" fontId="6" fillId="3" borderId="0" xfId="2" applyFont="1" applyFill="1" applyAlignment="1">
      <alignment horizontal="right"/>
    </xf>
    <xf numFmtId="0" fontId="7" fillId="3" borderId="27" xfId="2" applyFont="1" applyFill="1" applyBorder="1" applyAlignment="1">
      <alignment horizontal="center"/>
    </xf>
    <xf numFmtId="0" fontId="6" fillId="3" borderId="0" xfId="2" applyFont="1" applyFill="1"/>
    <xf numFmtId="0" fontId="4" fillId="2" borderId="38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38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14" fontId="5" fillId="3" borderId="30" xfId="2" applyNumberFormat="1" applyFont="1" applyFill="1" applyBorder="1" applyAlignment="1">
      <alignment horizontal="center" vertical="center" wrapText="1"/>
    </xf>
    <xf numFmtId="14" fontId="5" fillId="3" borderId="28" xfId="2" applyNumberFormat="1" applyFont="1" applyFill="1" applyBorder="1" applyAlignment="1">
      <alignment horizontal="center" vertical="center" wrapText="1"/>
    </xf>
    <xf numFmtId="14" fontId="5" fillId="3" borderId="10" xfId="2" applyNumberFormat="1" applyFont="1" applyFill="1" applyBorder="1" applyAlignment="1">
      <alignment horizontal="center" vertical="center" wrapText="1"/>
    </xf>
    <xf numFmtId="0" fontId="5" fillId="3" borderId="22" xfId="2" applyFont="1" applyFill="1" applyBorder="1" applyAlignment="1">
      <alignment horizontal="left"/>
    </xf>
    <xf numFmtId="0" fontId="5" fillId="3" borderId="23" xfId="2" applyFont="1" applyFill="1" applyBorder="1" applyAlignment="1">
      <alignment horizontal="left"/>
    </xf>
    <xf numFmtId="0" fontId="5" fillId="3" borderId="18" xfId="2" applyFont="1" applyFill="1" applyBorder="1" applyAlignment="1">
      <alignment horizontal="left"/>
    </xf>
    <xf numFmtId="0" fontId="5" fillId="3" borderId="9" xfId="2" applyFont="1" applyFill="1" applyBorder="1" applyAlignment="1">
      <alignment horizontal="left"/>
    </xf>
    <xf numFmtId="0" fontId="5" fillId="3" borderId="6" xfId="2" applyFont="1" applyFill="1" applyBorder="1" applyAlignment="1">
      <alignment horizontal="left"/>
    </xf>
    <xf numFmtId="0" fontId="5" fillId="3" borderId="8" xfId="2" applyFont="1" applyFill="1" applyBorder="1" applyAlignment="1">
      <alignment horizontal="left"/>
    </xf>
    <xf numFmtId="0" fontId="5" fillId="3" borderId="33" xfId="2" applyFont="1" applyFill="1" applyBorder="1" applyAlignment="1">
      <alignment horizontal="center"/>
    </xf>
    <xf numFmtId="0" fontId="5" fillId="3" borderId="32" xfId="2" applyFont="1" applyFill="1" applyBorder="1" applyAlignment="1">
      <alignment horizontal="center"/>
    </xf>
    <xf numFmtId="0" fontId="5" fillId="3" borderId="20" xfId="2" applyFont="1" applyFill="1" applyBorder="1" applyAlignment="1">
      <alignment horizontal="center"/>
    </xf>
    <xf numFmtId="0" fontId="5" fillId="3" borderId="0" xfId="2" applyFont="1" applyFill="1" applyAlignment="1">
      <alignment horizontal="center"/>
    </xf>
    <xf numFmtId="0" fontId="5" fillId="3" borderId="36" xfId="2" applyFont="1" applyFill="1" applyBorder="1" applyAlignment="1">
      <alignment horizontal="center"/>
    </xf>
    <xf numFmtId="0" fontId="5" fillId="3" borderId="37" xfId="2" applyFont="1" applyFill="1" applyBorder="1" applyAlignment="1">
      <alignment horizontal="center"/>
    </xf>
    <xf numFmtId="0" fontId="4" fillId="3" borderId="17" xfId="2" applyFont="1" applyFill="1" applyBorder="1" applyAlignment="1">
      <alignment horizontal="center"/>
    </xf>
    <xf numFmtId="0" fontId="4" fillId="3" borderId="25" xfId="2" applyFont="1" applyFill="1" applyBorder="1" applyAlignment="1">
      <alignment horizontal="center"/>
    </xf>
    <xf numFmtId="0" fontId="42" fillId="5" borderId="14" xfId="2" applyFont="1" applyFill="1" applyBorder="1" applyAlignment="1">
      <alignment horizontal="center" vertical="center" wrapText="1"/>
    </xf>
    <xf numFmtId="0" fontId="4" fillId="3" borderId="31" xfId="2" applyFont="1" applyFill="1" applyBorder="1" applyAlignment="1">
      <alignment horizontal="right" vertical="top" wrapText="1"/>
    </xf>
    <xf numFmtId="0" fontId="4" fillId="3" borderId="29" xfId="2" applyFont="1" applyFill="1" applyBorder="1" applyAlignment="1">
      <alignment horizontal="right" vertical="top" wrapText="1"/>
    </xf>
    <xf numFmtId="0" fontId="4" fillId="3" borderId="26" xfId="2" applyFont="1" applyFill="1" applyBorder="1" applyAlignment="1">
      <alignment horizontal="right" vertical="top" wrapText="1"/>
    </xf>
    <xf numFmtId="164" fontId="39" fillId="0" borderId="9" xfId="1" applyNumberFormat="1" applyFont="1" applyBorder="1" applyAlignment="1">
      <alignment horizontal="right" wrapText="1"/>
    </xf>
    <xf numFmtId="164" fontId="39" fillId="0" borderId="8" xfId="1" applyNumberFormat="1" applyFont="1" applyBorder="1" applyAlignment="1">
      <alignment horizontal="right" wrapText="1"/>
    </xf>
    <xf numFmtId="0" fontId="37" fillId="0" borderId="4" xfId="1" applyFont="1" applyBorder="1" applyAlignment="1">
      <alignment horizontal="right"/>
    </xf>
    <xf numFmtId="0" fontId="37" fillId="0" borderId="3" xfId="1" applyFont="1" applyBorder="1" applyAlignment="1">
      <alignment horizontal="right"/>
    </xf>
    <xf numFmtId="0" fontId="37" fillId="0" borderId="2" xfId="1" applyFont="1" applyBorder="1" applyAlignment="1">
      <alignment horizontal="right"/>
    </xf>
    <xf numFmtId="0" fontId="39" fillId="0" borderId="2" xfId="1" applyFont="1" applyBorder="1" applyAlignment="1">
      <alignment horizontal="right"/>
    </xf>
    <xf numFmtId="164" fontId="39" fillId="0" borderId="21" xfId="1" applyNumberFormat="1" applyFont="1" applyBorder="1" applyAlignment="1">
      <alignment horizontal="center"/>
    </xf>
    <xf numFmtId="164" fontId="39" fillId="0" borderId="41" xfId="1" applyNumberFormat="1" applyFont="1" applyBorder="1" applyAlignment="1">
      <alignment horizontal="center"/>
    </xf>
    <xf numFmtId="0" fontId="37" fillId="2" borderId="39" xfId="1" applyFont="1" applyFill="1" applyBorder="1" applyAlignment="1">
      <alignment horizontal="center"/>
    </xf>
    <xf numFmtId="0" fontId="37" fillId="2" borderId="34" xfId="1" applyFont="1" applyFill="1" applyBorder="1" applyAlignment="1">
      <alignment horizontal="center"/>
    </xf>
    <xf numFmtId="0" fontId="37" fillId="2" borderId="35" xfId="1" applyFont="1" applyFill="1" applyBorder="1" applyAlignment="1">
      <alignment horizontal="center"/>
    </xf>
    <xf numFmtId="0" fontId="39" fillId="0" borderId="42" xfId="0" applyFont="1" applyBorder="1" applyAlignment="1">
      <alignment horizontal="left" vertical="center" wrapText="1"/>
    </xf>
    <xf numFmtId="0" fontId="39" fillId="0" borderId="23" xfId="0" applyFont="1" applyBorder="1" applyAlignment="1">
      <alignment horizontal="left" vertical="center" wrapText="1"/>
    </xf>
    <xf numFmtId="0" fontId="39" fillId="0" borderId="43" xfId="0" applyFont="1" applyBorder="1" applyAlignment="1">
      <alignment horizontal="left" vertical="center" wrapText="1"/>
    </xf>
    <xf numFmtId="0" fontId="39" fillId="0" borderId="7" xfId="0" applyFont="1" applyBorder="1" applyAlignment="1">
      <alignment horizontal="left" vertical="center" wrapText="1"/>
    </xf>
    <xf numFmtId="0" fontId="39" fillId="0" borderId="6" xfId="0" applyFont="1" applyBorder="1" applyAlignment="1">
      <alignment horizontal="left" vertical="center" wrapText="1"/>
    </xf>
    <xf numFmtId="0" fontId="39" fillId="0" borderId="5" xfId="0" applyFont="1" applyBorder="1" applyAlignment="1">
      <alignment horizontal="left" vertical="center" wrapText="1"/>
    </xf>
    <xf numFmtId="0" fontId="39" fillId="0" borderId="14" xfId="0" applyFont="1" applyBorder="1" applyAlignment="1">
      <alignment horizontal="left" vertical="center" wrapText="1"/>
    </xf>
    <xf numFmtId="0" fontId="39" fillId="0" borderId="36" xfId="0" applyFont="1" applyBorder="1" applyAlignment="1">
      <alignment horizontal="left" vertical="center"/>
    </xf>
    <xf numFmtId="0" fontId="39" fillId="0" borderId="37" xfId="0" applyFont="1" applyBorder="1" applyAlignment="1">
      <alignment horizontal="left" vertical="center"/>
    </xf>
    <xf numFmtId="0" fontId="39" fillId="0" borderId="40" xfId="0" applyFont="1" applyBorder="1" applyAlignment="1">
      <alignment horizontal="left" vertical="center"/>
    </xf>
    <xf numFmtId="0" fontId="39" fillId="3" borderId="14" xfId="2" applyFont="1" applyFill="1" applyBorder="1" applyAlignment="1">
      <alignment horizontal="left"/>
    </xf>
    <xf numFmtId="0" fontId="39" fillId="0" borderId="7" xfId="0" applyFont="1" applyBorder="1" applyAlignment="1">
      <alignment horizontal="left"/>
    </xf>
    <xf numFmtId="0" fontId="39" fillId="0" borderId="6" xfId="0" applyFont="1" applyBorder="1" applyAlignment="1">
      <alignment horizontal="left"/>
    </xf>
    <xf numFmtId="0" fontId="39" fillId="0" borderId="5" xfId="0" applyFont="1" applyBorder="1" applyAlignment="1">
      <alignment horizontal="left"/>
    </xf>
    <xf numFmtId="0" fontId="39" fillId="0" borderId="52" xfId="1" applyFont="1" applyBorder="1" applyAlignment="1">
      <alignment horizontal="left"/>
    </xf>
    <xf numFmtId="0" fontId="39" fillId="0" borderId="53" xfId="1" applyFont="1" applyBorder="1" applyAlignment="1">
      <alignment horizontal="left"/>
    </xf>
    <xf numFmtId="0" fontId="39" fillId="0" borderId="54" xfId="1" applyFont="1" applyBorder="1" applyAlignment="1">
      <alignment horizontal="left"/>
    </xf>
    <xf numFmtId="0" fontId="37" fillId="6" borderId="14" xfId="2" applyFont="1" applyFill="1" applyBorder="1" applyAlignment="1">
      <alignment horizontal="center"/>
    </xf>
    <xf numFmtId="0" fontId="39" fillId="0" borderId="7" xfId="0" applyFont="1" applyBorder="1" applyAlignment="1">
      <alignment horizontal="left" vertical="center"/>
    </xf>
    <xf numFmtId="0" fontId="39" fillId="0" borderId="6" xfId="0" applyFont="1" applyBorder="1" applyAlignment="1">
      <alignment horizontal="left" vertical="center"/>
    </xf>
    <xf numFmtId="0" fontId="39" fillId="0" borderId="5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3" fillId="0" borderId="39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4" fillId="0" borderId="34" xfId="0" applyFont="1" applyBorder="1" applyAlignment="1">
      <alignment horizontal="right" vertical="center" wrapText="1"/>
    </xf>
    <xf numFmtId="0" fontId="26" fillId="0" borderId="14" xfId="0" applyFont="1" applyBorder="1" applyAlignment="1">
      <alignment horizontal="right" vertical="center"/>
    </xf>
    <xf numFmtId="0" fontId="27" fillId="0" borderId="20" xfId="0" applyFont="1" applyBorder="1" applyAlignment="1">
      <alignment horizontal="right"/>
    </xf>
    <xf numFmtId="0" fontId="27" fillId="0" borderId="0" xfId="0" applyFont="1" applyAlignment="1">
      <alignment horizontal="right"/>
    </xf>
    <xf numFmtId="0" fontId="27" fillId="0" borderId="19" xfId="0" applyFont="1" applyBorder="1" applyAlignment="1">
      <alignment horizontal="right"/>
    </xf>
    <xf numFmtId="0" fontId="9" fillId="0" borderId="0" xfId="0" applyFont="1" applyAlignment="1">
      <alignment horizontal="right" vertical="center"/>
    </xf>
    <xf numFmtId="0" fontId="18" fillId="0" borderId="33" xfId="0" applyFont="1" applyBorder="1" applyAlignment="1">
      <alignment horizontal="right"/>
    </xf>
    <xf numFmtId="0" fontId="18" fillId="0" borderId="32" xfId="0" applyFont="1" applyBorder="1" applyAlignment="1">
      <alignment horizontal="right"/>
    </xf>
    <xf numFmtId="0" fontId="8" fillId="0" borderId="14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17" fillId="0" borderId="0" xfId="0" applyFont="1" applyAlignment="1">
      <alignment horizontal="center" vertical="center"/>
    </xf>
    <xf numFmtId="0" fontId="34" fillId="0" borderId="39" xfId="0" applyFont="1" applyBorder="1" applyAlignment="1">
      <alignment horizontal="right" vertical="center"/>
    </xf>
    <xf numFmtId="0" fontId="34" fillId="0" borderId="34" xfId="0" applyFont="1" applyBorder="1" applyAlignment="1">
      <alignment horizontal="right" vertical="center"/>
    </xf>
    <xf numFmtId="0" fontId="34" fillId="0" borderId="35" xfId="0" applyFont="1" applyBorder="1" applyAlignment="1">
      <alignment horizontal="right" vertical="center"/>
    </xf>
    <xf numFmtId="0" fontId="35" fillId="0" borderId="0" xfId="0" applyFont="1" applyAlignment="1">
      <alignment horizontal="right"/>
    </xf>
    <xf numFmtId="0" fontId="25" fillId="0" borderId="27" xfId="0" applyFont="1" applyBorder="1" applyAlignment="1">
      <alignment horizontal="right"/>
    </xf>
    <xf numFmtId="0" fontId="17" fillId="0" borderId="0" xfId="0" applyFont="1" applyAlignment="1">
      <alignment horizontal="right" vertical="center"/>
    </xf>
    <xf numFmtId="0" fontId="23" fillId="8" borderId="39" xfId="0" applyFont="1" applyFill="1" applyBorder="1" applyAlignment="1">
      <alignment horizontal="right"/>
    </xf>
    <xf numFmtId="0" fontId="23" fillId="8" borderId="34" xfId="0" applyFont="1" applyFill="1" applyBorder="1" applyAlignment="1">
      <alignment horizontal="right"/>
    </xf>
    <xf numFmtId="0" fontId="8" fillId="0" borderId="0" xfId="0" applyFont="1" applyAlignment="1">
      <alignment horizontal="right" vertical="center"/>
    </xf>
    <xf numFmtId="0" fontId="9" fillId="0" borderId="27" xfId="0" applyFont="1" applyBorder="1" applyAlignment="1">
      <alignment horizontal="right" vertical="center"/>
    </xf>
    <xf numFmtId="0" fontId="9" fillId="0" borderId="51" xfId="0" applyFont="1" applyBorder="1" applyAlignment="1">
      <alignment horizontal="right" vertical="center"/>
    </xf>
    <xf numFmtId="0" fontId="9" fillId="10" borderId="39" xfId="0" applyFont="1" applyFill="1" applyBorder="1" applyAlignment="1">
      <alignment horizontal="right" vertical="center"/>
    </xf>
    <xf numFmtId="0" fontId="9" fillId="10" borderId="34" xfId="0" applyFont="1" applyFill="1" applyBorder="1" applyAlignment="1">
      <alignment horizontal="right" vertical="center"/>
    </xf>
    <xf numFmtId="0" fontId="9" fillId="10" borderId="35" xfId="0" applyFont="1" applyFill="1" applyBorder="1" applyAlignment="1">
      <alignment horizontal="right" vertical="center"/>
    </xf>
    <xf numFmtId="4" fontId="32" fillId="0" borderId="0" xfId="11" applyNumberFormat="1" applyFont="1" applyFill="1" applyAlignment="1">
      <alignment horizontal="center" vertical="center" wrapText="1"/>
    </xf>
  </cellXfs>
  <cellStyles count="12">
    <cellStyle name="Millares" xfId="10" builtinId="3"/>
    <cellStyle name="Millares [0]" xfId="11" builtinId="6"/>
    <cellStyle name="Normal" xfId="0" builtinId="0"/>
    <cellStyle name="Normal 2" xfId="1" xr:uid="{2DDBC5E7-0E7E-4491-99E3-7A5940DF1256}"/>
    <cellStyle name="Normal 2 2" xfId="6" xr:uid="{18DF5752-43FF-4BFD-89D2-0730588F24A8}"/>
    <cellStyle name="Normal 3" xfId="5" xr:uid="{75D741B7-9A8C-4961-BA15-A0EFA330802B}"/>
    <cellStyle name="Normal 3 2" xfId="4" xr:uid="{71C988F8-0287-427A-924A-7BBB9BDC240E}"/>
    <cellStyle name="Normal 4 2" xfId="8" xr:uid="{AE4E5C20-AE4F-441A-8BA1-7E71CBFF6AC0}"/>
    <cellStyle name="Normal 5" xfId="3" xr:uid="{9E162E44-7FEC-4CBF-A2D3-215B3357159E}"/>
    <cellStyle name="Normal_CRITERIOS DE EVALUACION PT DE GB 2" xfId="2" xr:uid="{91D1D7B8-FF69-4D3C-B5A7-139D9BD47895}"/>
    <cellStyle name="Porcentaje 2" xfId="7" xr:uid="{535DE1C8-4333-4DB8-BA61-0D675B7A5B2D}"/>
    <cellStyle name="Porcentaje 2 2" xfId="9" xr:uid="{6C8BD6CB-4328-4E66-BCCA-669C31E669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0</xdr:row>
      <xdr:rowOff>124800</xdr:rowOff>
    </xdr:from>
    <xdr:to>
      <xdr:col>1</xdr:col>
      <xdr:colOff>1250156</xdr:colOff>
      <xdr:row>4</xdr:row>
      <xdr:rowOff>13565</xdr:rowOff>
    </xdr:to>
    <xdr:pic>
      <xdr:nvPicPr>
        <xdr:cNvPr id="3" name="Imagen 2" descr="Icono&#10;&#10;Descripción generada automáticamente con confianza media">
          <a:extLst>
            <a:ext uri="{FF2B5EF4-FFF2-40B4-BE49-F238E27FC236}">
              <a16:creationId xmlns:a16="http://schemas.microsoft.com/office/drawing/2014/main" id="{40FB6B95-7FF5-41DE-A233-DFEEA487B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6" y="124800"/>
          <a:ext cx="2083593" cy="96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A2"/>
          <cell r="B2"/>
          <cell r="C2" t="str">
            <v>ESPECIFICACION DE RECETA</v>
          </cell>
          <cell r="D2"/>
          <cell r="E2"/>
          <cell r="F2"/>
          <cell r="G2"/>
        </row>
        <row r="3">
          <cell r="A3"/>
          <cell r="B3"/>
          <cell r="C3" t="str">
            <v>907000285(SE00434) Batido Easy queque vainilla SP</v>
          </cell>
          <cell r="D3"/>
          <cell r="E3"/>
          <cell r="F3"/>
          <cell r="G3"/>
        </row>
        <row r="4">
          <cell r="A4"/>
          <cell r="B4"/>
          <cell r="C4" t="str">
            <v>Elaborado</v>
          </cell>
          <cell r="D4" t="str">
            <v>Javier Tong, Chef</v>
          </cell>
          <cell r="E4"/>
          <cell r="F4"/>
          <cell r="G4"/>
        </row>
        <row r="5">
          <cell r="A5"/>
          <cell r="B5"/>
          <cell r="C5" t="str">
            <v>Aprobado</v>
          </cell>
          <cell r="D5" t="str">
            <v>Esteban Cartin, Gte Manufactura</v>
          </cell>
          <cell r="E5"/>
          <cell r="F5"/>
          <cell r="G5"/>
        </row>
        <row r="6">
          <cell r="A6" t="str">
            <v>AREA QUE PRODUCE:</v>
          </cell>
          <cell r="B6"/>
          <cell r="C6"/>
          <cell r="D6" t="str">
            <v>Batidos</v>
          </cell>
          <cell r="E6"/>
          <cell r="F6"/>
          <cell r="G6" t="str">
            <v xml:space="preserve">AREA QUE EMPACA: </v>
          </cell>
        </row>
        <row r="7">
          <cell r="A7" t="str">
            <v xml:space="preserve"># Código </v>
          </cell>
          <cell r="B7" t="str">
            <v># Código Netsuite</v>
          </cell>
          <cell r="C7" t="str">
            <v>Descripción del ingrediente</v>
          </cell>
          <cell r="D7" t="str">
            <v xml:space="preserve">Marca </v>
          </cell>
          <cell r="E7" t="str">
            <v>Unidad Internacional</v>
          </cell>
          <cell r="F7"/>
          <cell r="G7" t="str">
            <v>Medida alternativa</v>
          </cell>
        </row>
        <row r="8">
          <cell r="A8"/>
          <cell r="B8"/>
          <cell r="C8"/>
          <cell r="D8"/>
          <cell r="E8" t="str">
            <v>Cantidad</v>
          </cell>
          <cell r="F8" t="str">
            <v xml:space="preserve">Unidad medida </v>
          </cell>
          <cell r="G8" t="str">
            <v>Cantidad</v>
          </cell>
        </row>
        <row r="9">
          <cell r="A9"/>
          <cell r="B9"/>
          <cell r="C9" t="str">
            <v>Ensamble</v>
          </cell>
          <cell r="D9"/>
          <cell r="E9"/>
          <cell r="F9"/>
          <cell r="G9"/>
        </row>
        <row r="10">
          <cell r="A10">
            <v>906000135</v>
          </cell>
          <cell r="B10" t="str">
            <v>SE00435</v>
          </cell>
          <cell r="C10" t="str">
            <v>PREMEZCLA EASY QUEQUE VAINILLA SP</v>
          </cell>
          <cell r="D10" t="str">
            <v>FAS</v>
          </cell>
          <cell r="E10">
            <v>25050</v>
          </cell>
          <cell r="F10" t="str">
            <v>g</v>
          </cell>
          <cell r="G10"/>
        </row>
        <row r="11">
          <cell r="A11" t="str">
            <v>1210482</v>
          </cell>
          <cell r="B11" t="str">
            <v>MP10005</v>
          </cell>
          <cell r="C11" t="str">
            <v>HUEVO LIQUIDO ESPECIAL INNOV (CAJA:10 K)</v>
          </cell>
          <cell r="D11" t="str">
            <v>INNOVO</v>
          </cell>
          <cell r="E11">
            <v>8900</v>
          </cell>
          <cell r="F11" t="str">
            <v>g</v>
          </cell>
          <cell r="G11"/>
        </row>
        <row r="12">
          <cell r="A12" t="str">
            <v>10415</v>
          </cell>
          <cell r="B12"/>
          <cell r="C12" t="str">
            <v>AGUA POTABLE (PLANTA)</v>
          </cell>
          <cell r="D12" t="str">
            <v>FAS</v>
          </cell>
          <cell r="E12">
            <v>5900</v>
          </cell>
          <cell r="F12" t="str">
            <v>g</v>
          </cell>
          <cell r="G12"/>
        </row>
        <row r="13">
          <cell r="A13">
            <v>10100050</v>
          </cell>
          <cell r="B13" t="str">
            <v>MP10002</v>
          </cell>
          <cell r="C13" t="str">
            <v>ACEITE CAPULLO RBD (UND:17 L)</v>
          </cell>
          <cell r="D13" t="str">
            <v>CAPULLO</v>
          </cell>
          <cell r="E13">
            <v>8200</v>
          </cell>
          <cell r="F13" t="str">
            <v>g</v>
          </cell>
          <cell r="G13"/>
        </row>
        <row r="14">
          <cell r="A14"/>
          <cell r="B14"/>
          <cell r="C14"/>
          <cell r="D14"/>
          <cell r="E14"/>
          <cell r="F14"/>
          <cell r="G14"/>
        </row>
        <row r="15">
          <cell r="A15"/>
          <cell r="B15"/>
          <cell r="C15"/>
          <cell r="D15"/>
          <cell r="E15"/>
          <cell r="F15"/>
          <cell r="G15"/>
        </row>
        <row r="16">
          <cell r="A16"/>
          <cell r="B16"/>
          <cell r="C16"/>
          <cell r="D16"/>
          <cell r="E16"/>
          <cell r="F16"/>
          <cell r="G16"/>
        </row>
        <row r="17">
          <cell r="A17"/>
          <cell r="B17"/>
          <cell r="C17"/>
          <cell r="D17"/>
          <cell r="E17"/>
          <cell r="F17"/>
          <cell r="G17"/>
        </row>
        <row r="18">
          <cell r="A18"/>
          <cell r="B18"/>
          <cell r="C18"/>
          <cell r="D18"/>
          <cell r="E18"/>
          <cell r="F18"/>
          <cell r="G18"/>
        </row>
        <row r="19">
          <cell r="A19"/>
          <cell r="B19"/>
          <cell r="C19"/>
          <cell r="D19"/>
          <cell r="E19"/>
          <cell r="F19"/>
          <cell r="G19"/>
        </row>
        <row r="20">
          <cell r="A20"/>
          <cell r="B20"/>
          <cell r="C20"/>
          <cell r="D20"/>
          <cell r="E20"/>
          <cell r="F20"/>
          <cell r="G20"/>
        </row>
        <row r="21">
          <cell r="A21"/>
          <cell r="B21"/>
          <cell r="C21" t="str">
            <v>Decoración</v>
          </cell>
          <cell r="D21"/>
          <cell r="E21"/>
          <cell r="F21"/>
          <cell r="G21"/>
        </row>
        <row r="22">
          <cell r="A22"/>
          <cell r="B22"/>
          <cell r="C22"/>
          <cell r="D22"/>
          <cell r="E22"/>
          <cell r="F22"/>
          <cell r="G22"/>
        </row>
        <row r="23">
          <cell r="A23"/>
          <cell r="B23"/>
          <cell r="C23"/>
          <cell r="D23"/>
          <cell r="E23"/>
          <cell r="F23"/>
          <cell r="G23"/>
        </row>
        <row r="24">
          <cell r="A24"/>
          <cell r="B24"/>
          <cell r="C24"/>
          <cell r="D24"/>
          <cell r="E24"/>
          <cell r="F24"/>
          <cell r="G24"/>
        </row>
        <row r="25">
          <cell r="A25"/>
          <cell r="B25"/>
          <cell r="C25"/>
          <cell r="D25"/>
          <cell r="E25"/>
          <cell r="F25"/>
          <cell r="G25"/>
        </row>
        <row r="26">
          <cell r="A26"/>
          <cell r="B26"/>
          <cell r="C26"/>
          <cell r="D26"/>
          <cell r="E26"/>
          <cell r="F26"/>
          <cell r="G26"/>
        </row>
        <row r="27">
          <cell r="A27"/>
          <cell r="B27"/>
          <cell r="C27"/>
          <cell r="D27"/>
          <cell r="E27"/>
          <cell r="F27"/>
          <cell r="G27"/>
        </row>
        <row r="28">
          <cell r="A28"/>
          <cell r="B28"/>
          <cell r="C28" t="str">
            <v>Empaque</v>
          </cell>
          <cell r="D28"/>
          <cell r="E28"/>
          <cell r="F28"/>
          <cell r="G28"/>
        </row>
        <row r="29">
          <cell r="A29"/>
          <cell r="B29"/>
          <cell r="C29"/>
          <cell r="D29"/>
          <cell r="E29"/>
          <cell r="F29"/>
          <cell r="G29"/>
        </row>
        <row r="30">
          <cell r="A30"/>
          <cell r="B30"/>
          <cell r="C30"/>
          <cell r="D30"/>
          <cell r="E30"/>
          <cell r="F30"/>
          <cell r="G30"/>
        </row>
        <row r="31">
          <cell r="A31"/>
          <cell r="B31"/>
          <cell r="C31"/>
          <cell r="D31"/>
          <cell r="E31"/>
          <cell r="F31"/>
          <cell r="G31"/>
        </row>
        <row r="32">
          <cell r="A32"/>
          <cell r="B32"/>
          <cell r="C32"/>
          <cell r="D32"/>
          <cell r="E32"/>
          <cell r="F32"/>
          <cell r="G32"/>
        </row>
        <row r="33">
          <cell r="A33"/>
          <cell r="B33"/>
          <cell r="C33"/>
          <cell r="D33"/>
          <cell r="E33"/>
          <cell r="F33"/>
          <cell r="G33"/>
        </row>
        <row r="34">
          <cell r="A34"/>
          <cell r="B34"/>
          <cell r="C34"/>
          <cell r="D34"/>
          <cell r="E34"/>
          <cell r="F34"/>
          <cell r="G34"/>
        </row>
        <row r="35">
          <cell r="A35"/>
          <cell r="B35"/>
          <cell r="C35"/>
          <cell r="D35"/>
          <cell r="E35"/>
          <cell r="F35"/>
          <cell r="G35"/>
        </row>
        <row r="36">
          <cell r="A36"/>
          <cell r="B36"/>
          <cell r="C36"/>
          <cell r="D36"/>
          <cell r="E36"/>
          <cell r="F36"/>
          <cell r="G36"/>
        </row>
        <row r="37">
          <cell r="A37"/>
          <cell r="B37"/>
          <cell r="C37" t="str">
            <v/>
          </cell>
          <cell r="D37"/>
          <cell r="E37"/>
          <cell r="F37"/>
          <cell r="G37"/>
        </row>
        <row r="38">
          <cell r="A38"/>
          <cell r="B38"/>
          <cell r="C38" t="str">
            <v/>
          </cell>
          <cell r="D38" t="str">
            <v>Cantidad</v>
          </cell>
          <cell r="E38" t="str">
            <v>Unidad</v>
          </cell>
          <cell r="F38"/>
          <cell r="G38"/>
        </row>
        <row r="39">
          <cell r="A39" t="str">
            <v>PESO TOTAL OBTENIDO</v>
          </cell>
          <cell r="B39"/>
          <cell r="C39"/>
          <cell r="D39">
            <v>47400</v>
          </cell>
          <cell r="E39" t="str">
            <v>g</v>
          </cell>
          <cell r="F39" t="str">
            <v>Tiempo de Horneo:</v>
          </cell>
          <cell r="G39"/>
        </row>
        <row r="40">
          <cell r="A40" t="str">
            <v>TIEMPO TOTAL DE PREPARACION</v>
          </cell>
          <cell r="B40"/>
          <cell r="C40"/>
          <cell r="D40">
            <v>10</v>
          </cell>
          <cell r="E40" t="str">
            <v>min</v>
          </cell>
          <cell r="F40" t="str">
            <v>Horno:</v>
          </cell>
          <cell r="G40"/>
        </row>
        <row r="41">
          <cell r="A41" t="str">
            <v>CANTIDAD DE PORCIONES OBTENIDAS</v>
          </cell>
          <cell r="B41"/>
          <cell r="C41"/>
          <cell r="D41">
            <v>1</v>
          </cell>
          <cell r="E41" t="str">
            <v>ud</v>
          </cell>
          <cell r="F41" t="str">
            <v>Temperatura de Horneo:</v>
          </cell>
          <cell r="G41"/>
        </row>
        <row r="42">
          <cell r="A42" t="str">
            <v>PESO DE CADA PORCIÓN</v>
          </cell>
          <cell r="B42"/>
          <cell r="C42"/>
          <cell r="D42">
            <v>47400</v>
          </cell>
          <cell r="E42" t="str">
            <v>g</v>
          </cell>
          <cell r="F42" t="str">
            <v>Otros</v>
          </cell>
          <cell r="G42"/>
        </row>
        <row r="43">
          <cell r="A43" t="str">
            <v>MERMA</v>
          </cell>
          <cell r="B43"/>
          <cell r="C43"/>
          <cell r="D43">
            <v>650</v>
          </cell>
          <cell r="E43" t="str">
            <v>g</v>
          </cell>
          <cell r="F43"/>
          <cell r="G43"/>
        </row>
        <row r="44">
          <cell r="A44" t="str">
            <v>PROCEDIMIENTO DE PREPARACION DE LA  RECETA</v>
          </cell>
          <cell r="B44"/>
          <cell r="C44"/>
          <cell r="D44"/>
          <cell r="E44"/>
          <cell r="F44"/>
          <cell r="G44"/>
        </row>
        <row r="45">
          <cell r="A45" t="str">
            <v>1.- Colocar todos los ingredientes en la batidora y batir con paleta.</v>
          </cell>
          <cell r="B45"/>
          <cell r="C45"/>
          <cell r="D45"/>
          <cell r="E45"/>
          <cell r="F45"/>
          <cell r="G45"/>
        </row>
        <row r="46">
          <cell r="A46" t="str">
            <v>2.- Batir por 1 minutos en velocidad 1.</v>
          </cell>
          <cell r="B46"/>
          <cell r="C46"/>
          <cell r="D46"/>
          <cell r="E46"/>
          <cell r="F46"/>
          <cell r="G46"/>
        </row>
        <row r="47">
          <cell r="A47" t="str">
            <v>3.- Luego batir por 5 minutos a velocidad 2.</v>
          </cell>
          <cell r="B47"/>
          <cell r="C47"/>
          <cell r="D47"/>
          <cell r="E47"/>
          <cell r="F47"/>
          <cell r="G47"/>
        </row>
        <row r="48">
          <cell r="A48" t="str">
            <v>4.- Pasar a dosificar.</v>
          </cell>
          <cell r="B48"/>
          <cell r="C48"/>
          <cell r="D48"/>
          <cell r="E48"/>
          <cell r="F48"/>
          <cell r="G48"/>
        </row>
        <row r="49">
          <cell r="A49"/>
          <cell r="B49"/>
          <cell r="C49"/>
          <cell r="D49"/>
          <cell r="E49"/>
          <cell r="F49"/>
          <cell r="G49"/>
        </row>
        <row r="50">
          <cell r="A50"/>
          <cell r="B50"/>
          <cell r="C50"/>
          <cell r="D50"/>
          <cell r="E50"/>
          <cell r="F50"/>
          <cell r="G50"/>
        </row>
        <row r="51">
          <cell r="A51"/>
          <cell r="B51"/>
          <cell r="C51"/>
          <cell r="D51"/>
          <cell r="E51"/>
          <cell r="F51"/>
          <cell r="G51"/>
        </row>
        <row r="52">
          <cell r="A52"/>
          <cell r="B52"/>
          <cell r="C52"/>
          <cell r="D52"/>
          <cell r="E52"/>
          <cell r="F52"/>
          <cell r="G52"/>
        </row>
        <row r="53">
          <cell r="A53"/>
          <cell r="B53"/>
          <cell r="C53"/>
          <cell r="D53"/>
          <cell r="E53"/>
          <cell r="F53"/>
          <cell r="G53"/>
        </row>
        <row r="54">
          <cell r="A54"/>
          <cell r="B54"/>
          <cell r="C54"/>
          <cell r="D54"/>
          <cell r="E54"/>
          <cell r="F54"/>
          <cell r="G54"/>
        </row>
        <row r="55">
          <cell r="A55" t="str">
            <v>CONTROL DE CAMBIOS</v>
          </cell>
          <cell r="B55"/>
          <cell r="C55"/>
          <cell r="D55"/>
          <cell r="E55"/>
          <cell r="F55"/>
          <cell r="G55"/>
        </row>
        <row r="56">
          <cell r="A56" t="str">
            <v>2, Actualizacion de procedimeinto</v>
          </cell>
          <cell r="B56"/>
          <cell r="C56"/>
          <cell r="D56"/>
          <cell r="E56"/>
          <cell r="F56"/>
          <cell r="G56"/>
        </row>
        <row r="57">
          <cell r="A57"/>
          <cell r="B57"/>
          <cell r="C57"/>
          <cell r="D57"/>
          <cell r="E57"/>
          <cell r="F57"/>
          <cell r="G57"/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06C28-4146-4B5C-B54B-AFCF6D58F6EF}">
  <dimension ref="A1:Q91"/>
  <sheetViews>
    <sheetView topLeftCell="A28" workbookViewId="0">
      <selection activeCell="A27" sqref="A27:H29"/>
    </sheetView>
  </sheetViews>
  <sheetFormatPr baseColWidth="10" defaultColWidth="8.42578125" defaultRowHeight="12.75" x14ac:dyDescent="0.25"/>
  <cols>
    <col min="1" max="1" width="10" style="19" bestFit="1" customWidth="1"/>
    <col min="2" max="2" width="44.28515625" style="19" bestFit="1" customWidth="1"/>
    <col min="3" max="3" width="10.42578125" style="19" bestFit="1" customWidth="1"/>
    <col min="4" max="4" width="10.42578125" style="19" customWidth="1"/>
    <col min="5" max="5" width="11" style="19" customWidth="1"/>
    <col min="6" max="6" width="9.5703125" style="19" bestFit="1" customWidth="1"/>
    <col min="7" max="7" width="10.85546875" style="101" customWidth="1"/>
    <col min="8" max="8" width="10.42578125" style="92" bestFit="1" customWidth="1"/>
    <col min="9" max="9" width="4.5703125" style="92" customWidth="1"/>
    <col min="10" max="10" width="1.85546875" style="18" customWidth="1"/>
    <col min="11" max="11" width="7" style="19" bestFit="1" customWidth="1"/>
    <col min="12" max="12" width="6.28515625" style="19" customWidth="1"/>
    <col min="13" max="13" width="20.42578125" style="19" customWidth="1"/>
    <col min="14" max="14" width="6.42578125" style="19" bestFit="1" customWidth="1"/>
    <col min="15" max="16" width="8.42578125" style="19"/>
    <col min="17" max="17" width="3.28515625" style="19" customWidth="1"/>
    <col min="18" max="16384" width="8.42578125" style="19"/>
  </cols>
  <sheetData>
    <row r="1" spans="1:10" ht="27.75" customHeight="1" x14ac:dyDescent="0.25">
      <c r="A1" s="14"/>
      <c r="B1" s="14"/>
      <c r="C1" s="14"/>
      <c r="D1" s="14"/>
      <c r="E1" s="15" t="s">
        <v>79</v>
      </c>
      <c r="F1" s="16" t="s">
        <v>80</v>
      </c>
      <c r="G1" s="16" t="s">
        <v>81</v>
      </c>
      <c r="H1" s="16" t="s">
        <v>82</v>
      </c>
      <c r="I1" s="17"/>
    </row>
    <row r="2" spans="1:10" ht="30.75" customHeight="1" x14ac:dyDescent="0.25">
      <c r="A2" s="14"/>
      <c r="B2" s="14"/>
      <c r="C2" s="14"/>
      <c r="D2" s="14"/>
      <c r="E2" s="20">
        <f>IFERROR(O62,"")</f>
        <v>1330.2139999999999</v>
      </c>
      <c r="F2" s="20">
        <f>IFERROR(H53,"")</f>
        <v>1041.6239999999998</v>
      </c>
      <c r="G2" s="20">
        <f>IFERROR(H54,"")</f>
        <v>13.389999999999999</v>
      </c>
      <c r="H2" s="20">
        <f>IFERROR(H56,"")</f>
        <v>132.44</v>
      </c>
      <c r="I2" s="21"/>
    </row>
    <row r="3" spans="1:10" ht="15" customHeight="1" x14ac:dyDescent="0.25">
      <c r="A3" s="14"/>
      <c r="B3" s="14"/>
      <c r="C3" s="14"/>
      <c r="D3" s="14"/>
      <c r="E3" s="14"/>
      <c r="F3" s="22"/>
      <c r="G3" s="22"/>
      <c r="H3" s="22"/>
      <c r="I3" s="22"/>
    </row>
    <row r="4" spans="1:10" ht="24.75" customHeight="1" thickBot="1" x14ac:dyDescent="0.3">
      <c r="A4" s="244"/>
      <c r="B4" s="244"/>
      <c r="C4" s="244"/>
      <c r="D4" s="244"/>
      <c r="E4" s="244"/>
      <c r="F4" s="244"/>
      <c r="G4" s="244"/>
      <c r="H4" s="244"/>
      <c r="I4" s="23"/>
    </row>
    <row r="5" spans="1:10" ht="19.5" customHeight="1" thickBot="1" x14ac:dyDescent="0.3">
      <c r="A5" s="245" t="s">
        <v>83</v>
      </c>
      <c r="B5" s="246"/>
      <c r="C5" s="246"/>
      <c r="D5" s="246"/>
      <c r="E5" s="246"/>
      <c r="F5" s="246"/>
      <c r="G5" s="246"/>
      <c r="H5" s="247"/>
      <c r="I5" s="24"/>
    </row>
    <row r="6" spans="1:10" ht="19.5" thickBot="1" x14ac:dyDescent="0.3">
      <c r="A6" s="24"/>
      <c r="B6" s="24"/>
      <c r="C6" s="24"/>
      <c r="D6" s="24"/>
      <c r="E6" s="24"/>
      <c r="F6" s="248" t="s">
        <v>84</v>
      </c>
      <c r="G6" s="248"/>
      <c r="H6" s="25">
        <f ca="1">TODAY()</f>
        <v>46121</v>
      </c>
      <c r="I6" s="25"/>
    </row>
    <row r="7" spans="1:10" ht="26.25" hidden="1" thickBot="1" x14ac:dyDescent="0.3">
      <c r="A7" s="26" t="s">
        <v>85</v>
      </c>
      <c r="B7" s="27" t="s">
        <v>86</v>
      </c>
      <c r="C7" s="27" t="s">
        <v>85</v>
      </c>
      <c r="D7" s="28" t="s">
        <v>87</v>
      </c>
      <c r="E7" s="28" t="s">
        <v>88</v>
      </c>
      <c r="F7" s="28" t="s">
        <v>89</v>
      </c>
      <c r="G7" s="28" t="s">
        <v>90</v>
      </c>
      <c r="H7" s="29" t="s">
        <v>91</v>
      </c>
      <c r="I7" s="30"/>
    </row>
    <row r="8" spans="1:10" ht="13.5" hidden="1" x14ac:dyDescent="0.25">
      <c r="A8" s="31"/>
      <c r="B8" s="19" t="str">
        <f>IFERROR(VLOOKUP(H8,'[1]Consolidado MP Planta'!$A$2:$M$823,3,0),"")</f>
        <v/>
      </c>
      <c r="C8" s="32">
        <f>+A8</f>
        <v>0</v>
      </c>
      <c r="D8" s="33" t="str">
        <f>IFERROR(VLOOKUP(H8,'[1]Consolidado MP Planta'!$A$2:$M$823,13,0),"")</f>
        <v/>
      </c>
      <c r="E8" s="33" t="str">
        <f>IFERROR(VLOOKUP(H8,'[1]Consolidado MP Planta'!$A$2:$M$823,12,0),"")</f>
        <v/>
      </c>
      <c r="F8" s="33" t="str">
        <f>IFERROR(C8*E8,"")</f>
        <v/>
      </c>
      <c r="G8" s="34" t="str">
        <f t="shared" ref="G8:G14" si="0">IFERROR(F8/$F$66,"")</f>
        <v/>
      </c>
      <c r="H8" s="35"/>
      <c r="I8" s="35"/>
      <c r="J8" s="36"/>
    </row>
    <row r="9" spans="1:10" ht="13.5" hidden="1" x14ac:dyDescent="0.25">
      <c r="A9" s="31"/>
      <c r="B9" s="19" t="str">
        <f>IFERROR(VLOOKUP(H9,'[1]Consolidado MP Planta'!$A$2:$M$823,3,0),"")</f>
        <v/>
      </c>
      <c r="C9" s="32">
        <f t="shared" ref="C9:C14" si="1">+A9</f>
        <v>0</v>
      </c>
      <c r="D9" s="33" t="str">
        <f>IFERROR(VLOOKUP(H9,'[1]Consolidado MP Planta'!$A$2:$M$823,13,0),"")</f>
        <v/>
      </c>
      <c r="E9" s="33" t="str">
        <f>IFERROR(VLOOKUP(H9,'[1]Consolidado MP Planta'!$A$2:$M$823,12,0),"")</f>
        <v/>
      </c>
      <c r="F9" s="33" t="str">
        <f t="shared" ref="F9:F14" si="2">IFERROR(C9*E9,"")</f>
        <v/>
      </c>
      <c r="G9" s="34" t="str">
        <f t="shared" si="0"/>
        <v/>
      </c>
      <c r="H9" s="35"/>
      <c r="I9" s="35"/>
      <c r="J9" s="36"/>
    </row>
    <row r="10" spans="1:10" ht="13.5" hidden="1" x14ac:dyDescent="0.25">
      <c r="A10" s="31"/>
      <c r="B10" s="19" t="str">
        <f>IFERROR(VLOOKUP(H10,'[1]Consolidado MP Planta'!$A$2:$M$823,3,0),"")</f>
        <v/>
      </c>
      <c r="C10" s="32">
        <f t="shared" si="1"/>
        <v>0</v>
      </c>
      <c r="D10" s="33" t="str">
        <f>IFERROR(VLOOKUP(H10,'[1]Consolidado MP Planta'!$A$2:$M$823,13,0),"")</f>
        <v/>
      </c>
      <c r="E10" s="33" t="str">
        <f>IFERROR(VLOOKUP(H10,'[1]Consolidado MP Planta'!$A$2:$M$823,12,0),"")</f>
        <v/>
      </c>
      <c r="F10" s="33" t="str">
        <f t="shared" si="2"/>
        <v/>
      </c>
      <c r="G10" s="34" t="str">
        <f t="shared" si="0"/>
        <v/>
      </c>
      <c r="H10" s="35"/>
      <c r="I10" s="35"/>
      <c r="J10" s="36"/>
    </row>
    <row r="11" spans="1:10" ht="13.5" hidden="1" x14ac:dyDescent="0.25">
      <c r="A11" s="31"/>
      <c r="B11" s="19" t="str">
        <f>IFERROR(VLOOKUP(H11,'[1]Consolidado MP Planta'!$A$2:$M$823,3,0),"")</f>
        <v/>
      </c>
      <c r="C11" s="32">
        <f t="shared" si="1"/>
        <v>0</v>
      </c>
      <c r="D11" s="33" t="str">
        <f>IFERROR(VLOOKUP(H11,'[1]Consolidado MP Planta'!$A$2:$M$823,13,0),"")</f>
        <v/>
      </c>
      <c r="E11" s="33" t="str">
        <f>IFERROR(VLOOKUP(H11,'[1]Consolidado MP Planta'!$A$2:$M$823,12,0),"")</f>
        <v/>
      </c>
      <c r="F11" s="33" t="str">
        <f t="shared" si="2"/>
        <v/>
      </c>
      <c r="G11" s="34" t="str">
        <f t="shared" si="0"/>
        <v/>
      </c>
      <c r="H11" s="35"/>
      <c r="I11" s="35"/>
      <c r="J11" s="36"/>
    </row>
    <row r="12" spans="1:10" ht="13.5" hidden="1" x14ac:dyDescent="0.25">
      <c r="A12" s="31"/>
      <c r="B12" s="19" t="str">
        <f>IFERROR(VLOOKUP(H12,'[1]Consolidado MP Planta'!$A$2:$M$823,3,0),"")</f>
        <v/>
      </c>
      <c r="C12" s="32">
        <f t="shared" si="1"/>
        <v>0</v>
      </c>
      <c r="D12" s="33" t="str">
        <f>IFERROR(VLOOKUP(H12,'[1]Consolidado MP Planta'!$A$2:$M$823,13,0),"")</f>
        <v/>
      </c>
      <c r="E12" s="33" t="str">
        <f>IFERROR(VLOOKUP(H12,'[1]Consolidado MP Planta'!$A$2:$M$823,12,0),"")</f>
        <v/>
      </c>
      <c r="F12" s="33" t="str">
        <f t="shared" si="2"/>
        <v/>
      </c>
      <c r="G12" s="34" t="str">
        <f t="shared" si="0"/>
        <v/>
      </c>
      <c r="H12" s="35"/>
      <c r="I12" s="35"/>
      <c r="J12" s="36"/>
    </row>
    <row r="13" spans="1:10" ht="13.5" hidden="1" x14ac:dyDescent="0.25">
      <c r="A13" s="31"/>
      <c r="B13" s="19" t="str">
        <f>IFERROR(VLOOKUP(H13,'[1]Consolidado MP Planta'!$A$2:$M$823,3,0),"")</f>
        <v/>
      </c>
      <c r="C13" s="32">
        <f t="shared" si="1"/>
        <v>0</v>
      </c>
      <c r="D13" s="33" t="str">
        <f>IFERROR(VLOOKUP(H13,'[1]Consolidado MP Planta'!$A$2:$M$823,13,0),"")</f>
        <v/>
      </c>
      <c r="E13" s="33" t="str">
        <f>IFERROR(VLOOKUP(H13,'[1]Consolidado MP Planta'!$A$2:$M$823,12,0),"")</f>
        <v/>
      </c>
      <c r="F13" s="33" t="str">
        <f t="shared" si="2"/>
        <v/>
      </c>
      <c r="G13" s="34" t="str">
        <f t="shared" si="0"/>
        <v/>
      </c>
      <c r="H13" s="35"/>
      <c r="I13" s="35"/>
      <c r="J13" s="36"/>
    </row>
    <row r="14" spans="1:10" ht="13.5" hidden="1" x14ac:dyDescent="0.25">
      <c r="A14" s="31"/>
      <c r="B14" s="19" t="str">
        <f>IFERROR(VLOOKUP(H14,'[1]Consolidado MP Planta'!$A$2:$M$823,3,0),"")</f>
        <v/>
      </c>
      <c r="C14" s="32">
        <f t="shared" si="1"/>
        <v>0</v>
      </c>
      <c r="D14" s="33" t="str">
        <f>IFERROR(VLOOKUP(H14,'[1]Consolidado MP Planta'!$A$2:$M$823,13,0),"")</f>
        <v/>
      </c>
      <c r="E14" s="33" t="str">
        <f>IFERROR(VLOOKUP(H14,'[1]Consolidado MP Planta'!$A$2:$M$823,12,0),"")</f>
        <v/>
      </c>
      <c r="F14" s="33" t="str">
        <f t="shared" si="2"/>
        <v/>
      </c>
      <c r="G14" s="34" t="str">
        <f t="shared" si="0"/>
        <v/>
      </c>
      <c r="H14" s="35"/>
      <c r="I14" s="35"/>
      <c r="J14" s="36"/>
    </row>
    <row r="15" spans="1:10" ht="14.25" hidden="1" thickBot="1" x14ac:dyDescent="0.3">
      <c r="A15" s="31"/>
      <c r="B15" s="19" t="str">
        <f>IFERROR(VLOOKUP(H15,[2]Hoja2!$A$2:$G$589,2,0),"")</f>
        <v/>
      </c>
      <c r="C15" s="32"/>
      <c r="D15" s="33"/>
      <c r="E15" s="33"/>
      <c r="F15" s="33"/>
      <c r="G15" s="34"/>
      <c r="H15" s="35"/>
      <c r="I15" s="35"/>
      <c r="J15" s="36"/>
    </row>
    <row r="16" spans="1:10" ht="26.25" thickBot="1" x14ac:dyDescent="0.3">
      <c r="A16" s="26" t="s">
        <v>85</v>
      </c>
      <c r="B16" s="27" t="s">
        <v>92</v>
      </c>
      <c r="C16" s="27" t="s">
        <v>85</v>
      </c>
      <c r="D16" s="28" t="s">
        <v>87</v>
      </c>
      <c r="E16" s="28" t="s">
        <v>88</v>
      </c>
      <c r="F16" s="28" t="s">
        <v>89</v>
      </c>
      <c r="G16" s="28" t="s">
        <v>90</v>
      </c>
      <c r="H16" s="29" t="s">
        <v>91</v>
      </c>
      <c r="I16" s="30"/>
      <c r="J16" s="36"/>
    </row>
    <row r="17" spans="1:12" ht="13.5" x14ac:dyDescent="0.25">
      <c r="A17" s="31">
        <v>240</v>
      </c>
      <c r="B17" s="19" t="s">
        <v>78</v>
      </c>
      <c r="C17" s="32">
        <f>+A17</f>
        <v>240</v>
      </c>
      <c r="D17" s="32" t="s">
        <v>130</v>
      </c>
      <c r="E17" s="33">
        <f>+'Costo relleno Crema Past Bailey'!E71</f>
        <v>4.3400999999999996</v>
      </c>
      <c r="F17" s="33">
        <f>IFERROR(E17*C17,"")</f>
        <v>1041.6239999999998</v>
      </c>
      <c r="G17" s="34">
        <f t="shared" ref="G17:G24" si="3">IFERROR(F17/$F$66,"")</f>
        <v>0.90352359838926677</v>
      </c>
      <c r="H17" s="35"/>
      <c r="I17" s="35"/>
      <c r="J17" s="36"/>
    </row>
    <row r="18" spans="1:12" ht="13.5" hidden="1" x14ac:dyDescent="0.25">
      <c r="A18" s="31"/>
      <c r="B18" s="19" t="str">
        <f>IFERROR(VLOOKUP(H18,[1]SEMIELABORADOS!$A$2:$M$6000,2,0),"")</f>
        <v/>
      </c>
      <c r="C18" s="32">
        <f t="shared" ref="C18:C24" si="4">+A18</f>
        <v>0</v>
      </c>
      <c r="D18" s="32" t="str">
        <f>IFERROR(VLOOKUP(H18,[1]SEMIELABORADOS!$A$2:$M$6000,6,0),"")</f>
        <v/>
      </c>
      <c r="E18" s="33" t="str">
        <f>IFERROR(VLOOKUP(H18,[1]SEMIELABORADOS!$A$2:$H$65536,8,0),"")</f>
        <v/>
      </c>
      <c r="F18" s="33" t="str">
        <f t="shared" ref="F18:F24" si="5">IFERROR(E18*C18,"")</f>
        <v/>
      </c>
      <c r="G18" s="34" t="str">
        <f t="shared" si="3"/>
        <v/>
      </c>
      <c r="H18" s="35"/>
      <c r="I18" s="35"/>
      <c r="J18" s="36"/>
    </row>
    <row r="19" spans="1:12" ht="13.5" hidden="1" x14ac:dyDescent="0.25">
      <c r="A19" s="31"/>
      <c r="B19" s="19" t="str">
        <f>IFERROR(VLOOKUP(H19,[1]SEMIELABORADOS!$A$2:$M$6000,2,0),"")</f>
        <v/>
      </c>
      <c r="C19" s="32">
        <f>+A19</f>
        <v>0</v>
      </c>
      <c r="D19" s="32" t="str">
        <f>IFERROR(VLOOKUP(H19,[1]SEMIELABORADOS!$A$2:$M$6000,6,0),"")</f>
        <v/>
      </c>
      <c r="E19" s="33" t="str">
        <f>IFERROR(VLOOKUP(H19,[1]SEMIELABORADOS!$A$2:$H$65536,8,0),"")</f>
        <v/>
      </c>
      <c r="F19" s="33" t="str">
        <f>IFERROR(E19*C19,"")</f>
        <v/>
      </c>
      <c r="G19" s="34" t="str">
        <f t="shared" si="3"/>
        <v/>
      </c>
      <c r="H19" s="35"/>
      <c r="I19" s="35"/>
      <c r="J19" s="36"/>
    </row>
    <row r="20" spans="1:12" ht="13.5" hidden="1" x14ac:dyDescent="0.25">
      <c r="A20" s="31"/>
      <c r="B20" s="19" t="str">
        <f>IFERROR(VLOOKUP(H20,[1]SEMIELABORADOS!$A$2:$M$6000,2,0),"")</f>
        <v/>
      </c>
      <c r="C20" s="32">
        <f>+A20</f>
        <v>0</v>
      </c>
      <c r="D20" s="32" t="str">
        <f>IFERROR(VLOOKUP(H20,[1]SEMIELABORADOS!$A$2:$M$6000,6,0),"")</f>
        <v/>
      </c>
      <c r="E20" s="33" t="str">
        <f>IFERROR(VLOOKUP(H20,[1]SEMIELABORADOS!$A$2:$H$65536,8,0),"")</f>
        <v/>
      </c>
      <c r="F20" s="33" t="str">
        <f>IFERROR(E20*C20,"")</f>
        <v/>
      </c>
      <c r="G20" s="34" t="str">
        <f t="shared" si="3"/>
        <v/>
      </c>
      <c r="H20" s="35"/>
      <c r="I20" s="35"/>
      <c r="J20" s="36"/>
    </row>
    <row r="21" spans="1:12" ht="13.5" hidden="1" x14ac:dyDescent="0.25">
      <c r="A21" s="31"/>
      <c r="B21" s="19" t="str">
        <f>IFERROR(VLOOKUP(H21,[1]SEMIELABORADOS!$A$2:$M$6000,2,0),"")</f>
        <v/>
      </c>
      <c r="C21" s="32">
        <f>+A21</f>
        <v>0</v>
      </c>
      <c r="D21" s="32" t="str">
        <f>IFERROR(VLOOKUP(H21,[1]SEMIELABORADOS!$A$2:$M$6000,6,0),"")</f>
        <v/>
      </c>
      <c r="E21" s="33" t="str">
        <f>IFERROR(VLOOKUP(H21,[1]SEMIELABORADOS!$A$2:$H$65536,8,0),"")</f>
        <v/>
      </c>
      <c r="F21" s="33" t="str">
        <f>IFERROR(E21*C21,"")</f>
        <v/>
      </c>
      <c r="G21" s="34" t="str">
        <f t="shared" si="3"/>
        <v/>
      </c>
      <c r="H21" s="35"/>
      <c r="I21" s="35"/>
      <c r="J21" s="36"/>
    </row>
    <row r="22" spans="1:12" ht="13.5" hidden="1" x14ac:dyDescent="0.25">
      <c r="A22" s="31"/>
      <c r="B22" s="19" t="str">
        <f>IFERROR(VLOOKUP(H22,[1]SEMIELABORADOS!$A$2:$M$6000,2,0),"")</f>
        <v/>
      </c>
      <c r="C22" s="32">
        <f t="shared" si="4"/>
        <v>0</v>
      </c>
      <c r="D22" s="32" t="str">
        <f>IFERROR(VLOOKUP(H22,[1]SEMIELABORADOS!$A$2:$M$6000,6,0),"")</f>
        <v/>
      </c>
      <c r="E22" s="33" t="str">
        <f>IFERROR(VLOOKUP(H22,[1]SEMIELABORADOS!$A$2:$H$65536,8,0),"")</f>
        <v/>
      </c>
      <c r="F22" s="33" t="str">
        <f t="shared" si="5"/>
        <v/>
      </c>
      <c r="G22" s="34" t="str">
        <f t="shared" si="3"/>
        <v/>
      </c>
      <c r="H22" s="35"/>
      <c r="I22" s="35"/>
      <c r="J22" s="36"/>
    </row>
    <row r="23" spans="1:12" ht="13.5" hidden="1" x14ac:dyDescent="0.25">
      <c r="A23" s="31"/>
      <c r="B23" s="19" t="str">
        <f>IFERROR(VLOOKUP(H23,[1]SEMIELABORADOS!$A$2:$M$6000,2,0),"")</f>
        <v/>
      </c>
      <c r="C23" s="32">
        <f t="shared" si="4"/>
        <v>0</v>
      </c>
      <c r="D23" s="32" t="str">
        <f>IFERROR(VLOOKUP(H23,[1]SEMIELABORADOS!$A$2:$M$6000,6,0),"")</f>
        <v/>
      </c>
      <c r="E23" s="33" t="str">
        <f>IFERROR(VLOOKUP(H23,[1]SEMIELABORADOS!$A$2:$H$65536,8,0),"")</f>
        <v/>
      </c>
      <c r="F23" s="33" t="str">
        <f t="shared" si="5"/>
        <v/>
      </c>
      <c r="G23" s="34" t="str">
        <f t="shared" si="3"/>
        <v/>
      </c>
      <c r="H23" s="35"/>
      <c r="I23" s="35"/>
      <c r="J23" s="36"/>
    </row>
    <row r="24" spans="1:12" ht="13.5" hidden="1" x14ac:dyDescent="0.25">
      <c r="A24" s="31"/>
      <c r="B24" s="19" t="str">
        <f>IFERROR(VLOOKUP(H24,[1]SEMIELABORADOS!$A$2:$M$6000,2,0),"")</f>
        <v/>
      </c>
      <c r="C24" s="32">
        <f t="shared" si="4"/>
        <v>0</v>
      </c>
      <c r="D24" s="32" t="str">
        <f>IFERROR(VLOOKUP(H24,[1]SEMIELABORADOS!$A$2:$M$6000,6,0),"")</f>
        <v/>
      </c>
      <c r="E24" s="33" t="str">
        <f>IFERROR(VLOOKUP(H24,[1]SEMIELABORADOS!$A$2:$H$65536,8,0),"")</f>
        <v/>
      </c>
      <c r="F24" s="33" t="str">
        <f t="shared" si="5"/>
        <v/>
      </c>
      <c r="G24" s="34" t="str">
        <f t="shared" si="3"/>
        <v/>
      </c>
      <c r="H24" s="35"/>
      <c r="I24" s="35"/>
      <c r="J24" s="36"/>
    </row>
    <row r="25" spans="1:12" ht="14.25" thickBot="1" x14ac:dyDescent="0.3">
      <c r="A25" s="31"/>
      <c r="C25" s="32"/>
      <c r="D25" s="32"/>
      <c r="E25" s="33"/>
      <c r="F25" s="33"/>
      <c r="G25" s="34"/>
      <c r="H25" s="35"/>
      <c r="I25" s="35"/>
      <c r="J25" s="36"/>
    </row>
    <row r="26" spans="1:12" ht="26.25" thickBot="1" x14ac:dyDescent="0.3">
      <c r="A26" s="26" t="s">
        <v>85</v>
      </c>
      <c r="B26" s="27" t="s">
        <v>39</v>
      </c>
      <c r="C26" s="27" t="s">
        <v>85</v>
      </c>
      <c r="D26" s="28" t="s">
        <v>87</v>
      </c>
      <c r="E26" s="28" t="s">
        <v>88</v>
      </c>
      <c r="F26" s="28" t="s">
        <v>89</v>
      </c>
      <c r="G26" s="28" t="s">
        <v>90</v>
      </c>
      <c r="H26" s="29" t="s">
        <v>91</v>
      </c>
      <c r="I26" s="30"/>
    </row>
    <row r="27" spans="1:12" ht="13.5" x14ac:dyDescent="0.25">
      <c r="A27" s="31">
        <v>1</v>
      </c>
      <c r="B27" s="37" t="s">
        <v>73</v>
      </c>
      <c r="C27" s="32">
        <f t="shared" ref="C27:C32" si="6">+A27</f>
        <v>1</v>
      </c>
      <c r="D27" s="33" t="s">
        <v>132</v>
      </c>
      <c r="E27" s="33">
        <v>12.5</v>
      </c>
      <c r="F27" s="33">
        <f t="shared" ref="F27:F32" si="7">IFERROR(C27*E27,"")</f>
        <v>12.5</v>
      </c>
      <c r="G27" s="34">
        <f t="shared" ref="G27:G32" si="8">IFERROR(F27/$F$66,"")</f>
        <v>1.0842727298781361E-2</v>
      </c>
      <c r="H27" s="38" t="s">
        <v>72</v>
      </c>
      <c r="I27" s="38"/>
      <c r="J27" s="36"/>
      <c r="K27" s="243"/>
      <c r="L27" s="243"/>
    </row>
    <row r="28" spans="1:12" ht="13.5" x14ac:dyDescent="0.25">
      <c r="A28" s="31">
        <v>1</v>
      </c>
      <c r="B28" s="37" t="s">
        <v>75</v>
      </c>
      <c r="C28" s="32">
        <f t="shared" si="6"/>
        <v>1</v>
      </c>
      <c r="D28" s="33" t="s">
        <v>132</v>
      </c>
      <c r="E28" s="33">
        <v>0.57999999999999996</v>
      </c>
      <c r="F28" s="33">
        <f t="shared" si="7"/>
        <v>0.57999999999999996</v>
      </c>
      <c r="G28" s="34">
        <f t="shared" si="8"/>
        <v>5.0310254666345513E-4</v>
      </c>
      <c r="H28" s="38" t="s">
        <v>74</v>
      </c>
      <c r="I28" s="38"/>
      <c r="J28" s="36"/>
      <c r="K28" s="243"/>
      <c r="L28" s="243"/>
    </row>
    <row r="29" spans="1:12" ht="13.5" x14ac:dyDescent="0.25">
      <c r="A29" s="31">
        <v>1</v>
      </c>
      <c r="B29" s="37" t="s">
        <v>77</v>
      </c>
      <c r="C29" s="32">
        <f t="shared" si="6"/>
        <v>1</v>
      </c>
      <c r="D29" s="33" t="s">
        <v>132</v>
      </c>
      <c r="E29" s="33">
        <v>0.28000000000000003</v>
      </c>
      <c r="F29" s="33">
        <f t="shared" si="7"/>
        <v>0.28000000000000003</v>
      </c>
      <c r="G29" s="34">
        <f t="shared" si="8"/>
        <v>2.4287709149270251E-4</v>
      </c>
      <c r="H29" s="38" t="s">
        <v>76</v>
      </c>
      <c r="I29" s="38"/>
      <c r="J29" s="36"/>
      <c r="K29" s="243"/>
      <c r="L29" s="243"/>
    </row>
    <row r="30" spans="1:12" ht="13.5" hidden="1" x14ac:dyDescent="0.25">
      <c r="A30" s="31"/>
      <c r="B30" s="37" t="str">
        <f>IFERROR(VLOOKUP(H30,'[1]Consolidado MP Planta'!$A$2:$M$823,3,0),"")</f>
        <v/>
      </c>
      <c r="C30" s="32">
        <f t="shared" si="6"/>
        <v>0</v>
      </c>
      <c r="D30" s="33" t="str">
        <f>IFERROR(VLOOKUP(H30,'[1]Consolidado MP Planta'!$A$2:$M$823,13,0),"")</f>
        <v/>
      </c>
      <c r="E30" s="33" t="str">
        <f>IFERROR(VLOOKUP(H30,'[1]Consolidado MP Planta'!$A$2:$M$823,12,0),"")</f>
        <v/>
      </c>
      <c r="F30" s="33" t="str">
        <f t="shared" si="7"/>
        <v/>
      </c>
      <c r="G30" s="34" t="str">
        <f t="shared" si="8"/>
        <v/>
      </c>
      <c r="H30" s="38"/>
      <c r="I30" s="38"/>
      <c r="J30" s="36"/>
      <c r="K30" s="243"/>
      <c r="L30" s="243"/>
    </row>
    <row r="31" spans="1:12" ht="13.5" hidden="1" x14ac:dyDescent="0.25">
      <c r="A31" s="31"/>
      <c r="B31" s="37" t="str">
        <f>IFERROR(VLOOKUP(H31,'[1]Consolidado MP Planta'!$A$2:$M$823,3,0),"")</f>
        <v/>
      </c>
      <c r="C31" s="32">
        <f t="shared" si="6"/>
        <v>0</v>
      </c>
      <c r="D31" s="33" t="str">
        <f>IFERROR(VLOOKUP(H31,'[1]Consolidado MP Planta'!$A$2:$M$823,13,0),"")</f>
        <v/>
      </c>
      <c r="E31" s="33" t="str">
        <f>IFERROR(VLOOKUP(H31,'[1]Consolidado MP Planta'!$A$2:$M$823,12,0),"")</f>
        <v/>
      </c>
      <c r="F31" s="33" t="str">
        <f t="shared" si="7"/>
        <v/>
      </c>
      <c r="G31" s="34" t="str">
        <f t="shared" si="8"/>
        <v/>
      </c>
      <c r="H31" s="38"/>
      <c r="I31" s="38"/>
      <c r="J31" s="36"/>
      <c r="K31" s="39"/>
      <c r="L31" s="40"/>
    </row>
    <row r="32" spans="1:12" ht="13.5" hidden="1" x14ac:dyDescent="0.25">
      <c r="A32" s="31"/>
      <c r="B32" s="37" t="str">
        <f>IFERROR(VLOOKUP(H32,'[1]Consolidado MP Planta'!$A$2:$M$823,3,0),"")</f>
        <v/>
      </c>
      <c r="C32" s="32">
        <f t="shared" si="6"/>
        <v>0</v>
      </c>
      <c r="D32" s="33" t="str">
        <f>IFERROR(VLOOKUP(H32,'[1]Consolidado MP Planta'!$A$2:$M$823,13,0),"")</f>
        <v/>
      </c>
      <c r="E32" s="33" t="str">
        <f>IFERROR(VLOOKUP(H32,'[1]Consolidado MP Planta'!$A$2:$M$823,12,0),"")</f>
        <v/>
      </c>
      <c r="F32" s="33" t="str">
        <f t="shared" si="7"/>
        <v/>
      </c>
      <c r="G32" s="34" t="str">
        <f t="shared" si="8"/>
        <v/>
      </c>
      <c r="H32" s="38"/>
      <c r="I32" s="38"/>
      <c r="J32" s="36"/>
    </row>
    <row r="33" spans="1:13" ht="14.25" thickBot="1" x14ac:dyDescent="0.3">
      <c r="A33" s="31"/>
      <c r="B33" s="37"/>
      <c r="C33" s="32"/>
      <c r="D33" s="33"/>
      <c r="E33" s="33"/>
      <c r="F33" s="33"/>
      <c r="G33" s="34"/>
      <c r="H33" s="38"/>
      <c r="I33" s="38"/>
      <c r="J33" s="36"/>
    </row>
    <row r="34" spans="1:13" ht="26.25" thickBot="1" x14ac:dyDescent="0.25">
      <c r="A34" s="26" t="s">
        <v>85</v>
      </c>
      <c r="B34" s="27" t="s">
        <v>93</v>
      </c>
      <c r="C34" s="27" t="s">
        <v>85</v>
      </c>
      <c r="D34" s="28" t="s">
        <v>87</v>
      </c>
      <c r="E34" s="28" t="s">
        <v>88</v>
      </c>
      <c r="F34" s="28" t="s">
        <v>89</v>
      </c>
      <c r="G34" s="28" t="s">
        <v>90</v>
      </c>
      <c r="H34" s="29" t="s">
        <v>91</v>
      </c>
      <c r="I34" s="38"/>
      <c r="J34" s="36"/>
    </row>
    <row r="35" spans="1:13" ht="13.5" x14ac:dyDescent="0.25">
      <c r="A35" s="31">
        <f>+A17</f>
        <v>240</v>
      </c>
      <c r="B35" s="37" t="s">
        <v>78</v>
      </c>
      <c r="C35" s="32">
        <f>+A35</f>
        <v>240</v>
      </c>
      <c r="D35" s="33" t="s">
        <v>130</v>
      </c>
      <c r="E35" s="33">
        <f>+'Costo relleno Crema Past Bailey'!E78</f>
        <v>1.25E-4</v>
      </c>
      <c r="F35" s="33">
        <f>IFERROR(E35*C35,"")</f>
        <v>0.03</v>
      </c>
      <c r="G35" s="34">
        <f t="shared" ref="G35:G41" si="9">IFERROR(F35/$F$66,"")</f>
        <v>2.6022545517075267E-5</v>
      </c>
      <c r="H35" s="38"/>
      <c r="I35" s="38"/>
      <c r="J35" s="36"/>
    </row>
    <row r="36" spans="1:13" ht="13.5" hidden="1" x14ac:dyDescent="0.25">
      <c r="A36" s="31">
        <f t="shared" ref="A36:A41" si="10">+A18</f>
        <v>0</v>
      </c>
      <c r="B36" s="37" t="str">
        <f>IFERROR(VLOOKUP(H36,[1]SEMIELABORADOS!$A$2:$M$6000,2,0),"")</f>
        <v/>
      </c>
      <c r="C36" s="32">
        <f t="shared" ref="C36:C41" si="11">+A36</f>
        <v>0</v>
      </c>
      <c r="D36" s="33" t="str">
        <f>IFERROR(VLOOKUP(H36,[1]SEMIELABORADOS!$A$2:$M$6000,6,0),"")</f>
        <v/>
      </c>
      <c r="E36" s="33" t="str">
        <f>IFERROR(VLOOKUP(H36,[1]SEMIELABORADOS!$A$2:$M$65536,10,0),"")</f>
        <v/>
      </c>
      <c r="F36" s="33" t="str">
        <f t="shared" ref="F36:F41" si="12">IFERROR(E36*C36,"")</f>
        <v/>
      </c>
      <c r="G36" s="34" t="str">
        <f t="shared" si="9"/>
        <v/>
      </c>
      <c r="H36" s="38"/>
      <c r="I36" s="38"/>
      <c r="J36" s="36"/>
    </row>
    <row r="37" spans="1:13" ht="13.5" hidden="1" x14ac:dyDescent="0.25">
      <c r="A37" s="31">
        <f t="shared" si="10"/>
        <v>0</v>
      </c>
      <c r="B37" s="37" t="str">
        <f>IFERROR(VLOOKUP(H37,[1]SEMIELABORADOS!$A$2:$M$6000,2,0),"")</f>
        <v/>
      </c>
      <c r="C37" s="32">
        <f t="shared" si="11"/>
        <v>0</v>
      </c>
      <c r="D37" s="33" t="str">
        <f>IFERROR(VLOOKUP(H37,[1]SEMIELABORADOS!$A$2:$M$6000,6,0),"")</f>
        <v/>
      </c>
      <c r="E37" s="33" t="str">
        <f>IFERROR(VLOOKUP(H37,[1]SEMIELABORADOS!$A$2:$M$65536,10,0),"")</f>
        <v/>
      </c>
      <c r="F37" s="33" t="str">
        <f t="shared" si="12"/>
        <v/>
      </c>
      <c r="G37" s="34" t="str">
        <f t="shared" si="9"/>
        <v/>
      </c>
      <c r="H37" s="38"/>
      <c r="I37" s="38"/>
      <c r="J37" s="36"/>
    </row>
    <row r="38" spans="1:13" ht="13.5" hidden="1" x14ac:dyDescent="0.25">
      <c r="A38" s="31">
        <f t="shared" si="10"/>
        <v>0</v>
      </c>
      <c r="B38" s="37" t="str">
        <f>IFERROR(VLOOKUP(H38,[1]SEMIELABORADOS!$A$2:$M$6000,2,0),"")</f>
        <v/>
      </c>
      <c r="C38" s="32">
        <f>+A38</f>
        <v>0</v>
      </c>
      <c r="D38" s="33" t="str">
        <f>IFERROR(VLOOKUP(H38,[1]SEMIELABORADOS!$A$2:$M$6000,6,0),"")</f>
        <v/>
      </c>
      <c r="E38" s="33" t="str">
        <f>IFERROR(VLOOKUP(H38,[1]SEMIELABORADOS!$A$2:$M$65536,10,0),"")</f>
        <v/>
      </c>
      <c r="F38" s="33" t="str">
        <f>IFERROR(E38*C38,"")</f>
        <v/>
      </c>
      <c r="G38" s="34" t="str">
        <f t="shared" si="9"/>
        <v/>
      </c>
      <c r="H38" s="38"/>
      <c r="I38" s="38"/>
      <c r="J38" s="36"/>
    </row>
    <row r="39" spans="1:13" ht="13.5" hidden="1" x14ac:dyDescent="0.25">
      <c r="A39" s="31">
        <f t="shared" si="10"/>
        <v>0</v>
      </c>
      <c r="B39" s="37" t="str">
        <f>IFERROR(VLOOKUP(H39,[1]SEMIELABORADOS!$A$2:$M$6000,2,0),"")</f>
        <v/>
      </c>
      <c r="C39" s="32">
        <f>+A39</f>
        <v>0</v>
      </c>
      <c r="D39" s="33" t="str">
        <f>IFERROR(VLOOKUP(H39,[1]SEMIELABORADOS!$A$2:$M$6000,6,0),"")</f>
        <v/>
      </c>
      <c r="E39" s="33" t="str">
        <f>IFERROR(VLOOKUP(H39,[1]SEMIELABORADOS!$A$2:$M$65536,10,0),"")</f>
        <v/>
      </c>
      <c r="F39" s="33" t="str">
        <f>IFERROR(E39*C39,"")</f>
        <v/>
      </c>
      <c r="G39" s="34" t="str">
        <f t="shared" si="9"/>
        <v/>
      </c>
      <c r="H39" s="38"/>
      <c r="I39" s="38"/>
      <c r="J39" s="36"/>
    </row>
    <row r="40" spans="1:13" ht="13.5" hidden="1" x14ac:dyDescent="0.25">
      <c r="A40" s="31">
        <f t="shared" si="10"/>
        <v>0</v>
      </c>
      <c r="B40" s="37" t="str">
        <f>IFERROR(VLOOKUP(H40,[1]SEMIELABORADOS!$A$2:$M$6000,2,0),"")</f>
        <v/>
      </c>
      <c r="C40" s="32">
        <f t="shared" si="11"/>
        <v>0</v>
      </c>
      <c r="D40" s="33" t="str">
        <f>IFERROR(VLOOKUP(H40,[1]SEMIELABORADOS!$A$2:$M$6000,6,0),"")</f>
        <v/>
      </c>
      <c r="E40" s="33" t="str">
        <f>IFERROR(VLOOKUP(H40,[1]SEMIELABORADOS!$A$2:$M$65536,10,0),"")</f>
        <v/>
      </c>
      <c r="F40" s="33" t="str">
        <f t="shared" si="12"/>
        <v/>
      </c>
      <c r="G40" s="34" t="str">
        <f t="shared" si="9"/>
        <v/>
      </c>
      <c r="H40" s="38"/>
      <c r="I40" s="38"/>
      <c r="J40" s="36"/>
    </row>
    <row r="41" spans="1:13" ht="13.5" hidden="1" x14ac:dyDescent="0.25">
      <c r="A41" s="31">
        <f t="shared" si="10"/>
        <v>0</v>
      </c>
      <c r="B41" s="37" t="str">
        <f>IFERROR(VLOOKUP(H41,[1]SEMIELABORADOS!$A$2:$M$6000,2,0),"")</f>
        <v/>
      </c>
      <c r="C41" s="32">
        <f t="shared" si="11"/>
        <v>0</v>
      </c>
      <c r="D41" s="33" t="str">
        <f>IFERROR(VLOOKUP(H41,[1]SEMIELABORADOS!$A$2:$M$6000,6,0),"")</f>
        <v/>
      </c>
      <c r="E41" s="33" t="str">
        <f>IFERROR(VLOOKUP(H41,[1]SEMIELABORADOS!$A$2:$M$65536,10,0),"")</f>
        <v/>
      </c>
      <c r="F41" s="33" t="str">
        <f t="shared" si="12"/>
        <v/>
      </c>
      <c r="G41" s="34" t="str">
        <f t="shared" si="9"/>
        <v/>
      </c>
      <c r="H41" s="38"/>
      <c r="I41" s="38"/>
      <c r="J41" s="36"/>
    </row>
    <row r="42" spans="1:13" ht="14.25" thickBot="1" x14ac:dyDescent="0.3">
      <c r="A42" s="31"/>
      <c r="B42" s="37"/>
      <c r="C42" s="32"/>
      <c r="D42" s="33"/>
      <c r="E42" s="33"/>
      <c r="F42" s="33"/>
      <c r="G42" s="34"/>
      <c r="H42" s="38"/>
      <c r="I42" s="38"/>
      <c r="J42" s="36"/>
    </row>
    <row r="43" spans="1:13" ht="26.25" thickBot="1" x14ac:dyDescent="0.3">
      <c r="A43" s="26" t="s">
        <v>85</v>
      </c>
      <c r="B43" s="27" t="s">
        <v>94</v>
      </c>
      <c r="C43" s="27" t="s">
        <v>85</v>
      </c>
      <c r="D43" s="28" t="s">
        <v>87</v>
      </c>
      <c r="E43" s="28" t="s">
        <v>88</v>
      </c>
      <c r="F43" s="28" t="s">
        <v>89</v>
      </c>
      <c r="G43" s="28" t="s">
        <v>90</v>
      </c>
      <c r="H43" s="29" t="s">
        <v>91</v>
      </c>
      <c r="I43" s="30"/>
      <c r="J43" s="36"/>
    </row>
    <row r="44" spans="1:13" ht="13.5" x14ac:dyDescent="0.25">
      <c r="A44" s="31">
        <f>+A35</f>
        <v>240</v>
      </c>
      <c r="B44" s="37" t="s">
        <v>78</v>
      </c>
      <c r="C44" s="32">
        <f>+A44</f>
        <v>240</v>
      </c>
      <c r="D44" s="33" t="s">
        <v>130</v>
      </c>
      <c r="E44" s="33">
        <f>+'Costo relleno Crema Past Bailey'!E76</f>
        <v>0.23100000000000001</v>
      </c>
      <c r="F44" s="33">
        <f>IFERROR(E44*C44,"")</f>
        <v>55.440000000000005</v>
      </c>
      <c r="G44" s="34">
        <f>IFERROR(F44/$F$66,"")</f>
        <v>4.8089664115555097E-2</v>
      </c>
      <c r="H44" s="38"/>
      <c r="I44" s="30"/>
      <c r="J44" s="36"/>
    </row>
    <row r="45" spans="1:13" ht="13.5" hidden="1" x14ac:dyDescent="0.25">
      <c r="A45" s="31">
        <f t="shared" ref="A45:A50" si="13">+A36</f>
        <v>0</v>
      </c>
      <c r="B45" s="37" t="str">
        <f>IFERROR(VLOOKUP(H45,[1]SEMIELABORADOS!$A$2:$M$6000,2,0),"")</f>
        <v/>
      </c>
      <c r="C45" s="32">
        <f t="shared" ref="C45:C50" si="14">+A45</f>
        <v>0</v>
      </c>
      <c r="D45" s="33" t="str">
        <f>IFERROR(VLOOKUP(H45,[1]SEMIELABORADOS!$A$2:$M$6000,6,0),"")</f>
        <v/>
      </c>
      <c r="E45" s="33" t="str">
        <f>IFERROR(VLOOKUP(H45,[1]SEMIELABORADOS!$A$2:$M$65536,12,0),"")</f>
        <v/>
      </c>
      <c r="F45" s="33" t="str">
        <f t="shared" ref="F45:F50" si="15">IFERROR(E45*C45,"")</f>
        <v/>
      </c>
      <c r="G45" s="34" t="str">
        <f t="shared" ref="G45:G50" si="16">IFERROR(F45/$F$66,"")</f>
        <v/>
      </c>
      <c r="H45" s="38"/>
      <c r="I45" s="30"/>
      <c r="J45" s="36"/>
      <c r="M45" s="41"/>
    </row>
    <row r="46" spans="1:13" ht="13.5" hidden="1" x14ac:dyDescent="0.25">
      <c r="A46" s="31">
        <f t="shared" si="13"/>
        <v>0</v>
      </c>
      <c r="B46" s="37" t="str">
        <f>IFERROR(VLOOKUP(H46,[1]SEMIELABORADOS!$A$2:$M$6000,2,0),"")</f>
        <v/>
      </c>
      <c r="C46" s="32">
        <f t="shared" si="14"/>
        <v>0</v>
      </c>
      <c r="D46" s="33" t="str">
        <f>IFERROR(VLOOKUP(H46,[1]SEMIELABORADOS!$A$2:$M$6000,6,0),"")</f>
        <v/>
      </c>
      <c r="E46" s="33" t="str">
        <f>IFERROR(VLOOKUP(H46,[1]SEMIELABORADOS!$A$2:$M$65536,12,0),"")</f>
        <v/>
      </c>
      <c r="F46" s="33" t="str">
        <f t="shared" si="15"/>
        <v/>
      </c>
      <c r="G46" s="34" t="str">
        <f t="shared" si="16"/>
        <v/>
      </c>
      <c r="H46" s="38"/>
      <c r="I46" s="30"/>
      <c r="J46" s="36"/>
    </row>
    <row r="47" spans="1:13" ht="13.5" hidden="1" x14ac:dyDescent="0.25">
      <c r="A47" s="31">
        <f t="shared" si="13"/>
        <v>0</v>
      </c>
      <c r="B47" s="37" t="str">
        <f>IFERROR(VLOOKUP(H47,[1]SEMIELABORADOS!$A$2:$M$6000,2,0),"")</f>
        <v/>
      </c>
      <c r="C47" s="32">
        <f t="shared" si="14"/>
        <v>0</v>
      </c>
      <c r="D47" s="33" t="str">
        <f>IFERROR(VLOOKUP(H47,[1]SEMIELABORADOS!$A$2:$M$6000,6,0),"")</f>
        <v/>
      </c>
      <c r="E47" s="33" t="str">
        <f>IFERROR(VLOOKUP(H47,[1]SEMIELABORADOS!$A$2:$M$65536,12,0),"")</f>
        <v/>
      </c>
      <c r="F47" s="33" t="str">
        <f t="shared" si="15"/>
        <v/>
      </c>
      <c r="G47" s="34" t="str">
        <f t="shared" si="16"/>
        <v/>
      </c>
      <c r="H47" s="38"/>
      <c r="I47" s="30"/>
      <c r="J47" s="36"/>
    </row>
    <row r="48" spans="1:13" ht="13.5" hidden="1" x14ac:dyDescent="0.25">
      <c r="A48" s="31">
        <f t="shared" si="13"/>
        <v>0</v>
      </c>
      <c r="B48" s="37" t="str">
        <f>IFERROR(VLOOKUP(H48,[1]SEMIELABORADOS!$A$2:$M$6000,2,0),"")</f>
        <v/>
      </c>
      <c r="C48" s="32">
        <f t="shared" si="14"/>
        <v>0</v>
      </c>
      <c r="D48" s="33" t="str">
        <f>IFERROR(VLOOKUP(H48,[1]SEMIELABORADOS!$A$2:$M$6000,6,0),"")</f>
        <v/>
      </c>
      <c r="E48" s="33" t="str">
        <f>IFERROR(VLOOKUP(H48,[1]SEMIELABORADOS!$A$2:$M$65536,12,0),"")</f>
        <v/>
      </c>
      <c r="F48" s="33" t="str">
        <f t="shared" si="15"/>
        <v/>
      </c>
      <c r="G48" s="34" t="str">
        <f t="shared" si="16"/>
        <v/>
      </c>
      <c r="H48" s="38"/>
      <c r="I48" s="30"/>
      <c r="J48" s="36"/>
    </row>
    <row r="49" spans="1:17" ht="13.5" hidden="1" x14ac:dyDescent="0.25">
      <c r="A49" s="31">
        <f t="shared" si="13"/>
        <v>0</v>
      </c>
      <c r="B49" s="37" t="str">
        <f>IFERROR(VLOOKUP(H49,[1]SEMIELABORADOS!$A$2:$M$6000,2,0),"")</f>
        <v/>
      </c>
      <c r="C49" s="32">
        <f t="shared" si="14"/>
        <v>0</v>
      </c>
      <c r="D49" s="33" t="str">
        <f>IFERROR(VLOOKUP(H49,[1]SEMIELABORADOS!$A$2:$M$6000,6,0),"")</f>
        <v/>
      </c>
      <c r="E49" s="33" t="str">
        <f>IFERROR(VLOOKUP(H49,[1]SEMIELABORADOS!$A$2:$M$65536,12,0),"")</f>
        <v/>
      </c>
      <c r="F49" s="33" t="str">
        <f t="shared" si="15"/>
        <v/>
      </c>
      <c r="G49" s="34" t="str">
        <f t="shared" si="16"/>
        <v/>
      </c>
      <c r="H49" s="38"/>
      <c r="I49" s="30"/>
      <c r="J49" s="36"/>
    </row>
    <row r="50" spans="1:17" ht="13.5" hidden="1" x14ac:dyDescent="0.25">
      <c r="A50" s="31">
        <f t="shared" si="13"/>
        <v>0</v>
      </c>
      <c r="B50" s="37" t="str">
        <f>IFERROR(VLOOKUP(H50,[1]SEMIELABORADOS!$A$2:$M$6000,2,0),"")</f>
        <v/>
      </c>
      <c r="C50" s="32">
        <f t="shared" si="14"/>
        <v>0</v>
      </c>
      <c r="D50" s="33" t="str">
        <f>IFERROR(VLOOKUP(H50,[1]SEMIELABORADOS!$A$2:$M$6000,6,0),"")</f>
        <v/>
      </c>
      <c r="E50" s="33" t="str">
        <f>IFERROR(VLOOKUP(H50,[1]SEMIELABORADOS!$A$2:$M$65536,12,0),"")</f>
        <v/>
      </c>
      <c r="F50" s="33" t="str">
        <f t="shared" si="15"/>
        <v/>
      </c>
      <c r="G50" s="34" t="str">
        <f t="shared" si="16"/>
        <v/>
      </c>
      <c r="H50" s="37"/>
      <c r="I50" s="30"/>
      <c r="J50" s="36"/>
    </row>
    <row r="51" spans="1:17" ht="13.5" x14ac:dyDescent="0.25">
      <c r="A51" s="31">
        <v>1</v>
      </c>
      <c r="B51" s="37" t="s">
        <v>95</v>
      </c>
      <c r="C51" s="32">
        <f>+A51</f>
        <v>1</v>
      </c>
      <c r="D51" s="32" t="s">
        <v>96</v>
      </c>
      <c r="E51" s="33">
        <f>+F65</f>
        <v>77</v>
      </c>
      <c r="F51" s="33">
        <f>IFERROR(C51*E51,"")</f>
        <v>77</v>
      </c>
      <c r="G51" s="34">
        <f>IFERROR(F51/$F$66,"")</f>
        <v>6.6791200160493183E-2</v>
      </c>
      <c r="H51" s="42"/>
      <c r="I51" s="42"/>
      <c r="J51" s="36"/>
    </row>
    <row r="52" spans="1:17" ht="14.25" thickBot="1" x14ac:dyDescent="0.3">
      <c r="A52" s="31"/>
      <c r="B52" s="37"/>
      <c r="C52" s="32"/>
      <c r="D52" s="32"/>
      <c r="E52" s="33"/>
      <c r="F52" s="33"/>
      <c r="G52" s="34"/>
      <c r="H52" s="42"/>
      <c r="I52" s="42"/>
      <c r="J52" s="36"/>
    </row>
    <row r="53" spans="1:17" ht="13.5" thickBot="1" x14ac:dyDescent="0.3">
      <c r="A53" s="43"/>
      <c r="B53" s="253" t="s">
        <v>97</v>
      </c>
      <c r="C53" s="253"/>
      <c r="D53" s="253"/>
      <c r="E53" s="253"/>
      <c r="F53" s="45">
        <f>SUM(F8:F14,F17:F24)</f>
        <v>1041.6239999999998</v>
      </c>
      <c r="G53" s="34">
        <f>+F53/$F$66</f>
        <v>0.90352359838926677</v>
      </c>
      <c r="H53" s="46">
        <f>+F53/$D$60</f>
        <v>1041.6239999999998</v>
      </c>
      <c r="I53" s="46"/>
      <c r="J53" s="47"/>
      <c r="K53" s="48"/>
      <c r="L53" s="48"/>
      <c r="M53" s="48"/>
      <c r="N53" s="48"/>
      <c r="O53" s="48"/>
      <c r="P53" s="48"/>
      <c r="Q53" s="49"/>
    </row>
    <row r="54" spans="1:17" x14ac:dyDescent="0.2">
      <c r="A54" s="43"/>
      <c r="B54" s="253" t="s">
        <v>98</v>
      </c>
      <c r="C54" s="253"/>
      <c r="D54" s="253"/>
      <c r="E54" s="253"/>
      <c r="F54" s="45">
        <f>SUM(F27:F32,F35:F41)</f>
        <v>13.389999999999999</v>
      </c>
      <c r="G54" s="34">
        <f>+F54/$F$66</f>
        <v>1.1614729482454593E-2</v>
      </c>
      <c r="H54" s="46">
        <f>+F54/$D$60</f>
        <v>13.389999999999999</v>
      </c>
      <c r="I54" s="46"/>
      <c r="J54" s="50"/>
      <c r="K54" s="254" t="s">
        <v>99</v>
      </c>
      <c r="L54" s="255"/>
      <c r="M54" s="255"/>
      <c r="N54" s="255"/>
      <c r="O54" s="51">
        <f>+F55</f>
        <v>1055.0139999999999</v>
      </c>
      <c r="P54" s="51"/>
      <c r="Q54" s="52"/>
    </row>
    <row r="55" spans="1:17" x14ac:dyDescent="0.2">
      <c r="A55" s="43"/>
      <c r="B55" s="253" t="s">
        <v>100</v>
      </c>
      <c r="C55" s="253"/>
      <c r="D55" s="253"/>
      <c r="E55" s="253"/>
      <c r="F55" s="45">
        <f>+F53+F54</f>
        <v>1055.0139999999999</v>
      </c>
      <c r="G55" s="34">
        <f>+F55/$F$66</f>
        <v>0.91513832787172145</v>
      </c>
      <c r="H55" s="46">
        <f>+F55/$D$60</f>
        <v>1055.0139999999999</v>
      </c>
      <c r="I55" s="46"/>
      <c r="J55" s="53"/>
      <c r="K55" s="54"/>
      <c r="M55" s="55" t="s">
        <v>101</v>
      </c>
      <c r="N55" s="56"/>
      <c r="O55" s="51">
        <f>+H56</f>
        <v>132.44</v>
      </c>
      <c r="P55" s="51"/>
      <c r="Q55" s="52"/>
    </row>
    <row r="56" spans="1:17" ht="13.5" thickBot="1" x14ac:dyDescent="0.25">
      <c r="A56" s="43"/>
      <c r="B56" s="44"/>
      <c r="C56" s="253" t="s">
        <v>102</v>
      </c>
      <c r="D56" s="253"/>
      <c r="E56" s="253"/>
      <c r="F56" s="45">
        <f>SUM(F44:F51)</f>
        <v>132.44</v>
      </c>
      <c r="G56" s="34">
        <f>+F56/$F$66</f>
        <v>0.11488086427604828</v>
      </c>
      <c r="H56" s="46">
        <f>+F56/$D$60</f>
        <v>132.44</v>
      </c>
      <c r="I56" s="46"/>
      <c r="J56" s="53"/>
      <c r="K56" s="54"/>
      <c r="L56" s="54"/>
      <c r="M56" s="54" t="s">
        <v>103</v>
      </c>
      <c r="N56" s="57"/>
      <c r="O56" s="51">
        <f>O54*N56</f>
        <v>0</v>
      </c>
      <c r="P56" s="51"/>
      <c r="Q56" s="52"/>
    </row>
    <row r="57" spans="1:17" ht="13.5" thickBot="1" x14ac:dyDescent="0.25">
      <c r="A57" s="43"/>
      <c r="B57" s="58"/>
      <c r="C57" s="58"/>
      <c r="D57" s="58"/>
      <c r="E57" s="58"/>
      <c r="F57" s="59"/>
      <c r="G57" s="34"/>
      <c r="H57" s="60"/>
      <c r="I57" s="46"/>
      <c r="J57" s="53"/>
      <c r="K57" s="61"/>
      <c r="M57" s="62" t="s">
        <v>104</v>
      </c>
      <c r="N57" s="63"/>
      <c r="O57" s="64">
        <f>SUM(O54:O56)</f>
        <v>1187.454</v>
      </c>
      <c r="P57" s="65"/>
      <c r="Q57" s="52"/>
    </row>
    <row r="58" spans="1:17" x14ac:dyDescent="0.2">
      <c r="B58" s="256" t="s">
        <v>105</v>
      </c>
      <c r="C58" s="256"/>
      <c r="D58" s="66">
        <v>240</v>
      </c>
      <c r="E58" s="67"/>
      <c r="G58" s="34"/>
      <c r="H58" s="60">
        <f>+H56/77</f>
        <v>1.72</v>
      </c>
      <c r="I58" s="68"/>
      <c r="J58" s="53"/>
      <c r="K58" s="61"/>
      <c r="L58" s="54"/>
      <c r="M58" s="54" t="s">
        <v>106</v>
      </c>
      <c r="N58" s="69"/>
      <c r="O58" s="51">
        <f>+H59</f>
        <v>142.76</v>
      </c>
      <c r="P58" s="51"/>
      <c r="Q58" s="52"/>
    </row>
    <row r="59" spans="1:17" x14ac:dyDescent="0.2">
      <c r="B59" s="256" t="s">
        <v>107</v>
      </c>
      <c r="C59" s="256"/>
      <c r="D59" s="70">
        <v>240</v>
      </c>
      <c r="E59" s="67"/>
      <c r="G59" s="34"/>
      <c r="H59" s="60">
        <f>+H58*83</f>
        <v>142.76</v>
      </c>
      <c r="I59" s="68"/>
      <c r="J59" s="53"/>
      <c r="K59" s="61"/>
      <c r="L59" s="54"/>
      <c r="M59" s="257" t="s">
        <v>104</v>
      </c>
      <c r="N59" s="257"/>
      <c r="O59" s="51">
        <f>SUM(O57:O58)</f>
        <v>1330.2139999999999</v>
      </c>
      <c r="P59" s="51"/>
      <c r="Q59" s="52"/>
    </row>
    <row r="60" spans="1:17" ht="13.5" thickBot="1" x14ac:dyDescent="0.25">
      <c r="B60" s="249" t="s">
        <v>108</v>
      </c>
      <c r="C60" s="249"/>
      <c r="D60" s="66">
        <f>+D58/D59</f>
        <v>1</v>
      </c>
      <c r="E60" s="67"/>
      <c r="F60" s="71"/>
      <c r="G60" s="34"/>
      <c r="H60" s="60"/>
      <c r="I60" s="68"/>
      <c r="J60" s="53"/>
      <c r="K60" s="61"/>
      <c r="L60" s="257"/>
      <c r="M60" s="257"/>
      <c r="N60" s="69"/>
      <c r="O60" s="51">
        <f>+O59*N60</f>
        <v>0</v>
      </c>
      <c r="P60" s="51"/>
      <c r="Q60" s="52"/>
    </row>
    <row r="61" spans="1:17" ht="13.5" thickBot="1" x14ac:dyDescent="0.25">
      <c r="B61" s="249" t="s">
        <v>109</v>
      </c>
      <c r="C61" s="249"/>
      <c r="D61" s="72"/>
      <c r="E61" s="67"/>
      <c r="F61" s="71"/>
      <c r="G61" s="34"/>
      <c r="H61" s="60"/>
      <c r="I61" s="68"/>
      <c r="J61" s="53"/>
      <c r="K61" s="250" t="s">
        <v>110</v>
      </c>
      <c r="L61" s="251"/>
      <c r="M61" s="251"/>
      <c r="N61" s="252"/>
      <c r="O61" s="64">
        <f>SUM(O59:O60)</f>
        <v>1330.2139999999999</v>
      </c>
      <c r="P61" s="73" t="s">
        <v>111</v>
      </c>
      <c r="Q61" s="52"/>
    </row>
    <row r="62" spans="1:17" ht="13.5" thickBot="1" x14ac:dyDescent="0.25">
      <c r="C62" s="43" t="s">
        <v>112</v>
      </c>
      <c r="D62" s="74"/>
      <c r="E62" s="17" t="s">
        <v>113</v>
      </c>
      <c r="F62" s="75" t="s">
        <v>114</v>
      </c>
      <c r="G62" s="34"/>
      <c r="H62" s="60"/>
      <c r="I62" s="68"/>
      <c r="J62" s="76"/>
      <c r="K62" s="77"/>
      <c r="L62" s="263" t="s">
        <v>115</v>
      </c>
      <c r="M62" s="263"/>
      <c r="N62" s="263"/>
      <c r="O62" s="78">
        <f>+O61/D60</f>
        <v>1330.2139999999999</v>
      </c>
      <c r="P62" s="79">
        <f>+O62/D59</f>
        <v>5.542558333333333</v>
      </c>
      <c r="Q62" s="80"/>
    </row>
    <row r="63" spans="1:17" ht="13.5" thickBot="1" x14ac:dyDescent="0.25">
      <c r="B63" s="264" t="s">
        <v>100</v>
      </c>
      <c r="C63" s="264"/>
      <c r="D63" s="264"/>
      <c r="E63" s="81">
        <f>+F63/F63</f>
        <v>1</v>
      </c>
      <c r="F63" s="82">
        <f>SUM(F55)</f>
        <v>1055.0139999999999</v>
      </c>
      <c r="G63" s="34">
        <f>+F63/$F$66</f>
        <v>0.91513832787172145</v>
      </c>
      <c r="H63" s="60"/>
      <c r="I63" s="68"/>
      <c r="K63" s="265"/>
      <c r="L63" s="266"/>
      <c r="M63" s="266"/>
      <c r="N63" s="266"/>
      <c r="O63" s="83"/>
      <c r="P63" s="84"/>
    </row>
    <row r="64" spans="1:17" ht="13.5" thickBot="1" x14ac:dyDescent="0.3">
      <c r="B64" s="267" t="s">
        <v>116</v>
      </c>
      <c r="C64" s="267"/>
      <c r="D64" s="267"/>
      <c r="E64" s="85">
        <v>0.02</v>
      </c>
      <c r="F64" s="82">
        <f>+F53*E64</f>
        <v>20.832479999999997</v>
      </c>
      <c r="G64" s="34">
        <f>+F64/$F$66</f>
        <v>1.8070471967785336E-2</v>
      </c>
      <c r="H64" s="46"/>
      <c r="I64" s="68"/>
      <c r="J64" s="86"/>
      <c r="O64" s="87"/>
      <c r="P64" s="44"/>
    </row>
    <row r="65" spans="2:13" ht="13.5" thickBot="1" x14ac:dyDescent="0.3">
      <c r="B65" s="268" t="s">
        <v>117</v>
      </c>
      <c r="C65" s="269"/>
      <c r="D65" s="88">
        <v>1</v>
      </c>
      <c r="E65" s="89">
        <v>77</v>
      </c>
      <c r="F65" s="82">
        <f>+E65*D65</f>
        <v>77</v>
      </c>
      <c r="G65" s="34">
        <f>+F65/$F$66</f>
        <v>6.6791200160493183E-2</v>
      </c>
      <c r="H65" s="46"/>
      <c r="I65" s="46"/>
      <c r="J65" s="36"/>
    </row>
    <row r="66" spans="2:13" ht="13.5" thickBot="1" x14ac:dyDescent="0.3">
      <c r="B66" s="270" t="s">
        <v>118</v>
      </c>
      <c r="C66" s="271"/>
      <c r="D66" s="271"/>
      <c r="E66" s="272"/>
      <c r="F66" s="59">
        <f>SUM(F63:F65)</f>
        <v>1152.8464799999999</v>
      </c>
      <c r="G66" s="34">
        <f>+F66/$F$66</f>
        <v>1</v>
      </c>
      <c r="H66" s="273"/>
      <c r="I66" s="46"/>
      <c r="J66" s="36"/>
      <c r="M66" s="19" t="s">
        <v>119</v>
      </c>
    </row>
    <row r="67" spans="2:13" x14ac:dyDescent="0.25">
      <c r="C67" s="41"/>
      <c r="D67" s="41"/>
      <c r="E67" s="91"/>
      <c r="F67" s="82"/>
      <c r="G67" s="34"/>
      <c r="H67" s="273"/>
      <c r="I67" s="90"/>
      <c r="J67" s="19"/>
      <c r="M67" s="19" t="s">
        <v>120</v>
      </c>
    </row>
    <row r="68" spans="2:13" ht="13.5" thickBot="1" x14ac:dyDescent="0.3">
      <c r="B68" s="258" t="s">
        <v>121</v>
      </c>
      <c r="C68" s="258"/>
      <c r="D68" s="258"/>
      <c r="E68" s="258"/>
      <c r="F68" s="258"/>
      <c r="G68" s="34"/>
      <c r="H68" s="93"/>
      <c r="I68" s="90"/>
      <c r="J68" s="19"/>
      <c r="M68" s="19" t="s">
        <v>122</v>
      </c>
    </row>
    <row r="69" spans="2:13" ht="13.5" thickBot="1" x14ac:dyDescent="0.3">
      <c r="B69" s="94" t="s">
        <v>123</v>
      </c>
      <c r="C69" s="95">
        <f>+F53</f>
        <v>1041.6239999999998</v>
      </c>
      <c r="D69" s="95">
        <f>+D58</f>
        <v>240</v>
      </c>
      <c r="E69" s="96">
        <f>+C69/D69</f>
        <v>4.3400999999999987</v>
      </c>
      <c r="F69" s="34"/>
      <c r="G69" s="93"/>
      <c r="H69" s="36"/>
      <c r="I69" s="93"/>
      <c r="J69" s="19"/>
    </row>
    <row r="70" spans="2:13" x14ac:dyDescent="0.25">
      <c r="B70" s="97"/>
      <c r="C70" s="98"/>
      <c r="D70" s="99"/>
      <c r="E70" s="82"/>
      <c r="F70" s="34"/>
      <c r="G70" s="93"/>
      <c r="H70" s="36"/>
      <c r="I70" s="36"/>
      <c r="J70" s="19"/>
    </row>
    <row r="71" spans="2:13" x14ac:dyDescent="0.25">
      <c r="B71" s="94" t="s">
        <v>124</v>
      </c>
      <c r="C71" s="95">
        <f>SUM(F63:F64)</f>
        <v>1075.8464799999999</v>
      </c>
      <c r="D71" s="95">
        <f>+D58</f>
        <v>240</v>
      </c>
      <c r="E71" s="100">
        <f>+C71/D71</f>
        <v>4.4826936666666661</v>
      </c>
      <c r="F71" s="34"/>
      <c r="G71" s="93"/>
      <c r="H71" s="36"/>
      <c r="I71" s="36"/>
      <c r="J71" s="19"/>
    </row>
    <row r="72" spans="2:13" x14ac:dyDescent="0.25">
      <c r="B72" s="94"/>
      <c r="C72" s="95"/>
      <c r="D72" s="95"/>
      <c r="E72" s="100"/>
      <c r="F72" s="34"/>
      <c r="G72" s="93"/>
      <c r="H72" s="36"/>
      <c r="I72" s="36"/>
      <c r="J72" s="19"/>
    </row>
    <row r="73" spans="2:13" ht="13.5" thickBot="1" x14ac:dyDescent="0.3">
      <c r="B73" s="94" t="s">
        <v>125</v>
      </c>
      <c r="C73" s="95">
        <f>+F65</f>
        <v>77</v>
      </c>
      <c r="D73" s="95">
        <f>+D58</f>
        <v>240</v>
      </c>
      <c r="E73" s="100">
        <f>+C73/D73</f>
        <v>0.32083333333333336</v>
      </c>
      <c r="F73" s="34"/>
      <c r="G73" s="93"/>
      <c r="H73" s="36"/>
      <c r="I73" s="36"/>
      <c r="J73" s="19"/>
    </row>
    <row r="74" spans="2:13" ht="13.5" thickBot="1" x14ac:dyDescent="0.3">
      <c r="B74" s="94" t="s">
        <v>126</v>
      </c>
      <c r="C74" s="95">
        <f>+F56</f>
        <v>132.44</v>
      </c>
      <c r="D74" s="95">
        <f>+D73</f>
        <v>240</v>
      </c>
      <c r="E74" s="96">
        <f>+C74/D74</f>
        <v>0.55183333333333329</v>
      </c>
      <c r="F74" s="34"/>
      <c r="G74" s="93"/>
      <c r="H74" s="36"/>
      <c r="I74" s="36"/>
      <c r="J74" s="19"/>
    </row>
    <row r="75" spans="2:13" ht="13.5" thickBot="1" x14ac:dyDescent="0.3">
      <c r="B75" s="58"/>
      <c r="C75" s="59"/>
      <c r="D75" s="59"/>
      <c r="E75" s="100"/>
      <c r="F75" s="34"/>
      <c r="G75" s="93"/>
      <c r="H75" s="36"/>
      <c r="I75" s="36"/>
      <c r="J75" s="19"/>
    </row>
    <row r="76" spans="2:13" ht="13.5" thickBot="1" x14ac:dyDescent="0.3">
      <c r="B76" s="94" t="s">
        <v>127</v>
      </c>
      <c r="C76" s="95">
        <f>+F54</f>
        <v>13.389999999999999</v>
      </c>
      <c r="D76" s="95">
        <f>+D74</f>
        <v>240</v>
      </c>
      <c r="E76" s="96">
        <f>+C76/D76</f>
        <v>5.5791666666666663E-2</v>
      </c>
      <c r="F76" s="34"/>
      <c r="G76" s="93"/>
      <c r="H76" s="36"/>
      <c r="I76" s="36"/>
      <c r="J76" s="36"/>
    </row>
    <row r="77" spans="2:13" ht="13.5" thickBot="1" x14ac:dyDescent="0.3">
      <c r="B77" s="58"/>
      <c r="C77" s="59"/>
      <c r="D77" s="59"/>
      <c r="E77" s="100"/>
      <c r="F77" s="34"/>
      <c r="G77" s="93"/>
      <c r="H77" s="36"/>
      <c r="I77" s="36"/>
    </row>
    <row r="78" spans="2:13" ht="13.5" thickBot="1" x14ac:dyDescent="0.3">
      <c r="B78" s="259" t="s">
        <v>128</v>
      </c>
      <c r="C78" s="260"/>
      <c r="D78" s="261"/>
      <c r="E78" s="96">
        <f>+E69+E74</f>
        <v>4.8919333333333324</v>
      </c>
      <c r="G78" s="34"/>
      <c r="H78" s="93"/>
      <c r="I78" s="36"/>
      <c r="J78" s="100"/>
    </row>
    <row r="79" spans="2:13" x14ac:dyDescent="0.25">
      <c r="I79" s="93"/>
      <c r="J79" s="19"/>
    </row>
    <row r="80" spans="2:13" ht="13.5" thickBot="1" x14ac:dyDescent="0.3">
      <c r="B80" s="258" t="s">
        <v>129</v>
      </c>
      <c r="C80" s="258"/>
      <c r="D80" s="258"/>
      <c r="E80" s="258"/>
      <c r="F80" s="258"/>
      <c r="G80" s="34"/>
      <c r="H80" s="93"/>
      <c r="J80" s="19"/>
    </row>
    <row r="81" spans="1:10" ht="13.5" thickBot="1" x14ac:dyDescent="0.3">
      <c r="B81" s="94" t="s">
        <v>123</v>
      </c>
      <c r="C81" s="95">
        <f>+C69</f>
        <v>1041.6239999999998</v>
      </c>
      <c r="D81" s="95">
        <f>+D60</f>
        <v>1</v>
      </c>
      <c r="E81" s="96">
        <f>+C81/D81</f>
        <v>1041.6239999999998</v>
      </c>
      <c r="F81" s="34"/>
      <c r="G81" s="93"/>
      <c r="H81" s="36"/>
      <c r="I81" s="93"/>
      <c r="J81" s="19"/>
    </row>
    <row r="82" spans="1:10" x14ac:dyDescent="0.25">
      <c r="B82" s="97"/>
      <c r="C82" s="98"/>
      <c r="D82" s="99"/>
      <c r="E82" s="82"/>
      <c r="F82" s="34"/>
      <c r="G82" s="93"/>
      <c r="H82" s="36"/>
      <c r="I82" s="36"/>
      <c r="J82" s="19"/>
    </row>
    <row r="83" spans="1:10" x14ac:dyDescent="0.25">
      <c r="B83" s="94" t="s">
        <v>124</v>
      </c>
      <c r="C83" s="95">
        <f>+C71</f>
        <v>1075.8464799999999</v>
      </c>
      <c r="D83" s="95">
        <f>+D60</f>
        <v>1</v>
      </c>
      <c r="E83" s="100">
        <f>+C83/D83</f>
        <v>1075.8464799999999</v>
      </c>
      <c r="F83" s="34"/>
      <c r="G83" s="93"/>
      <c r="H83" s="36"/>
      <c r="I83" s="36"/>
      <c r="J83" s="19"/>
    </row>
    <row r="84" spans="1:10" x14ac:dyDescent="0.25">
      <c r="B84" s="94"/>
      <c r="C84" s="95"/>
      <c r="D84" s="95"/>
      <c r="E84" s="100"/>
      <c r="F84" s="34"/>
      <c r="G84" s="93"/>
      <c r="H84" s="36"/>
      <c r="I84" s="36"/>
      <c r="J84" s="19"/>
    </row>
    <row r="85" spans="1:10" ht="13.5" thickBot="1" x14ac:dyDescent="0.3">
      <c r="B85" s="94" t="s">
        <v>126</v>
      </c>
      <c r="C85" s="95">
        <f>+C73</f>
        <v>77</v>
      </c>
      <c r="D85" s="95">
        <f>+D60</f>
        <v>1</v>
      </c>
      <c r="E85" s="100">
        <f>+C85/D85</f>
        <v>77</v>
      </c>
      <c r="F85" s="102"/>
      <c r="G85" s="92"/>
      <c r="H85" s="18"/>
      <c r="I85" s="36"/>
    </row>
    <row r="86" spans="1:10" ht="13.5" thickBot="1" x14ac:dyDescent="0.3">
      <c r="B86" s="94" t="s">
        <v>126</v>
      </c>
      <c r="C86" s="95">
        <f>+C74</f>
        <v>132.44</v>
      </c>
      <c r="D86" s="95">
        <f>+D85</f>
        <v>1</v>
      </c>
      <c r="E86" s="96">
        <f>+C86/D86</f>
        <v>132.44</v>
      </c>
      <c r="F86" s="101"/>
      <c r="G86" s="92"/>
      <c r="H86" s="18"/>
      <c r="I86" s="18"/>
    </row>
    <row r="87" spans="1:10" x14ac:dyDescent="0.25">
      <c r="I87" s="18"/>
    </row>
    <row r="88" spans="1:10" x14ac:dyDescent="0.2">
      <c r="A88" s="262"/>
      <c r="B88" s="262"/>
      <c r="C88" s="103"/>
      <c r="D88" s="103"/>
      <c r="E88" s="104"/>
      <c r="G88" s="105"/>
    </row>
    <row r="89" spans="1:10" x14ac:dyDescent="0.2">
      <c r="A89" s="37"/>
      <c r="B89" s="106"/>
      <c r="C89" s="107"/>
      <c r="D89" s="107"/>
      <c r="E89" s="108"/>
      <c r="G89" s="105"/>
    </row>
    <row r="90" spans="1:10" x14ac:dyDescent="0.2">
      <c r="A90" s="37"/>
      <c r="B90" s="106"/>
      <c r="C90" s="109"/>
      <c r="D90" s="109"/>
      <c r="E90" s="37"/>
      <c r="G90" s="105"/>
    </row>
    <row r="91" spans="1:10" x14ac:dyDescent="0.2">
      <c r="A91" s="37"/>
      <c r="B91" s="106"/>
      <c r="C91" s="110"/>
      <c r="D91" s="110"/>
      <c r="E91" s="37"/>
      <c r="G91" s="105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221B2-E1AE-40DB-AB54-8BD55CC21B85}">
  <sheetPr>
    <pageSetUpPr fitToPage="1"/>
  </sheetPr>
  <dimension ref="A1:K43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3.28515625" bestFit="1" customWidth="1"/>
    <col min="2" max="2" width="19.42578125" customWidth="1"/>
    <col min="3" max="3" width="53.140625" customWidth="1"/>
    <col min="4" max="4" width="19.140625" customWidth="1"/>
    <col min="5" max="5" width="15.140625" customWidth="1"/>
    <col min="6" max="6" width="12.5703125" customWidth="1"/>
    <col min="7" max="7" width="21.7109375" customWidth="1"/>
    <col min="8" max="8" width="18.85546875" customWidth="1"/>
    <col min="9" max="9" width="23.42578125" bestFit="1" customWidth="1"/>
    <col min="10" max="10" width="12" bestFit="1" customWidth="1"/>
  </cols>
  <sheetData>
    <row r="1" spans="1:11" ht="17.25" x14ac:dyDescent="0.3">
      <c r="A1" s="199"/>
      <c r="B1" s="200"/>
      <c r="C1" s="205" t="s">
        <v>30</v>
      </c>
      <c r="D1" s="205"/>
      <c r="E1" s="205"/>
      <c r="F1" s="205"/>
      <c r="G1" s="205"/>
      <c r="H1" s="3" t="s">
        <v>29</v>
      </c>
      <c r="I1" s="4" t="s">
        <v>134</v>
      </c>
    </row>
    <row r="2" spans="1:11" ht="17.25" x14ac:dyDescent="0.3">
      <c r="A2" s="201"/>
      <c r="B2" s="202"/>
      <c r="C2" s="206" t="s">
        <v>28</v>
      </c>
      <c r="D2" s="206"/>
      <c r="E2" s="206"/>
      <c r="F2" s="206"/>
      <c r="G2" s="206"/>
      <c r="H2" s="5" t="s">
        <v>27</v>
      </c>
      <c r="I2" s="6" t="s">
        <v>136</v>
      </c>
    </row>
    <row r="3" spans="1:11" ht="33.75" customHeight="1" thickBot="1" x14ac:dyDescent="0.3">
      <c r="A3" s="201"/>
      <c r="B3" s="202"/>
      <c r="C3" s="207" t="s">
        <v>133</v>
      </c>
      <c r="D3" s="207"/>
      <c r="E3" s="207"/>
      <c r="F3" s="207"/>
      <c r="G3" s="207"/>
      <c r="H3" s="208" t="s">
        <v>26</v>
      </c>
      <c r="I3" s="190">
        <v>46062</v>
      </c>
    </row>
    <row r="4" spans="1:11" ht="17.25" x14ac:dyDescent="0.3">
      <c r="A4" s="201"/>
      <c r="B4" s="202"/>
      <c r="C4" s="7" t="s">
        <v>25</v>
      </c>
      <c r="D4" s="193" t="s">
        <v>34</v>
      </c>
      <c r="E4" s="194"/>
      <c r="F4" s="194"/>
      <c r="G4" s="195"/>
      <c r="H4" s="209"/>
      <c r="I4" s="191"/>
    </row>
    <row r="5" spans="1:11" ht="18" thickBot="1" x14ac:dyDescent="0.35">
      <c r="A5" s="203"/>
      <c r="B5" s="204"/>
      <c r="C5" s="8" t="s">
        <v>24</v>
      </c>
      <c r="D5" s="196" t="s">
        <v>38</v>
      </c>
      <c r="E5" s="197"/>
      <c r="F5" s="197"/>
      <c r="G5" s="198"/>
      <c r="H5" s="210"/>
      <c r="I5" s="192"/>
    </row>
    <row r="6" spans="1:11" ht="16.5" thickBot="1" x14ac:dyDescent="0.3">
      <c r="A6" s="181" t="s">
        <v>23</v>
      </c>
      <c r="B6" s="181"/>
      <c r="C6" s="181"/>
      <c r="D6" s="182" t="s">
        <v>35</v>
      </c>
      <c r="E6" s="182"/>
      <c r="F6" s="182"/>
      <c r="G6" s="183" t="s">
        <v>22</v>
      </c>
      <c r="H6" s="183"/>
      <c r="I6" s="2" t="s">
        <v>35</v>
      </c>
    </row>
    <row r="7" spans="1:11" ht="27.75" customHeight="1" x14ac:dyDescent="0.25">
      <c r="A7" s="184" t="s">
        <v>21</v>
      </c>
      <c r="B7" s="186" t="s">
        <v>31</v>
      </c>
      <c r="C7" s="188" t="s">
        <v>20</v>
      </c>
      <c r="D7" s="188" t="s">
        <v>19</v>
      </c>
      <c r="E7" s="188" t="s">
        <v>18</v>
      </c>
      <c r="F7" s="188"/>
      <c r="G7" s="188" t="s">
        <v>17</v>
      </c>
      <c r="H7" s="188"/>
      <c r="I7" s="9" t="s">
        <v>16</v>
      </c>
    </row>
    <row r="8" spans="1:11" ht="39" customHeight="1" thickBot="1" x14ac:dyDescent="0.3">
      <c r="A8" s="185"/>
      <c r="B8" s="187"/>
      <c r="C8" s="189"/>
      <c r="D8" s="189"/>
      <c r="E8" s="10" t="s">
        <v>13</v>
      </c>
      <c r="F8" s="11" t="s">
        <v>15</v>
      </c>
      <c r="G8" s="10" t="s">
        <v>13</v>
      </c>
      <c r="H8" s="11" t="s">
        <v>15</v>
      </c>
      <c r="I8" s="12" t="s">
        <v>14</v>
      </c>
    </row>
    <row r="9" spans="1:11" ht="21" thickBot="1" x14ac:dyDescent="0.35">
      <c r="A9" s="148"/>
      <c r="B9" s="149"/>
      <c r="C9" s="112" t="s">
        <v>36</v>
      </c>
      <c r="D9" s="111"/>
      <c r="E9" s="113"/>
      <c r="F9" s="114"/>
      <c r="G9" s="113"/>
      <c r="H9" s="114"/>
      <c r="I9" s="115"/>
    </row>
    <row r="10" spans="1:11" ht="20.25" x14ac:dyDescent="0.3">
      <c r="A10" s="150"/>
      <c r="B10" s="119" t="s">
        <v>42</v>
      </c>
      <c r="C10" s="118" t="s">
        <v>43</v>
      </c>
      <c r="D10" s="151" t="s">
        <v>44</v>
      </c>
      <c r="E10" s="152">
        <v>2075</v>
      </c>
      <c r="F10" s="118"/>
      <c r="G10" s="153"/>
      <c r="H10" s="116"/>
      <c r="I10" s="115"/>
      <c r="J10" s="1"/>
      <c r="K10" s="1"/>
    </row>
    <row r="11" spans="1:11" ht="20.25" x14ac:dyDescent="0.3">
      <c r="A11" s="150"/>
      <c r="B11" s="119" t="s">
        <v>45</v>
      </c>
      <c r="C11" s="118" t="s">
        <v>46</v>
      </c>
      <c r="D11" s="129" t="s">
        <v>47</v>
      </c>
      <c r="E11" s="154">
        <v>2075</v>
      </c>
      <c r="F11" s="118"/>
      <c r="G11" s="153"/>
      <c r="H11" s="116"/>
      <c r="I11" s="115"/>
      <c r="J11" s="1"/>
      <c r="K11" s="1"/>
    </row>
    <row r="12" spans="1:11" ht="20.25" x14ac:dyDescent="0.3">
      <c r="A12" s="150" t="s">
        <v>68</v>
      </c>
      <c r="B12" s="150" t="s">
        <v>69</v>
      </c>
      <c r="C12" s="155" t="s">
        <v>70</v>
      </c>
      <c r="D12" s="129" t="s">
        <v>71</v>
      </c>
      <c r="E12" s="154">
        <v>2075</v>
      </c>
      <c r="F12" s="118"/>
      <c r="G12" s="153"/>
      <c r="H12" s="116"/>
      <c r="I12" s="115"/>
      <c r="J12" s="1"/>
      <c r="K12" s="1"/>
    </row>
    <row r="13" spans="1:11" ht="20.25" x14ac:dyDescent="0.3">
      <c r="A13" s="150"/>
      <c r="B13" s="119" t="s">
        <v>48</v>
      </c>
      <c r="C13" s="118" t="s">
        <v>49</v>
      </c>
      <c r="D13" s="129" t="s">
        <v>50</v>
      </c>
      <c r="E13" s="154">
        <v>65</v>
      </c>
      <c r="F13" s="118"/>
      <c r="G13" s="156"/>
      <c r="H13" s="116"/>
      <c r="I13" s="115"/>
      <c r="J13" s="1"/>
    </row>
    <row r="14" spans="1:11" ht="20.25" x14ac:dyDescent="0.3">
      <c r="A14" s="118"/>
      <c r="B14" s="119" t="s">
        <v>51</v>
      </c>
      <c r="C14" s="118" t="s">
        <v>52</v>
      </c>
      <c r="D14" s="129" t="s">
        <v>53</v>
      </c>
      <c r="E14" s="154">
        <v>1500</v>
      </c>
      <c r="F14" s="118"/>
      <c r="G14" s="156"/>
      <c r="H14" s="116"/>
      <c r="I14" s="115"/>
      <c r="J14" s="1"/>
    </row>
    <row r="15" spans="1:11" ht="20.25" x14ac:dyDescent="0.3">
      <c r="A15" s="118"/>
      <c r="B15" s="119" t="s">
        <v>54</v>
      </c>
      <c r="C15" s="118" t="s">
        <v>55</v>
      </c>
      <c r="D15" s="129" t="s">
        <v>33</v>
      </c>
      <c r="E15" s="154">
        <v>1830</v>
      </c>
      <c r="F15" s="118"/>
      <c r="G15" s="157"/>
      <c r="H15" s="124" t="s">
        <v>56</v>
      </c>
      <c r="I15" s="115"/>
      <c r="J15" s="1"/>
    </row>
    <row r="16" spans="1:11" ht="20.25" x14ac:dyDescent="0.3">
      <c r="A16" s="118"/>
      <c r="B16" s="119" t="s">
        <v>57</v>
      </c>
      <c r="C16" s="118" t="s">
        <v>58</v>
      </c>
      <c r="D16" s="129" t="s">
        <v>33</v>
      </c>
      <c r="E16" s="154">
        <v>500</v>
      </c>
      <c r="F16" s="118"/>
      <c r="G16" s="156"/>
      <c r="H16" s="124"/>
      <c r="I16" s="115"/>
      <c r="J16" s="1"/>
    </row>
    <row r="17" spans="1:11" ht="20.25" x14ac:dyDescent="0.3">
      <c r="A17" s="118"/>
      <c r="B17" s="119" t="s">
        <v>59</v>
      </c>
      <c r="C17" s="118" t="s">
        <v>60</v>
      </c>
      <c r="D17" s="129" t="s">
        <v>61</v>
      </c>
      <c r="E17" s="154">
        <v>15</v>
      </c>
      <c r="F17" s="118"/>
      <c r="G17" s="156"/>
      <c r="H17" s="124"/>
      <c r="I17" s="115"/>
      <c r="J17" s="1"/>
    </row>
    <row r="18" spans="1:11" ht="20.25" x14ac:dyDescent="0.3">
      <c r="A18" s="118"/>
      <c r="B18" s="118"/>
      <c r="C18" s="158"/>
      <c r="D18" s="159"/>
      <c r="E18" s="120"/>
      <c r="F18" s="125"/>
      <c r="G18" s="156"/>
      <c r="H18" s="124"/>
      <c r="I18" s="115"/>
      <c r="J18" s="1"/>
    </row>
    <row r="19" spans="1:11" ht="20.25" x14ac:dyDescent="0.3">
      <c r="A19" s="160"/>
      <c r="B19" s="161"/>
      <c r="C19" s="162" t="s">
        <v>62</v>
      </c>
      <c r="D19" s="127"/>
      <c r="E19" s="120"/>
      <c r="F19" s="125"/>
      <c r="G19" s="118"/>
      <c r="H19" s="124"/>
      <c r="I19" s="115"/>
    </row>
    <row r="20" spans="1:11" ht="20.25" x14ac:dyDescent="0.3">
      <c r="A20" s="118"/>
      <c r="B20" s="118"/>
      <c r="C20" s="163"/>
      <c r="D20" s="129"/>
      <c r="E20" s="124"/>
      <c r="F20" s="125"/>
      <c r="G20" s="122"/>
      <c r="H20" s="122"/>
      <c r="I20" s="115"/>
    </row>
    <row r="21" spans="1:11" ht="20.25" x14ac:dyDescent="0.3">
      <c r="A21" s="150"/>
      <c r="B21" s="150"/>
      <c r="C21" s="155"/>
      <c r="D21" s="123"/>
      <c r="E21" s="124"/>
      <c r="F21" s="125"/>
      <c r="G21" s="124"/>
      <c r="H21" s="116"/>
      <c r="I21" s="115"/>
    </row>
    <row r="22" spans="1:11" ht="20.25" x14ac:dyDescent="0.3">
      <c r="A22" s="150"/>
      <c r="B22" s="150"/>
      <c r="C22" s="164" t="s">
        <v>39</v>
      </c>
      <c r="D22" s="123"/>
      <c r="E22" s="124"/>
      <c r="F22" s="116"/>
      <c r="G22" s="124"/>
      <c r="H22" s="116"/>
      <c r="I22" s="115"/>
    </row>
    <row r="23" spans="1:11" ht="20.25" x14ac:dyDescent="0.3">
      <c r="A23" s="150"/>
      <c r="B23" s="119" t="s">
        <v>40</v>
      </c>
      <c r="C23" s="118" t="s">
        <v>41</v>
      </c>
      <c r="D23" s="123"/>
      <c r="E23" s="128"/>
      <c r="F23" s="117"/>
      <c r="G23" s="118"/>
      <c r="H23" s="116"/>
      <c r="I23" s="115"/>
    </row>
    <row r="24" spans="1:11" ht="20.25" x14ac:dyDescent="0.3">
      <c r="A24" s="119"/>
      <c r="B24" s="166"/>
      <c r="C24" s="118"/>
      <c r="D24" s="116"/>
      <c r="E24" s="124"/>
      <c r="F24" s="125"/>
      <c r="G24" s="165"/>
      <c r="H24" s="126"/>
      <c r="I24" s="115"/>
    </row>
    <row r="25" spans="1:11" ht="20.25" x14ac:dyDescent="0.3">
      <c r="A25" s="130"/>
      <c r="B25" s="131"/>
      <c r="C25" s="132"/>
      <c r="D25" s="126"/>
      <c r="E25" s="126"/>
      <c r="F25" s="121"/>
      <c r="G25" s="126"/>
      <c r="H25" s="126"/>
      <c r="I25" s="115"/>
    </row>
    <row r="26" spans="1:11" ht="21" thickBot="1" x14ac:dyDescent="0.35">
      <c r="A26" s="133"/>
      <c r="B26" s="134"/>
      <c r="C26" s="135"/>
      <c r="D26" s="135"/>
      <c r="E26" s="136"/>
      <c r="F26" s="137"/>
      <c r="G26" s="135"/>
      <c r="H26" s="135"/>
      <c r="I26" s="138"/>
    </row>
    <row r="27" spans="1:11" ht="21" thickBot="1" x14ac:dyDescent="0.35">
      <c r="A27" s="139"/>
      <c r="B27" s="140"/>
      <c r="C27" s="141"/>
      <c r="D27" s="142" t="s">
        <v>13</v>
      </c>
      <c r="E27" s="143" t="s">
        <v>12</v>
      </c>
      <c r="F27" s="144"/>
      <c r="G27" s="141"/>
      <c r="H27" s="141"/>
      <c r="I27" s="145"/>
      <c r="J27">
        <f>D28*0.7</f>
        <v>6300</v>
      </c>
      <c r="K27" s="13"/>
    </row>
    <row r="28" spans="1:11" ht="20.25" x14ac:dyDescent="0.3">
      <c r="A28" s="169" t="s">
        <v>11</v>
      </c>
      <c r="B28" s="170"/>
      <c r="C28" s="171"/>
      <c r="D28" s="167">
        <v>9000</v>
      </c>
      <c r="E28" s="146" t="s">
        <v>1</v>
      </c>
      <c r="F28" s="172" t="s">
        <v>10</v>
      </c>
      <c r="G28" s="172"/>
      <c r="H28" s="173"/>
      <c r="I28" s="174"/>
    </row>
    <row r="29" spans="1:11" ht="20.25" x14ac:dyDescent="0.3">
      <c r="A29" s="175" t="s">
        <v>9</v>
      </c>
      <c r="B29" s="176"/>
      <c r="C29" s="177"/>
      <c r="D29" s="167">
        <v>30</v>
      </c>
      <c r="E29" s="116" t="s">
        <v>8</v>
      </c>
      <c r="F29" s="178" t="s">
        <v>7</v>
      </c>
      <c r="G29" s="178"/>
      <c r="H29" s="179"/>
      <c r="I29" s="180"/>
      <c r="J29">
        <f>D28/7000</f>
        <v>1.2857142857142858</v>
      </c>
    </row>
    <row r="30" spans="1:11" ht="20.25" x14ac:dyDescent="0.3">
      <c r="A30" s="175" t="s">
        <v>6</v>
      </c>
      <c r="B30" s="176"/>
      <c r="C30" s="177"/>
      <c r="D30" s="167">
        <v>1</v>
      </c>
      <c r="E30" s="116" t="s">
        <v>37</v>
      </c>
      <c r="F30" s="178" t="s">
        <v>5</v>
      </c>
      <c r="G30" s="178"/>
      <c r="H30" s="179"/>
      <c r="I30" s="180"/>
    </row>
    <row r="31" spans="1:11" ht="20.25" x14ac:dyDescent="0.3">
      <c r="A31" s="175" t="s">
        <v>4</v>
      </c>
      <c r="B31" s="176"/>
      <c r="C31" s="177"/>
      <c r="D31" s="167">
        <v>9000</v>
      </c>
      <c r="E31" s="116" t="s">
        <v>1</v>
      </c>
      <c r="F31" s="211" t="s">
        <v>3</v>
      </c>
      <c r="G31" s="212"/>
      <c r="H31" s="179"/>
      <c r="I31" s="180"/>
      <c r="J31">
        <f>D28/1.428</f>
        <v>6302.5210084033615</v>
      </c>
    </row>
    <row r="32" spans="1:11" ht="21" thickBot="1" x14ac:dyDescent="0.35">
      <c r="A32" s="213" t="s">
        <v>2</v>
      </c>
      <c r="B32" s="214"/>
      <c r="C32" s="215"/>
      <c r="D32" s="168">
        <f>SUM(E10:E17)-D28</f>
        <v>1135</v>
      </c>
      <c r="E32" s="147" t="s">
        <v>1</v>
      </c>
      <c r="F32" s="216"/>
      <c r="G32" s="216"/>
      <c r="H32" s="217"/>
      <c r="I32" s="218"/>
    </row>
    <row r="33" spans="1:9" ht="21" thickBot="1" x14ac:dyDescent="0.35">
      <c r="A33" s="219" t="s">
        <v>0</v>
      </c>
      <c r="B33" s="220"/>
      <c r="C33" s="220"/>
      <c r="D33" s="220"/>
      <c r="E33" s="220"/>
      <c r="F33" s="220"/>
      <c r="G33" s="220"/>
      <c r="H33" s="220"/>
      <c r="I33" s="221"/>
    </row>
    <row r="34" spans="1:9" ht="20.25" customHeight="1" x14ac:dyDescent="0.25">
      <c r="A34" s="222" t="s">
        <v>63</v>
      </c>
      <c r="B34" s="223"/>
      <c r="C34" s="223"/>
      <c r="D34" s="223"/>
      <c r="E34" s="223"/>
      <c r="F34" s="223"/>
      <c r="G34" s="223"/>
      <c r="H34" s="223"/>
      <c r="I34" s="224"/>
    </row>
    <row r="35" spans="1:9" ht="43.5" customHeight="1" x14ac:dyDescent="0.25">
      <c r="A35" s="225" t="s">
        <v>64</v>
      </c>
      <c r="B35" s="226"/>
      <c r="C35" s="226"/>
      <c r="D35" s="226"/>
      <c r="E35" s="226"/>
      <c r="F35" s="226"/>
      <c r="G35" s="226"/>
      <c r="H35" s="226"/>
      <c r="I35" s="227"/>
    </row>
    <row r="36" spans="1:9" ht="48" customHeight="1" x14ac:dyDescent="0.25">
      <c r="A36" s="228" t="s">
        <v>65</v>
      </c>
      <c r="B36" s="228"/>
      <c r="C36" s="228"/>
      <c r="D36" s="228"/>
      <c r="E36" s="228"/>
      <c r="F36" s="228"/>
      <c r="G36" s="228"/>
      <c r="H36" s="228"/>
      <c r="I36" s="228"/>
    </row>
    <row r="37" spans="1:9" ht="20.25" x14ac:dyDescent="0.25">
      <c r="A37" s="229" t="s">
        <v>66</v>
      </c>
      <c r="B37" s="230"/>
      <c r="C37" s="230"/>
      <c r="D37" s="230"/>
      <c r="E37" s="230"/>
      <c r="F37" s="230"/>
      <c r="G37" s="230"/>
      <c r="H37" s="230"/>
      <c r="I37" s="231"/>
    </row>
    <row r="38" spans="1:9" ht="20.25" x14ac:dyDescent="0.25">
      <c r="A38" s="240" t="s">
        <v>67</v>
      </c>
      <c r="B38" s="241"/>
      <c r="C38" s="241"/>
      <c r="D38" s="241"/>
      <c r="E38" s="241"/>
      <c r="F38" s="241"/>
      <c r="G38" s="241"/>
      <c r="H38" s="241"/>
      <c r="I38" s="242"/>
    </row>
    <row r="39" spans="1:9" ht="20.25" x14ac:dyDescent="0.3">
      <c r="A39" s="233"/>
      <c r="B39" s="234"/>
      <c r="C39" s="234"/>
      <c r="D39" s="234"/>
      <c r="E39" s="234"/>
      <c r="F39" s="234"/>
      <c r="G39" s="234"/>
      <c r="H39" s="234"/>
      <c r="I39" s="235"/>
    </row>
    <row r="40" spans="1:9" ht="20.25" x14ac:dyDescent="0.3">
      <c r="A40" s="236"/>
      <c r="B40" s="237"/>
      <c r="C40" s="237"/>
      <c r="D40" s="237"/>
      <c r="E40" s="237"/>
      <c r="F40" s="237"/>
      <c r="G40" s="237"/>
      <c r="H40" s="237"/>
      <c r="I40" s="238"/>
    </row>
    <row r="41" spans="1:9" ht="20.25" x14ac:dyDescent="0.3">
      <c r="A41" s="239" t="s">
        <v>32</v>
      </c>
      <c r="B41" s="239"/>
      <c r="C41" s="239"/>
      <c r="D41" s="239"/>
      <c r="E41" s="239"/>
      <c r="F41" s="239"/>
      <c r="G41" s="239"/>
      <c r="H41" s="239"/>
      <c r="I41" s="239"/>
    </row>
    <row r="42" spans="1:9" ht="20.25" x14ac:dyDescent="0.3">
      <c r="A42" s="232" t="s">
        <v>135</v>
      </c>
      <c r="B42" s="232"/>
      <c r="C42" s="232"/>
      <c r="D42" s="232"/>
      <c r="E42" s="232"/>
      <c r="F42" s="232"/>
      <c r="G42" s="232"/>
      <c r="H42" s="232"/>
      <c r="I42" s="232"/>
    </row>
    <row r="43" spans="1:9" ht="20.25" x14ac:dyDescent="0.3">
      <c r="A43" s="232"/>
      <c r="B43" s="232"/>
      <c r="C43" s="232"/>
      <c r="D43" s="232"/>
      <c r="E43" s="232"/>
      <c r="F43" s="232"/>
      <c r="G43" s="232"/>
      <c r="H43" s="232"/>
      <c r="I43" s="232"/>
    </row>
  </sheetData>
  <mergeCells count="43">
    <mergeCell ref="A38:I38"/>
    <mergeCell ref="A43:I43"/>
    <mergeCell ref="A39:I39"/>
    <mergeCell ref="A40:I40"/>
    <mergeCell ref="A41:I41"/>
    <mergeCell ref="A42:I42"/>
    <mergeCell ref="A33:I33"/>
    <mergeCell ref="A34:I34"/>
    <mergeCell ref="A35:I35"/>
    <mergeCell ref="A36:I36"/>
    <mergeCell ref="A37:I37"/>
    <mergeCell ref="H30:I30"/>
    <mergeCell ref="A31:C31"/>
    <mergeCell ref="F31:G31"/>
    <mergeCell ref="H31:I31"/>
    <mergeCell ref="A32:C32"/>
    <mergeCell ref="F32:G32"/>
    <mergeCell ref="H32:I32"/>
    <mergeCell ref="A30:C30"/>
    <mergeCell ref="F30:G30"/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8:C28"/>
    <mergeCell ref="F28:G28"/>
    <mergeCell ref="H28:I28"/>
    <mergeCell ref="A29:C29"/>
    <mergeCell ref="F29:G29"/>
    <mergeCell ref="H29:I29"/>
  </mergeCells>
  <pageMargins left="0.25" right="0.25" top="0.75" bottom="0.75" header="0.3" footer="0.3"/>
  <pageSetup scale="5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90114-1415-4B16-94CD-C8533F82702C}">
  <dimension ref="A1:Q93"/>
  <sheetViews>
    <sheetView topLeftCell="A58" workbookViewId="0">
      <selection activeCell="B68" sqref="B68:E68"/>
    </sheetView>
  </sheetViews>
  <sheetFormatPr baseColWidth="10" defaultColWidth="8.42578125" defaultRowHeight="12.75" x14ac:dyDescent="0.25"/>
  <cols>
    <col min="1" max="1" width="10" style="19" bestFit="1" customWidth="1"/>
    <col min="2" max="2" width="44.28515625" style="19" bestFit="1" customWidth="1"/>
    <col min="3" max="3" width="10.42578125" style="19" bestFit="1" customWidth="1"/>
    <col min="4" max="4" width="10.42578125" style="19" customWidth="1"/>
    <col min="5" max="5" width="11" style="19" customWidth="1"/>
    <col min="6" max="6" width="9.5703125" style="19" bestFit="1" customWidth="1"/>
    <col min="7" max="7" width="10.85546875" style="101" customWidth="1"/>
    <col min="8" max="8" width="10.42578125" style="92" bestFit="1" customWidth="1"/>
    <col min="9" max="9" width="4.5703125" style="92" customWidth="1"/>
    <col min="10" max="10" width="1.85546875" style="18" customWidth="1"/>
    <col min="11" max="11" width="7" style="19" bestFit="1" customWidth="1"/>
    <col min="12" max="12" width="6.28515625" style="19" customWidth="1"/>
    <col min="13" max="13" width="20.42578125" style="19" customWidth="1"/>
    <col min="14" max="14" width="6.42578125" style="19" bestFit="1" customWidth="1"/>
    <col min="15" max="16" width="8.42578125" style="19"/>
    <col min="17" max="17" width="3.28515625" style="19" customWidth="1"/>
    <col min="18" max="16384" width="8.42578125" style="19"/>
  </cols>
  <sheetData>
    <row r="1" spans="1:10" ht="27.75" customHeight="1" x14ac:dyDescent="0.25">
      <c r="A1" s="14"/>
      <c r="B1" s="14"/>
      <c r="C1" s="14"/>
      <c r="D1" s="14"/>
      <c r="E1" s="15" t="s">
        <v>79</v>
      </c>
      <c r="F1" s="16" t="s">
        <v>80</v>
      </c>
      <c r="G1" s="16" t="s">
        <v>81</v>
      </c>
      <c r="H1" s="16" t="s">
        <v>82</v>
      </c>
      <c r="I1" s="17"/>
    </row>
    <row r="2" spans="1:10" ht="30.75" customHeight="1" x14ac:dyDescent="0.25">
      <c r="A2" s="14"/>
      <c r="B2" s="14"/>
      <c r="C2" s="14"/>
      <c r="D2" s="14"/>
      <c r="E2" s="20">
        <f>IFERROR(O64,"")</f>
        <v>48202.25</v>
      </c>
      <c r="F2" s="20">
        <f>IFERROR(H55,"")</f>
        <v>43401</v>
      </c>
      <c r="G2" s="20">
        <f>IFERROR(H56,"")</f>
        <v>1.25</v>
      </c>
      <c r="H2" s="20">
        <f>IFERROR(H58,"")</f>
        <v>2310</v>
      </c>
      <c r="I2" s="21"/>
    </row>
    <row r="3" spans="1:10" ht="15" customHeight="1" x14ac:dyDescent="0.25">
      <c r="A3" s="14"/>
      <c r="B3" s="14"/>
      <c r="C3" s="14"/>
      <c r="D3" s="14"/>
      <c r="E3" s="14"/>
      <c r="F3" s="22"/>
      <c r="G3" s="22"/>
      <c r="H3" s="22"/>
      <c r="I3" s="22"/>
    </row>
    <row r="4" spans="1:10" ht="24.75" customHeight="1" thickBot="1" x14ac:dyDescent="0.3">
      <c r="A4" s="244"/>
      <c r="B4" s="244"/>
      <c r="C4" s="244"/>
      <c r="D4" s="244"/>
      <c r="E4" s="244"/>
      <c r="F4" s="244"/>
      <c r="G4" s="244"/>
      <c r="H4" s="244"/>
      <c r="I4" s="23"/>
    </row>
    <row r="5" spans="1:10" ht="19.5" customHeight="1" thickBot="1" x14ac:dyDescent="0.3">
      <c r="A5" s="245" t="s">
        <v>83</v>
      </c>
      <c r="B5" s="246"/>
      <c r="C5" s="246"/>
      <c r="D5" s="246"/>
      <c r="E5" s="246"/>
      <c r="F5" s="246"/>
      <c r="G5" s="246"/>
      <c r="H5" s="247"/>
      <c r="I5" s="24"/>
    </row>
    <row r="6" spans="1:10" ht="19.5" thickBot="1" x14ac:dyDescent="0.3">
      <c r="A6" s="24"/>
      <c r="B6" s="24"/>
      <c r="C6" s="24"/>
      <c r="D6" s="24"/>
      <c r="E6" s="24"/>
      <c r="F6" s="248" t="s">
        <v>84</v>
      </c>
      <c r="G6" s="248"/>
      <c r="H6" s="25">
        <f ca="1">TODAY()</f>
        <v>46121</v>
      </c>
      <c r="I6" s="25"/>
    </row>
    <row r="7" spans="1:10" ht="26.25" thickBot="1" x14ac:dyDescent="0.3">
      <c r="A7" s="26" t="s">
        <v>85</v>
      </c>
      <c r="B7" s="27" t="s">
        <v>86</v>
      </c>
      <c r="C7" s="27" t="s">
        <v>85</v>
      </c>
      <c r="D7" s="28" t="s">
        <v>87</v>
      </c>
      <c r="E7" s="28" t="s">
        <v>88</v>
      </c>
      <c r="F7" s="28" t="s">
        <v>89</v>
      </c>
      <c r="G7" s="28" t="s">
        <v>90</v>
      </c>
      <c r="H7" s="29" t="s">
        <v>91</v>
      </c>
      <c r="I7" s="30"/>
    </row>
    <row r="8" spans="1:10" ht="13.5" x14ac:dyDescent="0.25">
      <c r="A8" s="31">
        <v>2075</v>
      </c>
      <c r="B8" s="19" t="s">
        <v>43</v>
      </c>
      <c r="C8" s="32">
        <f>+A8</f>
        <v>2075</v>
      </c>
      <c r="D8" s="33" t="s">
        <v>130</v>
      </c>
      <c r="E8" s="33">
        <v>1.97</v>
      </c>
      <c r="F8" s="33">
        <f>IFERROR(C8*E8,"")</f>
        <v>4087.75</v>
      </c>
      <c r="G8" s="34">
        <f>IFERROR(F8/$F$68,"")</f>
        <v>8.7757112614418084E-2</v>
      </c>
      <c r="H8" s="35" t="s">
        <v>42</v>
      </c>
      <c r="I8" s="35"/>
      <c r="J8" s="36"/>
    </row>
    <row r="9" spans="1:10" ht="13.5" x14ac:dyDescent="0.25">
      <c r="A9" s="31">
        <v>2075</v>
      </c>
      <c r="B9" s="19" t="s">
        <v>46</v>
      </c>
      <c r="C9" s="32">
        <f t="shared" ref="C9:C16" si="0">+A9</f>
        <v>2075</v>
      </c>
      <c r="D9" s="33" t="s">
        <v>130</v>
      </c>
      <c r="E9" s="33">
        <v>0.57999999999999996</v>
      </c>
      <c r="F9" s="33">
        <f t="shared" ref="F9:F16" si="1">IFERROR(C9*E9,"")</f>
        <v>1203.5</v>
      </c>
      <c r="G9" s="34">
        <f>IFERROR(F9/$F$68,"")</f>
        <v>2.5837119449930196E-2</v>
      </c>
      <c r="H9" s="35" t="s">
        <v>45</v>
      </c>
      <c r="I9" s="35"/>
      <c r="J9" s="36"/>
    </row>
    <row r="10" spans="1:10" ht="13.5" x14ac:dyDescent="0.25">
      <c r="A10" s="31">
        <v>2075</v>
      </c>
      <c r="B10" s="19" t="s">
        <v>70</v>
      </c>
      <c r="C10" s="32">
        <f t="shared" si="0"/>
        <v>2075</v>
      </c>
      <c r="D10" s="33" t="s">
        <v>130</v>
      </c>
      <c r="E10" s="33">
        <v>15.4</v>
      </c>
      <c r="F10" s="33">
        <f t="shared" si="1"/>
        <v>31955</v>
      </c>
      <c r="G10" s="34">
        <f>IFERROR(F10/$F$68,"")</f>
        <v>0.68602006815331906</v>
      </c>
      <c r="H10" s="35" t="s">
        <v>69</v>
      </c>
      <c r="I10" s="35"/>
      <c r="J10" s="36"/>
    </row>
    <row r="11" spans="1:10" ht="13.5" x14ac:dyDescent="0.25">
      <c r="A11" s="31">
        <v>65</v>
      </c>
      <c r="B11" s="19" t="s">
        <v>49</v>
      </c>
      <c r="C11" s="32">
        <f t="shared" si="0"/>
        <v>65</v>
      </c>
      <c r="D11" s="33" t="s">
        <v>130</v>
      </c>
      <c r="E11" s="33">
        <v>1.25</v>
      </c>
      <c r="F11" s="33">
        <f t="shared" si="1"/>
        <v>81.25</v>
      </c>
      <c r="G11" s="34">
        <f t="shared" ref="G11:G12" si="2">IFERROR(F11/$F$68,"")</f>
        <v>1.7443007522283578E-3</v>
      </c>
      <c r="H11" s="35" t="s">
        <v>48</v>
      </c>
      <c r="I11" s="35"/>
      <c r="J11" s="36"/>
    </row>
    <row r="12" spans="1:10" ht="13.5" x14ac:dyDescent="0.25">
      <c r="A12" s="31">
        <v>1500</v>
      </c>
      <c r="B12" s="19" t="s">
        <v>52</v>
      </c>
      <c r="C12" s="32">
        <f t="shared" si="0"/>
        <v>1500</v>
      </c>
      <c r="D12" s="33" t="s">
        <v>130</v>
      </c>
      <c r="E12" s="33">
        <v>2.78</v>
      </c>
      <c r="F12" s="33">
        <f t="shared" si="1"/>
        <v>4170</v>
      </c>
      <c r="G12" s="34">
        <f t="shared" si="2"/>
        <v>8.9522881683596942E-2</v>
      </c>
      <c r="H12" s="35" t="s">
        <v>51</v>
      </c>
      <c r="I12" s="35"/>
      <c r="J12" s="36"/>
    </row>
    <row r="13" spans="1:10" ht="13.5" x14ac:dyDescent="0.25">
      <c r="A13" s="31">
        <v>1830</v>
      </c>
      <c r="B13" s="19" t="s">
        <v>55</v>
      </c>
      <c r="C13" s="32">
        <f t="shared" si="0"/>
        <v>1830</v>
      </c>
      <c r="D13" s="33" t="s">
        <v>130</v>
      </c>
      <c r="E13" s="33">
        <v>0.43</v>
      </c>
      <c r="F13" s="33">
        <f t="shared" si="1"/>
        <v>786.9</v>
      </c>
      <c r="G13" s="34">
        <f>IFERROR(F13/$F$68,"")</f>
        <v>1.6893418608350703E-2</v>
      </c>
      <c r="H13" s="35" t="s">
        <v>54</v>
      </c>
      <c r="I13" s="35"/>
      <c r="J13" s="36"/>
    </row>
    <row r="14" spans="1:10" ht="13.5" x14ac:dyDescent="0.25">
      <c r="A14" s="31">
        <v>500</v>
      </c>
      <c r="B14" s="19" t="s">
        <v>58</v>
      </c>
      <c r="C14" s="32">
        <f t="shared" si="0"/>
        <v>500</v>
      </c>
      <c r="D14" s="33" t="s">
        <v>130</v>
      </c>
      <c r="E14" s="33">
        <v>1.98</v>
      </c>
      <c r="F14" s="33">
        <f t="shared" si="1"/>
        <v>990</v>
      </c>
      <c r="G14" s="34">
        <f>IFERROR(F14/$F$68,"")</f>
        <v>2.1253633780997837E-2</v>
      </c>
      <c r="H14" s="35" t="s">
        <v>57</v>
      </c>
      <c r="I14" s="35"/>
      <c r="J14" s="36"/>
    </row>
    <row r="15" spans="1:10" ht="13.5" x14ac:dyDescent="0.25">
      <c r="A15" s="31">
        <v>15</v>
      </c>
      <c r="B15" s="19" t="s">
        <v>60</v>
      </c>
      <c r="C15" s="32">
        <f t="shared" si="0"/>
        <v>15</v>
      </c>
      <c r="D15" s="33" t="s">
        <v>130</v>
      </c>
      <c r="E15" s="33">
        <v>8.44</v>
      </c>
      <c r="F15" s="33">
        <f t="shared" si="1"/>
        <v>126.6</v>
      </c>
      <c r="G15" s="34">
        <f>IFERROR(F15/$F$68,"")</f>
        <v>2.7178889259336625E-3</v>
      </c>
      <c r="H15" s="35" t="s">
        <v>59</v>
      </c>
      <c r="I15" s="35"/>
      <c r="J15" s="36"/>
    </row>
    <row r="16" spans="1:10" ht="13.5" x14ac:dyDescent="0.25">
      <c r="A16" s="31"/>
      <c r="B16" s="19" t="str">
        <f>IFERROR(VLOOKUP(H16,'[1]Consolidado MP Planta'!$A$2:$M$823,3,0),"")</f>
        <v/>
      </c>
      <c r="C16" s="32">
        <f t="shared" si="0"/>
        <v>0</v>
      </c>
      <c r="D16" s="33" t="str">
        <f>IFERROR(VLOOKUP(H16,'[1]Consolidado MP Planta'!$A$2:$M$823,13,0),"")</f>
        <v/>
      </c>
      <c r="E16" s="33" t="str">
        <f>IFERROR(VLOOKUP(H16,'[1]Consolidado MP Planta'!$A$2:$M$823,12,0),"")</f>
        <v/>
      </c>
      <c r="F16" s="33" t="str">
        <f t="shared" si="1"/>
        <v/>
      </c>
      <c r="G16" s="34" t="str">
        <f>IFERROR(F16/$F$68,"")</f>
        <v/>
      </c>
      <c r="H16" s="35"/>
      <c r="I16" s="35"/>
      <c r="J16" s="36"/>
    </row>
    <row r="17" spans="1:12" ht="14.25" thickBot="1" x14ac:dyDescent="0.3">
      <c r="A17" s="31"/>
      <c r="B17" s="19" t="str">
        <f>IFERROR(VLOOKUP(H17,[2]Hoja2!$A$2:$G$589,2,0),"")</f>
        <v/>
      </c>
      <c r="C17" s="32"/>
      <c r="D17" s="33"/>
      <c r="E17" s="33"/>
      <c r="F17" s="33"/>
      <c r="G17" s="34"/>
      <c r="H17" s="35"/>
      <c r="I17" s="35"/>
      <c r="J17" s="36"/>
    </row>
    <row r="18" spans="1:12" ht="26.25" hidden="1" thickBot="1" x14ac:dyDescent="0.3">
      <c r="A18" s="26" t="s">
        <v>85</v>
      </c>
      <c r="B18" s="27" t="s">
        <v>92</v>
      </c>
      <c r="C18" s="27" t="s">
        <v>85</v>
      </c>
      <c r="D18" s="28" t="s">
        <v>87</v>
      </c>
      <c r="E18" s="28" t="s">
        <v>88</v>
      </c>
      <c r="F18" s="28" t="s">
        <v>89</v>
      </c>
      <c r="G18" s="28" t="s">
        <v>90</v>
      </c>
      <c r="H18" s="29" t="s">
        <v>91</v>
      </c>
      <c r="I18" s="30"/>
      <c r="J18" s="36"/>
    </row>
    <row r="19" spans="1:12" ht="13.5" hidden="1" x14ac:dyDescent="0.25">
      <c r="A19" s="31"/>
      <c r="B19" s="19" t="str">
        <f>IFERROR(VLOOKUP(H19,[1]SEMIELABORADOS!$A$2:$M$6000,2,0),"")</f>
        <v/>
      </c>
      <c r="C19" s="32">
        <f>+A19</f>
        <v>0</v>
      </c>
      <c r="D19" s="32" t="str">
        <f>IFERROR(VLOOKUP(H19,[1]SEMIELABORADOS!$A$2:$M$6000,6,0),"")</f>
        <v/>
      </c>
      <c r="E19" s="33" t="str">
        <f>IFERROR(VLOOKUP(H19,[1]SEMIELABORADOS!$A$2:$H$65536,8,0),"")</f>
        <v/>
      </c>
      <c r="F19" s="33" t="str">
        <f>IFERROR(E19*C19,"")</f>
        <v/>
      </c>
      <c r="G19" s="34" t="str">
        <f t="shared" ref="G19:G26" si="3">IFERROR(F19/$F$68,"")</f>
        <v/>
      </c>
      <c r="H19" s="35"/>
      <c r="I19" s="35"/>
      <c r="J19" s="36"/>
    </row>
    <row r="20" spans="1:12" ht="13.5" hidden="1" x14ac:dyDescent="0.25">
      <c r="A20" s="31"/>
      <c r="B20" s="19" t="str">
        <f>IFERROR(VLOOKUP(H20,[1]SEMIELABORADOS!$A$2:$M$6000,2,0),"")</f>
        <v/>
      </c>
      <c r="C20" s="32">
        <f t="shared" ref="C20:C26" si="4">+A20</f>
        <v>0</v>
      </c>
      <c r="D20" s="32" t="str">
        <f>IFERROR(VLOOKUP(H20,[1]SEMIELABORADOS!$A$2:$M$6000,6,0),"")</f>
        <v/>
      </c>
      <c r="E20" s="33" t="str">
        <f>IFERROR(VLOOKUP(H20,[1]SEMIELABORADOS!$A$2:$H$65536,8,0),"")</f>
        <v/>
      </c>
      <c r="F20" s="33" t="str">
        <f t="shared" ref="F20:F26" si="5">IFERROR(E20*C20,"")</f>
        <v/>
      </c>
      <c r="G20" s="34" t="str">
        <f t="shared" si="3"/>
        <v/>
      </c>
      <c r="H20" s="35"/>
      <c r="I20" s="35"/>
      <c r="J20" s="36"/>
    </row>
    <row r="21" spans="1:12" ht="13.5" hidden="1" x14ac:dyDescent="0.25">
      <c r="A21" s="31"/>
      <c r="B21" s="19" t="str">
        <f>IFERROR(VLOOKUP(H21,[1]SEMIELABORADOS!$A$2:$M$6000,2,0),"")</f>
        <v/>
      </c>
      <c r="C21" s="32">
        <f>+A21</f>
        <v>0</v>
      </c>
      <c r="D21" s="32" t="str">
        <f>IFERROR(VLOOKUP(H21,[1]SEMIELABORADOS!$A$2:$M$6000,6,0),"")</f>
        <v/>
      </c>
      <c r="E21" s="33" t="str">
        <f>IFERROR(VLOOKUP(H21,[1]SEMIELABORADOS!$A$2:$H$65536,8,0),"")</f>
        <v/>
      </c>
      <c r="F21" s="33" t="str">
        <f>IFERROR(E21*C21,"")</f>
        <v/>
      </c>
      <c r="G21" s="34" t="str">
        <f t="shared" si="3"/>
        <v/>
      </c>
      <c r="H21" s="35"/>
      <c r="I21" s="35"/>
      <c r="J21" s="36"/>
    </row>
    <row r="22" spans="1:12" ht="13.5" hidden="1" x14ac:dyDescent="0.25">
      <c r="A22" s="31"/>
      <c r="B22" s="19" t="str">
        <f>IFERROR(VLOOKUP(H22,[1]SEMIELABORADOS!$A$2:$M$6000,2,0),"")</f>
        <v/>
      </c>
      <c r="C22" s="32">
        <f>+A22</f>
        <v>0</v>
      </c>
      <c r="D22" s="32" t="str">
        <f>IFERROR(VLOOKUP(H22,[1]SEMIELABORADOS!$A$2:$M$6000,6,0),"")</f>
        <v/>
      </c>
      <c r="E22" s="33" t="str">
        <f>IFERROR(VLOOKUP(H22,[1]SEMIELABORADOS!$A$2:$H$65536,8,0),"")</f>
        <v/>
      </c>
      <c r="F22" s="33" t="str">
        <f>IFERROR(E22*C22,"")</f>
        <v/>
      </c>
      <c r="G22" s="34" t="str">
        <f t="shared" si="3"/>
        <v/>
      </c>
      <c r="H22" s="35"/>
      <c r="I22" s="35"/>
      <c r="J22" s="36"/>
    </row>
    <row r="23" spans="1:12" ht="13.5" hidden="1" x14ac:dyDescent="0.25">
      <c r="A23" s="31"/>
      <c r="B23" s="19" t="str">
        <f>IFERROR(VLOOKUP(H23,[1]SEMIELABORADOS!$A$2:$M$6000,2,0),"")</f>
        <v/>
      </c>
      <c r="C23" s="32">
        <f>+A23</f>
        <v>0</v>
      </c>
      <c r="D23" s="32" t="str">
        <f>IFERROR(VLOOKUP(H23,[1]SEMIELABORADOS!$A$2:$M$6000,6,0),"")</f>
        <v/>
      </c>
      <c r="E23" s="33" t="str">
        <f>IFERROR(VLOOKUP(H23,[1]SEMIELABORADOS!$A$2:$H$65536,8,0),"")</f>
        <v/>
      </c>
      <c r="F23" s="33" t="str">
        <f>IFERROR(E23*C23,"")</f>
        <v/>
      </c>
      <c r="G23" s="34" t="str">
        <f t="shared" si="3"/>
        <v/>
      </c>
      <c r="H23" s="35"/>
      <c r="I23" s="35"/>
      <c r="J23" s="36"/>
    </row>
    <row r="24" spans="1:12" ht="13.5" hidden="1" x14ac:dyDescent="0.25">
      <c r="A24" s="31"/>
      <c r="B24" s="19" t="str">
        <f>IFERROR(VLOOKUP(H24,[1]SEMIELABORADOS!$A$2:$M$6000,2,0),"")</f>
        <v/>
      </c>
      <c r="C24" s="32">
        <f t="shared" si="4"/>
        <v>0</v>
      </c>
      <c r="D24" s="32" t="str">
        <f>IFERROR(VLOOKUP(H24,[1]SEMIELABORADOS!$A$2:$M$6000,6,0),"")</f>
        <v/>
      </c>
      <c r="E24" s="33" t="str">
        <f>IFERROR(VLOOKUP(H24,[1]SEMIELABORADOS!$A$2:$H$65536,8,0),"")</f>
        <v/>
      </c>
      <c r="F24" s="33" t="str">
        <f t="shared" si="5"/>
        <v/>
      </c>
      <c r="G24" s="34" t="str">
        <f t="shared" si="3"/>
        <v/>
      </c>
      <c r="H24" s="35"/>
      <c r="I24" s="35"/>
      <c r="J24" s="36"/>
    </row>
    <row r="25" spans="1:12" ht="13.5" hidden="1" x14ac:dyDescent="0.25">
      <c r="A25" s="31"/>
      <c r="B25" s="19" t="str">
        <f>IFERROR(VLOOKUP(H25,[1]SEMIELABORADOS!$A$2:$M$6000,2,0),"")</f>
        <v/>
      </c>
      <c r="C25" s="32">
        <f t="shared" si="4"/>
        <v>0</v>
      </c>
      <c r="D25" s="32" t="str">
        <f>IFERROR(VLOOKUP(H25,[1]SEMIELABORADOS!$A$2:$M$6000,6,0),"")</f>
        <v/>
      </c>
      <c r="E25" s="33" t="str">
        <f>IFERROR(VLOOKUP(H25,[1]SEMIELABORADOS!$A$2:$H$65536,8,0),"")</f>
        <v/>
      </c>
      <c r="F25" s="33" t="str">
        <f t="shared" si="5"/>
        <v/>
      </c>
      <c r="G25" s="34" t="str">
        <f t="shared" si="3"/>
        <v/>
      </c>
      <c r="H25" s="35"/>
      <c r="I25" s="35"/>
      <c r="J25" s="36"/>
    </row>
    <row r="26" spans="1:12" ht="13.5" hidden="1" x14ac:dyDescent="0.25">
      <c r="A26" s="31"/>
      <c r="B26" s="19" t="str">
        <f>IFERROR(VLOOKUP(H26,[1]SEMIELABORADOS!$A$2:$M$6000,2,0),"")</f>
        <v/>
      </c>
      <c r="C26" s="32">
        <f t="shared" si="4"/>
        <v>0</v>
      </c>
      <c r="D26" s="32" t="str">
        <f>IFERROR(VLOOKUP(H26,[1]SEMIELABORADOS!$A$2:$M$6000,6,0),"")</f>
        <v/>
      </c>
      <c r="E26" s="33" t="str">
        <f>IFERROR(VLOOKUP(H26,[1]SEMIELABORADOS!$A$2:$H$65536,8,0),"")</f>
        <v/>
      </c>
      <c r="F26" s="33" t="str">
        <f t="shared" si="5"/>
        <v/>
      </c>
      <c r="G26" s="34" t="str">
        <f t="shared" si="3"/>
        <v/>
      </c>
      <c r="H26" s="35"/>
      <c r="I26" s="35"/>
      <c r="J26" s="36"/>
    </row>
    <row r="27" spans="1:12" ht="14.25" hidden="1" thickBot="1" x14ac:dyDescent="0.3">
      <c r="A27" s="31"/>
      <c r="C27" s="32"/>
      <c r="D27" s="32"/>
      <c r="E27" s="33"/>
      <c r="F27" s="33"/>
      <c r="G27" s="34"/>
      <c r="H27" s="35"/>
      <c r="I27" s="35"/>
      <c r="J27" s="36"/>
    </row>
    <row r="28" spans="1:12" ht="26.25" thickBot="1" x14ac:dyDescent="0.3">
      <c r="A28" s="26" t="s">
        <v>85</v>
      </c>
      <c r="B28" s="27" t="s">
        <v>39</v>
      </c>
      <c r="C28" s="27" t="s">
        <v>85</v>
      </c>
      <c r="D28" s="28" t="s">
        <v>87</v>
      </c>
      <c r="E28" s="28" t="s">
        <v>88</v>
      </c>
      <c r="F28" s="28" t="s">
        <v>89</v>
      </c>
      <c r="G28" s="28" t="s">
        <v>90</v>
      </c>
      <c r="H28" s="29" t="s">
        <v>91</v>
      </c>
      <c r="I28" s="30"/>
    </row>
    <row r="29" spans="1:12" ht="13.5" x14ac:dyDescent="0.25">
      <c r="A29" s="31">
        <v>1</v>
      </c>
      <c r="B29" s="37" t="s">
        <v>41</v>
      </c>
      <c r="C29" s="32">
        <f t="shared" ref="C29:C34" si="6">+A29</f>
        <v>1</v>
      </c>
      <c r="D29" s="33" t="s">
        <v>131</v>
      </c>
      <c r="E29" s="33">
        <v>1.25</v>
      </c>
      <c r="F29" s="33">
        <f t="shared" ref="F29:F34" si="7">IFERROR(C29*E29,"")</f>
        <v>1.25</v>
      </c>
      <c r="G29" s="34">
        <f t="shared" ref="G29:G34" si="8">IFERROR(F29/$F$68,"")</f>
        <v>2.6835396188128582E-5</v>
      </c>
      <c r="H29" s="38" t="s">
        <v>40</v>
      </c>
      <c r="I29" s="38"/>
      <c r="J29" s="36"/>
      <c r="K29" s="243"/>
      <c r="L29" s="243"/>
    </row>
    <row r="30" spans="1:12" ht="13.5" hidden="1" x14ac:dyDescent="0.25">
      <c r="A30" s="31"/>
      <c r="B30" s="37" t="str">
        <f>IFERROR(VLOOKUP(H30,'[1]Consolidado MP Planta'!$A$2:$M$823,3,0),"")</f>
        <v/>
      </c>
      <c r="C30" s="32">
        <f t="shared" si="6"/>
        <v>0</v>
      </c>
      <c r="D30" s="33" t="str">
        <f>IFERROR(VLOOKUP(H30,'[1]Consolidado MP Planta'!$A$2:$M$823,13,0),"")</f>
        <v/>
      </c>
      <c r="E30" s="33" t="str">
        <f>IFERROR(VLOOKUP(H30,'[1]Consolidado MP Planta'!$A$2:$M$823,12,0),"")</f>
        <v/>
      </c>
      <c r="F30" s="33" t="str">
        <f t="shared" si="7"/>
        <v/>
      </c>
      <c r="G30" s="34" t="str">
        <f t="shared" si="8"/>
        <v/>
      </c>
      <c r="H30" s="38"/>
      <c r="I30" s="38"/>
      <c r="J30" s="36"/>
      <c r="K30" s="243"/>
      <c r="L30" s="243"/>
    </row>
    <row r="31" spans="1:12" ht="13.5" hidden="1" x14ac:dyDescent="0.25">
      <c r="A31" s="31"/>
      <c r="B31" s="37" t="str">
        <f>IFERROR(VLOOKUP(H31,'[1]Consolidado MP Planta'!$A$2:$M$823,3,0),"")</f>
        <v/>
      </c>
      <c r="C31" s="32">
        <f t="shared" si="6"/>
        <v>0</v>
      </c>
      <c r="D31" s="33" t="str">
        <f>IFERROR(VLOOKUP(H31,'[1]Consolidado MP Planta'!$A$2:$M$823,13,0),"")</f>
        <v/>
      </c>
      <c r="E31" s="33" t="str">
        <f>IFERROR(VLOOKUP(H31,'[1]Consolidado MP Planta'!$A$2:$M$823,12,0),"")</f>
        <v/>
      </c>
      <c r="F31" s="33" t="str">
        <f t="shared" si="7"/>
        <v/>
      </c>
      <c r="G31" s="34" t="str">
        <f t="shared" si="8"/>
        <v/>
      </c>
      <c r="H31" s="38"/>
      <c r="I31" s="38"/>
      <c r="J31" s="36"/>
      <c r="K31" s="243"/>
      <c r="L31" s="243"/>
    </row>
    <row r="32" spans="1:12" ht="13.5" hidden="1" x14ac:dyDescent="0.25">
      <c r="A32" s="31"/>
      <c r="B32" s="37" t="str">
        <f>IFERROR(VLOOKUP(H32,'[1]Consolidado MP Planta'!$A$2:$M$823,3,0),"")</f>
        <v/>
      </c>
      <c r="C32" s="32">
        <f t="shared" si="6"/>
        <v>0</v>
      </c>
      <c r="D32" s="33" t="str">
        <f>IFERROR(VLOOKUP(H32,'[1]Consolidado MP Planta'!$A$2:$M$823,13,0),"")</f>
        <v/>
      </c>
      <c r="E32" s="33" t="str">
        <f>IFERROR(VLOOKUP(H32,'[1]Consolidado MP Planta'!$A$2:$M$823,12,0),"")</f>
        <v/>
      </c>
      <c r="F32" s="33" t="str">
        <f t="shared" si="7"/>
        <v/>
      </c>
      <c r="G32" s="34" t="str">
        <f t="shared" si="8"/>
        <v/>
      </c>
      <c r="H32" s="38"/>
      <c r="I32" s="38"/>
      <c r="J32" s="36"/>
      <c r="K32" s="243"/>
      <c r="L32" s="243"/>
    </row>
    <row r="33" spans="1:13" ht="13.5" hidden="1" x14ac:dyDescent="0.25">
      <c r="A33" s="31"/>
      <c r="B33" s="37" t="str">
        <f>IFERROR(VLOOKUP(H33,'[1]Consolidado MP Planta'!$A$2:$M$823,3,0),"")</f>
        <v/>
      </c>
      <c r="C33" s="32">
        <f t="shared" si="6"/>
        <v>0</v>
      </c>
      <c r="D33" s="33" t="str">
        <f>IFERROR(VLOOKUP(H33,'[1]Consolidado MP Planta'!$A$2:$M$823,13,0),"")</f>
        <v/>
      </c>
      <c r="E33" s="33" t="str">
        <f>IFERROR(VLOOKUP(H33,'[1]Consolidado MP Planta'!$A$2:$M$823,12,0),"")</f>
        <v/>
      </c>
      <c r="F33" s="33" t="str">
        <f t="shared" si="7"/>
        <v/>
      </c>
      <c r="G33" s="34" t="str">
        <f t="shared" si="8"/>
        <v/>
      </c>
      <c r="H33" s="38"/>
      <c r="I33" s="38"/>
      <c r="J33" s="36"/>
      <c r="K33" s="39"/>
      <c r="L33" s="40"/>
    </row>
    <row r="34" spans="1:13" ht="13.5" hidden="1" x14ac:dyDescent="0.25">
      <c r="A34" s="31"/>
      <c r="B34" s="37" t="str">
        <f>IFERROR(VLOOKUP(H34,'[1]Consolidado MP Planta'!$A$2:$M$823,3,0),"")</f>
        <v/>
      </c>
      <c r="C34" s="32">
        <f t="shared" si="6"/>
        <v>0</v>
      </c>
      <c r="D34" s="33" t="str">
        <f>IFERROR(VLOOKUP(H34,'[1]Consolidado MP Planta'!$A$2:$M$823,13,0),"")</f>
        <v/>
      </c>
      <c r="E34" s="33" t="str">
        <f>IFERROR(VLOOKUP(H34,'[1]Consolidado MP Planta'!$A$2:$M$823,12,0),"")</f>
        <v/>
      </c>
      <c r="F34" s="33" t="str">
        <f t="shared" si="7"/>
        <v/>
      </c>
      <c r="G34" s="34" t="str">
        <f t="shared" si="8"/>
        <v/>
      </c>
      <c r="H34" s="38"/>
      <c r="I34" s="38"/>
      <c r="J34" s="36"/>
    </row>
    <row r="35" spans="1:13" ht="13.5" x14ac:dyDescent="0.25">
      <c r="A35" s="31"/>
      <c r="B35" s="37"/>
      <c r="C35" s="32"/>
      <c r="D35" s="33"/>
      <c r="E35" s="33"/>
      <c r="F35" s="33"/>
      <c r="G35" s="34"/>
      <c r="H35" s="38"/>
      <c r="I35" s="38"/>
      <c r="J35" s="36"/>
    </row>
    <row r="36" spans="1:13" ht="26.25" hidden="1" thickBot="1" x14ac:dyDescent="0.25">
      <c r="A36" s="26" t="s">
        <v>85</v>
      </c>
      <c r="B36" s="27" t="s">
        <v>93</v>
      </c>
      <c r="C36" s="27" t="s">
        <v>85</v>
      </c>
      <c r="D36" s="28" t="s">
        <v>87</v>
      </c>
      <c r="E36" s="28" t="s">
        <v>88</v>
      </c>
      <c r="F36" s="28" t="s">
        <v>89</v>
      </c>
      <c r="G36" s="28" t="s">
        <v>90</v>
      </c>
      <c r="H36" s="29" t="s">
        <v>91</v>
      </c>
      <c r="I36" s="38"/>
      <c r="J36" s="36"/>
    </row>
    <row r="37" spans="1:13" ht="13.5" hidden="1" x14ac:dyDescent="0.25">
      <c r="A37" s="31">
        <f>+A19</f>
        <v>0</v>
      </c>
      <c r="B37" s="37" t="str">
        <f>IFERROR(VLOOKUP(H37,[1]SEMIELABORADOS!$A$2:$M$6000,2,0),"")</f>
        <v/>
      </c>
      <c r="C37" s="32">
        <f>+A37</f>
        <v>0</v>
      </c>
      <c r="D37" s="33" t="str">
        <f>IFERROR(VLOOKUP(H37,[1]SEMIELABORADOS!$A$2:$M$6000,6,0),"")</f>
        <v/>
      </c>
      <c r="E37" s="33" t="str">
        <f>IFERROR(VLOOKUP(H37,[1]SEMIELABORADOS!$A$2:$M$65536,10,0),"")</f>
        <v/>
      </c>
      <c r="F37" s="33" t="str">
        <f>IFERROR(E37*C37,"")</f>
        <v/>
      </c>
      <c r="G37" s="34" t="str">
        <f t="shared" ref="G37:G43" si="9">IFERROR(F37/$F$68,"")</f>
        <v/>
      </c>
      <c r="H37" s="38"/>
      <c r="I37" s="38"/>
      <c r="J37" s="36"/>
    </row>
    <row r="38" spans="1:13" ht="13.5" hidden="1" x14ac:dyDescent="0.25">
      <c r="A38" s="31">
        <f t="shared" ref="A38:A43" si="10">+A20</f>
        <v>0</v>
      </c>
      <c r="B38" s="37" t="str">
        <f>IFERROR(VLOOKUP(H38,[1]SEMIELABORADOS!$A$2:$M$6000,2,0),"")</f>
        <v/>
      </c>
      <c r="C38" s="32">
        <f t="shared" ref="C38:C43" si="11">+A38</f>
        <v>0</v>
      </c>
      <c r="D38" s="33" t="str">
        <f>IFERROR(VLOOKUP(H38,[1]SEMIELABORADOS!$A$2:$M$6000,6,0),"")</f>
        <v/>
      </c>
      <c r="E38" s="33" t="str">
        <f>IFERROR(VLOOKUP(H38,[1]SEMIELABORADOS!$A$2:$M$65536,10,0),"")</f>
        <v/>
      </c>
      <c r="F38" s="33" t="str">
        <f t="shared" ref="F38:F43" si="12">IFERROR(E38*C38,"")</f>
        <v/>
      </c>
      <c r="G38" s="34" t="str">
        <f t="shared" si="9"/>
        <v/>
      </c>
      <c r="H38" s="38"/>
      <c r="I38" s="38"/>
      <c r="J38" s="36"/>
    </row>
    <row r="39" spans="1:13" ht="13.5" hidden="1" x14ac:dyDescent="0.25">
      <c r="A39" s="31">
        <f t="shared" si="10"/>
        <v>0</v>
      </c>
      <c r="B39" s="37" t="str">
        <f>IFERROR(VLOOKUP(H39,[1]SEMIELABORADOS!$A$2:$M$6000,2,0),"")</f>
        <v/>
      </c>
      <c r="C39" s="32">
        <f t="shared" si="11"/>
        <v>0</v>
      </c>
      <c r="D39" s="33" t="str">
        <f>IFERROR(VLOOKUP(H39,[1]SEMIELABORADOS!$A$2:$M$6000,6,0),"")</f>
        <v/>
      </c>
      <c r="E39" s="33" t="str">
        <f>IFERROR(VLOOKUP(H39,[1]SEMIELABORADOS!$A$2:$M$65536,10,0),"")</f>
        <v/>
      </c>
      <c r="F39" s="33" t="str">
        <f t="shared" si="12"/>
        <v/>
      </c>
      <c r="G39" s="34" t="str">
        <f t="shared" si="9"/>
        <v/>
      </c>
      <c r="H39" s="38"/>
      <c r="I39" s="38"/>
      <c r="J39" s="36"/>
    </row>
    <row r="40" spans="1:13" ht="13.5" hidden="1" x14ac:dyDescent="0.25">
      <c r="A40" s="31">
        <f t="shared" si="10"/>
        <v>0</v>
      </c>
      <c r="B40" s="37" t="str">
        <f>IFERROR(VLOOKUP(H40,[1]SEMIELABORADOS!$A$2:$M$6000,2,0),"")</f>
        <v/>
      </c>
      <c r="C40" s="32">
        <f>+A40</f>
        <v>0</v>
      </c>
      <c r="D40" s="33" t="str">
        <f>IFERROR(VLOOKUP(H40,[1]SEMIELABORADOS!$A$2:$M$6000,6,0),"")</f>
        <v/>
      </c>
      <c r="E40" s="33" t="str">
        <f>IFERROR(VLOOKUP(H40,[1]SEMIELABORADOS!$A$2:$M$65536,10,0),"")</f>
        <v/>
      </c>
      <c r="F40" s="33" t="str">
        <f>IFERROR(E40*C40,"")</f>
        <v/>
      </c>
      <c r="G40" s="34" t="str">
        <f t="shared" si="9"/>
        <v/>
      </c>
      <c r="H40" s="38"/>
      <c r="I40" s="38"/>
      <c r="J40" s="36"/>
    </row>
    <row r="41" spans="1:13" ht="13.5" hidden="1" x14ac:dyDescent="0.25">
      <c r="A41" s="31">
        <f t="shared" si="10"/>
        <v>0</v>
      </c>
      <c r="B41" s="37" t="str">
        <f>IFERROR(VLOOKUP(H41,[1]SEMIELABORADOS!$A$2:$M$6000,2,0),"")</f>
        <v/>
      </c>
      <c r="C41" s="32">
        <f>+A41</f>
        <v>0</v>
      </c>
      <c r="D41" s="33" t="str">
        <f>IFERROR(VLOOKUP(H41,[1]SEMIELABORADOS!$A$2:$M$6000,6,0),"")</f>
        <v/>
      </c>
      <c r="E41" s="33" t="str">
        <f>IFERROR(VLOOKUP(H41,[1]SEMIELABORADOS!$A$2:$M$65536,10,0),"")</f>
        <v/>
      </c>
      <c r="F41" s="33" t="str">
        <f>IFERROR(E41*C41,"")</f>
        <v/>
      </c>
      <c r="G41" s="34" t="str">
        <f t="shared" si="9"/>
        <v/>
      </c>
      <c r="H41" s="38"/>
      <c r="I41" s="38"/>
      <c r="J41" s="36"/>
    </row>
    <row r="42" spans="1:13" ht="13.5" hidden="1" x14ac:dyDescent="0.25">
      <c r="A42" s="31">
        <f t="shared" si="10"/>
        <v>0</v>
      </c>
      <c r="B42" s="37" t="str">
        <f>IFERROR(VLOOKUP(H42,[1]SEMIELABORADOS!$A$2:$M$6000,2,0),"")</f>
        <v/>
      </c>
      <c r="C42" s="32">
        <f t="shared" si="11"/>
        <v>0</v>
      </c>
      <c r="D42" s="33" t="str">
        <f>IFERROR(VLOOKUP(H42,[1]SEMIELABORADOS!$A$2:$M$6000,6,0),"")</f>
        <v/>
      </c>
      <c r="E42" s="33" t="str">
        <f>IFERROR(VLOOKUP(H42,[1]SEMIELABORADOS!$A$2:$M$65536,10,0),"")</f>
        <v/>
      </c>
      <c r="F42" s="33" t="str">
        <f t="shared" si="12"/>
        <v/>
      </c>
      <c r="G42" s="34" t="str">
        <f t="shared" si="9"/>
        <v/>
      </c>
      <c r="H42" s="38"/>
      <c r="I42" s="38"/>
      <c r="J42" s="36"/>
    </row>
    <row r="43" spans="1:13" ht="13.5" hidden="1" x14ac:dyDescent="0.25">
      <c r="A43" s="31">
        <f t="shared" si="10"/>
        <v>0</v>
      </c>
      <c r="B43" s="37" t="str">
        <f>IFERROR(VLOOKUP(H43,[1]SEMIELABORADOS!$A$2:$M$6000,2,0),"")</f>
        <v/>
      </c>
      <c r="C43" s="32">
        <f t="shared" si="11"/>
        <v>0</v>
      </c>
      <c r="D43" s="33" t="str">
        <f>IFERROR(VLOOKUP(H43,[1]SEMIELABORADOS!$A$2:$M$6000,6,0),"")</f>
        <v/>
      </c>
      <c r="E43" s="33" t="str">
        <f>IFERROR(VLOOKUP(H43,[1]SEMIELABORADOS!$A$2:$M$65536,10,0),"")</f>
        <v/>
      </c>
      <c r="F43" s="33" t="str">
        <f t="shared" si="12"/>
        <v/>
      </c>
      <c r="G43" s="34" t="str">
        <f t="shared" si="9"/>
        <v/>
      </c>
      <c r="H43" s="38"/>
      <c r="I43" s="38"/>
      <c r="J43" s="36"/>
    </row>
    <row r="44" spans="1:13" ht="14.25" hidden="1" thickBot="1" x14ac:dyDescent="0.3">
      <c r="A44" s="31"/>
      <c r="B44" s="37"/>
      <c r="C44" s="32"/>
      <c r="D44" s="33"/>
      <c r="E44" s="33"/>
      <c r="F44" s="33"/>
      <c r="G44" s="34"/>
      <c r="H44" s="38"/>
      <c r="I44" s="38"/>
      <c r="J44" s="36"/>
    </row>
    <row r="45" spans="1:13" ht="26.25" hidden="1" thickBot="1" x14ac:dyDescent="0.3">
      <c r="A45" s="26" t="s">
        <v>85</v>
      </c>
      <c r="B45" s="27" t="s">
        <v>94</v>
      </c>
      <c r="C45" s="27" t="s">
        <v>85</v>
      </c>
      <c r="D45" s="28" t="s">
        <v>87</v>
      </c>
      <c r="E45" s="28" t="s">
        <v>88</v>
      </c>
      <c r="F45" s="28" t="s">
        <v>89</v>
      </c>
      <c r="G45" s="28" t="s">
        <v>90</v>
      </c>
      <c r="H45" s="29" t="s">
        <v>91</v>
      </c>
      <c r="I45" s="30"/>
      <c r="J45" s="36"/>
    </row>
    <row r="46" spans="1:13" ht="13.5" hidden="1" x14ac:dyDescent="0.25">
      <c r="A46" s="31">
        <f>+A37</f>
        <v>0</v>
      </c>
      <c r="B46" s="37" t="str">
        <f>IFERROR(VLOOKUP(H46,[1]SEMIELABORADOS!$A$2:$M$6000,2,0),"")</f>
        <v/>
      </c>
      <c r="C46" s="32">
        <f>+A46</f>
        <v>0</v>
      </c>
      <c r="D46" s="33" t="str">
        <f>IFERROR(VLOOKUP(H46,[1]SEMIELABORADOS!$A$2:$M$6000,6,0),"")</f>
        <v/>
      </c>
      <c r="E46" s="33" t="str">
        <f>IFERROR(VLOOKUP(H46,[1]SEMIELABORADOS!$A$2:$M$65536,12,0),"")</f>
        <v/>
      </c>
      <c r="F46" s="33" t="str">
        <f>IFERROR(E46*C46,"")</f>
        <v/>
      </c>
      <c r="G46" s="34" t="str">
        <f>IFERROR(F46/$F$68,"")</f>
        <v/>
      </c>
      <c r="H46" s="38"/>
      <c r="I46" s="30"/>
      <c r="J46" s="36"/>
    </row>
    <row r="47" spans="1:13" ht="13.5" hidden="1" x14ac:dyDescent="0.25">
      <c r="A47" s="31">
        <f t="shared" ref="A47:A52" si="13">+A38</f>
        <v>0</v>
      </c>
      <c r="B47" s="37" t="str">
        <f>IFERROR(VLOOKUP(H47,[1]SEMIELABORADOS!$A$2:$M$6000,2,0),"")</f>
        <v/>
      </c>
      <c r="C47" s="32">
        <f t="shared" ref="C47:C52" si="14">+A47</f>
        <v>0</v>
      </c>
      <c r="D47" s="33" t="str">
        <f>IFERROR(VLOOKUP(H47,[1]SEMIELABORADOS!$A$2:$M$6000,6,0),"")</f>
        <v/>
      </c>
      <c r="E47" s="33" t="str">
        <f>IFERROR(VLOOKUP(H47,[1]SEMIELABORADOS!$A$2:$M$65536,12,0),"")</f>
        <v/>
      </c>
      <c r="F47" s="33" t="str">
        <f t="shared" ref="F47:F52" si="15">IFERROR(E47*C47,"")</f>
        <v/>
      </c>
      <c r="G47" s="34" t="str">
        <f t="shared" ref="G47:G52" si="16">IFERROR(F47/$F$68,"")</f>
        <v/>
      </c>
      <c r="H47" s="38"/>
      <c r="I47" s="30"/>
      <c r="J47" s="36"/>
      <c r="M47" s="41"/>
    </row>
    <row r="48" spans="1:13" ht="13.5" hidden="1" x14ac:dyDescent="0.25">
      <c r="A48" s="31">
        <f t="shared" si="13"/>
        <v>0</v>
      </c>
      <c r="B48" s="37" t="str">
        <f>IFERROR(VLOOKUP(H48,[1]SEMIELABORADOS!$A$2:$M$6000,2,0),"")</f>
        <v/>
      </c>
      <c r="C48" s="32">
        <f t="shared" si="14"/>
        <v>0</v>
      </c>
      <c r="D48" s="33" t="str">
        <f>IFERROR(VLOOKUP(H48,[1]SEMIELABORADOS!$A$2:$M$6000,6,0),"")</f>
        <v/>
      </c>
      <c r="E48" s="33" t="str">
        <f>IFERROR(VLOOKUP(H48,[1]SEMIELABORADOS!$A$2:$M$65536,12,0),"")</f>
        <v/>
      </c>
      <c r="F48" s="33" t="str">
        <f t="shared" si="15"/>
        <v/>
      </c>
      <c r="G48" s="34" t="str">
        <f t="shared" si="16"/>
        <v/>
      </c>
      <c r="H48" s="38"/>
      <c r="I48" s="30"/>
      <c r="J48" s="36"/>
    </row>
    <row r="49" spans="1:17" ht="13.5" hidden="1" x14ac:dyDescent="0.25">
      <c r="A49" s="31">
        <f t="shared" si="13"/>
        <v>0</v>
      </c>
      <c r="B49" s="37" t="str">
        <f>IFERROR(VLOOKUP(H49,[1]SEMIELABORADOS!$A$2:$M$6000,2,0),"")</f>
        <v/>
      </c>
      <c r="C49" s="32">
        <f t="shared" si="14"/>
        <v>0</v>
      </c>
      <c r="D49" s="33" t="str">
        <f>IFERROR(VLOOKUP(H49,[1]SEMIELABORADOS!$A$2:$M$6000,6,0),"")</f>
        <v/>
      </c>
      <c r="E49" s="33" t="str">
        <f>IFERROR(VLOOKUP(H49,[1]SEMIELABORADOS!$A$2:$M$65536,12,0),"")</f>
        <v/>
      </c>
      <c r="F49" s="33" t="str">
        <f t="shared" si="15"/>
        <v/>
      </c>
      <c r="G49" s="34" t="str">
        <f t="shared" si="16"/>
        <v/>
      </c>
      <c r="H49" s="38"/>
      <c r="I49" s="30"/>
      <c r="J49" s="36"/>
    </row>
    <row r="50" spans="1:17" ht="13.5" hidden="1" x14ac:dyDescent="0.25">
      <c r="A50" s="31">
        <f t="shared" si="13"/>
        <v>0</v>
      </c>
      <c r="B50" s="37" t="str">
        <f>IFERROR(VLOOKUP(H50,[1]SEMIELABORADOS!$A$2:$M$6000,2,0),"")</f>
        <v/>
      </c>
      <c r="C50" s="32">
        <f t="shared" si="14"/>
        <v>0</v>
      </c>
      <c r="D50" s="33" t="str">
        <f>IFERROR(VLOOKUP(H50,[1]SEMIELABORADOS!$A$2:$M$6000,6,0),"")</f>
        <v/>
      </c>
      <c r="E50" s="33" t="str">
        <f>IFERROR(VLOOKUP(H50,[1]SEMIELABORADOS!$A$2:$M$65536,12,0),"")</f>
        <v/>
      </c>
      <c r="F50" s="33" t="str">
        <f t="shared" si="15"/>
        <v/>
      </c>
      <c r="G50" s="34" t="str">
        <f t="shared" si="16"/>
        <v/>
      </c>
      <c r="H50" s="38"/>
      <c r="I50" s="30"/>
      <c r="J50" s="36"/>
    </row>
    <row r="51" spans="1:17" ht="13.5" hidden="1" x14ac:dyDescent="0.25">
      <c r="A51" s="31">
        <f t="shared" si="13"/>
        <v>0</v>
      </c>
      <c r="B51" s="37" t="str">
        <f>IFERROR(VLOOKUP(H51,[1]SEMIELABORADOS!$A$2:$M$6000,2,0),"")</f>
        <v/>
      </c>
      <c r="C51" s="32">
        <f t="shared" si="14"/>
        <v>0</v>
      </c>
      <c r="D51" s="33" t="str">
        <f>IFERROR(VLOOKUP(H51,[1]SEMIELABORADOS!$A$2:$M$6000,6,0),"")</f>
        <v/>
      </c>
      <c r="E51" s="33" t="str">
        <f>IFERROR(VLOOKUP(H51,[1]SEMIELABORADOS!$A$2:$M$65536,12,0),"")</f>
        <v/>
      </c>
      <c r="F51" s="33" t="str">
        <f t="shared" si="15"/>
        <v/>
      </c>
      <c r="G51" s="34" t="str">
        <f t="shared" si="16"/>
        <v/>
      </c>
      <c r="H51" s="38"/>
      <c r="I51" s="30"/>
      <c r="J51" s="36"/>
    </row>
    <row r="52" spans="1:17" ht="13.5" hidden="1" x14ac:dyDescent="0.25">
      <c r="A52" s="31">
        <f t="shared" si="13"/>
        <v>0</v>
      </c>
      <c r="B52" s="37" t="str">
        <f>IFERROR(VLOOKUP(H52,[1]SEMIELABORADOS!$A$2:$M$6000,2,0),"")</f>
        <v/>
      </c>
      <c r="C52" s="32">
        <f t="shared" si="14"/>
        <v>0</v>
      </c>
      <c r="D52" s="33" t="str">
        <f>IFERROR(VLOOKUP(H52,[1]SEMIELABORADOS!$A$2:$M$6000,6,0),"")</f>
        <v/>
      </c>
      <c r="E52" s="33" t="str">
        <f>IFERROR(VLOOKUP(H52,[1]SEMIELABORADOS!$A$2:$M$65536,12,0),"")</f>
        <v/>
      </c>
      <c r="F52" s="33" t="str">
        <f t="shared" si="15"/>
        <v/>
      </c>
      <c r="G52" s="34" t="str">
        <f t="shared" si="16"/>
        <v/>
      </c>
      <c r="H52" s="37"/>
      <c r="I52" s="30"/>
      <c r="J52" s="36"/>
    </row>
    <row r="53" spans="1:17" ht="13.5" x14ac:dyDescent="0.25">
      <c r="A53" s="31">
        <v>1</v>
      </c>
      <c r="B53" s="37" t="s">
        <v>95</v>
      </c>
      <c r="C53" s="32">
        <f>+A53</f>
        <v>1</v>
      </c>
      <c r="D53" s="32" t="s">
        <v>96</v>
      </c>
      <c r="E53" s="33">
        <f>+F67</f>
        <v>2310</v>
      </c>
      <c r="F53" s="33">
        <f>IFERROR(C53*E53,"")</f>
        <v>2310</v>
      </c>
      <c r="G53" s="34">
        <f>IFERROR(F53/$F$68,"")</f>
        <v>4.9591812155661615E-2</v>
      </c>
      <c r="H53" s="42"/>
      <c r="I53" s="42"/>
      <c r="J53" s="36"/>
    </row>
    <row r="54" spans="1:17" ht="14.25" thickBot="1" x14ac:dyDescent="0.3">
      <c r="A54" s="31"/>
      <c r="B54" s="37"/>
      <c r="C54" s="32"/>
      <c r="D54" s="32"/>
      <c r="E54" s="33"/>
      <c r="F54" s="33"/>
      <c r="G54" s="34"/>
      <c r="H54" s="42"/>
      <c r="I54" s="42"/>
      <c r="J54" s="36"/>
    </row>
    <row r="55" spans="1:17" ht="13.5" thickBot="1" x14ac:dyDescent="0.3">
      <c r="A55" s="43"/>
      <c r="B55" s="253" t="s">
        <v>97</v>
      </c>
      <c r="C55" s="253"/>
      <c r="D55" s="253"/>
      <c r="E55" s="253"/>
      <c r="F55" s="45">
        <f>SUM(F8:F16,F19:F26)</f>
        <v>43401</v>
      </c>
      <c r="G55" s="34">
        <f>+F55/$F$68</f>
        <v>0.93174642396877483</v>
      </c>
      <c r="H55" s="46">
        <f>+F55/$D$62</f>
        <v>43401</v>
      </c>
      <c r="I55" s="46"/>
      <c r="J55" s="47"/>
      <c r="K55" s="48"/>
      <c r="L55" s="48"/>
      <c r="M55" s="48"/>
      <c r="N55" s="48"/>
      <c r="O55" s="48"/>
      <c r="P55" s="48"/>
      <c r="Q55" s="49"/>
    </row>
    <row r="56" spans="1:17" x14ac:dyDescent="0.2">
      <c r="A56" s="43"/>
      <c r="B56" s="253" t="s">
        <v>98</v>
      </c>
      <c r="C56" s="253"/>
      <c r="D56" s="253"/>
      <c r="E56" s="253"/>
      <c r="F56" s="45">
        <f>SUM(F29:F34,F37:F43)</f>
        <v>1.25</v>
      </c>
      <c r="G56" s="34">
        <f>+F56/$F$68</f>
        <v>2.6835396188128582E-5</v>
      </c>
      <c r="H56" s="46">
        <f>+F56/$D$62</f>
        <v>1.25</v>
      </c>
      <c r="I56" s="46"/>
      <c r="J56" s="50"/>
      <c r="K56" s="254" t="s">
        <v>99</v>
      </c>
      <c r="L56" s="255"/>
      <c r="M56" s="255"/>
      <c r="N56" s="255"/>
      <c r="O56" s="51">
        <f>+F57</f>
        <v>43402.25</v>
      </c>
      <c r="P56" s="51"/>
      <c r="Q56" s="52"/>
    </row>
    <row r="57" spans="1:17" x14ac:dyDescent="0.2">
      <c r="A57" s="43"/>
      <c r="B57" s="253" t="s">
        <v>100</v>
      </c>
      <c r="C57" s="253"/>
      <c r="D57" s="253"/>
      <c r="E57" s="253"/>
      <c r="F57" s="45">
        <f>+F55+F56</f>
        <v>43402.25</v>
      </c>
      <c r="G57" s="34">
        <f>+F57/$F$68</f>
        <v>0.93177325936496291</v>
      </c>
      <c r="H57" s="46">
        <f>+F57/$D$62</f>
        <v>43402.25</v>
      </c>
      <c r="I57" s="46"/>
      <c r="J57" s="53"/>
      <c r="K57" s="54"/>
      <c r="M57" s="55" t="s">
        <v>101</v>
      </c>
      <c r="N57" s="56"/>
      <c r="O57" s="51">
        <f>+H58</f>
        <v>2310</v>
      </c>
      <c r="P57" s="51"/>
      <c r="Q57" s="52"/>
    </row>
    <row r="58" spans="1:17" ht="13.5" thickBot="1" x14ac:dyDescent="0.25">
      <c r="A58" s="43"/>
      <c r="B58" s="44"/>
      <c r="C58" s="253" t="s">
        <v>102</v>
      </c>
      <c r="D58" s="253"/>
      <c r="E58" s="253"/>
      <c r="F58" s="45">
        <f>SUM(F46:F53)</f>
        <v>2310</v>
      </c>
      <c r="G58" s="34">
        <f>+F58/$F$68</f>
        <v>4.9591812155661615E-2</v>
      </c>
      <c r="H58" s="46">
        <f>+F58/$D$62</f>
        <v>2310</v>
      </c>
      <c r="I58" s="46"/>
      <c r="J58" s="53"/>
      <c r="K58" s="54"/>
      <c r="L58" s="54"/>
      <c r="M58" s="54" t="s">
        <v>103</v>
      </c>
      <c r="N58" s="57"/>
      <c r="O58" s="51">
        <f>O56*N58</f>
        <v>0</v>
      </c>
      <c r="P58" s="51"/>
      <c r="Q58" s="52"/>
    </row>
    <row r="59" spans="1:17" ht="13.5" thickBot="1" x14ac:dyDescent="0.25">
      <c r="A59" s="43"/>
      <c r="B59" s="58"/>
      <c r="C59" s="58"/>
      <c r="D59" s="58"/>
      <c r="E59" s="58"/>
      <c r="F59" s="59"/>
      <c r="G59" s="34"/>
      <c r="H59" s="60"/>
      <c r="I59" s="46"/>
      <c r="J59" s="53"/>
      <c r="K59" s="61"/>
      <c r="M59" s="62" t="s">
        <v>104</v>
      </c>
      <c r="N59" s="63"/>
      <c r="O59" s="64">
        <f>SUM(O56:O58)</f>
        <v>45712.25</v>
      </c>
      <c r="P59" s="65"/>
      <c r="Q59" s="52"/>
    </row>
    <row r="60" spans="1:17" x14ac:dyDescent="0.2">
      <c r="B60" s="256" t="s">
        <v>105</v>
      </c>
      <c r="C60" s="256"/>
      <c r="D60" s="66">
        <v>10000</v>
      </c>
      <c r="E60" s="67"/>
      <c r="G60" s="34"/>
      <c r="H60" s="60">
        <f>+H58/77</f>
        <v>30</v>
      </c>
      <c r="I60" s="68"/>
      <c r="J60" s="53"/>
      <c r="K60" s="61"/>
      <c r="L60" s="54"/>
      <c r="M60" s="54" t="s">
        <v>106</v>
      </c>
      <c r="N60" s="69"/>
      <c r="O60" s="51">
        <f>+H61</f>
        <v>2490</v>
      </c>
      <c r="P60" s="51"/>
      <c r="Q60" s="52"/>
    </row>
    <row r="61" spans="1:17" x14ac:dyDescent="0.2">
      <c r="B61" s="256" t="s">
        <v>107</v>
      </c>
      <c r="C61" s="256"/>
      <c r="D61" s="70">
        <v>10000</v>
      </c>
      <c r="E61" s="67"/>
      <c r="G61" s="34"/>
      <c r="H61" s="60">
        <f>+H60*83</f>
        <v>2490</v>
      </c>
      <c r="I61" s="68"/>
      <c r="J61" s="53"/>
      <c r="K61" s="61"/>
      <c r="L61" s="54"/>
      <c r="M61" s="257" t="s">
        <v>104</v>
      </c>
      <c r="N61" s="257"/>
      <c r="O61" s="51">
        <f>SUM(O59:O60)</f>
        <v>48202.25</v>
      </c>
      <c r="P61" s="51"/>
      <c r="Q61" s="52"/>
    </row>
    <row r="62" spans="1:17" ht="13.5" thickBot="1" x14ac:dyDescent="0.25">
      <c r="B62" s="249" t="s">
        <v>108</v>
      </c>
      <c r="C62" s="249"/>
      <c r="D62" s="66">
        <f>+D60/D61</f>
        <v>1</v>
      </c>
      <c r="E62" s="67"/>
      <c r="F62" s="71"/>
      <c r="G62" s="34"/>
      <c r="H62" s="60"/>
      <c r="I62" s="68"/>
      <c r="J62" s="53"/>
      <c r="K62" s="61"/>
      <c r="L62" s="257"/>
      <c r="M62" s="257"/>
      <c r="N62" s="69"/>
      <c r="O62" s="51">
        <f>+O61*N62</f>
        <v>0</v>
      </c>
      <c r="P62" s="51"/>
      <c r="Q62" s="52"/>
    </row>
    <row r="63" spans="1:17" ht="13.5" thickBot="1" x14ac:dyDescent="0.25">
      <c r="B63" s="249" t="s">
        <v>109</v>
      </c>
      <c r="C63" s="249"/>
      <c r="D63" s="72"/>
      <c r="E63" s="67"/>
      <c r="F63" s="71"/>
      <c r="G63" s="34"/>
      <c r="H63" s="60"/>
      <c r="I63" s="68"/>
      <c r="J63" s="53"/>
      <c r="K63" s="250" t="s">
        <v>110</v>
      </c>
      <c r="L63" s="251"/>
      <c r="M63" s="251"/>
      <c r="N63" s="252"/>
      <c r="O63" s="64">
        <f>SUM(O61:O62)</f>
        <v>48202.25</v>
      </c>
      <c r="P63" s="73" t="s">
        <v>111</v>
      </c>
      <c r="Q63" s="52"/>
    </row>
    <row r="64" spans="1:17" ht="13.5" thickBot="1" x14ac:dyDescent="0.25">
      <c r="C64" s="43" t="s">
        <v>112</v>
      </c>
      <c r="D64" s="74"/>
      <c r="E64" s="17" t="s">
        <v>113</v>
      </c>
      <c r="F64" s="75" t="s">
        <v>114</v>
      </c>
      <c r="G64" s="34"/>
      <c r="H64" s="60"/>
      <c r="I64" s="68"/>
      <c r="J64" s="76"/>
      <c r="K64" s="77"/>
      <c r="L64" s="263" t="s">
        <v>115</v>
      </c>
      <c r="M64" s="263"/>
      <c r="N64" s="263"/>
      <c r="O64" s="78">
        <f>+O63/D62</f>
        <v>48202.25</v>
      </c>
      <c r="P64" s="79">
        <f>+O64/D61</f>
        <v>4.8202249999999998</v>
      </c>
      <c r="Q64" s="80"/>
    </row>
    <row r="65" spans="2:16" ht="13.5" thickBot="1" x14ac:dyDescent="0.25">
      <c r="B65" s="264" t="s">
        <v>100</v>
      </c>
      <c r="C65" s="264"/>
      <c r="D65" s="264"/>
      <c r="E65" s="81">
        <f>+F65/F65</f>
        <v>1</v>
      </c>
      <c r="F65" s="82">
        <f>SUM(F57)</f>
        <v>43402.25</v>
      </c>
      <c r="G65" s="34">
        <f>+F65/$F$68</f>
        <v>0.93177325936496291</v>
      </c>
      <c r="H65" s="60"/>
      <c r="I65" s="68"/>
      <c r="K65" s="265"/>
      <c r="L65" s="266"/>
      <c r="M65" s="266"/>
      <c r="N65" s="266"/>
      <c r="O65" s="83"/>
      <c r="P65" s="84"/>
    </row>
    <row r="66" spans="2:16" ht="13.5" thickBot="1" x14ac:dyDescent="0.3">
      <c r="B66" s="267" t="s">
        <v>116</v>
      </c>
      <c r="C66" s="267"/>
      <c r="D66" s="267"/>
      <c r="E66" s="85">
        <v>0.02</v>
      </c>
      <c r="F66" s="82">
        <f>+F55*E66</f>
        <v>868.02</v>
      </c>
      <c r="G66" s="34">
        <f>+F66/$F$68</f>
        <v>1.8634928479375496E-2</v>
      </c>
      <c r="H66" s="46"/>
      <c r="I66" s="68"/>
      <c r="J66" s="86"/>
      <c r="O66" s="87"/>
      <c r="P66" s="44"/>
    </row>
    <row r="67" spans="2:16" ht="13.5" thickBot="1" x14ac:dyDescent="0.3">
      <c r="B67" s="268" t="s">
        <v>117</v>
      </c>
      <c r="C67" s="269"/>
      <c r="D67" s="88">
        <v>30</v>
      </c>
      <c r="E67" s="89">
        <v>77</v>
      </c>
      <c r="F67" s="82">
        <f>+E67*D67</f>
        <v>2310</v>
      </c>
      <c r="G67" s="34">
        <f>+F67/$F$68</f>
        <v>4.9591812155661615E-2</v>
      </c>
      <c r="H67" s="46"/>
      <c r="I67" s="46"/>
      <c r="J67" s="36"/>
    </row>
    <row r="68" spans="2:16" ht="13.5" thickBot="1" x14ac:dyDescent="0.3">
      <c r="B68" s="270" t="s">
        <v>118</v>
      </c>
      <c r="C68" s="271"/>
      <c r="D68" s="271"/>
      <c r="E68" s="272"/>
      <c r="F68" s="59">
        <f>SUM(F65:F67)</f>
        <v>46580.27</v>
      </c>
      <c r="G68" s="34">
        <f>+F68/$F$68</f>
        <v>1</v>
      </c>
      <c r="H68" s="273"/>
      <c r="I68" s="46"/>
      <c r="J68" s="36"/>
      <c r="M68" s="19" t="s">
        <v>119</v>
      </c>
    </row>
    <row r="69" spans="2:16" x14ac:dyDescent="0.25">
      <c r="C69" s="41"/>
      <c r="D69" s="41"/>
      <c r="E69" s="91"/>
      <c r="F69" s="82"/>
      <c r="G69" s="34"/>
      <c r="H69" s="273"/>
      <c r="I69" s="90"/>
      <c r="J69" s="19"/>
      <c r="M69" s="19" t="s">
        <v>120</v>
      </c>
    </row>
    <row r="70" spans="2:16" ht="13.5" thickBot="1" x14ac:dyDescent="0.3">
      <c r="B70" s="258" t="s">
        <v>121</v>
      </c>
      <c r="C70" s="258"/>
      <c r="D70" s="258"/>
      <c r="E70" s="258"/>
      <c r="F70" s="258"/>
      <c r="G70" s="34"/>
      <c r="H70" s="93"/>
      <c r="I70" s="90"/>
      <c r="J70" s="19"/>
      <c r="M70" s="19" t="s">
        <v>122</v>
      </c>
    </row>
    <row r="71" spans="2:16" ht="13.5" thickBot="1" x14ac:dyDescent="0.3">
      <c r="B71" s="94" t="s">
        <v>123</v>
      </c>
      <c r="C71" s="95">
        <f>+F55</f>
        <v>43401</v>
      </c>
      <c r="D71" s="95">
        <f>+D60</f>
        <v>10000</v>
      </c>
      <c r="E71" s="96">
        <f>+C71/D71</f>
        <v>4.3400999999999996</v>
      </c>
      <c r="F71" s="34"/>
      <c r="G71" s="93"/>
      <c r="H71" s="36"/>
      <c r="I71" s="93"/>
      <c r="J71" s="19"/>
    </row>
    <row r="72" spans="2:16" x14ac:dyDescent="0.25">
      <c r="B72" s="97"/>
      <c r="C72" s="98"/>
      <c r="D72" s="99"/>
      <c r="E72" s="82"/>
      <c r="F72" s="34"/>
      <c r="G72" s="93"/>
      <c r="H72" s="36"/>
      <c r="I72" s="36"/>
      <c r="J72" s="19"/>
    </row>
    <row r="73" spans="2:16" x14ac:dyDescent="0.25">
      <c r="B73" s="94" t="s">
        <v>124</v>
      </c>
      <c r="C73" s="95">
        <f>SUM(F65:F66)</f>
        <v>44270.27</v>
      </c>
      <c r="D73" s="95">
        <f>+D60</f>
        <v>10000</v>
      </c>
      <c r="E73" s="100">
        <f>+C73/D73</f>
        <v>4.4270269999999998</v>
      </c>
      <c r="F73" s="34"/>
      <c r="G73" s="93"/>
      <c r="H73" s="36"/>
      <c r="I73" s="36"/>
      <c r="J73" s="19"/>
    </row>
    <row r="74" spans="2:16" x14ac:dyDescent="0.25">
      <c r="B74" s="94"/>
      <c r="C74" s="95"/>
      <c r="D74" s="95"/>
      <c r="E74" s="100"/>
      <c r="F74" s="34"/>
      <c r="G74" s="93"/>
      <c r="H74" s="36"/>
      <c r="I74" s="36"/>
      <c r="J74" s="19"/>
    </row>
    <row r="75" spans="2:16" ht="13.5" thickBot="1" x14ac:dyDescent="0.3">
      <c r="B75" s="94" t="s">
        <v>125</v>
      </c>
      <c r="C75" s="95">
        <f>+F67</f>
        <v>2310</v>
      </c>
      <c r="D75" s="95">
        <f>+D60</f>
        <v>10000</v>
      </c>
      <c r="E75" s="100">
        <f>+C75/D75</f>
        <v>0.23100000000000001</v>
      </c>
      <c r="F75" s="34"/>
      <c r="G75" s="93"/>
      <c r="H75" s="36"/>
      <c r="I75" s="36"/>
      <c r="J75" s="19"/>
    </row>
    <row r="76" spans="2:16" ht="13.5" thickBot="1" x14ac:dyDescent="0.3">
      <c r="B76" s="94" t="s">
        <v>126</v>
      </c>
      <c r="C76" s="95">
        <f>+F58</f>
        <v>2310</v>
      </c>
      <c r="D76" s="95">
        <f>+D75</f>
        <v>10000</v>
      </c>
      <c r="E76" s="96">
        <f>+C76/D76</f>
        <v>0.23100000000000001</v>
      </c>
      <c r="F76" s="34"/>
      <c r="G76" s="93"/>
      <c r="H76" s="36"/>
      <c r="I76" s="36"/>
      <c r="J76" s="19"/>
    </row>
    <row r="77" spans="2:16" ht="13.5" thickBot="1" x14ac:dyDescent="0.3">
      <c r="B77" s="58"/>
      <c r="C77" s="59"/>
      <c r="D77" s="59"/>
      <c r="E77" s="100"/>
      <c r="F77" s="34"/>
      <c r="G77" s="93"/>
      <c r="H77" s="36"/>
      <c r="I77" s="36"/>
      <c r="J77" s="19"/>
    </row>
    <row r="78" spans="2:16" ht="13.5" thickBot="1" x14ac:dyDescent="0.3">
      <c r="B78" s="94" t="s">
        <v>127</v>
      </c>
      <c r="C78" s="95">
        <f>+F56</f>
        <v>1.25</v>
      </c>
      <c r="D78" s="95">
        <f>+D76</f>
        <v>10000</v>
      </c>
      <c r="E78" s="96">
        <f>+C78/D78</f>
        <v>1.25E-4</v>
      </c>
      <c r="F78" s="34"/>
      <c r="G78" s="93"/>
      <c r="H78" s="36"/>
      <c r="I78" s="36"/>
      <c r="J78" s="36"/>
    </row>
    <row r="79" spans="2:16" ht="13.5" thickBot="1" x14ac:dyDescent="0.3">
      <c r="B79" s="58"/>
      <c r="C79" s="59"/>
      <c r="D79" s="59"/>
      <c r="E79" s="100"/>
      <c r="F79" s="34"/>
      <c r="G79" s="93"/>
      <c r="H79" s="36"/>
      <c r="I79" s="36"/>
    </row>
    <row r="80" spans="2:16" ht="13.5" thickBot="1" x14ac:dyDescent="0.3">
      <c r="B80" s="259" t="s">
        <v>128</v>
      </c>
      <c r="C80" s="260"/>
      <c r="D80" s="261"/>
      <c r="E80" s="96">
        <f>+E71+E76</f>
        <v>4.5710999999999995</v>
      </c>
      <c r="G80" s="34"/>
      <c r="H80" s="93"/>
      <c r="I80" s="36"/>
      <c r="J80" s="100"/>
    </row>
    <row r="81" spans="1:10" x14ac:dyDescent="0.25">
      <c r="I81" s="93"/>
      <c r="J81" s="19"/>
    </row>
    <row r="82" spans="1:10" ht="13.5" thickBot="1" x14ac:dyDescent="0.3">
      <c r="B82" s="258" t="s">
        <v>129</v>
      </c>
      <c r="C82" s="258"/>
      <c r="D82" s="258"/>
      <c r="E82" s="258"/>
      <c r="F82" s="258"/>
      <c r="G82" s="34"/>
      <c r="H82" s="93"/>
      <c r="J82" s="19"/>
    </row>
    <row r="83" spans="1:10" ht="13.5" thickBot="1" x14ac:dyDescent="0.3">
      <c r="B83" s="94" t="s">
        <v>123</v>
      </c>
      <c r="C83" s="95">
        <f>+C71</f>
        <v>43401</v>
      </c>
      <c r="D83" s="95">
        <f>+D62</f>
        <v>1</v>
      </c>
      <c r="E83" s="96">
        <f>+C83/D83</f>
        <v>43401</v>
      </c>
      <c r="F83" s="34"/>
      <c r="G83" s="93"/>
      <c r="H83" s="36"/>
      <c r="I83" s="93"/>
      <c r="J83" s="19"/>
    </row>
    <row r="84" spans="1:10" x14ac:dyDescent="0.25">
      <c r="B84" s="97"/>
      <c r="C84" s="98"/>
      <c r="D84" s="99"/>
      <c r="E84" s="82"/>
      <c r="F84" s="34"/>
      <c r="G84" s="93"/>
      <c r="H84" s="36"/>
      <c r="I84" s="36"/>
      <c r="J84" s="19"/>
    </row>
    <row r="85" spans="1:10" x14ac:dyDescent="0.25">
      <c r="B85" s="94" t="s">
        <v>124</v>
      </c>
      <c r="C85" s="95">
        <f>+C73</f>
        <v>44270.27</v>
      </c>
      <c r="D85" s="95">
        <f>+D62</f>
        <v>1</v>
      </c>
      <c r="E85" s="100">
        <f>+C85/D85</f>
        <v>44270.27</v>
      </c>
      <c r="F85" s="34"/>
      <c r="G85" s="93"/>
      <c r="H85" s="36"/>
      <c r="I85" s="36"/>
      <c r="J85" s="19"/>
    </row>
    <row r="86" spans="1:10" x14ac:dyDescent="0.25">
      <c r="B86" s="94"/>
      <c r="C86" s="95"/>
      <c r="D86" s="95"/>
      <c r="E86" s="100"/>
      <c r="F86" s="34"/>
      <c r="G86" s="93"/>
      <c r="H86" s="36"/>
      <c r="I86" s="36"/>
      <c r="J86" s="19"/>
    </row>
    <row r="87" spans="1:10" ht="13.5" thickBot="1" x14ac:dyDescent="0.3">
      <c r="B87" s="94" t="s">
        <v>126</v>
      </c>
      <c r="C87" s="95">
        <f>+C75</f>
        <v>2310</v>
      </c>
      <c r="D87" s="95">
        <f>+D62</f>
        <v>1</v>
      </c>
      <c r="E87" s="100">
        <f>+C87/D87</f>
        <v>2310</v>
      </c>
      <c r="F87" s="102"/>
      <c r="G87" s="92"/>
      <c r="H87" s="18"/>
      <c r="I87" s="36"/>
    </row>
    <row r="88" spans="1:10" ht="13.5" thickBot="1" x14ac:dyDescent="0.3">
      <c r="B88" s="94" t="s">
        <v>126</v>
      </c>
      <c r="C88" s="95">
        <f>+C76</f>
        <v>2310</v>
      </c>
      <c r="D88" s="95">
        <f>+D87</f>
        <v>1</v>
      </c>
      <c r="E88" s="96">
        <f>+C88/D88</f>
        <v>2310</v>
      </c>
      <c r="F88" s="101"/>
      <c r="G88" s="92"/>
      <c r="H88" s="18"/>
      <c r="I88" s="18"/>
    </row>
    <row r="89" spans="1:10" x14ac:dyDescent="0.25">
      <c r="I89" s="18"/>
    </row>
    <row r="90" spans="1:10" x14ac:dyDescent="0.2">
      <c r="A90" s="262"/>
      <c r="B90" s="262"/>
      <c r="C90" s="103"/>
      <c r="D90" s="103"/>
      <c r="E90" s="104"/>
      <c r="G90" s="105"/>
    </row>
    <row r="91" spans="1:10" x14ac:dyDescent="0.2">
      <c r="A91" s="37"/>
      <c r="B91" s="106"/>
      <c r="C91" s="107"/>
      <c r="D91" s="107"/>
      <c r="E91" s="108"/>
      <c r="G91" s="105"/>
    </row>
    <row r="92" spans="1:10" x14ac:dyDescent="0.2">
      <c r="A92" s="37"/>
      <c r="B92" s="106"/>
      <c r="C92" s="109"/>
      <c r="D92" s="109"/>
      <c r="E92" s="37"/>
      <c r="G92" s="105"/>
    </row>
    <row r="93" spans="1:10" x14ac:dyDescent="0.2">
      <c r="A93" s="37"/>
      <c r="B93" s="106"/>
      <c r="C93" s="110"/>
      <c r="D93" s="110"/>
      <c r="E93" s="37"/>
      <c r="G93" s="105"/>
    </row>
  </sheetData>
  <mergeCells count="30">
    <mergeCell ref="B70:F70"/>
    <mergeCell ref="B80:D80"/>
    <mergeCell ref="B82:F82"/>
    <mergeCell ref="A90:B90"/>
    <mergeCell ref="L64:N64"/>
    <mergeCell ref="B65:D65"/>
    <mergeCell ref="K65:N65"/>
    <mergeCell ref="B66:D66"/>
    <mergeCell ref="B67:C67"/>
    <mergeCell ref="B68:E68"/>
    <mergeCell ref="H68:H69"/>
    <mergeCell ref="B63:C63"/>
    <mergeCell ref="K63:N63"/>
    <mergeCell ref="K32:L32"/>
    <mergeCell ref="B55:E55"/>
    <mergeCell ref="B56:E56"/>
    <mergeCell ref="K56:N56"/>
    <mergeCell ref="B57:E57"/>
    <mergeCell ref="C58:E58"/>
    <mergeCell ref="B60:C60"/>
    <mergeCell ref="B61:C61"/>
    <mergeCell ref="M61:N61"/>
    <mergeCell ref="B62:C62"/>
    <mergeCell ref="L62:M62"/>
    <mergeCell ref="K31:L31"/>
    <mergeCell ref="A4:H4"/>
    <mergeCell ref="A5:H5"/>
    <mergeCell ref="F6:G6"/>
    <mergeCell ref="K29:L29"/>
    <mergeCell ref="K30:L3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CCCDCA-5C76-476F-8DC5-8B8F17E12E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7116607-CD2A-4DC6-96A6-82F70ABB59D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7D703B1A-D239-4116-A952-4C18714F805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Costo Empaque </vt:lpstr>
      <vt:lpstr>Relleno Crema Pastelera Bailes </vt:lpstr>
      <vt:lpstr>Costo relleno Crema Past Bailey</vt:lpstr>
      <vt:lpstr>'Relleno Crema Pastelera Bailes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Coto Consultor</dc:creator>
  <cp:lastModifiedBy>Allan Brenes</cp:lastModifiedBy>
  <cp:lastPrinted>2026-03-02T20:41:27Z</cp:lastPrinted>
  <dcterms:created xsi:type="dcterms:W3CDTF">2025-01-06T20:55:42Z</dcterms:created>
  <dcterms:modified xsi:type="dcterms:W3CDTF">2026-04-09T22:43:44Z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
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AFE558BC-415B-4E9D-BD06-AE24DC74EEE7}" xr6:coauthVersionLast="47" xr6:coauthVersionMax="47" xr10:uidLastSave="{AB22A015-9320-4E3A-98A8-89C9B793E089}"/>
  <bookViews>
    <workbookView xWindow="20370" yWindow="-120" windowWidth="24240" windowHeight="13020" xr2:uid="{9354B580-ABBF-4E68-9035-BCFA095643A4}"/>
  </bookViews>
  <sheets>
    <sheet name="Coccion" sheetId="1" r:id="rId1"/>
  </sheets>
  <definedNames>
    <definedName name="_xlnm.Print_Area" localSheetId="0">Coccion!$A$1:$I$35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D22" i="1"/>
  <c r="D24" i="1"/>
</calcChain>
</file>

<file path=xl/sharedStrings.xml><?xml version="1.0" encoding="utf-8"?>
<sst xmlns="http://schemas.openxmlformats.org/spreadsheetml/2006/main" count="88" uniqueCount="71">
  <si>
    <t>CONTROL DE CAMBIOS</t>
  </si>
  <si>
    <t xml:space="preserve">3.- Luego colocar el  caldo de pollo y llevar al horno rational en la programacion de cerdo navideño 2024- </t>
  </si>
  <si>
    <t>1.- En una bandeja colocar la carne mano de piedra partida a la mitad para hacer dos tiras largas.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</si>
  <si>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</si>
  <si>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</si>
  <si>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</si>
  <si>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</si>
  <si>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</si>
  <si>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</si>
  <si>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</si>
  <si>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</si>
  <si>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</si>
  <si>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</si>
  <si>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</si>
  <si>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Caldo resultante 600g</t>
  </si>
  <si>
    <t>Tiempo de Horneo:</t>
  </si>
  <si>
    <t>PESO TOTAL OBTENIDO</t>
  </si>
  <si>
    <t>Unidad</t>
  </si>
  <si>
    <t>Cantidad</t>
  </si>
  <si>
    <t>FAS</t>
  </si>
  <si>
    <t>EMPAQUE CALDO DE POLLO 5000G</t>
  </si>
  <si>
    <t>Badia</t>
  </si>
  <si>
    <t>Oregano</t>
  </si>
  <si>
    <t>MP10266</t>
  </si>
  <si>
    <t>Paprika</t>
  </si>
  <si>
    <t>MP10034</t>
  </si>
  <si>
    <t>Mayca</t>
  </si>
  <si>
    <t>Pimienta Negra Molida</t>
  </si>
  <si>
    <t>MP10038</t>
  </si>
  <si>
    <t>Presto</t>
  </si>
  <si>
    <t>Pasta Ajo</t>
  </si>
  <si>
    <t>MP10019</t>
  </si>
  <si>
    <t>Sal Empacada Planta</t>
  </si>
  <si>
    <t>SE00104</t>
  </si>
  <si>
    <t>Retana</t>
  </si>
  <si>
    <t>Mano Piedra</t>
  </si>
  <si>
    <t>MP10244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</si>
  <si>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</si>
  <si>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</si>
  <si>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</si>
  <si>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</si>
  <si>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</si>
  <si>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</si>
  <si>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</si>
  <si>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</si>
  <si>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</si>
  <si>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</si>
  <si>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</si>
  <si>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</si>
  <si>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</si>
  <si>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</si>
  <si>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</si>
  <si>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</si>
  <si>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</si>
  <si>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SE00725 Mano de piedra coccion</t>
  </si>
  <si>
    <t>REVISIÓN:</t>
  </si>
  <si>
    <t>ESPECIFICACION DE RECETA</t>
  </si>
  <si>
    <t>ESP-RE-COCS-094</t>
  </si>
  <si>
    <t>CÓDIGO:</t>
  </si>
  <si>
    <t>SERVICIOS DE PASTELERIA S.A.</t>
  </si>
  <si>
    <t>MP10163</t>
  </si>
  <si>
    <t>Consome Concen. De Res</t>
  </si>
  <si>
    <t>Revision #2: Actualizacion por mejora, se agrega mas ajo y consome de res.</t>
  </si>
  <si>
    <t>MP10002</t>
  </si>
  <si>
    <t>Aceite Capullo Rbd</t>
  </si>
  <si>
    <t>Capullo</t>
  </si>
  <si>
    <t>Revision #3: Se agrega aceite a la receta.</t>
  </si>
  <si>
    <t>Revision #4: Modificacion de la cantidad de aceite</t>
  </si>
  <si>
    <t xml:space="preserve">2.- Adobar primero con el aceite y ajo, y luego agregar los secos por encima. </t>
  </si>
  <si>
    <t>Revision #5: Actualizacion de procedimiento en el adobo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</si>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</sst>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8"/>
      <name val="Century Gothic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135">
    <xf numFmtId="0" fontId="0" fillId="0" borderId="0" xfId="0"/>
    <xf numFmtId="0" fontId="4" fillId="4" borderId="3" xfId="2" applyFont="1" applyFill="1" applyBorder="1" applyAlignment="1">
      <alignment horizontal="center"/>
    </xf>
    <xf numFmtId="1" fontId="4" fillId="4" borderId="4" xfId="2" applyNumberFormat="1" applyFont="1" applyFill="1" applyBorder="1" applyAlignment="1">
      <alignment horizontal="center" wrapText="1"/>
    </xf>
    <xf numFmtId="1" fontId="4" fillId="4" borderId="4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right"/>
    </xf>
    <xf numFmtId="0" fontId="2" fillId="2" borderId="12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4" fillId="2" borderId="8" xfId="1" applyFont="1" applyFill="1" applyBorder="1" applyAlignment="1">
      <alignment horizontal="right"/>
    </xf>
    <xf numFmtId="0" fontId="7" fillId="0" borderId="17" xfId="0" applyFont="1" applyBorder="1" applyAlignment="1">
      <alignment horizontal="center"/>
    </xf>
    <xf numFmtId="0" fontId="4" fillId="2" borderId="18" xfId="1" applyFont="1" applyFill="1" applyBorder="1" applyAlignment="1">
      <alignment horizontal="right"/>
    </xf>
    <xf numFmtId="0" fontId="9" fillId="0" borderId="10" xfId="2" applyFont="1" applyBorder="1" applyAlignment="1">
      <alignment horizontal="center" vertical="center"/>
    </xf>
    <xf numFmtId="0" fontId="10" fillId="0" borderId="8" xfId="0" applyFont="1" applyBorder="1"/>
    <xf numFmtId="0" fontId="9" fillId="0" borderId="8" xfId="2" applyFont="1" applyBorder="1" applyAlignment="1">
      <alignment horizontal="center" vertical="center"/>
    </xf>
    <xf numFmtId="1" fontId="9" fillId="0" borderId="8" xfId="2" applyNumberFormat="1" applyFont="1" applyBorder="1" applyAlignment="1">
      <alignment horizontal="center"/>
    </xf>
    <xf numFmtId="1" fontId="9" fillId="0" borderId="8" xfId="2" applyNumberFormat="1" applyFont="1" applyBorder="1" applyAlignment="1">
      <alignment horizontal="center" wrapText="1"/>
    </xf>
    <xf numFmtId="0" fontId="11" fillId="0" borderId="7" xfId="2" applyFont="1" applyBorder="1" applyAlignment="1">
      <alignment horizontal="center"/>
    </xf>
    <xf numFmtId="1" fontId="10" fillId="0" borderId="8" xfId="0" applyNumberFormat="1" applyFont="1" applyBorder="1"/>
    <xf numFmtId="0" fontId="11" fillId="0" borderId="8" xfId="0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wrapText="1"/>
    </xf>
    <xf numFmtId="12" fontId="11" fillId="0" borderId="12" xfId="0" applyNumberFormat="1" applyFont="1" applyBorder="1" applyAlignment="1">
      <alignment horizontal="center"/>
    </xf>
    <xf numFmtId="0" fontId="11" fillId="0" borderId="8" xfId="4" applyFont="1" applyBorder="1" applyAlignment="1">
      <alignment horizontal="center"/>
    </xf>
    <xf numFmtId="0" fontId="11" fillId="0" borderId="8" xfId="3" applyFont="1" applyBorder="1" applyAlignment="1">
      <alignment horizontal="center"/>
    </xf>
    <xf numFmtId="1" fontId="9" fillId="0" borderId="8" xfId="3" applyNumberFormat="1" applyFont="1" applyBorder="1" applyAlignment="1">
      <alignment horizontal="center"/>
    </xf>
    <xf numFmtId="1" fontId="11" fillId="0" borderId="8" xfId="3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5" borderId="8" xfId="0" applyFont="1" applyFill="1" applyBorder="1" applyAlignment="1">
      <alignment horizontal="center"/>
    </xf>
    <xf numFmtId="0" fontId="11" fillId="0" borderId="8" xfId="0" quotePrefix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1" fontId="11" fillId="0" borderId="8" xfId="2" applyNumberFormat="1" applyFont="1" applyBorder="1" applyAlignment="1">
      <alignment horizontal="center"/>
    </xf>
    <xf numFmtId="49" fontId="12" fillId="2" borderId="30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9" xfId="2" applyFont="1" applyFill="1" applyBorder="1" applyAlignment="1">
      <alignment horizontal="center"/>
    </xf>
    <xf numFmtId="0" fontId="11" fillId="4" borderId="23" xfId="2" applyFont="1" applyFill="1" applyBorder="1" applyAlignment="1">
      <alignment horizontal="center"/>
    </xf>
    <xf numFmtId="0" fontId="11" fillId="4" borderId="22" xfId="2" applyFont="1" applyFill="1" applyBorder="1" applyAlignment="1">
      <alignment horizontal="center"/>
    </xf>
    <xf numFmtId="0" fontId="11" fillId="4" borderId="22" xfId="2" applyFont="1" applyFill="1" applyBorder="1"/>
    <xf numFmtId="0" fontId="9" fillId="4" borderId="22" xfId="2" applyFont="1" applyFill="1" applyBorder="1" applyAlignment="1">
      <alignment horizontal="center"/>
    </xf>
    <xf numFmtId="1" fontId="9" fillId="4" borderId="22" xfId="2" applyNumberFormat="1" applyFont="1" applyFill="1" applyBorder="1" applyAlignment="1">
      <alignment horizontal="center"/>
    </xf>
    <xf numFmtId="164" fontId="11" fillId="4" borderId="22" xfId="2" applyNumberFormat="1" applyFont="1" applyFill="1" applyBorder="1" applyAlignment="1">
      <alignment horizontal="center" wrapText="1"/>
    </xf>
    <xf numFmtId="0" fontId="11" fillId="4" borderId="21" xfId="2" applyFont="1" applyFill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9" fillId="0" borderId="9" xfId="2" applyFont="1" applyBorder="1" applyAlignment="1">
      <alignment horizontal="center" vertical="center"/>
    </xf>
    <xf numFmtId="1" fontId="9" fillId="0" borderId="12" xfId="2" applyNumberFormat="1" applyFont="1" applyBorder="1" applyAlignment="1">
      <alignment horizontal="center"/>
    </xf>
    <xf numFmtId="1" fontId="9" fillId="0" borderId="12" xfId="2" applyNumberFormat="1" applyFont="1" applyBorder="1" applyAlignment="1">
      <alignment horizontal="center" wrapText="1"/>
    </xf>
    <xf numFmtId="0" fontId="10" fillId="0" borderId="0" xfId="0" applyFont="1"/>
    <xf numFmtId="164" fontId="11" fillId="0" borderId="24" xfId="0" applyNumberFormat="1" applyFont="1" applyBorder="1" applyAlignment="1">
      <alignment horizontal="center" wrapText="1"/>
    </xf>
    <xf numFmtId="164" fontId="11" fillId="0" borderId="14" xfId="0" applyNumberFormat="1" applyFont="1" applyBorder="1" applyAlignment="1">
      <alignment horizontal="center" wrapText="1"/>
    </xf>
    <xf numFmtId="0" fontId="11" fillId="2" borderId="8" xfId="1" applyFont="1" applyFill="1" applyBorder="1" applyAlignment="1">
      <alignment horizontal="left"/>
    </xf>
    <xf numFmtId="0" fontId="9" fillId="4" borderId="23" xfId="2" applyFont="1" applyFill="1" applyBorder="1" applyAlignment="1">
      <alignment horizontal="center"/>
    </xf>
    <xf numFmtId="0" fontId="9" fillId="4" borderId="22" xfId="2" applyFont="1" applyFill="1" applyBorder="1" applyAlignment="1">
      <alignment horizontal="center"/>
    </xf>
    <xf numFmtId="0" fontId="9" fillId="4" borderId="21" xfId="2" applyFont="1" applyFill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9" fillId="3" borderId="2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4" fillId="4" borderId="18" xfId="2" applyFont="1" applyFill="1" applyBorder="1" applyAlignment="1">
      <alignment horizontal="center" vertical="center"/>
    </xf>
    <xf numFmtId="0" fontId="9" fillId="0" borderId="6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9" fillId="0" borderId="4" xfId="2" applyFont="1" applyBorder="1" applyAlignment="1">
      <alignment horizontal="right"/>
    </xf>
    <xf numFmtId="0" fontId="11" fillId="0" borderId="4" xfId="2" applyFont="1" applyBorder="1" applyAlignment="1">
      <alignment horizontal="right"/>
    </xf>
    <xf numFmtId="164" fontId="11" fillId="0" borderId="24" xfId="2" applyNumberFormat="1" applyFont="1" applyBorder="1" applyAlignment="1">
      <alignment horizontal="center"/>
    </xf>
    <xf numFmtId="164" fontId="11" fillId="0" borderId="14" xfId="2" applyNumberFormat="1" applyFont="1" applyBorder="1" applyAlignment="1">
      <alignment horizontal="center"/>
    </xf>
    <xf numFmtId="0" fontId="9" fillId="0" borderId="28" xfId="2" applyFont="1" applyBorder="1" applyAlignment="1">
      <alignment horizontal="right"/>
    </xf>
    <xf numFmtId="0" fontId="9" fillId="0" borderId="27" xfId="2" applyFont="1" applyBorder="1" applyAlignment="1">
      <alignment horizontal="right"/>
    </xf>
    <xf numFmtId="0" fontId="9" fillId="0" borderId="13" xfId="2" applyFont="1" applyBorder="1" applyAlignment="1">
      <alignment horizontal="right"/>
    </xf>
    <xf numFmtId="164" fontId="11" fillId="0" borderId="12" xfId="2" applyNumberFormat="1" applyFont="1" applyBorder="1" applyAlignment="1">
      <alignment horizontal="right"/>
    </xf>
    <xf numFmtId="0" fontId="11" fillId="2" borderId="26" xfId="2" applyFont="1" applyFill="1" applyBorder="1" applyAlignment="1">
      <alignment horizontal="center"/>
    </xf>
    <xf numFmtId="0" fontId="11" fillId="2" borderId="25" xfId="2" applyFont="1" applyFill="1" applyBorder="1" applyAlignment="1">
      <alignment horizontal="center"/>
    </xf>
    <xf numFmtId="0" fontId="9" fillId="0" borderId="16" xfId="2" applyFont="1" applyBorder="1" applyAlignment="1">
      <alignment horizontal="right"/>
    </xf>
    <xf numFmtId="0" fontId="9" fillId="0" borderId="15" xfId="2" applyFont="1" applyBorder="1" applyAlignment="1">
      <alignment horizontal="right"/>
    </xf>
    <xf numFmtId="0" fontId="9" fillId="0" borderId="9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164" fontId="11" fillId="0" borderId="24" xfId="2" applyNumberFormat="1" applyFont="1" applyBorder="1" applyAlignment="1">
      <alignment horizontal="right" wrapText="1"/>
    </xf>
    <xf numFmtId="164" fontId="11" fillId="0" borderId="9" xfId="2" applyNumberFormat="1" applyFont="1" applyBorder="1" applyAlignment="1">
      <alignment horizontal="right" wrapText="1"/>
    </xf>
    <xf numFmtId="14" fontId="2" fillId="2" borderId="37" xfId="1" applyNumberFormat="1" applyFont="1" applyFill="1" applyBorder="1" applyAlignment="1">
      <alignment horizontal="center" vertical="center" wrapText="1"/>
    </xf>
    <xf numFmtId="14" fontId="2" fillId="2" borderId="33" xfId="1" applyNumberFormat="1" applyFont="1" applyFill="1" applyBorder="1" applyAlignment="1">
      <alignment horizontal="center" vertical="center" wrapText="1"/>
    </xf>
    <xf numFmtId="14" fontId="2" fillId="2" borderId="11" xfId="1" applyNumberFormat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left"/>
    </xf>
    <xf numFmtId="0" fontId="2" fillId="2" borderId="35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4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30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8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6" fillId="2" borderId="18" xfId="1" applyFont="1" applyFill="1" applyBorder="1" applyAlignment="1">
      <alignment horizontal="center"/>
    </xf>
    <xf numFmtId="0" fontId="6" fillId="2" borderId="42" xfId="1" applyFont="1" applyFill="1" applyBorder="1" applyAlignment="1">
      <alignment horizontal="center"/>
    </xf>
    <xf numFmtId="0" fontId="6" fillId="2" borderId="41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8" fillId="6" borderId="40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center" vertical="center" wrapText="1"/>
    </xf>
    <xf numFmtId="0" fontId="8" fillId="6" borderId="39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4" fillId="2" borderId="34" xfId="1" applyFont="1" applyFill="1" applyBorder="1" applyAlignment="1">
      <alignment horizontal="right" vertical="top" wrapText="1"/>
    </xf>
    <xf numFmtId="0" fontId="4" fillId="2" borderId="32" xfId="1" applyFont="1" applyFill="1" applyBorder="1" applyAlignment="1">
      <alignment horizontal="right" vertical="top" wrapText="1"/>
    </xf>
    <xf numFmtId="0" fontId="5" fillId="2" borderId="0" xfId="1" applyFont="1" applyFill="1" applyAlignment="1">
      <alignment horizontal="right"/>
    </xf>
    <xf numFmtId="0" fontId="5" fillId="2" borderId="0" xfId="1" applyFont="1" applyFill="1"/>
    <xf numFmtId="0" fontId="4" fillId="4" borderId="20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 wrapText="1"/>
    </xf>
    <xf numFmtId="0" fontId="4" fillId="4" borderId="44" xfId="2" applyFont="1" applyFill="1" applyBorder="1" applyAlignment="1">
      <alignment horizontal="center" vertical="center" wrapText="1"/>
    </xf>
    <xf numFmtId="0" fontId="4" fillId="4" borderId="45" xfId="2" applyFont="1" applyFill="1" applyBorder="1" applyAlignment="1">
      <alignment horizontal="center" vertical="center"/>
    </xf>
    <xf numFmtId="0" fontId="4" fillId="4" borderId="4" xfId="2" applyFont="1" applyFill="1" applyBorder="1" applyAlignment="1">
      <alignment horizontal="center" vertical="center"/>
    </xf>
    <xf numFmtId="0" fontId="13" fillId="2" borderId="31" xfId="1" applyFont="1" applyFill="1" applyBorder="1" applyAlignment="1">
      <alignment horizontal="center"/>
    </xf>
    <xf numFmtId="14" fontId="13" fillId="2" borderId="0" xfId="1" applyNumberFormat="1" applyFont="1" applyFill="1" applyAlignment="1">
      <alignment horizontal="center" vertical="center" wrapText="1"/>
    </xf>
  </cellXfs>
  <cellStyles count="5">
    <cellStyle name="Normal" xfId="0" builtinId="0"/>
    <cellStyle name="Normal 2" xfId="2" xr:uid="{4CCE6024-E1C6-46C7-A298-D3D4E7D49F52}"/>
    <cellStyle name="Normal 2 2" xfId="3" xr:uid="{31EE5F60-C68D-4430-8C7D-9336A1DCA856}"/>
    <cellStyle name="Normal 3 2" xfId="4" xr:uid="{F636B38A-F51F-4A9E-803C-0ED4C0C0015E}"/>
    <cellStyle name="Normal_CRITERIOS DE EVALUACION PT DE GB 2" xfId="1" xr:uid="{541E217E-FF78-4982-A92B-2794371AAC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59531</xdr:colOff>
      <xdr:row>1</xdr:row>
      <xdr:rowOff>2381</xdr:rowOff>
    </xdr:from>
    <xdr:ext cx="1681637" cy="75961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5155EF8-5D66-48E7-AB1F-C75FB350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216694"/>
          <a:ext cx="1681637" cy="7596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3F62-792C-467F-858A-529848878E6C}">
  <sheetPr>
    <pageSetUpPr fitToPage="1"/>
  </sheetPr>
  <dimension ref="A1:K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.85546875" customWidth="1"/>
    <col min="3" max="3" width="52.140625" customWidth="1"/>
    <col min="4" max="4" width="18" customWidth="1"/>
    <col min="5" max="5" width="13.42578125" customWidth="1"/>
    <col min="6" max="6" width="12.28515625" customWidth="1"/>
    <col min="7" max="7" width="20.42578125" customWidth="1"/>
    <col min="8" max="8" width="16.140625" customWidth="1"/>
    <col min="9" max="9" width="19.42578125" bestFit="1" customWidth="1"/>
  </cols>
  <sheetData>
    <row r="1" spans="1:9" ht="16.5" x14ac:dyDescent="0.3">
      <c r="A1" s="109"/>
      <c r="B1" s="110"/>
      <c r="C1" s="115" t="s">
        <v>59</v>
      </c>
      <c r="D1" s="115"/>
      <c r="E1" s="115"/>
      <c r="F1" s="115"/>
      <c r="G1" s="115"/>
      <c r="H1" s="10" t="s">
        <v>58</v>
      </c>
      <c r="I1" s="9" t="s">
        <v>57</v>
      </c>
    </row>
    <row r="2" spans="1:9" ht="18" customHeight="1" thickBot="1" x14ac:dyDescent="0.3">
      <c r="A2" s="111"/>
      <c r="B2" s="112"/>
      <c r="C2" s="116" t="s">
        <v>56</v>
      </c>
      <c r="D2" s="117"/>
      <c r="E2" s="117"/>
      <c r="F2" s="117"/>
      <c r="G2" s="118"/>
      <c r="H2" s="8" t="s">
        <v>55</v>
      </c>
      <c r="I2" s="7" t="s">
        <v>70</v>
      </c>
    </row>
    <row r="3" spans="1:9" ht="31.5" customHeight="1" thickBot="1" x14ac:dyDescent="0.3">
      <c r="A3" s="111"/>
      <c r="B3" s="112"/>
      <c r="C3" s="119" t="s">
        <v>54</v>
      </c>
      <c r="D3" s="120"/>
      <c r="E3" s="120"/>
      <c r="F3" s="120"/>
      <c r="G3" s="121"/>
      <c r="H3" s="122" t="s">
        <v>53</v>
      </c>
      <c r="I3" s="100">
        <v>45835</v>
      </c>
    </row>
    <row r="4" spans="1:9" ht="18" customHeight="1" x14ac:dyDescent="0.25">
      <c r="A4" s="111"/>
      <c r="B4" s="112"/>
      <c r="C4" s="6" t="s">
        <v>52</v>
      </c>
      <c r="D4" s="103" t="s">
        <v>51</v>
      </c>
      <c r="E4" s="104"/>
      <c r="F4" s="104"/>
      <c r="G4" s="105"/>
      <c r="H4" s="123"/>
      <c r="I4" s="101"/>
    </row>
    <row r="5" spans="1:9" ht="15.75" thickBot="1" x14ac:dyDescent="0.3">
      <c r="A5" s="113"/>
      <c r="B5" s="114"/>
      <c r="C5" s="5" t="s">
        <v>50</v>
      </c>
      <c r="D5" s="106" t="s">
        <v>49</v>
      </c>
      <c r="E5" s="107"/>
      <c r="F5" s="107"/>
      <c r="G5" s="108"/>
      <c r="H5" s="124"/>
      <c r="I5" s="102"/>
    </row>
    <row r="6" spans="1:9" ht="18.75" thickBot="1" x14ac:dyDescent="0.3">
      <c r="A6" s="125" t="s">
        <v>48</v>
      </c>
      <c r="B6" s="125"/>
      <c r="C6" s="125"/>
      <c r="D6" s="133" t="s">
        <v>46</v>
      </c>
      <c r="E6" s="133"/>
      <c r="F6" s="133"/>
      <c r="G6" s="126" t="s">
        <v>47</v>
      </c>
      <c r="H6" s="126"/>
      <c r="I6" s="134" t="s">
        <v>46</v>
      </c>
    </row>
    <row r="7" spans="1:9" ht="25.5" customHeight="1" x14ac:dyDescent="0.25">
      <c r="A7" s="127" t="s">
        <v>45</v>
      </c>
      <c r="B7" s="129" t="s">
        <v>44</v>
      </c>
      <c r="C7" s="81" t="s">
        <v>43</v>
      </c>
      <c r="D7" s="81" t="s">
        <v>42</v>
      </c>
      <c r="E7" s="81" t="s">
        <v>41</v>
      </c>
      <c r="F7" s="81"/>
      <c r="G7" s="81" t="s">
        <v>40</v>
      </c>
      <c r="H7" s="81"/>
      <c r="I7" s="4" t="s">
        <v>39</v>
      </c>
    </row>
    <row r="8" spans="1:9" ht="30" customHeight="1" thickBot="1" x14ac:dyDescent="0.3">
      <c r="A8" s="128"/>
      <c r="B8" s="130"/>
      <c r="C8" s="131"/>
      <c r="D8" s="132"/>
      <c r="E8" s="3" t="s">
        <v>18</v>
      </c>
      <c r="F8" s="2" t="s">
        <v>38</v>
      </c>
      <c r="G8" s="3" t="s">
        <v>18</v>
      </c>
      <c r="H8" s="2" t="s">
        <v>38</v>
      </c>
      <c r="I8" s="1" t="s">
        <v>37</v>
      </c>
    </row>
    <row r="9" spans="1:9" ht="20.25" x14ac:dyDescent="0.3">
      <c r="A9" s="11"/>
      <c r="B9" s="12" t="s">
        <v>36</v>
      </c>
      <c r="C9" s="12" t="s">
        <v>35</v>
      </c>
      <c r="D9" s="13" t="s">
        <v>34</v>
      </c>
      <c r="E9" s="14">
        <v>2000</v>
      </c>
      <c r="F9" s="15" t="s">
        <v>4</v>
      </c>
      <c r="G9" s="14"/>
      <c r="H9" s="15"/>
      <c r="I9" s="16"/>
    </row>
    <row r="10" spans="1:9" ht="20.25" x14ac:dyDescent="0.3">
      <c r="A10" s="53"/>
      <c r="B10" s="12" t="s">
        <v>63</v>
      </c>
      <c r="C10" s="56" t="s">
        <v>64</v>
      </c>
      <c r="D10" s="13" t="s">
        <v>65</v>
      </c>
      <c r="E10" s="14">
        <v>20</v>
      </c>
      <c r="F10" s="15" t="s">
        <v>4</v>
      </c>
      <c r="G10" s="54"/>
      <c r="H10" s="55"/>
      <c r="I10" s="16"/>
    </row>
    <row r="11" spans="1:9" ht="20.25" x14ac:dyDescent="0.3">
      <c r="A11" s="17"/>
      <c r="B11" s="12" t="s">
        <v>33</v>
      </c>
      <c r="C11" s="12" t="s">
        <v>32</v>
      </c>
      <c r="D11" s="18" t="s">
        <v>19</v>
      </c>
      <c r="E11" s="19">
        <v>15</v>
      </c>
      <c r="F11" s="20" t="s">
        <v>4</v>
      </c>
      <c r="G11" s="21"/>
      <c r="H11" s="22"/>
      <c r="I11" s="16"/>
    </row>
    <row r="12" spans="1:9" ht="20.25" x14ac:dyDescent="0.3">
      <c r="A12" s="18"/>
      <c r="B12" s="12" t="s">
        <v>31</v>
      </c>
      <c r="C12" s="12" t="s">
        <v>30</v>
      </c>
      <c r="D12" s="18" t="s">
        <v>29</v>
      </c>
      <c r="E12" s="19">
        <v>40</v>
      </c>
      <c r="F12" s="20" t="s">
        <v>4</v>
      </c>
      <c r="G12" s="21"/>
      <c r="H12" s="22"/>
      <c r="I12" s="16"/>
    </row>
    <row r="13" spans="1:9" ht="20.25" x14ac:dyDescent="0.3">
      <c r="A13" s="23"/>
      <c r="B13" s="12" t="s">
        <v>28</v>
      </c>
      <c r="C13" s="12" t="s">
        <v>27</v>
      </c>
      <c r="D13" s="24" t="s">
        <v>26</v>
      </c>
      <c r="E13" s="25">
        <v>2</v>
      </c>
      <c r="F13" s="26" t="s">
        <v>4</v>
      </c>
      <c r="G13" s="27"/>
      <c r="H13" s="22"/>
      <c r="I13" s="16"/>
    </row>
    <row r="14" spans="1:9" ht="20.25" x14ac:dyDescent="0.3">
      <c r="A14" s="28"/>
      <c r="B14" s="12" t="s">
        <v>25</v>
      </c>
      <c r="C14" s="12" t="s">
        <v>24</v>
      </c>
      <c r="D14" s="27" t="s">
        <v>21</v>
      </c>
      <c r="E14" s="27">
        <v>6</v>
      </c>
      <c r="F14" s="27" t="s">
        <v>4</v>
      </c>
      <c r="G14" s="27"/>
      <c r="H14" s="22"/>
      <c r="I14" s="16"/>
    </row>
    <row r="15" spans="1:9" ht="20.25" x14ac:dyDescent="0.3">
      <c r="A15" s="29"/>
      <c r="B15" s="12" t="s">
        <v>23</v>
      </c>
      <c r="C15" s="12" t="s">
        <v>22</v>
      </c>
      <c r="D15" s="27" t="s">
        <v>21</v>
      </c>
      <c r="E15" s="27">
        <v>4</v>
      </c>
      <c r="F15" s="27" t="s">
        <v>4</v>
      </c>
      <c r="G15" s="27"/>
      <c r="H15" s="22"/>
      <c r="I15" s="16"/>
    </row>
    <row r="16" spans="1:9" ht="20.25" x14ac:dyDescent="0.3">
      <c r="A16" s="29"/>
      <c r="B16" s="29"/>
      <c r="C16" s="30" t="s">
        <v>20</v>
      </c>
      <c r="D16" s="31" t="s">
        <v>19</v>
      </c>
      <c r="E16" s="27">
        <v>500</v>
      </c>
      <c r="F16" s="27" t="s">
        <v>4</v>
      </c>
      <c r="G16" s="27"/>
      <c r="H16" s="22"/>
      <c r="I16" s="16"/>
    </row>
    <row r="17" spans="1:11" ht="20.25" x14ac:dyDescent="0.3">
      <c r="A17" s="32"/>
      <c r="B17" s="12" t="s">
        <v>60</v>
      </c>
      <c r="C17" s="12" t="s">
        <v>61</v>
      </c>
      <c r="D17" s="27"/>
      <c r="E17" s="33">
        <v>15</v>
      </c>
      <c r="F17" s="33" t="s">
        <v>4</v>
      </c>
      <c r="G17" s="34"/>
      <c r="H17" s="15"/>
      <c r="I17" s="16"/>
    </row>
    <row r="18" spans="1:11" ht="21" thickBot="1" x14ac:dyDescent="0.35">
      <c r="A18" s="35"/>
      <c r="B18" s="36"/>
      <c r="C18" s="37"/>
      <c r="D18" s="37"/>
      <c r="E18" s="38"/>
      <c r="F18" s="39"/>
      <c r="G18" s="37"/>
      <c r="H18" s="37"/>
      <c r="I18" s="40"/>
    </row>
    <row r="19" spans="1:11" ht="21" thickBot="1" x14ac:dyDescent="0.35">
      <c r="A19" s="41"/>
      <c r="B19" s="42"/>
      <c r="C19" s="43"/>
      <c r="D19" s="44" t="s">
        <v>18</v>
      </c>
      <c r="E19" s="45" t="s">
        <v>17</v>
      </c>
      <c r="F19" s="46"/>
      <c r="G19" s="43"/>
      <c r="H19" s="43"/>
      <c r="I19" s="47"/>
    </row>
    <row r="20" spans="1:11" ht="20.25" x14ac:dyDescent="0.3">
      <c r="A20" s="88" t="s">
        <v>16</v>
      </c>
      <c r="B20" s="89"/>
      <c r="C20" s="90"/>
      <c r="D20" s="48">
        <v>1065</v>
      </c>
      <c r="E20" s="49" t="s">
        <v>4</v>
      </c>
      <c r="F20" s="91" t="s">
        <v>15</v>
      </c>
      <c r="G20" s="91"/>
      <c r="H20" s="92" t="s">
        <v>14</v>
      </c>
      <c r="I20" s="93"/>
    </row>
    <row r="21" spans="1:11" ht="20.25" x14ac:dyDescent="0.3">
      <c r="A21" s="94" t="s">
        <v>13</v>
      </c>
      <c r="B21" s="95"/>
      <c r="C21" s="96"/>
      <c r="D21" s="50">
        <v>8</v>
      </c>
      <c r="E21" s="27" t="s">
        <v>12</v>
      </c>
      <c r="F21" s="97" t="s">
        <v>11</v>
      </c>
      <c r="G21" s="97"/>
      <c r="H21" s="86"/>
      <c r="I21" s="87"/>
      <c r="K21">
        <f>1065+600</f>
        <v>1665</v>
      </c>
    </row>
    <row r="22" spans="1:11" ht="20.25" x14ac:dyDescent="0.3">
      <c r="A22" s="94" t="s">
        <v>10</v>
      </c>
      <c r="B22" s="95"/>
      <c r="C22" s="96"/>
      <c r="D22" s="50">
        <f>D20/D23</f>
        <v>7.1</v>
      </c>
      <c r="E22" s="27" t="s">
        <v>9</v>
      </c>
      <c r="F22" s="97" t="s">
        <v>8</v>
      </c>
      <c r="G22" s="97"/>
      <c r="H22" s="86"/>
      <c r="I22" s="87"/>
    </row>
    <row r="23" spans="1:11" ht="20.25" x14ac:dyDescent="0.3">
      <c r="A23" s="94" t="s">
        <v>7</v>
      </c>
      <c r="B23" s="95"/>
      <c r="C23" s="96"/>
      <c r="D23" s="50">
        <v>150</v>
      </c>
      <c r="E23" s="27" t="s">
        <v>4</v>
      </c>
      <c r="F23" s="98" t="s">
        <v>6</v>
      </c>
      <c r="G23" s="99"/>
      <c r="H23" s="57"/>
      <c r="I23" s="58"/>
    </row>
    <row r="24" spans="1:11" ht="21" thickBot="1" x14ac:dyDescent="0.35">
      <c r="A24" s="82" t="s">
        <v>5</v>
      </c>
      <c r="B24" s="83"/>
      <c r="C24" s="84"/>
      <c r="D24" s="51">
        <f>SUM(E9:E16)-D20</f>
        <v>1522</v>
      </c>
      <c r="E24" s="52" t="s">
        <v>4</v>
      </c>
      <c r="F24" s="85"/>
      <c r="G24" s="85"/>
      <c r="H24" s="86"/>
      <c r="I24" s="87"/>
    </row>
    <row r="25" spans="1:11" ht="21" thickBot="1" x14ac:dyDescent="0.35">
      <c r="A25" s="60" t="s">
        <v>3</v>
      </c>
      <c r="B25" s="61"/>
      <c r="C25" s="61"/>
      <c r="D25" s="61"/>
      <c r="E25" s="61"/>
      <c r="F25" s="61"/>
      <c r="G25" s="61"/>
      <c r="H25" s="61"/>
      <c r="I25" s="62"/>
    </row>
    <row r="26" spans="1:11" ht="20.25" x14ac:dyDescent="0.3">
      <c r="A26" s="63" t="s">
        <v>2</v>
      </c>
      <c r="B26" s="64"/>
      <c r="C26" s="65"/>
      <c r="D26" s="65"/>
      <c r="E26" s="65"/>
      <c r="F26" s="65"/>
      <c r="G26" s="65"/>
      <c r="H26" s="65"/>
      <c r="I26" s="66"/>
    </row>
    <row r="27" spans="1:11" ht="20.25" x14ac:dyDescent="0.3">
      <c r="A27" s="69" t="s">
        <v>68</v>
      </c>
      <c r="B27" s="70"/>
      <c r="C27" s="71"/>
      <c r="D27" s="71"/>
      <c r="E27" s="71"/>
      <c r="F27" s="71"/>
      <c r="G27" s="71"/>
      <c r="H27" s="71"/>
      <c r="I27" s="72"/>
    </row>
    <row r="28" spans="1:11" ht="20.25" x14ac:dyDescent="0.3">
      <c r="A28" s="73" t="s">
        <v>1</v>
      </c>
      <c r="B28" s="74"/>
      <c r="C28" s="75"/>
      <c r="D28" s="75"/>
      <c r="E28" s="75"/>
      <c r="F28" s="75"/>
      <c r="G28" s="75"/>
      <c r="H28" s="75"/>
      <c r="I28" s="76"/>
    </row>
    <row r="29" spans="1:11" ht="21" thickBot="1" x14ac:dyDescent="0.35">
      <c r="A29" s="77"/>
      <c r="B29" s="78"/>
      <c r="C29" s="79"/>
      <c r="D29" s="79"/>
      <c r="E29" s="79"/>
      <c r="F29" s="79"/>
      <c r="G29" s="79"/>
      <c r="H29" s="79"/>
      <c r="I29" s="80"/>
    </row>
    <row r="30" spans="1:11" ht="20.25" x14ac:dyDescent="0.3">
      <c r="A30" s="67" t="s">
        <v>0</v>
      </c>
      <c r="B30" s="68"/>
      <c r="C30" s="68"/>
      <c r="D30" s="68"/>
      <c r="E30" s="68"/>
      <c r="F30" s="68"/>
      <c r="G30" s="68"/>
      <c r="H30" s="68"/>
      <c r="I30" s="68"/>
    </row>
    <row r="31" spans="1:11" ht="20.25" x14ac:dyDescent="0.3">
      <c r="A31" s="59" t="s">
        <v>62</v>
      </c>
      <c r="B31" s="59"/>
      <c r="C31" s="59"/>
      <c r="D31" s="59"/>
      <c r="E31" s="59"/>
      <c r="F31" s="59"/>
      <c r="G31" s="59"/>
      <c r="H31" s="59"/>
      <c r="I31" s="59"/>
    </row>
    <row r="32" spans="1:11" ht="20.25" x14ac:dyDescent="0.3">
      <c r="A32" s="59" t="s">
        <v>66</v>
      </c>
      <c r="B32" s="59"/>
      <c r="C32" s="59"/>
      <c r="D32" s="59"/>
      <c r="E32" s="59"/>
      <c r="F32" s="59"/>
      <c r="G32" s="59"/>
      <c r="H32" s="59"/>
      <c r="I32" s="59"/>
    </row>
    <row r="33" spans="1:9" ht="20.25" x14ac:dyDescent="0.3">
      <c r="A33" s="59" t="s">
        <v>67</v>
      </c>
      <c r="B33" s="59"/>
      <c r="C33" s="59"/>
      <c r="D33" s="59"/>
      <c r="E33" s="59"/>
      <c r="F33" s="59"/>
      <c r="G33" s="59"/>
      <c r="H33" s="59"/>
      <c r="I33" s="59"/>
    </row>
    <row r="34" spans="1:9" ht="20.25" x14ac:dyDescent="0.3">
      <c r="A34" s="59" t="s">
        <v>69</v>
      </c>
      <c r="B34" s="59"/>
      <c r="C34" s="59"/>
      <c r="D34" s="59"/>
      <c r="E34" s="59"/>
      <c r="F34" s="59"/>
      <c r="G34" s="59"/>
      <c r="H34" s="59"/>
      <c r="I34" s="59"/>
    </row>
  </sheetData>
  <mergeCells count="42">
    <mergeCell ref="A34:I3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3:I33"/>
    <mergeCell ref="A25:I25"/>
    <mergeCell ref="A26:I26"/>
    <mergeCell ref="A30:I30"/>
    <mergeCell ref="A31:I31"/>
    <mergeCell ref="A27:I27"/>
    <mergeCell ref="A32:I32"/>
    <mergeCell ref="A28:I28"/>
    <mergeCell ref="A29:I29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006B87-9953-4B4A-AAB8-C758B13A9ED0}"/>
</file>

<file path=customXml/itemProps2.xml><?xml version="1.0" encoding="utf-8"?>
<ds:datastoreItem xmlns:ds="http://schemas.openxmlformats.org/officeDocument/2006/customXml" ds:itemID="{388AD9C9-F013-498B-848E-77A1F3C819B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73541B3-7054-45E4-B77D-37C8CF3D08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Coccion</vt:lpstr>
      <vt:lpstr>Coccion!Área_de_impresión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2026-02-26T22:25:07Z</cp:lastPrinted>
  <dcterms:created xsi:type="dcterms:W3CDTF">2025-06-27T16:27:43Z</dcterms:created>
  <dcterms:modified xsi:type="dcterms:W3CDTF">2026-02-26T22:25:41Z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
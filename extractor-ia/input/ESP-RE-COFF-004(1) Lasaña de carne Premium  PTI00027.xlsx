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F/"/>
    </mc:Choice>
  </mc:AlternateContent>
  <xr:revisionPtr revIDLastSave="6" documentId="8_{9397E66E-5C49-4984-85B3-F77C365FBE46}" xr6:coauthVersionLast="47" xr6:coauthVersionMax="47" xr10:uidLastSave="{97C75D27-2148-43F7-9F4B-7DFA5082735E}"/>
  <bookViews>
    <workbookView xWindow="-120" yWindow="-120" windowWidth="29040" windowHeight="15840" tabRatio="815" xr2:uid="{A19A580D-C029-48CE-8936-8A71A47BDCAA}"/>
  </bookViews>
  <sheets>
    <sheet name="Hoja2" sheetId="13" r:id="rId1"/>
    <sheet name="COSTEO REC" sheetId="10" state="hidden" r:id="rId2"/>
    <sheet name="PRECIO" sheetId="11" state="hidden" r:id="rId3"/>
  </sheets>
  <externalReferences>
    <externalReference r:id="rId4"/>
  </externalReferences>
  <definedNames>
    <definedName name="_xlnm.Print_Area" localSheetId="0">Hoja2!$A$1:$I$59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3" l="1"/>
  <c r="E11" i="13"/>
  <c r="E10" i="13"/>
  <c r="A39" i="10"/>
  <c r="C39" i="10"/>
  <c r="F39" i="10"/>
  <c r="E39" i="10"/>
  <c r="A40" i="10"/>
  <c r="C40" i="10"/>
  <c r="E40" i="10"/>
  <c r="F40" i="10"/>
  <c r="A41" i="10"/>
  <c r="C41" i="10"/>
  <c r="E41" i="10"/>
  <c r="F41" i="10"/>
  <c r="A42" i="10"/>
  <c r="C42" i="10"/>
  <c r="E42" i="10"/>
  <c r="F42" i="10"/>
  <c r="A43" i="10"/>
  <c r="C43" i="10"/>
  <c r="E43" i="10"/>
  <c r="F43" i="10"/>
  <c r="C44" i="10"/>
  <c r="F58" i="10"/>
  <c r="E44" i="10"/>
  <c r="F44" i="10"/>
  <c r="D53" i="10"/>
  <c r="E24" i="10"/>
  <c r="C24" i="10"/>
  <c r="F24" i="10"/>
  <c r="C25" i="10"/>
  <c r="F25" i="10"/>
  <c r="E26" i="10"/>
  <c r="F26" i="10"/>
  <c r="C26" i="10"/>
  <c r="E27" i="10"/>
  <c r="C27" i="10"/>
  <c r="F27" i="10"/>
  <c r="E28" i="10"/>
  <c r="F28" i="10"/>
  <c r="C28" i="10"/>
  <c r="E29" i="10"/>
  <c r="F29" i="10"/>
  <c r="C29" i="10"/>
  <c r="E32" i="10"/>
  <c r="F32" i="10"/>
  <c r="G32" i="10"/>
  <c r="A32" i="10"/>
  <c r="C32" i="10"/>
  <c r="E33" i="10"/>
  <c r="A33" i="10"/>
  <c r="C33" i="10"/>
  <c r="E34" i="10"/>
  <c r="F34" i="10"/>
  <c r="A34" i="10"/>
  <c r="C34" i="10"/>
  <c r="E35" i="10"/>
  <c r="A35" i="10"/>
  <c r="C35" i="10"/>
  <c r="E36" i="10"/>
  <c r="F36" i="10"/>
  <c r="G36" i="10"/>
  <c r="A36" i="10"/>
  <c r="C36" i="10"/>
  <c r="C8" i="10"/>
  <c r="E8" i="10"/>
  <c r="F8" i="10"/>
  <c r="C9" i="10"/>
  <c r="E9" i="10"/>
  <c r="F9" i="10"/>
  <c r="C10" i="10"/>
  <c r="F10" i="10"/>
  <c r="E10" i="10"/>
  <c r="C11" i="10"/>
  <c r="F11" i="10"/>
  <c r="E11" i="10"/>
  <c r="C12" i="10"/>
  <c r="E12" i="10"/>
  <c r="F12" i="10"/>
  <c r="C13" i="10"/>
  <c r="E13" i="10"/>
  <c r="F13" i="10"/>
  <c r="C14" i="10"/>
  <c r="F14" i="10"/>
  <c r="E14" i="10"/>
  <c r="E17" i="10"/>
  <c r="F17" i="10"/>
  <c r="C17" i="10"/>
  <c r="E18" i="10"/>
  <c r="C18" i="10"/>
  <c r="F18" i="10"/>
  <c r="E19" i="10"/>
  <c r="C19" i="10"/>
  <c r="F19" i="10"/>
  <c r="E20" i="10"/>
  <c r="F20" i="10"/>
  <c r="C20" i="10"/>
  <c r="E21" i="10"/>
  <c r="F21" i="10"/>
  <c r="C21" i="10"/>
  <c r="D6" i="11"/>
  <c r="D9" i="11"/>
  <c r="D78" i="10"/>
  <c r="D79" i="10"/>
  <c r="C66" i="10"/>
  <c r="C78" i="10"/>
  <c r="E78" i="10"/>
  <c r="D76" i="10"/>
  <c r="D74" i="10"/>
  <c r="D62" i="10"/>
  <c r="D66" i="10"/>
  <c r="D67" i="10"/>
  <c r="D69" i="10"/>
  <c r="E66" i="10"/>
  <c r="D64" i="10"/>
  <c r="G34" i="10"/>
  <c r="D29" i="10"/>
  <c r="B29" i="10"/>
  <c r="D28" i="10"/>
  <c r="B28" i="10"/>
  <c r="D27" i="10"/>
  <c r="B27" i="10"/>
  <c r="D26" i="10"/>
  <c r="B26" i="10"/>
  <c r="D24" i="10"/>
  <c r="B24" i="10"/>
  <c r="D21" i="10"/>
  <c r="B21" i="10"/>
  <c r="D20" i="10"/>
  <c r="B20" i="10"/>
  <c r="D19" i="10"/>
  <c r="B19" i="10"/>
  <c r="D18" i="10"/>
  <c r="B18" i="10"/>
  <c r="D17" i="10"/>
  <c r="B17" i="10"/>
  <c r="D14" i="10"/>
  <c r="B14" i="10"/>
  <c r="D13" i="10"/>
  <c r="B13" i="10"/>
  <c r="D12" i="10"/>
  <c r="B12" i="10"/>
  <c r="D11" i="10"/>
  <c r="B11" i="10"/>
  <c r="D10" i="10"/>
  <c r="B10" i="10"/>
  <c r="D9" i="10"/>
  <c r="B9" i="10"/>
  <c r="D8" i="10"/>
  <c r="B8" i="10"/>
  <c r="H6" i="10"/>
  <c r="F46" i="10"/>
  <c r="F49" i="10"/>
  <c r="F35" i="10"/>
  <c r="G35" i="10"/>
  <c r="F33" i="10"/>
  <c r="G33" i="10"/>
  <c r="O48" i="10"/>
  <c r="H49" i="10"/>
  <c r="C67" i="10"/>
  <c r="F57" i="10"/>
  <c r="H46" i="10"/>
  <c r="C62" i="10"/>
  <c r="F47" i="10"/>
  <c r="H47" i="10"/>
  <c r="C69" i="10"/>
  <c r="E69" i="10"/>
  <c r="F2" i="10"/>
  <c r="E6" i="11"/>
  <c r="F6" i="11"/>
  <c r="E67" i="10"/>
  <c r="C79" i="10"/>
  <c r="E79" i="10"/>
  <c r="C74" i="10"/>
  <c r="E74" i="10"/>
  <c r="E62" i="10"/>
  <c r="F16" i="11"/>
  <c r="H2" i="10"/>
  <c r="F48" i="10"/>
  <c r="F18" i="11"/>
  <c r="E71" i="10"/>
  <c r="E9" i="11"/>
  <c r="F9" i="11"/>
  <c r="G2" i="10"/>
  <c r="F56" i="10"/>
  <c r="O47" i="10"/>
  <c r="H48" i="10"/>
  <c r="F11" i="11"/>
  <c r="O49" i="10"/>
  <c r="O50" i="10"/>
  <c r="C64" i="10"/>
  <c r="F59" i="10"/>
  <c r="G56" i="10"/>
  <c r="E56" i="10"/>
  <c r="F12" i="11"/>
  <c r="E64" i="10"/>
  <c r="C76" i="10"/>
  <c r="E76" i="10"/>
  <c r="O51" i="10"/>
  <c r="O52" i="10"/>
  <c r="G25" i="10"/>
  <c r="G58" i="10"/>
  <c r="G13" i="10"/>
  <c r="G9" i="10"/>
  <c r="G59" i="10"/>
  <c r="G8" i="10"/>
  <c r="G26" i="10"/>
  <c r="G44" i="10"/>
  <c r="G24" i="10"/>
  <c r="G12" i="10"/>
  <c r="G40" i="10"/>
  <c r="G18" i="10"/>
  <c r="G19" i="10"/>
  <c r="G17" i="10"/>
  <c r="G11" i="10"/>
  <c r="G42" i="10"/>
  <c r="G41" i="10"/>
  <c r="G20" i="10"/>
  <c r="G28" i="10"/>
  <c r="G21" i="10"/>
  <c r="G14" i="10"/>
  <c r="G29" i="10"/>
  <c r="G43" i="10"/>
  <c r="G27" i="10"/>
  <c r="G10" i="10"/>
  <c r="G39" i="10"/>
  <c r="G46" i="10"/>
  <c r="G49" i="10"/>
  <c r="G47" i="10"/>
  <c r="G57" i="10"/>
  <c r="G48" i="10"/>
  <c r="F13" i="11"/>
  <c r="O53" i="10"/>
  <c r="O54" i="10"/>
  <c r="O55" i="10"/>
  <c r="F15" i="11"/>
  <c r="P55" i="10"/>
  <c r="E2" i="10"/>
  <c r="F19" i="11"/>
  <c r="F17" i="11"/>
  <c r="F20" i="11"/>
  <c r="F21" i="11"/>
  <c r="F22" i="11"/>
  <c r="F23" i="11"/>
  <c r="G19" i="11"/>
  <c r="G23" i="11"/>
  <c r="F27" i="11"/>
  <c r="G16" i="11"/>
  <c r="G6" i="11"/>
  <c r="G18" i="11"/>
  <c r="G9" i="11"/>
  <c r="G11" i="11"/>
  <c r="G12" i="11"/>
  <c r="G13" i="11"/>
  <c r="G15" i="11"/>
  <c r="G17" i="11"/>
  <c r="G20" i="11"/>
  <c r="G21" i="11"/>
  <c r="G22" i="11"/>
  <c r="F28" i="11"/>
  <c r="F29" i="11"/>
  <c r="F30" i="11"/>
  <c r="F31" i="11"/>
  <c r="F32" i="11"/>
  <c r="F34" i="11"/>
  <c r="F35" i="11"/>
  <c r="G29" i="11"/>
  <c r="H29" i="11"/>
</calcChain>
</file>

<file path=xl/sharedStrings.xml><?xml version="1.0" encoding="utf-8"?>
<sst xmlns="http://schemas.openxmlformats.org/spreadsheetml/2006/main" count="245" uniqueCount="161">
  <si>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</si>
  <si>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</si>
  <si>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</si>
  <si>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</si>
  <si>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</si>
  <si>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</si>
  <si>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</si>
  <si>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</si>
  <si>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</si>
  <si>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</si>
  <si>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</si>
  <si>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</si>
  <si>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Otros</t>
  </si>
  <si>
    <t>0702012</t>
  </si>
  <si>
    <t>0702067</t>
  </si>
  <si>
    <t>1950756</t>
  </si>
  <si>
    <t>g</t>
  </si>
  <si>
    <t>95453</t>
  </si>
  <si>
    <t>1210405</t>
  </si>
  <si>
    <t>1 Agregar en la base 1/8 tz de salsa blanca para que peguen la pasta, agregar 1 hojas de pasta (usar molde de 6 porc aluminio)</t>
  </si>
  <si>
    <t>2 Agregar 1/2 taza salsa blanca, 1 taza rasa de carne lasaña.</t>
  </si>
  <si>
    <t>3. Repetir el paso 2 por 2 veces mas.</t>
  </si>
  <si>
    <t>5 Porcionar en 6 porciones, tapar y etiquetar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</si>
  <si>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</si>
  <si>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</si>
  <si>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</si>
  <si>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</si>
  <si>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</si>
  <si>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</si>
  <si>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</si>
  <si>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</si>
  <si>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</si>
  <si>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</si>
  <si>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</si>
  <si>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</si>
  <si>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</si>
  <si>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</si>
  <si>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</si>
  <si>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</si>
  <si>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</si>
  <si>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</si>
  <si>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</si>
  <si>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</si>
  <si>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</si>
  <si>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</si>
  <si>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</si>
  <si>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</si>
  <si>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</si>
  <si>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</si>
  <si>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</si>
  <si>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</si>
  <si>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</si>
  <si>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</si>
  <si>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</si>
  <si>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</si>
  <si>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</si>
  <si>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</si>
  <si>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</si>
  <si>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</si>
  <si>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</si>
  <si>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</si>
  <si>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</si>
  <si>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</si>
  <si>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</si>
  <si>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</si>
  <si>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</si>
  <si>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</si>
  <si>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</si>
  <si>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</si>
  <si>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</si>
  <si>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</si>
  <si>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</si>
  <si>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</si>
  <si>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LASAÑA DE CARNE COMPRE BIEN</t>
  </si>
  <si>
    <t>95653</t>
  </si>
  <si>
    <t>1730645</t>
  </si>
  <si>
    <t>TAPA BAND ALUM. DESE 4040 (6 PORC) (CAJA=250 UND)</t>
  </si>
  <si>
    <t xml:space="preserve">UND </t>
  </si>
  <si>
    <t>RELLENO CARNE P/ LASAGÑA (21000g)</t>
  </si>
  <si>
    <t>COCCION SALSA BLANCA SPOON (59450g)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</si>
  <si>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</si>
  <si>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</si>
  <si>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</si>
  <si>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</si>
  <si>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</si>
  <si>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</si>
  <si>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</si>
  <si>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</si>
  <si>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</si>
  <si>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</si>
  <si>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</si>
  <si>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</si>
  <si>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</si>
  <si>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</si>
  <si>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</si>
  <si>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</si>
  <si>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</si>
  <si>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</si>
  <si>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</si>
  <si>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</si>
  <si>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</si>
  <si>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</si>
  <si>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</si>
  <si>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</si>
  <si>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>Alejandro Rodriguez S. / Costos</t>
  </si>
  <si>
    <t>LASAÑA DE CARNE COMPREBIEN</t>
  </si>
  <si>
    <t>LASAÑA DE CARNE</t>
  </si>
  <si>
    <t>4 Agregar 1 hoja de pasta, 1/2 tazas de salsa blanco,  y  2 tazas de queso rayado</t>
  </si>
  <si>
    <t>ud</t>
  </si>
  <si>
    <t>SERVICIOS DE PASTELERIA S.A.</t>
  </si>
  <si>
    <t>CÓDIGO: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</si>
  <si>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</si>
  <si>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</si>
  <si>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</si>
  <si>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</si>
  <si>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</si>
  <si>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</si>
  <si>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</si>
  <si>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 xml:space="preserve">AREA QUE EMPACA: </t>
  </si>
  <si>
    <t>Medida alternativa</t>
  </si>
  <si>
    <t>EM10120</t>
  </si>
  <si>
    <t>Unidad</t>
  </si>
  <si>
    <t>Tiempo de Horneo:</t>
  </si>
  <si>
    <t>Minutos</t>
  </si>
  <si>
    <t>Horno:</t>
  </si>
  <si>
    <t>CANTIDAD DE PORCIONES OBTENIDAS</t>
  </si>
  <si>
    <t>porciones</t>
  </si>
  <si>
    <t>Temperatura de Horneo:</t>
  </si>
  <si>
    <t>PESO DE CADA PORCIÓN</t>
  </si>
  <si>
    <t>PROCEDIMIENTO DE PREPARACION DE LA  RECETA</t>
  </si>
  <si>
    <t>MP10023</t>
  </si>
  <si>
    <t>SE00109</t>
  </si>
  <si>
    <t>MP10029</t>
  </si>
  <si>
    <t>EM10014</t>
  </si>
  <si>
    <t>EM10015</t>
  </si>
  <si>
    <t>EM10124</t>
  </si>
  <si>
    <t>SE00232</t>
  </si>
  <si>
    <t>Lasaña de carne Premium PTI00027</t>
  </si>
  <si>
    <t>01</t>
  </si>
  <si>
    <t>Cocina</t>
  </si>
  <si>
    <t># Código Netsuite</t>
  </si>
  <si>
    <t>Ensamble</t>
  </si>
  <si>
    <t>PASTA LASAGÑA</t>
  </si>
  <si>
    <t>PASTA Y BASTA</t>
  </si>
  <si>
    <t>4 LAMINAS</t>
  </si>
  <si>
    <t>RELLENO DE CARNE PARA LASAÑA</t>
  </si>
  <si>
    <t>FAS</t>
  </si>
  <si>
    <t>SALSA BLANCA SPOON</t>
  </si>
  <si>
    <t>QUESO RALLADO RICO DOS PINOS</t>
  </si>
  <si>
    <t>DOS PINOS</t>
  </si>
  <si>
    <t>Decoración</t>
  </si>
  <si>
    <t>Empaque</t>
  </si>
  <si>
    <t>BANDEJA ALUMINIO 4040 (6 PORC)</t>
  </si>
  <si>
    <t>NOVA S</t>
  </si>
  <si>
    <t>TAPA BAND ALUM 4040 (6 PORC)</t>
  </si>
  <si>
    <t>ETIQ.BLANCA 1 13/16 * 1 7/8</t>
  </si>
  <si>
    <t>CEMUSA</t>
  </si>
  <si>
    <t>ETIQUETA BLANCA R-153</t>
  </si>
  <si>
    <t>ETIPLAST</t>
  </si>
  <si>
    <t>CONTROL DE CAMBIOS</t>
  </si>
  <si>
    <t>ESP-RE-COFF-004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</si>
</sst>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%"/>
    <numFmt numFmtId="168" formatCode="0.0"/>
    <numFmt numFmtId="169" formatCode="0.000"/>
    <numFmt numFmtId="170" formatCode="_-* #,##0.0\ _€_-;\-* #,##0.0\ _€_-;_-* &quot;-&quot;??\ _€_-;_-@_-"/>
    <numFmt numFmtId="171" formatCode="[$-409]d\-mmm\-yy;@"/>
  </numFmts>
  <fonts count="58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0"/>
      <name val="Century Gothic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name val="Arial"/>
      <family val="2"/>
    </font>
    <font>
      <sz val="10"/>
      <color indexed="8"/>
      <name val="Century Gothic"/>
      <family val="2"/>
    </font>
    <font>
      <b/>
      <sz val="9"/>
      <color rgb="FFFF0000"/>
      <name val="Times New Roman"/>
      <family val="1"/>
    </font>
    <font>
      <b/>
      <sz val="10"/>
      <color rgb="FFFF0000"/>
      <name val="Arial"/>
      <family val="2"/>
    </font>
    <font>
      <b/>
      <sz val="9"/>
      <color theme="6" tint="-0.249977111117893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55">
    <xf numFmtId="0" fontId="0" fillId="0" borderId="0" xfId="0"/>
    <xf numFmtId="16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2" fillId="9" borderId="0" xfId="0" applyFont="1" applyFill="1" applyAlignment="1">
      <alignment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6" fontId="10" fillId="0" borderId="1" xfId="1" applyFont="1" applyFill="1" applyBorder="1" applyAlignment="1">
      <alignment horizontal="center" vertical="center"/>
    </xf>
    <xf numFmtId="166" fontId="10" fillId="0" borderId="0" xfId="1" applyFont="1" applyFill="1" applyBorder="1" applyAlignment="1">
      <alignment horizontal="center" vertical="center"/>
    </xf>
    <xf numFmtId="166" fontId="12" fillId="0" borderId="0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71" fontId="15" fillId="0" borderId="0" xfId="0" applyNumberFormat="1" applyFont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2" applyNumberFormat="1" applyFont="1" applyFill="1" applyAlignment="1">
      <alignment horizontal="center" vertical="center"/>
    </xf>
    <xf numFmtId="4" fontId="10" fillId="0" borderId="0" xfId="2" applyNumberFormat="1" applyFont="1" applyFill="1" applyAlignment="1">
      <alignment horizontal="center" vertical="center"/>
    </xf>
    <xf numFmtId="10" fontId="10" fillId="0" borderId="0" xfId="6" applyNumberFormat="1" applyFont="1" applyFill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6" applyNumberFormat="1" applyFont="1" applyFill="1" applyAlignment="1">
      <alignment vertical="center"/>
    </xf>
    <xf numFmtId="0" fontId="2" fillId="0" borderId="0" xfId="0" applyFont="1"/>
    <xf numFmtId="49" fontId="10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/>
    <xf numFmtId="49" fontId="1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1" applyNumberFormat="1" applyFont="1" applyFill="1" applyAlignment="1">
      <alignment vertical="center"/>
    </xf>
    <xf numFmtId="166" fontId="18" fillId="0" borderId="0" xfId="1" applyFont="1" applyFill="1" applyAlignment="1">
      <alignment horizontal="center" vertical="center"/>
    </xf>
    <xf numFmtId="10" fontId="11" fillId="3" borderId="5" xfId="6" applyNumberFormat="1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66" fontId="18" fillId="3" borderId="7" xfId="1" applyFont="1" applyFill="1" applyBorder="1" applyAlignment="1">
      <alignment horizontal="center" vertical="center"/>
    </xf>
    <xf numFmtId="166" fontId="20" fillId="0" borderId="0" xfId="1" applyFont="1" applyFill="1" applyBorder="1" applyAlignment="1">
      <alignment horizontal="right"/>
    </xf>
    <xf numFmtId="0" fontId="2" fillId="3" borderId="7" xfId="0" applyFont="1" applyFill="1" applyBorder="1" applyAlignment="1">
      <alignment vertical="center"/>
    </xf>
    <xf numFmtId="10" fontId="11" fillId="3" borderId="7" xfId="6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9" fontId="52" fillId="0" borderId="0" xfId="6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1" applyNumberFormat="1" applyFont="1" applyFill="1" applyAlignment="1">
      <alignment vertical="center"/>
    </xf>
    <xf numFmtId="4" fontId="18" fillId="0" borderId="0" xfId="2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8" xfId="0" applyFont="1" applyBorder="1" applyAlignment="1">
      <alignment horizontal="right"/>
    </xf>
    <xf numFmtId="166" fontId="23" fillId="4" borderId="9" xfId="1" applyFont="1" applyFill="1" applyBorder="1" applyAlignment="1">
      <alignment horizontal="right"/>
    </xf>
    <xf numFmtId="166" fontId="23" fillId="0" borderId="0" xfId="1" applyFont="1" applyFill="1" applyBorder="1" applyAlignment="1">
      <alignment horizontal="right"/>
    </xf>
    <xf numFmtId="166" fontId="10" fillId="0" borderId="1" xfId="1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4" fontId="18" fillId="0" borderId="0" xfId="2" applyNumberFormat="1" applyFont="1" applyFill="1" applyAlignment="1">
      <alignment horizontal="center" vertical="center"/>
    </xf>
    <xf numFmtId="10" fontId="25" fillId="0" borderId="0" xfId="6" applyNumberFormat="1" applyFont="1" applyFill="1" applyAlignment="1">
      <alignment horizontal="right"/>
    </xf>
    <xf numFmtId="170" fontId="10" fillId="3" borderId="1" xfId="1" applyNumberFormat="1" applyFont="1" applyFill="1" applyBorder="1" applyAlignment="1">
      <alignment vertical="center"/>
    </xf>
    <xf numFmtId="4" fontId="2" fillId="0" borderId="0" xfId="0" applyNumberFormat="1" applyFont="1" applyAlignment="1">
      <alignment horizontal="center" vertical="center"/>
    </xf>
    <xf numFmtId="166" fontId="10" fillId="5" borderId="1" xfId="1" applyFont="1" applyFill="1" applyBorder="1" applyAlignment="1">
      <alignment vertical="center"/>
    </xf>
    <xf numFmtId="166" fontId="26" fillId="0" borderId="0" xfId="0" applyNumberFormat="1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3" borderId="10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2" fontId="25" fillId="0" borderId="0" xfId="1" applyNumberFormat="1" applyFont="1" applyFill="1" applyBorder="1" applyAlignment="1">
      <alignment horizontal="center"/>
    </xf>
    <xf numFmtId="2" fontId="22" fillId="0" borderId="0" xfId="1" applyNumberFormat="1" applyFont="1" applyFill="1" applyBorder="1" applyAlignment="1">
      <alignment horizontal="center"/>
    </xf>
    <xf numFmtId="0" fontId="2" fillId="3" borderId="10" xfId="0" applyFont="1" applyFill="1" applyBorder="1" applyAlignment="1">
      <alignment vertical="center"/>
    </xf>
    <xf numFmtId="10" fontId="2" fillId="0" borderId="0" xfId="6" applyNumberFormat="1" applyFont="1" applyFill="1" applyAlignment="1">
      <alignment vertical="center"/>
    </xf>
    <xf numFmtId="4" fontId="2" fillId="0" borderId="0" xfId="1" applyNumberFormat="1" applyFont="1" applyFill="1" applyAlignment="1">
      <alignment vertical="center"/>
    </xf>
    <xf numFmtId="166" fontId="23" fillId="3" borderId="6" xfId="1" applyFont="1" applyFill="1" applyBorder="1" applyAlignment="1">
      <alignment horizontal="right"/>
    </xf>
    <xf numFmtId="0" fontId="10" fillId="3" borderId="11" xfId="0" applyFont="1" applyFill="1" applyBorder="1" applyAlignment="1">
      <alignment horizontal="right" vertical="center"/>
    </xf>
    <xf numFmtId="10" fontId="29" fillId="0" borderId="0" xfId="1" applyNumberFormat="1" applyFont="1" applyFill="1" applyAlignment="1">
      <alignment vertical="center"/>
    </xf>
    <xf numFmtId="10" fontId="11" fillId="0" borderId="0" xfId="6" applyNumberFormat="1" applyFont="1" applyFill="1" applyBorder="1" applyAlignment="1">
      <alignment vertical="center"/>
    </xf>
    <xf numFmtId="166" fontId="30" fillId="0" borderId="0" xfId="0" applyNumberFormat="1" applyFont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66" fontId="31" fillId="0" borderId="0" xfId="1" applyFont="1" applyFill="1" applyAlignment="1">
      <alignment vertical="center"/>
    </xf>
    <xf numFmtId="4" fontId="32" fillId="0" borderId="0" xfId="2" applyNumberFormat="1" applyFont="1" applyFill="1" applyAlignment="1">
      <alignment horizontal="center" vertical="center" wrapText="1"/>
    </xf>
    <xf numFmtId="166" fontId="2" fillId="0" borderId="0" xfId="1" applyFont="1" applyFill="1" applyAlignment="1">
      <alignment vertical="center"/>
    </xf>
    <xf numFmtId="9" fontId="2" fillId="0" borderId="0" xfId="1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Fill="1" applyAlignment="1">
      <alignment vertical="center"/>
    </xf>
    <xf numFmtId="4" fontId="10" fillId="6" borderId="9" xfId="1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166" fontId="33" fillId="0" borderId="0" xfId="1" applyFont="1" applyFill="1" applyAlignment="1">
      <alignment vertical="center"/>
    </xf>
    <xf numFmtId="9" fontId="33" fillId="0" borderId="0" xfId="1" applyNumberFormat="1" applyFont="1" applyFill="1" applyAlignment="1">
      <alignment vertical="center"/>
    </xf>
    <xf numFmtId="4" fontId="10" fillId="0" borderId="0" xfId="1" applyNumberFormat="1" applyFont="1" applyFill="1" applyAlignment="1">
      <alignment horizontal="center" vertical="center"/>
    </xf>
    <xf numFmtId="10" fontId="26" fillId="0" borderId="0" xfId="6" applyNumberFormat="1" applyFont="1" applyFill="1" applyAlignment="1">
      <alignment vertical="center"/>
    </xf>
    <xf numFmtId="166" fontId="26" fillId="0" borderId="0" xfId="1" applyFont="1" applyFill="1" applyBorder="1" applyAlignment="1">
      <alignment vertical="center"/>
    </xf>
    <xf numFmtId="4" fontId="2" fillId="0" borderId="0" xfId="0" applyNumberFormat="1" applyFont="1" applyAlignment="1">
      <alignment horizontal="center"/>
    </xf>
    <xf numFmtId="166" fontId="2" fillId="0" borderId="0" xfId="1" applyFont="1" applyFill="1" applyBorder="1"/>
    <xf numFmtId="10" fontId="26" fillId="0" borderId="0" xfId="6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166" fontId="2" fillId="0" borderId="0" xfId="1" applyFont="1" applyFill="1" applyBorder="1" applyAlignment="1">
      <alignment horizontal="center"/>
    </xf>
    <xf numFmtId="9" fontId="36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6" fontId="10" fillId="0" borderId="0" xfId="0" applyNumberFormat="1" applyFont="1"/>
    <xf numFmtId="0" fontId="24" fillId="0" borderId="0" xfId="0" applyFont="1"/>
    <xf numFmtId="0" fontId="4" fillId="0" borderId="12" xfId="0" applyFont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/>
    </xf>
    <xf numFmtId="0" fontId="38" fillId="4" borderId="1" xfId="0" applyFont="1" applyFill="1" applyBorder="1" applyAlignment="1">
      <alignment horizontal="center" wrapText="1"/>
    </xf>
    <xf numFmtId="0" fontId="23" fillId="0" borderId="0" xfId="0" applyFont="1"/>
    <xf numFmtId="0" fontId="23" fillId="0" borderId="0" xfId="0" applyFont="1" applyAlignment="1">
      <alignment horizontal="center"/>
    </xf>
    <xf numFmtId="166" fontId="23" fillId="0" borderId="0" xfId="1" applyFont="1"/>
    <xf numFmtId="4" fontId="23" fillId="0" borderId="0" xfId="1" applyNumberFormat="1" applyFont="1" applyAlignment="1">
      <alignment horizontal="right"/>
    </xf>
    <xf numFmtId="9" fontId="23" fillId="0" borderId="0" xfId="6" applyFont="1" applyAlignment="1">
      <alignment horizontal="right"/>
    </xf>
    <xf numFmtId="49" fontId="23" fillId="0" borderId="0" xfId="2" applyNumberFormat="1" applyFont="1" applyAlignment="1">
      <alignment horizontal="center"/>
    </xf>
    <xf numFmtId="0" fontId="20" fillId="0" borderId="0" xfId="0" applyFont="1"/>
    <xf numFmtId="166" fontId="39" fillId="0" borderId="0" xfId="1" applyFont="1" applyFill="1" applyBorder="1" applyAlignment="1">
      <alignment horizontal="center"/>
    </xf>
    <xf numFmtId="0" fontId="39" fillId="0" borderId="0" xfId="0" applyFont="1"/>
    <xf numFmtId="4" fontId="39" fillId="0" borderId="0" xfId="2" applyNumberFormat="1" applyFont="1" applyFill="1" applyBorder="1"/>
    <xf numFmtId="4" fontId="39" fillId="0" borderId="0" xfId="2" applyNumberFormat="1" applyFont="1" applyFill="1" applyBorder="1" applyAlignment="1">
      <alignment horizontal="right"/>
    </xf>
    <xf numFmtId="9" fontId="21" fillId="0" borderId="0" xfId="6" applyFont="1" applyFill="1"/>
    <xf numFmtId="49" fontId="39" fillId="0" borderId="0" xfId="2" applyNumberFormat="1" applyFont="1" applyFill="1" applyBorder="1" applyAlignment="1">
      <alignment horizontal="center"/>
    </xf>
    <xf numFmtId="9" fontId="23" fillId="0" borderId="0" xfId="6" applyFont="1" applyFill="1" applyAlignment="1">
      <alignment vertical="center"/>
    </xf>
    <xf numFmtId="166" fontId="20" fillId="0" borderId="13" xfId="1" applyFont="1" applyFill="1" applyBorder="1" applyAlignment="1">
      <alignment horizontal="right"/>
    </xf>
    <xf numFmtId="9" fontId="21" fillId="0" borderId="0" xfId="1" applyNumberFormat="1" applyFont="1" applyFill="1" applyBorder="1"/>
    <xf numFmtId="4" fontId="21" fillId="0" borderId="0" xfId="1" applyNumberFormat="1" applyFont="1" applyFill="1" applyBorder="1" applyAlignment="1">
      <alignment horizontal="right"/>
    </xf>
    <xf numFmtId="10" fontId="20" fillId="0" borderId="0" xfId="6" applyNumberFormat="1" applyFont="1" applyFill="1" applyAlignment="1">
      <alignment horizontal="right"/>
    </xf>
    <xf numFmtId="0" fontId="21" fillId="0" borderId="0" xfId="0" applyFont="1" applyAlignment="1">
      <alignment horizontal="center"/>
    </xf>
    <xf numFmtId="10" fontId="23" fillId="0" borderId="0" xfId="6" applyNumberFormat="1" applyFont="1" applyFill="1" applyBorder="1" applyAlignment="1">
      <alignment horizontal="right"/>
    </xf>
    <xf numFmtId="167" fontId="25" fillId="0" borderId="0" xfId="1" applyNumberFormat="1" applyFont="1" applyFill="1"/>
    <xf numFmtId="0" fontId="23" fillId="0" borderId="0" xfId="6" applyNumberFormat="1" applyFont="1" applyFill="1" applyAlignment="1">
      <alignment vertical="center"/>
    </xf>
    <xf numFmtId="2" fontId="21" fillId="0" borderId="0" xfId="0" applyNumberFormat="1" applyFont="1" applyAlignment="1">
      <alignment horizontal="center"/>
    </xf>
    <xf numFmtId="0" fontId="40" fillId="0" borderId="0" xfId="0" applyFont="1" applyAlignment="1">
      <alignment horizontal="right"/>
    </xf>
    <xf numFmtId="10" fontId="23" fillId="0" borderId="0" xfId="6" applyNumberFormat="1" applyFont="1" applyFill="1"/>
    <xf numFmtId="0" fontId="20" fillId="3" borderId="6" xfId="0" applyFont="1" applyFill="1" applyBorder="1"/>
    <xf numFmtId="0" fontId="20" fillId="0" borderId="14" xfId="0" applyFont="1" applyBorder="1" applyAlignment="1">
      <alignment horizontal="right"/>
    </xf>
    <xf numFmtId="10" fontId="22" fillId="0" borderId="0" xfId="6" applyNumberFormat="1" applyFont="1" applyFill="1" applyBorder="1"/>
    <xf numFmtId="166" fontId="23" fillId="9" borderId="0" xfId="1" applyFont="1" applyFill="1" applyBorder="1" applyAlignment="1">
      <alignment horizontal="right"/>
    </xf>
    <xf numFmtId="10" fontId="23" fillId="0" borderId="0" xfId="6" applyNumberFormat="1" applyFont="1" applyFill="1" applyAlignment="1">
      <alignment vertical="center"/>
    </xf>
    <xf numFmtId="9" fontId="21" fillId="0" borderId="0" xfId="6" applyFont="1" applyFill="1" applyAlignment="1">
      <alignment horizontal="center"/>
    </xf>
    <xf numFmtId="2" fontId="42" fillId="0" borderId="0" xfId="0" applyNumberFormat="1" applyFont="1" applyAlignment="1">
      <alignment horizontal="center"/>
    </xf>
    <xf numFmtId="10" fontId="43" fillId="0" borderId="0" xfId="6" applyNumberFormat="1" applyFont="1" applyFill="1" applyAlignment="1">
      <alignment horizontal="right"/>
    </xf>
    <xf numFmtId="10" fontId="44" fillId="0" borderId="0" xfId="6" applyNumberFormat="1" applyFont="1" applyFill="1" applyAlignment="1">
      <alignment horizontal="right"/>
    </xf>
    <xf numFmtId="3" fontId="23" fillId="7" borderId="9" xfId="0" applyNumberFormat="1" applyFont="1" applyFill="1" applyBorder="1" applyAlignment="1">
      <alignment horizontal="center"/>
    </xf>
    <xf numFmtId="10" fontId="22" fillId="0" borderId="0" xfId="6" applyNumberFormat="1" applyFont="1" applyFill="1" applyAlignment="1">
      <alignment horizontal="right"/>
    </xf>
    <xf numFmtId="1" fontId="22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horizontal="right"/>
    </xf>
    <xf numFmtId="10" fontId="22" fillId="0" borderId="0" xfId="6" applyNumberFormat="1" applyFont="1" applyFill="1"/>
    <xf numFmtId="0" fontId="20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10" fontId="45" fillId="0" borderId="0" xfId="6" applyNumberFormat="1" applyFont="1" applyFill="1"/>
    <xf numFmtId="0" fontId="46" fillId="0" borderId="0" xfId="0" applyFont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48" fillId="2" borderId="15" xfId="5" applyFont="1" applyFill="1" applyBorder="1" applyAlignment="1">
      <alignment horizontal="right"/>
    </xf>
    <xf numFmtId="0" fontId="9" fillId="2" borderId="16" xfId="5" applyFont="1" applyFill="1" applyBorder="1" applyAlignment="1">
      <alignment horizontal="center"/>
    </xf>
    <xf numFmtId="0" fontId="48" fillId="2" borderId="1" xfId="5" applyFont="1" applyFill="1" applyBorder="1" applyAlignment="1">
      <alignment horizontal="right"/>
    </xf>
    <xf numFmtId="49" fontId="9" fillId="2" borderId="17" xfId="5" applyNumberFormat="1" applyFont="1" applyFill="1" applyBorder="1" applyAlignment="1">
      <alignment horizontal="center"/>
    </xf>
    <xf numFmtId="0" fontId="9" fillId="2" borderId="18" xfId="5" applyFont="1" applyFill="1" applyBorder="1" applyAlignment="1">
      <alignment horizontal="right"/>
    </xf>
    <xf numFmtId="0" fontId="9" fillId="2" borderId="1" xfId="5" applyFont="1" applyFill="1" applyBorder="1" applyAlignment="1">
      <alignment horizontal="right"/>
    </xf>
    <xf numFmtId="0" fontId="48" fillId="7" borderId="16" xfId="3" applyFont="1" applyFill="1" applyBorder="1" applyAlignment="1">
      <alignment horizontal="center" vertical="center" wrapText="1"/>
    </xf>
    <xf numFmtId="1" fontId="48" fillId="7" borderId="19" xfId="3" applyNumberFormat="1" applyFont="1" applyFill="1" applyBorder="1" applyAlignment="1">
      <alignment horizontal="center"/>
    </xf>
    <xf numFmtId="1" fontId="48" fillId="7" borderId="19" xfId="3" applyNumberFormat="1" applyFont="1" applyFill="1" applyBorder="1" applyAlignment="1">
      <alignment horizontal="center" wrapText="1"/>
    </xf>
    <xf numFmtId="0" fontId="48" fillId="7" borderId="20" xfId="3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7" fillId="0" borderId="1" xfId="3" applyNumberFormat="1" applyFont="1" applyBorder="1" applyAlignment="1">
      <alignment horizontal="center" wrapText="1"/>
    </xf>
    <xf numFmtId="0" fontId="0" fillId="0" borderId="1" xfId="0" applyBorder="1"/>
    <xf numFmtId="49" fontId="51" fillId="2" borderId="21" xfId="3" applyNumberFormat="1" applyFont="1" applyFill="1" applyBorder="1" applyAlignment="1">
      <alignment horizontal="center" vertical="center"/>
    </xf>
    <xf numFmtId="49" fontId="51" fillId="2" borderId="0" xfId="3" applyNumberFormat="1" applyFont="1" applyFill="1" applyAlignment="1">
      <alignment horizontal="center" vertical="center"/>
    </xf>
    <xf numFmtId="0" fontId="9" fillId="2" borderId="0" xfId="3" applyFont="1" applyFill="1"/>
    <xf numFmtId="1" fontId="9" fillId="2" borderId="0" xfId="3" applyNumberFormat="1" applyFont="1" applyFill="1" applyAlignment="1">
      <alignment horizontal="center"/>
    </xf>
    <xf numFmtId="169" fontId="9" fillId="2" borderId="0" xfId="3" applyNumberFormat="1" applyFont="1" applyFill="1" applyAlignment="1">
      <alignment horizontal="center" wrapText="1"/>
    </xf>
    <xf numFmtId="0" fontId="9" fillId="2" borderId="8" xfId="3" applyFont="1" applyFill="1" applyBorder="1" applyAlignment="1">
      <alignment horizontal="center"/>
    </xf>
    <xf numFmtId="0" fontId="9" fillId="7" borderId="22" xfId="3" applyFont="1" applyFill="1" applyBorder="1" applyAlignment="1">
      <alignment horizontal="center"/>
    </xf>
    <xf numFmtId="0" fontId="9" fillId="7" borderId="6" xfId="3" applyFont="1" applyFill="1" applyBorder="1" applyAlignment="1">
      <alignment horizontal="center"/>
    </xf>
    <xf numFmtId="0" fontId="9" fillId="7" borderId="6" xfId="3" applyFont="1" applyFill="1" applyBorder="1"/>
    <xf numFmtId="0" fontId="48" fillId="7" borderId="6" xfId="3" applyFont="1" applyFill="1" applyBorder="1" applyAlignment="1">
      <alignment horizontal="center"/>
    </xf>
    <xf numFmtId="1" fontId="48" fillId="7" borderId="6" xfId="3" applyNumberFormat="1" applyFont="1" applyFill="1" applyBorder="1" applyAlignment="1">
      <alignment horizontal="center"/>
    </xf>
    <xf numFmtId="169" fontId="9" fillId="7" borderId="6" xfId="3" applyNumberFormat="1" applyFont="1" applyFill="1" applyBorder="1" applyAlignment="1">
      <alignment horizontal="center" wrapText="1"/>
    </xf>
    <xf numFmtId="0" fontId="9" fillId="7" borderId="11" xfId="3" applyFont="1" applyFill="1" applyBorder="1" applyAlignment="1">
      <alignment horizontal="center"/>
    </xf>
    <xf numFmtId="0" fontId="6" fillId="0" borderId="0" xfId="3"/>
    <xf numFmtId="0" fontId="9" fillId="2" borderId="0" xfId="3" applyFont="1" applyFill="1" applyAlignment="1">
      <alignment horizontal="left" indent="1"/>
    </xf>
    <xf numFmtId="9" fontId="9" fillId="2" borderId="0" xfId="7" applyFont="1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4" fontId="53" fillId="2" borderId="0" xfId="5" applyNumberFormat="1" applyFont="1" applyFill="1" applyAlignment="1">
      <alignment horizontal="center" vertical="center" wrapText="1"/>
    </xf>
    <xf numFmtId="0" fontId="55" fillId="0" borderId="24" xfId="3" applyFont="1" applyBorder="1" applyAlignment="1">
      <alignment horizontal="center" vertical="center"/>
    </xf>
    <xf numFmtId="0" fontId="55" fillId="0" borderId="25" xfId="3" applyFont="1" applyBorder="1" applyAlignment="1">
      <alignment horizontal="center" vertical="center"/>
    </xf>
    <xf numFmtId="0" fontId="56" fillId="0" borderId="1" xfId="3" applyFont="1" applyBorder="1" applyAlignment="1">
      <alignment vertical="center"/>
    </xf>
    <xf numFmtId="0" fontId="55" fillId="0" borderId="1" xfId="3" applyFont="1" applyBorder="1" applyAlignment="1">
      <alignment horizontal="center" vertical="center"/>
    </xf>
    <xf numFmtId="1" fontId="55" fillId="0" borderId="1" xfId="3" applyNumberFormat="1" applyFont="1" applyBorder="1" applyAlignment="1">
      <alignment horizontal="center"/>
    </xf>
    <xf numFmtId="1" fontId="55" fillId="0" borderId="1" xfId="3" applyNumberFormat="1" applyFont="1" applyBorder="1" applyAlignment="1">
      <alignment horizontal="center" wrapText="1"/>
    </xf>
    <xf numFmtId="0" fontId="7" fillId="0" borderId="17" xfId="3" applyFont="1" applyBorder="1" applyAlignment="1">
      <alignment horizontal="center"/>
    </xf>
    <xf numFmtId="2" fontId="55" fillId="0" borderId="1" xfId="3" applyNumberFormat="1" applyFont="1" applyBorder="1" applyAlignment="1">
      <alignment horizontal="center"/>
    </xf>
    <xf numFmtId="16" fontId="7" fillId="9" borderId="1" xfId="0" applyNumberFormat="1" applyFont="1" applyFill="1" applyBorder="1" applyAlignment="1">
      <alignment horizontal="center"/>
    </xf>
    <xf numFmtId="1" fontId="7" fillId="9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169" fontId="7" fillId="0" borderId="1" xfId="0" applyNumberFormat="1" applyFont="1" applyBorder="1" applyAlignment="1">
      <alignment horizontal="center" wrapText="1"/>
    </xf>
    <xf numFmtId="0" fontId="9" fillId="0" borderId="1" xfId="0" quotePrefix="1" applyFont="1" applyBorder="1"/>
    <xf numFmtId="0" fontId="0" fillId="9" borderId="1" xfId="0" applyFill="1" applyBorder="1"/>
    <xf numFmtId="1" fontId="7" fillId="0" borderId="1" xfId="3" applyNumberFormat="1" applyFont="1" applyBorder="1" applyAlignment="1">
      <alignment horizontal="center"/>
    </xf>
    <xf numFmtId="49" fontId="7" fillId="0" borderId="24" xfId="3" applyNumberFormat="1" applyFont="1" applyBorder="1" applyAlignment="1">
      <alignment horizontal="center"/>
    </xf>
    <xf numFmtId="49" fontId="7" fillId="0" borderId="25" xfId="3" applyNumberFormat="1" applyFont="1" applyBorder="1" applyAlignment="1">
      <alignment horizontal="center"/>
    </xf>
    <xf numFmtId="0" fontId="4" fillId="9" borderId="1" xfId="3" applyFont="1" applyFill="1" applyBorder="1" applyAlignment="1">
      <alignment horizontal="left"/>
    </xf>
    <xf numFmtId="0" fontId="7" fillId="0" borderId="1" xfId="3" applyFont="1" applyBorder="1" applyAlignment="1">
      <alignment horizontal="center"/>
    </xf>
    <xf numFmtId="168" fontId="7" fillId="0" borderId="1" xfId="3" applyNumberFormat="1" applyFont="1" applyBorder="1" applyAlignment="1">
      <alignment horizontal="center"/>
    </xf>
    <xf numFmtId="0" fontId="6" fillId="0" borderId="24" xfId="4" applyBorder="1" applyAlignment="1">
      <alignment horizontal="center"/>
    </xf>
    <xf numFmtId="0" fontId="6" fillId="0" borderId="1" xfId="3" applyBorder="1" applyAlignment="1">
      <alignment horizontal="center"/>
    </xf>
    <xf numFmtId="0" fontId="6" fillId="9" borderId="1" xfId="4" applyFill="1" applyBorder="1"/>
    <xf numFmtId="16" fontId="7" fillId="0" borderId="1" xfId="4" applyNumberFormat="1" applyFont="1" applyBorder="1" applyAlignment="1">
      <alignment horizontal="center"/>
    </xf>
    <xf numFmtId="0" fontId="6" fillId="0" borderId="1" xfId="4" applyBorder="1" applyAlignment="1">
      <alignment horizontal="center"/>
    </xf>
    <xf numFmtId="1" fontId="7" fillId="0" borderId="1" xfId="4" applyNumberFormat="1" applyFont="1" applyBorder="1" applyAlignment="1">
      <alignment horizontal="center"/>
    </xf>
    <xf numFmtId="1" fontId="7" fillId="0" borderId="1" xfId="4" applyNumberFormat="1" applyFont="1" applyBorder="1" applyAlignment="1">
      <alignment horizontal="center" wrapText="1"/>
    </xf>
    <xf numFmtId="49" fontId="55" fillId="0" borderId="32" xfId="3" applyNumberFormat="1" applyFont="1" applyBorder="1" applyAlignment="1">
      <alignment horizontal="center"/>
    </xf>
    <xf numFmtId="49" fontId="55" fillId="0" borderId="33" xfId="3" applyNumberFormat="1" applyFont="1" applyBorder="1" applyAlignment="1">
      <alignment horizontal="center"/>
    </xf>
    <xf numFmtId="0" fontId="57" fillId="9" borderId="1" xfId="3" applyFont="1" applyFill="1" applyBorder="1" applyAlignment="1">
      <alignment vertical="center"/>
    </xf>
    <xf numFmtId="0" fontId="55" fillId="0" borderId="25" xfId="3" applyFont="1" applyBorder="1" applyAlignment="1">
      <alignment horizontal="center"/>
    </xf>
    <xf numFmtId="49" fontId="7" fillId="9" borderId="24" xfId="3" applyNumberFormat="1" applyFont="1" applyFill="1" applyBorder="1" applyAlignment="1">
      <alignment horizontal="center"/>
    </xf>
    <xf numFmtId="49" fontId="7" fillId="9" borderId="25" xfId="3" applyNumberFormat="1" applyFont="1" applyFill="1" applyBorder="1" applyAlignment="1">
      <alignment horizontal="center"/>
    </xf>
    <xf numFmtId="49" fontId="2" fillId="9" borderId="1" xfId="3" applyNumberFormat="1" applyFont="1" applyFill="1" applyBorder="1"/>
    <xf numFmtId="0" fontId="3" fillId="0" borderId="1" xfId="3" applyFont="1" applyBorder="1" applyAlignment="1">
      <alignment horizontal="center"/>
    </xf>
    <xf numFmtId="12" fontId="7" fillId="0" borderId="1" xfId="3" applyNumberFormat="1" applyFont="1" applyBorder="1" applyAlignment="1">
      <alignment horizontal="center"/>
    </xf>
    <xf numFmtId="49" fontId="2" fillId="0" borderId="1" xfId="3" applyNumberFormat="1" applyFont="1" applyBorder="1"/>
    <xf numFmtId="1" fontId="3" fillId="0" borderId="1" xfId="3" applyNumberFormat="1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9" xfId="0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9" fillId="0" borderId="54" xfId="3" applyFont="1" applyBorder="1" applyAlignment="1">
      <alignment horizontal="left"/>
    </xf>
    <xf numFmtId="0" fontId="9" fillId="0" borderId="55" xfId="3" applyFont="1" applyBorder="1" applyAlignment="1">
      <alignment horizontal="left"/>
    </xf>
    <xf numFmtId="0" fontId="9" fillId="0" borderId="39" xfId="3" applyFont="1" applyBorder="1" applyAlignment="1">
      <alignment horizontal="left"/>
    </xf>
    <xf numFmtId="0" fontId="48" fillId="11" borderId="56" xfId="5" applyFont="1" applyFill="1" applyBorder="1" applyAlignment="1">
      <alignment horizontal="center"/>
    </xf>
    <xf numFmtId="0" fontId="48" fillId="11" borderId="27" xfId="5" applyFont="1" applyFill="1" applyBorder="1" applyAlignment="1">
      <alignment horizontal="center"/>
    </xf>
    <xf numFmtId="0" fontId="9" fillId="2" borderId="57" xfId="5" applyFont="1" applyFill="1" applyBorder="1" applyAlignment="1">
      <alignment horizontal="left"/>
    </xf>
    <xf numFmtId="0" fontId="9" fillId="2" borderId="0" xfId="5" applyFont="1" applyFill="1" applyAlignment="1">
      <alignment horizontal="left"/>
    </xf>
    <xf numFmtId="0" fontId="9" fillId="0" borderId="29" xfId="3" applyFont="1" applyBorder="1" applyAlignment="1">
      <alignment horizontal="left"/>
    </xf>
    <xf numFmtId="0" fontId="9" fillId="0" borderId="30" xfId="3" applyFont="1" applyBorder="1" applyAlignment="1">
      <alignment horizontal="left"/>
    </xf>
    <xf numFmtId="0" fontId="9" fillId="0" borderId="18" xfId="3" applyFont="1" applyBorder="1" applyAlignment="1">
      <alignment horizontal="left"/>
    </xf>
    <xf numFmtId="0" fontId="9" fillId="0" borderId="31" xfId="3" applyFont="1" applyBorder="1" applyAlignment="1">
      <alignment horizontal="left"/>
    </xf>
    <xf numFmtId="0" fontId="9" fillId="0" borderId="29" xfId="3" applyFont="1" applyBorder="1" applyAlignment="1">
      <alignment horizontal="left" wrapText="1"/>
    </xf>
    <xf numFmtId="0" fontId="9" fillId="0" borderId="30" xfId="3" applyFont="1" applyBorder="1" applyAlignment="1">
      <alignment horizontal="left" wrapText="1"/>
    </xf>
    <xf numFmtId="0" fontId="9" fillId="0" borderId="18" xfId="3" applyFont="1" applyBorder="1" applyAlignment="1">
      <alignment horizontal="left" wrapText="1"/>
    </xf>
    <xf numFmtId="0" fontId="9" fillId="0" borderId="31" xfId="3" applyFont="1" applyBorder="1" applyAlignment="1">
      <alignment horizontal="left" wrapText="1"/>
    </xf>
    <xf numFmtId="0" fontId="9" fillId="0" borderId="24" xfId="3" applyFont="1" applyBorder="1" applyAlignment="1">
      <alignment horizontal="left" wrapText="1"/>
    </xf>
    <xf numFmtId="0" fontId="9" fillId="0" borderId="25" xfId="3" applyFont="1" applyBorder="1" applyAlignment="1">
      <alignment horizontal="left" wrapText="1"/>
    </xf>
    <xf numFmtId="0" fontId="9" fillId="0" borderId="1" xfId="3" applyFont="1" applyBorder="1" applyAlignment="1">
      <alignment horizontal="left" wrapText="1"/>
    </xf>
    <xf numFmtId="0" fontId="9" fillId="0" borderId="17" xfId="3" applyFont="1" applyBorder="1" applyAlignment="1">
      <alignment horizontal="left" wrapText="1"/>
    </xf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9" fillId="0" borderId="32" xfId="3" applyFont="1" applyBorder="1" applyAlignment="1">
      <alignment horizontal="left" wrapText="1"/>
    </xf>
    <xf numFmtId="0" fontId="9" fillId="0" borderId="33" xfId="3" applyFont="1" applyBorder="1" applyAlignment="1">
      <alignment horizontal="left" wrapText="1"/>
    </xf>
    <xf numFmtId="0" fontId="9" fillId="0" borderId="35" xfId="3" applyFont="1" applyBorder="1" applyAlignment="1">
      <alignment horizontal="left" wrapText="1"/>
    </xf>
    <xf numFmtId="0" fontId="48" fillId="0" borderId="32" xfId="3" applyFont="1" applyBorder="1" applyAlignment="1">
      <alignment horizontal="right"/>
    </xf>
    <xf numFmtId="0" fontId="48" fillId="0" borderId="33" xfId="3" applyFont="1" applyBorder="1" applyAlignment="1">
      <alignment horizontal="right"/>
    </xf>
    <xf numFmtId="0" fontId="48" fillId="0" borderId="25" xfId="3" applyFont="1" applyBorder="1" applyAlignment="1">
      <alignment horizontal="right"/>
    </xf>
    <xf numFmtId="0" fontId="9" fillId="0" borderId="1" xfId="3" applyFont="1" applyBorder="1" applyAlignment="1">
      <alignment horizontal="right"/>
    </xf>
    <xf numFmtId="169" fontId="9" fillId="0" borderId="34" xfId="3" applyNumberFormat="1" applyFont="1" applyBorder="1" applyAlignment="1">
      <alignment horizontal="center"/>
    </xf>
    <xf numFmtId="169" fontId="9" fillId="0" borderId="35" xfId="3" applyNumberFormat="1" applyFont="1" applyBorder="1" applyAlignment="1">
      <alignment horizontal="center"/>
    </xf>
    <xf numFmtId="169" fontId="9" fillId="0" borderId="34" xfId="3" applyNumberFormat="1" applyFont="1" applyBorder="1" applyAlignment="1">
      <alignment horizontal="right" wrapText="1"/>
    </xf>
    <xf numFmtId="169" fontId="9" fillId="0" borderId="25" xfId="3" applyNumberFormat="1" applyFont="1" applyBorder="1" applyAlignment="1">
      <alignment horizontal="right" wrapText="1"/>
    </xf>
    <xf numFmtId="0" fontId="48" fillId="0" borderId="36" xfId="3" applyFont="1" applyBorder="1" applyAlignment="1">
      <alignment horizontal="right"/>
    </xf>
    <xf numFmtId="0" fontId="48" fillId="0" borderId="37" xfId="3" applyFont="1" applyBorder="1" applyAlignment="1">
      <alignment horizontal="right"/>
    </xf>
    <xf numFmtId="0" fontId="48" fillId="0" borderId="19" xfId="3" applyFont="1" applyBorder="1" applyAlignment="1">
      <alignment horizontal="right"/>
    </xf>
    <xf numFmtId="0" fontId="9" fillId="0" borderId="19" xfId="3" applyFont="1" applyBorder="1" applyAlignment="1">
      <alignment horizontal="right"/>
    </xf>
    <xf numFmtId="169" fontId="9" fillId="0" borderId="38" xfId="3" applyNumberFormat="1" applyFont="1" applyBorder="1" applyAlignment="1">
      <alignment horizontal="center"/>
    </xf>
    <xf numFmtId="169" fontId="9" fillId="0" borderId="39" xfId="3" applyNumberFormat="1" applyFont="1" applyBorder="1" applyAlignment="1">
      <alignment horizontal="center"/>
    </xf>
    <xf numFmtId="0" fontId="48" fillId="7" borderId="22" xfId="3" applyFont="1" applyFill="1" applyBorder="1" applyAlignment="1">
      <alignment horizontal="left"/>
    </xf>
    <xf numFmtId="0" fontId="48" fillId="7" borderId="6" xfId="3" applyFont="1" applyFill="1" applyBorder="1" applyAlignment="1">
      <alignment horizontal="left"/>
    </xf>
    <xf numFmtId="0" fontId="48" fillId="7" borderId="11" xfId="3" applyFont="1" applyFill="1" applyBorder="1" applyAlignment="1">
      <alignment horizontal="left"/>
    </xf>
    <xf numFmtId="0" fontId="48" fillId="0" borderId="40" xfId="3" applyFont="1" applyBorder="1" applyAlignment="1">
      <alignment horizontal="right"/>
    </xf>
    <xf numFmtId="0" fontId="48" fillId="0" borderId="12" xfId="3" applyFont="1" applyBorder="1" applyAlignment="1">
      <alignment horizontal="right"/>
    </xf>
    <xf numFmtId="0" fontId="48" fillId="0" borderId="30" xfId="3" applyFont="1" applyBorder="1" applyAlignment="1">
      <alignment horizontal="right"/>
    </xf>
    <xf numFmtId="169" fontId="9" fillId="0" borderId="18" xfId="3" applyNumberFormat="1" applyFont="1" applyBorder="1" applyAlignment="1">
      <alignment horizontal="right"/>
    </xf>
    <xf numFmtId="0" fontId="9" fillId="2" borderId="23" xfId="3" applyFont="1" applyFill="1" applyBorder="1" applyAlignment="1">
      <alignment horizontal="center"/>
    </xf>
    <xf numFmtId="0" fontId="9" fillId="2" borderId="41" xfId="3" applyFont="1" applyFill="1" applyBorder="1" applyAlignment="1">
      <alignment horizontal="center"/>
    </xf>
    <xf numFmtId="0" fontId="5" fillId="2" borderId="0" xfId="5" applyFont="1" applyFill="1" applyAlignment="1">
      <alignment horizontal="right"/>
    </xf>
    <xf numFmtId="0" fontId="53" fillId="2" borderId="14" xfId="5" applyFont="1" applyFill="1" applyBorder="1" applyAlignment="1">
      <alignment horizontal="center"/>
    </xf>
    <xf numFmtId="0" fontId="5" fillId="2" borderId="0" xfId="5" applyFont="1" applyFill="1"/>
    <xf numFmtId="0" fontId="48" fillId="7" borderId="42" xfId="3" applyFont="1" applyFill="1" applyBorder="1" applyAlignment="1">
      <alignment horizontal="center" vertical="center"/>
    </xf>
    <xf numFmtId="0" fontId="48" fillId="7" borderId="36" xfId="3" applyFont="1" applyFill="1" applyBorder="1" applyAlignment="1">
      <alignment horizontal="center" vertical="center"/>
    </xf>
    <xf numFmtId="0" fontId="48" fillId="7" borderId="42" xfId="3" applyFont="1" applyFill="1" applyBorder="1" applyAlignment="1">
      <alignment horizontal="center" vertical="center" wrapText="1"/>
    </xf>
    <xf numFmtId="0" fontId="48" fillId="7" borderId="36" xfId="3" applyFont="1" applyFill="1" applyBorder="1" applyAlignment="1">
      <alignment horizontal="center" vertical="center" wrapText="1"/>
    </xf>
    <xf numFmtId="0" fontId="48" fillId="7" borderId="15" xfId="3" applyFont="1" applyFill="1" applyBorder="1" applyAlignment="1">
      <alignment horizontal="center" vertical="center"/>
    </xf>
    <xf numFmtId="0" fontId="48" fillId="7" borderId="19" xfId="3" applyFont="1" applyFill="1" applyBorder="1" applyAlignment="1">
      <alignment horizontal="center" vertical="center"/>
    </xf>
    <xf numFmtId="14" fontId="9" fillId="2" borderId="47" xfId="5" applyNumberFormat="1" applyFont="1" applyFill="1" applyBorder="1" applyAlignment="1">
      <alignment horizontal="center" vertical="center" wrapText="1"/>
    </xf>
    <xf numFmtId="14" fontId="9" fillId="2" borderId="48" xfId="5" applyNumberFormat="1" applyFont="1" applyFill="1" applyBorder="1" applyAlignment="1">
      <alignment horizontal="center" vertical="center" wrapText="1"/>
    </xf>
    <xf numFmtId="14" fontId="9" fillId="2" borderId="31" xfId="5" applyNumberFormat="1" applyFont="1" applyFill="1" applyBorder="1" applyAlignment="1">
      <alignment horizontal="center" vertical="center" wrapText="1"/>
    </xf>
    <xf numFmtId="0" fontId="9" fillId="2" borderId="49" xfId="5" applyFont="1" applyFill="1" applyBorder="1" applyAlignment="1">
      <alignment horizontal="left"/>
    </xf>
    <xf numFmtId="0" fontId="9" fillId="2" borderId="50" xfId="5" applyFont="1" applyFill="1" applyBorder="1" applyAlignment="1">
      <alignment horizontal="left"/>
    </xf>
    <xf numFmtId="0" fontId="9" fillId="2" borderId="51" xfId="5" applyFont="1" applyFill="1" applyBorder="1" applyAlignment="1">
      <alignment horizontal="left"/>
    </xf>
    <xf numFmtId="0" fontId="9" fillId="2" borderId="34" xfId="5" applyFont="1" applyFill="1" applyBorder="1" applyAlignment="1">
      <alignment horizontal="left"/>
    </xf>
    <xf numFmtId="0" fontId="9" fillId="2" borderId="33" xfId="5" applyFont="1" applyFill="1" applyBorder="1" applyAlignment="1">
      <alignment horizontal="left"/>
    </xf>
    <xf numFmtId="0" fontId="9" fillId="2" borderId="25" xfId="5" applyFont="1" applyFill="1" applyBorder="1" applyAlignment="1">
      <alignment horizontal="left"/>
    </xf>
    <xf numFmtId="0" fontId="9" fillId="2" borderId="26" xfId="5" applyFont="1" applyFill="1" applyBorder="1" applyAlignment="1">
      <alignment horizontal="center"/>
    </xf>
    <xf numFmtId="0" fontId="9" fillId="2" borderId="27" xfId="5" applyFont="1" applyFill="1" applyBorder="1" applyAlignment="1">
      <alignment horizontal="center"/>
    </xf>
    <xf numFmtId="0" fontId="9" fillId="2" borderId="21" xfId="5" applyFont="1" applyFill="1" applyBorder="1" applyAlignment="1">
      <alignment horizontal="center"/>
    </xf>
    <xf numFmtId="0" fontId="9" fillId="2" borderId="0" xfId="5" applyFont="1" applyFill="1" applyAlignment="1">
      <alignment horizontal="center"/>
    </xf>
    <xf numFmtId="0" fontId="9" fillId="2" borderId="40" xfId="5" applyFont="1" applyFill="1" applyBorder="1" applyAlignment="1">
      <alignment horizontal="center"/>
    </xf>
    <xf numFmtId="0" fontId="9" fillId="2" borderId="12" xfId="5" applyFont="1" applyFill="1" applyBorder="1" applyAlignment="1">
      <alignment horizontal="center"/>
    </xf>
    <xf numFmtId="0" fontId="47" fillId="2" borderId="15" xfId="5" applyFont="1" applyFill="1" applyBorder="1" applyAlignment="1">
      <alignment horizontal="center"/>
    </xf>
    <xf numFmtId="0" fontId="47" fillId="2" borderId="43" xfId="5" applyFont="1" applyFill="1" applyBorder="1" applyAlignment="1">
      <alignment horizontal="center"/>
    </xf>
    <xf numFmtId="0" fontId="49" fillId="4" borderId="2" xfId="5" applyFont="1" applyFill="1" applyBorder="1" applyAlignment="1">
      <alignment horizontal="center"/>
    </xf>
    <xf numFmtId="0" fontId="49" fillId="4" borderId="3" xfId="5" applyFont="1" applyFill="1" applyBorder="1" applyAlignment="1">
      <alignment horizontal="center"/>
    </xf>
    <xf numFmtId="0" fontId="49" fillId="4" borderId="4" xfId="5" applyFont="1" applyFill="1" applyBorder="1" applyAlignment="1">
      <alignment horizontal="center"/>
    </xf>
    <xf numFmtId="0" fontId="48" fillId="2" borderId="44" xfId="5" applyFont="1" applyFill="1" applyBorder="1" applyAlignment="1">
      <alignment horizontal="right" vertical="top" wrapText="1"/>
    </xf>
    <xf numFmtId="0" fontId="48" fillId="2" borderId="45" xfId="5" applyFont="1" applyFill="1" applyBorder="1" applyAlignment="1">
      <alignment horizontal="right" vertical="top" wrapText="1"/>
    </xf>
    <xf numFmtId="0" fontId="48" fillId="2" borderId="46" xfId="5" applyFont="1" applyFill="1" applyBorder="1" applyAlignment="1">
      <alignment horizontal="right" vertical="top" wrapText="1"/>
    </xf>
    <xf numFmtId="0" fontId="35" fillId="0" borderId="0" xfId="0" applyFont="1" applyAlignment="1">
      <alignment horizontal="right"/>
    </xf>
    <xf numFmtId="0" fontId="10" fillId="0" borderId="14" xfId="0" applyFont="1" applyBorder="1" applyAlignment="1">
      <alignment horizontal="right" vertical="center"/>
    </xf>
    <xf numFmtId="0" fontId="10" fillId="0" borderId="28" xfId="0" applyFont="1" applyBorder="1" applyAlignment="1">
      <alignment horizontal="right" vertical="center"/>
    </xf>
    <xf numFmtId="0" fontId="10" fillId="8" borderId="22" xfId="0" applyFont="1" applyFill="1" applyBorder="1" applyAlignment="1">
      <alignment horizontal="right" vertical="center"/>
    </xf>
    <xf numFmtId="0" fontId="10" fillId="8" borderId="6" xfId="0" applyFont="1" applyFill="1" applyBorder="1" applyAlignment="1">
      <alignment horizontal="right" vertical="center"/>
    </xf>
    <xf numFmtId="0" fontId="10" fillId="8" borderId="11" xfId="0" applyFont="1" applyFill="1" applyBorder="1" applyAlignment="1">
      <alignment horizontal="right" vertical="center"/>
    </xf>
    <xf numFmtId="4" fontId="32" fillId="0" borderId="0" xfId="2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4" fillId="0" borderId="22" xfId="0" applyFont="1" applyBorder="1" applyAlignment="1">
      <alignment horizontal="right" vertical="center"/>
    </xf>
    <xf numFmtId="0" fontId="34" fillId="0" borderId="6" xfId="0" applyFont="1" applyBorder="1" applyAlignment="1">
      <alignment horizontal="right" vertical="center"/>
    </xf>
    <xf numFmtId="0" fontId="34" fillId="0" borderId="1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26" fillId="0" borderId="1" xfId="0" applyFont="1" applyBorder="1" applyAlignment="1">
      <alignment horizontal="right" vertical="center"/>
    </xf>
    <xf numFmtId="0" fontId="27" fillId="0" borderId="21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8" xfId="0" applyFont="1" applyBorder="1" applyAlignment="1">
      <alignment horizontal="right"/>
    </xf>
    <xf numFmtId="0" fontId="25" fillId="0" borderId="14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3" fillId="3" borderId="22" xfId="0" applyFont="1" applyFill="1" applyBorder="1" applyAlignment="1">
      <alignment horizontal="right"/>
    </xf>
    <xf numFmtId="0" fontId="23" fillId="3" borderId="6" xfId="0" applyFont="1" applyFill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9" fillId="0" borderId="26" xfId="0" applyFont="1" applyBorder="1" applyAlignment="1">
      <alignment horizontal="right"/>
    </xf>
    <xf numFmtId="0" fontId="19" fillId="0" borderId="27" xfId="0" applyFont="1" applyBorder="1" applyAlignment="1">
      <alignment horizontal="right"/>
    </xf>
    <xf numFmtId="0" fontId="13" fillId="0" borderId="14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  <xf numFmtId="0" fontId="41" fillId="0" borderId="27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4" fillId="3" borderId="22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0" fontId="54" fillId="0" borderId="0" xfId="0" applyFont="1" applyAlignment="1">
      <alignment horizontal="right"/>
    </xf>
    <xf numFmtId="0" fontId="41" fillId="0" borderId="14" xfId="0" applyFont="1" applyBorder="1" applyAlignment="1">
      <alignment horizontal="right"/>
    </xf>
    <xf numFmtId="0" fontId="20" fillId="3" borderId="22" xfId="0" applyFont="1" applyFill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2" fillId="0" borderId="0" xfId="0" applyFont="1" applyAlignment="1">
      <alignment horizontal="right"/>
    </xf>
    <xf numFmtId="0" fontId="22" fillId="0" borderId="8" xfId="0" applyFont="1" applyBorder="1" applyAlignment="1">
      <alignment horizontal="right"/>
    </xf>
    <xf numFmtId="0" fontId="37" fillId="0" borderId="22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7" fillId="0" borderId="11" xfId="0" applyFont="1" applyBorder="1" applyAlignment="1">
      <alignment horizontal="center"/>
    </xf>
    <xf numFmtId="0" fontId="37" fillId="0" borderId="5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right" vertical="center" wrapText="1"/>
    </xf>
  </cellXfs>
  <cellStyles count="8">
    <cellStyle name="Millares" xfId="1" builtinId="3"/>
    <cellStyle name="Millares [0]" xfId="2" builtinId="6"/>
    <cellStyle name="Normal" xfId="0" builtinId="0"/>
    <cellStyle name="Normal 2" xfId="3" xr:uid="{1FDA877E-8C89-4CA7-9F61-C1BEB7456C03}"/>
    <cellStyle name="Normal 3 2" xfId="4" xr:uid="{BC380BE2-3733-4DDD-9A1E-5D7944D6F4D3}"/>
    <cellStyle name="Normal_CRITERIOS DE EVALUACION PT DE GB 2" xfId="5" xr:uid="{A7F7C73A-8CB0-4B58-8960-50FB52876DAF}"/>
    <cellStyle name="Porcentaje" xfId="6" builtinId="5"/>
    <cellStyle name="Porcentaje 2 2" xfId="7" xr:uid="{00CFEAF2-AA05-4920-8E47-6666DDB2CE7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Base%20datos%20costo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83E7-5A9E-4EB9-AB5D-C4B7D7819EE4}">
  <dimension ref="A1:M59"/>
  <sheetViews>
    <sheetView tabSelected="1" view="pageBreakPreview" zoomScale="60" zoomScaleNormal="70" workbookViewId="0">
      <selection activeCell="N11" sqref="N1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.75" x14ac:dyDescent="0.25">
      <c r="A1" s="294"/>
      <c r="B1" s="295"/>
      <c r="C1" s="300" t="s">
        <v>109</v>
      </c>
      <c r="D1" s="300"/>
      <c r="E1" s="300"/>
      <c r="F1" s="300"/>
      <c r="G1" s="300"/>
      <c r="H1" s="148" t="s">
        <v>110</v>
      </c>
      <c r="I1" s="149" t="s">
        <v>160</v>
      </c>
    </row>
    <row r="2" spans="1:9" ht="16.5" thickBot="1" x14ac:dyDescent="0.3">
      <c r="A2" s="296"/>
      <c r="B2" s="297"/>
      <c r="C2" s="301" t="s">
        <v>0</v>
      </c>
      <c r="D2" s="301"/>
      <c r="E2" s="301"/>
      <c r="F2" s="301"/>
      <c r="G2" s="301"/>
      <c r="H2" s="150" t="s">
        <v>111</v>
      </c>
      <c r="I2" s="151" t="s">
        <v>138</v>
      </c>
    </row>
    <row r="3" spans="1:9" ht="18.75" thickBot="1" x14ac:dyDescent="0.3">
      <c r="A3" s="296"/>
      <c r="B3" s="297"/>
      <c r="C3" s="302" t="s">
        <v>137</v>
      </c>
      <c r="D3" s="303"/>
      <c r="E3" s="303"/>
      <c r="F3" s="303"/>
      <c r="G3" s="304"/>
      <c r="H3" s="305" t="s">
        <v>112</v>
      </c>
      <c r="I3" s="285">
        <v>45610</v>
      </c>
    </row>
    <row r="4" spans="1:9" ht="13.5" x14ac:dyDescent="0.25">
      <c r="A4" s="296"/>
      <c r="B4" s="297"/>
      <c r="C4" s="152" t="s">
        <v>113</v>
      </c>
      <c r="D4" s="288" t="s">
        <v>114</v>
      </c>
      <c r="E4" s="289"/>
      <c r="F4" s="289"/>
      <c r="G4" s="290"/>
      <c r="H4" s="306"/>
      <c r="I4" s="286"/>
    </row>
    <row r="5" spans="1:9" ht="14.25" thickBot="1" x14ac:dyDescent="0.3">
      <c r="A5" s="298"/>
      <c r="B5" s="299"/>
      <c r="C5" s="153" t="s">
        <v>115</v>
      </c>
      <c r="D5" s="291" t="s">
        <v>116</v>
      </c>
      <c r="E5" s="292"/>
      <c r="F5" s="292"/>
      <c r="G5" s="293"/>
      <c r="H5" s="307"/>
      <c r="I5" s="287"/>
    </row>
    <row r="6" spans="1:9" ht="18.75" thickBot="1" x14ac:dyDescent="0.3">
      <c r="A6" s="276" t="s">
        <v>117</v>
      </c>
      <c r="B6" s="276"/>
      <c r="C6" s="276"/>
      <c r="D6" s="277" t="s">
        <v>139</v>
      </c>
      <c r="E6" s="277"/>
      <c r="F6" s="277"/>
      <c r="G6" s="278" t="s">
        <v>118</v>
      </c>
      <c r="H6" s="278"/>
      <c r="I6" s="180" t="s">
        <v>139</v>
      </c>
    </row>
    <row r="7" spans="1:9" ht="25.5" x14ac:dyDescent="0.2">
      <c r="A7" s="279" t="s">
        <v>1</v>
      </c>
      <c r="B7" s="281" t="s">
        <v>140</v>
      </c>
      <c r="C7" s="283" t="s">
        <v>2</v>
      </c>
      <c r="D7" s="283" t="s">
        <v>3</v>
      </c>
      <c r="E7" s="283" t="s">
        <v>4</v>
      </c>
      <c r="F7" s="283"/>
      <c r="G7" s="283" t="s">
        <v>119</v>
      </c>
      <c r="H7" s="283"/>
      <c r="I7" s="154" t="s">
        <v>5</v>
      </c>
    </row>
    <row r="8" spans="1:9" ht="26.25" thickBot="1" x14ac:dyDescent="0.25">
      <c r="A8" s="280"/>
      <c r="B8" s="282"/>
      <c r="C8" s="284"/>
      <c r="D8" s="284"/>
      <c r="E8" s="155" t="s">
        <v>6</v>
      </c>
      <c r="F8" s="156" t="s">
        <v>7</v>
      </c>
      <c r="G8" s="155" t="s">
        <v>6</v>
      </c>
      <c r="H8" s="156" t="s">
        <v>7</v>
      </c>
      <c r="I8" s="157" t="s">
        <v>8</v>
      </c>
    </row>
    <row r="9" spans="1:9" ht="15" x14ac:dyDescent="0.25">
      <c r="A9" s="181"/>
      <c r="B9" s="182"/>
      <c r="C9" s="183" t="s">
        <v>141</v>
      </c>
      <c r="D9" s="184"/>
      <c r="E9" s="185"/>
      <c r="F9" s="186"/>
      <c r="G9" s="185"/>
      <c r="H9" s="186"/>
      <c r="I9" s="187"/>
    </row>
    <row r="10" spans="1:9" ht="15" x14ac:dyDescent="0.25">
      <c r="A10" s="179">
        <v>1210405</v>
      </c>
      <c r="B10" s="177" t="s">
        <v>130</v>
      </c>
      <c r="C10" s="160" t="s">
        <v>142</v>
      </c>
      <c r="D10" s="1" t="s">
        <v>143</v>
      </c>
      <c r="E10" s="2">
        <f>100*4</f>
        <v>400</v>
      </c>
      <c r="F10" s="3" t="s">
        <v>16</v>
      </c>
      <c r="G10" s="188"/>
      <c r="H10" s="186" t="s">
        <v>144</v>
      </c>
      <c r="I10" s="187"/>
    </row>
    <row r="11" spans="1:9" ht="15" x14ac:dyDescent="0.25">
      <c r="A11" s="178">
        <v>905000013</v>
      </c>
      <c r="B11" s="158" t="s">
        <v>136</v>
      </c>
      <c r="C11" t="s">
        <v>145</v>
      </c>
      <c r="D11" s="1" t="s">
        <v>146</v>
      </c>
      <c r="E11" s="2">
        <f>250*3</f>
        <v>750</v>
      </c>
      <c r="F11" s="3" t="s">
        <v>16</v>
      </c>
      <c r="G11" s="188"/>
      <c r="H11" s="186"/>
      <c r="I11" s="187"/>
    </row>
    <row r="12" spans="1:9" ht="15" x14ac:dyDescent="0.25">
      <c r="A12" s="179">
        <v>95453</v>
      </c>
      <c r="B12" s="177" t="s">
        <v>131</v>
      </c>
      <c r="C12" s="160" t="s">
        <v>147</v>
      </c>
      <c r="D12" s="1" t="s">
        <v>146</v>
      </c>
      <c r="E12" s="2">
        <f>+(4*125)+25</f>
        <v>525</v>
      </c>
      <c r="F12" s="3" t="s">
        <v>16</v>
      </c>
      <c r="G12" s="188"/>
      <c r="H12" s="186"/>
      <c r="I12" s="187"/>
    </row>
    <row r="13" spans="1:9" ht="15" x14ac:dyDescent="0.25">
      <c r="A13" s="178">
        <v>11400045</v>
      </c>
      <c r="B13" s="158" t="s">
        <v>132</v>
      </c>
      <c r="C13" s="160" t="s">
        <v>148</v>
      </c>
      <c r="D13" s="1" t="s">
        <v>149</v>
      </c>
      <c r="E13" s="2">
        <v>225</v>
      </c>
      <c r="F13" s="3" t="s">
        <v>16</v>
      </c>
      <c r="G13" s="188"/>
      <c r="H13" s="186"/>
      <c r="I13" s="187"/>
    </row>
    <row r="14" spans="1:9" ht="15" x14ac:dyDescent="0.25">
      <c r="A14" s="158"/>
      <c r="B14" s="158"/>
      <c r="C14" s="160"/>
      <c r="D14" s="189"/>
      <c r="E14" s="190"/>
      <c r="F14" s="3"/>
      <c r="G14" s="188"/>
      <c r="H14" s="186"/>
      <c r="I14" s="187"/>
    </row>
    <row r="15" spans="1:9" ht="15" x14ac:dyDescent="0.25">
      <c r="A15" s="191"/>
      <c r="B15" s="191"/>
      <c r="C15" s="192"/>
      <c r="D15" s="193"/>
      <c r="E15" s="190"/>
      <c r="F15" s="194"/>
      <c r="G15" s="188"/>
      <c r="H15" s="186"/>
      <c r="I15" s="187"/>
    </row>
    <row r="16" spans="1:9" ht="15" x14ac:dyDescent="0.25">
      <c r="A16" s="191"/>
      <c r="B16" s="191"/>
      <c r="C16" s="192"/>
      <c r="D16" s="189"/>
      <c r="E16" s="190"/>
      <c r="F16" s="3"/>
      <c r="G16" s="188"/>
      <c r="H16" s="186"/>
      <c r="I16" s="187"/>
    </row>
    <row r="17" spans="1:9" ht="15" x14ac:dyDescent="0.25">
      <c r="A17" s="147"/>
      <c r="B17" s="158"/>
      <c r="C17" s="195"/>
      <c r="D17" s="1"/>
      <c r="E17" s="2"/>
      <c r="F17" s="3"/>
      <c r="G17" s="188"/>
      <c r="H17" s="186"/>
      <c r="I17" s="187"/>
    </row>
    <row r="18" spans="1:9" ht="15" x14ac:dyDescent="0.25">
      <c r="A18" s="158"/>
      <c r="B18" s="158"/>
      <c r="C18" s="160"/>
      <c r="D18" s="189"/>
      <c r="E18" s="190"/>
      <c r="F18" s="3"/>
      <c r="G18" s="188"/>
      <c r="H18" s="186"/>
      <c r="I18" s="187"/>
    </row>
    <row r="19" spans="1:9" ht="15" x14ac:dyDescent="0.25">
      <c r="A19" s="191"/>
      <c r="B19" s="191"/>
      <c r="C19" s="192"/>
      <c r="D19" s="193"/>
      <c r="E19" s="190"/>
      <c r="F19" s="194"/>
      <c r="G19" s="188"/>
      <c r="H19" s="186"/>
      <c r="I19" s="187"/>
    </row>
    <row r="20" spans="1:9" ht="15" x14ac:dyDescent="0.25">
      <c r="A20" s="191"/>
      <c r="B20" s="191"/>
      <c r="C20" s="192"/>
      <c r="D20" s="189"/>
      <c r="E20" s="190"/>
      <c r="F20" s="3"/>
      <c r="G20" s="188"/>
      <c r="H20" s="186"/>
      <c r="I20" s="187"/>
    </row>
    <row r="21" spans="1:9" ht="15" x14ac:dyDescent="0.25">
      <c r="A21" s="147"/>
      <c r="B21" s="158"/>
      <c r="C21" s="195"/>
      <c r="D21" s="1"/>
      <c r="E21" s="2"/>
      <c r="F21" s="3"/>
      <c r="G21" s="188"/>
      <c r="H21" s="186"/>
      <c r="I21" s="187"/>
    </row>
    <row r="22" spans="1:9" ht="15" x14ac:dyDescent="0.25">
      <c r="A22" s="147"/>
      <c r="B22" s="158"/>
      <c r="C22" s="195"/>
      <c r="D22" s="1"/>
      <c r="E22" s="2"/>
      <c r="F22" s="3"/>
      <c r="G22" s="185"/>
      <c r="H22" s="186"/>
      <c r="I22" s="187"/>
    </row>
    <row r="23" spans="1:9" ht="15" x14ac:dyDescent="0.25">
      <c r="A23" s="158"/>
      <c r="B23" s="158"/>
      <c r="C23" s="196"/>
      <c r="D23" s="197"/>
      <c r="E23" s="197"/>
      <c r="F23" s="159"/>
      <c r="G23" s="185"/>
      <c r="H23" s="186"/>
      <c r="I23" s="187"/>
    </row>
    <row r="24" spans="1:9" ht="15.75" x14ac:dyDescent="0.25">
      <c r="A24" s="198"/>
      <c r="B24" s="199"/>
      <c r="C24" s="200" t="s">
        <v>150</v>
      </c>
      <c r="D24" s="201"/>
      <c r="E24" s="202"/>
      <c r="F24" s="159"/>
      <c r="G24" s="185"/>
      <c r="H24" s="186"/>
      <c r="I24" s="187"/>
    </row>
    <row r="25" spans="1:9" ht="15" x14ac:dyDescent="0.25">
      <c r="A25" s="203"/>
      <c r="B25" s="204"/>
      <c r="C25" s="205"/>
      <c r="D25" s="206"/>
      <c r="E25" s="197"/>
      <c r="F25" s="159"/>
      <c r="G25" s="185"/>
      <c r="H25" s="186"/>
      <c r="I25" s="187"/>
    </row>
    <row r="26" spans="1:9" ht="15" x14ac:dyDescent="0.25">
      <c r="A26" s="158"/>
      <c r="B26" s="158"/>
      <c r="C26" s="196"/>
      <c r="D26" s="206"/>
      <c r="E26" s="197"/>
      <c r="F26" s="159"/>
      <c r="G26" s="185"/>
      <c r="H26" s="186"/>
      <c r="I26" s="187"/>
    </row>
    <row r="27" spans="1:9" ht="15" x14ac:dyDescent="0.25">
      <c r="A27" s="207"/>
      <c r="B27" s="207"/>
      <c r="C27" s="205"/>
      <c r="D27" s="206"/>
      <c r="E27" s="197"/>
      <c r="F27" s="159"/>
      <c r="G27" s="185"/>
      <c r="H27" s="186"/>
      <c r="I27" s="187"/>
    </row>
    <row r="28" spans="1:9" ht="15" x14ac:dyDescent="0.25">
      <c r="A28" s="158"/>
      <c r="B28" s="158"/>
      <c r="C28" s="196"/>
      <c r="D28" s="197"/>
      <c r="E28" s="201"/>
      <c r="F28" s="159"/>
      <c r="G28" s="185"/>
      <c r="H28" s="186"/>
      <c r="I28" s="187"/>
    </row>
    <row r="29" spans="1:9" ht="15" x14ac:dyDescent="0.25">
      <c r="A29" s="158"/>
      <c r="B29" s="158"/>
      <c r="C29" s="196"/>
      <c r="D29" s="1"/>
      <c r="E29" s="208"/>
      <c r="F29" s="209"/>
      <c r="G29" s="185"/>
      <c r="H29" s="186"/>
      <c r="I29" s="187"/>
    </row>
    <row r="30" spans="1:9" ht="15.75" x14ac:dyDescent="0.25">
      <c r="A30" s="210"/>
      <c r="B30" s="211"/>
      <c r="C30" s="212" t="s">
        <v>151</v>
      </c>
      <c r="D30" s="213"/>
      <c r="E30" s="185"/>
      <c r="F30" s="186"/>
      <c r="G30" s="185"/>
      <c r="H30" s="186"/>
      <c r="I30" s="187"/>
    </row>
    <row r="31" spans="1:9" ht="15" x14ac:dyDescent="0.25">
      <c r="A31" s="179">
        <v>1950756</v>
      </c>
      <c r="B31" s="158" t="s">
        <v>133</v>
      </c>
      <c r="C31" s="160" t="s">
        <v>152</v>
      </c>
      <c r="D31" s="1" t="s">
        <v>153</v>
      </c>
      <c r="E31" s="2">
        <v>1</v>
      </c>
      <c r="F31" s="3" t="s">
        <v>108</v>
      </c>
      <c r="G31" s="188"/>
      <c r="H31" s="186"/>
      <c r="I31" s="187"/>
    </row>
    <row r="32" spans="1:9" ht="15" x14ac:dyDescent="0.25">
      <c r="A32" s="179">
        <v>1952432</v>
      </c>
      <c r="B32" s="158" t="s">
        <v>134</v>
      </c>
      <c r="C32" t="s">
        <v>154</v>
      </c>
      <c r="D32" s="1" t="s">
        <v>153</v>
      </c>
      <c r="E32" s="2">
        <v>1</v>
      </c>
      <c r="F32" s="3" t="s">
        <v>108</v>
      </c>
      <c r="G32" s="185"/>
      <c r="H32" s="186"/>
      <c r="I32" s="187"/>
    </row>
    <row r="33" spans="1:13" ht="15" x14ac:dyDescent="0.25">
      <c r="A33" s="179">
        <v>702067</v>
      </c>
      <c r="B33" s="177" t="s">
        <v>120</v>
      </c>
      <c r="C33" s="160" t="s">
        <v>155</v>
      </c>
      <c r="D33" s="1" t="s">
        <v>156</v>
      </c>
      <c r="E33" s="2">
        <v>1</v>
      </c>
      <c r="F33" s="3" t="s">
        <v>108</v>
      </c>
      <c r="G33" s="185"/>
      <c r="H33" s="186"/>
      <c r="I33" s="187"/>
    </row>
    <row r="34" spans="1:13" ht="15" x14ac:dyDescent="0.25">
      <c r="A34" s="179">
        <v>701096</v>
      </c>
      <c r="B34" s="158" t="s">
        <v>135</v>
      </c>
      <c r="C34" s="160" t="s">
        <v>157</v>
      </c>
      <c r="D34" s="1" t="s">
        <v>158</v>
      </c>
      <c r="E34" s="2">
        <v>1</v>
      </c>
      <c r="F34" s="3" t="s">
        <v>108</v>
      </c>
      <c r="G34" s="185"/>
      <c r="H34" s="186"/>
      <c r="I34" s="187"/>
    </row>
    <row r="35" spans="1:13" ht="15" x14ac:dyDescent="0.25">
      <c r="A35" s="191"/>
      <c r="B35" s="191"/>
      <c r="C35" s="192"/>
      <c r="D35" s="206"/>
      <c r="E35" s="208"/>
      <c r="F35" s="209"/>
      <c r="G35" s="185"/>
      <c r="H35" s="186"/>
      <c r="I35" s="187"/>
    </row>
    <row r="36" spans="1:13" ht="15.75" x14ac:dyDescent="0.25">
      <c r="A36" s="214"/>
      <c r="B36" s="215"/>
      <c r="C36" s="216"/>
      <c r="D36" s="217"/>
      <c r="E36" s="197"/>
      <c r="F36" s="159"/>
      <c r="G36" s="218"/>
      <c r="H36" s="201"/>
      <c r="I36" s="187"/>
    </row>
    <row r="37" spans="1:13" ht="15.75" x14ac:dyDescent="0.25">
      <c r="A37" s="198"/>
      <c r="B37" s="199"/>
      <c r="C37" s="219"/>
      <c r="D37" s="217"/>
      <c r="E37" s="197"/>
      <c r="F37" s="159"/>
      <c r="G37" s="197"/>
      <c r="H37" s="201"/>
      <c r="I37" s="187"/>
    </row>
    <row r="38" spans="1:13" ht="15.75" x14ac:dyDescent="0.25">
      <c r="A38" s="198"/>
      <c r="B38" s="199"/>
      <c r="C38" s="219"/>
      <c r="D38" s="217"/>
      <c r="E38" s="197"/>
      <c r="F38" s="159"/>
      <c r="G38" s="220"/>
      <c r="H38" s="159"/>
      <c r="I38" s="187"/>
    </row>
    <row r="39" spans="1:13" ht="15.75" x14ac:dyDescent="0.25">
      <c r="A39" s="198"/>
      <c r="B39" s="199"/>
      <c r="C39" s="219"/>
      <c r="D39" s="201"/>
      <c r="E39" s="201"/>
      <c r="F39" s="159"/>
      <c r="G39" s="217"/>
      <c r="H39" s="217"/>
      <c r="I39" s="187"/>
    </row>
    <row r="40" spans="1:13" ht="14.25" thickBot="1" x14ac:dyDescent="0.3">
      <c r="A40" s="161"/>
      <c r="B40" s="162"/>
      <c r="C40" s="163"/>
      <c r="D40" s="163"/>
      <c r="E40" s="164"/>
      <c r="F40" s="165"/>
      <c r="G40" s="163"/>
      <c r="H40" s="163"/>
      <c r="I40" s="166"/>
      <c r="J40" s="174"/>
      <c r="K40" s="174"/>
      <c r="L40" s="175"/>
      <c r="M40" s="174"/>
    </row>
    <row r="41" spans="1:13" ht="14.25" thickBot="1" x14ac:dyDescent="0.3">
      <c r="A41" s="167"/>
      <c r="B41" s="168"/>
      <c r="C41" s="169"/>
      <c r="D41" s="170" t="s">
        <v>6</v>
      </c>
      <c r="E41" s="171" t="s">
        <v>121</v>
      </c>
      <c r="F41" s="172"/>
      <c r="G41" s="169"/>
      <c r="H41" s="169"/>
      <c r="I41" s="173"/>
      <c r="J41" s="174"/>
      <c r="K41" s="174"/>
      <c r="L41" s="175"/>
      <c r="M41" s="174"/>
    </row>
    <row r="42" spans="1:13" ht="13.5" x14ac:dyDescent="0.25">
      <c r="A42" s="270" t="s">
        <v>10</v>
      </c>
      <c r="B42" s="271"/>
      <c r="C42" s="272"/>
      <c r="D42" s="221">
        <v>1850</v>
      </c>
      <c r="E42" s="222" t="s">
        <v>16</v>
      </c>
      <c r="F42" s="273" t="s">
        <v>122</v>
      </c>
      <c r="G42" s="273"/>
      <c r="H42" s="274"/>
      <c r="I42" s="275"/>
      <c r="J42" s="174"/>
      <c r="K42" s="174"/>
      <c r="L42" s="175"/>
      <c r="M42" s="174"/>
    </row>
    <row r="43" spans="1:13" ht="13.5" x14ac:dyDescent="0.25">
      <c r="A43" s="253" t="s">
        <v>9</v>
      </c>
      <c r="B43" s="254"/>
      <c r="C43" s="255"/>
      <c r="D43" s="223">
        <v>7</v>
      </c>
      <c r="E43" s="224" t="s">
        <v>123</v>
      </c>
      <c r="F43" s="256" t="s">
        <v>124</v>
      </c>
      <c r="G43" s="256"/>
      <c r="H43" s="257"/>
      <c r="I43" s="258"/>
      <c r="J43" s="174"/>
      <c r="K43" s="174"/>
      <c r="L43" s="175"/>
      <c r="M43" s="174"/>
    </row>
    <row r="44" spans="1:13" ht="13.5" x14ac:dyDescent="0.25">
      <c r="A44" s="253" t="s">
        <v>125</v>
      </c>
      <c r="B44" s="254"/>
      <c r="C44" s="255"/>
      <c r="D44" s="224">
        <v>6</v>
      </c>
      <c r="E44" s="224" t="s">
        <v>126</v>
      </c>
      <c r="F44" s="256" t="s">
        <v>127</v>
      </c>
      <c r="G44" s="256"/>
      <c r="H44" s="257"/>
      <c r="I44" s="258"/>
      <c r="J44" s="174"/>
      <c r="K44" s="174"/>
      <c r="L44" s="175"/>
      <c r="M44" s="174"/>
    </row>
    <row r="45" spans="1:13" ht="13.5" x14ac:dyDescent="0.25">
      <c r="A45" s="253" t="s">
        <v>128</v>
      </c>
      <c r="B45" s="254"/>
      <c r="C45" s="255"/>
      <c r="D45" s="225">
        <v>1850</v>
      </c>
      <c r="E45" s="224" t="s">
        <v>16</v>
      </c>
      <c r="F45" s="259" t="s">
        <v>12</v>
      </c>
      <c r="G45" s="260"/>
      <c r="H45" s="257"/>
      <c r="I45" s="258"/>
      <c r="J45" s="174"/>
      <c r="K45" s="174"/>
      <c r="L45" s="175"/>
      <c r="M45" s="176"/>
    </row>
    <row r="46" spans="1:13" ht="14.25" thickBot="1" x14ac:dyDescent="0.3">
      <c r="A46" s="261" t="s">
        <v>11</v>
      </c>
      <c r="B46" s="262"/>
      <c r="C46" s="263"/>
      <c r="D46" s="226">
        <v>50</v>
      </c>
      <c r="E46" s="227" t="s">
        <v>16</v>
      </c>
      <c r="F46" s="264"/>
      <c r="G46" s="264"/>
      <c r="H46" s="265"/>
      <c r="I46" s="266"/>
      <c r="J46" s="163"/>
      <c r="K46" s="163"/>
      <c r="L46" s="175"/>
      <c r="M46" s="163"/>
    </row>
    <row r="47" spans="1:13" ht="13.5" thickBot="1" x14ac:dyDescent="0.25">
      <c r="A47" s="267" t="s">
        <v>129</v>
      </c>
      <c r="B47" s="268"/>
      <c r="C47" s="268"/>
      <c r="D47" s="268"/>
      <c r="E47" s="268"/>
      <c r="F47" s="268"/>
      <c r="G47" s="268"/>
      <c r="H47" s="268"/>
      <c r="I47" s="269"/>
      <c r="J47" s="174"/>
      <c r="K47" s="174"/>
      <c r="L47" s="174"/>
      <c r="M47" s="174"/>
    </row>
    <row r="48" spans="1:13" ht="18.600000000000001" customHeight="1" x14ac:dyDescent="0.25">
      <c r="A48" s="235" t="s">
        <v>19</v>
      </c>
      <c r="B48" s="236"/>
      <c r="C48" s="237"/>
      <c r="D48" s="237"/>
      <c r="E48" s="237"/>
      <c r="F48" s="237"/>
      <c r="G48" s="237"/>
      <c r="H48" s="237"/>
      <c r="I48" s="238"/>
      <c r="J48" s="174"/>
      <c r="K48" s="174"/>
      <c r="L48" s="174"/>
      <c r="M48" s="174"/>
    </row>
    <row r="49" spans="1:13" ht="14.45" customHeight="1" x14ac:dyDescent="0.25">
      <c r="A49" s="239" t="s">
        <v>20</v>
      </c>
      <c r="B49" s="240"/>
      <c r="C49" s="241"/>
      <c r="D49" s="241"/>
      <c r="E49" s="241"/>
      <c r="F49" s="241"/>
      <c r="G49" s="241"/>
      <c r="H49" s="241"/>
      <c r="I49" s="242"/>
      <c r="J49" s="174"/>
      <c r="K49" s="174"/>
      <c r="L49" s="174"/>
      <c r="M49" s="174"/>
    </row>
    <row r="50" spans="1:13" ht="14.45" customHeight="1" x14ac:dyDescent="0.25">
      <c r="A50" s="235" t="s">
        <v>21</v>
      </c>
      <c r="B50" s="236"/>
      <c r="C50" s="237"/>
      <c r="D50" s="237"/>
      <c r="E50" s="237"/>
      <c r="F50" s="237"/>
      <c r="G50" s="237"/>
      <c r="H50" s="237"/>
      <c r="I50" s="238"/>
      <c r="J50" s="174"/>
      <c r="K50" s="174"/>
      <c r="L50" s="174"/>
      <c r="M50" s="174"/>
    </row>
    <row r="51" spans="1:13" ht="14.45" customHeight="1" x14ac:dyDescent="0.25">
      <c r="A51" s="239" t="s">
        <v>107</v>
      </c>
      <c r="B51" s="240"/>
      <c r="C51" s="241"/>
      <c r="D51" s="241"/>
      <c r="E51" s="241"/>
      <c r="F51" s="241"/>
      <c r="G51" s="241"/>
      <c r="H51" s="241"/>
      <c r="I51" s="242"/>
      <c r="J51" s="174"/>
      <c r="K51" s="174"/>
      <c r="L51" s="174"/>
      <c r="M51" s="174"/>
    </row>
    <row r="52" spans="1:13" ht="14.45" customHeight="1" x14ac:dyDescent="0.25">
      <c r="A52" s="243" t="s">
        <v>22</v>
      </c>
      <c r="B52" s="244"/>
      <c r="C52" s="245"/>
      <c r="D52" s="245"/>
      <c r="E52" s="245"/>
      <c r="F52" s="245"/>
      <c r="G52" s="245"/>
      <c r="H52" s="245"/>
      <c r="I52" s="246"/>
      <c r="J52" s="174"/>
      <c r="K52" s="174"/>
      <c r="L52" s="174"/>
      <c r="M52" s="174"/>
    </row>
    <row r="53" spans="1:13" x14ac:dyDescent="0.2">
      <c r="A53" s="247"/>
      <c r="B53" s="248"/>
      <c r="C53" s="248"/>
      <c r="D53" s="248"/>
      <c r="E53" s="248"/>
      <c r="F53" s="248"/>
      <c r="G53" s="248"/>
      <c r="H53" s="248"/>
      <c r="I53" s="249"/>
      <c r="J53" s="174"/>
      <c r="K53" s="174"/>
      <c r="L53" s="174"/>
      <c r="M53" s="174"/>
    </row>
    <row r="54" spans="1:13" ht="18" customHeight="1" x14ac:dyDescent="0.2">
      <c r="A54" s="247"/>
      <c r="B54" s="248"/>
      <c r="C54" s="248"/>
      <c r="D54" s="248"/>
      <c r="E54" s="248"/>
      <c r="F54" s="248"/>
      <c r="G54" s="248"/>
      <c r="H54" s="248"/>
      <c r="I54" s="249"/>
      <c r="J54" s="174"/>
      <c r="K54" s="174"/>
      <c r="L54" s="174"/>
      <c r="M54" s="174"/>
    </row>
    <row r="55" spans="1:13" ht="13.5" x14ac:dyDescent="0.25">
      <c r="A55" s="250"/>
      <c r="B55" s="251"/>
      <c r="C55" s="251"/>
      <c r="D55" s="251"/>
      <c r="E55" s="251"/>
      <c r="F55" s="251"/>
      <c r="G55" s="251"/>
      <c r="H55" s="251"/>
      <c r="I55" s="252"/>
      <c r="J55" s="174"/>
      <c r="K55" s="174"/>
      <c r="L55" s="174"/>
      <c r="M55" s="174"/>
    </row>
    <row r="56" spans="1:13" ht="14.25" thickBot="1" x14ac:dyDescent="0.3">
      <c r="A56" s="228"/>
      <c r="B56" s="229"/>
      <c r="C56" s="229"/>
      <c r="D56" s="229"/>
      <c r="E56" s="229"/>
      <c r="F56" s="229"/>
      <c r="G56" s="229"/>
      <c r="H56" s="229"/>
      <c r="I56" s="230"/>
      <c r="J56" s="174"/>
      <c r="K56" s="174"/>
      <c r="L56" s="174"/>
      <c r="M56" s="174"/>
    </row>
    <row r="57" spans="1:13" x14ac:dyDescent="0.2">
      <c r="A57" s="231" t="s">
        <v>159</v>
      </c>
      <c r="B57" s="232"/>
      <c r="C57" s="232"/>
      <c r="D57" s="232"/>
      <c r="E57" s="232"/>
      <c r="F57" s="232"/>
      <c r="G57" s="232"/>
      <c r="H57" s="232"/>
      <c r="I57" s="232"/>
      <c r="J57" s="174"/>
      <c r="K57" s="174"/>
      <c r="L57" s="174"/>
      <c r="M57" s="174"/>
    </row>
    <row r="58" spans="1:13" ht="13.5" x14ac:dyDescent="0.25">
      <c r="A58" s="233"/>
      <c r="B58" s="234"/>
      <c r="C58" s="234"/>
      <c r="D58" s="234"/>
      <c r="E58" s="234"/>
      <c r="F58" s="234"/>
      <c r="G58" s="234"/>
      <c r="H58" s="234"/>
      <c r="I58" s="234"/>
      <c r="J58" s="174"/>
      <c r="K58" s="174"/>
      <c r="L58" s="174"/>
      <c r="M58" s="174"/>
    </row>
    <row r="59" spans="1:13" ht="13.5" x14ac:dyDescent="0.25">
      <c r="A59" s="233"/>
      <c r="B59" s="234"/>
      <c r="C59" s="234"/>
      <c r="D59" s="234"/>
      <c r="E59" s="234"/>
      <c r="F59" s="234"/>
      <c r="G59" s="234"/>
      <c r="H59" s="234"/>
      <c r="I59" s="23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BA97-9AC4-4E06-AE45-7224BE5BD0D3}">
  <dimension ref="A1:Q84"/>
  <sheetViews>
    <sheetView topLeftCell="A33" workbookViewId="0">
      <selection activeCell="B59" sqref="B59:E59"/>
    </sheetView>
  </sheetViews>
  <sheetFormatPr baseColWidth="10" defaultColWidth="8.42578125" defaultRowHeight="12.75" x14ac:dyDescent="0.2"/>
  <cols>
    <col min="1" max="1" width="10" style="9" bestFit="1" customWidth="1"/>
    <col min="2" max="2" width="44.140625" style="9" bestFit="1" customWidth="1"/>
    <col min="3" max="3" width="10.42578125" style="9" bestFit="1" customWidth="1"/>
    <col min="4" max="4" width="10.42578125" style="9" customWidth="1"/>
    <col min="5" max="5" width="9.85546875" style="9" bestFit="1" customWidth="1"/>
    <col min="6" max="6" width="9.5703125" style="9" bestFit="1" customWidth="1"/>
    <col min="7" max="7" width="9.5703125" style="90" bestFit="1" customWidth="1"/>
    <col min="8" max="8" width="10.42578125" style="81" bestFit="1" customWidth="1"/>
    <col min="9" max="9" width="4.5703125" style="81" customWidth="1"/>
    <col min="10" max="10" width="1.85546875" style="8" customWidth="1"/>
    <col min="11" max="11" width="7" style="9" bestFit="1" customWidth="1"/>
    <col min="12" max="12" width="6.140625" style="9" customWidth="1"/>
    <col min="13" max="13" width="20.42578125" style="9" customWidth="1"/>
    <col min="14" max="14" width="6.42578125" style="9" bestFit="1" customWidth="1"/>
    <col min="15" max="16" width="8.42578125" style="9"/>
    <col min="17" max="17" width="3.140625" style="9" customWidth="1"/>
    <col min="18" max="16384" width="8.42578125" style="9"/>
  </cols>
  <sheetData>
    <row r="1" spans="1:10" ht="27.75" customHeight="1" x14ac:dyDescent="0.2">
      <c r="A1" s="4"/>
      <c r="B1" s="4"/>
      <c r="C1" s="4"/>
      <c r="D1" s="4"/>
      <c r="E1" s="5" t="s">
        <v>23</v>
      </c>
      <c r="F1" s="6" t="s">
        <v>24</v>
      </c>
      <c r="G1" s="6" t="s">
        <v>25</v>
      </c>
      <c r="H1" s="6" t="s">
        <v>26</v>
      </c>
      <c r="I1" s="7"/>
    </row>
    <row r="2" spans="1:10" ht="30.75" customHeight="1" x14ac:dyDescent="0.2">
      <c r="A2" s="4"/>
      <c r="B2" s="4"/>
      <c r="C2" s="4"/>
      <c r="D2" s="4"/>
      <c r="E2" s="10">
        <f>IFERROR(O55,"")</f>
        <v>7171.4294928983127</v>
      </c>
      <c r="F2" s="10">
        <f>IFERROR(H46,"")</f>
        <v>4705.9863672597285</v>
      </c>
      <c r="G2" s="10">
        <f>IFERROR(H47,"")</f>
        <v>251.73885444444446</v>
      </c>
      <c r="H2" s="10">
        <f>IFERROR(H49,"")</f>
        <v>456.64380638226118</v>
      </c>
      <c r="I2" s="11"/>
    </row>
    <row r="3" spans="1:10" ht="15" customHeight="1" x14ac:dyDescent="0.2">
      <c r="A3" s="4"/>
      <c r="B3" s="4"/>
      <c r="C3" s="4"/>
      <c r="D3" s="4"/>
      <c r="E3" s="4"/>
      <c r="F3" s="12"/>
      <c r="G3" s="12"/>
      <c r="H3" s="12"/>
      <c r="I3" s="12"/>
    </row>
    <row r="4" spans="1:10" ht="24.75" customHeight="1" thickBot="1" x14ac:dyDescent="0.25">
      <c r="A4" s="334" t="s">
        <v>73</v>
      </c>
      <c r="B4" s="334"/>
      <c r="C4" s="334"/>
      <c r="D4" s="334"/>
      <c r="E4" s="334"/>
      <c r="F4" s="334"/>
      <c r="G4" s="334"/>
      <c r="H4" s="334"/>
      <c r="I4" s="13"/>
    </row>
    <row r="5" spans="1:10" ht="19.5" customHeight="1" thickBot="1" x14ac:dyDescent="0.25">
      <c r="A5" s="335" t="s">
        <v>27</v>
      </c>
      <c r="B5" s="336"/>
      <c r="C5" s="336"/>
      <c r="D5" s="336"/>
      <c r="E5" s="336"/>
      <c r="F5" s="336"/>
      <c r="G5" s="336"/>
      <c r="H5" s="337"/>
      <c r="I5" s="14"/>
    </row>
    <row r="6" spans="1:10" ht="19.5" thickBot="1" x14ac:dyDescent="0.25">
      <c r="A6" s="14"/>
      <c r="B6" s="14"/>
      <c r="C6" s="14"/>
      <c r="D6" s="14"/>
      <c r="E6" s="14"/>
      <c r="F6" s="338" t="s">
        <v>28</v>
      </c>
      <c r="G6" s="338"/>
      <c r="H6" s="15">
        <f ca="1">TODAY()</f>
        <v>45726</v>
      </c>
      <c r="I6" s="15"/>
    </row>
    <row r="7" spans="1:10" ht="26.25" thickBot="1" x14ac:dyDescent="0.25">
      <c r="A7" s="16" t="s">
        <v>29</v>
      </c>
      <c r="B7" s="17" t="s">
        <v>30</v>
      </c>
      <c r="C7" s="17" t="s">
        <v>29</v>
      </c>
      <c r="D7" s="18" t="s">
        <v>31</v>
      </c>
      <c r="E7" s="18" t="s">
        <v>32</v>
      </c>
      <c r="F7" s="18" t="s">
        <v>33</v>
      </c>
      <c r="G7" s="18" t="s">
        <v>34</v>
      </c>
      <c r="H7" s="19" t="s">
        <v>35</v>
      </c>
      <c r="I7" s="20"/>
    </row>
    <row r="8" spans="1:10" ht="13.5" x14ac:dyDescent="0.25">
      <c r="A8" s="21">
        <v>400</v>
      </c>
      <c r="B8" s="9" t="str">
        <f>IFERROR(VLOOKUP($H8,'[1]MP PLANTA'!$A$2:$F$500,2,0),"")</f>
        <v>PASTA P/LASAG/(PAQ 5 de 1/2KG)</v>
      </c>
      <c r="C8" s="22">
        <f>+A8</f>
        <v>400</v>
      </c>
      <c r="D8" s="23" t="str">
        <f>IFERROR(VLOOKUP($H8,'[1]MP PLANTA'!$A$2:$F$500,5,0),"")</f>
        <v>Gramo</v>
      </c>
      <c r="E8" s="23">
        <f>IFERROR(VLOOKUP($H8,'[1]MP PLANTA'!$A$2:$F$500,6,0),"")</f>
        <v>2.3050010000000003</v>
      </c>
      <c r="F8" s="23">
        <f>IFERROR(C8*E8,"")</f>
        <v>922.00040000000013</v>
      </c>
      <c r="G8" s="24">
        <f>IFERROR(F8/$F$59,"")</f>
        <v>0.16958372155917595</v>
      </c>
      <c r="H8" s="25" t="s">
        <v>18</v>
      </c>
      <c r="I8" s="25"/>
      <c r="J8" s="26"/>
    </row>
    <row r="9" spans="1:10" ht="13.5" x14ac:dyDescent="0.25">
      <c r="A9" s="21">
        <v>225</v>
      </c>
      <c r="B9" s="9" t="str">
        <f>IFERROR(VLOOKUP($H9,'[1]MP PLANTA'!$A$2:$F$500,2,0),"")</f>
        <v>QUESO MOZARELLA RAYADO (1KILO)</v>
      </c>
      <c r="C9" s="22">
        <f t="shared" ref="C9:C14" si="0">+A9</f>
        <v>225</v>
      </c>
      <c r="D9" s="23" t="str">
        <f>IFERROR(VLOOKUP($H9,'[1]MP PLANTA'!$A$2:$F$500,5,0),"")</f>
        <v>Gramo</v>
      </c>
      <c r="E9" s="23">
        <f>IFERROR(VLOOKUP($H9,'[1]MP PLANTA'!$A$2:$F$500,6,0),"")</f>
        <v>4.6212539999999995</v>
      </c>
      <c r="F9" s="23">
        <f t="shared" ref="F9:F14" si="1">IFERROR(C9*E9,"")</f>
        <v>1039.78215</v>
      </c>
      <c r="G9" s="24">
        <f t="shared" ref="G9:G14" si="2">IFERROR(F9/$F$59,"")</f>
        <v>0.19124734285126266</v>
      </c>
      <c r="H9" s="25" t="s">
        <v>75</v>
      </c>
      <c r="I9" s="25"/>
      <c r="J9" s="26"/>
    </row>
    <row r="10" spans="1:10" ht="13.5" hidden="1" x14ac:dyDescent="0.25">
      <c r="A10" s="21"/>
      <c r="B10" s="9" t="str">
        <f>IFERROR(VLOOKUP($H10,'[1]MP PLANTA'!$A$2:$F$500,2,0),"")</f>
        <v/>
      </c>
      <c r="C10" s="22">
        <f t="shared" si="0"/>
        <v>0</v>
      </c>
      <c r="D10" s="23" t="str">
        <f>IFERROR(VLOOKUP($H10,'[1]MP PLANTA'!$A$2:$F$500,5,0),"")</f>
        <v/>
      </c>
      <c r="E10" s="23" t="str">
        <f>IFERROR(VLOOKUP($H10,'[1]MP PLANTA'!$A$2:$F$500,6,0),"")</f>
        <v/>
      </c>
      <c r="F10" s="23" t="str">
        <f t="shared" si="1"/>
        <v/>
      </c>
      <c r="G10" s="24" t="str">
        <f t="shared" si="2"/>
        <v/>
      </c>
      <c r="H10" s="25"/>
      <c r="I10" s="25"/>
      <c r="J10" s="26"/>
    </row>
    <row r="11" spans="1:10" ht="13.5" hidden="1" x14ac:dyDescent="0.25">
      <c r="A11" s="21"/>
      <c r="B11" s="9" t="str">
        <f>IFERROR(VLOOKUP($H11,'[1]MP PLANTA'!$A$2:$F$500,2,0),"")</f>
        <v/>
      </c>
      <c r="C11" s="22">
        <f t="shared" si="0"/>
        <v>0</v>
      </c>
      <c r="D11" s="23" t="str">
        <f>IFERROR(VLOOKUP($H11,'[1]MP PLANTA'!$A$2:$F$500,5,0),"")</f>
        <v/>
      </c>
      <c r="E11" s="23" t="str">
        <f>IFERROR(VLOOKUP($H11,'[1]MP PLANTA'!$A$2:$F$500,6,0),"")</f>
        <v/>
      </c>
      <c r="F11" s="23" t="str">
        <f t="shared" si="1"/>
        <v/>
      </c>
      <c r="G11" s="24" t="str">
        <f t="shared" si="2"/>
        <v/>
      </c>
      <c r="H11" s="25"/>
      <c r="I11" s="25"/>
      <c r="J11" s="26"/>
    </row>
    <row r="12" spans="1:10" ht="13.5" hidden="1" x14ac:dyDescent="0.25">
      <c r="A12" s="21"/>
      <c r="B12" s="9" t="str">
        <f>IFERROR(VLOOKUP($H12,'[1]MP PLANTA'!$A$2:$F$500,2,0),"")</f>
        <v/>
      </c>
      <c r="C12" s="22">
        <f t="shared" si="0"/>
        <v>0</v>
      </c>
      <c r="D12" s="23" t="str">
        <f>IFERROR(VLOOKUP($H12,'[1]MP PLANTA'!$A$2:$F$500,5,0),"")</f>
        <v/>
      </c>
      <c r="E12" s="23" t="str">
        <f>IFERROR(VLOOKUP($H12,'[1]MP PLANTA'!$A$2:$F$500,6,0),"")</f>
        <v/>
      </c>
      <c r="F12" s="23" t="str">
        <f t="shared" si="1"/>
        <v/>
      </c>
      <c r="G12" s="24" t="str">
        <f t="shared" si="2"/>
        <v/>
      </c>
      <c r="H12" s="25"/>
      <c r="I12" s="25"/>
      <c r="J12" s="26"/>
    </row>
    <row r="13" spans="1:10" ht="13.5" hidden="1" x14ac:dyDescent="0.25">
      <c r="A13" s="21"/>
      <c r="B13" s="9" t="str">
        <f>IFERROR(VLOOKUP($H13,'[1]MP PLANTA'!$A$2:$F$500,2,0),"")</f>
        <v/>
      </c>
      <c r="C13" s="22">
        <f t="shared" si="0"/>
        <v>0</v>
      </c>
      <c r="D13" s="23" t="str">
        <f>IFERROR(VLOOKUP($H13,'[1]MP PLANTA'!$A$2:$F$500,5,0),"")</f>
        <v/>
      </c>
      <c r="E13" s="23" t="str">
        <f>IFERROR(VLOOKUP($H13,'[1]MP PLANTA'!$A$2:$F$500,6,0),"")</f>
        <v/>
      </c>
      <c r="F13" s="23" t="str">
        <f t="shared" si="1"/>
        <v/>
      </c>
      <c r="G13" s="24" t="str">
        <f t="shared" si="2"/>
        <v/>
      </c>
      <c r="H13" s="25"/>
      <c r="I13" s="25"/>
      <c r="J13" s="26"/>
    </row>
    <row r="14" spans="1:10" ht="13.5" hidden="1" x14ac:dyDescent="0.25">
      <c r="A14" s="21"/>
      <c r="B14" s="9" t="str">
        <f>IFERROR(VLOOKUP($H14,'[1]MP PLANTA'!$A$2:$F$500,2,0),"")</f>
        <v/>
      </c>
      <c r="C14" s="22">
        <f t="shared" si="0"/>
        <v>0</v>
      </c>
      <c r="D14" s="23" t="str">
        <f>IFERROR(VLOOKUP($H14,'[1]MP PLANTA'!$A$2:$F$500,5,0),"")</f>
        <v/>
      </c>
      <c r="E14" s="23" t="str">
        <f>IFERROR(VLOOKUP($H14,'[1]MP PLANTA'!$A$2:$F$500,6,0),"")</f>
        <v/>
      </c>
      <c r="F14" s="23" t="str">
        <f t="shared" si="1"/>
        <v/>
      </c>
      <c r="G14" s="24" t="str">
        <f t="shared" si="2"/>
        <v/>
      </c>
      <c r="H14" s="25"/>
      <c r="I14" s="25"/>
      <c r="J14" s="26"/>
    </row>
    <row r="15" spans="1:10" ht="14.25" thickBot="1" x14ac:dyDescent="0.3">
      <c r="A15" s="21"/>
      <c r="C15" s="22"/>
      <c r="D15" s="23"/>
      <c r="E15" s="23"/>
      <c r="F15" s="23"/>
      <c r="G15" s="24"/>
      <c r="H15" s="25"/>
      <c r="I15" s="25"/>
      <c r="J15" s="26"/>
    </row>
    <row r="16" spans="1:10" ht="26.25" thickBot="1" x14ac:dyDescent="0.25">
      <c r="A16" s="16" t="s">
        <v>29</v>
      </c>
      <c r="B16" s="17" t="s">
        <v>36</v>
      </c>
      <c r="C16" s="17" t="s">
        <v>29</v>
      </c>
      <c r="D16" s="18" t="s">
        <v>31</v>
      </c>
      <c r="E16" s="18" t="s">
        <v>32</v>
      </c>
      <c r="F16" s="18" t="s">
        <v>33</v>
      </c>
      <c r="G16" s="18" t="s">
        <v>34</v>
      </c>
      <c r="H16" s="19" t="s">
        <v>35</v>
      </c>
      <c r="I16" s="20"/>
      <c r="J16" s="26"/>
    </row>
    <row r="17" spans="1:12" ht="13.5" x14ac:dyDescent="0.25">
      <c r="A17" s="21">
        <v>750</v>
      </c>
      <c r="B17" s="9" t="str">
        <f>IFERROR(VLOOKUP($H17,[1]SEMIELABORADOS!$A$1:$J$999,2,0),"")</f>
        <v>RELLENO CARNE P/ LASAGÑA (21000g)</v>
      </c>
      <c r="C17" s="22">
        <f>+A17</f>
        <v>750</v>
      </c>
      <c r="D17" s="22" t="str">
        <f>IFERROR(VLOOKUP($H17,[1]SEMIELABORADOS!$A$1:$J$999,4,0),"")</f>
        <v>GRAMO</v>
      </c>
      <c r="E17" s="23">
        <f>IFERROR(VLOOKUP($H17,[1]SEMIELABORADOS!$A$1:$J$999,6,0),"")</f>
        <v>2.5591263787931036</v>
      </c>
      <c r="F17" s="23">
        <f>IFERROR(E17*C17,"")</f>
        <v>1919.3447840948277</v>
      </c>
      <c r="G17" s="24">
        <f>IFERROR(F17/$F$59,"")</f>
        <v>0.35302547747484048</v>
      </c>
      <c r="H17" s="25" t="s">
        <v>74</v>
      </c>
      <c r="I17" s="25"/>
      <c r="J17" s="26"/>
    </row>
    <row r="18" spans="1:12" ht="13.5" x14ac:dyDescent="0.25">
      <c r="A18" s="21">
        <v>525</v>
      </c>
      <c r="B18" s="9" t="str">
        <f>IFERROR(VLOOKUP($H18,[1]SEMIELABORADOS!$A$1:$J$999,2,0),"")</f>
        <v>COCCION SALSA BLANCA SPOON (59450g)</v>
      </c>
      <c r="C18" s="22">
        <f>+A18</f>
        <v>525</v>
      </c>
      <c r="D18" s="22" t="str">
        <f>IFERROR(VLOOKUP($H18,[1]SEMIELABORADOS!$A$1:$J$999,4,0),"")</f>
        <v>GRAMO</v>
      </c>
      <c r="E18" s="23">
        <f>IFERROR(VLOOKUP($H18,[1]SEMIELABORADOS!$A$1:$J$999,6,0),"")</f>
        <v>1.5711600631712397</v>
      </c>
      <c r="F18" s="23">
        <f>IFERROR(E18*C18,"")</f>
        <v>824.85903316490078</v>
      </c>
      <c r="G18" s="24">
        <f>IFERROR(F18/$F$59,"")</f>
        <v>0.15171649015098865</v>
      </c>
      <c r="H18" s="25" t="s">
        <v>17</v>
      </c>
      <c r="I18" s="25"/>
      <c r="J18" s="26"/>
    </row>
    <row r="19" spans="1:12" ht="13.5" hidden="1" x14ac:dyDescent="0.25">
      <c r="A19" s="21"/>
      <c r="B19" s="9" t="str">
        <f>IFERROR(VLOOKUP($H19,[1]SEMIELABORADOS!$A$1:$J$999,2,0),"")</f>
        <v/>
      </c>
      <c r="C19" s="22">
        <f>+A19</f>
        <v>0</v>
      </c>
      <c r="D19" s="22" t="str">
        <f>IFERROR(VLOOKUP($H19,[1]SEMIELABORADOS!$A$1:$J$999,4,0),"")</f>
        <v/>
      </c>
      <c r="E19" s="23" t="str">
        <f>IFERROR(VLOOKUP($H19,[1]SEMIELABORADOS!$A$1:$J$999,6,0),"")</f>
        <v/>
      </c>
      <c r="F19" s="23" t="str">
        <f>IFERROR(E19*C19,"")</f>
        <v/>
      </c>
      <c r="G19" s="24" t="str">
        <f>IFERROR(F19/$F$59,"")</f>
        <v/>
      </c>
      <c r="H19" s="25"/>
      <c r="I19" s="25"/>
      <c r="J19" s="26"/>
    </row>
    <row r="20" spans="1:12" ht="13.5" hidden="1" x14ac:dyDescent="0.25">
      <c r="A20" s="21"/>
      <c r="B20" s="9" t="str">
        <f>IFERROR(VLOOKUP($H20,[1]SEMIELABORADOS!$A$1:$J$999,2,0),"")</f>
        <v/>
      </c>
      <c r="C20" s="22">
        <f>+A20</f>
        <v>0</v>
      </c>
      <c r="D20" s="22" t="str">
        <f>IFERROR(VLOOKUP($H20,[1]SEMIELABORADOS!$A$1:$J$999,4,0),"")</f>
        <v/>
      </c>
      <c r="E20" s="23" t="str">
        <f>IFERROR(VLOOKUP($H20,[1]SEMIELABORADOS!$A$1:$J$999,6,0),"")</f>
        <v/>
      </c>
      <c r="F20" s="23" t="str">
        <f>IFERROR(E20*C20,"")</f>
        <v/>
      </c>
      <c r="G20" s="24" t="str">
        <f>IFERROR(F20/$F$59,"")</f>
        <v/>
      </c>
      <c r="H20" s="25"/>
      <c r="I20" s="25"/>
      <c r="J20" s="26"/>
    </row>
    <row r="21" spans="1:12" ht="13.5" hidden="1" x14ac:dyDescent="0.25">
      <c r="A21" s="21"/>
      <c r="B21" s="9" t="str">
        <f>IFERROR(VLOOKUP($H21,[1]SEMIELABORADOS!$A$1:$J$999,2,0),"")</f>
        <v/>
      </c>
      <c r="C21" s="22">
        <f>+A21</f>
        <v>0</v>
      </c>
      <c r="D21" s="22" t="str">
        <f>IFERROR(VLOOKUP($H21,[1]SEMIELABORADOS!$A$1:$J$999,4,0),"")</f>
        <v/>
      </c>
      <c r="E21" s="23" t="str">
        <f>IFERROR(VLOOKUP($H21,[1]SEMIELABORADOS!$A$1:$J$999,6,0),"")</f>
        <v/>
      </c>
      <c r="F21" s="23" t="str">
        <f>IFERROR(E21*C21,"")</f>
        <v/>
      </c>
      <c r="G21" s="24" t="str">
        <f>IFERROR(F21/$F$59,"")</f>
        <v/>
      </c>
      <c r="H21" s="25"/>
      <c r="I21" s="25"/>
      <c r="J21" s="26"/>
    </row>
    <row r="22" spans="1:12" ht="14.25" thickBot="1" x14ac:dyDescent="0.3">
      <c r="A22" s="21"/>
      <c r="C22" s="22"/>
      <c r="D22" s="22"/>
      <c r="E22" s="23"/>
      <c r="F22" s="23"/>
      <c r="G22" s="24"/>
      <c r="H22" s="25"/>
      <c r="I22" s="25"/>
      <c r="J22" s="26"/>
    </row>
    <row r="23" spans="1:12" ht="26.25" thickBot="1" x14ac:dyDescent="0.25">
      <c r="A23" s="16" t="s">
        <v>29</v>
      </c>
      <c r="B23" s="17" t="s">
        <v>37</v>
      </c>
      <c r="C23" s="17" t="s">
        <v>29</v>
      </c>
      <c r="D23" s="18" t="s">
        <v>31</v>
      </c>
      <c r="E23" s="18" t="s">
        <v>32</v>
      </c>
      <c r="F23" s="18" t="s">
        <v>33</v>
      </c>
      <c r="G23" s="18" t="s">
        <v>34</v>
      </c>
      <c r="H23" s="19" t="s">
        <v>35</v>
      </c>
      <c r="I23" s="20"/>
    </row>
    <row r="24" spans="1:12" ht="13.5" x14ac:dyDescent="0.25">
      <c r="A24" s="21">
        <v>1</v>
      </c>
      <c r="B24" s="27" t="str">
        <f>IFERROR(VLOOKUP($H24,'[1]EMP PLANTA'!$A$2:$F$500,2,0),"")</f>
        <v>BANDEJA ALUM DESE #4040 (6 PORC)</v>
      </c>
      <c r="C24" s="22">
        <f t="shared" ref="C24:C29" si="3">+A24</f>
        <v>1</v>
      </c>
      <c r="D24" s="23" t="str">
        <f>IFERROR(VLOOKUP($H24,'[1]EMP PLANTA'!$A$2:$F$500,5,0),"")</f>
        <v>UND</v>
      </c>
      <c r="E24" s="23">
        <f>IFERROR(VLOOKUP($H24,'[1]EMP PLANTA'!$A$2:$F$500,6,0),"")</f>
        <v>178.08</v>
      </c>
      <c r="F24" s="23">
        <f t="shared" ref="F24:F29" si="4">IFERROR(E24*C24,"")</f>
        <v>178.08</v>
      </c>
      <c r="G24" s="24">
        <f t="shared" ref="G24:G29" si="5">IFERROR(F24/$F$59,"")</f>
        <v>3.2754290708830548E-2</v>
      </c>
      <c r="H24" s="28" t="s">
        <v>15</v>
      </c>
      <c r="I24" s="28"/>
      <c r="J24" s="26"/>
      <c r="K24" s="331"/>
      <c r="L24" s="331"/>
    </row>
    <row r="25" spans="1:12" ht="13.5" x14ac:dyDescent="0.25">
      <c r="A25" s="21">
        <v>1</v>
      </c>
      <c r="B25" s="27" t="s">
        <v>76</v>
      </c>
      <c r="C25" s="22">
        <f t="shared" si="3"/>
        <v>1</v>
      </c>
      <c r="D25" s="23" t="s">
        <v>77</v>
      </c>
      <c r="E25" s="23">
        <v>71.400000000000006</v>
      </c>
      <c r="F25" s="23">
        <f t="shared" si="4"/>
        <v>71.400000000000006</v>
      </c>
      <c r="G25" s="24">
        <f t="shared" si="5"/>
        <v>1.3132616557785835E-2</v>
      </c>
      <c r="H25" s="28">
        <v>1952432</v>
      </c>
      <c r="I25" s="28"/>
      <c r="J25" s="26"/>
      <c r="K25" s="331"/>
      <c r="L25" s="331"/>
    </row>
    <row r="26" spans="1:12" ht="13.5" x14ac:dyDescent="0.25">
      <c r="A26" s="21">
        <v>1</v>
      </c>
      <c r="B26" s="27" t="str">
        <f>IFERROR(VLOOKUP($H26,'[1]EMP PLANTA'!$A$2:$F$500,2,0),"")</f>
        <v>ETIQ.BLANCA 1 13/16 * 1 7/8</v>
      </c>
      <c r="C26" s="22">
        <f t="shared" si="3"/>
        <v>1</v>
      </c>
      <c r="D26" s="23" t="str">
        <f>IFERROR(VLOOKUP($H26,'[1]EMP PLANTA'!$A$2:$F$500,5,0),"")</f>
        <v>UND</v>
      </c>
      <c r="E26" s="23">
        <f>IFERROR(VLOOKUP($H26,'[1]EMP PLANTA'!$A$2:$F$500,6,0),"")</f>
        <v>2.0470000000000002</v>
      </c>
      <c r="F26" s="23">
        <f t="shared" si="4"/>
        <v>2.0470000000000002</v>
      </c>
      <c r="G26" s="24">
        <f t="shared" si="5"/>
        <v>3.7650512736397203E-4</v>
      </c>
      <c r="H26" s="28" t="s">
        <v>14</v>
      </c>
      <c r="I26" s="28"/>
      <c r="J26" s="26"/>
      <c r="K26" s="331"/>
      <c r="L26" s="331"/>
    </row>
    <row r="27" spans="1:12" ht="13.5" x14ac:dyDescent="0.25">
      <c r="A27" s="21">
        <v>1</v>
      </c>
      <c r="B27" s="27" t="str">
        <f>IFERROR(VLOOKUP($H27,'[1]EMP PLANTA'!$A$2:$F$500,2,0),"")</f>
        <v>ETIQ.FECHA VENCIMIENTO VERDE</v>
      </c>
      <c r="C27" s="22">
        <f t="shared" si="3"/>
        <v>1</v>
      </c>
      <c r="D27" s="23" t="str">
        <f>IFERROR(VLOOKUP($H27,'[1]EMP PLANTA'!$A$2:$F$500,5,0),"")</f>
        <v>UND</v>
      </c>
      <c r="E27" s="23">
        <f>IFERROR(VLOOKUP($H27,'[1]EMP PLANTA'!$A$2:$F$500,6,0),"")</f>
        <v>0.21185444444444446</v>
      </c>
      <c r="F27" s="23">
        <f t="shared" si="4"/>
        <v>0.21185444444444446</v>
      </c>
      <c r="G27" s="24">
        <f t="shared" si="5"/>
        <v>3.896643116178754E-5</v>
      </c>
      <c r="H27" s="28" t="s">
        <v>13</v>
      </c>
      <c r="I27" s="28"/>
      <c r="J27" s="26"/>
      <c r="K27" s="331"/>
      <c r="L27" s="331"/>
    </row>
    <row r="28" spans="1:12" ht="13.5" hidden="1" x14ac:dyDescent="0.25">
      <c r="A28" s="21"/>
      <c r="B28" s="27" t="str">
        <f>IFERROR(VLOOKUP($H28,'[1]EMP PLANTA'!$A$2:$F$500,2,0),"")</f>
        <v/>
      </c>
      <c r="C28" s="22">
        <f t="shared" si="3"/>
        <v>0</v>
      </c>
      <c r="D28" s="23" t="str">
        <f>IFERROR(VLOOKUP($H28,'[1]EMP PLANTA'!$A$2:$F$500,5,0),"")</f>
        <v/>
      </c>
      <c r="E28" s="23" t="str">
        <f>IFERROR(VLOOKUP($H28,'[1]EMP PLANTA'!$A$2:$F$500,6,0),"")</f>
        <v/>
      </c>
      <c r="F28" s="23" t="str">
        <f t="shared" si="4"/>
        <v/>
      </c>
      <c r="G28" s="24" t="str">
        <f t="shared" si="5"/>
        <v/>
      </c>
      <c r="H28" s="28"/>
      <c r="I28" s="28"/>
      <c r="J28" s="26"/>
      <c r="K28" s="29"/>
      <c r="L28" s="30"/>
    </row>
    <row r="29" spans="1:12" ht="13.5" hidden="1" x14ac:dyDescent="0.25">
      <c r="A29" s="21"/>
      <c r="B29" s="27" t="str">
        <f>IFERROR(VLOOKUP($H29,'[1]EMP PLANTA'!$A$2:$F$500,2,0),"")</f>
        <v/>
      </c>
      <c r="C29" s="22">
        <f t="shared" si="3"/>
        <v>0</v>
      </c>
      <c r="D29" s="23" t="str">
        <f>IFERROR(VLOOKUP($H29,'[1]EMP PLANTA'!$A$2:$F$500,5,0),"")</f>
        <v/>
      </c>
      <c r="E29" s="23" t="str">
        <f>IFERROR(VLOOKUP($H29,'[1]EMP PLANTA'!$A$2:$F$500,6,0),"")</f>
        <v/>
      </c>
      <c r="F29" s="23" t="str">
        <f t="shared" si="4"/>
        <v/>
      </c>
      <c r="G29" s="24" t="str">
        <f t="shared" si="5"/>
        <v/>
      </c>
      <c r="H29" s="28"/>
      <c r="I29" s="28"/>
      <c r="J29" s="26"/>
    </row>
    <row r="30" spans="1:12" ht="14.25" thickBot="1" x14ac:dyDescent="0.3">
      <c r="A30" s="21"/>
      <c r="B30" s="27"/>
      <c r="C30" s="22"/>
      <c r="D30" s="23"/>
      <c r="E30" s="23"/>
      <c r="F30" s="23"/>
      <c r="G30" s="24"/>
      <c r="H30" s="28"/>
      <c r="I30" s="28"/>
      <c r="J30" s="26"/>
    </row>
    <row r="31" spans="1:12" ht="26.25" thickBot="1" x14ac:dyDescent="0.25">
      <c r="A31" s="16" t="s">
        <v>29</v>
      </c>
      <c r="B31" s="17" t="s">
        <v>38</v>
      </c>
      <c r="C31" s="17" t="s">
        <v>29</v>
      </c>
      <c r="D31" s="18" t="s">
        <v>31</v>
      </c>
      <c r="E31" s="18" t="s">
        <v>32</v>
      </c>
      <c r="F31" s="18" t="s">
        <v>33</v>
      </c>
      <c r="G31" s="18" t="s">
        <v>34</v>
      </c>
      <c r="H31" s="19" t="s">
        <v>35</v>
      </c>
      <c r="I31" s="20"/>
      <c r="J31" s="26"/>
    </row>
    <row r="32" spans="1:12" ht="13.5" x14ac:dyDescent="0.25">
      <c r="A32" s="21">
        <f>+A17</f>
        <v>750</v>
      </c>
      <c r="B32" s="27" t="s">
        <v>78</v>
      </c>
      <c r="C32" s="22">
        <f>+A32</f>
        <v>750</v>
      </c>
      <c r="D32" s="23" t="s">
        <v>39</v>
      </c>
      <c r="E32" s="23">
        <f>IFERROR(VLOOKUP($H32,[1]SEMIELABORADOS!$A$1:$J$999,8,0),"")</f>
        <v>0</v>
      </c>
      <c r="F32" s="23">
        <f>IFERROR(E32*C32,"")</f>
        <v>0</v>
      </c>
      <c r="G32" s="24">
        <f>IFERROR(F32/$F$58,"")</f>
        <v>0</v>
      </c>
      <c r="H32" s="28" t="s">
        <v>74</v>
      </c>
      <c r="I32" s="28"/>
      <c r="J32" s="26"/>
    </row>
    <row r="33" spans="1:17" ht="13.5" x14ac:dyDescent="0.25">
      <c r="A33" s="21">
        <f>+A18</f>
        <v>525</v>
      </c>
      <c r="B33" s="27" t="s">
        <v>79</v>
      </c>
      <c r="C33" s="22">
        <f>+A33</f>
        <v>525</v>
      </c>
      <c r="D33" s="23" t="s">
        <v>39</v>
      </c>
      <c r="E33" s="23">
        <f>IFERROR(VLOOKUP($H33,[1]SEMIELABORADOS!$A$1:$J$999,8,0),"")</f>
        <v>0</v>
      </c>
      <c r="F33" s="23">
        <f>IFERROR(E33*C33,"")</f>
        <v>0</v>
      </c>
      <c r="G33" s="24">
        <f>IFERROR(F33/$F$58,"")</f>
        <v>0</v>
      </c>
      <c r="H33" s="28" t="s">
        <v>17</v>
      </c>
      <c r="I33" s="28"/>
      <c r="J33" s="26"/>
    </row>
    <row r="34" spans="1:17" ht="13.5" hidden="1" x14ac:dyDescent="0.25">
      <c r="A34" s="21">
        <f>+A19</f>
        <v>0</v>
      </c>
      <c r="B34" s="27"/>
      <c r="C34" s="22">
        <f>+A34</f>
        <v>0</v>
      </c>
      <c r="D34" s="23" t="s">
        <v>39</v>
      </c>
      <c r="E34" s="23" t="str">
        <f>IFERROR(VLOOKUP($H34,[1]SEMIELABORADOS!$A$1:$J$999,8,0),"")</f>
        <v/>
      </c>
      <c r="F34" s="23" t="str">
        <f>IFERROR(E34*C34,"")</f>
        <v/>
      </c>
      <c r="G34" s="24" t="str">
        <f>IFERROR(F34/$F$58,"")</f>
        <v/>
      </c>
      <c r="H34" s="28"/>
      <c r="I34" s="28"/>
      <c r="J34" s="26"/>
    </row>
    <row r="35" spans="1:17" ht="13.5" hidden="1" x14ac:dyDescent="0.25">
      <c r="A35" s="21">
        <f>+A20</f>
        <v>0</v>
      </c>
      <c r="B35" s="27"/>
      <c r="C35" s="22">
        <f>+A35</f>
        <v>0</v>
      </c>
      <c r="D35" s="23" t="s">
        <v>39</v>
      </c>
      <c r="E35" s="23" t="str">
        <f>IFERROR(VLOOKUP($H35,[1]SEMIELABORADOS!$A$1:$J$999,8,0),"")</f>
        <v/>
      </c>
      <c r="F35" s="23" t="str">
        <f>IFERROR(E35*C35,"")</f>
        <v/>
      </c>
      <c r="G35" s="24" t="str">
        <f>IFERROR(F35/$F$58,"")</f>
        <v/>
      </c>
      <c r="H35" s="28"/>
      <c r="I35" s="28"/>
      <c r="J35" s="26"/>
    </row>
    <row r="36" spans="1:17" ht="13.5" hidden="1" x14ac:dyDescent="0.25">
      <c r="A36" s="21">
        <f>+A21</f>
        <v>0</v>
      </c>
      <c r="B36" s="27"/>
      <c r="C36" s="22">
        <f>+A36</f>
        <v>0</v>
      </c>
      <c r="D36" s="23" t="s">
        <v>39</v>
      </c>
      <c r="E36" s="23" t="str">
        <f>IFERROR(VLOOKUP($H36,[1]SEMIELABORADOS!$A$1:$J$999,8,0),"")</f>
        <v/>
      </c>
      <c r="F36" s="23" t="str">
        <f>IFERROR(E36*C36,"")</f>
        <v/>
      </c>
      <c r="G36" s="24" t="str">
        <f>IFERROR(F36/$F$58,"")</f>
        <v/>
      </c>
      <c r="H36" s="28"/>
      <c r="I36" s="28"/>
      <c r="J36" s="26"/>
    </row>
    <row r="37" spans="1:17" ht="14.25" thickBot="1" x14ac:dyDescent="0.3">
      <c r="A37" s="21"/>
      <c r="B37" s="27"/>
      <c r="C37" s="22"/>
      <c r="D37" s="23"/>
      <c r="E37" s="23"/>
      <c r="F37" s="23"/>
      <c r="G37" s="24"/>
      <c r="H37" s="28"/>
      <c r="I37" s="28"/>
      <c r="J37" s="26"/>
    </row>
    <row r="38" spans="1:17" ht="26.25" thickBot="1" x14ac:dyDescent="0.25">
      <c r="A38" s="16" t="s">
        <v>29</v>
      </c>
      <c r="B38" s="17" t="s">
        <v>40</v>
      </c>
      <c r="C38" s="17" t="s">
        <v>29</v>
      </c>
      <c r="D38" s="17"/>
      <c r="E38" s="18" t="s">
        <v>32</v>
      </c>
      <c r="F38" s="18" t="s">
        <v>33</v>
      </c>
      <c r="G38" s="18" t="s">
        <v>34</v>
      </c>
      <c r="H38" s="19" t="s">
        <v>35</v>
      </c>
      <c r="I38" s="20"/>
      <c r="J38" s="26"/>
    </row>
    <row r="39" spans="1:17" ht="13.5" x14ac:dyDescent="0.25">
      <c r="A39" s="21">
        <f>+A17</f>
        <v>750</v>
      </c>
      <c r="B39" s="31" t="s">
        <v>78</v>
      </c>
      <c r="C39" s="22">
        <f t="shared" ref="C39:C44" si="6">+A39</f>
        <v>750</v>
      </c>
      <c r="D39" s="22" t="s">
        <v>39</v>
      </c>
      <c r="E39" s="23">
        <f>IFERROR(VLOOKUP($H39,[1]SEMIELABORADOS!$A$1:$J$999,10,0),"")</f>
        <v>8.2974137931034489E-2</v>
      </c>
      <c r="F39" s="23">
        <f t="shared" ref="F39:F44" si="7">IFERROR(C39*E39,"")</f>
        <v>62.230603448275865</v>
      </c>
      <c r="G39" s="24">
        <f t="shared" ref="G39:G44" si="8">IFERROR(F39/$F$59,"")</f>
        <v>1.1446087580473835E-2</v>
      </c>
      <c r="H39" s="32" t="s">
        <v>74</v>
      </c>
      <c r="I39" s="32"/>
      <c r="J39" s="26"/>
    </row>
    <row r="40" spans="1:17" ht="13.5" x14ac:dyDescent="0.25">
      <c r="A40" s="21">
        <f>+A18</f>
        <v>525</v>
      </c>
      <c r="B40" s="31" t="s">
        <v>79</v>
      </c>
      <c r="C40" s="22">
        <f t="shared" si="6"/>
        <v>525</v>
      </c>
      <c r="D40" s="22" t="s">
        <v>39</v>
      </c>
      <c r="E40" s="23">
        <f>IFERROR(VLOOKUP($H40,[1]SEMIELABORADOS!$A$1:$J$999,10,0),"")</f>
        <v>1.7929910350448247E-2</v>
      </c>
      <c r="F40" s="23">
        <f t="shared" si="7"/>
        <v>9.41320293398533</v>
      </c>
      <c r="G40" s="24">
        <f t="shared" si="8"/>
        <v>1.7313723349111196E-3</v>
      </c>
      <c r="H40" s="32" t="s">
        <v>17</v>
      </c>
      <c r="I40" s="32"/>
      <c r="J40" s="26"/>
    </row>
    <row r="41" spans="1:17" ht="15.75" hidden="1" customHeight="1" x14ac:dyDescent="0.25">
      <c r="A41" s="21">
        <f>+A19</f>
        <v>0</v>
      </c>
      <c r="B41" s="31"/>
      <c r="C41" s="22">
        <f t="shared" si="6"/>
        <v>0</v>
      </c>
      <c r="D41" s="22" t="s">
        <v>39</v>
      </c>
      <c r="E41" s="23" t="str">
        <f>IFERROR(VLOOKUP($H41,[1]SEMIELABORADOS!$A$1:$J$999,10,0),"")</f>
        <v/>
      </c>
      <c r="F41" s="23" t="str">
        <f t="shared" si="7"/>
        <v/>
      </c>
      <c r="G41" s="24" t="str">
        <f t="shared" si="8"/>
        <v/>
      </c>
      <c r="H41" s="32"/>
      <c r="I41" s="32"/>
      <c r="J41" s="26"/>
    </row>
    <row r="42" spans="1:17" ht="15.75" hidden="1" customHeight="1" x14ac:dyDescent="0.25">
      <c r="A42" s="21">
        <f>+A20</f>
        <v>0</v>
      </c>
      <c r="B42" s="31"/>
      <c r="C42" s="22">
        <f t="shared" si="6"/>
        <v>0</v>
      </c>
      <c r="D42" s="22" t="s">
        <v>39</v>
      </c>
      <c r="E42" s="23" t="str">
        <f>IFERROR(VLOOKUP($H42,[1]SEMIELABORADOS!$A$1:$J$999,10,0),"")</f>
        <v/>
      </c>
      <c r="F42" s="23" t="str">
        <f t="shared" si="7"/>
        <v/>
      </c>
      <c r="G42" s="24" t="str">
        <f t="shared" si="8"/>
        <v/>
      </c>
      <c r="H42" s="32"/>
      <c r="I42" s="32"/>
      <c r="J42" s="26"/>
    </row>
    <row r="43" spans="1:17" ht="15.75" hidden="1" customHeight="1" x14ac:dyDescent="0.25">
      <c r="A43" s="21">
        <f>+A21</f>
        <v>0</v>
      </c>
      <c r="B43" s="31"/>
      <c r="C43" s="22">
        <f t="shared" si="6"/>
        <v>0</v>
      </c>
      <c r="D43" s="22" t="s">
        <v>39</v>
      </c>
      <c r="E43" s="23" t="str">
        <f>IFERROR(VLOOKUP($H43,[1]SEMIELABORADOS!$A$1:$J$999,10,0),"")</f>
        <v/>
      </c>
      <c r="F43" s="23" t="str">
        <f t="shared" si="7"/>
        <v/>
      </c>
      <c r="G43" s="24" t="str">
        <f t="shared" si="8"/>
        <v/>
      </c>
      <c r="H43" s="32"/>
      <c r="I43" s="32"/>
      <c r="J43" s="26"/>
    </row>
    <row r="44" spans="1:17" ht="13.5" x14ac:dyDescent="0.25">
      <c r="A44" s="21">
        <v>1</v>
      </c>
      <c r="B44" s="27" t="s">
        <v>41</v>
      </c>
      <c r="C44" s="22">
        <f t="shared" si="6"/>
        <v>1</v>
      </c>
      <c r="D44" s="22" t="s">
        <v>39</v>
      </c>
      <c r="E44" s="23">
        <f>+F58</f>
        <v>385</v>
      </c>
      <c r="F44" s="23">
        <f t="shared" si="7"/>
        <v>385</v>
      </c>
      <c r="G44" s="24">
        <f t="shared" si="8"/>
        <v>7.081312849786478E-2</v>
      </c>
      <c r="H44" s="32"/>
      <c r="I44" s="32"/>
      <c r="J44" s="26"/>
    </row>
    <row r="45" spans="1:17" ht="14.25" thickBot="1" x14ac:dyDescent="0.3">
      <c r="A45" s="21"/>
      <c r="B45" s="27"/>
      <c r="C45" s="22"/>
      <c r="D45" s="22"/>
      <c r="E45" s="23"/>
      <c r="F45" s="23"/>
      <c r="G45" s="24"/>
      <c r="H45" s="32"/>
      <c r="I45" s="32"/>
      <c r="J45" s="26"/>
    </row>
    <row r="46" spans="1:17" ht="13.5" thickBot="1" x14ac:dyDescent="0.25">
      <c r="A46" s="33"/>
      <c r="B46" s="320" t="s">
        <v>42</v>
      </c>
      <c r="C46" s="320"/>
      <c r="D46" s="320"/>
      <c r="E46" s="320"/>
      <c r="F46" s="35">
        <f>SUM(F8:F14,F17:F21)</f>
        <v>4705.9863672597285</v>
      </c>
      <c r="G46" s="24">
        <f>+F46/$F$59</f>
        <v>0.86557303203626768</v>
      </c>
      <c r="H46" s="36">
        <f>+F46/$D$53</f>
        <v>4705.9863672597285</v>
      </c>
      <c r="I46" s="36"/>
      <c r="J46" s="37"/>
      <c r="K46" s="38"/>
      <c r="L46" s="38"/>
      <c r="M46" s="38"/>
      <c r="N46" s="38"/>
      <c r="O46" s="38"/>
      <c r="P46" s="38"/>
      <c r="Q46" s="39"/>
    </row>
    <row r="47" spans="1:17" x14ac:dyDescent="0.2">
      <c r="A47" s="33"/>
      <c r="B47" s="320" t="s">
        <v>43</v>
      </c>
      <c r="C47" s="320"/>
      <c r="D47" s="320"/>
      <c r="E47" s="320"/>
      <c r="F47" s="35">
        <f>SUM(F24:F29,F32:F36)</f>
        <v>251.73885444444446</v>
      </c>
      <c r="G47" s="24">
        <f>+F47/$F$59</f>
        <v>4.630237882514214E-2</v>
      </c>
      <c r="H47" s="36">
        <f>+F47/$D$53</f>
        <v>251.73885444444446</v>
      </c>
      <c r="I47" s="36"/>
      <c r="J47" s="40"/>
      <c r="K47" s="332" t="s">
        <v>44</v>
      </c>
      <c r="L47" s="333"/>
      <c r="M47" s="333"/>
      <c r="N47" s="333"/>
      <c r="O47" s="41">
        <f>+F48</f>
        <v>4957.7252217041732</v>
      </c>
      <c r="P47" s="41"/>
      <c r="Q47" s="42"/>
    </row>
    <row r="48" spans="1:17" x14ac:dyDescent="0.2">
      <c r="A48" s="33"/>
      <c r="B48" s="320" t="s">
        <v>45</v>
      </c>
      <c r="C48" s="320"/>
      <c r="D48" s="320"/>
      <c r="E48" s="320"/>
      <c r="F48" s="35">
        <f>+F46+F47</f>
        <v>4957.7252217041732</v>
      </c>
      <c r="G48" s="24">
        <f>+F48/$F$59</f>
        <v>0.91187541086140989</v>
      </c>
      <c r="H48" s="36">
        <f>+F48/$D$53</f>
        <v>4957.7252217041732</v>
      </c>
      <c r="I48" s="36"/>
      <c r="J48" s="43"/>
      <c r="K48" s="44"/>
      <c r="L48" s="322" t="s">
        <v>46</v>
      </c>
      <c r="M48" s="322"/>
      <c r="N48" s="322"/>
      <c r="O48" s="41">
        <f>+F49</f>
        <v>456.64380638226118</v>
      </c>
      <c r="P48" s="41"/>
      <c r="Q48" s="42"/>
    </row>
    <row r="49" spans="1:17" ht="13.5" thickBot="1" x14ac:dyDescent="0.25">
      <c r="A49" s="33"/>
      <c r="B49" s="34"/>
      <c r="C49" s="320" t="s">
        <v>47</v>
      </c>
      <c r="D49" s="320"/>
      <c r="E49" s="320"/>
      <c r="F49" s="35">
        <f>SUM(F39:F44)</f>
        <v>456.64380638226118</v>
      </c>
      <c r="G49" s="24">
        <f>+F49/$F$59</f>
        <v>8.3990588413249731E-2</v>
      </c>
      <c r="H49" s="36">
        <f>+F49/$D$53</f>
        <v>456.64380638226118</v>
      </c>
      <c r="I49" s="36"/>
      <c r="J49" s="43"/>
      <c r="K49" s="44"/>
      <c r="L49" s="44"/>
      <c r="M49" s="44" t="s">
        <v>48</v>
      </c>
      <c r="N49" s="45">
        <v>0.01</v>
      </c>
      <c r="O49" s="41">
        <f>O47*N49</f>
        <v>49.577252217041732</v>
      </c>
      <c r="P49" s="41"/>
      <c r="Q49" s="42"/>
    </row>
    <row r="50" spans="1:17" ht="13.5" thickBot="1" x14ac:dyDescent="0.25">
      <c r="A50" s="33"/>
      <c r="B50" s="46"/>
      <c r="C50" s="46"/>
      <c r="D50" s="46"/>
      <c r="E50" s="46"/>
      <c r="F50" s="47"/>
      <c r="G50" s="24"/>
      <c r="H50" s="48"/>
      <c r="I50" s="36"/>
      <c r="J50" s="43"/>
      <c r="K50" s="49"/>
      <c r="M50" s="50" t="s">
        <v>49</v>
      </c>
      <c r="N50" s="51"/>
      <c r="O50" s="52">
        <f>SUM(O47:O49)</f>
        <v>5463.9462803034767</v>
      </c>
      <c r="P50" s="53"/>
      <c r="Q50" s="42"/>
    </row>
    <row r="51" spans="1:17" x14ac:dyDescent="0.2">
      <c r="B51" s="321" t="s">
        <v>50</v>
      </c>
      <c r="C51" s="321"/>
      <c r="D51" s="54">
        <v>1850</v>
      </c>
      <c r="E51" s="55"/>
      <c r="G51" s="24"/>
      <c r="H51" s="48"/>
      <c r="I51" s="56"/>
      <c r="J51" s="43"/>
      <c r="K51" s="49"/>
      <c r="L51" s="44"/>
      <c r="M51" s="44" t="s">
        <v>51</v>
      </c>
      <c r="N51" s="57">
        <v>0.25</v>
      </c>
      <c r="O51" s="41">
        <f>+O50*N51</f>
        <v>1365.9865700758692</v>
      </c>
      <c r="P51" s="41"/>
      <c r="Q51" s="42"/>
    </row>
    <row r="52" spans="1:17" x14ac:dyDescent="0.2">
      <c r="B52" s="321" t="s">
        <v>52</v>
      </c>
      <c r="C52" s="321"/>
      <c r="D52" s="58">
        <v>1850</v>
      </c>
      <c r="E52" s="55"/>
      <c r="G52" s="24"/>
      <c r="H52" s="48"/>
      <c r="I52" s="56"/>
      <c r="J52" s="43"/>
      <c r="K52" s="49"/>
      <c r="L52" s="44"/>
      <c r="M52" s="322" t="s">
        <v>49</v>
      </c>
      <c r="N52" s="322"/>
      <c r="O52" s="41">
        <f>SUM(O50:O51)</f>
        <v>6829.9328503793458</v>
      </c>
      <c r="P52" s="41"/>
      <c r="Q52" s="42"/>
    </row>
    <row r="53" spans="1:17" ht="13.5" thickBot="1" x14ac:dyDescent="0.25">
      <c r="B53" s="323" t="s">
        <v>53</v>
      </c>
      <c r="C53" s="323"/>
      <c r="D53" s="54">
        <f>+D51/D52</f>
        <v>1</v>
      </c>
      <c r="E53" s="55"/>
      <c r="F53" s="59"/>
      <c r="G53" s="24"/>
      <c r="H53" s="48"/>
      <c r="I53" s="56"/>
      <c r="J53" s="43"/>
      <c r="K53" s="49"/>
      <c r="L53" s="322" t="s">
        <v>54</v>
      </c>
      <c r="M53" s="322"/>
      <c r="N53" s="57">
        <v>0.05</v>
      </c>
      <c r="O53" s="41">
        <f>+O52*N53</f>
        <v>341.49664251896729</v>
      </c>
      <c r="P53" s="41"/>
      <c r="Q53" s="42"/>
    </row>
    <row r="54" spans="1:17" ht="13.5" thickBot="1" x14ac:dyDescent="0.25">
      <c r="B54" s="323" t="s">
        <v>55</v>
      </c>
      <c r="C54" s="323"/>
      <c r="D54" s="60"/>
      <c r="E54" s="55"/>
      <c r="F54" s="59"/>
      <c r="G54" s="24"/>
      <c r="H54" s="48"/>
      <c r="I54" s="56"/>
      <c r="J54" s="43"/>
      <c r="K54" s="324" t="s">
        <v>56</v>
      </c>
      <c r="L54" s="325"/>
      <c r="M54" s="325"/>
      <c r="N54" s="326"/>
      <c r="O54" s="52">
        <f>SUM(O52:O53)</f>
        <v>7171.4294928983127</v>
      </c>
      <c r="P54" s="61" t="s">
        <v>57</v>
      </c>
      <c r="Q54" s="42"/>
    </row>
    <row r="55" spans="1:17" ht="13.5" thickBot="1" x14ac:dyDescent="0.25">
      <c r="C55" s="33" t="s">
        <v>58</v>
      </c>
      <c r="D55" s="62"/>
      <c r="E55" s="7" t="s">
        <v>59</v>
      </c>
      <c r="F55" s="63" t="s">
        <v>60</v>
      </c>
      <c r="G55" s="24"/>
      <c r="H55" s="48"/>
      <c r="I55" s="56"/>
      <c r="J55" s="64"/>
      <c r="K55" s="65"/>
      <c r="L55" s="327" t="s">
        <v>61</v>
      </c>
      <c r="M55" s="327"/>
      <c r="N55" s="327"/>
      <c r="O55" s="66">
        <f>+O54/D53</f>
        <v>7171.4294928983127</v>
      </c>
      <c r="P55" s="67">
        <f>+O55/D52</f>
        <v>3.8764483745396285</v>
      </c>
      <c r="Q55" s="68"/>
    </row>
    <row r="56" spans="1:17" ht="13.5" thickBot="1" x14ac:dyDescent="0.25">
      <c r="B56" s="328" t="s">
        <v>45</v>
      </c>
      <c r="C56" s="328"/>
      <c r="D56" s="328"/>
      <c r="E56" s="69">
        <f>+F56/F56</f>
        <v>1</v>
      </c>
      <c r="F56" s="70">
        <f>SUM(F48)</f>
        <v>4957.7252217041732</v>
      </c>
      <c r="G56" s="24">
        <f>+F56/$F$59</f>
        <v>0.91187541086140989</v>
      </c>
      <c r="H56" s="48"/>
      <c r="I56" s="56"/>
      <c r="K56" s="329"/>
      <c r="L56" s="330"/>
      <c r="M56" s="330"/>
      <c r="N56" s="330"/>
      <c r="O56" s="71"/>
      <c r="P56" s="72"/>
    </row>
    <row r="57" spans="1:17" ht="13.5" thickBot="1" x14ac:dyDescent="0.25">
      <c r="B57" s="319" t="s">
        <v>62</v>
      </c>
      <c r="C57" s="319"/>
      <c r="D57" s="319"/>
      <c r="E57" s="73">
        <v>0.02</v>
      </c>
      <c r="F57" s="70">
        <f>+F46*E57</f>
        <v>94.119727345194576</v>
      </c>
      <c r="G57" s="24">
        <f>+F57/$F$59</f>
        <v>1.7311460640725355E-2</v>
      </c>
      <c r="H57" s="36"/>
      <c r="I57" s="56"/>
      <c r="J57" s="74"/>
      <c r="O57" s="75"/>
      <c r="P57" s="34"/>
    </row>
    <row r="58" spans="1:17" ht="13.5" thickBot="1" x14ac:dyDescent="0.25">
      <c r="B58" s="309" t="s">
        <v>63</v>
      </c>
      <c r="C58" s="310"/>
      <c r="D58" s="76">
        <v>7</v>
      </c>
      <c r="E58" s="77">
        <v>55</v>
      </c>
      <c r="F58" s="70">
        <f>+E58*D58</f>
        <v>385</v>
      </c>
      <c r="G58" s="24">
        <f>+F58/$F$59</f>
        <v>7.081312849786478E-2</v>
      </c>
      <c r="H58" s="36"/>
      <c r="I58" s="36"/>
      <c r="J58" s="26"/>
    </row>
    <row r="59" spans="1:17" ht="13.5" thickBot="1" x14ac:dyDescent="0.25">
      <c r="B59" s="311" t="s">
        <v>64</v>
      </c>
      <c r="C59" s="312"/>
      <c r="D59" s="312"/>
      <c r="E59" s="313"/>
      <c r="F59" s="47">
        <f>SUM(F56:F58)</f>
        <v>5436.8449490493676</v>
      </c>
      <c r="G59" s="24">
        <f>+F59/$F$59</f>
        <v>1</v>
      </c>
      <c r="H59" s="314"/>
      <c r="I59" s="36"/>
      <c r="J59" s="26"/>
    </row>
    <row r="60" spans="1:17" x14ac:dyDescent="0.2">
      <c r="C60" s="79"/>
      <c r="D60" s="79"/>
      <c r="E60" s="80"/>
      <c r="F60" s="70"/>
      <c r="G60" s="24"/>
      <c r="H60" s="314"/>
      <c r="I60" s="78"/>
      <c r="J60" s="9"/>
    </row>
    <row r="61" spans="1:17" ht="13.5" thickBot="1" x14ac:dyDescent="0.25">
      <c r="B61" s="315" t="s">
        <v>65</v>
      </c>
      <c r="C61" s="315"/>
      <c r="D61" s="315"/>
      <c r="E61" s="315"/>
      <c r="F61" s="315"/>
      <c r="G61" s="24"/>
      <c r="H61" s="82"/>
      <c r="I61" s="78"/>
      <c r="J61" s="9"/>
    </row>
    <row r="62" spans="1:17" ht="13.5" thickBot="1" x14ac:dyDescent="0.25">
      <c r="B62" s="83" t="s">
        <v>66</v>
      </c>
      <c r="C62" s="84">
        <f>+F46</f>
        <v>4705.9863672597285</v>
      </c>
      <c r="D62" s="84">
        <f>+D51</f>
        <v>1850</v>
      </c>
      <c r="E62" s="85">
        <f>+C62/D62</f>
        <v>2.5437764147349884</v>
      </c>
      <c r="F62" s="24"/>
      <c r="G62" s="82"/>
      <c r="H62" s="26"/>
      <c r="I62" s="82"/>
      <c r="J62" s="9"/>
    </row>
    <row r="63" spans="1:17" x14ac:dyDescent="0.2">
      <c r="B63" s="86"/>
      <c r="C63" s="87"/>
      <c r="D63" s="88"/>
      <c r="E63" s="70"/>
      <c r="F63" s="24"/>
      <c r="G63" s="82"/>
      <c r="H63" s="26"/>
      <c r="I63" s="26"/>
      <c r="J63" s="9"/>
    </row>
    <row r="64" spans="1:17" x14ac:dyDescent="0.2">
      <c r="B64" s="83" t="s">
        <v>67</v>
      </c>
      <c r="C64" s="84">
        <f>SUM(F56:F57)</f>
        <v>5051.8449490493676</v>
      </c>
      <c r="D64" s="84">
        <f>+D51</f>
        <v>1850</v>
      </c>
      <c r="E64" s="89">
        <f>+C64/D64</f>
        <v>2.7307269994861447</v>
      </c>
      <c r="F64" s="24"/>
      <c r="G64" s="82"/>
      <c r="H64" s="26"/>
      <c r="I64" s="26"/>
      <c r="J64" s="9"/>
    </row>
    <row r="65" spans="2:10" x14ac:dyDescent="0.2">
      <c r="B65" s="83"/>
      <c r="C65" s="84"/>
      <c r="D65" s="84"/>
      <c r="E65" s="89"/>
      <c r="F65" s="24"/>
      <c r="G65" s="82"/>
      <c r="H65" s="26"/>
      <c r="I65" s="26"/>
      <c r="J65" s="9"/>
    </row>
    <row r="66" spans="2:10" ht="13.5" thickBot="1" x14ac:dyDescent="0.25">
      <c r="B66" s="83" t="s">
        <v>68</v>
      </c>
      <c r="C66" s="84">
        <f>+F58</f>
        <v>385</v>
      </c>
      <c r="D66" s="84">
        <f>+D51</f>
        <v>1850</v>
      </c>
      <c r="E66" s="89">
        <f>+C66/D66</f>
        <v>0.20810810810810812</v>
      </c>
      <c r="F66" s="24"/>
      <c r="G66" s="82"/>
      <c r="H66" s="26"/>
      <c r="I66" s="26"/>
      <c r="J66" s="9"/>
    </row>
    <row r="67" spans="2:10" ht="13.5" thickBot="1" x14ac:dyDescent="0.25">
      <c r="B67" s="83" t="s">
        <v>69</v>
      </c>
      <c r="C67" s="84">
        <f>+F49</f>
        <v>456.64380638226118</v>
      </c>
      <c r="D67" s="84">
        <f>+D66</f>
        <v>1850</v>
      </c>
      <c r="E67" s="85">
        <f>+C67/D67</f>
        <v>0.2468344899363574</v>
      </c>
      <c r="F67" s="24"/>
      <c r="G67" s="82"/>
      <c r="H67" s="26"/>
      <c r="I67" s="26"/>
      <c r="J67" s="9"/>
    </row>
    <row r="68" spans="2:10" ht="13.5" thickBot="1" x14ac:dyDescent="0.25">
      <c r="B68" s="46"/>
      <c r="C68" s="47"/>
      <c r="D68" s="47"/>
      <c r="E68" s="89"/>
      <c r="F68" s="24"/>
      <c r="G68" s="82"/>
      <c r="H68" s="26"/>
      <c r="I68" s="26"/>
      <c r="J68" s="9"/>
    </row>
    <row r="69" spans="2:10" ht="13.5" thickBot="1" x14ac:dyDescent="0.25">
      <c r="B69" s="83" t="s">
        <v>70</v>
      </c>
      <c r="C69" s="84">
        <f>+F47</f>
        <v>251.73885444444446</v>
      </c>
      <c r="D69" s="84">
        <f>+D67</f>
        <v>1850</v>
      </c>
      <c r="E69" s="85">
        <f>+C69/D69</f>
        <v>0.13607505645645646</v>
      </c>
      <c r="F69" s="24"/>
      <c r="G69" s="82"/>
      <c r="H69" s="26"/>
      <c r="I69" s="26"/>
      <c r="J69" s="26"/>
    </row>
    <row r="70" spans="2:10" ht="13.5" thickBot="1" x14ac:dyDescent="0.25">
      <c r="B70" s="46"/>
      <c r="C70" s="47"/>
      <c r="D70" s="47"/>
      <c r="E70" s="89"/>
      <c r="F70" s="24"/>
      <c r="G70" s="82"/>
      <c r="H70" s="26"/>
      <c r="I70" s="26"/>
    </row>
    <row r="71" spans="2:10" ht="13.5" thickBot="1" x14ac:dyDescent="0.25">
      <c r="B71" s="316" t="s">
        <v>71</v>
      </c>
      <c r="C71" s="317"/>
      <c r="D71" s="318"/>
      <c r="E71" s="85">
        <f>+E62+E67</f>
        <v>2.7906109046713459</v>
      </c>
      <c r="G71" s="24"/>
      <c r="H71" s="82"/>
      <c r="I71" s="26"/>
      <c r="J71" s="89"/>
    </row>
    <row r="72" spans="2:10" x14ac:dyDescent="0.2">
      <c r="I72" s="82"/>
      <c r="J72" s="9"/>
    </row>
    <row r="73" spans="2:10" ht="13.5" thickBot="1" x14ac:dyDescent="0.25">
      <c r="B73" s="315" t="s">
        <v>72</v>
      </c>
      <c r="C73" s="315"/>
      <c r="D73" s="315"/>
      <c r="E73" s="315"/>
      <c r="F73" s="315"/>
      <c r="G73" s="24"/>
      <c r="H73" s="82"/>
      <c r="J73" s="9"/>
    </row>
    <row r="74" spans="2:10" ht="13.5" thickBot="1" x14ac:dyDescent="0.25">
      <c r="B74" s="83" t="s">
        <v>66</v>
      </c>
      <c r="C74" s="84">
        <f>+C62</f>
        <v>4705.9863672597285</v>
      </c>
      <c r="D74" s="84">
        <f>+D53</f>
        <v>1</v>
      </c>
      <c r="E74" s="85">
        <f>+C74/D74</f>
        <v>4705.9863672597285</v>
      </c>
      <c r="F74" s="24"/>
      <c r="G74" s="82"/>
      <c r="H74" s="26"/>
      <c r="I74" s="82"/>
      <c r="J74" s="9"/>
    </row>
    <row r="75" spans="2:10" x14ac:dyDescent="0.2">
      <c r="B75" s="86"/>
      <c r="C75" s="87"/>
      <c r="D75" s="88"/>
      <c r="E75" s="70"/>
      <c r="F75" s="24"/>
      <c r="G75" s="82"/>
      <c r="H75" s="26"/>
      <c r="I75" s="26"/>
      <c r="J75" s="9"/>
    </row>
    <row r="76" spans="2:10" x14ac:dyDescent="0.2">
      <c r="B76" s="83" t="s">
        <v>67</v>
      </c>
      <c r="C76" s="84">
        <f>+C64</f>
        <v>5051.8449490493676</v>
      </c>
      <c r="D76" s="84">
        <f>+D53</f>
        <v>1</v>
      </c>
      <c r="E76" s="89">
        <f>+C76/D76</f>
        <v>5051.8449490493676</v>
      </c>
      <c r="F76" s="24"/>
      <c r="G76" s="82"/>
      <c r="H76" s="26"/>
      <c r="I76" s="26"/>
      <c r="J76" s="9"/>
    </row>
    <row r="77" spans="2:10" x14ac:dyDescent="0.2">
      <c r="B77" s="83"/>
      <c r="C77" s="84"/>
      <c r="D77" s="84"/>
      <c r="E77" s="89"/>
      <c r="F77" s="24"/>
      <c r="G77" s="82"/>
      <c r="H77" s="26"/>
      <c r="I77" s="26"/>
      <c r="J77" s="9"/>
    </row>
    <row r="78" spans="2:10" ht="13.5" thickBot="1" x14ac:dyDescent="0.25">
      <c r="B78" s="83" t="s">
        <v>69</v>
      </c>
      <c r="C78" s="84">
        <f>+C66</f>
        <v>385</v>
      </c>
      <c r="D78" s="84">
        <f>+D53</f>
        <v>1</v>
      </c>
      <c r="E78" s="89">
        <f>+C78/D78</f>
        <v>385</v>
      </c>
      <c r="F78" s="91"/>
      <c r="G78" s="81"/>
      <c r="H78" s="8"/>
      <c r="I78" s="26"/>
    </row>
    <row r="79" spans="2:10" ht="13.5" thickBot="1" x14ac:dyDescent="0.25">
      <c r="B79" s="83" t="s">
        <v>69</v>
      </c>
      <c r="C79" s="84">
        <f>+C67</f>
        <v>456.64380638226118</v>
      </c>
      <c r="D79" s="84">
        <f>+D78</f>
        <v>1</v>
      </c>
      <c r="E79" s="85">
        <f>+C79/D79</f>
        <v>456.64380638226118</v>
      </c>
      <c r="F79" s="90"/>
      <c r="G79" s="81"/>
      <c r="H79" s="8"/>
      <c r="I79" s="8"/>
    </row>
    <row r="80" spans="2:10" x14ac:dyDescent="0.2">
      <c r="I80" s="8"/>
    </row>
    <row r="81" spans="1:7" x14ac:dyDescent="0.2">
      <c r="A81" s="308"/>
      <c r="B81" s="308"/>
      <c r="C81" s="92"/>
      <c r="D81" s="92"/>
      <c r="E81" s="93"/>
      <c r="G81" s="94"/>
    </row>
    <row r="82" spans="1:7" x14ac:dyDescent="0.2">
      <c r="A82" s="27"/>
      <c r="B82" s="95"/>
      <c r="C82" s="96"/>
      <c r="D82" s="96"/>
      <c r="E82" s="97"/>
      <c r="G82" s="94"/>
    </row>
    <row r="83" spans="1:7" x14ac:dyDescent="0.2">
      <c r="A83" s="27"/>
      <c r="B83" s="95"/>
      <c r="C83" s="98"/>
      <c r="D83" s="98"/>
      <c r="E83" s="27"/>
      <c r="G83" s="94"/>
    </row>
    <row r="84" spans="1:7" x14ac:dyDescent="0.2">
      <c r="A84" s="27"/>
      <c r="B84" s="95"/>
      <c r="C84" s="99"/>
      <c r="D84" s="99"/>
      <c r="E84" s="27"/>
      <c r="G84" s="94"/>
    </row>
  </sheetData>
  <mergeCells count="31">
    <mergeCell ref="K26:L26"/>
    <mergeCell ref="A4:H4"/>
    <mergeCell ref="A5:H5"/>
    <mergeCell ref="F6:G6"/>
    <mergeCell ref="K24:L24"/>
    <mergeCell ref="K25:L25"/>
    <mergeCell ref="K27:L27"/>
    <mergeCell ref="B46:E46"/>
    <mergeCell ref="B47:E47"/>
    <mergeCell ref="K47:N47"/>
    <mergeCell ref="B48:E48"/>
    <mergeCell ref="L48:N48"/>
    <mergeCell ref="B57:D57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A81:B81"/>
    <mergeCell ref="B58:C58"/>
    <mergeCell ref="B59:E59"/>
    <mergeCell ref="H59:H60"/>
    <mergeCell ref="B61:F61"/>
    <mergeCell ref="B71:D71"/>
    <mergeCell ref="B73:F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DEA6-396B-4B18-BC75-ACE886F8841C}">
  <dimension ref="A1:AK43"/>
  <sheetViews>
    <sheetView topLeftCell="A13" workbookViewId="0">
      <selection activeCell="C19" sqref="C19:E19"/>
    </sheetView>
  </sheetViews>
  <sheetFormatPr baseColWidth="10" defaultColWidth="8.42578125" defaultRowHeight="11.25" x14ac:dyDescent="0.2"/>
  <cols>
    <col min="1" max="1" width="7.5703125" style="100" customWidth="1"/>
    <col min="2" max="2" width="7.85546875" style="100" bestFit="1" customWidth="1"/>
    <col min="3" max="3" width="39.140625" style="100" customWidth="1"/>
    <col min="4" max="4" width="10" style="100" bestFit="1" customWidth="1"/>
    <col min="5" max="5" width="9.42578125" style="100" bestFit="1" customWidth="1"/>
    <col min="6" max="6" width="11.85546875" style="144" customWidth="1"/>
    <col min="7" max="7" width="8.85546875" style="145" bestFit="1" customWidth="1"/>
    <col min="8" max="8" width="10.140625" style="146" bestFit="1" customWidth="1"/>
    <col min="9" max="16384" width="8.42578125" style="100"/>
  </cols>
  <sheetData>
    <row r="1" spans="2:8" ht="36" customHeight="1" thickBot="1" x14ac:dyDescent="0.35">
      <c r="B1" s="349" t="s">
        <v>105</v>
      </c>
      <c r="C1" s="350"/>
      <c r="D1" s="350"/>
      <c r="E1" s="350"/>
      <c r="F1" s="350"/>
      <c r="G1" s="350"/>
      <c r="H1" s="351"/>
    </row>
    <row r="2" spans="2:8" ht="19.5" customHeight="1" thickBot="1" x14ac:dyDescent="0.25">
      <c r="B2" s="352" t="s">
        <v>80</v>
      </c>
      <c r="C2" s="352"/>
      <c r="D2" s="352"/>
      <c r="E2" s="352"/>
      <c r="F2" s="352"/>
      <c r="G2" s="352"/>
      <c r="H2" s="352"/>
    </row>
    <row r="3" spans="2:8" ht="19.5" customHeight="1" thickTop="1" x14ac:dyDescent="0.2">
      <c r="B3" s="353" t="s">
        <v>81</v>
      </c>
      <c r="C3" s="353"/>
      <c r="D3" s="353"/>
      <c r="E3" s="353"/>
      <c r="F3" s="353"/>
      <c r="G3" s="353"/>
      <c r="H3" s="353"/>
    </row>
    <row r="4" spans="2:8" ht="19.5" customHeight="1" x14ac:dyDescent="0.2">
      <c r="B4" s="101"/>
      <c r="C4" s="101"/>
      <c r="D4" s="101"/>
      <c r="E4" s="101"/>
      <c r="F4" s="354" t="s">
        <v>28</v>
      </c>
      <c r="G4" s="354"/>
      <c r="H4" s="15"/>
    </row>
    <row r="5" spans="2:8" ht="30" customHeight="1" x14ac:dyDescent="0.2">
      <c r="B5" s="102" t="s">
        <v>61</v>
      </c>
      <c r="C5" s="102" t="s">
        <v>30</v>
      </c>
      <c r="D5" s="102" t="s">
        <v>61</v>
      </c>
      <c r="E5" s="103" t="s">
        <v>82</v>
      </c>
      <c r="F5" s="103" t="s">
        <v>83</v>
      </c>
      <c r="G5" s="103" t="s">
        <v>84</v>
      </c>
      <c r="H5" s="103" t="s">
        <v>85</v>
      </c>
    </row>
    <row r="6" spans="2:8" s="104" customFormat="1" ht="20.100000000000001" customHeight="1" x14ac:dyDescent="0.2">
      <c r="B6" s="105">
        <v>1</v>
      </c>
      <c r="C6" s="104" t="s">
        <v>106</v>
      </c>
      <c r="D6" s="106">
        <f>+B6</f>
        <v>1</v>
      </c>
      <c r="E6" s="106">
        <f>+'COSTEO REC'!H46</f>
        <v>4705.9863672597285</v>
      </c>
      <c r="F6" s="107">
        <f>+D6*E6</f>
        <v>4705.9863672597285</v>
      </c>
      <c r="G6" s="108">
        <f>+F6/$F$23</f>
        <v>0.67837359265973063</v>
      </c>
      <c r="H6" s="109" t="s">
        <v>86</v>
      </c>
    </row>
    <row r="7" spans="2:8" s="104" customFormat="1" ht="20.100000000000001" customHeight="1" x14ac:dyDescent="0.2">
      <c r="B7" s="105"/>
      <c r="D7" s="106"/>
      <c r="E7" s="106"/>
      <c r="F7" s="107"/>
      <c r="G7" s="108"/>
      <c r="H7" s="109"/>
    </row>
    <row r="8" spans="2:8" ht="30" customHeight="1" x14ac:dyDescent="0.2">
      <c r="B8" s="102" t="s">
        <v>61</v>
      </c>
      <c r="C8" s="102" t="s">
        <v>37</v>
      </c>
      <c r="D8" s="102" t="s">
        <v>61</v>
      </c>
      <c r="E8" s="103" t="s">
        <v>82</v>
      </c>
      <c r="F8" s="103" t="s">
        <v>83</v>
      </c>
      <c r="G8" s="103" t="s">
        <v>84</v>
      </c>
      <c r="H8" s="103" t="s">
        <v>85</v>
      </c>
    </row>
    <row r="9" spans="2:8" s="104" customFormat="1" ht="20.100000000000001" customHeight="1" x14ac:dyDescent="0.2">
      <c r="B9" s="105">
        <v>1</v>
      </c>
      <c r="C9" s="104" t="s">
        <v>87</v>
      </c>
      <c r="D9" s="106">
        <f>+B9</f>
        <v>1</v>
      </c>
      <c r="E9" s="106">
        <f>+'COSTEO REC'!H47</f>
        <v>251.73885444444446</v>
      </c>
      <c r="F9" s="107">
        <f>+D9*E9</f>
        <v>251.73885444444446</v>
      </c>
      <c r="G9" s="108">
        <f>+F9/$F$23</f>
        <v>3.62884585237256E-2</v>
      </c>
      <c r="H9" s="109" t="s">
        <v>88</v>
      </c>
    </row>
    <row r="10" spans="2:8" s="110" customFormat="1" ht="17.25" customHeight="1" x14ac:dyDescent="0.2">
      <c r="B10" s="111"/>
      <c r="C10" s="112"/>
      <c r="D10" s="113"/>
      <c r="E10" s="113"/>
      <c r="F10" s="114"/>
      <c r="G10" s="115"/>
      <c r="H10" s="116"/>
    </row>
    <row r="11" spans="2:8" s="110" customFormat="1" ht="12" x14ac:dyDescent="0.2">
      <c r="B11" s="105"/>
      <c r="C11" s="322" t="s">
        <v>89</v>
      </c>
      <c r="D11" s="322"/>
      <c r="E11" s="106"/>
      <c r="F11" s="41">
        <f>SUM(F6)</f>
        <v>4705.9863672597285</v>
      </c>
      <c r="G11" s="117">
        <f>+F11/$F$23</f>
        <v>0.67837359265973063</v>
      </c>
      <c r="H11" s="109"/>
    </row>
    <row r="12" spans="2:8" s="110" customFormat="1" ht="12.75" thickBot="1" x14ac:dyDescent="0.25">
      <c r="B12" s="105"/>
      <c r="C12" s="322" t="s">
        <v>90</v>
      </c>
      <c r="D12" s="322"/>
      <c r="E12" s="106"/>
      <c r="F12" s="118">
        <f>SUM(F9)</f>
        <v>251.73885444444446</v>
      </c>
      <c r="G12" s="117">
        <f>+F12/$F$23</f>
        <v>3.62884585237256E-2</v>
      </c>
      <c r="H12" s="109"/>
    </row>
    <row r="13" spans="2:8" s="110" customFormat="1" ht="12.75" thickTop="1" x14ac:dyDescent="0.2">
      <c r="B13" s="105"/>
      <c r="C13" s="325" t="s">
        <v>44</v>
      </c>
      <c r="D13" s="325"/>
      <c r="E13" s="325"/>
      <c r="F13" s="53">
        <f>SUM(F11:F12)</f>
        <v>4957.7252217041732</v>
      </c>
      <c r="G13" s="117">
        <f>+F13/$F$23</f>
        <v>0.71466205118345627</v>
      </c>
      <c r="H13" s="109"/>
    </row>
    <row r="14" spans="2:8" s="110" customFormat="1" ht="12" x14ac:dyDescent="0.2">
      <c r="C14" s="49"/>
      <c r="D14" s="49"/>
      <c r="E14" s="119"/>
      <c r="F14" s="120"/>
      <c r="G14" s="117"/>
    </row>
    <row r="15" spans="2:8" s="110" customFormat="1" ht="12" x14ac:dyDescent="0.2">
      <c r="B15" s="322" t="s">
        <v>44</v>
      </c>
      <c r="C15" s="322"/>
      <c r="D15" s="322"/>
      <c r="E15" s="121" t="s">
        <v>91</v>
      </c>
      <c r="F15" s="41">
        <f>+F13</f>
        <v>4957.7252217041732</v>
      </c>
      <c r="G15" s="117">
        <f t="shared" ref="G15:G23" si="0">+F15/$F$23</f>
        <v>0.71466205118345627</v>
      </c>
      <c r="H15" s="122"/>
    </row>
    <row r="16" spans="2:8" s="110" customFormat="1" ht="12.75" customHeight="1" thickBot="1" x14ac:dyDescent="0.25">
      <c r="B16" s="44"/>
      <c r="C16" s="322" t="s">
        <v>46</v>
      </c>
      <c r="D16" s="322"/>
      <c r="E16" s="123"/>
      <c r="F16" s="41">
        <f>+'COSTEO REC'!H49</f>
        <v>456.64380638226118</v>
      </c>
      <c r="G16" s="117">
        <f t="shared" si="0"/>
        <v>6.5825753694592481E-2</v>
      </c>
      <c r="H16" s="122"/>
    </row>
    <row r="17" spans="1:37" s="110" customFormat="1" ht="12.75" hidden="1" customHeight="1" x14ac:dyDescent="0.2">
      <c r="B17" s="44"/>
      <c r="C17" s="322" t="s">
        <v>92</v>
      </c>
      <c r="D17" s="322"/>
      <c r="E17" s="124">
        <v>0</v>
      </c>
      <c r="F17" s="41">
        <f>+(F15+F16)*E17</f>
        <v>0</v>
      </c>
      <c r="G17" s="117">
        <f t="shared" si="0"/>
        <v>0</v>
      </c>
      <c r="H17" s="122"/>
    </row>
    <row r="18" spans="1:37" s="110" customFormat="1" ht="12.75" hidden="1" thickBot="1" x14ac:dyDescent="0.25">
      <c r="B18" s="44"/>
      <c r="C18" s="322" t="s">
        <v>93</v>
      </c>
      <c r="D18" s="322"/>
      <c r="E18" s="124">
        <v>0</v>
      </c>
      <c r="F18" s="41">
        <f>+F16*E18</f>
        <v>0</v>
      </c>
      <c r="G18" s="117">
        <f t="shared" si="0"/>
        <v>0</v>
      </c>
      <c r="H18" s="122"/>
    </row>
    <row r="19" spans="1:37" s="110" customFormat="1" ht="12.75" thickBot="1" x14ac:dyDescent="0.25">
      <c r="B19" s="49"/>
      <c r="C19" s="347"/>
      <c r="D19" s="347"/>
      <c r="E19" s="348"/>
      <c r="F19" s="52">
        <f>SUM(F15:F18)</f>
        <v>5414.3690280864348</v>
      </c>
      <c r="G19" s="125">
        <f>+F19/$F$21</f>
        <v>0.79999999999999993</v>
      </c>
      <c r="H19" s="122"/>
    </row>
    <row r="20" spans="1:37" s="110" customFormat="1" ht="12" x14ac:dyDescent="0.2">
      <c r="B20" s="49"/>
      <c r="C20" s="322" t="s">
        <v>51</v>
      </c>
      <c r="D20" s="322"/>
      <c r="E20" s="57">
        <v>0.25</v>
      </c>
      <c r="F20" s="41">
        <f>+F19*E20</f>
        <v>1353.5922570216087</v>
      </c>
      <c r="G20" s="117">
        <f t="shared" si="0"/>
        <v>0.1951219512195122</v>
      </c>
      <c r="H20" s="122"/>
    </row>
    <row r="21" spans="1:37" s="110" customFormat="1" ht="12" x14ac:dyDescent="0.2">
      <c r="B21" s="49"/>
      <c r="C21" s="322" t="s">
        <v>49</v>
      </c>
      <c r="D21" s="322"/>
      <c r="E21" s="322"/>
      <c r="F21" s="41">
        <f>SUM(F19:F20)</f>
        <v>6767.9612851080437</v>
      </c>
      <c r="G21" s="117">
        <f t="shared" si="0"/>
        <v>0.97560975609756106</v>
      </c>
      <c r="H21" s="122"/>
    </row>
    <row r="22" spans="1:37" s="110" customFormat="1" ht="12.75" thickBot="1" x14ac:dyDescent="0.25">
      <c r="B22" s="49"/>
      <c r="C22" s="322" t="s">
        <v>54</v>
      </c>
      <c r="D22" s="322"/>
      <c r="E22" s="57">
        <v>2.5000000000000001E-2</v>
      </c>
      <c r="F22" s="41">
        <f>+F21*E22</f>
        <v>169.19903212770112</v>
      </c>
      <c r="G22" s="117">
        <f t="shared" si="0"/>
        <v>2.4390243902439029E-2</v>
      </c>
      <c r="H22" s="122"/>
    </row>
    <row r="23" spans="1:37" s="110" customFormat="1" ht="12.75" thickBot="1" x14ac:dyDescent="0.25">
      <c r="B23" s="49"/>
      <c r="C23" s="325" t="s">
        <v>56</v>
      </c>
      <c r="D23" s="325"/>
      <c r="E23" s="326"/>
      <c r="F23" s="52">
        <f>SUM(F21:F22)</f>
        <v>6937.1603172357445</v>
      </c>
      <c r="G23" s="117">
        <f t="shared" si="0"/>
        <v>1</v>
      </c>
      <c r="H23" s="126"/>
    </row>
    <row r="24" spans="1:37" s="110" customFormat="1" ht="12.75" thickBot="1" x14ac:dyDescent="0.25">
      <c r="B24" s="49"/>
      <c r="C24" s="127"/>
      <c r="D24" s="127"/>
      <c r="E24" s="127"/>
      <c r="F24" s="53"/>
      <c r="G24" s="128"/>
      <c r="H24" s="126"/>
    </row>
    <row r="25" spans="1:37" s="129" customFormat="1" ht="19.5" customHeight="1" thickBot="1" x14ac:dyDescent="0.25">
      <c r="A25" s="345"/>
      <c r="B25" s="346"/>
      <c r="C25" s="346"/>
      <c r="D25" s="346"/>
      <c r="E25" s="346"/>
      <c r="F25" s="346"/>
      <c r="G25" s="346"/>
      <c r="H25" s="346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</row>
    <row r="26" spans="1:37" s="110" customFormat="1" ht="19.5" customHeight="1" thickBot="1" x14ac:dyDescent="0.25">
      <c r="F26" s="130"/>
      <c r="G26" s="131"/>
      <c r="H26" s="122"/>
    </row>
    <row r="27" spans="1:37" s="110" customFormat="1" ht="13.5" customHeight="1" thickBot="1" x14ac:dyDescent="0.25">
      <c r="B27" s="49"/>
      <c r="C27" s="325" t="s">
        <v>56</v>
      </c>
      <c r="D27" s="325"/>
      <c r="E27" s="326"/>
      <c r="F27" s="52">
        <f>+F23</f>
        <v>6937.1603172357445</v>
      </c>
      <c r="H27" s="122"/>
    </row>
    <row r="28" spans="1:37" s="110" customFormat="1" ht="13.5" customHeight="1" x14ac:dyDescent="0.2">
      <c r="B28" s="49"/>
      <c r="C28" s="340" t="s">
        <v>94</v>
      </c>
      <c r="D28" s="340" t="s">
        <v>95</v>
      </c>
      <c r="E28" s="57">
        <v>0.1</v>
      </c>
      <c r="F28" s="132">
        <f>+F27*E28</f>
        <v>693.71603172357447</v>
      </c>
      <c r="G28" s="133" t="s">
        <v>96</v>
      </c>
      <c r="H28" s="122" t="s">
        <v>97</v>
      </c>
    </row>
    <row r="29" spans="1:37" s="110" customFormat="1" ht="13.5" customHeight="1" x14ac:dyDescent="0.2">
      <c r="B29" s="49"/>
      <c r="C29" s="343" t="s">
        <v>98</v>
      </c>
      <c r="D29" s="343"/>
      <c r="E29" s="343"/>
      <c r="F29" s="132">
        <f>SUM(F27:F28)</f>
        <v>7630.8763489593193</v>
      </c>
      <c r="G29" s="133">
        <f>+F29/$F$31</f>
        <v>0.79999999999999993</v>
      </c>
      <c r="H29" s="134">
        <f>1-(F29/F31)</f>
        <v>0.20000000000000007</v>
      </c>
    </row>
    <row r="30" spans="1:37" s="110" customFormat="1" ht="12" x14ac:dyDescent="0.2">
      <c r="B30" s="112"/>
      <c r="C30" s="340" t="s">
        <v>99</v>
      </c>
      <c r="D30" s="340"/>
      <c r="E30" s="57">
        <v>0.25</v>
      </c>
      <c r="F30" s="41">
        <f>+F29*E30</f>
        <v>1907.7190872398298</v>
      </c>
      <c r="G30" s="128"/>
      <c r="H30" s="135"/>
    </row>
    <row r="31" spans="1:37" s="110" customFormat="1" ht="12.75" thickBot="1" x14ac:dyDescent="0.25">
      <c r="B31" s="112"/>
      <c r="C31" s="340" t="s">
        <v>100</v>
      </c>
      <c r="D31" s="340"/>
      <c r="E31" s="136"/>
      <c r="F31" s="41">
        <f>SUM(F29:F30)</f>
        <v>9538.5954361991498</v>
      </c>
      <c r="G31" s="128"/>
      <c r="H31" s="126"/>
    </row>
    <row r="32" spans="1:37" s="110" customFormat="1" ht="12.75" thickBot="1" x14ac:dyDescent="0.25">
      <c r="B32" s="112"/>
      <c r="C32" s="344" t="s">
        <v>101</v>
      </c>
      <c r="D32" s="344"/>
      <c r="E32" s="137">
        <v>0.13</v>
      </c>
      <c r="F32" s="138">
        <f>+F31*(1+E32)</f>
        <v>10778.612842905039</v>
      </c>
      <c r="G32" s="128"/>
      <c r="H32" s="126"/>
    </row>
    <row r="33" spans="1:37" s="110" customFormat="1" ht="12.75" thickBot="1" x14ac:dyDescent="0.25">
      <c r="A33" s="345"/>
      <c r="B33" s="346"/>
      <c r="C33" s="346"/>
      <c r="D33" s="346"/>
      <c r="E33" s="346"/>
      <c r="F33" s="346"/>
      <c r="G33" s="346"/>
      <c r="H33" s="346"/>
    </row>
    <row r="34" spans="1:37" s="110" customFormat="1" ht="12" x14ac:dyDescent="0.2">
      <c r="B34" s="112"/>
      <c r="C34" s="339" t="s">
        <v>102</v>
      </c>
      <c r="D34" s="339"/>
      <c r="E34" s="139">
        <v>0.65</v>
      </c>
      <c r="F34" s="140">
        <f>+F31/0.65</f>
        <v>14674.762209537153</v>
      </c>
      <c r="G34" s="128"/>
      <c r="H34" s="126"/>
    </row>
    <row r="35" spans="1:37" s="110" customFormat="1" ht="12" x14ac:dyDescent="0.2">
      <c r="B35" s="112"/>
      <c r="C35" s="340" t="s">
        <v>103</v>
      </c>
      <c r="D35" s="340"/>
      <c r="E35" s="139">
        <v>0.13</v>
      </c>
      <c r="F35" s="140">
        <f>+F34*1.13</f>
        <v>16582.481296776983</v>
      </c>
      <c r="G35" s="128"/>
      <c r="H35" s="126"/>
    </row>
    <row r="36" spans="1:37" s="110" customFormat="1" ht="12.75" thickBot="1" x14ac:dyDescent="0.25">
      <c r="C36" s="327"/>
      <c r="D36" s="327"/>
      <c r="F36" s="141"/>
      <c r="G36" s="142"/>
      <c r="H36" s="122"/>
    </row>
    <row r="37" spans="1:37" s="129" customFormat="1" ht="19.5" customHeight="1" thickBot="1" x14ac:dyDescent="0.3">
      <c r="A37" s="341" t="s">
        <v>104</v>
      </c>
      <c r="B37" s="342"/>
      <c r="C37" s="342"/>
      <c r="D37" s="342"/>
      <c r="E37" s="342"/>
      <c r="F37" s="342"/>
      <c r="G37" s="342"/>
      <c r="H37" s="342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</row>
    <row r="38" spans="1:37" s="110" customFormat="1" ht="12" x14ac:dyDescent="0.2">
      <c r="F38" s="143"/>
      <c r="G38" s="142"/>
      <c r="H38" s="122"/>
    </row>
    <row r="43" spans="1:37" ht="12" x14ac:dyDescent="0.2">
      <c r="H43" s="114"/>
    </row>
  </sheetData>
  <mergeCells count="28">
    <mergeCell ref="C12:D12"/>
    <mergeCell ref="B1:H1"/>
    <mergeCell ref="B2:H2"/>
    <mergeCell ref="B3:H3"/>
    <mergeCell ref="F4:G4"/>
    <mergeCell ref="C11:D11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C517702-0790-4AA1-8CC5-465F43E74C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0B2C9D-9121-43E6-9618-28771F9F6DD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FD13C07-93C7-45AF-AFD8-FEA45A9DD6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054C34F-8283-481F-B4E1-20D28E29877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Hoja2</vt:lpstr>
      <vt:lpstr>COSTEO REC</vt:lpstr>
      <vt:lpstr>PRECIO</vt:lpstr>
      <vt:lpstr>Hoja2!Área_de_impresión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2025-03-10T20:47:35Z</cp:lastPrinted>
  <dcterms:created xsi:type="dcterms:W3CDTF">2003-03-11T22:35:36Z</dcterms:created>
  <dcterms:modified xsi:type="dcterms:W3CDTF">2025-03-10T20:47:36Z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161800.000000000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
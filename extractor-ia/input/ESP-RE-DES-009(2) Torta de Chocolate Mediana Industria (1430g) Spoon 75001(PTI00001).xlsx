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8" documentId="8_{3FAC6D64-3246-4389-BF6D-7DEC8D8589A6}" xr6:coauthVersionLast="47" xr6:coauthVersionMax="47" xr10:uidLastSave="{F33A570B-55C1-44DF-A5B0-8CF7F4F034DF}"/>
  <bookViews>
    <workbookView xWindow="-108" yWindow="-108" windowWidth="23256" windowHeight="12456" xr2:uid="{00000000-000D-0000-FFFF-FFFF00000000}"/>
  </bookViews>
  <sheets>
    <sheet name="Hoja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8" i="2" l="1"/>
  <c r="H40" i="2"/>
</calcChain>
</file>

<file path=xl/sharedStrings.xml><?xml version="1.0" encoding="utf-8"?>
<sst xmlns="http://schemas.openxmlformats.org/spreadsheetml/2006/main" count="132" uniqueCount="105">
  <si>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</si>
  <si>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</si>
  <si>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</si>
  <si>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</si>
  <si>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</si>
  <si>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</si>
  <si>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</si>
  <si>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</si>
  <si>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</si>
  <si>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</si>
  <si>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</si>
  <si>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</si>
  <si>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</si>
  <si>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</si>
  <si>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</si>
  <si>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</si>
  <si>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</si>
  <si>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</si>
  <si>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Ensamble</t>
  </si>
  <si>
    <t>907000265</t>
  </si>
  <si>
    <t>ROSQUETE CHOCOLATE DAWN 530g</t>
  </si>
  <si>
    <t>FAS</t>
  </si>
  <si>
    <t>g</t>
  </si>
  <si>
    <t>(Peso crudo total 795g)</t>
  </si>
  <si>
    <t>MANJAR LECHE CONDENSADA (PAQ: 6 K)</t>
  </si>
  <si>
    <t>NESTLÉ</t>
  </si>
  <si>
    <t>EMPAQUE FUDGE DE CHOCOLATE SPOON</t>
  </si>
  <si>
    <t>Decoración</t>
  </si>
  <si>
    <t>GANACHE CHOCOLATE OSCURO (KILO)</t>
  </si>
  <si>
    <t>902000149</t>
  </si>
  <si>
    <t xml:space="preserve">CHOCOLATE RALLADO OSCURO </t>
  </si>
  <si>
    <t>Empaque</t>
  </si>
  <si>
    <t>121603</t>
  </si>
  <si>
    <t>QUEQUERA RED  BASE/DOMO 10 (CAJA:50)</t>
  </si>
  <si>
    <t>MAYCA</t>
  </si>
  <si>
    <t>ud</t>
  </si>
  <si>
    <t>1950692</t>
  </si>
  <si>
    <t>ORLA CARTON 10" DORADA UND</t>
  </si>
  <si>
    <t>Ud</t>
  </si>
  <si>
    <t>702175</t>
  </si>
  <si>
    <t>ETIQUETA SPOON GRANDE V-272</t>
  </si>
  <si>
    <t>0703020</t>
  </si>
  <si>
    <t>CINTA ADHESIVA TRANSPARENTE 2*100</t>
  </si>
  <si>
    <t>cm</t>
  </si>
  <si>
    <t>0702069</t>
  </si>
  <si>
    <t>ETIQ.BLANCA 1 1/4 * 3/4</t>
  </si>
  <si>
    <t>0702123</t>
  </si>
  <si>
    <t>ETIQUETA BLANCA 2 5/8X1 15/16 PRE BLANCA</t>
  </si>
  <si>
    <t>Unidad</t>
  </si>
  <si>
    <t>PESO TOTAL OBTENIDO</t>
  </si>
  <si>
    <t>Tiempo de Horneo:</t>
  </si>
  <si>
    <t>TIEMPO TOTAL DE PREPARACION</t>
  </si>
  <si>
    <t>Minutos</t>
  </si>
  <si>
    <t>Horno:</t>
  </si>
  <si>
    <t>CANTIDAD DE PORCIONES OBTENIDAS</t>
  </si>
  <si>
    <t>Torta</t>
  </si>
  <si>
    <t>Temperatura de Horneo:</t>
  </si>
  <si>
    <t>PESO DE CADA PORCIÓN</t>
  </si>
  <si>
    <t>Otros</t>
  </si>
  <si>
    <t>MERMA</t>
  </si>
  <si>
    <t>PROCEDIMIENTO DE PREPARACION DE LA  RECETA</t>
  </si>
  <si>
    <t>1.- Se utilizan tres mitades de rosquete.</t>
  </si>
  <si>
    <t>2.- Rellenar 2 tapas: 1 con el manjar y la otra con fudge y tapar con la tercera. Colocar sobre la orla.</t>
  </si>
  <si>
    <t xml:space="preserve">3.- Encremar con el fudge de chocolate y pasar el peine metalico a los costados. </t>
  </si>
  <si>
    <t>4.- Decorar con colocho de manjar en el borde exterior de la torta, rellenar con ganache haciendo un espejo. Decorar con 1 stick dorado y chocolate RALLADO, acorde a la foto</t>
  </si>
  <si>
    <t>5.- Colocar la torta dentro del domo, etiquetar con etiqueta Spoon, nombre del producto y codigo de barras, fecha juliana y fecha de vencimiento.</t>
  </si>
  <si>
    <t>CONTROL DE CAMBIOS</t>
  </si>
  <si>
    <t>SE00002</t>
  </si>
  <si>
    <t>MP10007</t>
  </si>
  <si>
    <t>SE00337</t>
  </si>
  <si>
    <t>SE00001</t>
  </si>
  <si>
    <t>SE00392</t>
  </si>
  <si>
    <t>EM10002</t>
  </si>
  <si>
    <t>EM10011</t>
  </si>
  <si>
    <t>701096</t>
  </si>
  <si>
    <t>EM10124</t>
  </si>
  <si>
    <t>ETIQ.BLANCA R-153</t>
  </si>
  <si>
    <t>EM 10009</t>
  </si>
  <si>
    <t>EM 10008</t>
  </si>
  <si>
    <t>EM 10006</t>
  </si>
  <si>
    <t>EM 10248</t>
  </si>
  <si>
    <t>1112431</t>
  </si>
  <si>
    <t>MANJAR LECHE CONDENSADA (PAQ: 4.5 K)</t>
  </si>
  <si>
    <t>MP10011</t>
  </si>
  <si>
    <t>STICK DORADO (CAJA:100 UND)</t>
  </si>
  <si>
    <t>01</t>
  </si>
  <si>
    <t>AREA QUE PRODUCE:</t>
  </si>
  <si>
    <t xml:space="preserve">AREA QUE EMPACA: </t>
  </si>
  <si>
    <t>Decoracion</t>
  </si>
  <si>
    <t># Código Netsuite</t>
  </si>
  <si>
    <t>1 1/2 UND</t>
  </si>
  <si>
    <t>1 TAZA</t>
  </si>
  <si>
    <t>1/2 TAZA</t>
  </si>
  <si>
    <t>NESTLE</t>
  </si>
  <si>
    <t>COLOCHO BOQUILLA 61</t>
  </si>
  <si>
    <t>CHOCOLATE SOLUTIONS</t>
  </si>
  <si>
    <t>LITOGRAFIA CR</t>
  </si>
  <si>
    <t>CEMUSA</t>
  </si>
  <si>
    <t>LOTE Y TRAZA</t>
  </si>
  <si>
    <t>ETIPLAST</t>
  </si>
  <si>
    <t>ESP-RE-DES-009</t>
  </si>
  <si>
    <t>1/3 TAZA</t>
  </si>
  <si>
    <t>1 CUCHARRADA</t>
  </si>
  <si>
    <t xml:space="preserve"> Torta de Chocolate Mediana Industria (1430g) Spoon 75001(PTI00001) </t>
  </si>
  <si>
    <t>2,cambio de datos de receta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</si>
</sst>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0.000"/>
    <numFmt numFmtId="166" formatCode="_(* #,##0.000_);_(* \(#,##0.000\);_(* &quot;-&quot;??_);_(@_)"/>
  </numFmts>
  <fonts count="1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entury Gothic"/>
      <family val="2"/>
    </font>
    <font>
      <sz val="14"/>
      <color rgb="FF000000"/>
      <name val="Century Gothic"/>
      <family val="2"/>
    </font>
    <font>
      <b/>
      <sz val="14"/>
      <color indexed="8"/>
      <name val="Century Gothic"/>
      <family val="2"/>
    </font>
    <font>
      <sz val="14"/>
      <color theme="1"/>
      <name val="Calibri"/>
      <family val="2"/>
      <scheme val="minor"/>
    </font>
    <font>
      <sz val="14"/>
      <name val="Arial"/>
      <family val="2"/>
    </font>
    <font>
      <sz val="14"/>
      <color rgb="FF000000"/>
      <name val="Calibri"/>
      <family val="2"/>
      <scheme val="minor"/>
    </font>
    <font>
      <sz val="14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43" fontId="4" fillId="0" borderId="0" applyFont="0" applyFill="0" applyBorder="0" applyAlignment="0" applyProtection="0"/>
    <xf numFmtId="0" fontId="1" fillId="0" borderId="0"/>
  </cellStyleXfs>
  <cellXfs count="194">
    <xf numFmtId="0" fontId="0" fillId="0" borderId="0" xfId="0"/>
    <xf numFmtId="0" fontId="2" fillId="2" borderId="1" xfId="1" applyFont="1" applyFill="1" applyBorder="1" applyAlignment="1">
      <alignment horizontal="right"/>
    </xf>
    <xf numFmtId="0" fontId="6" fillId="2" borderId="2" xfId="1" applyFont="1" applyFill="1" applyBorder="1" applyAlignment="1">
      <alignment horizontal="center"/>
    </xf>
    <xf numFmtId="0" fontId="2" fillId="2" borderId="4" xfId="1" applyFont="1" applyFill="1" applyBorder="1" applyAlignment="1">
      <alignment horizontal="right"/>
    </xf>
    <xf numFmtId="49" fontId="6" fillId="2" borderId="5" xfId="1" applyNumberFormat="1" applyFont="1" applyFill="1" applyBorder="1" applyAlignment="1">
      <alignment horizontal="center"/>
    </xf>
    <xf numFmtId="0" fontId="6" fillId="2" borderId="9" xfId="1" applyFont="1" applyFill="1" applyBorder="1" applyAlignment="1">
      <alignment horizontal="right"/>
    </xf>
    <xf numFmtId="0" fontId="6" fillId="2" borderId="4" xfId="1" applyFont="1" applyFill="1" applyBorder="1" applyAlignment="1">
      <alignment horizontal="right"/>
    </xf>
    <xf numFmtId="14" fontId="7" fillId="2" borderId="0" xfId="7" applyNumberFormat="1" applyFont="1" applyFill="1" applyAlignment="1">
      <alignment horizontal="center" vertical="center" wrapText="1"/>
    </xf>
    <xf numFmtId="0" fontId="2" fillId="4" borderId="2" xfId="2" applyFont="1" applyFill="1" applyBorder="1" applyAlignment="1">
      <alignment horizontal="center" vertical="center" wrapText="1"/>
    </xf>
    <xf numFmtId="1" fontId="2" fillId="4" borderId="21" xfId="2" applyNumberFormat="1" applyFont="1" applyFill="1" applyBorder="1" applyAlignment="1">
      <alignment horizontal="center"/>
    </xf>
    <xf numFmtId="1" fontId="2" fillId="4" borderId="21" xfId="2" applyNumberFormat="1" applyFont="1" applyFill="1" applyBorder="1" applyAlignment="1">
      <alignment horizontal="center" wrapText="1"/>
    </xf>
    <xf numFmtId="0" fontId="2" fillId="4" borderId="22" xfId="2" applyFont="1" applyFill="1" applyBorder="1" applyAlignment="1">
      <alignment horizontal="center"/>
    </xf>
    <xf numFmtId="0" fontId="8" fillId="0" borderId="23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0" fontId="9" fillId="0" borderId="4" xfId="2" applyFont="1" applyBorder="1" applyAlignment="1">
      <alignment vertical="center"/>
    </xf>
    <xf numFmtId="0" fontId="8" fillId="0" borderId="4" xfId="2" applyFont="1" applyBorder="1" applyAlignment="1">
      <alignment horizontal="center" vertical="center"/>
    </xf>
    <xf numFmtId="1" fontId="8" fillId="0" borderId="4" xfId="2" applyNumberFormat="1" applyFont="1" applyBorder="1" applyAlignment="1">
      <alignment horizontal="center"/>
    </xf>
    <xf numFmtId="1" fontId="8" fillId="0" borderId="4" xfId="2" applyNumberFormat="1" applyFont="1" applyBorder="1" applyAlignment="1">
      <alignment horizontal="center" wrapText="1"/>
    </xf>
    <xf numFmtId="0" fontId="10" fillId="0" borderId="5" xfId="2" applyFont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11" fillId="6" borderId="4" xfId="0" applyFont="1" applyFill="1" applyBorder="1" applyAlignment="1">
      <alignment horizontal="center"/>
    </xf>
    <xf numFmtId="0" fontId="11" fillId="6" borderId="9" xfId="0" applyFont="1" applyFill="1" applyBorder="1"/>
    <xf numFmtId="0" fontId="6" fillId="6" borderId="17" xfId="0" applyFont="1" applyFill="1" applyBorder="1" applyAlignment="1">
      <alignment horizontal="center"/>
    </xf>
    <xf numFmtId="1" fontId="6" fillId="6" borderId="4" xfId="0" applyNumberFormat="1" applyFont="1" applyFill="1" applyBorder="1" applyAlignment="1">
      <alignment horizontal="center"/>
    </xf>
    <xf numFmtId="1" fontId="6" fillId="6" borderId="4" xfId="0" applyNumberFormat="1" applyFont="1" applyFill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12" fontId="6" fillId="0" borderId="9" xfId="0" applyNumberFormat="1" applyFont="1" applyBorder="1" applyAlignment="1">
      <alignment horizontal="center"/>
    </xf>
    <xf numFmtId="0" fontId="11" fillId="6" borderId="17" xfId="0" applyFont="1" applyFill="1" applyBorder="1" applyAlignment="1">
      <alignment horizontal="center"/>
    </xf>
    <xf numFmtId="0" fontId="11" fillId="6" borderId="4" xfId="0" applyFont="1" applyFill="1" applyBorder="1"/>
    <xf numFmtId="1" fontId="6" fillId="6" borderId="9" xfId="0" applyNumberFormat="1" applyFont="1" applyFill="1" applyBorder="1" applyAlignment="1">
      <alignment horizontal="center"/>
    </xf>
    <xf numFmtId="1" fontId="6" fillId="6" borderId="9" xfId="0" applyNumberFormat="1" applyFont="1" applyFill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0" fontId="12" fillId="7" borderId="4" xfId="0" applyFont="1" applyFill="1" applyBorder="1"/>
    <xf numFmtId="0" fontId="6" fillId="0" borderId="4" xfId="0" applyFont="1" applyBorder="1" applyAlignment="1">
      <alignment horizontal="center" wrapText="1"/>
    </xf>
    <xf numFmtId="0" fontId="12" fillId="7" borderId="0" xfId="0" applyFont="1" applyFill="1" applyAlignment="1">
      <alignment horizontal="center"/>
    </xf>
    <xf numFmtId="0" fontId="12" fillId="7" borderId="0" xfId="0" applyFont="1" applyFill="1"/>
    <xf numFmtId="0" fontId="2" fillId="7" borderId="4" xfId="0" applyFont="1" applyFill="1" applyBorder="1" applyAlignment="1">
      <alignment horizontal="left"/>
    </xf>
    <xf numFmtId="0" fontId="6" fillId="0" borderId="9" xfId="0" applyFont="1" applyBorder="1" applyAlignment="1">
      <alignment horizontal="center"/>
    </xf>
    <xf numFmtId="0" fontId="12" fillId="7" borderId="4" xfId="0" applyFont="1" applyFill="1" applyBorder="1" applyAlignment="1">
      <alignment horizontal="left" vertical="center"/>
    </xf>
    <xf numFmtId="0" fontId="13" fillId="6" borderId="4" xfId="0" applyFont="1" applyFill="1" applyBorder="1" applyAlignment="1">
      <alignment vertical="center"/>
    </xf>
    <xf numFmtId="0" fontId="6" fillId="6" borderId="4" xfId="0" applyFont="1" applyFill="1" applyBorder="1" applyAlignment="1">
      <alignment horizontal="center"/>
    </xf>
    <xf numFmtId="1" fontId="2" fillId="6" borderId="4" xfId="0" applyNumberFormat="1" applyFont="1" applyFill="1" applyBorder="1" applyAlignment="1">
      <alignment horizontal="center"/>
    </xf>
    <xf numFmtId="2" fontId="8" fillId="0" borderId="4" xfId="2" applyNumberFormat="1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16" fontId="10" fillId="0" borderId="17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1" fontId="10" fillId="0" borderId="4" xfId="0" applyNumberFormat="1" applyFont="1" applyBorder="1" applyAlignment="1">
      <alignment horizontal="center" wrapText="1"/>
    </xf>
    <xf numFmtId="49" fontId="10" fillId="0" borderId="23" xfId="2" applyNumberFormat="1" applyFont="1" applyBorder="1" applyAlignment="1">
      <alignment horizontal="center"/>
    </xf>
    <xf numFmtId="49" fontId="10" fillId="0" borderId="17" xfId="2" applyNumberFormat="1" applyFont="1" applyBorder="1" applyAlignment="1">
      <alignment horizontal="center"/>
    </xf>
    <xf numFmtId="0" fontId="8" fillId="6" borderId="4" xfId="2" applyFont="1" applyFill="1" applyBorder="1" applyAlignment="1">
      <alignment horizontal="left"/>
    </xf>
    <xf numFmtId="0" fontId="10" fillId="0" borderId="4" xfId="2" applyFont="1" applyBorder="1" applyAlignment="1">
      <alignment horizontal="center"/>
    </xf>
    <xf numFmtId="164" fontId="10" fillId="0" borderId="4" xfId="2" applyNumberFormat="1" applyFont="1" applyBorder="1" applyAlignment="1">
      <alignment horizontal="center"/>
    </xf>
    <xf numFmtId="1" fontId="10" fillId="0" borderId="4" xfId="2" applyNumberFormat="1" applyFont="1" applyBorder="1" applyAlignment="1">
      <alignment horizontal="center" wrapText="1"/>
    </xf>
    <xf numFmtId="16" fontId="6" fillId="0" borderId="4" xfId="0" applyNumberFormat="1" applyFont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1" fontId="6" fillId="0" borderId="4" xfId="0" applyNumberFormat="1" applyFont="1" applyBorder="1" applyAlignment="1">
      <alignment horizontal="center" wrapText="1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4" xfId="0" applyFont="1" applyBorder="1" applyAlignment="1">
      <alignment horizontal="left" vertical="center"/>
    </xf>
    <xf numFmtId="1" fontId="6" fillId="0" borderId="4" xfId="0" applyNumberFormat="1" applyFont="1" applyBorder="1" applyAlignment="1">
      <alignment horizontal="center"/>
    </xf>
    <xf numFmtId="1" fontId="6" fillId="0" borderId="9" xfId="0" applyNumberFormat="1" applyFont="1" applyBorder="1" applyAlignment="1">
      <alignment horizontal="center"/>
    </xf>
    <xf numFmtId="1" fontId="6" fillId="0" borderId="9" xfId="0" applyNumberFormat="1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0" xfId="0" applyFont="1"/>
    <xf numFmtId="16" fontId="6" fillId="6" borderId="4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49" fontId="8" fillId="0" borderId="25" xfId="2" applyNumberFormat="1" applyFont="1" applyBorder="1" applyAlignment="1">
      <alignment horizontal="center"/>
    </xf>
    <xf numFmtId="49" fontId="8" fillId="0" borderId="16" xfId="2" applyNumberFormat="1" applyFont="1" applyBorder="1" applyAlignment="1">
      <alignment horizontal="center"/>
    </xf>
    <xf numFmtId="0" fontId="9" fillId="6" borderId="4" xfId="2" applyFont="1" applyFill="1" applyBorder="1" applyAlignment="1">
      <alignment vertical="center"/>
    </xf>
    <xf numFmtId="0" fontId="8" fillId="0" borderId="17" xfId="2" applyFont="1" applyBorder="1" applyAlignment="1">
      <alignment horizontal="center"/>
    </xf>
    <xf numFmtId="164" fontId="8" fillId="0" borderId="4" xfId="2" applyNumberFormat="1" applyFont="1" applyBorder="1" applyAlignment="1">
      <alignment horizontal="center"/>
    </xf>
    <xf numFmtId="166" fontId="2" fillId="6" borderId="4" xfId="6" applyNumberFormat="1" applyFont="1" applyFill="1" applyBorder="1" applyAlignment="1">
      <alignment horizontal="center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0" fillId="0" borderId="17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center" wrapText="1"/>
    </xf>
    <xf numFmtId="0" fontId="15" fillId="0" borderId="0" xfId="0" applyFont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0" xfId="0" applyFont="1"/>
    <xf numFmtId="0" fontId="10" fillId="0" borderId="3" xfId="0" applyFont="1" applyBorder="1" applyAlignment="1">
      <alignment horizontal="center"/>
    </xf>
    <xf numFmtId="12" fontId="10" fillId="0" borderId="4" xfId="2" applyNumberFormat="1" applyFont="1" applyBorder="1" applyAlignment="1">
      <alignment horizontal="center"/>
    </xf>
    <xf numFmtId="0" fontId="10" fillId="6" borderId="23" xfId="0" applyFont="1" applyFill="1" applyBorder="1" applyAlignment="1">
      <alignment horizontal="center"/>
    </xf>
    <xf numFmtId="0" fontId="16" fillId="6" borderId="0" xfId="0" applyFont="1" applyFill="1" applyAlignment="1">
      <alignment horizontal="center"/>
    </xf>
    <xf numFmtId="0" fontId="10" fillId="6" borderId="4" xfId="0" applyFont="1" applyFill="1" applyBorder="1"/>
    <xf numFmtId="0" fontId="10" fillId="6" borderId="4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 wrapText="1"/>
    </xf>
    <xf numFmtId="1" fontId="10" fillId="0" borderId="4" xfId="2" applyNumberFormat="1" applyFont="1" applyBorder="1" applyAlignment="1">
      <alignment horizontal="center"/>
    </xf>
    <xf numFmtId="49" fontId="10" fillId="0" borderId="4" xfId="2" applyNumberFormat="1" applyFont="1" applyBorder="1"/>
    <xf numFmtId="49" fontId="17" fillId="2" borderId="6" xfId="2" applyNumberFormat="1" applyFont="1" applyFill="1" applyBorder="1" applyAlignment="1">
      <alignment horizontal="center" vertical="center"/>
    </xf>
    <xf numFmtId="49" fontId="17" fillId="2" borderId="0" xfId="2" applyNumberFormat="1" applyFont="1" applyFill="1" applyAlignment="1">
      <alignment horizontal="center" vertical="center"/>
    </xf>
    <xf numFmtId="0" fontId="6" fillId="2" borderId="0" xfId="2" applyFont="1" applyFill="1"/>
    <xf numFmtId="1" fontId="6" fillId="2" borderId="0" xfId="2" applyNumberFormat="1" applyFont="1" applyFill="1" applyAlignment="1">
      <alignment horizontal="center"/>
    </xf>
    <xf numFmtId="165" fontId="6" fillId="2" borderId="0" xfId="2" applyNumberFormat="1" applyFont="1" applyFill="1" applyAlignment="1">
      <alignment horizontal="center" wrapText="1"/>
    </xf>
    <xf numFmtId="0" fontId="6" fillId="2" borderId="26" xfId="2" applyFont="1" applyFill="1" applyBorder="1" applyAlignment="1">
      <alignment horizontal="center"/>
    </xf>
    <xf numFmtId="0" fontId="6" fillId="4" borderId="27" xfId="2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0" fontId="6" fillId="4" borderId="28" xfId="2" applyFont="1" applyFill="1" applyBorder="1"/>
    <xf numFmtId="0" fontId="2" fillId="4" borderId="28" xfId="2" applyFont="1" applyFill="1" applyBorder="1" applyAlignment="1">
      <alignment horizontal="center"/>
    </xf>
    <xf numFmtId="1" fontId="2" fillId="4" borderId="28" xfId="2" applyNumberFormat="1" applyFont="1" applyFill="1" applyBorder="1" applyAlignment="1">
      <alignment horizontal="center"/>
    </xf>
    <xf numFmtId="165" fontId="6" fillId="4" borderId="28" xfId="2" applyNumberFormat="1" applyFont="1" applyFill="1" applyBorder="1" applyAlignment="1">
      <alignment horizontal="center" wrapText="1"/>
    </xf>
    <xf numFmtId="0" fontId="6" fillId="4" borderId="29" xfId="2" applyFont="1" applyFill="1" applyBorder="1" applyAlignment="1">
      <alignment horizontal="center"/>
    </xf>
    <xf numFmtId="0" fontId="6" fillId="0" borderId="32" xfId="0" applyFont="1" applyBorder="1" applyAlignment="1">
      <alignment horizontal="center"/>
    </xf>
    <xf numFmtId="20" fontId="2" fillId="0" borderId="4" xfId="0" applyNumberFormat="1" applyFont="1" applyBorder="1" applyAlignment="1">
      <alignment horizontal="center"/>
    </xf>
    <xf numFmtId="1" fontId="6" fillId="0" borderId="21" xfId="0" applyNumberFormat="1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8" fillId="0" borderId="25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2" fillId="5" borderId="38" xfId="1" applyFont="1" applyFill="1" applyBorder="1" applyAlignment="1">
      <alignment horizontal="center"/>
    </xf>
    <xf numFmtId="0" fontId="2" fillId="5" borderId="39" xfId="1" applyFont="1" applyFill="1" applyBorder="1" applyAlignment="1">
      <alignment horizontal="center"/>
    </xf>
    <xf numFmtId="0" fontId="6" fillId="2" borderId="40" xfId="1" applyFont="1" applyFill="1" applyBorder="1" applyAlignment="1">
      <alignment horizontal="left"/>
    </xf>
    <xf numFmtId="0" fontId="6" fillId="2" borderId="0" xfId="1" applyFont="1" applyFill="1" applyAlignment="1">
      <alignment horizontal="left"/>
    </xf>
    <xf numFmtId="0" fontId="6" fillId="0" borderId="36" xfId="2" applyFont="1" applyBorder="1" applyAlignment="1">
      <alignment horizontal="left"/>
    </xf>
    <xf numFmtId="0" fontId="6" fillId="0" borderId="31" xfId="2" applyFont="1" applyBorder="1" applyAlignment="1">
      <alignment horizontal="left"/>
    </xf>
    <xf numFmtId="0" fontId="6" fillId="0" borderId="9" xfId="2" applyFont="1" applyBorder="1" applyAlignment="1">
      <alignment horizontal="left"/>
    </xf>
    <xf numFmtId="0" fontId="6" fillId="0" borderId="37" xfId="2" applyFont="1" applyBorder="1" applyAlignment="1">
      <alignment horizontal="left"/>
    </xf>
    <xf numFmtId="0" fontId="6" fillId="0" borderId="36" xfId="2" applyFont="1" applyBorder="1" applyAlignment="1">
      <alignment horizontal="left" wrapText="1"/>
    </xf>
    <xf numFmtId="0" fontId="6" fillId="0" borderId="31" xfId="2" applyFont="1" applyBorder="1" applyAlignment="1">
      <alignment horizontal="left" wrapText="1"/>
    </xf>
    <xf numFmtId="0" fontId="6" fillId="0" borderId="9" xfId="2" applyFont="1" applyBorder="1" applyAlignment="1">
      <alignment horizontal="left" wrapText="1"/>
    </xf>
    <xf numFmtId="0" fontId="6" fillId="0" borderId="37" xfId="2" applyFont="1" applyBorder="1" applyAlignment="1">
      <alignment horizontal="left" wrapText="1"/>
    </xf>
    <xf numFmtId="0" fontId="6" fillId="0" borderId="23" xfId="2" applyFont="1" applyBorder="1" applyAlignment="1">
      <alignment horizontal="left" wrapText="1"/>
    </xf>
    <xf numFmtId="0" fontId="6" fillId="0" borderId="17" xfId="2" applyFont="1" applyBorder="1" applyAlignment="1">
      <alignment horizontal="left" wrapText="1"/>
    </xf>
    <xf numFmtId="0" fontId="6" fillId="0" borderId="4" xfId="2" applyFont="1" applyBorder="1" applyAlignment="1">
      <alignment horizontal="left" wrapText="1"/>
    </xf>
    <xf numFmtId="0" fontId="6" fillId="0" borderId="5" xfId="2" applyFont="1" applyBorder="1" applyAlignment="1">
      <alignment horizontal="left" wrapText="1"/>
    </xf>
    <xf numFmtId="0" fontId="6" fillId="0" borderId="25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25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6" fillId="0" borderId="48" xfId="0" applyFont="1" applyBorder="1" applyAlignment="1">
      <alignment horizontal="left"/>
    </xf>
    <xf numFmtId="0" fontId="6" fillId="0" borderId="47" xfId="0" applyFont="1" applyBorder="1" applyAlignment="1">
      <alignment horizontal="left"/>
    </xf>
    <xf numFmtId="0" fontId="6" fillId="0" borderId="35" xfId="0" applyFont="1" applyBorder="1" applyAlignment="1">
      <alignment horizontal="left"/>
    </xf>
    <xf numFmtId="0" fontId="2" fillId="0" borderId="25" xfId="2" applyFont="1" applyBorder="1" applyAlignment="1">
      <alignment horizontal="right"/>
    </xf>
    <xf numFmtId="0" fontId="2" fillId="0" borderId="16" xfId="2" applyFont="1" applyBorder="1" applyAlignment="1">
      <alignment horizontal="right"/>
    </xf>
    <xf numFmtId="0" fontId="2" fillId="0" borderId="17" xfId="2" applyFont="1" applyBorder="1" applyAlignment="1">
      <alignment horizontal="right"/>
    </xf>
    <xf numFmtId="0" fontId="6" fillId="0" borderId="4" xfId="2" applyFont="1" applyBorder="1" applyAlignment="1">
      <alignment horizontal="right"/>
    </xf>
    <xf numFmtId="165" fontId="6" fillId="0" borderId="15" xfId="2" applyNumberFormat="1" applyFont="1" applyBorder="1" applyAlignment="1">
      <alignment horizontal="center"/>
    </xf>
    <xf numFmtId="165" fontId="6" fillId="0" borderId="24" xfId="2" applyNumberFormat="1" applyFont="1" applyBorder="1" applyAlignment="1">
      <alignment horizontal="center"/>
    </xf>
    <xf numFmtId="165" fontId="6" fillId="0" borderId="15" xfId="2" applyNumberFormat="1" applyFont="1" applyBorder="1" applyAlignment="1">
      <alignment horizontal="right" wrapText="1"/>
    </xf>
    <xf numFmtId="165" fontId="6" fillId="0" borderId="17" xfId="2" applyNumberFormat="1" applyFont="1" applyBorder="1" applyAlignment="1">
      <alignment horizontal="right" wrapText="1"/>
    </xf>
    <xf numFmtId="165" fontId="6" fillId="0" borderId="15" xfId="0" applyNumberFormat="1" applyFont="1" applyBorder="1" applyAlignment="1">
      <alignment horizontal="center" wrapText="1"/>
    </xf>
    <xf numFmtId="165" fontId="6" fillId="0" borderId="24" xfId="0" applyNumberFormat="1" applyFont="1" applyBorder="1" applyAlignment="1">
      <alignment horizontal="center" wrapText="1"/>
    </xf>
    <xf numFmtId="0" fontId="2" fillId="0" borderId="20" xfId="2" applyFont="1" applyBorder="1" applyAlignment="1">
      <alignment horizontal="right"/>
    </xf>
    <xf numFmtId="0" fontId="2" fillId="0" borderId="41" xfId="2" applyFont="1" applyBorder="1" applyAlignment="1">
      <alignment horizontal="right"/>
    </xf>
    <xf numFmtId="0" fontId="2" fillId="0" borderId="21" xfId="2" applyFont="1" applyBorder="1" applyAlignment="1">
      <alignment horizontal="right"/>
    </xf>
    <xf numFmtId="0" fontId="6" fillId="0" borderId="21" xfId="2" applyFont="1" applyBorder="1" applyAlignment="1">
      <alignment horizontal="right"/>
    </xf>
    <xf numFmtId="0" fontId="2" fillId="4" borderId="27" xfId="2" applyFont="1" applyFill="1" applyBorder="1" applyAlignment="1">
      <alignment horizontal="left"/>
    </xf>
    <xf numFmtId="0" fontId="2" fillId="4" borderId="28" xfId="2" applyFont="1" applyFill="1" applyBorder="1" applyAlignment="1">
      <alignment horizontal="left"/>
    </xf>
    <xf numFmtId="0" fontId="2" fillId="4" borderId="29" xfId="2" applyFont="1" applyFill="1" applyBorder="1" applyAlignment="1">
      <alignment horizontal="left"/>
    </xf>
    <xf numFmtId="0" fontId="2" fillId="0" borderId="30" xfId="2" applyFont="1" applyBorder="1" applyAlignment="1">
      <alignment horizontal="right"/>
    </xf>
    <xf numFmtId="0" fontId="2" fillId="0" borderId="42" xfId="2" applyFont="1" applyBorder="1" applyAlignment="1">
      <alignment horizontal="right"/>
    </xf>
    <xf numFmtId="0" fontId="2" fillId="0" borderId="31" xfId="2" applyFont="1" applyBorder="1" applyAlignment="1">
      <alignment horizontal="right"/>
    </xf>
    <xf numFmtId="165" fontId="6" fillId="0" borderId="9" xfId="2" applyNumberFormat="1" applyFont="1" applyBorder="1" applyAlignment="1">
      <alignment horizontal="right"/>
    </xf>
    <xf numFmtId="0" fontId="6" fillId="2" borderId="32" xfId="2" applyFont="1" applyFill="1" applyBorder="1" applyAlignment="1">
      <alignment horizontal="center"/>
    </xf>
    <xf numFmtId="0" fontId="6" fillId="2" borderId="33" xfId="2" applyFont="1" applyFill="1" applyBorder="1" applyAlignment="1">
      <alignment horizontal="center"/>
    </xf>
    <xf numFmtId="0" fontId="5" fillId="2" borderId="0" xfId="7" applyFont="1" applyFill="1" applyAlignment="1">
      <alignment horizontal="right"/>
    </xf>
    <xf numFmtId="0" fontId="7" fillId="2" borderId="46" xfId="7" applyFont="1" applyFill="1" applyBorder="1" applyAlignment="1">
      <alignment horizontal="center"/>
    </xf>
    <xf numFmtId="0" fontId="5" fillId="2" borderId="0" xfId="7" applyFont="1" applyFill="1"/>
    <xf numFmtId="0" fontId="2" fillId="4" borderId="19" xfId="2" applyFont="1" applyFill="1" applyBorder="1" applyAlignment="1">
      <alignment horizontal="center" vertical="center"/>
    </xf>
    <xf numFmtId="0" fontId="2" fillId="4" borderId="20" xfId="2" applyFont="1" applyFill="1" applyBorder="1" applyAlignment="1">
      <alignment horizontal="center" vertical="center"/>
    </xf>
    <xf numFmtId="0" fontId="2" fillId="4" borderId="19" xfId="2" applyFont="1" applyFill="1" applyBorder="1" applyAlignment="1">
      <alignment horizontal="center" vertical="center" wrapText="1"/>
    </xf>
    <xf numFmtId="0" fontId="2" fillId="4" borderId="20" xfId="2" applyFont="1" applyFill="1" applyBorder="1" applyAlignment="1">
      <alignment horizontal="center" vertical="center" wrapText="1"/>
    </xf>
    <xf numFmtId="0" fontId="2" fillId="4" borderId="1" xfId="2" applyFont="1" applyFill="1" applyBorder="1" applyAlignment="1">
      <alignment horizontal="center" vertical="center"/>
    </xf>
    <xf numFmtId="0" fontId="2" fillId="4" borderId="21" xfId="2" applyFont="1" applyFill="1" applyBorder="1" applyAlignment="1">
      <alignment horizontal="center" vertical="center"/>
    </xf>
    <xf numFmtId="14" fontId="6" fillId="2" borderId="8" xfId="1" applyNumberFormat="1" applyFont="1" applyFill="1" applyBorder="1" applyAlignment="1">
      <alignment horizontal="center" vertical="center" wrapText="1"/>
    </xf>
    <xf numFmtId="14" fontId="6" fillId="2" borderId="14" xfId="1" applyNumberFormat="1" applyFont="1" applyFill="1" applyBorder="1" applyAlignment="1">
      <alignment horizontal="center" vertical="center" wrapText="1"/>
    </xf>
    <xf numFmtId="14" fontId="6" fillId="2" borderId="37" xfId="1" applyNumberFormat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left"/>
    </xf>
    <xf numFmtId="0" fontId="6" fillId="2" borderId="11" xfId="1" applyFont="1" applyFill="1" applyBorder="1" applyAlignment="1">
      <alignment horizontal="left"/>
    </xf>
    <xf numFmtId="0" fontId="6" fillId="2" borderId="12" xfId="1" applyFont="1" applyFill="1" applyBorder="1" applyAlignment="1">
      <alignment horizontal="left"/>
    </xf>
    <xf numFmtId="0" fontId="6" fillId="2" borderId="15" xfId="1" applyFont="1" applyFill="1" applyBorder="1" applyAlignment="1">
      <alignment horizontal="left"/>
    </xf>
    <xf numFmtId="0" fontId="6" fillId="2" borderId="16" xfId="1" applyFont="1" applyFill="1" applyBorder="1" applyAlignment="1">
      <alignment horizontal="left"/>
    </xf>
    <xf numFmtId="0" fontId="6" fillId="2" borderId="17" xfId="1" applyFont="1" applyFill="1" applyBorder="1" applyAlignment="1">
      <alignment horizontal="left"/>
    </xf>
    <xf numFmtId="0" fontId="6" fillId="2" borderId="45" xfId="1" applyFont="1" applyFill="1" applyBorder="1" applyAlignment="1">
      <alignment horizontal="center"/>
    </xf>
    <xf numFmtId="0" fontId="6" fillId="2" borderId="39" xfId="1" applyFont="1" applyFill="1" applyBorder="1" applyAlignment="1">
      <alignment horizontal="center"/>
    </xf>
    <xf numFmtId="0" fontId="6" fillId="2" borderId="6" xfId="1" applyFont="1" applyFill="1" applyBorder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30" xfId="1" applyFont="1" applyFill="1" applyBorder="1" applyAlignment="1">
      <alignment horizontal="center"/>
    </xf>
    <xf numFmtId="0" fontId="6" fillId="2" borderId="4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34" xfId="1" applyFont="1" applyFill="1" applyBorder="1" applyAlignment="1">
      <alignment horizontal="center"/>
    </xf>
    <xf numFmtId="0" fontId="2" fillId="2" borderId="47" xfId="1" applyFont="1" applyFill="1" applyBorder="1" applyAlignment="1">
      <alignment horizontal="center"/>
    </xf>
    <xf numFmtId="0" fontId="2" fillId="2" borderId="41" xfId="1" applyFont="1" applyFill="1" applyBorder="1" applyAlignment="1">
      <alignment horizontal="center"/>
    </xf>
    <xf numFmtId="0" fontId="2" fillId="3" borderId="27" xfId="1" applyFont="1" applyFill="1" applyBorder="1" applyAlignment="1">
      <alignment horizontal="center" vertical="center" wrapText="1"/>
    </xf>
    <xf numFmtId="0" fontId="2" fillId="3" borderId="28" xfId="1" applyFont="1" applyFill="1" applyBorder="1" applyAlignment="1">
      <alignment horizontal="center" vertical="center" wrapText="1"/>
    </xf>
    <xf numFmtId="0" fontId="2" fillId="3" borderId="29" xfId="1" applyFont="1" applyFill="1" applyBorder="1" applyAlignment="1">
      <alignment horizontal="center" vertical="center" wrapText="1"/>
    </xf>
    <xf numFmtId="0" fontId="2" fillId="2" borderId="7" xfId="1" applyFont="1" applyFill="1" applyBorder="1" applyAlignment="1">
      <alignment horizontal="right" vertical="top" wrapText="1"/>
    </xf>
    <xf numFmtId="0" fontId="2" fillId="2" borderId="13" xfId="1" applyFont="1" applyFill="1" applyBorder="1" applyAlignment="1">
      <alignment horizontal="right" vertical="top" wrapText="1"/>
    </xf>
    <xf numFmtId="0" fontId="2" fillId="2" borderId="18" xfId="1" applyFont="1" applyFill="1" applyBorder="1" applyAlignment="1">
      <alignment horizontal="right" vertical="top" wrapText="1"/>
    </xf>
  </cellXfs>
  <cellStyles count="8">
    <cellStyle name="Millares" xfId="6" builtinId="3"/>
    <cellStyle name="Normal" xfId="0" builtinId="0"/>
    <cellStyle name="Normal 2" xfId="2" xr:uid="{00000000-0005-0000-0000-000001000000}"/>
    <cellStyle name="Normal 3" xfId="3" xr:uid="{00000000-0005-0000-0000-000002000000}"/>
    <cellStyle name="Normal 3 2" xfId="5" xr:uid="{83D2D953-F877-4813-90D7-284E72F2DF58}"/>
    <cellStyle name="Normal_CRITERIOS DE EVALUACION PT DE GB" xfId="1" xr:uid="{00000000-0005-0000-0000-000003000000}"/>
    <cellStyle name="Normal_CRITERIOS DE EVALUACION PT DE GB 2" xfId="7" xr:uid="{B1767D37-089D-4AAD-8FF9-FACE19C51FB3}"/>
    <cellStyle name="Porcentaje 2 2" xfId="4" xr:uid="{00000000-0005-0000-0000-000004000000}"/>
  </cellStyles>
  <dxfs count="0"/>
  <tableStyles count="0" defaultTableStyle="TableStyleMedium2" defaultPivotStyle="PivotStyleLight16"/>
  <colors>
    <mruColors>
      <color rgb="FF99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1C9AD-2AB7-4CAB-86F6-392AA8788FE3}">
  <dimension ref="A1:I61"/>
  <sheetViews>
    <sheetView tabSelected="1" view="pageBreakPreview" topLeftCell="A14" zoomScale="60" zoomScaleNormal="85" workbookViewId="0">
      <selection activeCell="C35" sqref="C35"/>
    </sheetView>
  </sheetViews>
  <sheetFormatPr baseColWidth="10" defaultRowHeight="14.4" x14ac:dyDescent="0.3"/>
  <cols>
    <col min="1" max="1" width="14.44140625" bestFit="1" customWidth="1"/>
    <col min="2" max="2" width="13.88671875" bestFit="1" customWidth="1"/>
    <col min="3" max="3" width="64.44140625" bestFit="1" customWidth="1"/>
    <col min="4" max="4" width="34.44140625" bestFit="1" customWidth="1"/>
    <col min="5" max="5" width="39.33203125" customWidth="1"/>
    <col min="7" max="7" width="42.33203125" customWidth="1"/>
    <col min="8" max="8" width="33.6640625" bestFit="1" customWidth="1"/>
    <col min="9" max="9" width="21.33203125" bestFit="1" customWidth="1"/>
  </cols>
  <sheetData>
    <row r="1" spans="1:9" ht="17.399999999999999" x14ac:dyDescent="0.3">
      <c r="A1" s="178"/>
      <c r="B1" s="179"/>
      <c r="C1" s="184" t="s">
        <v>0</v>
      </c>
      <c r="D1" s="184"/>
      <c r="E1" s="184"/>
      <c r="F1" s="184"/>
      <c r="G1" s="184"/>
      <c r="H1" s="1" t="s">
        <v>1</v>
      </c>
      <c r="I1" s="2" t="s">
        <v>100</v>
      </c>
    </row>
    <row r="2" spans="1:9" ht="18" customHeight="1" thickBot="1" x14ac:dyDescent="0.35">
      <c r="A2" s="180"/>
      <c r="B2" s="181"/>
      <c r="C2" s="185" t="s">
        <v>2</v>
      </c>
      <c r="D2" s="186"/>
      <c r="E2" s="186"/>
      <c r="F2" s="186"/>
      <c r="G2" s="187"/>
      <c r="H2" s="3" t="s">
        <v>3</v>
      </c>
      <c r="I2" s="4" t="s">
        <v>85</v>
      </c>
    </row>
    <row r="3" spans="1:9" ht="31.5" customHeight="1" thickBot="1" x14ac:dyDescent="0.35">
      <c r="A3" s="180"/>
      <c r="B3" s="181"/>
      <c r="C3" s="188" t="s">
        <v>103</v>
      </c>
      <c r="D3" s="189"/>
      <c r="E3" s="189"/>
      <c r="F3" s="189"/>
      <c r="G3" s="190"/>
      <c r="H3" s="191" t="s">
        <v>4</v>
      </c>
      <c r="I3" s="169">
        <v>45613</v>
      </c>
    </row>
    <row r="4" spans="1:9" ht="18" customHeight="1" x14ac:dyDescent="0.3">
      <c r="A4" s="180"/>
      <c r="B4" s="181"/>
      <c r="C4" s="5" t="s">
        <v>5</v>
      </c>
      <c r="D4" s="172" t="s">
        <v>6</v>
      </c>
      <c r="E4" s="173"/>
      <c r="F4" s="173"/>
      <c r="G4" s="174"/>
      <c r="H4" s="192"/>
      <c r="I4" s="170"/>
    </row>
    <row r="5" spans="1:9" ht="18" thickBot="1" x14ac:dyDescent="0.35">
      <c r="A5" s="182"/>
      <c r="B5" s="183"/>
      <c r="C5" s="6" t="s">
        <v>7</v>
      </c>
      <c r="D5" s="175" t="s">
        <v>8</v>
      </c>
      <c r="E5" s="176"/>
      <c r="F5" s="176"/>
      <c r="G5" s="177"/>
      <c r="H5" s="193"/>
      <c r="I5" s="171"/>
    </row>
    <row r="6" spans="1:9" ht="18" thickBot="1" x14ac:dyDescent="0.35">
      <c r="A6" s="160" t="s">
        <v>86</v>
      </c>
      <c r="B6" s="160"/>
      <c r="C6" s="160"/>
      <c r="D6" s="161" t="s">
        <v>27</v>
      </c>
      <c r="E6" s="161"/>
      <c r="F6" s="161"/>
      <c r="G6" s="162" t="s">
        <v>87</v>
      </c>
      <c r="H6" s="162"/>
      <c r="I6" s="7" t="s">
        <v>88</v>
      </c>
    </row>
    <row r="7" spans="1:9" ht="34.799999999999997" x14ac:dyDescent="0.3">
      <c r="A7" s="163" t="s">
        <v>9</v>
      </c>
      <c r="B7" s="165" t="s">
        <v>89</v>
      </c>
      <c r="C7" s="167" t="s">
        <v>10</v>
      </c>
      <c r="D7" s="167" t="s">
        <v>11</v>
      </c>
      <c r="E7" s="167" t="s">
        <v>12</v>
      </c>
      <c r="F7" s="167"/>
      <c r="G7" s="167" t="s">
        <v>13</v>
      </c>
      <c r="H7" s="167"/>
      <c r="I7" s="8" t="s">
        <v>14</v>
      </c>
    </row>
    <row r="8" spans="1:9" ht="35.4" thickBot="1" x14ac:dyDescent="0.35">
      <c r="A8" s="164"/>
      <c r="B8" s="166"/>
      <c r="C8" s="168"/>
      <c r="D8" s="168"/>
      <c r="E8" s="9" t="s">
        <v>15</v>
      </c>
      <c r="F8" s="10" t="s">
        <v>16</v>
      </c>
      <c r="G8" s="9" t="s">
        <v>15</v>
      </c>
      <c r="H8" s="10" t="s">
        <v>16</v>
      </c>
      <c r="I8" s="11" t="s">
        <v>17</v>
      </c>
    </row>
    <row r="9" spans="1:9" ht="18" x14ac:dyDescent="0.35">
      <c r="A9" s="12"/>
      <c r="B9" s="13"/>
      <c r="C9" s="14" t="s">
        <v>18</v>
      </c>
      <c r="D9" s="15"/>
      <c r="E9" s="16"/>
      <c r="F9" s="17"/>
      <c r="G9" s="16"/>
      <c r="H9" s="17"/>
      <c r="I9" s="18"/>
    </row>
    <row r="10" spans="1:9" ht="18" customHeight="1" x14ac:dyDescent="0.35">
      <c r="A10" s="19" t="s">
        <v>19</v>
      </c>
      <c r="B10" s="20" t="s">
        <v>67</v>
      </c>
      <c r="C10" s="21" t="s">
        <v>20</v>
      </c>
      <c r="D10" s="22" t="s">
        <v>21</v>
      </c>
      <c r="E10" s="23">
        <v>660</v>
      </c>
      <c r="F10" s="24" t="s">
        <v>22</v>
      </c>
      <c r="G10" s="25"/>
      <c r="H10" s="26" t="s">
        <v>90</v>
      </c>
      <c r="I10" s="18"/>
    </row>
    <row r="11" spans="1:9" ht="18" x14ac:dyDescent="0.35">
      <c r="A11" s="19"/>
      <c r="B11" s="27"/>
      <c r="C11" s="28" t="s">
        <v>23</v>
      </c>
      <c r="D11" s="22"/>
      <c r="E11" s="29"/>
      <c r="F11" s="30" t="s">
        <v>22</v>
      </c>
      <c r="G11" s="25"/>
      <c r="H11" s="26"/>
      <c r="I11" s="18"/>
    </row>
    <row r="12" spans="1:9" ht="18" x14ac:dyDescent="0.35">
      <c r="A12" s="19">
        <v>11400066</v>
      </c>
      <c r="B12" s="27" t="s">
        <v>68</v>
      </c>
      <c r="C12" s="28" t="s">
        <v>24</v>
      </c>
      <c r="D12" s="22" t="s">
        <v>25</v>
      </c>
      <c r="E12" s="29">
        <v>300</v>
      </c>
      <c r="F12" s="30" t="s">
        <v>22</v>
      </c>
      <c r="G12" s="31"/>
      <c r="H12" s="26" t="s">
        <v>91</v>
      </c>
      <c r="I12" s="18"/>
    </row>
    <row r="13" spans="1:9" ht="18" x14ac:dyDescent="0.35">
      <c r="A13" s="19">
        <v>20100163</v>
      </c>
      <c r="B13" s="27" t="s">
        <v>69</v>
      </c>
      <c r="C13" s="28" t="s">
        <v>26</v>
      </c>
      <c r="D13" s="22" t="s">
        <v>21</v>
      </c>
      <c r="E13" s="29">
        <v>125</v>
      </c>
      <c r="F13" s="30" t="s">
        <v>22</v>
      </c>
      <c r="G13" s="31"/>
      <c r="H13" s="26" t="s">
        <v>92</v>
      </c>
      <c r="I13" s="18"/>
    </row>
    <row r="14" spans="1:9" ht="18" x14ac:dyDescent="0.35">
      <c r="A14" s="32"/>
      <c r="B14" s="33"/>
      <c r="C14" s="34"/>
      <c r="D14" s="31"/>
      <c r="E14" s="31"/>
      <c r="F14" s="35"/>
      <c r="G14" s="31"/>
      <c r="H14" s="26"/>
      <c r="I14" s="18"/>
    </row>
    <row r="15" spans="1:9" ht="18" x14ac:dyDescent="0.35">
      <c r="A15" s="36"/>
      <c r="B15" s="33"/>
      <c r="C15" s="37"/>
      <c r="D15" s="31"/>
      <c r="E15" s="31"/>
      <c r="F15" s="35"/>
      <c r="G15" s="31"/>
      <c r="H15" s="26"/>
      <c r="I15" s="18"/>
    </row>
    <row r="16" spans="1:9" ht="18" x14ac:dyDescent="0.35">
      <c r="A16" s="31"/>
      <c r="B16" s="31"/>
      <c r="C16" s="38"/>
      <c r="D16" s="39"/>
      <c r="E16" s="39"/>
      <c r="F16" s="25"/>
      <c r="G16" s="31"/>
      <c r="H16" s="26"/>
      <c r="I16" s="18"/>
    </row>
    <row r="17" spans="1:9" ht="18" x14ac:dyDescent="0.35">
      <c r="A17" s="33"/>
      <c r="B17" s="33"/>
      <c r="C17" s="40"/>
      <c r="D17" s="31"/>
      <c r="E17" s="31"/>
      <c r="F17" s="35"/>
      <c r="G17" s="31"/>
      <c r="H17" s="26"/>
      <c r="I17" s="18"/>
    </row>
    <row r="18" spans="1:9" ht="18" x14ac:dyDescent="0.35">
      <c r="A18" s="32"/>
      <c r="B18" s="33"/>
      <c r="C18" s="34"/>
      <c r="D18" s="31"/>
      <c r="E18" s="31"/>
      <c r="F18" s="35"/>
      <c r="G18" s="31"/>
      <c r="H18" s="26"/>
      <c r="I18" s="18"/>
    </row>
    <row r="19" spans="1:9" ht="18" x14ac:dyDescent="0.35">
      <c r="A19" s="36"/>
      <c r="B19" s="33"/>
      <c r="C19" s="37"/>
      <c r="D19" s="31"/>
      <c r="E19" s="31"/>
      <c r="F19" s="35"/>
      <c r="G19" s="31"/>
      <c r="H19" s="26"/>
      <c r="I19" s="18"/>
    </row>
    <row r="20" spans="1:9" ht="18" x14ac:dyDescent="0.35">
      <c r="A20" s="20"/>
      <c r="B20" s="20"/>
      <c r="C20" s="41"/>
      <c r="D20" s="42"/>
      <c r="E20" s="43"/>
      <c r="F20" s="24"/>
      <c r="G20" s="44"/>
      <c r="H20" s="26"/>
      <c r="I20" s="18"/>
    </row>
    <row r="21" spans="1:9" ht="18" x14ac:dyDescent="0.35">
      <c r="A21" s="45"/>
      <c r="B21" s="45"/>
      <c r="C21" s="46"/>
      <c r="D21" s="47"/>
      <c r="E21" s="48"/>
      <c r="F21" s="49"/>
      <c r="G21" s="44"/>
      <c r="H21" s="26"/>
      <c r="I21" s="18"/>
    </row>
    <row r="22" spans="1:9" ht="18" x14ac:dyDescent="0.35">
      <c r="A22" s="45"/>
      <c r="B22" s="45"/>
      <c r="C22" s="46"/>
      <c r="D22" s="47"/>
      <c r="E22" s="48"/>
      <c r="F22" s="49"/>
      <c r="G22" s="16"/>
      <c r="H22" s="26"/>
      <c r="I22" s="18"/>
    </row>
    <row r="23" spans="1:9" ht="18" x14ac:dyDescent="0.35">
      <c r="A23" s="50"/>
      <c r="B23" s="51"/>
      <c r="C23" s="52" t="s">
        <v>27</v>
      </c>
      <c r="D23" s="53"/>
      <c r="E23" s="54"/>
      <c r="F23" s="55"/>
      <c r="G23" s="16"/>
      <c r="H23" s="17"/>
      <c r="I23" s="18"/>
    </row>
    <row r="24" spans="1:9" ht="18" x14ac:dyDescent="0.35">
      <c r="A24" s="45">
        <v>20100163</v>
      </c>
      <c r="B24" s="45" t="s">
        <v>69</v>
      </c>
      <c r="C24" s="46" t="s">
        <v>26</v>
      </c>
      <c r="D24" s="56" t="s">
        <v>21</v>
      </c>
      <c r="E24" s="57">
        <v>300</v>
      </c>
      <c r="F24" s="58" t="s">
        <v>22</v>
      </c>
      <c r="G24" s="16"/>
      <c r="H24" s="17"/>
      <c r="I24" s="18"/>
    </row>
    <row r="25" spans="1:9" ht="18" x14ac:dyDescent="0.35">
      <c r="A25" s="45" t="s">
        <v>81</v>
      </c>
      <c r="B25" s="45" t="s">
        <v>68</v>
      </c>
      <c r="C25" s="46" t="s">
        <v>82</v>
      </c>
      <c r="D25" s="56" t="s">
        <v>93</v>
      </c>
      <c r="E25" s="23">
        <v>75</v>
      </c>
      <c r="F25" s="58" t="s">
        <v>22</v>
      </c>
      <c r="G25" s="16"/>
      <c r="H25" s="17" t="s">
        <v>94</v>
      </c>
      <c r="I25" s="18"/>
    </row>
    <row r="26" spans="1:9" ht="18" x14ac:dyDescent="0.35">
      <c r="A26" s="59">
        <v>908000032</v>
      </c>
      <c r="B26" s="60" t="s">
        <v>70</v>
      </c>
      <c r="C26" s="61" t="s">
        <v>28</v>
      </c>
      <c r="D26" s="56" t="s">
        <v>21</v>
      </c>
      <c r="E26" s="62">
        <v>80</v>
      </c>
      <c r="F26" s="58" t="s">
        <v>22</v>
      </c>
      <c r="G26" s="16"/>
      <c r="H26" s="17" t="s">
        <v>101</v>
      </c>
      <c r="I26" s="18"/>
    </row>
    <row r="27" spans="1:9" ht="18" x14ac:dyDescent="0.35">
      <c r="A27" s="45" t="s">
        <v>29</v>
      </c>
      <c r="B27" s="45" t="s">
        <v>71</v>
      </c>
      <c r="C27" s="46" t="s">
        <v>30</v>
      </c>
      <c r="D27" s="56" t="s">
        <v>21</v>
      </c>
      <c r="E27" s="62">
        <v>5</v>
      </c>
      <c r="F27" s="58" t="s">
        <v>22</v>
      </c>
      <c r="G27" s="16"/>
      <c r="H27" s="17" t="s">
        <v>102</v>
      </c>
      <c r="I27" s="18"/>
    </row>
    <row r="28" spans="1:9" ht="18" x14ac:dyDescent="0.35">
      <c r="A28" s="45">
        <v>10700013</v>
      </c>
      <c r="B28" s="45" t="s">
        <v>83</v>
      </c>
      <c r="C28" s="46" t="s">
        <v>84</v>
      </c>
      <c r="D28" s="56" t="s">
        <v>95</v>
      </c>
      <c r="E28" s="63">
        <v>1</v>
      </c>
      <c r="F28" s="64" t="s">
        <v>35</v>
      </c>
      <c r="G28" s="16"/>
      <c r="H28" s="17"/>
      <c r="I28" s="18"/>
    </row>
    <row r="29" spans="1:9" ht="18" x14ac:dyDescent="0.35">
      <c r="A29" s="65"/>
      <c r="B29" s="65"/>
      <c r="C29" s="66"/>
      <c r="D29" s="67"/>
      <c r="E29" s="68"/>
      <c r="F29" s="64"/>
      <c r="G29" s="16"/>
      <c r="H29" s="17"/>
      <c r="I29" s="18"/>
    </row>
    <row r="30" spans="1:9" ht="18" x14ac:dyDescent="0.35">
      <c r="A30" s="45"/>
      <c r="B30" s="45"/>
      <c r="C30" s="46"/>
      <c r="D30" s="56"/>
      <c r="E30" s="63"/>
      <c r="F30" s="64"/>
      <c r="G30" s="16"/>
      <c r="H30" s="17"/>
      <c r="I30" s="18"/>
    </row>
    <row r="31" spans="1:9" ht="18" x14ac:dyDescent="0.35">
      <c r="A31" s="45"/>
      <c r="B31" s="45"/>
      <c r="C31" s="46"/>
      <c r="D31" s="56"/>
      <c r="E31" s="62"/>
      <c r="F31" s="58"/>
      <c r="G31" s="16"/>
      <c r="H31" s="17"/>
      <c r="I31" s="18"/>
    </row>
    <row r="32" spans="1:9" ht="18" x14ac:dyDescent="0.35">
      <c r="A32" s="69"/>
      <c r="B32" s="70"/>
      <c r="C32" s="71" t="s">
        <v>31</v>
      </c>
      <c r="D32" s="72"/>
      <c r="E32" s="73"/>
      <c r="F32" s="17"/>
      <c r="G32" s="16"/>
      <c r="H32" s="66"/>
      <c r="I32" s="18"/>
    </row>
    <row r="33" spans="1:9" ht="18" x14ac:dyDescent="0.35">
      <c r="A33" s="65" t="s">
        <v>32</v>
      </c>
      <c r="B33" s="65" t="s">
        <v>77</v>
      </c>
      <c r="C33" s="66" t="s">
        <v>33</v>
      </c>
      <c r="D33" s="22" t="s">
        <v>34</v>
      </c>
      <c r="E33" s="29">
        <v>1</v>
      </c>
      <c r="F33" s="30" t="s">
        <v>35</v>
      </c>
      <c r="G33" s="74"/>
      <c r="H33" s="17"/>
      <c r="I33" s="18"/>
    </row>
    <row r="34" spans="1:9" ht="18" x14ac:dyDescent="0.35">
      <c r="A34" s="75" t="s">
        <v>36</v>
      </c>
      <c r="B34" s="75" t="s">
        <v>78</v>
      </c>
      <c r="C34" s="76" t="s">
        <v>37</v>
      </c>
      <c r="D34" s="77"/>
      <c r="E34" s="78">
        <v>1</v>
      </c>
      <c r="F34" s="79" t="s">
        <v>38</v>
      </c>
      <c r="G34" s="74"/>
      <c r="H34" s="17"/>
      <c r="I34" s="18"/>
    </row>
    <row r="35" spans="1:9" ht="18" x14ac:dyDescent="0.35">
      <c r="A35" s="80" t="s">
        <v>39</v>
      </c>
      <c r="B35" s="81" t="s">
        <v>79</v>
      </c>
      <c r="C35" s="82" t="s">
        <v>40</v>
      </c>
      <c r="D35" s="78" t="s">
        <v>96</v>
      </c>
      <c r="E35" s="78">
        <v>1</v>
      </c>
      <c r="F35" s="79" t="s">
        <v>35</v>
      </c>
      <c r="G35" s="74"/>
      <c r="H35" s="17"/>
      <c r="I35" s="18"/>
    </row>
    <row r="36" spans="1:9" ht="18" x14ac:dyDescent="0.35">
      <c r="A36" s="75" t="s">
        <v>41</v>
      </c>
      <c r="B36" s="75" t="s">
        <v>80</v>
      </c>
      <c r="C36" s="76" t="s">
        <v>42</v>
      </c>
      <c r="D36" s="78" t="s">
        <v>34</v>
      </c>
      <c r="E36" s="83">
        <v>60</v>
      </c>
      <c r="F36" s="79" t="s">
        <v>43</v>
      </c>
      <c r="G36" s="16"/>
      <c r="H36" s="17"/>
      <c r="I36" s="18"/>
    </row>
    <row r="37" spans="1:9" ht="18" x14ac:dyDescent="0.35">
      <c r="A37" s="75" t="s">
        <v>44</v>
      </c>
      <c r="B37" s="75" t="s">
        <v>72</v>
      </c>
      <c r="C37" s="76" t="s">
        <v>45</v>
      </c>
      <c r="D37" s="78" t="s">
        <v>97</v>
      </c>
      <c r="E37" s="78">
        <v>1</v>
      </c>
      <c r="F37" s="79" t="s">
        <v>35</v>
      </c>
      <c r="G37" s="16"/>
      <c r="H37" s="17" t="s">
        <v>98</v>
      </c>
      <c r="I37" s="18"/>
    </row>
    <row r="38" spans="1:9" ht="18" x14ac:dyDescent="0.35">
      <c r="A38" s="75" t="s">
        <v>46</v>
      </c>
      <c r="B38" s="75" t="s">
        <v>73</v>
      </c>
      <c r="C38" s="76" t="s">
        <v>47</v>
      </c>
      <c r="D38" s="78" t="s">
        <v>99</v>
      </c>
      <c r="E38" s="78">
        <v>1</v>
      </c>
      <c r="F38" s="79" t="s">
        <v>35</v>
      </c>
      <c r="G38" s="84"/>
      <c r="H38" s="17"/>
      <c r="I38" s="18"/>
    </row>
    <row r="39" spans="1:9" ht="18" x14ac:dyDescent="0.35">
      <c r="A39" s="85" t="s">
        <v>74</v>
      </c>
      <c r="B39" s="86" t="s">
        <v>75</v>
      </c>
      <c r="C39" s="87" t="s">
        <v>76</v>
      </c>
      <c r="D39" s="88" t="s">
        <v>99</v>
      </c>
      <c r="E39" s="88">
        <v>1</v>
      </c>
      <c r="F39" s="89"/>
      <c r="G39" s="90"/>
      <c r="H39" s="17"/>
      <c r="I39" s="18"/>
    </row>
    <row r="40" spans="1:9" ht="18" x14ac:dyDescent="0.35">
      <c r="A40" s="50"/>
      <c r="B40" s="51"/>
      <c r="C40" s="91"/>
      <c r="D40" s="78"/>
      <c r="E40" s="90"/>
      <c r="F40" s="55"/>
      <c r="G40" s="90"/>
      <c r="H40" s="17" t="str">
        <f t="shared" ref="H40" si="0">UPPER(D40)</f>
        <v/>
      </c>
      <c r="I40" s="18"/>
    </row>
    <row r="41" spans="1:9" ht="18" x14ac:dyDescent="0.35">
      <c r="A41" s="50"/>
      <c r="B41" s="51"/>
      <c r="C41" s="91"/>
      <c r="D41" s="53"/>
      <c r="E41" s="53"/>
      <c r="F41" s="55"/>
      <c r="G41" s="53"/>
      <c r="H41" s="53"/>
      <c r="I41" s="18"/>
    </row>
    <row r="42" spans="1:9" ht="18" thickBot="1" x14ac:dyDescent="0.35">
      <c r="A42" s="92"/>
      <c r="B42" s="93"/>
      <c r="C42" s="94"/>
      <c r="D42" s="94"/>
      <c r="E42" s="95"/>
      <c r="F42" s="96"/>
      <c r="G42" s="94"/>
      <c r="H42" s="94"/>
      <c r="I42" s="97"/>
    </row>
    <row r="43" spans="1:9" ht="18" thickBot="1" x14ac:dyDescent="0.35">
      <c r="A43" s="98"/>
      <c r="B43" s="99"/>
      <c r="C43" s="100"/>
      <c r="D43" s="101" t="s">
        <v>15</v>
      </c>
      <c r="E43" s="102" t="s">
        <v>48</v>
      </c>
      <c r="F43" s="103"/>
      <c r="G43" s="100"/>
      <c r="H43" s="100"/>
      <c r="I43" s="104"/>
    </row>
    <row r="44" spans="1:9" ht="17.399999999999999" x14ac:dyDescent="0.3">
      <c r="A44" s="154" t="s">
        <v>49</v>
      </c>
      <c r="B44" s="155"/>
      <c r="C44" s="156"/>
      <c r="D44" s="63">
        <v>1449</v>
      </c>
      <c r="E44" s="105" t="s">
        <v>22</v>
      </c>
      <c r="F44" s="157" t="s">
        <v>50</v>
      </c>
      <c r="G44" s="157"/>
      <c r="H44" s="158"/>
      <c r="I44" s="159"/>
    </row>
    <row r="45" spans="1:9" ht="17.399999999999999" x14ac:dyDescent="0.3">
      <c r="A45" s="137" t="s">
        <v>51</v>
      </c>
      <c r="B45" s="138"/>
      <c r="C45" s="139"/>
      <c r="D45" s="106">
        <v>0.27083333333333331</v>
      </c>
      <c r="E45" s="31" t="s">
        <v>52</v>
      </c>
      <c r="F45" s="140" t="s">
        <v>53</v>
      </c>
      <c r="G45" s="140"/>
      <c r="H45" s="141"/>
      <c r="I45" s="142"/>
    </row>
    <row r="46" spans="1:9" ht="17.399999999999999" x14ac:dyDescent="0.3">
      <c r="A46" s="137" t="s">
        <v>54</v>
      </c>
      <c r="B46" s="138"/>
      <c r="C46" s="139"/>
      <c r="D46" s="31">
        <v>1</v>
      </c>
      <c r="E46" s="31" t="s">
        <v>55</v>
      </c>
      <c r="F46" s="140" t="s">
        <v>56</v>
      </c>
      <c r="G46" s="140"/>
      <c r="H46" s="141"/>
      <c r="I46" s="142"/>
    </row>
    <row r="47" spans="1:9" ht="17.399999999999999" x14ac:dyDescent="0.3">
      <c r="A47" s="137" t="s">
        <v>57</v>
      </c>
      <c r="B47" s="138"/>
      <c r="C47" s="139"/>
      <c r="D47" s="62">
        <v>1449</v>
      </c>
      <c r="E47" s="31" t="s">
        <v>22</v>
      </c>
      <c r="F47" s="143" t="s">
        <v>58</v>
      </c>
      <c r="G47" s="144"/>
      <c r="H47" s="145"/>
      <c r="I47" s="146"/>
    </row>
    <row r="48" spans="1:9" ht="18" thickBot="1" x14ac:dyDescent="0.35">
      <c r="A48" s="147" t="s">
        <v>59</v>
      </c>
      <c r="B48" s="148"/>
      <c r="C48" s="149"/>
      <c r="D48" s="107">
        <f>SUM(E10:E28)-D44</f>
        <v>97</v>
      </c>
      <c r="E48" s="108" t="s">
        <v>22</v>
      </c>
      <c r="F48" s="150"/>
      <c r="G48" s="150"/>
      <c r="H48" s="141"/>
      <c r="I48" s="142"/>
    </row>
    <row r="49" spans="1:9" ht="18" thickBot="1" x14ac:dyDescent="0.35">
      <c r="A49" s="151" t="s">
        <v>60</v>
      </c>
      <c r="B49" s="152"/>
      <c r="C49" s="152"/>
      <c r="D49" s="152"/>
      <c r="E49" s="152"/>
      <c r="F49" s="152"/>
      <c r="G49" s="152"/>
      <c r="H49" s="152"/>
      <c r="I49" s="153"/>
    </row>
    <row r="50" spans="1:9" ht="18.45" customHeight="1" x14ac:dyDescent="0.3">
      <c r="A50" s="116" t="s">
        <v>61</v>
      </c>
      <c r="B50" s="117"/>
      <c r="C50" s="118"/>
      <c r="D50" s="118"/>
      <c r="E50" s="118"/>
      <c r="F50" s="118"/>
      <c r="G50" s="118"/>
      <c r="H50" s="118"/>
      <c r="I50" s="119"/>
    </row>
    <row r="51" spans="1:9" ht="14.7" customHeight="1" x14ac:dyDescent="0.3">
      <c r="A51" s="120" t="s">
        <v>62</v>
      </c>
      <c r="B51" s="121"/>
      <c r="C51" s="122"/>
      <c r="D51" s="122"/>
      <c r="E51" s="122"/>
      <c r="F51" s="122"/>
      <c r="G51" s="122"/>
      <c r="H51" s="122"/>
      <c r="I51" s="123"/>
    </row>
    <row r="52" spans="1:9" ht="14.7" customHeight="1" x14ac:dyDescent="0.3">
      <c r="A52" s="116" t="s">
        <v>63</v>
      </c>
      <c r="B52" s="117"/>
      <c r="C52" s="118"/>
      <c r="D52" s="118"/>
      <c r="E52" s="118"/>
      <c r="F52" s="118"/>
      <c r="G52" s="118"/>
      <c r="H52" s="118"/>
      <c r="I52" s="119"/>
    </row>
    <row r="53" spans="1:9" ht="14.7" customHeight="1" x14ac:dyDescent="0.3">
      <c r="A53" s="120" t="s">
        <v>64</v>
      </c>
      <c r="B53" s="121"/>
      <c r="C53" s="122"/>
      <c r="D53" s="122"/>
      <c r="E53" s="122"/>
      <c r="F53" s="122"/>
      <c r="G53" s="122"/>
      <c r="H53" s="122"/>
      <c r="I53" s="123"/>
    </row>
    <row r="54" spans="1:9" ht="14.7" customHeight="1" x14ac:dyDescent="0.3">
      <c r="A54" s="124" t="s">
        <v>65</v>
      </c>
      <c r="B54" s="125"/>
      <c r="C54" s="126"/>
      <c r="D54" s="126"/>
      <c r="E54" s="126"/>
      <c r="F54" s="126"/>
      <c r="G54" s="126"/>
      <c r="H54" s="126"/>
      <c r="I54" s="127"/>
    </row>
    <row r="55" spans="1:9" ht="14.7" customHeight="1" x14ac:dyDescent="0.3">
      <c r="A55" s="128"/>
      <c r="B55" s="129"/>
      <c r="C55" s="129"/>
      <c r="D55" s="129"/>
      <c r="E55" s="129"/>
      <c r="F55" s="129"/>
      <c r="G55" s="129"/>
      <c r="H55" s="129"/>
      <c r="I55" s="130"/>
    </row>
    <row r="56" spans="1:9" ht="18" customHeight="1" x14ac:dyDescent="0.3">
      <c r="A56" s="131"/>
      <c r="B56" s="132"/>
      <c r="C56" s="132"/>
      <c r="D56" s="132"/>
      <c r="E56" s="132"/>
      <c r="F56" s="132"/>
      <c r="G56" s="132"/>
      <c r="H56" s="132"/>
      <c r="I56" s="133"/>
    </row>
    <row r="57" spans="1:9" ht="18" thickBot="1" x14ac:dyDescent="0.35">
      <c r="A57" s="134"/>
      <c r="B57" s="135"/>
      <c r="C57" s="135"/>
      <c r="D57" s="135"/>
      <c r="E57" s="135"/>
      <c r="F57" s="135"/>
      <c r="G57" s="135"/>
      <c r="H57" s="135"/>
      <c r="I57" s="136"/>
    </row>
    <row r="58" spans="1:9" ht="18" thickBot="1" x14ac:dyDescent="0.35">
      <c r="A58" s="109"/>
      <c r="B58" s="110"/>
      <c r="C58" s="110"/>
      <c r="D58" s="110"/>
      <c r="E58" s="110"/>
      <c r="F58" s="110"/>
      <c r="G58" s="110"/>
      <c r="H58" s="110"/>
      <c r="I58" s="111"/>
    </row>
    <row r="59" spans="1:9" ht="17.399999999999999" x14ac:dyDescent="0.3">
      <c r="A59" s="112" t="s">
        <v>66</v>
      </c>
      <c r="B59" s="113"/>
      <c r="C59" s="113"/>
      <c r="D59" s="113"/>
      <c r="E59" s="113"/>
      <c r="F59" s="113"/>
      <c r="G59" s="113"/>
      <c r="H59" s="113"/>
      <c r="I59" s="113"/>
    </row>
    <row r="60" spans="1:9" ht="17.399999999999999" x14ac:dyDescent="0.3">
      <c r="A60" s="114" t="s">
        <v>104</v>
      </c>
      <c r="B60" s="115"/>
      <c r="C60" s="115"/>
      <c r="D60" s="115"/>
      <c r="E60" s="115"/>
      <c r="F60" s="115"/>
      <c r="G60" s="115"/>
      <c r="H60" s="115"/>
      <c r="I60" s="115"/>
    </row>
    <row r="61" spans="1:9" ht="17.399999999999999" x14ac:dyDescent="0.3">
      <c r="A61" s="114"/>
      <c r="B61" s="115"/>
      <c r="C61" s="115"/>
      <c r="D61" s="115"/>
      <c r="E61" s="115"/>
      <c r="F61" s="115"/>
      <c r="G61" s="115"/>
      <c r="H61" s="115"/>
      <c r="I61" s="115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4:C44"/>
    <mergeCell ref="F44:G44"/>
    <mergeCell ref="H44:I44"/>
    <mergeCell ref="A45:C45"/>
    <mergeCell ref="F45:G45"/>
    <mergeCell ref="H45:I45"/>
    <mergeCell ref="A51:I51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49:I49"/>
    <mergeCell ref="A50:I50"/>
    <mergeCell ref="A58:I58"/>
    <mergeCell ref="A59:I59"/>
    <mergeCell ref="A60:I60"/>
    <mergeCell ref="A61:I61"/>
    <mergeCell ref="A52:I52"/>
    <mergeCell ref="A53:I53"/>
    <mergeCell ref="A54:I54"/>
    <mergeCell ref="A55:I55"/>
    <mergeCell ref="A56:I56"/>
    <mergeCell ref="A57:I57"/>
  </mergeCells>
  <pageMargins left="0.7" right="0.7" top="0.75" bottom="0.75" header="0.3" footer="0.3"/>
  <pageSetup paperSize="9" scale="38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D199AF1-E68B-4DCE-813C-82B999555C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3286137-B42F-44AC-A8B9-919E8F67C396}"/>
</file>

<file path=customXml/itemProps3.xml><?xml version="1.0" encoding="utf-8"?>
<ds:datastoreItem xmlns:ds="http://schemas.openxmlformats.org/officeDocument/2006/customXml" ds:itemID="{9E4AF9BD-BA7F-452E-BB2C-5DF80E17FCB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Valery Cerdas</cp:lastModifiedBy>
  <cp:revision/>
  <cp:lastPrinted>2025-04-04T19:55:29Z</cp:lastPrinted>
  <dcterms:created xsi:type="dcterms:W3CDTF">2021-06-10T18:14:16Z</dcterms:created>
  <dcterms:modified xsi:type="dcterms:W3CDTF">2026-05-12T16:00:26Z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765400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
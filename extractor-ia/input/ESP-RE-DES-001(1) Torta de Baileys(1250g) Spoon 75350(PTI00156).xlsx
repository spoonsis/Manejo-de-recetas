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6" documentId="8_{A45E5736-2DA6-4635-B32C-04C50623E152}" xr6:coauthVersionLast="47" xr6:coauthVersionMax="47" xr10:uidLastSave="{C428998F-E524-422B-B254-CC4A601BE732}"/>
  <bookViews>
    <workbookView xWindow="-108" yWindow="-108" windowWidth="23256" windowHeight="12456" activeTab="1" xr2:uid="{885F12AA-A772-41B3-B40C-C2C1E86D9A41}"/>
  </bookViews>
  <sheets>
    <sheet name="Hoja1" sheetId="2" r:id="rId1"/>
    <sheet name="Hoja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A4" i="3"/>
  <c r="B4" i="3"/>
  <c r="A5" i="3"/>
  <c r="B5" i="3"/>
  <c r="B2" i="3"/>
  <c r="A2" i="3"/>
  <c r="D2" i="3"/>
  <c r="D3" i="3"/>
  <c r="D4" i="3"/>
  <c r="D5" i="3"/>
  <c r="C2" i="3"/>
  <c r="C3" i="3"/>
  <c r="C4" i="3"/>
  <c r="C5" i="3"/>
  <c r="D1" i="3"/>
  <c r="C1" i="3"/>
  <c r="B1" i="3"/>
  <c r="A1" i="3"/>
  <c r="H34" i="2"/>
</calcChain>
</file>

<file path=xl/sharedStrings.xml><?xml version="1.0" encoding="utf-8"?>
<sst xmlns="http://schemas.openxmlformats.org/spreadsheetml/2006/main" count="135" uniqueCount="101">
  <si>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</si>
  <si>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</si>
  <si>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</si>
  <si>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</si>
  <si>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</si>
  <si>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</si>
  <si>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</si>
  <si>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</si>
  <si>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</si>
  <si>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</si>
  <si>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</si>
  <si>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</si>
  <si>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</si>
  <si>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</si>
  <si>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</si>
  <si>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</si>
  <si>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</si>
  <si>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</si>
  <si>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MEZCLA TRES LECHES C/BAILEYS LITRO</t>
  </si>
  <si>
    <t>FAS</t>
  </si>
  <si>
    <t>NESTLE</t>
  </si>
  <si>
    <t>1/2 TAZA</t>
  </si>
  <si>
    <t>RELLENO CREMA MOKA C/BAILEYS (KILO)</t>
  </si>
  <si>
    <t>MEZCLA CHOCOLATE BLANCO C/PECANA (KILO)</t>
  </si>
  <si>
    <t>Decoración</t>
  </si>
  <si>
    <t>CREMA DULCE LECHE KILO</t>
  </si>
  <si>
    <t>96344</t>
  </si>
  <si>
    <t>GANACHE CHOCOLATE OSCURO (KILO)</t>
  </si>
  <si>
    <t>GANACHE BAILEYS (KILO)</t>
  </si>
  <si>
    <t>10700013</t>
  </si>
  <si>
    <t>STICK DORADO (CAJA:100 UND)</t>
  </si>
  <si>
    <t>ud</t>
  </si>
  <si>
    <t>Empaque</t>
  </si>
  <si>
    <t>ORLA CARTON 10" DORADA (UND)</t>
  </si>
  <si>
    <t>RAPIBOX</t>
  </si>
  <si>
    <t>QUEQUERA RED  BASE/DOMO 10 (CAJA:50)</t>
  </si>
  <si>
    <t>702175</t>
  </si>
  <si>
    <t>ETIQUETA IMPRES SPOON GRANDE V-272 (UND)</t>
  </si>
  <si>
    <t>ETIQUETA BLANCA 2 5/8X1 15/16</t>
  </si>
  <si>
    <t>701096</t>
  </si>
  <si>
    <t>ETIQUETA BLANCA R-153 (UND)</t>
  </si>
  <si>
    <t>ETIQUETA D-31 TORTA BAILEYS (ROLLO)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</si>
  <si>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</si>
  <si>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</si>
  <si>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</si>
  <si>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</si>
  <si>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</si>
  <si>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</si>
  <si>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</si>
  <si>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</si>
  <si>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</si>
  <si>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</si>
  <si>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</si>
  <si>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</si>
  <si>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Partir el rosquete por la mitad y humedecer ambas mitades</t>
  </si>
  <si>
    <t>2.- Colocar en la capa el manjar, relleno de moka y la chocopecana.</t>
  </si>
  <si>
    <t>3.- Tapar con rosquete humedecido.</t>
  </si>
  <si>
    <t>4.- Encremar con crema de dulce de leche. Hacer el colocho marmoleado con la boquilla de 842.</t>
  </si>
  <si>
    <t>5.- Colcar en el centro el ganache de baileys y el ganache oscuro en forma de gotas y stick dorado.</t>
  </si>
  <si>
    <t>MANJAR LECHE CONDENSADA (PAQ:6 K)</t>
  </si>
  <si>
    <t>SE00462</t>
  </si>
  <si>
    <t>SE00084</t>
  </si>
  <si>
    <t>MP10007</t>
  </si>
  <si>
    <t>SE00085</t>
  </si>
  <si>
    <t>SE00086</t>
  </si>
  <si>
    <t>SE00032</t>
  </si>
  <si>
    <t>SE00001</t>
  </si>
  <si>
    <t>SE00087</t>
  </si>
  <si>
    <t>MP10011</t>
  </si>
  <si>
    <t>EM10008</t>
  </si>
  <si>
    <t>EM10009</t>
  </si>
  <si>
    <t>EM10006</t>
  </si>
  <si>
    <t>EM10124</t>
  </si>
  <si>
    <t>EM10283</t>
  </si>
  <si>
    <t>EM10011</t>
  </si>
  <si>
    <t>EM10002</t>
  </si>
  <si>
    <t>6.- Colocar en una orla #10 y en una quequera 10 baja. Etiquetar con nombre, fecha de vencimiento,lote, logo Spoon , sticcker Baileys.</t>
  </si>
  <si>
    <t>PTI00156 Torta Baileys mediana</t>
  </si>
  <si>
    <t>01</t>
  </si>
  <si>
    <t>Javier Tong, Chef</t>
  </si>
  <si>
    <t>AREA QUE PRODUCE:</t>
  </si>
  <si>
    <t xml:space="preserve">AREA QUE EMPACA: </t>
  </si>
  <si>
    <t>Decoracion</t>
  </si>
  <si>
    <t># Código Netsuite</t>
  </si>
  <si>
    <t>Ensamble</t>
  </si>
  <si>
    <t>ROSQUETE NUCLEO VAINILLA DAWN REDONDO 360G</t>
  </si>
  <si>
    <t>1 UND</t>
  </si>
  <si>
    <t>3/4 TAZA</t>
  </si>
  <si>
    <t>1/3 TAZA</t>
  </si>
  <si>
    <t>ENCREMAR</t>
  </si>
  <si>
    <t>COLOCHO BOQUILLA 842</t>
  </si>
  <si>
    <t>GOTAS</t>
  </si>
  <si>
    <t>ESPEJO ARRIBA</t>
  </si>
  <si>
    <t>KAROL LEDEZMA</t>
  </si>
  <si>
    <t>EXP PMT</t>
  </si>
  <si>
    <t>ETIQ.BLANCA 1 1/4 * 3/4</t>
  </si>
  <si>
    <t>ETIPLAST</t>
  </si>
  <si>
    <t>LITOGRAFIA CR</t>
  </si>
  <si>
    <t>CEMSUA</t>
  </si>
  <si>
    <t>CONTROL DE CAMBIOS</t>
  </si>
  <si>
    <t>ESP-RE-DES-001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</si>
</sst>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0"/>
      <color indexed="8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180">
    <xf numFmtId="0" fontId="0" fillId="0" borderId="0" xfId="0"/>
    <xf numFmtId="0" fontId="5" fillId="2" borderId="1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right"/>
    </xf>
    <xf numFmtId="49" fontId="3" fillId="2" borderId="5" xfId="1" applyNumberFormat="1" applyFont="1" applyFill="1" applyBorder="1" applyAlignment="1">
      <alignment horizontal="center"/>
    </xf>
    <xf numFmtId="0" fontId="3" fillId="2" borderId="9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 wrapText="1"/>
    </xf>
    <xf numFmtId="0" fontId="0" fillId="0" borderId="4" xfId="0" applyBorder="1"/>
    <xf numFmtId="16" fontId="7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7" fillId="0" borderId="4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4" fontId="12" fillId="2" borderId="0" xfId="6" applyNumberFormat="1" applyFont="1" applyFill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 wrapText="1"/>
    </xf>
    <xf numFmtId="1" fontId="5" fillId="4" borderId="21" xfId="3" applyNumberFormat="1" applyFont="1" applyFill="1" applyBorder="1" applyAlignment="1">
      <alignment horizontal="center"/>
    </xf>
    <xf numFmtId="1" fontId="5" fillId="4" borderId="21" xfId="3" applyNumberFormat="1" applyFont="1" applyFill="1" applyBorder="1" applyAlignment="1">
      <alignment horizontal="center" wrapText="1"/>
    </xf>
    <xf numFmtId="0" fontId="5" fillId="4" borderId="22" xfId="3" applyFont="1" applyFill="1" applyBorder="1" applyAlignment="1">
      <alignment horizontal="center"/>
    </xf>
    <xf numFmtId="0" fontId="13" fillId="0" borderId="24" xfId="3" applyFont="1" applyBorder="1" applyAlignment="1">
      <alignment horizontal="center" vertical="center"/>
    </xf>
    <xf numFmtId="0" fontId="13" fillId="0" borderId="17" xfId="3" applyFont="1" applyBorder="1" applyAlignment="1">
      <alignment horizontal="center" vertical="center"/>
    </xf>
    <xf numFmtId="0" fontId="14" fillId="0" borderId="4" xfId="3" applyFont="1" applyBorder="1" applyAlignment="1">
      <alignment vertical="center"/>
    </xf>
    <xf numFmtId="0" fontId="13" fillId="0" borderId="4" xfId="3" applyFont="1" applyBorder="1" applyAlignment="1">
      <alignment horizontal="center" vertical="center"/>
    </xf>
    <xf numFmtId="1" fontId="13" fillId="0" borderId="4" xfId="3" applyNumberFormat="1" applyFont="1" applyBorder="1" applyAlignment="1">
      <alignment horizontal="center"/>
    </xf>
    <xf numFmtId="1" fontId="13" fillId="0" borderId="4" xfId="3" applyNumberFormat="1" applyFont="1" applyBorder="1" applyAlignment="1">
      <alignment horizontal="center" wrapText="1"/>
    </xf>
    <xf numFmtId="0" fontId="7" fillId="0" borderId="5" xfId="3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7" fillId="0" borderId="9" xfId="3" applyNumberFormat="1" applyFont="1" applyBorder="1" applyAlignment="1">
      <alignment horizontal="center"/>
    </xf>
    <xf numFmtId="12" fontId="3" fillId="0" borderId="9" xfId="0" applyNumberFormat="1" applyFont="1" applyBorder="1" applyAlignment="1">
      <alignment horizontal="center"/>
    </xf>
    <xf numFmtId="164" fontId="7" fillId="0" borderId="4" xfId="3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2" fontId="13" fillId="0" borderId="4" xfId="3" applyNumberFormat="1" applyFont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1" fontId="5" fillId="5" borderId="4" xfId="0" applyNumberFormat="1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 wrapText="1"/>
    </xf>
    <xf numFmtId="16" fontId="10" fillId="0" borderId="17" xfId="0" applyNumberFormat="1" applyFont="1" applyBorder="1" applyAlignment="1">
      <alignment horizontal="center"/>
    </xf>
    <xf numFmtId="49" fontId="7" fillId="0" borderId="24" xfId="3" applyNumberFormat="1" applyFont="1" applyBorder="1" applyAlignment="1">
      <alignment horizontal="center"/>
    </xf>
    <xf numFmtId="49" fontId="7" fillId="0" borderId="17" xfId="3" applyNumberFormat="1" applyFont="1" applyBorder="1" applyAlignment="1">
      <alignment horizontal="center"/>
    </xf>
    <xf numFmtId="0" fontId="17" fillId="5" borderId="4" xfId="3" applyFont="1" applyFill="1" applyBorder="1" applyAlignment="1">
      <alignment horizontal="left"/>
    </xf>
    <xf numFmtId="0" fontId="7" fillId="0" borderId="4" xfId="3" applyFont="1" applyBorder="1" applyAlignment="1">
      <alignment horizontal="center"/>
    </xf>
    <xf numFmtId="16" fontId="3" fillId="0" borderId="4" xfId="0" applyNumberFormat="1" applyFont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center" wrapText="1"/>
    </xf>
    <xf numFmtId="1" fontId="3" fillId="5" borderId="4" xfId="0" applyNumberFormat="1" applyFont="1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1" fontId="3" fillId="0" borderId="9" xfId="0" applyNumberFormat="1" applyFont="1" applyBorder="1" applyAlignment="1">
      <alignment horizontal="center" wrapText="1"/>
    </xf>
    <xf numFmtId="16" fontId="3" fillId="5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13" fillId="0" borderId="28" xfId="3" applyNumberFormat="1" applyFont="1" applyBorder="1" applyAlignment="1">
      <alignment horizontal="center"/>
    </xf>
    <xf numFmtId="49" fontId="13" fillId="0" borderId="16" xfId="3" applyNumberFormat="1" applyFont="1" applyBorder="1" applyAlignment="1">
      <alignment horizontal="center"/>
    </xf>
    <xf numFmtId="0" fontId="18" fillId="5" borderId="4" xfId="3" applyFont="1" applyFill="1" applyBorder="1" applyAlignment="1">
      <alignment vertical="center"/>
    </xf>
    <xf numFmtId="0" fontId="13" fillId="0" borderId="17" xfId="3" applyFont="1" applyBorder="1" applyAlignment="1">
      <alignment horizontal="center"/>
    </xf>
    <xf numFmtId="164" fontId="13" fillId="0" borderId="4" xfId="3" applyNumberFormat="1" applyFont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" fontId="3" fillId="5" borderId="9" xfId="0" applyNumberFormat="1" applyFont="1" applyFill="1" applyBorder="1" applyAlignment="1">
      <alignment horizontal="center" wrapText="1"/>
    </xf>
    <xf numFmtId="166" fontId="5" fillId="5" borderId="4" xfId="5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7" fillId="0" borderId="17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/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2" fontId="7" fillId="0" borderId="4" xfId="3" applyNumberFormat="1" applyFont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9" fillId="5" borderId="4" xfId="0" applyFont="1" applyFill="1" applyBorder="1"/>
    <xf numFmtId="0" fontId="9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wrapText="1"/>
    </xf>
    <xf numFmtId="1" fontId="7" fillId="0" borderId="4" xfId="3" applyNumberFormat="1" applyFont="1" applyBorder="1" applyAlignment="1">
      <alignment horizontal="center"/>
    </xf>
    <xf numFmtId="49" fontId="9" fillId="0" borderId="4" xfId="3" applyNumberFormat="1" applyFont="1" applyBorder="1"/>
    <xf numFmtId="1" fontId="10" fillId="0" borderId="4" xfId="3" applyNumberFormat="1" applyFont="1" applyBorder="1" applyAlignment="1">
      <alignment horizontal="center"/>
    </xf>
    <xf numFmtId="49" fontId="20" fillId="2" borderId="6" xfId="3" applyNumberFormat="1" applyFont="1" applyFill="1" applyBorder="1" applyAlignment="1">
      <alignment horizontal="center" vertical="center"/>
    </xf>
    <xf numFmtId="49" fontId="20" fillId="2" borderId="0" xfId="3" applyNumberFormat="1" applyFont="1" applyFill="1" applyAlignment="1">
      <alignment horizontal="center" vertical="center"/>
    </xf>
    <xf numFmtId="0" fontId="3" fillId="2" borderId="0" xfId="3" applyFont="1" applyFill="1"/>
    <xf numFmtId="1" fontId="3" fillId="2" borderId="0" xfId="3" applyNumberFormat="1" applyFont="1" applyFill="1" applyAlignment="1">
      <alignment horizontal="center"/>
    </xf>
    <xf numFmtId="165" fontId="3" fillId="2" borderId="0" xfId="3" applyNumberFormat="1" applyFont="1" applyFill="1" applyAlignment="1">
      <alignment horizontal="center" wrapText="1"/>
    </xf>
    <xf numFmtId="0" fontId="3" fillId="2" borderId="45" xfId="3" applyFont="1" applyFill="1" applyBorder="1" applyAlignment="1">
      <alignment horizontal="center"/>
    </xf>
    <xf numFmtId="0" fontId="3" fillId="4" borderId="31" xfId="3" applyFont="1" applyFill="1" applyBorder="1" applyAlignment="1">
      <alignment horizontal="center"/>
    </xf>
    <xf numFmtId="0" fontId="3" fillId="4" borderId="32" xfId="3" applyFont="1" applyFill="1" applyBorder="1" applyAlignment="1">
      <alignment horizontal="center"/>
    </xf>
    <xf numFmtId="0" fontId="3" fillId="4" borderId="32" xfId="3" applyFont="1" applyFill="1" applyBorder="1"/>
    <xf numFmtId="0" fontId="5" fillId="4" borderId="32" xfId="3" applyFont="1" applyFill="1" applyBorder="1" applyAlignment="1">
      <alignment horizontal="center"/>
    </xf>
    <xf numFmtId="1" fontId="5" fillId="4" borderId="32" xfId="3" applyNumberFormat="1" applyFont="1" applyFill="1" applyBorder="1" applyAlignment="1">
      <alignment horizontal="center"/>
    </xf>
    <xf numFmtId="165" fontId="3" fillId="4" borderId="32" xfId="3" applyNumberFormat="1" applyFont="1" applyFill="1" applyBorder="1" applyAlignment="1">
      <alignment horizontal="center" wrapText="1"/>
    </xf>
    <xf numFmtId="0" fontId="3" fillId="4" borderId="33" xfId="3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13" fillId="0" borderId="28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5" fillId="6" borderId="47" xfId="1" applyFont="1" applyFill="1" applyBorder="1" applyAlignment="1">
      <alignment horizontal="center"/>
    </xf>
    <xf numFmtId="0" fontId="5" fillId="6" borderId="42" xfId="1" applyFont="1" applyFill="1" applyBorder="1" applyAlignment="1">
      <alignment horizontal="center"/>
    </xf>
    <xf numFmtId="0" fontId="3" fillId="2" borderId="48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39" xfId="0" applyFont="1" applyBorder="1" applyAlignment="1">
      <alignment horizontal="left" wrapText="1"/>
    </xf>
    <xf numFmtId="0" fontId="3" fillId="0" borderId="35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20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46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5" fillId="0" borderId="28" xfId="3" applyFont="1" applyBorder="1" applyAlignment="1">
      <alignment horizontal="right"/>
    </xf>
    <xf numFmtId="0" fontId="5" fillId="0" borderId="16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3" fillId="0" borderId="4" xfId="3" applyFont="1" applyBorder="1" applyAlignment="1">
      <alignment horizontal="right"/>
    </xf>
    <xf numFmtId="165" fontId="3" fillId="0" borderId="15" xfId="3" applyNumberFormat="1" applyFont="1" applyBorder="1" applyAlignment="1">
      <alignment horizontal="center"/>
    </xf>
    <xf numFmtId="165" fontId="3" fillId="0" borderId="23" xfId="3" applyNumberFormat="1" applyFont="1" applyBorder="1" applyAlignment="1">
      <alignment horizontal="center"/>
    </xf>
    <xf numFmtId="165" fontId="3" fillId="0" borderId="15" xfId="3" applyNumberFormat="1" applyFont="1" applyBorder="1" applyAlignment="1">
      <alignment horizontal="right" wrapText="1"/>
    </xf>
    <xf numFmtId="165" fontId="3" fillId="0" borderId="17" xfId="3" applyNumberFormat="1" applyFont="1" applyBorder="1" applyAlignment="1">
      <alignment horizontal="right" wrapText="1"/>
    </xf>
    <xf numFmtId="165" fontId="3" fillId="0" borderId="15" xfId="0" applyNumberFormat="1" applyFont="1" applyBorder="1" applyAlignment="1">
      <alignment horizontal="center" wrapText="1"/>
    </xf>
    <xf numFmtId="165" fontId="3" fillId="0" borderId="23" xfId="0" applyNumberFormat="1" applyFont="1" applyBorder="1" applyAlignment="1">
      <alignment horizontal="center" wrapText="1"/>
    </xf>
    <xf numFmtId="0" fontId="5" fillId="0" borderId="20" xfId="3" applyFont="1" applyBorder="1" applyAlignment="1">
      <alignment horizontal="right"/>
    </xf>
    <xf numFmtId="0" fontId="5" fillId="0" borderId="40" xfId="3" applyFont="1" applyBorder="1" applyAlignment="1">
      <alignment horizontal="right"/>
    </xf>
    <xf numFmtId="0" fontId="5" fillId="0" borderId="21" xfId="3" applyFont="1" applyBorder="1" applyAlignment="1">
      <alignment horizontal="right"/>
    </xf>
    <xf numFmtId="0" fontId="3" fillId="0" borderId="21" xfId="3" applyFont="1" applyBorder="1" applyAlignment="1">
      <alignment horizontal="right"/>
    </xf>
    <xf numFmtId="0" fontId="5" fillId="4" borderId="31" xfId="3" applyFont="1" applyFill="1" applyBorder="1" applyAlignment="1">
      <alignment horizontal="left"/>
    </xf>
    <xf numFmtId="0" fontId="5" fillId="4" borderId="32" xfId="3" applyFont="1" applyFill="1" applyBorder="1" applyAlignment="1">
      <alignment horizontal="left"/>
    </xf>
    <xf numFmtId="0" fontId="5" fillId="4" borderId="33" xfId="3" applyFont="1" applyFill="1" applyBorder="1" applyAlignment="1">
      <alignment horizontal="left"/>
    </xf>
    <xf numFmtId="0" fontId="5" fillId="0" borderId="34" xfId="3" applyFont="1" applyBorder="1" applyAlignment="1">
      <alignment horizontal="right"/>
    </xf>
    <xf numFmtId="0" fontId="5" fillId="0" borderId="26" xfId="3" applyFont="1" applyBorder="1" applyAlignment="1">
      <alignment horizontal="right"/>
    </xf>
    <xf numFmtId="0" fontId="5" fillId="0" borderId="35" xfId="3" applyFont="1" applyBorder="1" applyAlignment="1">
      <alignment horizontal="right"/>
    </xf>
    <xf numFmtId="165" fontId="3" fillId="0" borderId="9" xfId="3" applyNumberFormat="1" applyFont="1" applyBorder="1" applyAlignment="1">
      <alignment horizontal="right"/>
    </xf>
    <xf numFmtId="0" fontId="3" fillId="2" borderId="36" xfId="3" applyFont="1" applyFill="1" applyBorder="1" applyAlignment="1">
      <alignment horizontal="center"/>
    </xf>
    <xf numFmtId="0" fontId="3" fillId="2" borderId="27" xfId="3" applyFont="1" applyFill="1" applyBorder="1" applyAlignment="1">
      <alignment horizontal="center"/>
    </xf>
    <xf numFmtId="0" fontId="11" fillId="2" borderId="0" xfId="6" applyFont="1" applyFill="1" applyAlignment="1">
      <alignment horizontal="right"/>
    </xf>
    <xf numFmtId="0" fontId="12" fillId="2" borderId="30" xfId="6" applyFont="1" applyFill="1" applyBorder="1" applyAlignment="1">
      <alignment horizontal="center"/>
    </xf>
    <xf numFmtId="0" fontId="11" fillId="2" borderId="0" xfId="6" applyFont="1" applyFill="1"/>
    <xf numFmtId="0" fontId="5" fillId="4" borderId="19" xfId="3" applyFont="1" applyFill="1" applyBorder="1" applyAlignment="1">
      <alignment horizontal="center" vertical="center"/>
    </xf>
    <xf numFmtId="0" fontId="5" fillId="4" borderId="20" xfId="3" applyFont="1" applyFill="1" applyBorder="1" applyAlignment="1">
      <alignment horizontal="center" vertical="center"/>
    </xf>
    <xf numFmtId="0" fontId="5" fillId="4" borderId="19" xfId="3" applyFont="1" applyFill="1" applyBorder="1" applyAlignment="1">
      <alignment horizontal="center" vertical="center" wrapText="1"/>
    </xf>
    <xf numFmtId="0" fontId="5" fillId="4" borderId="20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/>
    </xf>
    <xf numFmtId="0" fontId="5" fillId="4" borderId="21" xfId="3" applyFont="1" applyFill="1" applyBorder="1" applyAlignment="1">
      <alignment horizontal="center" vertical="center"/>
    </xf>
    <xf numFmtId="14" fontId="3" fillId="2" borderId="8" xfId="1" applyNumberFormat="1" applyFont="1" applyFill="1" applyBorder="1" applyAlignment="1">
      <alignment horizontal="center" vertical="center" wrapText="1"/>
    </xf>
    <xf numFmtId="14" fontId="3" fillId="2" borderId="14" xfId="1" applyNumberFormat="1" applyFont="1" applyFill="1" applyBorder="1" applyAlignment="1">
      <alignment horizontal="center" vertical="center" wrapText="1"/>
    </xf>
    <xf numFmtId="14" fontId="3" fillId="2" borderId="25" xfId="1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4" fillId="2" borderId="43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6" fillId="3" borderId="31" xfId="1" applyFont="1" applyFill="1" applyBorder="1" applyAlignment="1">
      <alignment horizontal="center" vertical="center" wrapText="1"/>
    </xf>
    <xf numFmtId="0" fontId="6" fillId="3" borderId="32" xfId="1" applyFont="1" applyFill="1" applyBorder="1" applyAlignment="1">
      <alignment horizontal="center" vertical="center" wrapText="1"/>
    </xf>
    <xf numFmtId="0" fontId="6" fillId="3" borderId="33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right" vertical="top" wrapText="1"/>
    </xf>
    <xf numFmtId="0" fontId="5" fillId="2" borderId="13" xfId="1" applyFont="1" applyFill="1" applyBorder="1" applyAlignment="1">
      <alignment horizontal="right" vertical="top" wrapText="1"/>
    </xf>
    <xf numFmtId="0" fontId="5" fillId="2" borderId="18" xfId="1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3" xr:uid="{49F66FBD-10D7-427A-8AB2-D6D293B6D6C4}"/>
    <cellStyle name="Normal 5" xfId="2" xr:uid="{79BA0232-8856-4D5B-A681-91C404145047}"/>
    <cellStyle name="Normal_CRITERIOS DE EVALUACION PT DE GB" xfId="1" xr:uid="{79F3700F-D084-469F-BE88-F88E104F6890}"/>
    <cellStyle name="Normal_CRITERIOS DE EVALUACION PT DE GB 2" xfId="6" xr:uid="{4B3E0E16-1862-41B0-877F-D5E8663C7A19}"/>
    <cellStyle name="Porcentaje 2 2" xfId="4" xr:uid="{69B02DD6-DE4A-4A50-9B6E-36965E617E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8E5F-1CA0-4843-8703-8F641BD05E37}">
  <dimension ref="A1:I55"/>
  <sheetViews>
    <sheetView view="pageBreakPreview" zoomScale="95" zoomScaleNormal="85" zoomScaleSheetLayoutView="95" workbookViewId="0">
      <selection activeCell="I1" sqref="I1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17.44140625" bestFit="1" customWidth="1"/>
  </cols>
  <sheetData>
    <row r="1" spans="1:9" ht="15.6" x14ac:dyDescent="0.3">
      <c r="A1" s="164"/>
      <c r="B1" s="165"/>
      <c r="C1" s="170" t="s">
        <v>0</v>
      </c>
      <c r="D1" s="170"/>
      <c r="E1" s="170"/>
      <c r="F1" s="170"/>
      <c r="G1" s="170"/>
      <c r="H1" s="1" t="s">
        <v>1</v>
      </c>
      <c r="I1" s="2" t="s">
        <v>100</v>
      </c>
    </row>
    <row r="2" spans="1:9" ht="16.2" thickBot="1" x14ac:dyDescent="0.35">
      <c r="A2" s="166"/>
      <c r="B2" s="167"/>
      <c r="C2" s="171" t="s">
        <v>2</v>
      </c>
      <c r="D2" s="172"/>
      <c r="E2" s="172"/>
      <c r="F2" s="172"/>
      <c r="G2" s="173"/>
      <c r="H2" s="3" t="s">
        <v>3</v>
      </c>
      <c r="I2" s="4" t="s">
        <v>78</v>
      </c>
    </row>
    <row r="3" spans="1:9" ht="18" thickBot="1" x14ac:dyDescent="0.35">
      <c r="A3" s="166"/>
      <c r="B3" s="167"/>
      <c r="C3" s="174" t="s">
        <v>77</v>
      </c>
      <c r="D3" s="175"/>
      <c r="E3" s="175"/>
      <c r="F3" s="175"/>
      <c r="G3" s="176"/>
      <c r="H3" s="177" t="s">
        <v>4</v>
      </c>
      <c r="I3" s="155">
        <v>45613</v>
      </c>
    </row>
    <row r="4" spans="1:9" ht="18" customHeight="1" x14ac:dyDescent="0.3">
      <c r="A4" s="166"/>
      <c r="B4" s="167"/>
      <c r="C4" s="5" t="s">
        <v>5</v>
      </c>
      <c r="D4" s="158" t="s">
        <v>79</v>
      </c>
      <c r="E4" s="159"/>
      <c r="F4" s="159"/>
      <c r="G4" s="160"/>
      <c r="H4" s="178"/>
      <c r="I4" s="156"/>
    </row>
    <row r="5" spans="1:9" ht="15" thickBot="1" x14ac:dyDescent="0.35">
      <c r="A5" s="168"/>
      <c r="B5" s="169"/>
      <c r="C5" s="6" t="s">
        <v>6</v>
      </c>
      <c r="D5" s="161" t="s">
        <v>7</v>
      </c>
      <c r="E5" s="162"/>
      <c r="F5" s="162"/>
      <c r="G5" s="163"/>
      <c r="H5" s="179"/>
      <c r="I5" s="157"/>
    </row>
    <row r="6" spans="1:9" ht="18" thickBot="1" x14ac:dyDescent="0.35">
      <c r="A6" s="146" t="s">
        <v>80</v>
      </c>
      <c r="B6" s="146"/>
      <c r="C6" s="146"/>
      <c r="D6" s="147" t="s">
        <v>24</v>
      </c>
      <c r="E6" s="147"/>
      <c r="F6" s="147"/>
      <c r="G6" s="148" t="s">
        <v>81</v>
      </c>
      <c r="H6" s="148"/>
      <c r="I6" s="21" t="s">
        <v>82</v>
      </c>
    </row>
    <row r="7" spans="1:9" ht="25.2" x14ac:dyDescent="0.3">
      <c r="A7" s="149" t="s">
        <v>8</v>
      </c>
      <c r="B7" s="151" t="s">
        <v>83</v>
      </c>
      <c r="C7" s="153" t="s">
        <v>9</v>
      </c>
      <c r="D7" s="153" t="s">
        <v>10</v>
      </c>
      <c r="E7" s="153" t="s">
        <v>11</v>
      </c>
      <c r="F7" s="153"/>
      <c r="G7" s="153" t="s">
        <v>12</v>
      </c>
      <c r="H7" s="153"/>
      <c r="I7" s="22" t="s">
        <v>13</v>
      </c>
    </row>
    <row r="8" spans="1:9" ht="27" thickBot="1" x14ac:dyDescent="0.35">
      <c r="A8" s="150"/>
      <c r="B8" s="152"/>
      <c r="C8" s="154"/>
      <c r="D8" s="154"/>
      <c r="E8" s="23" t="s">
        <v>14</v>
      </c>
      <c r="F8" s="24" t="s">
        <v>15</v>
      </c>
      <c r="G8" s="23" t="s">
        <v>14</v>
      </c>
      <c r="H8" s="24" t="s">
        <v>15</v>
      </c>
      <c r="I8" s="25" t="s">
        <v>16</v>
      </c>
    </row>
    <row r="9" spans="1:9" x14ac:dyDescent="0.3">
      <c r="A9" s="26"/>
      <c r="B9" s="27"/>
      <c r="C9" s="28" t="s">
        <v>84</v>
      </c>
      <c r="D9" s="29"/>
      <c r="E9" s="30"/>
      <c r="F9" s="31"/>
      <c r="G9" s="30"/>
      <c r="H9" s="31"/>
      <c r="I9" s="32"/>
    </row>
    <row r="10" spans="1:9" ht="15.6" x14ac:dyDescent="0.3">
      <c r="A10" s="15">
        <v>907000311</v>
      </c>
      <c r="B10" s="15" t="s">
        <v>60</v>
      </c>
      <c r="C10" s="10" t="s">
        <v>85</v>
      </c>
      <c r="D10" s="11" t="s">
        <v>19</v>
      </c>
      <c r="E10" s="33">
        <v>313</v>
      </c>
      <c r="F10" s="9" t="s">
        <v>17</v>
      </c>
      <c r="G10" s="34"/>
      <c r="H10" s="35" t="s">
        <v>86</v>
      </c>
      <c r="I10" s="32"/>
    </row>
    <row r="11" spans="1:9" ht="15.6" x14ac:dyDescent="0.3">
      <c r="A11" s="15">
        <v>910000007</v>
      </c>
      <c r="B11" s="15" t="s">
        <v>61</v>
      </c>
      <c r="C11" s="10" t="s">
        <v>18</v>
      </c>
      <c r="D11" s="11" t="s">
        <v>19</v>
      </c>
      <c r="E11" s="33">
        <v>200</v>
      </c>
      <c r="F11" s="9" t="s">
        <v>17</v>
      </c>
      <c r="G11" s="36"/>
      <c r="H11" s="35"/>
      <c r="I11" s="32"/>
    </row>
    <row r="12" spans="1:9" ht="15.6" x14ac:dyDescent="0.3">
      <c r="A12" s="15">
        <v>11400066</v>
      </c>
      <c r="B12" s="15" t="s">
        <v>62</v>
      </c>
      <c r="C12" s="10" t="s">
        <v>59</v>
      </c>
      <c r="D12" s="11" t="s">
        <v>20</v>
      </c>
      <c r="E12" s="33">
        <v>145</v>
      </c>
      <c r="F12" s="9" t="s">
        <v>17</v>
      </c>
      <c r="G12" s="37"/>
      <c r="H12" s="35" t="s">
        <v>21</v>
      </c>
      <c r="I12" s="32"/>
    </row>
    <row r="13" spans="1:9" ht="15.6" x14ac:dyDescent="0.3">
      <c r="A13" s="15">
        <v>905000031</v>
      </c>
      <c r="B13" s="15" t="s">
        <v>63</v>
      </c>
      <c r="C13" s="10" t="s">
        <v>22</v>
      </c>
      <c r="D13" s="11" t="s">
        <v>19</v>
      </c>
      <c r="E13" s="33">
        <v>130</v>
      </c>
      <c r="F13" s="38" t="s">
        <v>17</v>
      </c>
      <c r="G13" s="39"/>
      <c r="H13" s="35" t="s">
        <v>87</v>
      </c>
      <c r="I13" s="32"/>
    </row>
    <row r="14" spans="1:9" x14ac:dyDescent="0.3">
      <c r="A14" s="40">
        <v>907000015</v>
      </c>
      <c r="B14" s="40" t="s">
        <v>64</v>
      </c>
      <c r="C14" s="41" t="s">
        <v>23</v>
      </c>
      <c r="D14" s="42" t="s">
        <v>19</v>
      </c>
      <c r="E14" s="43">
        <v>25</v>
      </c>
      <c r="F14" s="44" t="s">
        <v>17</v>
      </c>
      <c r="G14" s="39"/>
      <c r="H14" s="35" t="s">
        <v>88</v>
      </c>
      <c r="I14" s="32"/>
    </row>
    <row r="15" spans="1:9" ht="15.6" x14ac:dyDescent="0.3">
      <c r="A15" s="15"/>
      <c r="B15" s="15"/>
      <c r="C15" s="10"/>
      <c r="D15" s="45"/>
      <c r="E15" s="33"/>
      <c r="F15" s="38"/>
      <c r="G15" s="39"/>
      <c r="H15" s="35"/>
      <c r="I15" s="32"/>
    </row>
    <row r="16" spans="1:9" ht="15.6" x14ac:dyDescent="0.3">
      <c r="A16" s="15"/>
      <c r="B16" s="15"/>
      <c r="C16" s="10"/>
      <c r="D16" s="45"/>
      <c r="E16" s="33"/>
      <c r="F16" s="38"/>
      <c r="G16" s="30"/>
      <c r="H16" s="35"/>
      <c r="I16" s="32"/>
    </row>
    <row r="17" spans="1:9" ht="15.6" x14ac:dyDescent="0.3">
      <c r="A17" s="46"/>
      <c r="B17" s="47"/>
      <c r="C17" s="48" t="s">
        <v>24</v>
      </c>
      <c r="D17" s="49"/>
      <c r="E17" s="36"/>
      <c r="F17" s="17"/>
      <c r="G17" s="30"/>
      <c r="H17" s="31"/>
      <c r="I17" s="32"/>
    </row>
    <row r="18" spans="1:9" x14ac:dyDescent="0.3">
      <c r="A18" s="15">
        <v>96344</v>
      </c>
      <c r="B18" s="15" t="s">
        <v>65</v>
      </c>
      <c r="C18" s="10" t="s">
        <v>25</v>
      </c>
      <c r="D18" s="50" t="s">
        <v>19</v>
      </c>
      <c r="E18" s="51">
        <v>100</v>
      </c>
      <c r="F18" s="52" t="s">
        <v>17</v>
      </c>
      <c r="G18" s="30"/>
      <c r="H18" s="31" t="s">
        <v>89</v>
      </c>
      <c r="I18" s="32"/>
    </row>
    <row r="19" spans="1:9" x14ac:dyDescent="0.3">
      <c r="A19" s="15" t="s">
        <v>26</v>
      </c>
      <c r="B19" s="15" t="s">
        <v>65</v>
      </c>
      <c r="C19" s="10" t="s">
        <v>25</v>
      </c>
      <c r="D19" s="50" t="s">
        <v>19</v>
      </c>
      <c r="E19" s="53">
        <v>36</v>
      </c>
      <c r="F19" s="52" t="s">
        <v>17</v>
      </c>
      <c r="G19" s="30"/>
      <c r="H19" s="31" t="s">
        <v>90</v>
      </c>
      <c r="I19" s="32"/>
    </row>
    <row r="20" spans="1:9" x14ac:dyDescent="0.3">
      <c r="A20" s="54">
        <v>908000032</v>
      </c>
      <c r="B20" s="16" t="s">
        <v>66</v>
      </c>
      <c r="C20" s="55" t="s">
        <v>27</v>
      </c>
      <c r="D20" s="50" t="s">
        <v>19</v>
      </c>
      <c r="E20" s="12">
        <v>3</v>
      </c>
      <c r="F20" s="52" t="s">
        <v>17</v>
      </c>
      <c r="G20" s="30"/>
      <c r="H20" s="31" t="s">
        <v>91</v>
      </c>
      <c r="I20" s="32"/>
    </row>
    <row r="21" spans="1:9" x14ac:dyDescent="0.3">
      <c r="A21" s="15">
        <v>908000048</v>
      </c>
      <c r="B21" s="15" t="s">
        <v>67</v>
      </c>
      <c r="C21" s="10" t="s">
        <v>28</v>
      </c>
      <c r="D21" s="50" t="s">
        <v>19</v>
      </c>
      <c r="E21" s="12">
        <v>55</v>
      </c>
      <c r="F21" s="52" t="s">
        <v>17</v>
      </c>
      <c r="G21" s="30"/>
      <c r="H21" s="31" t="s">
        <v>92</v>
      </c>
      <c r="I21" s="32"/>
    </row>
    <row r="22" spans="1:9" x14ac:dyDescent="0.3">
      <c r="A22" s="15" t="s">
        <v>29</v>
      </c>
      <c r="B22" s="15" t="s">
        <v>68</v>
      </c>
      <c r="C22" s="10" t="s">
        <v>30</v>
      </c>
      <c r="D22" s="50" t="s">
        <v>93</v>
      </c>
      <c r="E22" s="14">
        <v>1</v>
      </c>
      <c r="F22" s="56" t="s">
        <v>31</v>
      </c>
      <c r="G22" s="30"/>
      <c r="H22" s="31"/>
      <c r="I22" s="32"/>
    </row>
    <row r="23" spans="1:9" x14ac:dyDescent="0.3">
      <c r="A23" s="7"/>
      <c r="B23" s="7"/>
      <c r="D23" s="57"/>
      <c r="E23" s="58"/>
      <c r="F23" s="56"/>
      <c r="G23" s="30"/>
      <c r="H23" s="31"/>
      <c r="I23" s="32"/>
    </row>
    <row r="24" spans="1:9" x14ac:dyDescent="0.3">
      <c r="A24" s="15"/>
      <c r="B24" s="15"/>
      <c r="C24" s="10"/>
      <c r="D24" s="50"/>
      <c r="E24" s="14"/>
      <c r="F24" s="56"/>
      <c r="G24" s="30"/>
      <c r="H24" s="31"/>
      <c r="I24" s="32"/>
    </row>
    <row r="25" spans="1:9" x14ac:dyDescent="0.3">
      <c r="A25" s="15"/>
      <c r="B25" s="15"/>
      <c r="C25" s="10"/>
      <c r="D25" s="50"/>
      <c r="E25" s="12"/>
      <c r="F25" s="52"/>
      <c r="G25" s="30"/>
      <c r="H25" s="31"/>
      <c r="I25" s="32"/>
    </row>
    <row r="26" spans="1:9" ht="15.6" x14ac:dyDescent="0.3">
      <c r="A26" s="59"/>
      <c r="B26" s="60"/>
      <c r="C26" s="61" t="s">
        <v>32</v>
      </c>
      <c r="D26" s="62"/>
      <c r="E26" s="63"/>
      <c r="F26" s="31"/>
      <c r="G26" s="30"/>
      <c r="I26" s="32"/>
    </row>
    <row r="27" spans="1:9" x14ac:dyDescent="0.3">
      <c r="A27" s="7">
        <v>1950692</v>
      </c>
      <c r="B27" s="7" t="s">
        <v>69</v>
      </c>
      <c r="C27" t="s">
        <v>33</v>
      </c>
      <c r="D27" s="64" t="s">
        <v>34</v>
      </c>
      <c r="E27" s="65">
        <v>1</v>
      </c>
      <c r="F27" s="66" t="s">
        <v>31</v>
      </c>
      <c r="G27" s="67"/>
      <c r="H27" s="31"/>
      <c r="I27" s="32"/>
    </row>
    <row r="28" spans="1:9" x14ac:dyDescent="0.3">
      <c r="A28" s="68">
        <v>121603</v>
      </c>
      <c r="B28" s="68" t="s">
        <v>70</v>
      </c>
      <c r="C28" s="69" t="s">
        <v>35</v>
      </c>
      <c r="D28" s="70" t="s">
        <v>94</v>
      </c>
      <c r="E28" s="8">
        <v>1</v>
      </c>
      <c r="F28" s="71" t="s">
        <v>31</v>
      </c>
      <c r="G28" s="67"/>
      <c r="H28" s="31"/>
      <c r="I28" s="32"/>
    </row>
    <row r="29" spans="1:9" x14ac:dyDescent="0.3">
      <c r="A29" s="72">
        <v>702069</v>
      </c>
      <c r="B29" s="73" t="s">
        <v>75</v>
      </c>
      <c r="C29" s="74" t="s">
        <v>95</v>
      </c>
      <c r="D29" s="70" t="s">
        <v>96</v>
      </c>
      <c r="E29" s="8">
        <v>1</v>
      </c>
      <c r="F29" s="71" t="s">
        <v>31</v>
      </c>
      <c r="G29" s="67"/>
      <c r="H29" s="31"/>
      <c r="I29" s="32"/>
    </row>
    <row r="30" spans="1:9" x14ac:dyDescent="0.3">
      <c r="A30" s="68" t="s">
        <v>36</v>
      </c>
      <c r="B30" s="68" t="s">
        <v>71</v>
      </c>
      <c r="C30" s="69" t="s">
        <v>37</v>
      </c>
      <c r="D30" s="75" t="s">
        <v>97</v>
      </c>
      <c r="E30" s="76">
        <v>1</v>
      </c>
      <c r="F30" s="71" t="s">
        <v>31</v>
      </c>
      <c r="G30" s="30"/>
      <c r="H30" s="31"/>
      <c r="I30" s="32"/>
    </row>
    <row r="31" spans="1:9" x14ac:dyDescent="0.3">
      <c r="A31" s="68">
        <v>702123</v>
      </c>
      <c r="B31" s="68" t="s">
        <v>74</v>
      </c>
      <c r="C31" s="69" t="s">
        <v>38</v>
      </c>
      <c r="D31" s="8" t="s">
        <v>98</v>
      </c>
      <c r="E31" s="8">
        <v>1</v>
      </c>
      <c r="F31" s="71" t="s">
        <v>31</v>
      </c>
      <c r="G31" s="30"/>
      <c r="H31" s="31"/>
      <c r="I31" s="32"/>
    </row>
    <row r="32" spans="1:9" x14ac:dyDescent="0.3">
      <c r="A32" s="68" t="s">
        <v>39</v>
      </c>
      <c r="B32" s="68" t="s">
        <v>72</v>
      </c>
      <c r="C32" s="69" t="s">
        <v>40</v>
      </c>
      <c r="D32" s="8" t="s">
        <v>98</v>
      </c>
      <c r="E32" s="8">
        <v>1</v>
      </c>
      <c r="F32" s="71" t="s">
        <v>31</v>
      </c>
      <c r="G32" s="77"/>
      <c r="H32" s="31"/>
      <c r="I32" s="32"/>
    </row>
    <row r="33" spans="1:9" ht="15.6" x14ac:dyDescent="0.3">
      <c r="A33" s="78">
        <v>702167</v>
      </c>
      <c r="B33" s="79" t="s">
        <v>73</v>
      </c>
      <c r="C33" s="80" t="s">
        <v>41</v>
      </c>
      <c r="D33" s="81" t="s">
        <v>96</v>
      </c>
      <c r="E33" s="81">
        <v>1</v>
      </c>
      <c r="F33" s="82" t="s">
        <v>31</v>
      </c>
      <c r="G33" s="83"/>
      <c r="H33" s="31"/>
      <c r="I33" s="32"/>
    </row>
    <row r="34" spans="1:9" ht="15.6" x14ac:dyDescent="0.3">
      <c r="A34" s="46"/>
      <c r="B34" s="47"/>
      <c r="C34" s="84"/>
      <c r="D34" s="8"/>
      <c r="E34" s="83"/>
      <c r="F34" s="17"/>
      <c r="G34" s="85"/>
      <c r="H34" s="31" t="str">
        <f t="shared" ref="H34" si="0">UPPER(D34)</f>
        <v/>
      </c>
      <c r="I34" s="32"/>
    </row>
    <row r="35" spans="1:9" ht="15.6" x14ac:dyDescent="0.3">
      <c r="A35" s="46"/>
      <c r="B35" s="47"/>
      <c r="C35" s="84"/>
      <c r="D35" s="49"/>
      <c r="E35" s="49"/>
      <c r="F35" s="17"/>
      <c r="G35" s="18"/>
      <c r="H35" s="18"/>
      <c r="I35" s="32"/>
    </row>
    <row r="36" spans="1:9" ht="15" thickBot="1" x14ac:dyDescent="0.35">
      <c r="A36" s="86"/>
      <c r="B36" s="87"/>
      <c r="C36" s="88"/>
      <c r="D36" s="88"/>
      <c r="E36" s="89"/>
      <c r="F36" s="90"/>
      <c r="G36" s="88"/>
      <c r="H36" s="88"/>
      <c r="I36" s="91"/>
    </row>
    <row r="37" spans="1:9" ht="15" thickBot="1" x14ac:dyDescent="0.35">
      <c r="A37" s="92"/>
      <c r="B37" s="93"/>
      <c r="C37" s="94"/>
      <c r="D37" s="95" t="s">
        <v>14</v>
      </c>
      <c r="E37" s="96" t="s">
        <v>42</v>
      </c>
      <c r="F37" s="97"/>
      <c r="G37" s="94"/>
      <c r="H37" s="94"/>
      <c r="I37" s="98"/>
    </row>
    <row r="38" spans="1:9" x14ac:dyDescent="0.3">
      <c r="A38" s="140" t="s">
        <v>43</v>
      </c>
      <c r="B38" s="141"/>
      <c r="C38" s="142"/>
      <c r="D38" s="14">
        <v>1000</v>
      </c>
      <c r="E38" s="19" t="s">
        <v>17</v>
      </c>
      <c r="F38" s="143" t="s">
        <v>44</v>
      </c>
      <c r="G38" s="143"/>
      <c r="H38" s="144"/>
      <c r="I38" s="145"/>
    </row>
    <row r="39" spans="1:9" x14ac:dyDescent="0.3">
      <c r="A39" s="123" t="s">
        <v>45</v>
      </c>
      <c r="B39" s="124"/>
      <c r="C39" s="125"/>
      <c r="D39" s="99">
        <v>6</v>
      </c>
      <c r="E39" s="13" t="s">
        <v>46</v>
      </c>
      <c r="F39" s="126" t="s">
        <v>47</v>
      </c>
      <c r="G39" s="126"/>
      <c r="H39" s="127"/>
      <c r="I39" s="128"/>
    </row>
    <row r="40" spans="1:9" x14ac:dyDescent="0.3">
      <c r="A40" s="123" t="s">
        <v>48</v>
      </c>
      <c r="B40" s="124"/>
      <c r="C40" s="125"/>
      <c r="D40" s="13">
        <v>1</v>
      </c>
      <c r="E40" s="13" t="s">
        <v>31</v>
      </c>
      <c r="F40" s="126" t="s">
        <v>49</v>
      </c>
      <c r="G40" s="126"/>
      <c r="H40" s="127"/>
      <c r="I40" s="128"/>
    </row>
    <row r="41" spans="1:9" x14ac:dyDescent="0.3">
      <c r="A41" s="123" t="s">
        <v>50</v>
      </c>
      <c r="B41" s="124"/>
      <c r="C41" s="125"/>
      <c r="D41" s="12">
        <v>1000</v>
      </c>
      <c r="E41" s="13" t="s">
        <v>17</v>
      </c>
      <c r="F41" s="129" t="s">
        <v>51</v>
      </c>
      <c r="G41" s="130"/>
      <c r="H41" s="131"/>
      <c r="I41" s="132"/>
    </row>
    <row r="42" spans="1:9" ht="15" thickBot="1" x14ac:dyDescent="0.35">
      <c r="A42" s="133" t="s">
        <v>52</v>
      </c>
      <c r="B42" s="134"/>
      <c r="C42" s="135"/>
      <c r="D42" s="100">
        <v>23</v>
      </c>
      <c r="E42" s="20" t="s">
        <v>17</v>
      </c>
      <c r="F42" s="136"/>
      <c r="G42" s="136"/>
      <c r="H42" s="127"/>
      <c r="I42" s="128"/>
    </row>
    <row r="43" spans="1:9" ht="15" thickBot="1" x14ac:dyDescent="0.35">
      <c r="A43" s="137" t="s">
        <v>53</v>
      </c>
      <c r="B43" s="138"/>
      <c r="C43" s="138"/>
      <c r="D43" s="138"/>
      <c r="E43" s="138"/>
      <c r="F43" s="138"/>
      <c r="G43" s="138"/>
      <c r="H43" s="138"/>
      <c r="I43" s="139"/>
    </row>
    <row r="44" spans="1:9" ht="18.600000000000001" customHeight="1" x14ac:dyDescent="0.3">
      <c r="A44" s="112" t="s">
        <v>54</v>
      </c>
      <c r="B44" s="113"/>
      <c r="C44" s="114"/>
      <c r="D44" s="114"/>
      <c r="E44" s="114"/>
      <c r="F44" s="114"/>
      <c r="G44" s="114"/>
      <c r="H44" s="114"/>
      <c r="I44" s="115"/>
    </row>
    <row r="45" spans="1:9" ht="14.4" customHeight="1" x14ac:dyDescent="0.3">
      <c r="A45" s="108" t="s">
        <v>55</v>
      </c>
      <c r="B45" s="109"/>
      <c r="C45" s="110"/>
      <c r="D45" s="110"/>
      <c r="E45" s="110"/>
      <c r="F45" s="110"/>
      <c r="G45" s="110"/>
      <c r="H45" s="110"/>
      <c r="I45" s="111"/>
    </row>
    <row r="46" spans="1:9" ht="14.4" customHeight="1" x14ac:dyDescent="0.3">
      <c r="A46" s="108" t="s">
        <v>56</v>
      </c>
      <c r="B46" s="109"/>
      <c r="C46" s="110"/>
      <c r="D46" s="110"/>
      <c r="E46" s="110"/>
      <c r="F46" s="110"/>
      <c r="G46" s="110"/>
      <c r="H46" s="110"/>
      <c r="I46" s="111"/>
    </row>
    <row r="47" spans="1:9" ht="14.4" customHeight="1" x14ac:dyDescent="0.3">
      <c r="A47" s="108" t="s">
        <v>57</v>
      </c>
      <c r="B47" s="109"/>
      <c r="C47" s="110"/>
      <c r="D47" s="110"/>
      <c r="E47" s="110"/>
      <c r="F47" s="110"/>
      <c r="G47" s="110"/>
      <c r="H47" s="110"/>
      <c r="I47" s="111"/>
    </row>
    <row r="48" spans="1:9" ht="14.4" customHeight="1" x14ac:dyDescent="0.3">
      <c r="A48" s="108" t="s">
        <v>58</v>
      </c>
      <c r="B48" s="109"/>
      <c r="C48" s="110"/>
      <c r="D48" s="110"/>
      <c r="E48" s="110"/>
      <c r="F48" s="110"/>
      <c r="G48" s="110"/>
      <c r="H48" s="110"/>
      <c r="I48" s="111"/>
    </row>
    <row r="49" spans="1:9" ht="14.4" customHeight="1" x14ac:dyDescent="0.3">
      <c r="A49" s="112" t="s">
        <v>76</v>
      </c>
      <c r="B49" s="113"/>
      <c r="C49" s="114"/>
      <c r="D49" s="114"/>
      <c r="E49" s="114"/>
      <c r="F49" s="114"/>
      <c r="G49" s="114"/>
      <c r="H49" s="114"/>
      <c r="I49" s="115"/>
    </row>
    <row r="50" spans="1:9" ht="15" thickBot="1" x14ac:dyDescent="0.35">
      <c r="A50" s="116"/>
      <c r="B50" s="117"/>
      <c r="C50" s="118"/>
      <c r="D50" s="118"/>
      <c r="E50" s="118"/>
      <c r="F50" s="118"/>
      <c r="G50" s="118"/>
      <c r="H50" s="118"/>
      <c r="I50" s="119"/>
    </row>
    <row r="51" spans="1:9" ht="15" thickBot="1" x14ac:dyDescent="0.35">
      <c r="A51" s="120"/>
      <c r="B51" s="121"/>
      <c r="C51" s="121"/>
      <c r="D51" s="121"/>
      <c r="E51" s="121"/>
      <c r="F51" s="121"/>
      <c r="G51" s="121"/>
      <c r="H51" s="121"/>
      <c r="I51" s="122"/>
    </row>
    <row r="52" spans="1:9" ht="15" thickBot="1" x14ac:dyDescent="0.35">
      <c r="A52" s="101"/>
      <c r="B52" s="102"/>
      <c r="C52" s="102"/>
      <c r="D52" s="102"/>
      <c r="E52" s="102"/>
      <c r="F52" s="102"/>
      <c r="G52" s="102"/>
      <c r="H52" s="102"/>
      <c r="I52" s="103"/>
    </row>
    <row r="53" spans="1:9" x14ac:dyDescent="0.3">
      <c r="A53" s="104" t="s">
        <v>99</v>
      </c>
      <c r="B53" s="105"/>
      <c r="C53" s="105"/>
      <c r="D53" s="105"/>
      <c r="E53" s="105"/>
      <c r="F53" s="105"/>
      <c r="G53" s="105"/>
      <c r="H53" s="105"/>
      <c r="I53" s="105"/>
    </row>
    <row r="54" spans="1:9" x14ac:dyDescent="0.3">
      <c r="A54" s="106"/>
      <c r="B54" s="107"/>
      <c r="C54" s="107"/>
      <c r="D54" s="107"/>
      <c r="E54" s="107"/>
      <c r="F54" s="107"/>
      <c r="G54" s="107"/>
      <c r="H54" s="107"/>
      <c r="I54" s="107"/>
    </row>
    <row r="55" spans="1:9" x14ac:dyDescent="0.3">
      <c r="A55" s="106"/>
      <c r="B55" s="107"/>
      <c r="C55" s="107"/>
      <c r="D55" s="107"/>
      <c r="E55" s="107"/>
      <c r="F55" s="107"/>
      <c r="G55" s="107"/>
      <c r="H55" s="107"/>
      <c r="I55" s="10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C5D5-A497-4914-BB34-258DAA6453B0}">
  <dimension ref="A1:D5"/>
  <sheetViews>
    <sheetView tabSelected="1" workbookViewId="0">
      <selection activeCell="D8" sqref="D8"/>
    </sheetView>
  </sheetViews>
  <sheetFormatPr baseColWidth="10" defaultRowHeight="14.4" x14ac:dyDescent="0.3"/>
  <cols>
    <col min="1" max="1" width="14.109375" bestFit="1" customWidth="1"/>
    <col min="4" max="4" width="45.6640625" bestFit="1" customWidth="1"/>
  </cols>
  <sheetData>
    <row r="1" spans="1:4" x14ac:dyDescent="0.3">
      <c r="A1" t="str">
        <f>Hoja1!I1</f>
        <v>ESP-RE-DES-001</v>
      </c>
      <c r="B1" t="str">
        <f>Hoja1!C9</f>
        <v>Ensamble</v>
      </c>
      <c r="C1" t="str">
        <f>Hoja1!B10</f>
        <v>SE00462</v>
      </c>
      <c r="D1" t="str">
        <f>+Hoja1!C10</f>
        <v>ROSQUETE NUCLEO VAINILLA DAWN REDONDO 360G</v>
      </c>
    </row>
    <row r="2" spans="1:4" x14ac:dyDescent="0.3">
      <c r="A2" t="str">
        <f>+A1</f>
        <v>ESP-RE-DES-001</v>
      </c>
      <c r="B2" t="str">
        <f>+B1</f>
        <v>Ensamble</v>
      </c>
      <c r="C2" t="str">
        <f>Hoja1!B11</f>
        <v>SE00084</v>
      </c>
      <c r="D2" t="str">
        <f>+Hoja1!C11</f>
        <v>MEZCLA TRES LECHES C/BAILEYS LITRO</v>
      </c>
    </row>
    <row r="3" spans="1:4" x14ac:dyDescent="0.3">
      <c r="A3" t="str">
        <f t="shared" ref="A3:A5" si="0">+A2</f>
        <v>ESP-RE-DES-001</v>
      </c>
      <c r="B3" t="str">
        <f t="shared" ref="B3:B5" si="1">+B2</f>
        <v>Ensamble</v>
      </c>
      <c r="C3" t="str">
        <f>Hoja1!B12</f>
        <v>MP10007</v>
      </c>
      <c r="D3" t="str">
        <f>+Hoja1!C12</f>
        <v>MANJAR LECHE CONDENSADA (PAQ:6 K)</v>
      </c>
    </row>
    <row r="4" spans="1:4" x14ac:dyDescent="0.3">
      <c r="A4" t="str">
        <f t="shared" si="0"/>
        <v>ESP-RE-DES-001</v>
      </c>
      <c r="B4" t="str">
        <f t="shared" si="1"/>
        <v>Ensamble</v>
      </c>
      <c r="C4" t="str">
        <f>Hoja1!B13</f>
        <v>SE00085</v>
      </c>
      <c r="D4" t="str">
        <f>+Hoja1!C13</f>
        <v>RELLENO CREMA MOKA C/BAILEYS (KILO)</v>
      </c>
    </row>
    <row r="5" spans="1:4" x14ac:dyDescent="0.3">
      <c r="A5" t="str">
        <f t="shared" si="0"/>
        <v>ESP-RE-DES-001</v>
      </c>
      <c r="B5" t="str">
        <f t="shared" si="1"/>
        <v>Ensamble</v>
      </c>
      <c r="C5" t="str">
        <f>Hoja1!B14</f>
        <v>SE00086</v>
      </c>
      <c r="D5" t="str">
        <f>+Hoja1!C14</f>
        <v>MEZCLA CHOCOLATE BLANCO C/PECANA (KILO)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5C32CC8-4EF0-40BC-80A4-CBCD6CAA27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C03D37-507C-4E5D-9E84-40AE5E9800F2}"/>
</file>

<file path=customXml/itemProps3.xml><?xml version="1.0" encoding="utf-8"?>
<ds:datastoreItem xmlns:ds="http://schemas.openxmlformats.org/officeDocument/2006/customXml" ds:itemID="{3FC053C2-BE04-4271-BF16-F0B9BB46F0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Valery Cerdas</cp:lastModifiedBy>
  <cp:revision/>
  <cp:lastPrinted>2025-03-25T22:18:34Z</cp:lastPrinted>
  <dcterms:created xsi:type="dcterms:W3CDTF">2022-10-17T22:08:11Z</dcterms:created>
  <dcterms:modified xsi:type="dcterms:W3CDTF">2025-08-04T22:46:52Z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201400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
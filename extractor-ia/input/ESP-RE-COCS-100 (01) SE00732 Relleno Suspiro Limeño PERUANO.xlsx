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6" documentId="8_{706F0247-85A4-4513-8090-EC4916B8D029}" xr6:coauthVersionLast="47" xr6:coauthVersionMax="47" xr10:uidLastSave="{7AAA5F5D-51CC-438A-B070-13345DA59794}"/>
  <bookViews>
    <workbookView xWindow="-120" yWindow="-120" windowWidth="20730" windowHeight="11040" xr2:uid="{A053817B-0EDC-4FEA-8683-418DA5F9072F}"/>
  </bookViews>
  <sheets>
    <sheet name="Relleno suspiro Limeño Peruano" sheetId="2" r:id="rId1"/>
  </sheets>
  <definedNames>
    <definedName name="_xlnm.Print_Area" localSheetId="0">'Relleno suspiro Limeño Peruano'!$A$1:$I$44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2" l="1"/>
  <c r="D29" i="2"/>
</calcChain>
</file>

<file path=xl/sharedStrings.xml><?xml version="1.0" encoding="utf-8"?>
<sst xmlns="http://schemas.openxmlformats.org/spreadsheetml/2006/main" count="88" uniqueCount="72">
  <si>
    <t>CONTROL DE CAMBIOS</t>
  </si>
  <si>
    <t>PROCEDIMIENTO DE PREPARACION DE LA  RECETA</t>
  </si>
  <si>
    <t>g</t>
  </si>
  <si>
    <t>MERMA</t>
  </si>
  <si>
    <t>PESO DE CADA PORCIÓN</t>
  </si>
  <si>
    <t>Und.</t>
  </si>
  <si>
    <t>CANTIDAD DE PORCIONES OBTENIDAS</t>
  </si>
  <si>
    <t>Horno:</t>
  </si>
  <si>
    <t>Min.</t>
  </si>
  <si>
    <t>TIEMPO TOTAL DE PREPARACION</t>
  </si>
  <si>
    <t>PESO TOTAL OBTENIDO</t>
  </si>
  <si>
    <t>Unidad</t>
  </si>
  <si>
    <t>Cantidad</t>
  </si>
  <si>
    <t>PRESERVANTE 1017S (PAQ=5 KILO)</t>
  </si>
  <si>
    <t>1212412</t>
  </si>
  <si>
    <t>GLUCOSA</t>
  </si>
  <si>
    <t>0510143</t>
  </si>
  <si>
    <t>YEMA DE HUEVO PASTEURIZADA (CAJA:2 Kg)</t>
  </si>
  <si>
    <t>1210443</t>
  </si>
  <si>
    <t>LECHE CONDENSADA (PAQ:11 K)</t>
  </si>
  <si>
    <t>11400046</t>
  </si>
  <si>
    <t>LECHE EVAPORADA (UND: 1 L)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</si>
  <si>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</si>
  <si>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</si>
  <si>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</si>
  <si>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</si>
  <si>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</si>
  <si>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</si>
  <si>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</si>
  <si>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</si>
  <si>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</si>
  <si>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</si>
  <si>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</si>
  <si>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</si>
  <si>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</si>
  <si>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</si>
  <si>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3,- Apagar el fuego sin parar la agitacción y  temperar las yemas agregandoles una parte de la mezcla caliente. Agregar la yema temperada a la marmita, mezclar para evitar que las yemas se cocinen. </t>
  </si>
  <si>
    <t># Código Netsuite</t>
  </si>
  <si>
    <t>MP10024</t>
  </si>
  <si>
    <t>MP10050</t>
  </si>
  <si>
    <t>MP10037</t>
  </si>
  <si>
    <t>MP10556</t>
  </si>
  <si>
    <t>MP10025</t>
  </si>
  <si>
    <t>Javier Tong, Chef</t>
  </si>
  <si>
    <t>Esteban Cartin, Gte Manufactura</t>
  </si>
  <si>
    <t>Cocina</t>
  </si>
  <si>
    <t>Empaque</t>
  </si>
  <si>
    <t>Medida alternativa</t>
  </si>
  <si>
    <t xml:space="preserve">Costo - Referencia </t>
  </si>
  <si>
    <t>Colones</t>
  </si>
  <si>
    <t>Ensamble</t>
  </si>
  <si>
    <t>NESTLE</t>
  </si>
  <si>
    <t>INNOVO</t>
  </si>
  <si>
    <t>NUEVO</t>
  </si>
  <si>
    <t>MAYCA</t>
  </si>
  <si>
    <t>Decoración</t>
  </si>
  <si>
    <t/>
  </si>
  <si>
    <t>Tiempo de Horneo:</t>
  </si>
  <si>
    <t>Temperatura de Horneo:</t>
  </si>
  <si>
    <t>Otros</t>
  </si>
  <si>
    <t>1.- Colocar en la marmita la leche condensada y la evaporada disolver el preservante y cocinar por 45 minutos a una temperatura de 140 agitacion de un solo sentido con 50 RPM.</t>
  </si>
  <si>
    <t>2,- Una vez pasados los 45 minutos, agregar la glucosa</t>
  </si>
  <si>
    <t>EM10307</t>
  </si>
  <si>
    <t>Bolsa Marmita 14x20 Planta</t>
  </si>
  <si>
    <t>ud</t>
  </si>
  <si>
    <t xml:space="preserve">4.- Sacar automaticamente de la marmita a bolsas termicas, en 5 kg por bolsa. </t>
  </si>
  <si>
    <t xml:space="preserve">5.- Etiquetar las bolsas y enfriar. </t>
  </si>
  <si>
    <t>EM10011</t>
  </si>
  <si>
    <t>Etiqueta Blanca 2 5/8X1 15/16</t>
  </si>
  <si>
    <t>SE00732 Relleno Suspiro Limeño PERUANO</t>
  </si>
  <si>
    <t>ESP-RE-COCS-100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</si>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</sst>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1"/>
      <name val="Century Gothic"/>
      <family val="2"/>
    </font>
    <font>
      <sz val="11"/>
      <color theme="1"/>
      <name val="Century Gothic"/>
      <family val="2"/>
    </font>
    <font>
      <sz val="11"/>
      <color indexed="8"/>
      <name val="Century Gothic"/>
      <family val="2"/>
    </font>
    <font>
      <b/>
      <sz val="1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0" fontId="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0">
    <xf numFmtId="0" fontId="0" fillId="0" borderId="0" xfId="0"/>
    <xf numFmtId="0" fontId="2" fillId="2" borderId="19" xfId="2" applyFont="1" applyFill="1" applyBorder="1" applyAlignment="1">
      <alignment horizontal="right"/>
    </xf>
    <xf numFmtId="0" fontId="2" fillId="2" borderId="8" xfId="2" applyFont="1" applyFill="1" applyBorder="1" applyAlignment="1">
      <alignment horizontal="right"/>
    </xf>
    <xf numFmtId="0" fontId="4" fillId="2" borderId="19" xfId="2" applyFont="1" applyFill="1" applyBorder="1" applyAlignment="1">
      <alignment horizontal="right"/>
    </xf>
    <xf numFmtId="0" fontId="4" fillId="2" borderId="30" xfId="2" applyFont="1" applyFill="1" applyBorder="1" applyAlignment="1">
      <alignment horizontal="right"/>
    </xf>
    <xf numFmtId="0" fontId="3" fillId="2" borderId="29" xfId="2" applyFont="1" applyFill="1" applyBorder="1" applyAlignment="1">
      <alignment horizontal="center"/>
    </xf>
    <xf numFmtId="49" fontId="2" fillId="2" borderId="27" xfId="2" applyNumberFormat="1" applyFont="1" applyFill="1" applyBorder="1" applyAlignment="1">
      <alignment horizontal="center"/>
    </xf>
    <xf numFmtId="14" fontId="9" fillId="2" borderId="0" xfId="2" applyNumberFormat="1" applyFont="1" applyFill="1" applyAlignment="1">
      <alignment horizontal="center" vertical="center" wrapText="1"/>
    </xf>
    <xf numFmtId="0" fontId="4" fillId="3" borderId="29" xfId="1" applyFont="1" applyFill="1" applyBorder="1" applyAlignment="1">
      <alignment horizontal="center" vertical="center" wrapText="1"/>
    </xf>
    <xf numFmtId="1" fontId="4" fillId="3" borderId="16" xfId="1" applyNumberFormat="1" applyFont="1" applyFill="1" applyBorder="1" applyAlignment="1">
      <alignment horizontal="center"/>
    </xf>
    <xf numFmtId="1" fontId="4" fillId="3" borderId="16" xfId="1" applyNumberFormat="1" applyFont="1" applyFill="1" applyBorder="1" applyAlignment="1">
      <alignment horizontal="center" wrapText="1"/>
    </xf>
    <xf numFmtId="0" fontId="4" fillId="3" borderId="26" xfId="1" applyFont="1" applyFill="1" applyBorder="1" applyAlignment="1">
      <alignment horizontal="center"/>
    </xf>
    <xf numFmtId="0" fontId="10" fillId="0" borderId="28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1" fillId="0" borderId="19" xfId="1" applyFont="1" applyBorder="1" applyAlignment="1">
      <alignment vertical="center"/>
    </xf>
    <xf numFmtId="0" fontId="10" fillId="0" borderId="19" xfId="1" applyFont="1" applyBorder="1" applyAlignment="1">
      <alignment horizontal="center" vertical="center"/>
    </xf>
    <xf numFmtId="1" fontId="10" fillId="0" borderId="19" xfId="1" applyNumberFormat="1" applyFont="1" applyBorder="1" applyAlignment="1">
      <alignment horizontal="center"/>
    </xf>
    <xf numFmtId="1" fontId="10" fillId="0" borderId="19" xfId="1" applyNumberFormat="1" applyFont="1" applyBorder="1" applyAlignment="1">
      <alignment horizontal="center" wrapText="1"/>
    </xf>
    <xf numFmtId="0" fontId="12" fillId="0" borderId="27" xfId="1" applyFont="1" applyBorder="1" applyAlignment="1">
      <alignment horizontal="center"/>
    </xf>
    <xf numFmtId="1" fontId="12" fillId="0" borderId="19" xfId="1" applyNumberFormat="1" applyFont="1" applyBorder="1" applyAlignment="1">
      <alignment horizontal="center"/>
    </xf>
    <xf numFmtId="1" fontId="12" fillId="0" borderId="19" xfId="1" applyNumberFormat="1" applyFont="1" applyBorder="1" applyAlignment="1">
      <alignment horizontal="center" wrapText="1"/>
    </xf>
    <xf numFmtId="49" fontId="12" fillId="0" borderId="28" xfId="1" applyNumberFormat="1" applyFont="1" applyBorder="1" applyAlignment="1">
      <alignment horizontal="center"/>
    </xf>
    <xf numFmtId="49" fontId="12" fillId="0" borderId="20" xfId="1" applyNumberFormat="1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166" fontId="12" fillId="0" borderId="19" xfId="1" applyNumberFormat="1" applyFont="1" applyBorder="1" applyAlignment="1">
      <alignment horizontal="center"/>
    </xf>
    <xf numFmtId="16" fontId="12" fillId="0" borderId="19" xfId="6" applyNumberFormat="1" applyFont="1" applyBorder="1" applyAlignment="1">
      <alignment horizontal="center"/>
    </xf>
    <xf numFmtId="16" fontId="12" fillId="0" borderId="19" xfId="0" applyNumberFormat="1" applyFont="1" applyBorder="1" applyAlignment="1">
      <alignment horizontal="center"/>
    </xf>
    <xf numFmtId="1" fontId="12" fillId="0" borderId="19" xfId="6" applyNumberFormat="1" applyFont="1" applyBorder="1" applyAlignment="1">
      <alignment horizontal="center"/>
    </xf>
    <xf numFmtId="1" fontId="12" fillId="0" borderId="19" xfId="6" applyNumberFormat="1" applyFont="1" applyBorder="1" applyAlignment="1">
      <alignment horizontal="center" wrapText="1"/>
    </xf>
    <xf numFmtId="49" fontId="10" fillId="0" borderId="6" xfId="1" applyNumberFormat="1" applyFont="1" applyBorder="1" applyAlignment="1">
      <alignment horizontal="center"/>
    </xf>
    <xf numFmtId="49" fontId="10" fillId="0" borderId="5" xfId="1" applyNumberFormat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2" fontId="12" fillId="0" borderId="19" xfId="1" applyNumberFormat="1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0" fontId="15" fillId="0" borderId="19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/>
    </xf>
    <xf numFmtId="0" fontId="15" fillId="0" borderId="19" xfId="0" applyFont="1" applyBorder="1" applyAlignment="1">
      <alignment horizontal="left" vertical="top" wrapText="1"/>
    </xf>
    <xf numFmtId="16" fontId="15" fillId="0" borderId="30" xfId="1" applyNumberFormat="1" applyFont="1" applyBorder="1" applyAlignment="1">
      <alignment horizontal="center"/>
    </xf>
    <xf numFmtId="0" fontId="15" fillId="4" borderId="30" xfId="1" applyFont="1" applyFill="1" applyBorder="1" applyAlignment="1">
      <alignment horizontal="center"/>
    </xf>
    <xf numFmtId="0" fontId="15" fillId="0" borderId="30" xfId="1" applyFont="1" applyBorder="1" applyAlignment="1">
      <alignment horizontal="center"/>
    </xf>
    <xf numFmtId="0" fontId="1" fillId="0" borderId="19" xfId="3" applyBorder="1" applyAlignment="1">
      <alignment horizontal="center"/>
    </xf>
    <xf numFmtId="0" fontId="15" fillId="0" borderId="19" xfId="1" applyFont="1" applyBorder="1" applyAlignment="1">
      <alignment horizontal="center"/>
    </xf>
    <xf numFmtId="165" fontId="14" fillId="0" borderId="8" xfId="0" applyNumberFormat="1" applyFont="1" applyBorder="1" applyAlignment="1">
      <alignment horizontal="center" wrapText="1"/>
    </xf>
    <xf numFmtId="0" fontId="1" fillId="0" borderId="19" xfId="0" applyFont="1" applyBorder="1" applyAlignment="1">
      <alignment horizontal="left"/>
    </xf>
    <xf numFmtId="0" fontId="10" fillId="4" borderId="19" xfId="1" applyFont="1" applyFill="1" applyBorder="1" applyAlignment="1">
      <alignment horizontal="left"/>
    </xf>
    <xf numFmtId="0" fontId="14" fillId="0" borderId="8" xfId="1" applyFont="1" applyBorder="1" applyAlignment="1">
      <alignment horizontal="center"/>
    </xf>
    <xf numFmtId="0" fontId="14" fillId="0" borderId="28" xfId="6" applyFont="1" applyBorder="1" applyAlignment="1">
      <alignment horizontal="center"/>
    </xf>
    <xf numFmtId="0" fontId="14" fillId="0" borderId="19" xfId="1" applyFont="1" applyBorder="1" applyAlignment="1">
      <alignment horizontal="center"/>
    </xf>
    <xf numFmtId="0" fontId="14" fillId="4" borderId="19" xfId="6" applyFont="1" applyFill="1" applyBorder="1"/>
    <xf numFmtId="0" fontId="1" fillId="4" borderId="19" xfId="0" applyFont="1" applyFill="1" applyBorder="1"/>
    <xf numFmtId="0" fontId="11" fillId="4" borderId="19" xfId="1" applyFont="1" applyFill="1" applyBorder="1" applyAlignment="1">
      <alignment vertical="center"/>
    </xf>
    <xf numFmtId="0" fontId="14" fillId="4" borderId="28" xfId="1" applyFont="1" applyFill="1" applyBorder="1"/>
    <xf numFmtId="0" fontId="1" fillId="0" borderId="0" xfId="0" applyFont="1"/>
    <xf numFmtId="0" fontId="14" fillId="4" borderId="19" xfId="1" applyFont="1" applyFill="1" applyBorder="1" applyAlignment="1">
      <alignment horizontal="center"/>
    </xf>
    <xf numFmtId="0" fontId="16" fillId="4" borderId="28" xfId="1" applyFont="1" applyFill="1" applyBorder="1" applyAlignment="1">
      <alignment horizontal="center"/>
    </xf>
    <xf numFmtId="0" fontId="15" fillId="0" borderId="19" xfId="1" applyFont="1" applyBorder="1" applyAlignment="1">
      <alignment horizontal="center" vertical="center"/>
    </xf>
    <xf numFmtId="1" fontId="15" fillId="0" borderId="19" xfId="1" applyNumberFormat="1" applyFont="1" applyBorder="1" applyAlignment="1">
      <alignment horizontal="center" vertical="center"/>
    </xf>
    <xf numFmtId="1" fontId="15" fillId="0" borderId="19" xfId="1" applyNumberFormat="1" applyFont="1" applyBorder="1" applyAlignment="1">
      <alignment horizontal="center" vertical="center" wrapText="1"/>
    </xf>
    <xf numFmtId="49" fontId="12" fillId="0" borderId="19" xfId="1" applyNumberFormat="1" applyFont="1" applyBorder="1"/>
    <xf numFmtId="49" fontId="17" fillId="2" borderId="43" xfId="1" applyNumberFormat="1" applyFont="1" applyFill="1" applyBorder="1" applyAlignment="1">
      <alignment horizontal="center" vertical="center"/>
    </xf>
    <xf numFmtId="49" fontId="17" fillId="2" borderId="0" xfId="1" applyNumberFormat="1" applyFont="1" applyFill="1" applyAlignment="1">
      <alignment horizontal="center" vertical="center"/>
    </xf>
    <xf numFmtId="0" fontId="15" fillId="2" borderId="0" xfId="1" applyFont="1" applyFill="1"/>
    <xf numFmtId="1" fontId="15" fillId="2" borderId="0" xfId="1" applyNumberFormat="1" applyFont="1" applyFill="1" applyAlignment="1">
      <alignment horizontal="center"/>
    </xf>
    <xf numFmtId="164" fontId="15" fillId="2" borderId="0" xfId="1" applyNumberFormat="1" applyFont="1" applyFill="1" applyAlignment="1">
      <alignment horizontal="center" wrapText="1"/>
    </xf>
    <xf numFmtId="0" fontId="15" fillId="2" borderId="48" xfId="1" applyFont="1" applyFill="1" applyBorder="1" applyAlignment="1">
      <alignment horizontal="center"/>
    </xf>
    <xf numFmtId="0" fontId="15" fillId="3" borderId="14" xfId="1" applyFont="1" applyFill="1" applyBorder="1" applyAlignment="1">
      <alignment horizontal="center"/>
    </xf>
    <xf numFmtId="0" fontId="15" fillId="3" borderId="13" xfId="1" applyFont="1" applyFill="1" applyBorder="1" applyAlignment="1">
      <alignment horizontal="center"/>
    </xf>
    <xf numFmtId="0" fontId="15" fillId="3" borderId="13" xfId="1" applyFont="1" applyFill="1" applyBorder="1"/>
    <xf numFmtId="0" fontId="18" fillId="3" borderId="13" xfId="1" applyFont="1" applyFill="1" applyBorder="1" applyAlignment="1">
      <alignment horizontal="center"/>
    </xf>
    <xf numFmtId="1" fontId="18" fillId="3" borderId="13" xfId="1" applyNumberFormat="1" applyFont="1" applyFill="1" applyBorder="1" applyAlignment="1">
      <alignment horizontal="center"/>
    </xf>
    <xf numFmtId="164" fontId="15" fillId="3" borderId="13" xfId="1" applyNumberFormat="1" applyFont="1" applyFill="1" applyBorder="1" applyAlignment="1">
      <alignment horizontal="center" wrapText="1"/>
    </xf>
    <xf numFmtId="0" fontId="15" fillId="3" borderId="12" xfId="1" applyFont="1" applyFill="1" applyBorder="1" applyAlignment="1">
      <alignment horizontal="center"/>
    </xf>
    <xf numFmtId="1" fontId="14" fillId="0" borderId="8" xfId="0" applyNumberFormat="1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1" fontId="14" fillId="0" borderId="16" xfId="0" applyNumberFormat="1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25" xfId="1" applyFont="1" applyBorder="1" applyAlignment="1">
      <alignment horizontal="left"/>
    </xf>
    <xf numFmtId="0" fontId="14" fillId="0" borderId="24" xfId="1" applyFont="1" applyBorder="1" applyAlignment="1">
      <alignment horizontal="left"/>
    </xf>
    <xf numFmtId="0" fontId="14" fillId="0" borderId="23" xfId="1" applyFont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8" fillId="6" borderId="49" xfId="2" applyFont="1" applyFill="1" applyBorder="1" applyAlignment="1">
      <alignment horizontal="center"/>
    </xf>
    <xf numFmtId="0" fontId="18" fillId="6" borderId="46" xfId="2" applyFont="1" applyFill="1" applyBorder="1" applyAlignment="1">
      <alignment horizontal="center"/>
    </xf>
    <xf numFmtId="0" fontId="15" fillId="2" borderId="50" xfId="2" applyFont="1" applyFill="1" applyBorder="1" applyAlignment="1">
      <alignment horizontal="left"/>
    </xf>
    <xf numFmtId="0" fontId="15" fillId="2" borderId="0" xfId="2" applyFont="1" applyFill="1" applyAlignment="1">
      <alignment horizontal="left"/>
    </xf>
    <xf numFmtId="0" fontId="2" fillId="2" borderId="50" xfId="2" applyFont="1" applyFill="1" applyBorder="1" applyAlignment="1">
      <alignment horizontal="left"/>
    </xf>
    <xf numFmtId="0" fontId="2" fillId="2" borderId="0" xfId="2" applyFont="1" applyFill="1" applyAlignment="1">
      <alignment horizontal="left"/>
    </xf>
    <xf numFmtId="0" fontId="14" fillId="0" borderId="11" xfId="1" applyFont="1" applyBorder="1" applyAlignment="1">
      <alignment horizontal="left"/>
    </xf>
    <xf numFmtId="0" fontId="14" fillId="0" borderId="10" xfId="1" applyFont="1" applyBorder="1" applyAlignment="1">
      <alignment horizontal="left"/>
    </xf>
    <xf numFmtId="0" fontId="14" fillId="0" borderId="9" xfId="1" applyFont="1" applyBorder="1" applyAlignment="1">
      <alignment horizontal="left"/>
    </xf>
    <xf numFmtId="0" fontId="18" fillId="0" borderId="17" xfId="1" applyFont="1" applyBorder="1" applyAlignment="1">
      <alignment horizontal="right"/>
    </xf>
    <xf numFmtId="0" fontId="18" fillId="0" borderId="44" xfId="1" applyFont="1" applyBorder="1" applyAlignment="1">
      <alignment horizontal="right"/>
    </xf>
    <xf numFmtId="0" fontId="18" fillId="0" borderId="16" xfId="1" applyFont="1" applyBorder="1" applyAlignment="1">
      <alignment horizontal="right"/>
    </xf>
    <xf numFmtId="0" fontId="15" fillId="0" borderId="16" xfId="1" applyFont="1" applyBorder="1" applyAlignment="1">
      <alignment horizontal="right"/>
    </xf>
    <xf numFmtId="164" fontId="15" fillId="0" borderId="15" xfId="1" applyNumberFormat="1" applyFont="1" applyBorder="1" applyAlignment="1">
      <alignment horizontal="center"/>
    </xf>
    <xf numFmtId="164" fontId="15" fillId="0" borderId="1" xfId="1" applyNumberFormat="1" applyFont="1" applyBorder="1" applyAlignment="1">
      <alignment horizontal="center"/>
    </xf>
    <xf numFmtId="0" fontId="18" fillId="3" borderId="14" xfId="1" applyFont="1" applyFill="1" applyBorder="1" applyAlignment="1">
      <alignment horizontal="left"/>
    </xf>
    <xf numFmtId="0" fontId="18" fillId="3" borderId="13" xfId="1" applyFont="1" applyFill="1" applyBorder="1" applyAlignment="1">
      <alignment horizontal="left"/>
    </xf>
    <xf numFmtId="0" fontId="18" fillId="3" borderId="12" xfId="1" applyFont="1" applyFill="1" applyBorder="1" applyAlignment="1">
      <alignment horizontal="left"/>
    </xf>
    <xf numFmtId="0" fontId="15" fillId="0" borderId="11" xfId="1" applyFont="1" applyBorder="1" applyAlignment="1">
      <alignment horizontal="left" wrapText="1"/>
    </xf>
    <xf numFmtId="0" fontId="15" fillId="0" borderId="10" xfId="1" applyFont="1" applyBorder="1" applyAlignment="1">
      <alignment horizontal="left" wrapText="1"/>
    </xf>
    <xf numFmtId="0" fontId="15" fillId="0" borderId="9" xfId="1" applyFont="1" applyBorder="1" applyAlignment="1">
      <alignment horizontal="left" wrapText="1"/>
    </xf>
    <xf numFmtId="0" fontId="15" fillId="0" borderId="6" xfId="1" applyFont="1" applyBorder="1" applyAlignment="1">
      <alignment horizontal="left" wrapText="1"/>
    </xf>
    <xf numFmtId="0" fontId="15" fillId="0" borderId="5" xfId="1" applyFont="1" applyBorder="1" applyAlignment="1">
      <alignment horizontal="left" wrapText="1"/>
    </xf>
    <xf numFmtId="0" fontId="15" fillId="0" borderId="4" xfId="1" applyFont="1" applyBorder="1" applyAlignment="1">
      <alignment horizontal="left" wrapText="1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3" fillId="0" borderId="6" xfId="1" applyFont="1" applyBorder="1" applyAlignment="1">
      <alignment horizontal="left" wrapText="1"/>
    </xf>
    <xf numFmtId="0" fontId="13" fillId="0" borderId="5" xfId="1" applyFont="1" applyBorder="1" applyAlignment="1">
      <alignment horizontal="left" wrapText="1"/>
    </xf>
    <xf numFmtId="0" fontId="13" fillId="0" borderId="4" xfId="1" applyFont="1" applyBorder="1" applyAlignment="1">
      <alignment horizontal="left" wrapText="1"/>
    </xf>
    <xf numFmtId="0" fontId="18" fillId="0" borderId="6" xfId="1" applyFont="1" applyBorder="1" applyAlignment="1">
      <alignment horizontal="right"/>
    </xf>
    <xf numFmtId="0" fontId="18" fillId="0" borderId="5" xfId="1" applyFont="1" applyBorder="1" applyAlignment="1">
      <alignment horizontal="right"/>
    </xf>
    <xf numFmtId="0" fontId="18" fillId="0" borderId="20" xfId="1" applyFont="1" applyBorder="1" applyAlignment="1">
      <alignment horizontal="right"/>
    </xf>
    <xf numFmtId="0" fontId="15" fillId="0" borderId="19" xfId="1" applyFont="1" applyBorder="1" applyAlignment="1">
      <alignment horizontal="right"/>
    </xf>
    <xf numFmtId="164" fontId="15" fillId="0" borderId="18" xfId="1" applyNumberFormat="1" applyFont="1" applyBorder="1" applyAlignment="1">
      <alignment horizontal="center"/>
    </xf>
    <xf numFmtId="164" fontId="15" fillId="0" borderId="4" xfId="1" applyNumberFormat="1" applyFont="1" applyBorder="1" applyAlignment="1">
      <alignment horizontal="center"/>
    </xf>
    <xf numFmtId="164" fontId="15" fillId="0" borderId="18" xfId="1" applyNumberFormat="1" applyFont="1" applyBorder="1" applyAlignment="1">
      <alignment horizontal="right" wrapText="1"/>
    </xf>
    <xf numFmtId="164" fontId="15" fillId="0" borderId="20" xfId="1" applyNumberFormat="1" applyFont="1" applyBorder="1" applyAlignment="1">
      <alignment horizontal="right" wrapText="1"/>
    </xf>
    <xf numFmtId="0" fontId="18" fillId="0" borderId="11" xfId="1" applyFont="1" applyBorder="1" applyAlignment="1">
      <alignment horizontal="right"/>
    </xf>
    <xf numFmtId="0" fontId="18" fillId="0" borderId="10" xfId="1" applyFont="1" applyBorder="1" applyAlignment="1">
      <alignment horizontal="right"/>
    </xf>
    <xf numFmtId="0" fontId="18" fillId="0" borderId="22" xfId="1" applyFont="1" applyBorder="1" applyAlignment="1">
      <alignment horizontal="right"/>
    </xf>
    <xf numFmtId="164" fontId="15" fillId="0" borderId="8" xfId="1" applyNumberFormat="1" applyFont="1" applyBorder="1" applyAlignment="1">
      <alignment horizontal="right"/>
    </xf>
    <xf numFmtId="0" fontId="15" fillId="2" borderId="21" xfId="1" applyFont="1" applyFill="1" applyBorder="1" applyAlignment="1">
      <alignment horizontal="center"/>
    </xf>
    <xf numFmtId="0" fontId="15" fillId="2" borderId="9" xfId="1" applyFont="1" applyFill="1" applyBorder="1" applyAlignment="1">
      <alignment horizontal="center"/>
    </xf>
    <xf numFmtId="0" fontId="8" fillId="2" borderId="0" xfId="2" applyFont="1" applyFill="1" applyAlignment="1">
      <alignment horizontal="right"/>
    </xf>
    <xf numFmtId="0" fontId="9" fillId="2" borderId="24" xfId="2" applyFont="1" applyFill="1" applyBorder="1" applyAlignment="1">
      <alignment horizontal="center"/>
    </xf>
    <xf numFmtId="0" fontId="8" fillId="2" borderId="0" xfId="2" applyFont="1" applyFill="1"/>
    <xf numFmtId="0" fontId="4" fillId="3" borderId="34" xfId="1" applyFont="1" applyFill="1" applyBorder="1" applyAlignment="1">
      <alignment horizontal="center" vertical="center"/>
    </xf>
    <xf numFmtId="0" fontId="4" fillId="3" borderId="17" xfId="1" applyFont="1" applyFill="1" applyBorder="1" applyAlignment="1">
      <alignment horizontal="center" vertical="center"/>
    </xf>
    <xf numFmtId="0" fontId="4" fillId="3" borderId="34" xfId="1" applyFont="1" applyFill="1" applyBorder="1" applyAlignment="1">
      <alignment horizontal="center" vertical="center" wrapText="1"/>
    </xf>
    <xf numFmtId="0" fontId="4" fillId="3" borderId="17" xfId="1" applyFont="1" applyFill="1" applyBorder="1" applyAlignment="1">
      <alignment horizontal="center" vertical="center" wrapText="1"/>
    </xf>
    <xf numFmtId="0" fontId="4" fillId="3" borderId="30" xfId="1" applyFont="1" applyFill="1" applyBorder="1" applyAlignment="1">
      <alignment horizontal="center" vertical="center"/>
    </xf>
    <xf numFmtId="0" fontId="4" fillId="3" borderId="16" xfId="1" applyFont="1" applyFill="1" applyBorder="1" applyAlignment="1">
      <alignment horizontal="center" vertical="center"/>
    </xf>
    <xf numFmtId="14" fontId="2" fillId="2" borderId="38" xfId="2" applyNumberFormat="1" applyFont="1" applyFill="1" applyBorder="1" applyAlignment="1">
      <alignment horizontal="center" vertical="center" wrapText="1"/>
    </xf>
    <xf numFmtId="14" fontId="2" fillId="2" borderId="35" xfId="2" applyNumberFormat="1" applyFont="1" applyFill="1" applyBorder="1" applyAlignment="1">
      <alignment horizontal="center" vertical="center" wrapText="1"/>
    </xf>
    <xf numFmtId="14" fontId="2" fillId="2" borderId="7" xfId="2" applyNumberFormat="1" applyFont="1" applyFill="1" applyBorder="1" applyAlignment="1">
      <alignment horizontal="center" vertical="center" wrapText="1"/>
    </xf>
    <xf numFmtId="0" fontId="2" fillId="2" borderId="33" xfId="2" applyFont="1" applyFill="1" applyBorder="1" applyAlignment="1">
      <alignment horizontal="left"/>
    </xf>
    <xf numFmtId="0" fontId="2" fillId="2" borderId="32" xfId="2" applyFont="1" applyFill="1" applyBorder="1" applyAlignment="1">
      <alignment horizontal="left"/>
    </xf>
    <xf numFmtId="0" fontId="2" fillId="2" borderId="47" xfId="2" applyFont="1" applyFill="1" applyBorder="1" applyAlignment="1">
      <alignment horizontal="left"/>
    </xf>
    <xf numFmtId="0" fontId="2" fillId="2" borderId="18" xfId="2" applyFont="1" applyFill="1" applyBorder="1" applyAlignment="1">
      <alignment horizontal="left"/>
    </xf>
    <xf numFmtId="0" fontId="2" fillId="2" borderId="5" xfId="2" applyFont="1" applyFill="1" applyBorder="1" applyAlignment="1">
      <alignment horizontal="left"/>
    </xf>
    <xf numFmtId="0" fontId="2" fillId="2" borderId="20" xfId="2" applyFont="1" applyFill="1" applyBorder="1" applyAlignment="1">
      <alignment horizontal="left"/>
    </xf>
    <xf numFmtId="0" fontId="2" fillId="2" borderId="45" xfId="2" applyFont="1" applyFill="1" applyBorder="1" applyAlignment="1">
      <alignment horizontal="center"/>
    </xf>
    <xf numFmtId="0" fontId="2" fillId="2" borderId="46" xfId="2" applyFont="1" applyFill="1" applyBorder="1" applyAlignment="1">
      <alignment horizontal="center"/>
    </xf>
    <xf numFmtId="0" fontId="2" fillId="2" borderId="43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11" xfId="2" applyFont="1" applyFill="1" applyBorder="1" applyAlignment="1">
      <alignment horizontal="center"/>
    </xf>
    <xf numFmtId="0" fontId="2" fillId="2" borderId="10" xfId="2" applyFont="1" applyFill="1" applyBorder="1" applyAlignment="1">
      <alignment horizontal="center"/>
    </xf>
    <xf numFmtId="0" fontId="7" fillId="2" borderId="30" xfId="2" applyFont="1" applyFill="1" applyBorder="1" applyAlignment="1">
      <alignment horizontal="center"/>
    </xf>
    <xf numFmtId="0" fontId="7" fillId="2" borderId="31" xfId="2" applyFont="1" applyFill="1" applyBorder="1" applyAlignment="1">
      <alignment horizontal="center"/>
    </xf>
    <xf numFmtId="0" fontId="6" fillId="5" borderId="42" xfId="2" applyFont="1" applyFill="1" applyBorder="1" applyAlignment="1">
      <alignment horizontal="center"/>
    </xf>
    <xf numFmtId="0" fontId="6" fillId="5" borderId="41" xfId="2" applyFont="1" applyFill="1" applyBorder="1" applyAlignment="1">
      <alignment horizontal="center"/>
    </xf>
    <xf numFmtId="0" fontId="6" fillId="5" borderId="40" xfId="2" applyFont="1" applyFill="1" applyBorder="1" applyAlignment="1">
      <alignment horizontal="center"/>
    </xf>
    <xf numFmtId="0" fontId="4" fillId="2" borderId="39" xfId="2" applyFont="1" applyFill="1" applyBorder="1" applyAlignment="1">
      <alignment horizontal="right" vertical="top" wrapText="1"/>
    </xf>
    <xf numFmtId="0" fontId="4" fillId="2" borderId="37" xfId="2" applyFont="1" applyFill="1" applyBorder="1" applyAlignment="1">
      <alignment horizontal="right" vertical="top" wrapText="1"/>
    </xf>
    <xf numFmtId="0" fontId="4" fillId="2" borderId="36" xfId="2" applyFont="1" applyFill="1" applyBorder="1" applyAlignment="1">
      <alignment horizontal="right" vertical="top" wrapText="1"/>
    </xf>
  </cellXfs>
  <cellStyles count="14">
    <cellStyle name="Millares [0] 2" xfId="9" xr:uid="{EB05248C-5C74-4305-9865-E53C5B9C04A2}"/>
    <cellStyle name="Millares [0] 3" xfId="8" xr:uid="{DA649B27-FA5E-460D-B387-4D64EF7C9AF3}"/>
    <cellStyle name="Millares 2" xfId="10" xr:uid="{81B89D06-948A-44A7-A2DD-7F7F7151C17D}"/>
    <cellStyle name="Millares 3" xfId="7" xr:uid="{36F7036F-4C3A-4C43-A3A7-90088D23D49E}"/>
    <cellStyle name="Normal" xfId="0" builtinId="0"/>
    <cellStyle name="Normal 2" xfId="1" xr:uid="{CFA17795-7531-443E-9DBE-3681D746EB16}"/>
    <cellStyle name="Normal 3" xfId="4" xr:uid="{2664AA8A-EC72-42B7-A04B-71ABA3B631D2}"/>
    <cellStyle name="Normal 3 2" xfId="6" xr:uid="{5ECCA7CB-FA3F-4772-B271-FE60B484895E}"/>
    <cellStyle name="Normal 4" xfId="5" xr:uid="{73A0489B-FA09-4252-A816-D1C4E4A66617}"/>
    <cellStyle name="Normal 5" xfId="3" xr:uid="{7AEF24D9-E6E7-407F-BD5B-41311D716439}"/>
    <cellStyle name="Normal_CRITERIOS DE EVALUACION PT DE GB 2" xfId="2" xr:uid="{FE3C2B4E-9E56-461A-B107-3216C792FB48}"/>
    <cellStyle name="Porcentaje 2" xfId="12" xr:uid="{AA27533B-05DB-4127-AB73-3516BA12F26B}"/>
    <cellStyle name="Porcentaje 3" xfId="13" xr:uid="{100DA2BE-756D-4227-A826-49B618F42430}"/>
    <cellStyle name="Porcentaje 4" xfId="11" xr:uid="{64B6D3B1-0BD7-49E8-B4D4-2CC6042F45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99786</xdr:colOff>
      <xdr:row>0</xdr:row>
      <xdr:rowOff>160262</xdr:rowOff>
    </xdr:from>
    <xdr:to>
      <xdr:col>1</xdr:col>
      <xdr:colOff>677334</xdr:colOff>
      <xdr:row>3</xdr:row>
      <xdr:rowOff>185665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246037E-CFBD-4A79-96DE-6F04F3E90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86" y="160262"/>
          <a:ext cx="1339548" cy="670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D703-3127-4963-8034-28594EE23160}">
  <sheetPr>
    <pageSetUpPr fitToPage="1"/>
  </sheetPr>
  <dimension ref="A1:K44"/>
  <sheetViews>
    <sheetView tabSelected="1" zoomScale="90" zoomScaleNormal="90" workbookViewId="0">
      <selection activeCell="C1" sqref="C1:G1"/>
    </sheetView>
  </sheetViews>
  <sheetFormatPr baseColWidth="10" defaultRowHeight="15" x14ac:dyDescent="0.25"/>
  <cols>
    <col min="3" max="3" width="45.42578125" customWidth="1"/>
    <col min="4" max="4" width="17.140625" customWidth="1"/>
    <col min="7" max="7" width="12.85546875" customWidth="1"/>
    <col min="8" max="8" width="15.140625" customWidth="1"/>
    <col min="9" max="9" width="20.42578125" bestFit="1" customWidth="1"/>
  </cols>
  <sheetData>
    <row r="1" spans="1:9" ht="15.75" x14ac:dyDescent="0.25">
      <c r="A1" s="146"/>
      <c r="B1" s="147"/>
      <c r="C1" s="152" t="s">
        <v>35</v>
      </c>
      <c r="D1" s="152"/>
      <c r="E1" s="152"/>
      <c r="F1" s="152"/>
      <c r="G1" s="152"/>
      <c r="H1" s="4" t="s">
        <v>34</v>
      </c>
      <c r="I1" s="5" t="s">
        <v>70</v>
      </c>
    </row>
    <row r="2" spans="1:9" ht="16.5" thickBot="1" x14ac:dyDescent="0.3">
      <c r="A2" s="148"/>
      <c r="B2" s="149"/>
      <c r="C2" s="153" t="s">
        <v>33</v>
      </c>
      <c r="D2" s="153"/>
      <c r="E2" s="153"/>
      <c r="F2" s="153"/>
      <c r="G2" s="153"/>
      <c r="H2" s="3" t="s">
        <v>32</v>
      </c>
      <c r="I2" s="6" t="s">
        <v>71</v>
      </c>
    </row>
    <row r="3" spans="1:9" ht="18" customHeight="1" thickBot="1" x14ac:dyDescent="0.3">
      <c r="A3" s="148"/>
      <c r="B3" s="149"/>
      <c r="C3" s="154" t="s">
        <v>69</v>
      </c>
      <c r="D3" s="155"/>
      <c r="E3" s="155"/>
      <c r="F3" s="155"/>
      <c r="G3" s="156"/>
      <c r="H3" s="157" t="s">
        <v>31</v>
      </c>
      <c r="I3" s="137">
        <v>45839</v>
      </c>
    </row>
    <row r="4" spans="1:9" x14ac:dyDescent="0.25">
      <c r="A4" s="148"/>
      <c r="B4" s="149"/>
      <c r="C4" s="2" t="s">
        <v>30</v>
      </c>
      <c r="D4" s="140" t="s">
        <v>43</v>
      </c>
      <c r="E4" s="141"/>
      <c r="F4" s="141"/>
      <c r="G4" s="142"/>
      <c r="H4" s="158"/>
      <c r="I4" s="138"/>
    </row>
    <row r="5" spans="1:9" ht="15.75" thickBot="1" x14ac:dyDescent="0.3">
      <c r="A5" s="150"/>
      <c r="B5" s="151"/>
      <c r="C5" s="1" t="s">
        <v>29</v>
      </c>
      <c r="D5" s="143" t="s">
        <v>44</v>
      </c>
      <c r="E5" s="144"/>
      <c r="F5" s="144"/>
      <c r="G5" s="145"/>
      <c r="H5" s="159"/>
      <c r="I5" s="139"/>
    </row>
    <row r="6" spans="1:9" ht="18.75" thickBot="1" x14ac:dyDescent="0.3">
      <c r="A6" s="128" t="s">
        <v>28</v>
      </c>
      <c r="B6" s="128"/>
      <c r="C6" s="128"/>
      <c r="D6" s="129" t="s">
        <v>45</v>
      </c>
      <c r="E6" s="129"/>
      <c r="F6" s="129"/>
      <c r="G6" s="130" t="s">
        <v>27</v>
      </c>
      <c r="H6" s="130"/>
      <c r="I6" s="7" t="s">
        <v>46</v>
      </c>
    </row>
    <row r="7" spans="1:9" x14ac:dyDescent="0.25">
      <c r="A7" s="131" t="s">
        <v>26</v>
      </c>
      <c r="B7" s="133" t="s">
        <v>37</v>
      </c>
      <c r="C7" s="135" t="s">
        <v>25</v>
      </c>
      <c r="D7" s="135" t="s">
        <v>24</v>
      </c>
      <c r="E7" s="135" t="s">
        <v>23</v>
      </c>
      <c r="F7" s="135"/>
      <c r="G7" s="135" t="s">
        <v>47</v>
      </c>
      <c r="H7" s="135"/>
      <c r="I7" s="8" t="s">
        <v>48</v>
      </c>
    </row>
    <row r="8" spans="1:9" ht="27" thickBot="1" x14ac:dyDescent="0.3">
      <c r="A8" s="132"/>
      <c r="B8" s="134"/>
      <c r="C8" s="136"/>
      <c r="D8" s="136"/>
      <c r="E8" s="9" t="s">
        <v>12</v>
      </c>
      <c r="F8" s="10" t="s">
        <v>22</v>
      </c>
      <c r="G8" s="9" t="s">
        <v>12</v>
      </c>
      <c r="H8" s="10" t="s">
        <v>22</v>
      </c>
      <c r="I8" s="11" t="s">
        <v>49</v>
      </c>
    </row>
    <row r="9" spans="1:9" ht="15.75" thickBot="1" x14ac:dyDescent="0.3">
      <c r="A9" s="12"/>
      <c r="B9" s="13"/>
      <c r="C9" s="14" t="s">
        <v>50</v>
      </c>
      <c r="D9" s="15"/>
      <c r="E9" s="16"/>
      <c r="F9" s="17"/>
      <c r="G9" s="16"/>
      <c r="H9" s="17"/>
      <c r="I9" s="18"/>
    </row>
    <row r="10" spans="1:9" ht="16.149999999999999" customHeight="1" thickBot="1" x14ac:dyDescent="0.35">
      <c r="A10" s="34">
        <v>1110414</v>
      </c>
      <c r="B10" s="35" t="s">
        <v>38</v>
      </c>
      <c r="C10" s="36" t="s">
        <v>21</v>
      </c>
      <c r="D10" s="37" t="s">
        <v>51</v>
      </c>
      <c r="E10" s="38">
        <v>15200</v>
      </c>
      <c r="F10" s="39" t="s">
        <v>2</v>
      </c>
      <c r="G10" s="40"/>
      <c r="H10" s="40"/>
      <c r="I10" s="18"/>
    </row>
    <row r="11" spans="1:9" ht="16.5" x14ac:dyDescent="0.3">
      <c r="A11" s="34" t="s">
        <v>20</v>
      </c>
      <c r="B11" s="35" t="s">
        <v>39</v>
      </c>
      <c r="C11" s="36" t="s">
        <v>19</v>
      </c>
      <c r="D11" s="37" t="s">
        <v>51</v>
      </c>
      <c r="E11" s="41">
        <v>15200</v>
      </c>
      <c r="F11" s="41" t="s">
        <v>2</v>
      </c>
      <c r="G11" s="42"/>
      <c r="H11" s="40"/>
      <c r="I11" s="18"/>
    </row>
    <row r="12" spans="1:9" ht="33" x14ac:dyDescent="0.3">
      <c r="A12" s="34" t="s">
        <v>18</v>
      </c>
      <c r="B12" s="35" t="s">
        <v>40</v>
      </c>
      <c r="C12" s="36" t="s">
        <v>17</v>
      </c>
      <c r="D12" s="41" t="s">
        <v>52</v>
      </c>
      <c r="E12" s="41">
        <v>5700</v>
      </c>
      <c r="F12" s="41" t="s">
        <v>2</v>
      </c>
      <c r="G12" s="42"/>
      <c r="H12" s="40"/>
      <c r="I12" s="18"/>
    </row>
    <row r="13" spans="1:9" ht="16.5" x14ac:dyDescent="0.3">
      <c r="A13" s="34" t="s">
        <v>16</v>
      </c>
      <c r="B13" s="35" t="s">
        <v>41</v>
      </c>
      <c r="C13" s="36" t="s">
        <v>15</v>
      </c>
      <c r="D13" s="41" t="s">
        <v>53</v>
      </c>
      <c r="E13" s="41">
        <v>380</v>
      </c>
      <c r="F13" s="41" t="s">
        <v>2</v>
      </c>
      <c r="G13" s="42"/>
      <c r="H13" s="40"/>
      <c r="I13" s="18"/>
    </row>
    <row r="14" spans="1:9" ht="16.5" x14ac:dyDescent="0.3">
      <c r="A14" s="34" t="s">
        <v>14</v>
      </c>
      <c r="B14" s="35" t="s">
        <v>42</v>
      </c>
      <c r="C14" s="36" t="s">
        <v>13</v>
      </c>
      <c r="D14" s="41" t="s">
        <v>54</v>
      </c>
      <c r="E14" s="41">
        <v>56</v>
      </c>
      <c r="F14" s="41" t="s">
        <v>2</v>
      </c>
      <c r="G14" s="42"/>
      <c r="H14" s="40"/>
      <c r="I14" s="18"/>
    </row>
    <row r="15" spans="1:9" ht="16.5" x14ac:dyDescent="0.3">
      <c r="A15" s="35"/>
      <c r="B15" s="35"/>
      <c r="C15" s="43"/>
      <c r="D15" s="41"/>
      <c r="E15" s="41"/>
      <c r="F15" s="41"/>
      <c r="G15" s="42"/>
      <c r="H15" s="40"/>
      <c r="I15" s="18"/>
    </row>
    <row r="16" spans="1:9" x14ac:dyDescent="0.25">
      <c r="A16" s="21"/>
      <c r="B16" s="22"/>
      <c r="C16" s="44" t="s">
        <v>55</v>
      </c>
      <c r="D16" s="23" t="s">
        <v>56</v>
      </c>
      <c r="E16" s="24"/>
      <c r="F16" s="20"/>
      <c r="G16" s="16"/>
      <c r="H16" s="45"/>
      <c r="I16" s="18"/>
    </row>
    <row r="17" spans="1:11" x14ac:dyDescent="0.25">
      <c r="A17" s="46"/>
      <c r="B17" s="47"/>
      <c r="C17" s="48"/>
      <c r="D17" s="25" t="s">
        <v>56</v>
      </c>
      <c r="E17" s="19"/>
      <c r="F17" s="20"/>
      <c r="G17" s="16"/>
      <c r="H17" s="45"/>
      <c r="I17" s="18"/>
    </row>
    <row r="18" spans="1:11" x14ac:dyDescent="0.25">
      <c r="A18" s="35"/>
      <c r="B18" s="35"/>
      <c r="C18" s="49"/>
      <c r="D18" s="26" t="s">
        <v>56</v>
      </c>
      <c r="E18" s="27"/>
      <c r="F18" s="28"/>
      <c r="G18" s="16"/>
      <c r="H18" s="45"/>
      <c r="I18" s="18"/>
    </row>
    <row r="19" spans="1:11" x14ac:dyDescent="0.25">
      <c r="A19" s="29"/>
      <c r="B19" s="30"/>
      <c r="C19" s="50" t="s">
        <v>46</v>
      </c>
      <c r="D19" s="31" t="s">
        <v>56</v>
      </c>
      <c r="E19" s="16"/>
      <c r="F19" s="17"/>
      <c r="G19" s="16"/>
      <c r="H19" s="45"/>
      <c r="I19" s="18"/>
    </row>
    <row r="20" spans="1:11" x14ac:dyDescent="0.25">
      <c r="A20" s="51"/>
      <c r="B20" s="52" t="s">
        <v>62</v>
      </c>
      <c r="C20" s="52" t="s">
        <v>63</v>
      </c>
      <c r="D20" s="53"/>
      <c r="E20" s="53">
        <v>5</v>
      </c>
      <c r="F20" s="47" t="s">
        <v>64</v>
      </c>
      <c r="G20" s="42"/>
      <c r="H20" s="45"/>
      <c r="I20" s="18"/>
    </row>
    <row r="21" spans="1:11" ht="16.5" x14ac:dyDescent="0.3">
      <c r="A21" s="54"/>
      <c r="B21" s="52" t="s">
        <v>67</v>
      </c>
      <c r="C21" s="52" t="s">
        <v>68</v>
      </c>
      <c r="D21" s="55"/>
      <c r="E21" s="56">
        <v>5</v>
      </c>
      <c r="F21" s="57" t="s">
        <v>64</v>
      </c>
      <c r="G21" s="32"/>
      <c r="H21" s="45"/>
      <c r="I21" s="18"/>
    </row>
    <row r="22" spans="1:11" x14ac:dyDescent="0.25">
      <c r="A22" s="21"/>
      <c r="B22" s="22"/>
      <c r="C22" s="58"/>
      <c r="D22" s="23"/>
      <c r="E22" s="23"/>
      <c r="F22" s="20"/>
      <c r="G22" s="23"/>
      <c r="H22" s="23"/>
      <c r="I22" s="18"/>
    </row>
    <row r="23" spans="1:11" ht="17.25" thickBot="1" x14ac:dyDescent="0.35">
      <c r="A23" s="59"/>
      <c r="B23" s="60"/>
      <c r="C23" s="61"/>
      <c r="D23" s="61"/>
      <c r="E23" s="62"/>
      <c r="F23" s="63"/>
      <c r="G23" s="61"/>
      <c r="H23" s="61"/>
      <c r="I23" s="64"/>
      <c r="K23">
        <f>23500/5000</f>
        <v>4.7</v>
      </c>
    </row>
    <row r="24" spans="1:11" ht="17.25" thickBot="1" x14ac:dyDescent="0.35">
      <c r="A24" s="65"/>
      <c r="B24" s="66"/>
      <c r="C24" s="67"/>
      <c r="D24" s="68" t="s">
        <v>12</v>
      </c>
      <c r="E24" s="69" t="s">
        <v>11</v>
      </c>
      <c r="F24" s="70"/>
      <c r="G24" s="67"/>
      <c r="H24" s="67"/>
      <c r="I24" s="71"/>
    </row>
    <row r="25" spans="1:11" ht="16.5" x14ac:dyDescent="0.3">
      <c r="A25" s="122" t="s">
        <v>10</v>
      </c>
      <c r="B25" s="123"/>
      <c r="C25" s="124"/>
      <c r="D25" s="72">
        <v>23500</v>
      </c>
      <c r="E25" s="73" t="s">
        <v>2</v>
      </c>
      <c r="F25" s="125" t="s">
        <v>57</v>
      </c>
      <c r="G25" s="125"/>
      <c r="H25" s="126"/>
      <c r="I25" s="127"/>
    </row>
    <row r="26" spans="1:11" ht="16.5" x14ac:dyDescent="0.3">
      <c r="A26" s="114" t="s">
        <v>9</v>
      </c>
      <c r="B26" s="115"/>
      <c r="C26" s="116"/>
      <c r="D26" s="74">
        <v>15</v>
      </c>
      <c r="E26" s="75" t="s">
        <v>8</v>
      </c>
      <c r="F26" s="117" t="s">
        <v>7</v>
      </c>
      <c r="G26" s="117"/>
      <c r="H26" s="118"/>
      <c r="I26" s="119"/>
    </row>
    <row r="27" spans="1:11" ht="16.5" x14ac:dyDescent="0.3">
      <c r="A27" s="114" t="s">
        <v>6</v>
      </c>
      <c r="B27" s="115"/>
      <c r="C27" s="116"/>
      <c r="D27" s="75">
        <v>1</v>
      </c>
      <c r="E27" s="75" t="s">
        <v>5</v>
      </c>
      <c r="F27" s="117" t="s">
        <v>58</v>
      </c>
      <c r="G27" s="117"/>
      <c r="H27" s="118"/>
      <c r="I27" s="119"/>
    </row>
    <row r="28" spans="1:11" ht="16.5" x14ac:dyDescent="0.3">
      <c r="A28" s="114" t="s">
        <v>4</v>
      </c>
      <c r="B28" s="115"/>
      <c r="C28" s="116"/>
      <c r="D28" s="75">
        <v>23500</v>
      </c>
      <c r="E28" s="75" t="s">
        <v>2</v>
      </c>
      <c r="F28" s="120" t="s">
        <v>59</v>
      </c>
      <c r="G28" s="121"/>
      <c r="H28" s="118"/>
      <c r="I28" s="119"/>
    </row>
    <row r="29" spans="1:11" ht="17.25" thickBot="1" x14ac:dyDescent="0.35">
      <c r="A29" s="93" t="s">
        <v>3</v>
      </c>
      <c r="B29" s="94"/>
      <c r="C29" s="95"/>
      <c r="D29" s="76">
        <f>SUM(E10:E14)-D25</f>
        <v>13036</v>
      </c>
      <c r="E29" s="77" t="s">
        <v>2</v>
      </c>
      <c r="F29" s="96"/>
      <c r="G29" s="96"/>
      <c r="H29" s="97"/>
      <c r="I29" s="98"/>
    </row>
    <row r="30" spans="1:11" ht="15.75" thickBot="1" x14ac:dyDescent="0.3">
      <c r="A30" s="99" t="s">
        <v>1</v>
      </c>
      <c r="B30" s="100"/>
      <c r="C30" s="100"/>
      <c r="D30" s="100"/>
      <c r="E30" s="100"/>
      <c r="F30" s="100"/>
      <c r="G30" s="100"/>
      <c r="H30" s="100"/>
      <c r="I30" s="101"/>
    </row>
    <row r="31" spans="1:11" ht="16.5" x14ac:dyDescent="0.3">
      <c r="A31" s="102" t="s">
        <v>60</v>
      </c>
      <c r="B31" s="103"/>
      <c r="C31" s="103"/>
      <c r="D31" s="103"/>
      <c r="E31" s="103"/>
      <c r="F31" s="103"/>
      <c r="G31" s="103"/>
      <c r="H31" s="103"/>
      <c r="I31" s="104"/>
    </row>
    <row r="32" spans="1:11" ht="16.5" x14ac:dyDescent="0.3">
      <c r="A32" s="105" t="s">
        <v>61</v>
      </c>
      <c r="B32" s="106"/>
      <c r="C32" s="106"/>
      <c r="D32" s="106"/>
      <c r="E32" s="106"/>
      <c r="F32" s="106"/>
      <c r="G32" s="106"/>
      <c r="H32" s="106"/>
      <c r="I32" s="107"/>
    </row>
    <row r="33" spans="1:9" ht="16.5" x14ac:dyDescent="0.3">
      <c r="A33" s="105" t="s">
        <v>36</v>
      </c>
      <c r="B33" s="106"/>
      <c r="C33" s="106"/>
      <c r="D33" s="106"/>
      <c r="E33" s="106"/>
      <c r="F33" s="106"/>
      <c r="G33" s="106"/>
      <c r="H33" s="106"/>
      <c r="I33" s="107"/>
    </row>
    <row r="34" spans="1:9" ht="16.5" x14ac:dyDescent="0.3">
      <c r="A34" s="105" t="s">
        <v>65</v>
      </c>
      <c r="B34" s="106"/>
      <c r="C34" s="106"/>
      <c r="D34" s="106"/>
      <c r="E34" s="106"/>
      <c r="F34" s="106"/>
      <c r="G34" s="106"/>
      <c r="H34" s="106"/>
      <c r="I34" s="107"/>
    </row>
    <row r="35" spans="1:9" x14ac:dyDescent="0.25">
      <c r="A35" s="108" t="s">
        <v>66</v>
      </c>
      <c r="B35" s="109"/>
      <c r="C35" s="109"/>
      <c r="D35" s="109"/>
      <c r="E35" s="109"/>
      <c r="F35" s="109"/>
      <c r="G35" s="109"/>
      <c r="H35" s="109"/>
      <c r="I35" s="110"/>
    </row>
    <row r="36" spans="1:9" x14ac:dyDescent="0.25">
      <c r="A36" s="111"/>
      <c r="B36" s="112"/>
      <c r="C36" s="112"/>
      <c r="D36" s="112"/>
      <c r="E36" s="112"/>
      <c r="F36" s="112"/>
      <c r="G36" s="112"/>
      <c r="H36" s="112"/>
      <c r="I36" s="113"/>
    </row>
    <row r="37" spans="1:9" x14ac:dyDescent="0.25">
      <c r="A37" s="90"/>
      <c r="B37" s="91"/>
      <c r="C37" s="91"/>
      <c r="D37" s="91"/>
      <c r="E37" s="91"/>
      <c r="F37" s="91"/>
      <c r="G37" s="91"/>
      <c r="H37" s="91"/>
      <c r="I37" s="92"/>
    </row>
    <row r="38" spans="1:9" x14ac:dyDescent="0.25">
      <c r="A38" s="90"/>
      <c r="B38" s="91"/>
      <c r="C38" s="91"/>
      <c r="D38" s="91"/>
      <c r="E38" s="91"/>
      <c r="F38" s="91"/>
      <c r="G38" s="91"/>
      <c r="H38" s="91"/>
      <c r="I38" s="92"/>
    </row>
    <row r="39" spans="1:9" ht="18" customHeight="1" thickBot="1" x14ac:dyDescent="0.3">
      <c r="A39" s="78"/>
      <c r="B39" s="79"/>
      <c r="C39" s="79"/>
      <c r="D39" s="79"/>
      <c r="E39" s="79"/>
      <c r="F39" s="79"/>
      <c r="G39" s="79"/>
      <c r="H39" s="79"/>
      <c r="I39" s="80"/>
    </row>
    <row r="40" spans="1:9" x14ac:dyDescent="0.25">
      <c r="A40" s="33"/>
      <c r="B40" s="33"/>
      <c r="C40" s="33"/>
      <c r="D40" s="33"/>
      <c r="E40" s="33"/>
      <c r="F40" s="33"/>
      <c r="G40" s="33"/>
      <c r="H40" s="33"/>
      <c r="I40" s="33"/>
    </row>
    <row r="41" spans="1:9" ht="17.25" thickBot="1" x14ac:dyDescent="0.35">
      <c r="A41" s="81"/>
      <c r="B41" s="82"/>
      <c r="C41" s="82"/>
      <c r="D41" s="82"/>
      <c r="E41" s="82"/>
      <c r="F41" s="82"/>
      <c r="G41" s="82"/>
      <c r="H41" s="82"/>
      <c r="I41" s="83"/>
    </row>
    <row r="42" spans="1:9" x14ac:dyDescent="0.25">
      <c r="A42" s="84" t="s">
        <v>0</v>
      </c>
      <c r="B42" s="85"/>
      <c r="C42" s="85"/>
      <c r="D42" s="85"/>
      <c r="E42" s="85"/>
      <c r="F42" s="85"/>
      <c r="G42" s="85"/>
      <c r="H42" s="85"/>
      <c r="I42" s="85"/>
    </row>
    <row r="43" spans="1:9" ht="16.5" x14ac:dyDescent="0.3">
      <c r="A43" s="86"/>
      <c r="B43" s="87"/>
      <c r="C43" s="87"/>
      <c r="D43" s="87"/>
      <c r="E43" s="87"/>
      <c r="F43" s="87"/>
      <c r="G43" s="87"/>
      <c r="H43" s="87"/>
      <c r="I43" s="87"/>
    </row>
    <row r="44" spans="1:9" x14ac:dyDescent="0.25">
      <c r="A44" s="88"/>
      <c r="B44" s="89"/>
      <c r="C44" s="89"/>
      <c r="D44" s="89"/>
      <c r="E44" s="89"/>
      <c r="F44" s="89"/>
      <c r="G44" s="89"/>
      <c r="H44" s="89"/>
      <c r="I44" s="89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38:I38"/>
    <mergeCell ref="A29:C29"/>
    <mergeCell ref="F29:G29"/>
    <mergeCell ref="H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9:I39"/>
    <mergeCell ref="A41:I41"/>
    <mergeCell ref="A42:I42"/>
    <mergeCell ref="A43:I43"/>
    <mergeCell ref="A44:I44"/>
  </mergeCells>
  <pageMargins left="0.7" right="0.7" top="0.75" bottom="0.75" header="0.3" footer="0.3"/>
  <pageSetup scale="57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5205A5-A301-4E17-B30B-E2E4BFC4808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E2B0A9B-215C-431C-8DC4-BF3F74D90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A1BF7F-8CD1-47BF-A91B-DDD3D24048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Relleno suspiro Limeño Peruano</vt:lpstr>
      <vt:lpstr>'Relleno suspiro Limeño Peruano'!Área_de_impresión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2025-07-01T15:07:51Z</cp:lastPrinted>
  <dcterms:created xsi:type="dcterms:W3CDTF">2023-05-17T17:25:51Z</dcterms:created>
  <dcterms:modified xsi:type="dcterms:W3CDTF">2025-07-01T15:31:23Z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100180000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
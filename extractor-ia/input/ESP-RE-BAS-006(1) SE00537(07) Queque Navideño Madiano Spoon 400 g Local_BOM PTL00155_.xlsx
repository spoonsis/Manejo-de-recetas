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3" documentId="8_{6DDCDAE1-F3AB-42CE-B5CB-6E426BDAACBC}" xr6:coauthVersionLast="47" xr6:coauthVersionMax="47" xr10:uidLastSave="{7E042F98-835B-4334-A3A3-E69FC3DC50B0}"/>
  <bookViews>
    <workbookView xWindow="-108" yWindow="-108" windowWidth="23256" windowHeight="12456" firstSheet="1" activeTab="1" xr2:uid="{00000000-000D-0000-FFFF-FFFF00000000}"/>
  </bookViews>
  <sheets>
    <sheet name="Costos de materiales 2023" sheetId="1" state="hidden" r:id="rId1"/>
    <sheet name="Hoja1" sheetId="4" r:id="rId2"/>
    <sheet name="costo 2024" sheetId="2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2" l="1"/>
  <c r="M22" i="2"/>
  <c r="M38" i="2" l="1"/>
  <c r="M28" i="2"/>
</calcChain>
</file>

<file path=xl/sharedStrings.xml><?xml version="1.0" encoding="utf-8"?>
<sst xmlns="http://schemas.openxmlformats.org/spreadsheetml/2006/main" count="1035" uniqueCount="334">
  <si>
    <t>FILTROS :</t>
  </si>
  <si>
    <t>SUBSIDIARIA</t>
  </si>
  <si>
    <t>Empresa principal : Servicios de Pastelería S.A.</t>
  </si>
  <si>
    <t>ARTÍCULO</t>
  </si>
  <si>
    <t>PTL00155 Queque Navideño Madiano Spoon 400 g Local</t>
  </si>
  <si>
    <t>UBICACIÓN</t>
  </si>
  <si>
    <t>Bodega Administrativa</t>
  </si>
  <si>
    <t>LISTA DE MATERIALES</t>
  </si>
  <si>
    <t>BOM PTL00155</t>
  </si>
  <si>
    <t>CONTROL DE VISUALIZACIÓN</t>
  </si>
  <si>
    <t>Por revisión</t>
  </si>
  <si>
    <t>FECHA/FECHA EFECTIVA</t>
  </si>
  <si>
    <t>01/09/2023</t>
  </si>
  <si>
    <t>REVISIÓN DE LISTA DE MATERIALES</t>
  </si>
  <si>
    <t>REV V1 PTL00155</t>
  </si>
  <si>
    <t>POR RUTA DE FABRICACIÓN</t>
  </si>
  <si>
    <t>No</t>
  </si>
  <si>
    <t>RUTA DE FABRICACIÓN</t>
  </si>
  <si>
    <t/>
  </si>
  <si>
    <t>CANTIDAD DE ENSAMBLAJE</t>
  </si>
  <si>
    <t>1</t>
  </si>
  <si>
    <t>SOLO NIVEL SUPERIOR</t>
  </si>
  <si>
    <t>COSTO DE MATERIALES</t>
  </si>
  <si>
    <t>Según valor predeterminado de artículo</t>
  </si>
  <si>
    <t>COSTO TOTAL DE MATERIALES</t>
  </si>
  <si>
    <t>COSTO DE MATERIAL POR UNIDAD</t>
  </si>
  <si>
    <t>CRC2,885.09</t>
  </si>
  <si>
    <t>CRC2,885.09 UNIDADES</t>
  </si>
  <si>
    <t>NOMBRE DE ARTÍCULO</t>
  </si>
  <si>
    <t>NIVEL</t>
  </si>
  <si>
    <t>NOMBRE PARA MOSTRAR</t>
  </si>
  <si>
    <t>CANTIDAD</t>
  </si>
  <si>
    <t>RENDIMIENTO DE COMPONENTES</t>
  </si>
  <si>
    <t>CANTIDAD POR ENSAMBLAJE</t>
  </si>
  <si>
    <t>CANTIDAD POR ENSAMBLAJE DE NIVEL SUPERIOR</t>
  </si>
  <si>
    <t>CANTIDAD PARA ENSAMBLAR</t>
  </si>
  <si>
    <t>COSTO UNITARIO</t>
  </si>
  <si>
    <t>UNIDADES</t>
  </si>
  <si>
    <t>COSTO TOTAL</t>
  </si>
  <si>
    <t xml:space="preserve">EM10039 </t>
  </si>
  <si>
    <t xml:space="preserve">1 </t>
  </si>
  <si>
    <t xml:space="preserve">Bolsa Al Vacio 8X10 </t>
  </si>
  <si>
    <t xml:space="preserve">100% </t>
  </si>
  <si>
    <t xml:space="preserve">42.60 </t>
  </si>
  <si>
    <t xml:space="preserve">UNIDADES </t>
  </si>
  <si>
    <t xml:space="preserve">EM10310 </t>
  </si>
  <si>
    <t xml:space="preserve">Caja Queque Navideño Pequeño </t>
  </si>
  <si>
    <t xml:space="preserve">548.00 </t>
  </si>
  <si>
    <t xml:space="preserve">EM10291 </t>
  </si>
  <si>
    <t xml:space="preserve">Orla Navideña Pequeña </t>
  </si>
  <si>
    <t xml:space="preserve">78.00 </t>
  </si>
  <si>
    <t xml:space="preserve">EM10295 </t>
  </si>
  <si>
    <t xml:space="preserve">Rollo PVC 14x500 mts </t>
  </si>
  <si>
    <t xml:space="preserve">0.00016 </t>
  </si>
  <si>
    <t xml:space="preserve">59,956.00 </t>
  </si>
  <si>
    <t xml:space="preserve">9.59 </t>
  </si>
  <si>
    <t xml:space="preserve">SC-MO1 </t>
  </si>
  <si>
    <t xml:space="preserve">Mano de Obra </t>
  </si>
  <si>
    <t xml:space="preserve">7.72 </t>
  </si>
  <si>
    <t xml:space="preserve">61.00 </t>
  </si>
  <si>
    <t xml:space="preserve">470.92 </t>
  </si>
  <si>
    <t xml:space="preserve">SC-GIF1 </t>
  </si>
  <si>
    <t xml:space="preserve">Gastos Indirectos Fabricación </t>
  </si>
  <si>
    <t xml:space="preserve">58.00 </t>
  </si>
  <si>
    <t xml:space="preserve">447.76 </t>
  </si>
  <si>
    <t xml:space="preserve">SE00537 </t>
  </si>
  <si>
    <t xml:space="preserve">Queque Navideño Madiano Spoon 400 g </t>
  </si>
  <si>
    <t xml:space="preserve">1,288.21616435 </t>
  </si>
  <si>
    <t xml:space="preserve">1,288.22 </t>
  </si>
  <si>
    <t xml:space="preserve">        MP10042 </t>
  </si>
  <si>
    <t xml:space="preserve">2 </t>
  </si>
  <si>
    <t xml:space="preserve">Triple Sec </t>
  </si>
  <si>
    <t xml:space="preserve">52 </t>
  </si>
  <si>
    <t xml:space="preserve">4.7969 </t>
  </si>
  <si>
    <t xml:space="preserve">MILILITROS </t>
  </si>
  <si>
    <t xml:space="preserve">249.44 </t>
  </si>
  <si>
    <t xml:space="preserve">        MP10003 </t>
  </si>
  <si>
    <t xml:space="preserve">Manteca Max Pan </t>
  </si>
  <si>
    <t xml:space="preserve">5.03 </t>
  </si>
  <si>
    <t xml:space="preserve">1.15096 </t>
  </si>
  <si>
    <t xml:space="preserve">GRAMOS </t>
  </si>
  <si>
    <t xml:space="preserve">5.79 </t>
  </si>
  <si>
    <t xml:space="preserve">        MP10004 </t>
  </si>
  <si>
    <t xml:space="preserve">Harina Estandar Fhacasa </t>
  </si>
  <si>
    <t xml:space="preserve">1.007 </t>
  </si>
  <si>
    <t xml:space="preserve">0.553352 </t>
  </si>
  <si>
    <t xml:space="preserve">0.56 </t>
  </si>
  <si>
    <t xml:space="preserve">        EM10013 </t>
  </si>
  <si>
    <t xml:space="preserve">Bolsa 17X25 Transparente </t>
  </si>
  <si>
    <t xml:space="preserve">24 </t>
  </si>
  <si>
    <t xml:space="preserve">1.800792 </t>
  </si>
  <si>
    <t xml:space="preserve">43.22 </t>
  </si>
  <si>
    <t xml:space="preserve">        SE00535 </t>
  </si>
  <si>
    <t xml:space="preserve">Batido Queque Navideño </t>
  </si>
  <si>
    <t xml:space="preserve">0.4 </t>
  </si>
  <si>
    <t xml:space="preserve">2,473.02950522 </t>
  </si>
  <si>
    <t xml:space="preserve">KILOGRAMOS </t>
  </si>
  <si>
    <t xml:space="preserve">989.21 </t>
  </si>
  <si>
    <t xml:space="preserve">                MP10005 </t>
  </si>
  <si>
    <t xml:space="preserve">3 </t>
  </si>
  <si>
    <t xml:space="preserve">Huevo Liquido Refrigerado </t>
  </si>
  <si>
    <t xml:space="preserve">83.15 </t>
  </si>
  <si>
    <t xml:space="preserve">33.26 </t>
  </si>
  <si>
    <t xml:space="preserve">2.3604 </t>
  </si>
  <si>
    <t xml:space="preserve">78.51 </t>
  </si>
  <si>
    <t xml:space="preserve">                MP10552 </t>
  </si>
  <si>
    <t xml:space="preserve">Dulce Granulado </t>
  </si>
  <si>
    <t xml:space="preserve">59.87 </t>
  </si>
  <si>
    <t xml:space="preserve">23.948 </t>
  </si>
  <si>
    <t xml:space="preserve">2.05777778 </t>
  </si>
  <si>
    <t xml:space="preserve">49.28 </t>
  </si>
  <si>
    <t xml:space="preserve">                MP10252 </t>
  </si>
  <si>
    <t xml:space="preserve">Mermelada Naranja </t>
  </si>
  <si>
    <t xml:space="preserve">8.32 </t>
  </si>
  <si>
    <t xml:space="preserve">3.328 </t>
  </si>
  <si>
    <t xml:space="preserve">1.83777778 </t>
  </si>
  <si>
    <t xml:space="preserve">6.12 </t>
  </si>
  <si>
    <t xml:space="preserve">                MP10385 </t>
  </si>
  <si>
    <t xml:space="preserve">Vainilla Oscura </t>
  </si>
  <si>
    <t xml:space="preserve">5.99 </t>
  </si>
  <si>
    <t xml:space="preserve">2.396 </t>
  </si>
  <si>
    <t xml:space="preserve">1.25653897 </t>
  </si>
  <si>
    <t xml:space="preserve">3.01 </t>
  </si>
  <si>
    <t xml:space="preserve">                MP10598 </t>
  </si>
  <si>
    <t xml:space="preserve">Jugo de Naranja TB </t>
  </si>
  <si>
    <t xml:space="preserve">16.63 </t>
  </si>
  <si>
    <t xml:space="preserve">6.652 </t>
  </si>
  <si>
    <t xml:space="preserve">0.72158333 </t>
  </si>
  <si>
    <t xml:space="preserve">4.80 </t>
  </si>
  <si>
    <t xml:space="preserve">                MP10340 </t>
  </si>
  <si>
    <t xml:space="preserve">Ron Plata Especial </t>
  </si>
  <si>
    <t xml:space="preserve">37.42 </t>
  </si>
  <si>
    <t xml:space="preserve">14.968 </t>
  </si>
  <si>
    <t xml:space="preserve">5.1376 </t>
  </si>
  <si>
    <t xml:space="preserve">76.90 </t>
  </si>
  <si>
    <t xml:space="preserve">                SE00536 </t>
  </si>
  <si>
    <t xml:space="preserve">Premezcla Batido Queque Navideño </t>
  </si>
  <si>
    <t xml:space="preserve">0.78 </t>
  </si>
  <si>
    <t xml:space="preserve">0.312 </t>
  </si>
  <si>
    <t xml:space="preserve">2,469.86818884 </t>
  </si>
  <si>
    <t xml:space="preserve">770.60 </t>
  </si>
  <si>
    <t xml:space="preserve">                        MP10040 </t>
  </si>
  <si>
    <t xml:space="preserve">4 </t>
  </si>
  <si>
    <t xml:space="preserve">Margarina Baker Tableta </t>
  </si>
  <si>
    <t xml:space="preserve">157.72 </t>
  </si>
  <si>
    <t xml:space="preserve">49.20864 </t>
  </si>
  <si>
    <t xml:space="preserve">1.355764 </t>
  </si>
  <si>
    <t xml:space="preserve">66.72 </t>
  </si>
  <si>
    <t xml:space="preserve">                        MP10076 </t>
  </si>
  <si>
    <t xml:space="preserve">Azucar Moreno </t>
  </si>
  <si>
    <t xml:space="preserve">68.2 </t>
  </si>
  <si>
    <t xml:space="preserve">21.2784 </t>
  </si>
  <si>
    <t xml:space="preserve">0.794 </t>
  </si>
  <si>
    <t xml:space="preserve">16.90 </t>
  </si>
  <si>
    <t xml:space="preserve">                        MP10644 </t>
  </si>
  <si>
    <t xml:space="preserve">Almendra Entera Pequeña </t>
  </si>
  <si>
    <t xml:space="preserve">149.19 </t>
  </si>
  <si>
    <t xml:space="preserve">46.54728 </t>
  </si>
  <si>
    <t xml:space="preserve">3.62149167 </t>
  </si>
  <si>
    <t xml:space="preserve">168.57 </t>
  </si>
  <si>
    <t xml:space="preserve">                        MP10051 </t>
  </si>
  <si>
    <t xml:space="preserve">Harina Trigo Nacarina </t>
  </si>
  <si>
    <t xml:space="preserve">206.73 </t>
  </si>
  <si>
    <t xml:space="preserve">64.49976 </t>
  </si>
  <si>
    <t xml:space="preserve">0.73972 </t>
  </si>
  <si>
    <t xml:space="preserve">47.71 </t>
  </si>
  <si>
    <t xml:space="preserve">                        MP10304 </t>
  </si>
  <si>
    <t xml:space="preserve">Polvo Hornear </t>
  </si>
  <si>
    <t xml:space="preserve">5.84 </t>
  </si>
  <si>
    <t xml:space="preserve">1.82208 </t>
  </si>
  <si>
    <t xml:space="preserve">1.0264 </t>
  </si>
  <si>
    <t xml:space="preserve">1.87 </t>
  </si>
  <si>
    <t xml:space="preserve">                        MP10085 </t>
  </si>
  <si>
    <t xml:space="preserve">Bicarbonato De Sodio </t>
  </si>
  <si>
    <t xml:space="preserve">4.69 </t>
  </si>
  <si>
    <t xml:space="preserve">1.46328 </t>
  </si>
  <si>
    <t xml:space="preserve">1.35112 </t>
  </si>
  <si>
    <t xml:space="preserve">1.98 </t>
  </si>
  <si>
    <t xml:space="preserve">                        MP10146 </t>
  </si>
  <si>
    <t xml:space="preserve">Cocoa Dutch Process </t>
  </si>
  <si>
    <t xml:space="preserve">2.56 </t>
  </si>
  <si>
    <t xml:space="preserve">0.79872 </t>
  </si>
  <si>
    <t xml:space="preserve">3.8157 </t>
  </si>
  <si>
    <t xml:space="preserve">3.05 </t>
  </si>
  <si>
    <t xml:space="preserve">                        MP10008 </t>
  </si>
  <si>
    <t xml:space="preserve">Preservante 1047S </t>
  </si>
  <si>
    <t xml:space="preserve">1.11 </t>
  </si>
  <si>
    <t xml:space="preserve">0.34632 </t>
  </si>
  <si>
    <t xml:space="preserve">7.58254 </t>
  </si>
  <si>
    <t xml:space="preserve">2.63 </t>
  </si>
  <si>
    <t xml:space="preserve">                        MP10013 </t>
  </si>
  <si>
    <t xml:space="preserve">Nuez Moscada Molida </t>
  </si>
  <si>
    <t xml:space="preserve">0.94 </t>
  </si>
  <si>
    <t xml:space="preserve">0.29328 </t>
  </si>
  <si>
    <t xml:space="preserve">14.88346667 </t>
  </si>
  <si>
    <t xml:space="preserve">4.37 </t>
  </si>
  <si>
    <t xml:space="preserve">                        MP10600 </t>
  </si>
  <si>
    <t xml:space="preserve">Clavo de Olor Molido </t>
  </si>
  <si>
    <t xml:space="preserve">1.71 </t>
  </si>
  <si>
    <t xml:space="preserve">0.53352 </t>
  </si>
  <si>
    <t xml:space="preserve">23.8398 </t>
  </si>
  <si>
    <t xml:space="preserve">12.72 </t>
  </si>
  <si>
    <t xml:space="preserve">                        MP10221 </t>
  </si>
  <si>
    <t xml:space="preserve">Jengibre Molido </t>
  </si>
  <si>
    <t xml:space="preserve">1.28 </t>
  </si>
  <si>
    <t xml:space="preserve">0.39936 </t>
  </si>
  <si>
    <t xml:space="preserve">8.26205882 </t>
  </si>
  <si>
    <t xml:space="preserve">3.30 </t>
  </si>
  <si>
    <t xml:space="preserve">                        MP10096 </t>
  </si>
  <si>
    <t xml:space="preserve">Canela En Polvo </t>
  </si>
  <si>
    <t xml:space="preserve">12.15 </t>
  </si>
  <si>
    <t xml:space="preserve">3.7908 </t>
  </si>
  <si>
    <t xml:space="preserve">15.11357143 </t>
  </si>
  <si>
    <t xml:space="preserve">57.29 </t>
  </si>
  <si>
    <t xml:space="preserve">                        MP10554 </t>
  </si>
  <si>
    <t xml:space="preserve">Fruta Confitada </t>
  </si>
  <si>
    <t xml:space="preserve">42.63 </t>
  </si>
  <si>
    <t xml:space="preserve">13.30056 </t>
  </si>
  <si>
    <t xml:space="preserve">1.465 </t>
  </si>
  <si>
    <t xml:space="preserve">19.49 </t>
  </si>
  <si>
    <t xml:space="preserve">                        MP10561 </t>
  </si>
  <si>
    <t xml:space="preserve">Pasas </t>
  </si>
  <si>
    <t xml:space="preserve">104.43 </t>
  </si>
  <si>
    <t xml:space="preserve">32.58216 </t>
  </si>
  <si>
    <t xml:space="preserve">1.46752 </t>
  </si>
  <si>
    <t xml:space="preserve">47.81 </t>
  </si>
  <si>
    <t xml:space="preserve">                        MP10409 </t>
  </si>
  <si>
    <t xml:space="preserve">Higos En Almibar </t>
  </si>
  <si>
    <t xml:space="preserve">61.81 </t>
  </si>
  <si>
    <t xml:space="preserve">19.28472 </t>
  </si>
  <si>
    <t xml:space="preserve">3.47826087 </t>
  </si>
  <si>
    <t xml:space="preserve">67.08 </t>
  </si>
  <si>
    <t xml:space="preserve">                        MP10645 </t>
  </si>
  <si>
    <t xml:space="preserve">Ciruela </t>
  </si>
  <si>
    <t xml:space="preserve">74.6 </t>
  </si>
  <si>
    <t xml:space="preserve">23.2752 </t>
  </si>
  <si>
    <t xml:space="preserve">3.107 </t>
  </si>
  <si>
    <t xml:space="preserve">72.32 </t>
  </si>
  <si>
    <t xml:space="preserve">                        MP10646 </t>
  </si>
  <si>
    <t xml:space="preserve">Cereza Confitada </t>
  </si>
  <si>
    <t xml:space="preserve">5.31922 </t>
  </si>
  <si>
    <t xml:space="preserve">173.31 </t>
  </si>
  <si>
    <t xml:space="preserve">                        EM10013 </t>
  </si>
  <si>
    <t xml:space="preserve">4.09 </t>
  </si>
  <si>
    <t xml:space="preserve">1.27608 </t>
  </si>
  <si>
    <t xml:space="preserve">2.30 </t>
  </si>
  <si>
    <t xml:space="preserve">                        EM10016 </t>
  </si>
  <si>
    <t xml:space="preserve">Bolsa 12X18 Transparente </t>
  </si>
  <si>
    <t xml:space="preserve">2.02 </t>
  </si>
  <si>
    <t xml:space="preserve">0.63024 </t>
  </si>
  <si>
    <t xml:space="preserve">1.800028 </t>
  </si>
  <si>
    <t xml:space="preserve">1.13 </t>
  </si>
  <si>
    <t xml:space="preserve">                        EM10004 </t>
  </si>
  <si>
    <t xml:space="preserve">Etiq.Fecha Vencimiento Blanco </t>
  </si>
  <si>
    <t xml:space="preserve">0.21 </t>
  </si>
  <si>
    <t xml:space="preserve">0.06552 </t>
  </si>
  <si>
    <t xml:space="preserve">0.28 </t>
  </si>
  <si>
    <t xml:space="preserve">0.02 </t>
  </si>
  <si>
    <t xml:space="preserve">                        EM10011 </t>
  </si>
  <si>
    <t xml:space="preserve">Etiqueta Blanca 2 5/8X1 15/16 </t>
  </si>
  <si>
    <t xml:space="preserve">0.08 </t>
  </si>
  <si>
    <t xml:space="preserve">0.02496 </t>
  </si>
  <si>
    <t xml:space="preserve">2.128 </t>
  </si>
  <si>
    <t xml:space="preserve">0.05 </t>
  </si>
  <si>
    <t>CRC3,234 UNIDADES</t>
  </si>
  <si>
    <t xml:space="preserve">Flor de Caña </t>
  </si>
  <si>
    <t>SERVICIOS DE PASTELERIA S.A.</t>
  </si>
  <si>
    <t>CÓDIGO:</t>
  </si>
  <si>
    <t>ESPECIFICACION DE RECETA</t>
  </si>
  <si>
    <t>REVISIÓN:</t>
  </si>
  <si>
    <t>Queque Navideño Spoon Mediano 400g 95953 (SE00537)</t>
  </si>
  <si>
    <t>FECHA DE APROBACIÓN:</t>
  </si>
  <si>
    <t>Elaborado</t>
  </si>
  <si>
    <t>Aprobado</t>
  </si>
  <si>
    <t>Esteban Cartin, Gte Manufactura</t>
  </si>
  <si>
    <t>AREA QUE PRODUCE:</t>
  </si>
  <si>
    <t>Batidos</t>
  </si>
  <si>
    <t xml:space="preserve">AREA QUE EMPACA: </t>
  </si>
  <si>
    <t>Empaque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</si>
  <si>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</si>
  <si>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</si>
  <si>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</si>
  <si>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</si>
  <si>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</si>
  <si>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</si>
  <si>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</si>
  <si>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</si>
  <si>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</si>
  <si>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95089</t>
  </si>
  <si>
    <t>SE00535</t>
  </si>
  <si>
    <t>BATIDO QUEQUE NAVIDEÑO SPOON</t>
  </si>
  <si>
    <t>g</t>
  </si>
  <si>
    <t>BAÑO DE LICOR FINAL POR TANDA</t>
  </si>
  <si>
    <t>NUEVO</t>
  </si>
  <si>
    <t>FLOR DE CAÑA 4 AÑOS</t>
  </si>
  <si>
    <t>FLOR DE CAÑA</t>
  </si>
  <si>
    <t>512000003</t>
  </si>
  <si>
    <t>EM10252</t>
  </si>
  <si>
    <t>cm</t>
  </si>
  <si>
    <t>95720</t>
  </si>
  <si>
    <t xml:space="preserve">MEZCLA ENGRASE MOLDES </t>
  </si>
  <si>
    <t>1950708</t>
  </si>
  <si>
    <t>EM10013</t>
  </si>
  <si>
    <t>Unid</t>
  </si>
  <si>
    <t>Unidad</t>
  </si>
  <si>
    <t>PESO TOTAL OBTENIDO</t>
  </si>
  <si>
    <t>Tiempo de Horneo:</t>
  </si>
  <si>
    <t>TIEMPO TOTAL DE PREPARACION</t>
  </si>
  <si>
    <t>Minutos</t>
  </si>
  <si>
    <t>Horno:</t>
  </si>
  <si>
    <t>CANTIDAD DE PORCIONES OBTENIDAS</t>
  </si>
  <si>
    <t>Unidades</t>
  </si>
  <si>
    <t>Temperatura de Horneo:</t>
  </si>
  <si>
    <t>PESO DE CADA PORCIÓN</t>
  </si>
  <si>
    <t>Otros</t>
  </si>
  <si>
    <t>MERMA</t>
  </si>
  <si>
    <t>PROCEDIMIENTO DE PREPARACION DE LA  RECETA</t>
  </si>
  <si>
    <t>1.- La mezcla debe quedar homogenea. Colocar en los moldes chimenea engrasados 400g de mezcla.</t>
  </si>
  <si>
    <t>2.- Llevar al horno y hornear por 45 minutos a 175°C en el Marshall.</t>
  </si>
  <si>
    <t>3.- Sacar del horno, desmoldar tibios y dejar enfriar.</t>
  </si>
  <si>
    <r>
      <t xml:space="preserve">4.- Con ayuda de una brocha humedecer los queques </t>
    </r>
    <r>
      <rPr>
        <b/>
        <sz val="11"/>
        <rFont val="Times New Roman"/>
        <family val="1"/>
      </rPr>
      <t>medianos con 52g de triple sec. Llevar a empaque.</t>
    </r>
  </si>
  <si>
    <t>MP10721</t>
  </si>
  <si>
    <t>01</t>
  </si>
  <si>
    <t>Javier Tong, Chef</t>
  </si>
  <si>
    <t># Código Netsuite</t>
  </si>
  <si>
    <t>Ensamble</t>
  </si>
  <si>
    <t>FAS</t>
  </si>
  <si>
    <t>Decoración</t>
  </si>
  <si>
    <t>PLÁSTICO AUTOADERIBLE 1/ 12*2000</t>
  </si>
  <si>
    <t>MAYCA</t>
  </si>
  <si>
    <t>BOLSA 17X25 TRANSP</t>
  </si>
  <si>
    <t>PLASTICOS P</t>
  </si>
  <si>
    <t>CONTROL DE CAMBIOS</t>
  </si>
  <si>
    <t>ESP-RE-BAS-006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</si>
</sst>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color theme="1"/>
      <name val="Century Gothic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2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9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" fillId="0" borderId="0"/>
    <xf numFmtId="0" fontId="19" fillId="0" borderId="0"/>
    <xf numFmtId="9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3">
    <xf numFmtId="0" fontId="0" fillId="0" borderId="0" xfId="0"/>
    <xf numFmtId="0" fontId="0" fillId="33" borderId="0" xfId="0" applyFill="1"/>
    <xf numFmtId="43" fontId="0" fillId="0" borderId="0" xfId="1" applyFont="1"/>
    <xf numFmtId="43" fontId="0" fillId="34" borderId="0" xfId="1" applyFont="1" applyFill="1"/>
    <xf numFmtId="43" fontId="0" fillId="35" borderId="0" xfId="1" applyFont="1" applyFill="1"/>
    <xf numFmtId="43" fontId="0" fillId="36" borderId="0" xfId="1" applyFont="1" applyFill="1"/>
    <xf numFmtId="3" fontId="0" fillId="0" borderId="0" xfId="0" applyNumberFormat="1"/>
    <xf numFmtId="0" fontId="0" fillId="37" borderId="0" xfId="0" applyFill="1"/>
    <xf numFmtId="0" fontId="0" fillId="35" borderId="0" xfId="0" applyFill="1"/>
    <xf numFmtId="0" fontId="25" fillId="38" borderId="10" xfId="50" applyFont="1" applyFill="1" applyBorder="1" applyAlignment="1">
      <alignment horizontal="right"/>
    </xf>
    <xf numFmtId="0" fontId="25" fillId="38" borderId="12" xfId="50" applyFont="1" applyFill="1" applyBorder="1" applyAlignment="1">
      <alignment horizontal="right"/>
    </xf>
    <xf numFmtId="0" fontId="23" fillId="38" borderId="40" xfId="50" applyFont="1" applyFill="1" applyBorder="1" applyAlignment="1">
      <alignment horizontal="right"/>
    </xf>
    <xf numFmtId="0" fontId="23" fillId="38" borderId="12" xfId="50" applyFont="1" applyFill="1" applyBorder="1" applyAlignment="1">
      <alignment horizontal="right"/>
    </xf>
    <xf numFmtId="49" fontId="23" fillId="38" borderId="13" xfId="50" applyNumberFormat="1" applyFont="1" applyFill="1" applyBorder="1" applyAlignment="1">
      <alignment horizontal="center"/>
    </xf>
    <xf numFmtId="0" fontId="23" fillId="38" borderId="11" xfId="50" applyFont="1" applyFill="1" applyBorder="1" applyAlignment="1">
      <alignment horizontal="center"/>
    </xf>
    <xf numFmtId="14" fontId="28" fillId="38" borderId="0" xfId="58" applyNumberFormat="1" applyFont="1" applyFill="1" applyAlignment="1">
      <alignment horizontal="center" vertical="center" wrapText="1"/>
    </xf>
    <xf numFmtId="0" fontId="25" fillId="40" borderId="11" xfId="49" applyFont="1" applyFill="1" applyBorder="1" applyAlignment="1">
      <alignment horizontal="center" vertical="center" wrapText="1"/>
    </xf>
    <xf numFmtId="1" fontId="25" fillId="40" borderId="38" xfId="49" applyNumberFormat="1" applyFont="1" applyFill="1" applyBorder="1" applyAlignment="1">
      <alignment horizontal="center"/>
    </xf>
    <xf numFmtId="1" fontId="25" fillId="40" borderId="38" xfId="49" applyNumberFormat="1" applyFont="1" applyFill="1" applyBorder="1" applyAlignment="1">
      <alignment horizontal="center" wrapText="1"/>
    </xf>
    <xf numFmtId="0" fontId="25" fillId="40" borderId="39" xfId="49" applyFont="1" applyFill="1" applyBorder="1" applyAlignment="1">
      <alignment horizontal="center"/>
    </xf>
    <xf numFmtId="0" fontId="21" fillId="0" borderId="26" xfId="49" applyFont="1" applyBorder="1" applyAlignment="1">
      <alignment horizontal="center" vertical="center"/>
    </xf>
    <xf numFmtId="0" fontId="21" fillId="0" borderId="14" xfId="49" applyFont="1" applyBorder="1" applyAlignment="1">
      <alignment horizontal="center" vertical="center"/>
    </xf>
    <xf numFmtId="0" fontId="29" fillId="0" borderId="12" xfId="49" applyFont="1" applyBorder="1" applyAlignment="1">
      <alignment vertical="center"/>
    </xf>
    <xf numFmtId="0" fontId="21" fillId="0" borderId="12" xfId="49" applyFont="1" applyBorder="1" applyAlignment="1">
      <alignment horizontal="center" vertical="center"/>
    </xf>
    <xf numFmtId="1" fontId="21" fillId="0" borderId="12" xfId="49" applyNumberFormat="1" applyFont="1" applyBorder="1" applyAlignment="1">
      <alignment horizontal="center"/>
    </xf>
    <xf numFmtId="1" fontId="21" fillId="0" borderId="12" xfId="49" applyNumberFormat="1" applyFont="1" applyBorder="1" applyAlignment="1">
      <alignment horizontal="center" wrapText="1"/>
    </xf>
    <xf numFmtId="0" fontId="22" fillId="0" borderId="13" xfId="49" applyFont="1" applyBorder="1" applyAlignment="1">
      <alignment horizontal="center"/>
    </xf>
    <xf numFmtId="1" fontId="0" fillId="0" borderId="12" xfId="0" applyNumberFormat="1" applyBorder="1"/>
    <xf numFmtId="0" fontId="0" fillId="0" borderId="12" xfId="0" applyBorder="1" applyAlignment="1">
      <alignment horizontal="center"/>
    </xf>
    <xf numFmtId="0" fontId="0" fillId="0" borderId="12" xfId="0" applyBorder="1"/>
    <xf numFmtId="0" fontId="23" fillId="0" borderId="12" xfId="0" applyFont="1" applyBorder="1" applyAlignment="1">
      <alignment horizontal="center" vertical="center"/>
    </xf>
    <xf numFmtId="1" fontId="23" fillId="0" borderId="12" xfId="0" applyNumberFormat="1" applyFont="1" applyBorder="1" applyAlignment="1">
      <alignment horizontal="center" vertical="center"/>
    </xf>
    <xf numFmtId="1" fontId="23" fillId="0" borderId="12" xfId="0" applyNumberFormat="1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wrapText="1"/>
    </xf>
    <xf numFmtId="12" fontId="23" fillId="0" borderId="40" xfId="0" applyNumberFormat="1" applyFont="1" applyBorder="1" applyAlignment="1">
      <alignment horizontal="center"/>
    </xf>
    <xf numFmtId="0" fontId="23" fillId="0" borderId="12" xfId="0" applyFont="1" applyBorder="1" applyAlignment="1">
      <alignment horizontal="left" vertical="center"/>
    </xf>
    <xf numFmtId="0" fontId="30" fillId="0" borderId="12" xfId="0" applyFont="1" applyBorder="1" applyAlignment="1">
      <alignment horizontal="center" vertical="center"/>
    </xf>
    <xf numFmtId="0" fontId="31" fillId="0" borderId="12" xfId="0" applyFont="1" applyBorder="1"/>
    <xf numFmtId="0" fontId="32" fillId="0" borderId="12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0" fillId="0" borderId="14" xfId="0" applyBorder="1" applyAlignment="1">
      <alignment horizontal="center"/>
    </xf>
    <xf numFmtId="49" fontId="22" fillId="0" borderId="26" xfId="49" applyNumberFormat="1" applyFont="1" applyBorder="1" applyAlignment="1">
      <alignment horizontal="center"/>
    </xf>
    <xf numFmtId="49" fontId="22" fillId="0" borderId="14" xfId="49" applyNumberFormat="1" applyFont="1" applyBorder="1" applyAlignment="1">
      <alignment horizontal="center"/>
    </xf>
    <xf numFmtId="0" fontId="31" fillId="41" borderId="12" xfId="49" applyFont="1" applyFill="1" applyBorder="1" applyAlignment="1">
      <alignment horizontal="left"/>
    </xf>
    <xf numFmtId="0" fontId="23" fillId="41" borderId="12" xfId="49" applyFont="1" applyFill="1" applyBorder="1" applyAlignment="1">
      <alignment horizontal="center"/>
    </xf>
    <xf numFmtId="1" fontId="0" fillId="0" borderId="14" xfId="0" applyNumberFormat="1" applyBorder="1"/>
    <xf numFmtId="0" fontId="22" fillId="0" borderId="12" xfId="49" applyFont="1" applyBorder="1" applyAlignment="1">
      <alignment horizontal="center"/>
    </xf>
    <xf numFmtId="165" fontId="22" fillId="0" borderId="12" xfId="49" applyNumberFormat="1" applyFont="1" applyBorder="1" applyAlignment="1">
      <alignment horizontal="center"/>
    </xf>
    <xf numFmtId="1" fontId="22" fillId="0" borderId="12" xfId="49" applyNumberFormat="1" applyFont="1" applyBorder="1" applyAlignment="1">
      <alignment horizontal="center" wrapText="1"/>
    </xf>
    <xf numFmtId="0" fontId="33" fillId="41" borderId="26" xfId="0" applyFont="1" applyFill="1" applyBorder="1" applyAlignment="1">
      <alignment horizontal="center"/>
    </xf>
    <xf numFmtId="0" fontId="33" fillId="41" borderId="46" xfId="0" applyFont="1" applyFill="1" applyBorder="1" applyAlignment="1">
      <alignment horizontal="center"/>
    </xf>
    <xf numFmtId="0" fontId="33" fillId="41" borderId="40" xfId="0" applyFont="1" applyFill="1" applyBorder="1"/>
    <xf numFmtId="0" fontId="23" fillId="41" borderId="14" xfId="0" applyFont="1" applyFill="1" applyBorder="1" applyAlignment="1">
      <alignment horizontal="center"/>
    </xf>
    <xf numFmtId="1" fontId="23" fillId="41" borderId="40" xfId="0" applyNumberFormat="1" applyFont="1" applyFill="1" applyBorder="1" applyAlignment="1">
      <alignment horizontal="center"/>
    </xf>
    <xf numFmtId="1" fontId="23" fillId="41" borderId="40" xfId="0" applyNumberFormat="1" applyFont="1" applyFill="1" applyBorder="1" applyAlignment="1">
      <alignment horizontal="center" wrapText="1"/>
    </xf>
    <xf numFmtId="16" fontId="23" fillId="0" borderId="12" xfId="0" applyNumberFormat="1" applyFont="1" applyBorder="1" applyAlignment="1">
      <alignment horizontal="center"/>
    </xf>
    <xf numFmtId="1" fontId="23" fillId="0" borderId="12" xfId="0" applyNumberFormat="1" applyFont="1" applyBorder="1" applyAlignment="1">
      <alignment horizontal="center"/>
    </xf>
    <xf numFmtId="1" fontId="23" fillId="0" borderId="12" xfId="0" applyNumberFormat="1" applyFont="1" applyBorder="1" applyAlignment="1">
      <alignment horizontal="center" wrapText="1"/>
    </xf>
    <xf numFmtId="49" fontId="21" fillId="0" borderId="43" xfId="49" applyNumberFormat="1" applyFont="1" applyBorder="1" applyAlignment="1">
      <alignment horizontal="center"/>
    </xf>
    <xf numFmtId="49" fontId="21" fillId="0" borderId="36" xfId="49" applyNumberFormat="1" applyFont="1" applyBorder="1" applyAlignment="1">
      <alignment horizontal="center"/>
    </xf>
    <xf numFmtId="0" fontId="34" fillId="41" borderId="12" xfId="49" applyFont="1" applyFill="1" applyBorder="1" applyAlignment="1">
      <alignment vertical="center"/>
    </xf>
    <xf numFmtId="0" fontId="21" fillId="0" borderId="14" xfId="49" applyFont="1" applyBorder="1" applyAlignment="1">
      <alignment horizontal="center"/>
    </xf>
    <xf numFmtId="165" fontId="21" fillId="0" borderId="12" xfId="49" applyNumberFormat="1" applyFont="1" applyBorder="1" applyAlignment="1">
      <alignment horizontal="center"/>
    </xf>
    <xf numFmtId="49" fontId="22" fillId="0" borderId="26" xfId="0" applyNumberFormat="1" applyFont="1" applyBorder="1" applyAlignment="1">
      <alignment horizontal="center"/>
    </xf>
    <xf numFmtId="49" fontId="22" fillId="0" borderId="14" xfId="0" applyNumberFormat="1" applyFont="1" applyBorder="1" applyAlignment="1">
      <alignment horizontal="center"/>
    </xf>
    <xf numFmtId="49" fontId="35" fillId="0" borderId="12" xfId="0" applyNumberFormat="1" applyFont="1" applyBorder="1"/>
    <xf numFmtId="0" fontId="22" fillId="0" borderId="12" xfId="0" applyFont="1" applyBorder="1" applyAlignment="1">
      <alignment horizontal="center"/>
    </xf>
    <xf numFmtId="1" fontId="22" fillId="0" borderId="12" xfId="0" applyNumberFormat="1" applyFont="1" applyBorder="1" applyAlignment="1">
      <alignment horizontal="center"/>
    </xf>
    <xf numFmtId="1" fontId="22" fillId="0" borderId="12" xfId="0" applyNumberFormat="1" applyFont="1" applyBorder="1" applyAlignment="1">
      <alignment horizontal="center" wrapText="1"/>
    </xf>
    <xf numFmtId="166" fontId="25" fillId="41" borderId="12" xfId="1" applyNumberFormat="1" applyFont="1" applyFill="1" applyBorder="1" applyAlignment="1">
      <alignment horizontal="center"/>
    </xf>
    <xf numFmtId="0" fontId="36" fillId="0" borderId="26" xfId="0" applyFont="1" applyBorder="1" applyAlignment="1">
      <alignment horizontal="center"/>
    </xf>
    <xf numFmtId="0" fontId="36" fillId="0" borderId="14" xfId="0" applyFont="1" applyBorder="1" applyAlignment="1">
      <alignment horizontal="center"/>
    </xf>
    <xf numFmtId="0" fontId="37" fillId="0" borderId="12" xfId="0" applyFont="1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12" fontId="22" fillId="0" borderId="12" xfId="49" applyNumberFormat="1" applyFont="1" applyBorder="1" applyAlignment="1">
      <alignment horizontal="center"/>
    </xf>
    <xf numFmtId="1" fontId="22" fillId="0" borderId="12" xfId="49" applyNumberFormat="1" applyFont="1" applyBorder="1" applyAlignment="1">
      <alignment horizontal="center"/>
    </xf>
    <xf numFmtId="0" fontId="23" fillId="0" borderId="12" xfId="0" quotePrefix="1" applyFont="1" applyBorder="1" applyAlignment="1">
      <alignment horizontal="center"/>
    </xf>
    <xf numFmtId="0" fontId="23" fillId="0" borderId="12" xfId="0" quotePrefix="1" applyFont="1" applyBorder="1"/>
    <xf numFmtId="49" fontId="27" fillId="38" borderId="23" xfId="49" applyNumberFormat="1" applyFont="1" applyFill="1" applyBorder="1" applyAlignment="1">
      <alignment horizontal="center" vertical="center"/>
    </xf>
    <xf numFmtId="49" fontId="27" fillId="38" borderId="0" xfId="49" applyNumberFormat="1" applyFont="1" applyFill="1" applyAlignment="1">
      <alignment horizontal="center" vertical="center"/>
    </xf>
    <xf numFmtId="0" fontId="23" fillId="38" borderId="0" xfId="49" applyFont="1" applyFill="1"/>
    <xf numFmtId="1" fontId="23" fillId="38" borderId="0" xfId="49" applyNumberFormat="1" applyFont="1" applyFill="1" applyAlignment="1">
      <alignment horizontal="center"/>
    </xf>
    <xf numFmtId="164" fontId="23" fillId="38" borderId="0" xfId="49" applyNumberFormat="1" applyFont="1" applyFill="1" applyAlignment="1">
      <alignment horizontal="center" wrapText="1"/>
    </xf>
    <xf numFmtId="0" fontId="23" fillId="38" borderId="24" xfId="49" applyFont="1" applyFill="1" applyBorder="1" applyAlignment="1">
      <alignment horizontal="center"/>
    </xf>
    <xf numFmtId="0" fontId="23" fillId="40" borderId="49" xfId="49" applyFont="1" applyFill="1" applyBorder="1" applyAlignment="1">
      <alignment horizontal="center"/>
    </xf>
    <xf numFmtId="0" fontId="23" fillId="40" borderId="18" xfId="49" applyFont="1" applyFill="1" applyBorder="1" applyAlignment="1">
      <alignment horizontal="center"/>
    </xf>
    <xf numFmtId="0" fontId="23" fillId="40" borderId="18" xfId="49" applyFont="1" applyFill="1" applyBorder="1"/>
    <xf numFmtId="0" fontId="25" fillId="40" borderId="18" xfId="49" applyFont="1" applyFill="1" applyBorder="1" applyAlignment="1">
      <alignment horizontal="center"/>
    </xf>
    <xf numFmtId="1" fontId="25" fillId="40" borderId="18" xfId="49" applyNumberFormat="1" applyFont="1" applyFill="1" applyBorder="1" applyAlignment="1">
      <alignment horizontal="center"/>
    </xf>
    <xf numFmtId="164" fontId="23" fillId="40" borderId="18" xfId="49" applyNumberFormat="1" applyFont="1" applyFill="1" applyBorder="1" applyAlignment="1">
      <alignment horizontal="center" wrapText="1"/>
    </xf>
    <xf numFmtId="0" fontId="23" fillId="40" borderId="27" xfId="49" applyFont="1" applyFill="1" applyBorder="1" applyAlignment="1">
      <alignment horizontal="center"/>
    </xf>
    <xf numFmtId="1" fontId="23" fillId="0" borderId="40" xfId="0" applyNumberFormat="1" applyFont="1" applyBorder="1" applyAlignment="1">
      <alignment horizontal="center"/>
    </xf>
    <xf numFmtId="0" fontId="23" fillId="0" borderId="41" xfId="0" applyFont="1" applyBorder="1" applyAlignment="1">
      <alignment horizontal="center"/>
    </xf>
    <xf numFmtId="1" fontId="23" fillId="0" borderId="38" xfId="0" applyNumberFormat="1" applyFont="1" applyBorder="1" applyAlignment="1">
      <alignment horizontal="center"/>
    </xf>
    <xf numFmtId="0" fontId="23" fillId="0" borderId="38" xfId="0" applyFont="1" applyBorder="1" applyAlignment="1">
      <alignment horizontal="center"/>
    </xf>
    <xf numFmtId="14" fontId="23" fillId="38" borderId="22" xfId="50" applyNumberFormat="1" applyFont="1" applyFill="1" applyBorder="1" applyAlignment="1">
      <alignment horizontal="center" vertical="center" wrapText="1"/>
    </xf>
    <xf numFmtId="14" fontId="23" fillId="38" borderId="31" xfId="50" applyNumberFormat="1" applyFont="1" applyFill="1" applyBorder="1" applyAlignment="1">
      <alignment horizontal="center" vertical="center" wrapText="1"/>
    </xf>
    <xf numFmtId="14" fontId="23" fillId="38" borderId="50" xfId="50" applyNumberFormat="1" applyFont="1" applyFill="1" applyBorder="1" applyAlignment="1">
      <alignment horizontal="center" vertical="center" wrapText="1"/>
    </xf>
    <xf numFmtId="0" fontId="23" fillId="38" borderId="32" xfId="50" applyFont="1" applyFill="1" applyBorder="1" applyAlignment="1">
      <alignment horizontal="left"/>
    </xf>
    <xf numFmtId="0" fontId="23" fillId="38" borderId="33" xfId="50" applyFont="1" applyFill="1" applyBorder="1" applyAlignment="1">
      <alignment horizontal="left"/>
    </xf>
    <xf numFmtId="0" fontId="23" fillId="38" borderId="34" xfId="50" applyFont="1" applyFill="1" applyBorder="1" applyAlignment="1">
      <alignment horizontal="left"/>
    </xf>
    <xf numFmtId="0" fontId="23" fillId="38" borderId="35" xfId="50" applyFont="1" applyFill="1" applyBorder="1" applyAlignment="1">
      <alignment horizontal="left"/>
    </xf>
    <xf numFmtId="0" fontId="23" fillId="38" borderId="36" xfId="50" applyFont="1" applyFill="1" applyBorder="1" applyAlignment="1">
      <alignment horizontal="left"/>
    </xf>
    <xf numFmtId="0" fontId="23" fillId="38" borderId="14" xfId="50" applyFont="1" applyFill="1" applyBorder="1" applyAlignment="1">
      <alignment horizontal="left"/>
    </xf>
    <xf numFmtId="0" fontId="23" fillId="38" borderId="47" xfId="50" applyFont="1" applyFill="1" applyBorder="1" applyAlignment="1">
      <alignment horizontal="center"/>
    </xf>
    <xf numFmtId="0" fontId="23" fillId="38" borderId="19" xfId="50" applyFont="1" applyFill="1" applyBorder="1" applyAlignment="1">
      <alignment horizontal="center"/>
    </xf>
    <xf numFmtId="0" fontId="23" fillId="38" borderId="23" xfId="50" applyFont="1" applyFill="1" applyBorder="1" applyAlignment="1">
      <alignment horizontal="center"/>
    </xf>
    <xf numFmtId="0" fontId="23" fillId="38" borderId="0" xfId="50" applyFont="1" applyFill="1" applyAlignment="1">
      <alignment horizontal="center"/>
    </xf>
    <xf numFmtId="0" fontId="23" fillId="38" borderId="45" xfId="50" applyFont="1" applyFill="1" applyBorder="1" applyAlignment="1">
      <alignment horizontal="center"/>
    </xf>
    <xf numFmtId="0" fontId="23" fillId="38" borderId="20" xfId="50" applyFont="1" applyFill="1" applyBorder="1" applyAlignment="1">
      <alignment horizontal="center"/>
    </xf>
    <xf numFmtId="0" fontId="24" fillId="38" borderId="10" xfId="50" applyFont="1" applyFill="1" applyBorder="1" applyAlignment="1">
      <alignment horizontal="center"/>
    </xf>
    <xf numFmtId="0" fontId="24" fillId="38" borderId="48" xfId="50" applyFont="1" applyFill="1" applyBorder="1" applyAlignment="1">
      <alignment horizontal="center"/>
    </xf>
    <xf numFmtId="0" fontId="24" fillId="38" borderId="52" xfId="50" applyFont="1" applyFill="1" applyBorder="1" applyAlignment="1">
      <alignment horizontal="center"/>
    </xf>
    <xf numFmtId="0" fontId="24" fillId="38" borderId="51" xfId="50" applyFont="1" applyFill="1" applyBorder="1" applyAlignment="1">
      <alignment horizontal="center"/>
    </xf>
    <xf numFmtId="0" fontId="26" fillId="39" borderId="15" xfId="50" applyFont="1" applyFill="1" applyBorder="1" applyAlignment="1">
      <alignment horizontal="center"/>
    </xf>
    <xf numFmtId="0" fontId="26" fillId="39" borderId="16" xfId="50" applyFont="1" applyFill="1" applyBorder="1" applyAlignment="1">
      <alignment horizontal="center"/>
    </xf>
    <xf numFmtId="0" fontId="26" fillId="39" borderId="17" xfId="50" applyFont="1" applyFill="1" applyBorder="1" applyAlignment="1">
      <alignment horizontal="center"/>
    </xf>
    <xf numFmtId="0" fontId="25" fillId="38" borderId="28" xfId="50" applyFont="1" applyFill="1" applyBorder="1" applyAlignment="1">
      <alignment horizontal="right" vertical="top" wrapText="1"/>
    </xf>
    <xf numFmtId="0" fontId="25" fillId="38" borderId="29" xfId="50" applyFont="1" applyFill="1" applyBorder="1" applyAlignment="1">
      <alignment horizontal="right" vertical="top" wrapText="1"/>
    </xf>
    <xf numFmtId="0" fontId="25" fillId="38" borderId="30" xfId="50" applyFont="1" applyFill="1" applyBorder="1" applyAlignment="1">
      <alignment horizontal="right" vertical="top" wrapText="1"/>
    </xf>
    <xf numFmtId="0" fontId="20" fillId="38" borderId="0" xfId="58" applyFont="1" applyFill="1" applyAlignment="1">
      <alignment horizontal="right"/>
    </xf>
    <xf numFmtId="0" fontId="28" fillId="38" borderId="21" xfId="58" applyFont="1" applyFill="1" applyBorder="1" applyAlignment="1">
      <alignment horizontal="center"/>
    </xf>
    <xf numFmtId="0" fontId="20" fillId="38" borderId="0" xfId="58" applyFont="1" applyFill="1"/>
    <xf numFmtId="0" fontId="25" fillId="40" borderId="25" xfId="49" applyFont="1" applyFill="1" applyBorder="1" applyAlignment="1">
      <alignment horizontal="center" vertical="center"/>
    </xf>
    <xf numFmtId="0" fontId="25" fillId="40" borderId="37" xfId="49" applyFont="1" applyFill="1" applyBorder="1" applyAlignment="1">
      <alignment horizontal="center" vertical="center"/>
    </xf>
    <xf numFmtId="0" fontId="25" fillId="40" borderId="25" xfId="49" applyFont="1" applyFill="1" applyBorder="1" applyAlignment="1">
      <alignment horizontal="center" vertical="center" wrapText="1"/>
    </xf>
    <xf numFmtId="0" fontId="25" fillId="40" borderId="37" xfId="49" applyFont="1" applyFill="1" applyBorder="1" applyAlignment="1">
      <alignment horizontal="center" vertical="center" wrapText="1"/>
    </xf>
    <xf numFmtId="0" fontId="25" fillId="40" borderId="10" xfId="49" applyFont="1" applyFill="1" applyBorder="1" applyAlignment="1">
      <alignment horizontal="center" vertical="center"/>
    </xf>
    <xf numFmtId="0" fontId="25" fillId="40" borderId="38" xfId="49" applyFont="1" applyFill="1" applyBorder="1" applyAlignment="1">
      <alignment horizontal="center" vertical="center"/>
    </xf>
    <xf numFmtId="0" fontId="25" fillId="0" borderId="45" xfId="49" applyFont="1" applyBorder="1" applyAlignment="1">
      <alignment horizontal="right"/>
    </xf>
    <xf numFmtId="0" fontId="25" fillId="0" borderId="20" xfId="49" applyFont="1" applyBorder="1" applyAlignment="1">
      <alignment horizontal="right"/>
    </xf>
    <xf numFmtId="0" fontId="25" fillId="0" borderId="46" xfId="49" applyFont="1" applyBorder="1" applyAlignment="1">
      <alignment horizontal="right"/>
    </xf>
    <xf numFmtId="164" fontId="23" fillId="0" borderId="40" xfId="49" applyNumberFormat="1" applyFont="1" applyBorder="1" applyAlignment="1">
      <alignment horizontal="right"/>
    </xf>
    <xf numFmtId="0" fontId="23" fillId="38" borderId="41" xfId="49" applyFont="1" applyFill="1" applyBorder="1" applyAlignment="1">
      <alignment horizontal="center"/>
    </xf>
    <xf numFmtId="0" fontId="23" fillId="38" borderId="42" xfId="49" applyFont="1" applyFill="1" applyBorder="1" applyAlignment="1">
      <alignment horizontal="center"/>
    </xf>
    <xf numFmtId="0" fontId="25" fillId="0" borderId="43" xfId="49" applyFont="1" applyBorder="1" applyAlignment="1">
      <alignment horizontal="right"/>
    </xf>
    <xf numFmtId="0" fontId="25" fillId="0" borderId="36" xfId="49" applyFont="1" applyBorder="1" applyAlignment="1">
      <alignment horizontal="right"/>
    </xf>
    <xf numFmtId="0" fontId="25" fillId="0" borderId="14" xfId="49" applyFont="1" applyBorder="1" applyAlignment="1">
      <alignment horizontal="right"/>
    </xf>
    <xf numFmtId="0" fontId="23" fillId="0" borderId="12" xfId="49" applyFont="1" applyBorder="1" applyAlignment="1">
      <alignment horizontal="right"/>
    </xf>
    <xf numFmtId="164" fontId="23" fillId="0" borderId="35" xfId="49" applyNumberFormat="1" applyFont="1" applyBorder="1" applyAlignment="1">
      <alignment horizontal="center"/>
    </xf>
    <xf numFmtId="164" fontId="23" fillId="0" borderId="44" xfId="49" applyNumberFormat="1" applyFont="1" applyBorder="1" applyAlignment="1">
      <alignment horizontal="center"/>
    </xf>
    <xf numFmtId="164" fontId="23" fillId="0" borderId="35" xfId="49" applyNumberFormat="1" applyFont="1" applyBorder="1" applyAlignment="1">
      <alignment horizontal="right" wrapText="1"/>
    </xf>
    <xf numFmtId="164" fontId="23" fillId="0" borderId="14" xfId="49" applyNumberFormat="1" applyFont="1" applyBorder="1" applyAlignment="1">
      <alignment horizontal="right" wrapText="1"/>
    </xf>
    <xf numFmtId="164" fontId="23" fillId="0" borderId="35" xfId="0" applyNumberFormat="1" applyFont="1" applyBorder="1" applyAlignment="1">
      <alignment horizontal="center" wrapText="1"/>
    </xf>
    <xf numFmtId="164" fontId="23" fillId="0" borderId="44" xfId="0" applyNumberFormat="1" applyFont="1" applyBorder="1" applyAlignment="1">
      <alignment horizontal="center" wrapText="1"/>
    </xf>
    <xf numFmtId="0" fontId="23" fillId="0" borderId="35" xfId="0" applyFont="1" applyBorder="1" applyAlignment="1">
      <alignment horizontal="left" wrapText="1"/>
    </xf>
    <xf numFmtId="0" fontId="23" fillId="0" borderId="36" xfId="0" applyFont="1" applyBorder="1" applyAlignment="1">
      <alignment horizontal="left" wrapText="1"/>
    </xf>
    <xf numFmtId="0" fontId="23" fillId="0" borderId="14" xfId="0" applyFont="1" applyBorder="1" applyAlignment="1">
      <alignment horizontal="left" wrapText="1"/>
    </xf>
    <xf numFmtId="0" fontId="25" fillId="0" borderId="37" xfId="49" applyFont="1" applyBorder="1" applyAlignment="1">
      <alignment horizontal="right"/>
    </xf>
    <xf numFmtId="0" fontId="25" fillId="0" borderId="51" xfId="49" applyFont="1" applyBorder="1" applyAlignment="1">
      <alignment horizontal="right"/>
    </xf>
    <xf numFmtId="0" fontId="25" fillId="0" borderId="38" xfId="49" applyFont="1" applyBorder="1" applyAlignment="1">
      <alignment horizontal="right"/>
    </xf>
    <xf numFmtId="0" fontId="23" fillId="0" borderId="38" xfId="49" applyFont="1" applyBorder="1" applyAlignment="1">
      <alignment horizontal="right"/>
    </xf>
    <xf numFmtId="0" fontId="25" fillId="40" borderId="49" xfId="49" applyFont="1" applyFill="1" applyBorder="1" applyAlignment="1">
      <alignment horizontal="left"/>
    </xf>
    <xf numFmtId="0" fontId="25" fillId="40" borderId="18" xfId="49" applyFont="1" applyFill="1" applyBorder="1" applyAlignment="1">
      <alignment horizontal="left"/>
    </xf>
    <xf numFmtId="0" fontId="25" fillId="40" borderId="27" xfId="49" applyFont="1" applyFill="1" applyBorder="1" applyAlignment="1">
      <alignment horizontal="left"/>
    </xf>
    <xf numFmtId="0" fontId="23" fillId="0" borderId="26" xfId="43" applyFont="1" applyBorder="1" applyAlignment="1">
      <alignment horizontal="left" wrapText="1"/>
    </xf>
    <xf numFmtId="0" fontId="23" fillId="0" borderId="14" xfId="43" applyFont="1" applyBorder="1" applyAlignment="1">
      <alignment horizontal="left" wrapText="1"/>
    </xf>
    <xf numFmtId="0" fontId="23" fillId="0" borderId="12" xfId="43" applyFont="1" applyBorder="1" applyAlignment="1">
      <alignment horizontal="left" wrapText="1"/>
    </xf>
    <xf numFmtId="0" fontId="23" fillId="0" borderId="13" xfId="43" applyFont="1" applyBorder="1" applyAlignment="1">
      <alignment horizontal="left" wrapText="1"/>
    </xf>
    <xf numFmtId="0" fontId="23" fillId="0" borderId="37" xfId="43" applyFont="1" applyBorder="1" applyAlignment="1">
      <alignment horizontal="left"/>
    </xf>
    <xf numFmtId="0" fontId="23" fillId="0" borderId="51" xfId="43" applyFont="1" applyBorder="1" applyAlignment="1">
      <alignment horizontal="left"/>
    </xf>
    <xf numFmtId="0" fontId="23" fillId="0" borderId="38" xfId="43" applyFont="1" applyBorder="1" applyAlignment="1">
      <alignment horizontal="left"/>
    </xf>
    <xf numFmtId="0" fontId="23" fillId="0" borderId="39" xfId="43" applyFont="1" applyBorder="1" applyAlignment="1">
      <alignment horizontal="left"/>
    </xf>
    <xf numFmtId="0" fontId="38" fillId="0" borderId="35" xfId="0" applyFont="1" applyBorder="1" applyAlignment="1">
      <alignment wrapText="1"/>
    </xf>
    <xf numFmtId="0" fontId="38" fillId="0" borderId="36" xfId="0" applyFont="1" applyBorder="1" applyAlignment="1">
      <alignment wrapText="1"/>
    </xf>
    <xf numFmtId="0" fontId="38" fillId="0" borderId="14" xfId="0" applyFont="1" applyBorder="1" applyAlignment="1">
      <alignment wrapText="1"/>
    </xf>
    <xf numFmtId="0" fontId="23" fillId="0" borderId="43" xfId="0" applyFont="1" applyBorder="1" applyAlignment="1">
      <alignment horizontal="left" wrapText="1"/>
    </xf>
    <xf numFmtId="0" fontId="23" fillId="0" borderId="44" xfId="0" applyFont="1" applyBorder="1" applyAlignment="1">
      <alignment horizontal="left" wrapText="1"/>
    </xf>
    <xf numFmtId="0" fontId="25" fillId="42" borderId="53" xfId="50" applyFont="1" applyFill="1" applyBorder="1" applyAlignment="1">
      <alignment horizontal="center"/>
    </xf>
    <xf numFmtId="0" fontId="25" fillId="42" borderId="19" xfId="50" applyFont="1" applyFill="1" applyBorder="1" applyAlignment="1">
      <alignment horizontal="center"/>
    </xf>
    <xf numFmtId="0" fontId="23" fillId="38" borderId="54" xfId="50" applyFont="1" applyFill="1" applyBorder="1" applyAlignment="1">
      <alignment horizontal="left"/>
    </xf>
    <xf numFmtId="0" fontId="23" fillId="38" borderId="0" xfId="50" applyFont="1" applyFill="1" applyAlignment="1">
      <alignment horizontal="left"/>
    </xf>
  </cellXfs>
  <cellStyles count="62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Millares [0] 2" xfId="46" xr:uid="{D6F343A5-7E65-4F68-AE6E-FA0038289BC5}"/>
    <cellStyle name="Millares [0] 3" xfId="61" xr:uid="{BF797A5D-FA30-4141-9421-663291E855E4}"/>
    <cellStyle name="Millares [0] 4" xfId="45" xr:uid="{63488486-0462-4160-A0CF-318DC2638C6E}"/>
    <cellStyle name="Millares 2" xfId="47" xr:uid="{EBD9584E-5FF6-4019-BD1B-07242FC74B43}"/>
    <cellStyle name="Millares 3" xfId="48" xr:uid="{69D88878-7042-4596-AA5B-0908B52F6977}"/>
    <cellStyle name="Millares 4" xfId="60" xr:uid="{5CC52138-2797-4474-9ABD-EEB562B26595}"/>
    <cellStyle name="Millares 5" xfId="44" xr:uid="{65F3A088-B085-40C3-8C1D-6569BE7A338A}"/>
    <cellStyle name="Neutral" xfId="9" builtinId="28" customBuiltin="1"/>
    <cellStyle name="Normal" xfId="0" builtinId="0"/>
    <cellStyle name="Normal 2" xfId="49" xr:uid="{DC19C788-CAA2-40F2-8ABE-62D6DCFF9ADB}"/>
    <cellStyle name="Normal 3" xfId="57" xr:uid="{D0634DED-6F76-4321-A357-A9A3748AA0ED}"/>
    <cellStyle name="Normal 4" xfId="43" xr:uid="{EC48E6A8-B31D-4350-88E9-E16582CDEAA6}"/>
    <cellStyle name="Normal_CRITERIOS DE EVALUACION PT DE GB" xfId="50" xr:uid="{F830B1ED-46B8-494B-9D76-20A450C41C86}"/>
    <cellStyle name="Normal_CRITERIOS DE EVALUACION PT DE GB 2" xfId="58" xr:uid="{58B7DD3A-5660-4C12-BB94-A2EBDC724CAF}"/>
    <cellStyle name="Notas" xfId="16" builtinId="10" customBuiltin="1"/>
    <cellStyle name="Porcentaje 2" xfId="52" xr:uid="{DA897DD1-30B8-4949-B866-72E96467DC61}"/>
    <cellStyle name="Porcentaje 3" xfId="53" xr:uid="{1F8EC6E6-DAEE-46B0-A9BC-734D971A2112}"/>
    <cellStyle name="Porcentaje 3 2" xfId="54" xr:uid="{96486CB9-311D-41AA-B7A9-F9D249CC5300}"/>
    <cellStyle name="Porcentaje 4" xfId="55" xr:uid="{34E8FB01-70DA-4C5C-96A8-13804A21CB4E}"/>
    <cellStyle name="Porcentaje 4 2" xfId="59" xr:uid="{57F573F0-86C5-4268-93A0-8A7CE7348B4B}"/>
    <cellStyle name="Porcentaje 5" xfId="51" xr:uid="{493CCD04-6AB4-4C3E-8BB4-38F33E2494C6}"/>
    <cellStyle name="Porcentaje 6" xfId="56" xr:uid="{0FB84089-C8C3-4EE2-9096-9EEB81C9F3C9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0"/>
  <sheetViews>
    <sheetView topLeftCell="A19" workbookViewId="0">
      <selection activeCell="L28" sqref="L28:L32"/>
    </sheetView>
  </sheetViews>
  <sheetFormatPr baseColWidth="10" defaultRowHeight="14.4" x14ac:dyDescent="0.3"/>
  <cols>
    <col min="1" max="1" width="21.77734375" customWidth="1"/>
    <col min="3" max="3" width="40.77734375" customWidth="1"/>
    <col min="11" max="11" width="10" customWidth="1"/>
    <col min="12" max="12" width="11.44140625" style="2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16</v>
      </c>
    </row>
    <row r="14" spans="1:2" x14ac:dyDescent="0.3">
      <c r="A14" t="s">
        <v>22</v>
      </c>
      <c r="B14" t="s">
        <v>23</v>
      </c>
    </row>
    <row r="17" spans="1:12" x14ac:dyDescent="0.3">
      <c r="A17" t="s">
        <v>24</v>
      </c>
      <c r="B17" t="s">
        <v>25</v>
      </c>
    </row>
    <row r="18" spans="1:12" x14ac:dyDescent="0.3">
      <c r="A18" t="s">
        <v>26</v>
      </c>
      <c r="B18" t="s">
        <v>27</v>
      </c>
    </row>
    <row r="20" spans="1:12" x14ac:dyDescent="0.3">
      <c r="A20" t="s">
        <v>28</v>
      </c>
      <c r="B20" t="s">
        <v>29</v>
      </c>
      <c r="C20" t="s">
        <v>30</v>
      </c>
      <c r="D20" t="s">
        <v>31</v>
      </c>
      <c r="E20" t="s">
        <v>32</v>
      </c>
      <c r="F20" t="s">
        <v>33</v>
      </c>
      <c r="G20" t="s">
        <v>34</v>
      </c>
      <c r="H20" t="s">
        <v>35</v>
      </c>
      <c r="I20" s="1" t="s">
        <v>36</v>
      </c>
      <c r="J20" t="s">
        <v>37</v>
      </c>
      <c r="K20" t="s">
        <v>38</v>
      </c>
    </row>
    <row r="21" spans="1:12" x14ac:dyDescent="0.3">
      <c r="A21" t="s">
        <v>39</v>
      </c>
      <c r="B21" t="s">
        <v>40</v>
      </c>
      <c r="C21" t="s">
        <v>41</v>
      </c>
      <c r="D21" t="s">
        <v>40</v>
      </c>
      <c r="E21" t="s">
        <v>42</v>
      </c>
      <c r="F21" t="s">
        <v>40</v>
      </c>
      <c r="G21" t="s">
        <v>40</v>
      </c>
      <c r="H21" t="s">
        <v>40</v>
      </c>
      <c r="I21" s="1" t="s">
        <v>43</v>
      </c>
      <c r="J21" t="s">
        <v>44</v>
      </c>
      <c r="K21" t="s">
        <v>43</v>
      </c>
      <c r="L21" s="3">
        <v>42.6</v>
      </c>
    </row>
    <row r="22" spans="1:12" x14ac:dyDescent="0.3">
      <c r="A22" t="s">
        <v>45</v>
      </c>
      <c r="B22" t="s">
        <v>40</v>
      </c>
      <c r="C22" t="s">
        <v>46</v>
      </c>
      <c r="D22" t="s">
        <v>40</v>
      </c>
      <c r="E22" t="s">
        <v>42</v>
      </c>
      <c r="F22" t="s">
        <v>40</v>
      </c>
      <c r="G22" t="s">
        <v>40</v>
      </c>
      <c r="H22" t="s">
        <v>40</v>
      </c>
      <c r="I22" s="1" t="s">
        <v>47</v>
      </c>
      <c r="J22" t="s">
        <v>44</v>
      </c>
      <c r="K22" t="s">
        <v>47</v>
      </c>
      <c r="L22" s="3">
        <v>548</v>
      </c>
    </row>
    <row r="23" spans="1:12" x14ac:dyDescent="0.3">
      <c r="A23" t="s">
        <v>48</v>
      </c>
      <c r="B23" t="s">
        <v>40</v>
      </c>
      <c r="C23" t="s">
        <v>49</v>
      </c>
      <c r="D23" t="s">
        <v>40</v>
      </c>
      <c r="E23" t="s">
        <v>42</v>
      </c>
      <c r="F23" t="s">
        <v>40</v>
      </c>
      <c r="G23" t="s">
        <v>40</v>
      </c>
      <c r="H23" t="s">
        <v>40</v>
      </c>
      <c r="I23" s="1" t="s">
        <v>50</v>
      </c>
      <c r="J23" t="s">
        <v>44</v>
      </c>
      <c r="K23" t="s">
        <v>50</v>
      </c>
      <c r="L23" s="3">
        <v>78</v>
      </c>
    </row>
    <row r="24" spans="1:12" x14ac:dyDescent="0.3">
      <c r="A24" t="s">
        <v>51</v>
      </c>
      <c r="B24" t="s">
        <v>40</v>
      </c>
      <c r="C24" t="s">
        <v>52</v>
      </c>
      <c r="D24" t="s">
        <v>53</v>
      </c>
      <c r="E24" t="s">
        <v>42</v>
      </c>
      <c r="F24" t="s">
        <v>53</v>
      </c>
      <c r="G24" t="s">
        <v>53</v>
      </c>
      <c r="H24" t="s">
        <v>53</v>
      </c>
      <c r="I24" s="1" t="s">
        <v>54</v>
      </c>
      <c r="J24" t="s">
        <v>44</v>
      </c>
      <c r="K24" t="s">
        <v>55</v>
      </c>
      <c r="L24" s="3">
        <v>9.59</v>
      </c>
    </row>
    <row r="25" spans="1:12" x14ac:dyDescent="0.3">
      <c r="A25" t="s">
        <v>56</v>
      </c>
      <c r="B25" t="s">
        <v>40</v>
      </c>
      <c r="C25" t="s">
        <v>57</v>
      </c>
      <c r="D25" t="s">
        <v>58</v>
      </c>
      <c r="E25" t="s">
        <v>42</v>
      </c>
      <c r="F25" t="s">
        <v>58</v>
      </c>
      <c r="G25" t="s">
        <v>58</v>
      </c>
      <c r="H25" t="s">
        <v>58</v>
      </c>
      <c r="I25" s="1" t="s">
        <v>59</v>
      </c>
      <c r="J25" t="s">
        <v>44</v>
      </c>
      <c r="K25" t="s">
        <v>60</v>
      </c>
      <c r="L25" s="3">
        <v>470.92</v>
      </c>
    </row>
    <row r="26" spans="1:12" x14ac:dyDescent="0.3">
      <c r="A26" t="s">
        <v>61</v>
      </c>
      <c r="B26" t="s">
        <v>40</v>
      </c>
      <c r="C26" t="s">
        <v>62</v>
      </c>
      <c r="D26" t="s">
        <v>58</v>
      </c>
      <c r="E26" t="s">
        <v>42</v>
      </c>
      <c r="F26" t="s">
        <v>58</v>
      </c>
      <c r="G26" t="s">
        <v>58</v>
      </c>
      <c r="H26" t="s">
        <v>58</v>
      </c>
      <c r="I26" s="1" t="s">
        <v>63</v>
      </c>
      <c r="J26" t="s">
        <v>44</v>
      </c>
      <c r="K26" t="s">
        <v>64</v>
      </c>
      <c r="L26" s="3">
        <v>447.76</v>
      </c>
    </row>
    <row r="27" spans="1:12" x14ac:dyDescent="0.3">
      <c r="A27" t="s">
        <v>65</v>
      </c>
      <c r="B27" t="s">
        <v>40</v>
      </c>
      <c r="C27" t="s">
        <v>66</v>
      </c>
      <c r="D27" t="s">
        <v>40</v>
      </c>
      <c r="E27" t="s">
        <v>42</v>
      </c>
      <c r="F27" t="s">
        <v>40</v>
      </c>
      <c r="G27" t="s">
        <v>40</v>
      </c>
      <c r="H27" t="s">
        <v>40</v>
      </c>
      <c r="I27" s="1" t="s">
        <v>67</v>
      </c>
      <c r="J27" t="s">
        <v>44</v>
      </c>
      <c r="K27" t="s">
        <v>68</v>
      </c>
      <c r="L27" s="3">
        <v>1288.22</v>
      </c>
    </row>
    <row r="28" spans="1:12" x14ac:dyDescent="0.3">
      <c r="A28" s="7" t="s">
        <v>69</v>
      </c>
      <c r="B28" s="7" t="s">
        <v>70</v>
      </c>
      <c r="C28" s="7" t="s">
        <v>71</v>
      </c>
      <c r="D28" s="7" t="s">
        <v>72</v>
      </c>
      <c r="E28" s="7" t="s">
        <v>42</v>
      </c>
      <c r="F28" s="7" t="s">
        <v>72</v>
      </c>
      <c r="G28" s="7" t="s">
        <v>72</v>
      </c>
      <c r="H28" s="7" t="s">
        <v>72</v>
      </c>
      <c r="I28" s="7" t="s">
        <v>73</v>
      </c>
      <c r="J28" t="s">
        <v>74</v>
      </c>
      <c r="K28" t="s">
        <v>75</v>
      </c>
      <c r="L28" s="4">
        <v>249.44</v>
      </c>
    </row>
    <row r="29" spans="1:12" x14ac:dyDescent="0.3">
      <c r="A29" t="s">
        <v>76</v>
      </c>
      <c r="B29" t="s">
        <v>70</v>
      </c>
      <c r="C29" t="s">
        <v>77</v>
      </c>
      <c r="D29" t="s">
        <v>78</v>
      </c>
      <c r="E29" t="s">
        <v>42</v>
      </c>
      <c r="F29" t="s">
        <v>78</v>
      </c>
      <c r="G29" t="s">
        <v>78</v>
      </c>
      <c r="H29" t="s">
        <v>78</v>
      </c>
      <c r="I29" s="1" t="s">
        <v>79</v>
      </c>
      <c r="J29" t="s">
        <v>80</v>
      </c>
      <c r="K29" t="s">
        <v>81</v>
      </c>
      <c r="L29" s="4">
        <v>5.79</v>
      </c>
    </row>
    <row r="30" spans="1:12" x14ac:dyDescent="0.3">
      <c r="A30" t="s">
        <v>82</v>
      </c>
      <c r="B30" t="s">
        <v>70</v>
      </c>
      <c r="C30" t="s">
        <v>83</v>
      </c>
      <c r="D30" t="s">
        <v>84</v>
      </c>
      <c r="E30" t="s">
        <v>42</v>
      </c>
      <c r="F30" t="s">
        <v>84</v>
      </c>
      <c r="G30" t="s">
        <v>84</v>
      </c>
      <c r="H30" t="s">
        <v>84</v>
      </c>
      <c r="I30" s="1" t="s">
        <v>85</v>
      </c>
      <c r="J30" t="s">
        <v>80</v>
      </c>
      <c r="K30" t="s">
        <v>86</v>
      </c>
      <c r="L30" s="4">
        <v>0.56000000000000005</v>
      </c>
    </row>
    <row r="31" spans="1:12" x14ac:dyDescent="0.3">
      <c r="A31" t="s">
        <v>87</v>
      </c>
      <c r="B31" t="s">
        <v>70</v>
      </c>
      <c r="C31" t="s">
        <v>88</v>
      </c>
      <c r="D31" t="s">
        <v>89</v>
      </c>
      <c r="E31" t="s">
        <v>42</v>
      </c>
      <c r="F31" t="s">
        <v>89</v>
      </c>
      <c r="G31" t="s">
        <v>89</v>
      </c>
      <c r="H31" t="s">
        <v>89</v>
      </c>
      <c r="I31" s="1" t="s">
        <v>90</v>
      </c>
      <c r="J31" t="s">
        <v>80</v>
      </c>
      <c r="K31" t="s">
        <v>91</v>
      </c>
      <c r="L31" s="4">
        <v>43.22</v>
      </c>
    </row>
    <row r="32" spans="1:12" x14ac:dyDescent="0.3">
      <c r="A32" t="s">
        <v>92</v>
      </c>
      <c r="B32" t="s">
        <v>70</v>
      </c>
      <c r="C32" t="s">
        <v>93</v>
      </c>
      <c r="D32" t="s">
        <v>94</v>
      </c>
      <c r="E32" t="s">
        <v>42</v>
      </c>
      <c r="F32" t="s">
        <v>94</v>
      </c>
      <c r="G32" t="s">
        <v>94</v>
      </c>
      <c r="H32" t="s">
        <v>94</v>
      </c>
      <c r="I32" s="1" t="s">
        <v>95</v>
      </c>
      <c r="J32" t="s">
        <v>96</v>
      </c>
      <c r="K32" t="s">
        <v>97</v>
      </c>
      <c r="L32" s="4">
        <v>989.21</v>
      </c>
    </row>
    <row r="33" spans="1:12" x14ac:dyDescent="0.3">
      <c r="A33" t="s">
        <v>98</v>
      </c>
      <c r="B33" t="s">
        <v>99</v>
      </c>
      <c r="C33" t="s">
        <v>100</v>
      </c>
      <c r="D33" t="s">
        <v>101</v>
      </c>
      <c r="E33" t="s">
        <v>42</v>
      </c>
      <c r="F33" t="s">
        <v>101</v>
      </c>
      <c r="G33" t="s">
        <v>102</v>
      </c>
      <c r="H33" t="s">
        <v>102</v>
      </c>
      <c r="I33" s="1" t="s">
        <v>103</v>
      </c>
      <c r="J33" t="s">
        <v>80</v>
      </c>
      <c r="K33" t="s">
        <v>104</v>
      </c>
      <c r="L33" s="5">
        <v>78.510000000000005</v>
      </c>
    </row>
    <row r="34" spans="1:12" x14ac:dyDescent="0.3">
      <c r="A34" t="s">
        <v>105</v>
      </c>
      <c r="B34" t="s">
        <v>99</v>
      </c>
      <c r="C34" t="s">
        <v>106</v>
      </c>
      <c r="D34" t="s">
        <v>107</v>
      </c>
      <c r="E34" t="s">
        <v>42</v>
      </c>
      <c r="F34" t="s">
        <v>107</v>
      </c>
      <c r="G34" t="s">
        <v>108</v>
      </c>
      <c r="H34" t="s">
        <v>108</v>
      </c>
      <c r="I34" s="1" t="s">
        <v>109</v>
      </c>
      <c r="J34" t="s">
        <v>80</v>
      </c>
      <c r="K34" t="s">
        <v>110</v>
      </c>
      <c r="L34" s="5">
        <v>49.28</v>
      </c>
    </row>
    <row r="35" spans="1:12" x14ac:dyDescent="0.3">
      <c r="A35" t="s">
        <v>111</v>
      </c>
      <c r="B35" t="s">
        <v>99</v>
      </c>
      <c r="C35" t="s">
        <v>112</v>
      </c>
      <c r="D35" t="s">
        <v>113</v>
      </c>
      <c r="E35" t="s">
        <v>42</v>
      </c>
      <c r="F35" t="s">
        <v>113</v>
      </c>
      <c r="G35" t="s">
        <v>114</v>
      </c>
      <c r="H35" t="s">
        <v>114</v>
      </c>
      <c r="I35" s="1" t="s">
        <v>115</v>
      </c>
      <c r="J35" t="s">
        <v>80</v>
      </c>
      <c r="K35" t="s">
        <v>116</v>
      </c>
      <c r="L35" s="5">
        <v>6.12</v>
      </c>
    </row>
    <row r="36" spans="1:12" x14ac:dyDescent="0.3">
      <c r="A36" t="s">
        <v>117</v>
      </c>
      <c r="B36" t="s">
        <v>99</v>
      </c>
      <c r="C36" t="s">
        <v>118</v>
      </c>
      <c r="D36" t="s">
        <v>119</v>
      </c>
      <c r="E36" t="s">
        <v>42</v>
      </c>
      <c r="F36" t="s">
        <v>119</v>
      </c>
      <c r="G36" t="s">
        <v>120</v>
      </c>
      <c r="H36" t="s">
        <v>120</v>
      </c>
      <c r="I36" s="1" t="s">
        <v>121</v>
      </c>
      <c r="J36" t="s">
        <v>74</v>
      </c>
      <c r="K36" t="s">
        <v>122</v>
      </c>
      <c r="L36" s="5">
        <v>3.01</v>
      </c>
    </row>
    <row r="37" spans="1:12" x14ac:dyDescent="0.3">
      <c r="A37" t="s">
        <v>123</v>
      </c>
      <c r="B37" t="s">
        <v>99</v>
      </c>
      <c r="C37" t="s">
        <v>124</v>
      </c>
      <c r="D37" t="s">
        <v>125</v>
      </c>
      <c r="E37" t="s">
        <v>42</v>
      </c>
      <c r="F37" t="s">
        <v>125</v>
      </c>
      <c r="G37" t="s">
        <v>126</v>
      </c>
      <c r="H37" t="s">
        <v>126</v>
      </c>
      <c r="I37" s="1" t="s">
        <v>127</v>
      </c>
      <c r="J37" t="s">
        <v>74</v>
      </c>
      <c r="K37" t="s">
        <v>128</v>
      </c>
      <c r="L37" s="5">
        <v>4.8</v>
      </c>
    </row>
    <row r="38" spans="1:12" x14ac:dyDescent="0.3">
      <c r="A38" t="s">
        <v>129</v>
      </c>
      <c r="B38" t="s">
        <v>99</v>
      </c>
      <c r="C38" t="s">
        <v>130</v>
      </c>
      <c r="D38" t="s">
        <v>131</v>
      </c>
      <c r="E38" t="s">
        <v>42</v>
      </c>
      <c r="F38" t="s">
        <v>131</v>
      </c>
      <c r="G38" t="s">
        <v>132</v>
      </c>
      <c r="H38" t="s">
        <v>132</v>
      </c>
      <c r="I38" s="1" t="s">
        <v>133</v>
      </c>
      <c r="J38" t="s">
        <v>74</v>
      </c>
      <c r="K38" t="s">
        <v>134</v>
      </c>
      <c r="L38" s="5">
        <v>76.900000000000006</v>
      </c>
    </row>
    <row r="39" spans="1:12" x14ac:dyDescent="0.3">
      <c r="A39" t="s">
        <v>135</v>
      </c>
      <c r="B39" t="s">
        <v>99</v>
      </c>
      <c r="C39" t="s">
        <v>136</v>
      </c>
      <c r="D39" t="s">
        <v>137</v>
      </c>
      <c r="E39" t="s">
        <v>42</v>
      </c>
      <c r="F39" t="s">
        <v>137</v>
      </c>
      <c r="G39" t="s">
        <v>138</v>
      </c>
      <c r="H39" t="s">
        <v>138</v>
      </c>
      <c r="I39" s="1" t="s">
        <v>139</v>
      </c>
      <c r="J39" t="s">
        <v>96</v>
      </c>
      <c r="K39" t="s">
        <v>140</v>
      </c>
      <c r="L39" s="5">
        <v>770.6</v>
      </c>
    </row>
    <row r="40" spans="1:12" x14ac:dyDescent="0.3">
      <c r="A40" t="s">
        <v>141</v>
      </c>
      <c r="B40" t="s">
        <v>142</v>
      </c>
      <c r="C40" t="s">
        <v>143</v>
      </c>
      <c r="D40" t="s">
        <v>144</v>
      </c>
      <c r="E40" t="s">
        <v>42</v>
      </c>
      <c r="F40" t="s">
        <v>144</v>
      </c>
      <c r="G40" t="s">
        <v>145</v>
      </c>
      <c r="H40" t="s">
        <v>145</v>
      </c>
      <c r="I40" s="1" t="s">
        <v>146</v>
      </c>
      <c r="J40" t="s">
        <v>80</v>
      </c>
      <c r="K40" t="s">
        <v>147</v>
      </c>
      <c r="L40" s="2">
        <v>66.72</v>
      </c>
    </row>
    <row r="41" spans="1:12" x14ac:dyDescent="0.3">
      <c r="A41" t="s">
        <v>148</v>
      </c>
      <c r="B41" t="s">
        <v>142</v>
      </c>
      <c r="C41" t="s">
        <v>149</v>
      </c>
      <c r="D41" t="s">
        <v>150</v>
      </c>
      <c r="E41" t="s">
        <v>42</v>
      </c>
      <c r="F41" t="s">
        <v>150</v>
      </c>
      <c r="G41" t="s">
        <v>151</v>
      </c>
      <c r="H41" t="s">
        <v>151</v>
      </c>
      <c r="I41" s="1" t="s">
        <v>152</v>
      </c>
      <c r="J41" t="s">
        <v>80</v>
      </c>
      <c r="K41" t="s">
        <v>153</v>
      </c>
      <c r="L41" s="2">
        <v>16.899999999999999</v>
      </c>
    </row>
    <row r="42" spans="1:12" x14ac:dyDescent="0.3">
      <c r="A42" t="s">
        <v>154</v>
      </c>
      <c r="B42" t="s">
        <v>142</v>
      </c>
      <c r="C42" t="s">
        <v>155</v>
      </c>
      <c r="D42" t="s">
        <v>156</v>
      </c>
      <c r="E42" t="s">
        <v>42</v>
      </c>
      <c r="F42" t="s">
        <v>156</v>
      </c>
      <c r="G42" t="s">
        <v>157</v>
      </c>
      <c r="H42" t="s">
        <v>157</v>
      </c>
      <c r="I42" s="1" t="s">
        <v>158</v>
      </c>
      <c r="J42" t="s">
        <v>80</v>
      </c>
      <c r="K42" t="s">
        <v>159</v>
      </c>
      <c r="L42" s="2">
        <v>168.57</v>
      </c>
    </row>
    <row r="43" spans="1:12" x14ac:dyDescent="0.3">
      <c r="A43" t="s">
        <v>160</v>
      </c>
      <c r="B43" t="s">
        <v>142</v>
      </c>
      <c r="C43" t="s">
        <v>161</v>
      </c>
      <c r="D43" t="s">
        <v>162</v>
      </c>
      <c r="E43" t="s">
        <v>42</v>
      </c>
      <c r="F43" t="s">
        <v>162</v>
      </c>
      <c r="G43" t="s">
        <v>163</v>
      </c>
      <c r="H43" t="s">
        <v>163</v>
      </c>
      <c r="I43" s="1" t="s">
        <v>164</v>
      </c>
      <c r="J43" t="s">
        <v>80</v>
      </c>
      <c r="K43" t="s">
        <v>165</v>
      </c>
      <c r="L43" s="2">
        <v>47.71</v>
      </c>
    </row>
    <row r="44" spans="1:12" x14ac:dyDescent="0.3">
      <c r="A44" t="s">
        <v>166</v>
      </c>
      <c r="B44" t="s">
        <v>142</v>
      </c>
      <c r="C44" t="s">
        <v>167</v>
      </c>
      <c r="D44" t="s">
        <v>168</v>
      </c>
      <c r="E44" t="s">
        <v>42</v>
      </c>
      <c r="F44" t="s">
        <v>168</v>
      </c>
      <c r="G44" t="s">
        <v>169</v>
      </c>
      <c r="H44" t="s">
        <v>169</v>
      </c>
      <c r="I44" s="1" t="s">
        <v>170</v>
      </c>
      <c r="J44" t="s">
        <v>80</v>
      </c>
      <c r="K44" t="s">
        <v>171</v>
      </c>
      <c r="L44" s="2">
        <v>1.87</v>
      </c>
    </row>
    <row r="45" spans="1:12" x14ac:dyDescent="0.3">
      <c r="A45" t="s">
        <v>172</v>
      </c>
      <c r="B45" t="s">
        <v>142</v>
      </c>
      <c r="C45" t="s">
        <v>173</v>
      </c>
      <c r="D45" t="s">
        <v>174</v>
      </c>
      <c r="E45" t="s">
        <v>42</v>
      </c>
      <c r="F45" t="s">
        <v>174</v>
      </c>
      <c r="G45" t="s">
        <v>175</v>
      </c>
      <c r="H45" t="s">
        <v>175</v>
      </c>
      <c r="I45" s="1" t="s">
        <v>176</v>
      </c>
      <c r="J45" t="s">
        <v>80</v>
      </c>
      <c r="K45" t="s">
        <v>177</v>
      </c>
      <c r="L45" s="2">
        <v>1.98</v>
      </c>
    </row>
    <row r="46" spans="1:12" x14ac:dyDescent="0.3">
      <c r="A46" t="s">
        <v>178</v>
      </c>
      <c r="B46" t="s">
        <v>142</v>
      </c>
      <c r="C46" t="s">
        <v>179</v>
      </c>
      <c r="D46" t="s">
        <v>180</v>
      </c>
      <c r="E46" t="s">
        <v>42</v>
      </c>
      <c r="F46" t="s">
        <v>180</v>
      </c>
      <c r="G46" t="s">
        <v>181</v>
      </c>
      <c r="H46" t="s">
        <v>181</v>
      </c>
      <c r="I46" s="1" t="s">
        <v>182</v>
      </c>
      <c r="J46" t="s">
        <v>80</v>
      </c>
      <c r="K46" t="s">
        <v>183</v>
      </c>
      <c r="L46" s="2">
        <v>3.05</v>
      </c>
    </row>
    <row r="47" spans="1:12" x14ac:dyDescent="0.3">
      <c r="A47" t="s">
        <v>184</v>
      </c>
      <c r="B47" t="s">
        <v>142</v>
      </c>
      <c r="C47" t="s">
        <v>185</v>
      </c>
      <c r="D47" t="s">
        <v>186</v>
      </c>
      <c r="E47" t="s">
        <v>42</v>
      </c>
      <c r="F47" t="s">
        <v>186</v>
      </c>
      <c r="G47" t="s">
        <v>187</v>
      </c>
      <c r="H47" t="s">
        <v>187</v>
      </c>
      <c r="I47" s="1" t="s">
        <v>188</v>
      </c>
      <c r="J47" t="s">
        <v>80</v>
      </c>
      <c r="K47" t="s">
        <v>189</v>
      </c>
      <c r="L47" s="2">
        <v>2.63</v>
      </c>
    </row>
    <row r="48" spans="1:12" x14ac:dyDescent="0.3">
      <c r="A48" t="s">
        <v>190</v>
      </c>
      <c r="B48" t="s">
        <v>142</v>
      </c>
      <c r="C48" t="s">
        <v>191</v>
      </c>
      <c r="D48" t="s">
        <v>192</v>
      </c>
      <c r="E48" t="s">
        <v>42</v>
      </c>
      <c r="F48" t="s">
        <v>192</v>
      </c>
      <c r="G48" t="s">
        <v>193</v>
      </c>
      <c r="H48" t="s">
        <v>193</v>
      </c>
      <c r="I48" s="1" t="s">
        <v>194</v>
      </c>
      <c r="J48" t="s">
        <v>80</v>
      </c>
      <c r="K48" t="s">
        <v>195</v>
      </c>
      <c r="L48" s="2">
        <v>4.37</v>
      </c>
    </row>
    <row r="49" spans="1:12" x14ac:dyDescent="0.3">
      <c r="A49" t="s">
        <v>196</v>
      </c>
      <c r="B49" t="s">
        <v>142</v>
      </c>
      <c r="C49" t="s">
        <v>197</v>
      </c>
      <c r="D49" t="s">
        <v>198</v>
      </c>
      <c r="E49" t="s">
        <v>42</v>
      </c>
      <c r="F49" t="s">
        <v>198</v>
      </c>
      <c r="G49" t="s">
        <v>199</v>
      </c>
      <c r="H49" t="s">
        <v>199</v>
      </c>
      <c r="I49" s="1" t="s">
        <v>200</v>
      </c>
      <c r="J49" t="s">
        <v>80</v>
      </c>
      <c r="K49" t="s">
        <v>201</v>
      </c>
      <c r="L49" s="2">
        <v>12.72</v>
      </c>
    </row>
    <row r="50" spans="1:12" x14ac:dyDescent="0.3">
      <c r="A50" t="s">
        <v>202</v>
      </c>
      <c r="B50" t="s">
        <v>142</v>
      </c>
      <c r="C50" t="s">
        <v>203</v>
      </c>
      <c r="D50" t="s">
        <v>204</v>
      </c>
      <c r="E50" t="s">
        <v>42</v>
      </c>
      <c r="F50" t="s">
        <v>204</v>
      </c>
      <c r="G50" t="s">
        <v>205</v>
      </c>
      <c r="H50" t="s">
        <v>205</v>
      </c>
      <c r="I50" s="1" t="s">
        <v>206</v>
      </c>
      <c r="J50" t="s">
        <v>80</v>
      </c>
      <c r="K50" t="s">
        <v>207</v>
      </c>
      <c r="L50" s="2">
        <v>3.3</v>
      </c>
    </row>
    <row r="51" spans="1:12" x14ac:dyDescent="0.3">
      <c r="A51" t="s">
        <v>208</v>
      </c>
      <c r="B51" t="s">
        <v>142</v>
      </c>
      <c r="C51" t="s">
        <v>209</v>
      </c>
      <c r="D51" t="s">
        <v>210</v>
      </c>
      <c r="E51" t="s">
        <v>42</v>
      </c>
      <c r="F51" t="s">
        <v>210</v>
      </c>
      <c r="G51" t="s">
        <v>211</v>
      </c>
      <c r="H51" t="s">
        <v>211</v>
      </c>
      <c r="I51" s="1" t="s">
        <v>212</v>
      </c>
      <c r="J51" t="s">
        <v>80</v>
      </c>
      <c r="K51" t="s">
        <v>213</v>
      </c>
      <c r="L51" s="2">
        <v>57.29</v>
      </c>
    </row>
    <row r="52" spans="1:12" x14ac:dyDescent="0.3">
      <c r="A52" t="s">
        <v>214</v>
      </c>
      <c r="B52" t="s">
        <v>142</v>
      </c>
      <c r="C52" t="s">
        <v>215</v>
      </c>
      <c r="D52" t="s">
        <v>216</v>
      </c>
      <c r="E52" t="s">
        <v>42</v>
      </c>
      <c r="F52" t="s">
        <v>216</v>
      </c>
      <c r="G52" t="s">
        <v>217</v>
      </c>
      <c r="H52" t="s">
        <v>217</v>
      </c>
      <c r="I52" s="1" t="s">
        <v>218</v>
      </c>
      <c r="J52" t="s">
        <v>80</v>
      </c>
      <c r="K52" t="s">
        <v>219</v>
      </c>
      <c r="L52" s="2">
        <v>19.489999999999998</v>
      </c>
    </row>
    <row r="53" spans="1:12" x14ac:dyDescent="0.3">
      <c r="A53" t="s">
        <v>220</v>
      </c>
      <c r="B53" t="s">
        <v>142</v>
      </c>
      <c r="C53" t="s">
        <v>221</v>
      </c>
      <c r="D53" t="s">
        <v>222</v>
      </c>
      <c r="E53" t="s">
        <v>42</v>
      </c>
      <c r="F53" t="s">
        <v>222</v>
      </c>
      <c r="G53" t="s">
        <v>223</v>
      </c>
      <c r="H53" t="s">
        <v>223</v>
      </c>
      <c r="I53" s="1" t="s">
        <v>224</v>
      </c>
      <c r="J53" t="s">
        <v>80</v>
      </c>
      <c r="K53" t="s">
        <v>225</v>
      </c>
      <c r="L53" s="2">
        <v>47.81</v>
      </c>
    </row>
    <row r="54" spans="1:12" x14ac:dyDescent="0.3">
      <c r="A54" t="s">
        <v>226</v>
      </c>
      <c r="B54" t="s">
        <v>142</v>
      </c>
      <c r="C54" t="s">
        <v>227</v>
      </c>
      <c r="D54" t="s">
        <v>228</v>
      </c>
      <c r="E54" t="s">
        <v>42</v>
      </c>
      <c r="F54" t="s">
        <v>228</v>
      </c>
      <c r="G54" t="s">
        <v>229</v>
      </c>
      <c r="H54" t="s">
        <v>229</v>
      </c>
      <c r="I54" s="1" t="s">
        <v>230</v>
      </c>
      <c r="J54" t="s">
        <v>80</v>
      </c>
      <c r="K54" t="s">
        <v>231</v>
      </c>
      <c r="L54" s="2">
        <v>67.08</v>
      </c>
    </row>
    <row r="55" spans="1:12" x14ac:dyDescent="0.3">
      <c r="A55" t="s">
        <v>232</v>
      </c>
      <c r="B55" t="s">
        <v>142</v>
      </c>
      <c r="C55" t="s">
        <v>233</v>
      </c>
      <c r="D55" t="s">
        <v>234</v>
      </c>
      <c r="E55" t="s">
        <v>42</v>
      </c>
      <c r="F55" t="s">
        <v>234</v>
      </c>
      <c r="G55" t="s">
        <v>235</v>
      </c>
      <c r="H55" t="s">
        <v>235</v>
      </c>
      <c r="I55" s="1" t="s">
        <v>236</v>
      </c>
      <c r="J55" t="s">
        <v>80</v>
      </c>
      <c r="K55" t="s">
        <v>237</v>
      </c>
      <c r="L55" s="2">
        <v>72.319999999999993</v>
      </c>
    </row>
    <row r="56" spans="1:12" x14ac:dyDescent="0.3">
      <c r="A56" t="s">
        <v>238</v>
      </c>
      <c r="B56" t="s">
        <v>142</v>
      </c>
      <c r="C56" t="s">
        <v>239</v>
      </c>
      <c r="D56" t="s">
        <v>222</v>
      </c>
      <c r="E56" t="s">
        <v>42</v>
      </c>
      <c r="F56" t="s">
        <v>222</v>
      </c>
      <c r="G56" t="s">
        <v>223</v>
      </c>
      <c r="H56" t="s">
        <v>223</v>
      </c>
      <c r="I56" s="1" t="s">
        <v>240</v>
      </c>
      <c r="J56" t="s">
        <v>80</v>
      </c>
      <c r="K56" t="s">
        <v>241</v>
      </c>
      <c r="L56" s="2">
        <v>173.31</v>
      </c>
    </row>
    <row r="57" spans="1:12" x14ac:dyDescent="0.3">
      <c r="A57" t="s">
        <v>242</v>
      </c>
      <c r="B57" t="s">
        <v>142</v>
      </c>
      <c r="C57" t="s">
        <v>88</v>
      </c>
      <c r="D57" t="s">
        <v>243</v>
      </c>
      <c r="E57" t="s">
        <v>42</v>
      </c>
      <c r="F57" t="s">
        <v>243</v>
      </c>
      <c r="G57" t="s">
        <v>244</v>
      </c>
      <c r="H57" t="s">
        <v>244</v>
      </c>
      <c r="I57" s="1" t="s">
        <v>90</v>
      </c>
      <c r="J57" t="s">
        <v>80</v>
      </c>
      <c r="K57" t="s">
        <v>245</v>
      </c>
      <c r="L57" s="2">
        <v>2.2999999999999998</v>
      </c>
    </row>
    <row r="58" spans="1:12" x14ac:dyDescent="0.3">
      <c r="A58" t="s">
        <v>246</v>
      </c>
      <c r="B58" t="s">
        <v>142</v>
      </c>
      <c r="C58" t="s">
        <v>247</v>
      </c>
      <c r="D58" t="s">
        <v>248</v>
      </c>
      <c r="E58" t="s">
        <v>42</v>
      </c>
      <c r="F58" t="s">
        <v>248</v>
      </c>
      <c r="G58" t="s">
        <v>249</v>
      </c>
      <c r="H58" t="s">
        <v>249</v>
      </c>
      <c r="I58" s="1" t="s">
        <v>250</v>
      </c>
      <c r="J58" t="s">
        <v>80</v>
      </c>
      <c r="K58" t="s">
        <v>251</v>
      </c>
      <c r="L58" s="2">
        <v>1.1299999999999999</v>
      </c>
    </row>
    <row r="59" spans="1:12" x14ac:dyDescent="0.3">
      <c r="A59" t="s">
        <v>252</v>
      </c>
      <c r="B59" t="s">
        <v>142</v>
      </c>
      <c r="C59" t="s">
        <v>253</v>
      </c>
      <c r="D59" t="s">
        <v>254</v>
      </c>
      <c r="E59" t="s">
        <v>42</v>
      </c>
      <c r="F59" t="s">
        <v>254</v>
      </c>
      <c r="G59" t="s">
        <v>255</v>
      </c>
      <c r="H59" t="s">
        <v>255</v>
      </c>
      <c r="I59" s="1" t="s">
        <v>256</v>
      </c>
      <c r="J59" t="s">
        <v>44</v>
      </c>
      <c r="K59" t="s">
        <v>257</v>
      </c>
      <c r="L59" s="2">
        <v>0.02</v>
      </c>
    </row>
    <row r="60" spans="1:12" x14ac:dyDescent="0.3">
      <c r="A60" t="s">
        <v>258</v>
      </c>
      <c r="B60" t="s">
        <v>142</v>
      </c>
      <c r="C60" t="s">
        <v>259</v>
      </c>
      <c r="D60" t="s">
        <v>260</v>
      </c>
      <c r="E60" t="s">
        <v>42</v>
      </c>
      <c r="F60" t="s">
        <v>260</v>
      </c>
      <c r="G60" t="s">
        <v>261</v>
      </c>
      <c r="H60" t="s">
        <v>261</v>
      </c>
      <c r="I60" s="1" t="s">
        <v>262</v>
      </c>
      <c r="J60" t="s">
        <v>44</v>
      </c>
      <c r="K60" t="s">
        <v>263</v>
      </c>
      <c r="L60" s="2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1471D-7D5B-4C23-A557-C8F763B82368}">
  <dimension ref="A1:I68"/>
  <sheetViews>
    <sheetView tabSelected="1" zoomScale="70" zoomScaleNormal="70" workbookViewId="0">
      <selection activeCell="C11" sqref="C11"/>
    </sheetView>
  </sheetViews>
  <sheetFormatPr baseColWidth="10" defaultRowHeight="14.4" x14ac:dyDescent="0.3"/>
  <cols>
    <col min="3" max="3" width="49" customWidth="1"/>
    <col min="4" max="4" width="34.21875" bestFit="1" customWidth="1"/>
    <col min="8" max="8" width="47.5546875" bestFit="1" customWidth="1"/>
    <col min="9" max="9" width="18.109375" bestFit="1" customWidth="1"/>
  </cols>
  <sheetData>
    <row r="1" spans="1:9" ht="15.6" x14ac:dyDescent="0.3">
      <c r="A1" s="105"/>
      <c r="B1" s="106"/>
      <c r="C1" s="111" t="s">
        <v>266</v>
      </c>
      <c r="D1" s="111"/>
      <c r="E1" s="111"/>
      <c r="F1" s="111"/>
      <c r="G1" s="111"/>
      <c r="H1" s="9" t="s">
        <v>267</v>
      </c>
      <c r="I1" s="14" t="s">
        <v>333</v>
      </c>
    </row>
    <row r="2" spans="1:9" ht="18" customHeight="1" thickBot="1" x14ac:dyDescent="0.35">
      <c r="A2" s="107"/>
      <c r="B2" s="108"/>
      <c r="C2" s="112" t="s">
        <v>268</v>
      </c>
      <c r="D2" s="113"/>
      <c r="E2" s="113"/>
      <c r="F2" s="113"/>
      <c r="G2" s="114"/>
      <c r="H2" s="10" t="s">
        <v>269</v>
      </c>
      <c r="I2" s="13" t="s">
        <v>322</v>
      </c>
    </row>
    <row r="3" spans="1:9" ht="31.5" customHeight="1" thickBot="1" x14ac:dyDescent="0.35">
      <c r="A3" s="107"/>
      <c r="B3" s="108"/>
      <c r="C3" s="115" t="s">
        <v>270</v>
      </c>
      <c r="D3" s="116"/>
      <c r="E3" s="116"/>
      <c r="F3" s="116"/>
      <c r="G3" s="117"/>
      <c r="H3" s="118" t="s">
        <v>271</v>
      </c>
      <c r="I3" s="96">
        <v>45618</v>
      </c>
    </row>
    <row r="4" spans="1:9" ht="18" customHeight="1" x14ac:dyDescent="0.3">
      <c r="A4" s="107"/>
      <c r="B4" s="108"/>
      <c r="C4" s="11" t="s">
        <v>272</v>
      </c>
      <c r="D4" s="99" t="s">
        <v>323</v>
      </c>
      <c r="E4" s="100"/>
      <c r="F4" s="100"/>
      <c r="G4" s="101"/>
      <c r="H4" s="119"/>
      <c r="I4" s="97"/>
    </row>
    <row r="5" spans="1:9" ht="15" thickBot="1" x14ac:dyDescent="0.35">
      <c r="A5" s="109"/>
      <c r="B5" s="110"/>
      <c r="C5" s="12" t="s">
        <v>273</v>
      </c>
      <c r="D5" s="102" t="s">
        <v>274</v>
      </c>
      <c r="E5" s="103"/>
      <c r="F5" s="103"/>
      <c r="G5" s="104"/>
      <c r="H5" s="120"/>
      <c r="I5" s="98"/>
    </row>
    <row r="6" spans="1:9" ht="18" thickBot="1" x14ac:dyDescent="0.35">
      <c r="A6" s="121" t="s">
        <v>275</v>
      </c>
      <c r="B6" s="121"/>
      <c r="C6" s="121"/>
      <c r="D6" s="122" t="s">
        <v>276</v>
      </c>
      <c r="E6" s="122"/>
      <c r="F6" s="122"/>
      <c r="G6" s="123" t="s">
        <v>277</v>
      </c>
      <c r="H6" s="123"/>
      <c r="I6" s="15" t="s">
        <v>276</v>
      </c>
    </row>
    <row r="7" spans="1:9" x14ac:dyDescent="0.3">
      <c r="A7" s="124" t="s">
        <v>279</v>
      </c>
      <c r="B7" s="126" t="s">
        <v>324</v>
      </c>
      <c r="C7" s="128" t="s">
        <v>280</v>
      </c>
      <c r="D7" s="128" t="s">
        <v>281</v>
      </c>
      <c r="E7" s="128" t="s">
        <v>282</v>
      </c>
      <c r="F7" s="128"/>
      <c r="G7" s="128" t="s">
        <v>283</v>
      </c>
      <c r="H7" s="128"/>
      <c r="I7" s="16" t="s">
        <v>284</v>
      </c>
    </row>
    <row r="8" spans="1:9" ht="27" thickBot="1" x14ac:dyDescent="0.35">
      <c r="A8" s="125"/>
      <c r="B8" s="127"/>
      <c r="C8" s="129"/>
      <c r="D8" s="129"/>
      <c r="E8" s="17" t="s">
        <v>285</v>
      </c>
      <c r="F8" s="18" t="s">
        <v>286</v>
      </c>
      <c r="G8" s="17" t="s">
        <v>285</v>
      </c>
      <c r="H8" s="18" t="s">
        <v>286</v>
      </c>
      <c r="I8" s="19" t="s">
        <v>287</v>
      </c>
    </row>
    <row r="9" spans="1:9" ht="18.45" customHeight="1" x14ac:dyDescent="0.3">
      <c r="A9" s="20"/>
      <c r="B9" s="21"/>
      <c r="C9" s="22" t="s">
        <v>325</v>
      </c>
      <c r="D9" s="23"/>
      <c r="E9" s="24"/>
      <c r="F9" s="25"/>
      <c r="G9" s="24"/>
      <c r="H9" s="25"/>
      <c r="I9" s="26"/>
    </row>
    <row r="10" spans="1:9" ht="18" customHeight="1" x14ac:dyDescent="0.3">
      <c r="A10" s="27" t="s">
        <v>288</v>
      </c>
      <c r="B10" s="28" t="s">
        <v>289</v>
      </c>
      <c r="C10" s="29" t="s">
        <v>290</v>
      </c>
      <c r="D10" s="30" t="s">
        <v>326</v>
      </c>
      <c r="E10" s="31">
        <v>30065</v>
      </c>
      <c r="F10" s="32" t="s">
        <v>291</v>
      </c>
      <c r="G10" s="33"/>
      <c r="H10" s="34"/>
      <c r="I10" s="26"/>
    </row>
    <row r="11" spans="1:9" x14ac:dyDescent="0.3">
      <c r="A11" s="30"/>
      <c r="B11" s="30"/>
      <c r="C11" s="35"/>
      <c r="D11" s="30"/>
      <c r="E11" s="31"/>
      <c r="F11" s="32"/>
      <c r="G11" s="33"/>
      <c r="H11" s="34"/>
      <c r="I11" s="26"/>
    </row>
    <row r="12" spans="1:9" x14ac:dyDescent="0.3">
      <c r="A12" s="30"/>
      <c r="B12" s="30"/>
      <c r="C12" s="35" t="s">
        <v>292</v>
      </c>
      <c r="D12" s="30"/>
      <c r="E12" s="31"/>
      <c r="F12" s="32"/>
      <c r="G12" s="33"/>
      <c r="H12" s="34"/>
      <c r="I12" s="26"/>
    </row>
    <row r="13" spans="1:9" x14ac:dyDescent="0.3">
      <c r="A13" s="30" t="s">
        <v>293</v>
      </c>
      <c r="B13" s="30" t="s">
        <v>321</v>
      </c>
      <c r="C13" s="35" t="s">
        <v>294</v>
      </c>
      <c r="D13" s="30" t="s">
        <v>295</v>
      </c>
      <c r="E13" s="31">
        <v>3900</v>
      </c>
      <c r="F13" s="32" t="s">
        <v>291</v>
      </c>
      <c r="G13" s="33"/>
      <c r="H13" s="34"/>
      <c r="I13" s="26"/>
    </row>
    <row r="14" spans="1:9" x14ac:dyDescent="0.3">
      <c r="A14" s="30"/>
      <c r="B14" s="30"/>
      <c r="C14" s="35"/>
      <c r="D14" s="30"/>
      <c r="E14" s="31"/>
      <c r="F14" s="32"/>
      <c r="G14" s="33"/>
      <c r="H14" s="34"/>
      <c r="I14" s="26"/>
    </row>
    <row r="15" spans="1:9" x14ac:dyDescent="0.3">
      <c r="A15" s="30"/>
      <c r="B15" s="30"/>
      <c r="C15" s="35"/>
      <c r="D15" s="30"/>
      <c r="E15" s="31"/>
      <c r="F15" s="32"/>
      <c r="G15" s="33"/>
      <c r="H15" s="34"/>
      <c r="I15" s="26"/>
    </row>
    <row r="16" spans="1:9" x14ac:dyDescent="0.3">
      <c r="A16" s="30"/>
      <c r="B16" s="30"/>
      <c r="C16" s="35"/>
      <c r="D16" s="30"/>
      <c r="E16" s="31"/>
      <c r="F16" s="32"/>
      <c r="G16" s="33"/>
      <c r="H16" s="34"/>
      <c r="I16" s="26"/>
    </row>
    <row r="17" spans="1:9" x14ac:dyDescent="0.3">
      <c r="A17" s="30"/>
      <c r="B17" s="30"/>
      <c r="C17" s="35"/>
      <c r="D17" s="30"/>
      <c r="E17" s="31"/>
      <c r="F17" s="32"/>
      <c r="G17" s="33"/>
      <c r="H17" s="34"/>
      <c r="I17" s="26"/>
    </row>
    <row r="18" spans="1:9" x14ac:dyDescent="0.3">
      <c r="A18" s="30"/>
      <c r="B18" s="30"/>
      <c r="C18" s="35"/>
      <c r="D18" s="30"/>
      <c r="E18" s="31"/>
      <c r="F18" s="32"/>
      <c r="G18" s="33"/>
      <c r="H18" s="34"/>
      <c r="I18" s="26"/>
    </row>
    <row r="19" spans="1:9" x14ac:dyDescent="0.3">
      <c r="A19" s="30"/>
      <c r="B19" s="30"/>
      <c r="C19" s="35"/>
      <c r="D19" s="30"/>
      <c r="E19" s="31"/>
      <c r="F19" s="32"/>
      <c r="G19" s="33"/>
      <c r="H19" s="34"/>
      <c r="I19" s="26"/>
    </row>
    <row r="20" spans="1:9" x14ac:dyDescent="0.3">
      <c r="A20" s="30"/>
      <c r="B20" s="30"/>
      <c r="C20" s="35"/>
      <c r="D20" s="30"/>
      <c r="E20" s="31"/>
      <c r="F20" s="32"/>
      <c r="G20" s="33"/>
      <c r="H20" s="34"/>
      <c r="I20" s="26"/>
    </row>
    <row r="21" spans="1:9" x14ac:dyDescent="0.3">
      <c r="A21" s="30"/>
      <c r="B21" s="30"/>
      <c r="C21" s="35"/>
      <c r="D21" s="30"/>
      <c r="E21" s="31"/>
      <c r="F21" s="32"/>
      <c r="G21" s="33"/>
      <c r="H21" s="34"/>
      <c r="I21" s="26"/>
    </row>
    <row r="22" spans="1:9" x14ac:dyDescent="0.3">
      <c r="A22" s="30"/>
      <c r="B22" s="30"/>
      <c r="C22" s="35"/>
      <c r="D22" s="30"/>
      <c r="E22" s="31"/>
      <c r="F22" s="32"/>
      <c r="G22" s="33"/>
      <c r="H22" s="34"/>
      <c r="I22" s="26"/>
    </row>
    <row r="23" spans="1:9" x14ac:dyDescent="0.3">
      <c r="A23" s="30"/>
      <c r="B23" s="30"/>
      <c r="C23" s="35"/>
      <c r="D23" s="30"/>
      <c r="E23" s="31"/>
      <c r="F23" s="32"/>
      <c r="G23" s="33"/>
      <c r="H23" s="34"/>
      <c r="I23" s="26"/>
    </row>
    <row r="24" spans="1:9" x14ac:dyDescent="0.3">
      <c r="A24" s="30"/>
      <c r="B24" s="30"/>
      <c r="C24" s="35"/>
      <c r="D24" s="30"/>
      <c r="E24" s="31"/>
      <c r="F24" s="32"/>
      <c r="G24" s="33"/>
      <c r="H24" s="34"/>
      <c r="I24" s="26"/>
    </row>
    <row r="25" spans="1:9" x14ac:dyDescent="0.3">
      <c r="A25" s="30"/>
      <c r="B25" s="30"/>
      <c r="C25" s="35"/>
      <c r="D25" s="30"/>
      <c r="E25" s="31"/>
      <c r="F25" s="32"/>
      <c r="G25" s="33"/>
      <c r="H25" s="34"/>
      <c r="I25" s="26"/>
    </row>
    <row r="26" spans="1:9" x14ac:dyDescent="0.3">
      <c r="A26" s="30"/>
      <c r="B26" s="30"/>
      <c r="C26" s="35"/>
      <c r="D26" s="30"/>
      <c r="E26" s="31"/>
      <c r="F26" s="32"/>
      <c r="G26" s="33"/>
      <c r="H26" s="34"/>
      <c r="I26" s="26"/>
    </row>
    <row r="27" spans="1:9" x14ac:dyDescent="0.3">
      <c r="A27" s="30"/>
      <c r="B27" s="30"/>
      <c r="C27" s="35"/>
      <c r="D27" s="30"/>
      <c r="E27" s="31"/>
      <c r="F27" s="32"/>
      <c r="G27" s="33"/>
      <c r="H27" s="34"/>
      <c r="I27" s="26"/>
    </row>
    <row r="28" spans="1:9" x14ac:dyDescent="0.3">
      <c r="A28" s="30"/>
      <c r="B28" s="30"/>
      <c r="C28" s="35"/>
      <c r="D28" s="30"/>
      <c r="E28" s="31"/>
      <c r="F28" s="32"/>
      <c r="G28" s="33"/>
      <c r="H28" s="34"/>
      <c r="I28" s="26"/>
    </row>
    <row r="29" spans="1:9" ht="15.6" x14ac:dyDescent="0.3">
      <c r="A29" s="36"/>
      <c r="B29" s="36"/>
      <c r="C29" s="37"/>
      <c r="D29" s="38"/>
      <c r="E29" s="38"/>
      <c r="F29" s="38"/>
      <c r="G29" s="39"/>
      <c r="H29" s="34"/>
      <c r="I29" s="26"/>
    </row>
    <row r="30" spans="1:9" ht="15.6" x14ac:dyDescent="0.3">
      <c r="A30" s="28"/>
      <c r="B30" s="28"/>
      <c r="C30" s="29"/>
      <c r="D30" s="38"/>
      <c r="E30" s="38"/>
      <c r="F30" s="38"/>
      <c r="G30" s="39"/>
      <c r="H30" s="34"/>
      <c r="I30" s="26"/>
    </row>
    <row r="31" spans="1:9" ht="15.6" x14ac:dyDescent="0.3">
      <c r="A31" s="40"/>
      <c r="B31" s="40"/>
      <c r="C31" s="29"/>
      <c r="D31" s="38"/>
      <c r="E31" s="38"/>
      <c r="F31" s="38"/>
      <c r="G31" s="39"/>
      <c r="H31" s="34"/>
      <c r="I31" s="26"/>
    </row>
    <row r="32" spans="1:9" ht="15.6" x14ac:dyDescent="0.3">
      <c r="A32" s="41"/>
      <c r="B32" s="42"/>
      <c r="C32" s="43" t="s">
        <v>327</v>
      </c>
      <c r="D32" s="38"/>
      <c r="E32" s="38"/>
      <c r="F32" s="38"/>
      <c r="G32" s="39"/>
      <c r="H32" s="34"/>
      <c r="I32" s="26"/>
    </row>
    <row r="33" spans="1:9" x14ac:dyDescent="0.3">
      <c r="A33" s="27"/>
      <c r="B33" s="28"/>
      <c r="C33" s="29"/>
      <c r="D33" s="44"/>
      <c r="E33" s="44"/>
      <c r="F33" s="44"/>
      <c r="G33" s="24"/>
      <c r="H33" s="34"/>
      <c r="I33" s="26"/>
    </row>
    <row r="34" spans="1:9" x14ac:dyDescent="0.3">
      <c r="A34" s="45"/>
      <c r="B34" s="40"/>
      <c r="C34" s="29"/>
      <c r="D34" s="44"/>
      <c r="E34" s="44"/>
      <c r="F34" s="44"/>
      <c r="G34" s="24"/>
      <c r="H34" s="34"/>
      <c r="I34" s="26"/>
    </row>
    <row r="35" spans="1:9" x14ac:dyDescent="0.3">
      <c r="A35" s="45"/>
      <c r="B35" s="40"/>
      <c r="C35" s="29"/>
      <c r="D35" s="44"/>
      <c r="E35" s="44"/>
      <c r="F35" s="44"/>
      <c r="G35" s="24"/>
      <c r="H35" s="34"/>
      <c r="I35" s="26"/>
    </row>
    <row r="36" spans="1:9" ht="15.6" x14ac:dyDescent="0.3">
      <c r="A36" s="41"/>
      <c r="B36" s="42"/>
      <c r="C36" s="43"/>
      <c r="D36" s="46"/>
      <c r="E36" s="47"/>
      <c r="F36" s="48"/>
      <c r="G36" s="24"/>
      <c r="H36" s="34"/>
      <c r="I36" s="26"/>
    </row>
    <row r="37" spans="1:9" x14ac:dyDescent="0.3">
      <c r="A37" s="49"/>
      <c r="B37" s="50"/>
      <c r="C37" s="51"/>
      <c r="D37" s="52"/>
      <c r="E37" s="53"/>
      <c r="F37" s="54"/>
      <c r="G37" s="24"/>
      <c r="H37" s="34"/>
      <c r="I37" s="26"/>
    </row>
    <row r="38" spans="1:9" x14ac:dyDescent="0.3">
      <c r="A38" s="28"/>
      <c r="B38" s="28"/>
      <c r="C38" s="29"/>
      <c r="D38" s="55"/>
      <c r="E38" s="56"/>
      <c r="F38" s="57"/>
      <c r="G38" s="24"/>
      <c r="H38" s="34"/>
      <c r="I38" s="26"/>
    </row>
    <row r="39" spans="1:9" ht="15.6" x14ac:dyDescent="0.3">
      <c r="A39" s="58"/>
      <c r="B39" s="59"/>
      <c r="C39" s="60" t="s">
        <v>278</v>
      </c>
      <c r="D39" s="61"/>
      <c r="E39" s="62"/>
      <c r="F39" s="25"/>
      <c r="G39" s="24"/>
      <c r="H39" s="34"/>
      <c r="I39" s="26"/>
    </row>
    <row r="40" spans="1:9" x14ac:dyDescent="0.3">
      <c r="A40" s="63" t="s">
        <v>296</v>
      </c>
      <c r="B40" s="64" t="s">
        <v>297</v>
      </c>
      <c r="C40" s="65" t="s">
        <v>328</v>
      </c>
      <c r="D40" s="66" t="s">
        <v>329</v>
      </c>
      <c r="E40" s="67">
        <v>60</v>
      </c>
      <c r="F40" s="68" t="s">
        <v>298</v>
      </c>
      <c r="G40" s="69"/>
      <c r="H40" s="34"/>
      <c r="I40" s="26"/>
    </row>
    <row r="41" spans="1:9" x14ac:dyDescent="0.3">
      <c r="A41" s="63" t="s">
        <v>299</v>
      </c>
      <c r="B41" s="64"/>
      <c r="C41" s="65" t="s">
        <v>300</v>
      </c>
      <c r="D41" s="66" t="s">
        <v>326</v>
      </c>
      <c r="E41" s="67">
        <v>450</v>
      </c>
      <c r="F41" s="68" t="s">
        <v>291</v>
      </c>
      <c r="G41" s="69"/>
      <c r="H41" s="34"/>
      <c r="I41" s="26"/>
    </row>
    <row r="42" spans="1:9" x14ac:dyDescent="0.3">
      <c r="A42" s="70" t="s">
        <v>301</v>
      </c>
      <c r="B42" s="71" t="s">
        <v>302</v>
      </c>
      <c r="C42" s="72" t="s">
        <v>330</v>
      </c>
      <c r="D42" s="66" t="s">
        <v>331</v>
      </c>
      <c r="E42" s="67">
        <v>1</v>
      </c>
      <c r="F42" s="68" t="s">
        <v>303</v>
      </c>
      <c r="G42" s="69"/>
      <c r="H42" s="34"/>
      <c r="I42" s="26"/>
    </row>
    <row r="43" spans="1:9" x14ac:dyDescent="0.3">
      <c r="A43" s="73"/>
      <c r="B43" s="73"/>
      <c r="C43" s="74" t="s">
        <v>18</v>
      </c>
      <c r="D43" s="66"/>
      <c r="E43" s="67"/>
      <c r="F43" s="68"/>
      <c r="G43" s="24"/>
      <c r="H43" s="34"/>
      <c r="I43" s="26"/>
    </row>
    <row r="44" spans="1:9" x14ac:dyDescent="0.3">
      <c r="A44" s="73"/>
      <c r="B44" s="73"/>
      <c r="C44" s="74"/>
      <c r="D44" s="66"/>
      <c r="E44" s="67"/>
      <c r="F44" s="68"/>
      <c r="G44" s="24"/>
      <c r="H44" s="34"/>
      <c r="I44" s="26"/>
    </row>
    <row r="45" spans="1:9" x14ac:dyDescent="0.3">
      <c r="A45" s="73"/>
      <c r="B45" s="73"/>
      <c r="C45" s="74"/>
      <c r="D45" s="66"/>
      <c r="E45" s="67"/>
      <c r="F45" s="68"/>
      <c r="G45" s="75"/>
      <c r="H45" s="34"/>
      <c r="I45" s="26"/>
    </row>
    <row r="46" spans="1:9" ht="15.6" x14ac:dyDescent="0.3">
      <c r="A46" s="73"/>
      <c r="B46" s="73"/>
      <c r="C46" s="74"/>
      <c r="D46" s="38"/>
      <c r="E46" s="67"/>
      <c r="F46" s="68"/>
      <c r="G46" s="76"/>
      <c r="H46" s="34"/>
      <c r="I46" s="26"/>
    </row>
    <row r="47" spans="1:9" x14ac:dyDescent="0.3">
      <c r="A47" s="77"/>
      <c r="B47" s="77"/>
      <c r="C47" s="78"/>
      <c r="D47" s="66"/>
      <c r="E47" s="57"/>
      <c r="F47" s="57"/>
      <c r="G47" s="76"/>
      <c r="H47" s="25"/>
      <c r="I47" s="26"/>
    </row>
    <row r="48" spans="1:9" ht="15" thickBot="1" x14ac:dyDescent="0.35">
      <c r="A48" s="79"/>
      <c r="B48" s="80"/>
      <c r="C48" s="81" t="s">
        <v>18</v>
      </c>
      <c r="D48" s="81"/>
      <c r="E48" s="82"/>
      <c r="F48" s="83"/>
      <c r="G48" s="81"/>
      <c r="H48" s="81"/>
      <c r="I48" s="84"/>
    </row>
    <row r="49" spans="1:9" ht="15" thickBot="1" x14ac:dyDescent="0.35">
      <c r="A49" s="85"/>
      <c r="B49" s="86"/>
      <c r="C49" s="87" t="s">
        <v>18</v>
      </c>
      <c r="D49" s="88" t="s">
        <v>285</v>
      </c>
      <c r="E49" s="89" t="s">
        <v>304</v>
      </c>
      <c r="F49" s="90"/>
      <c r="G49" s="87"/>
      <c r="H49" s="87"/>
      <c r="I49" s="91"/>
    </row>
    <row r="50" spans="1:9" x14ac:dyDescent="0.3">
      <c r="A50" s="130" t="s">
        <v>305</v>
      </c>
      <c r="B50" s="131"/>
      <c r="C50" s="132"/>
      <c r="D50" s="92">
        <v>30000</v>
      </c>
      <c r="E50" s="93" t="s">
        <v>291</v>
      </c>
      <c r="F50" s="133" t="s">
        <v>306</v>
      </c>
      <c r="G50" s="133"/>
      <c r="H50" s="134"/>
      <c r="I50" s="135"/>
    </row>
    <row r="51" spans="1:9" x14ac:dyDescent="0.3">
      <c r="A51" s="136" t="s">
        <v>307</v>
      </c>
      <c r="B51" s="137"/>
      <c r="C51" s="138"/>
      <c r="D51" s="56">
        <v>40</v>
      </c>
      <c r="E51" s="39" t="s">
        <v>308</v>
      </c>
      <c r="F51" s="139" t="s">
        <v>309</v>
      </c>
      <c r="G51" s="139"/>
      <c r="H51" s="140"/>
      <c r="I51" s="141"/>
    </row>
    <row r="52" spans="1:9" x14ac:dyDescent="0.3">
      <c r="A52" s="136" t="s">
        <v>310</v>
      </c>
      <c r="B52" s="137"/>
      <c r="C52" s="138"/>
      <c r="D52" s="56">
        <v>75</v>
      </c>
      <c r="E52" s="39" t="s">
        <v>311</v>
      </c>
      <c r="F52" s="139" t="s">
        <v>312</v>
      </c>
      <c r="G52" s="139"/>
      <c r="H52" s="140"/>
      <c r="I52" s="141"/>
    </row>
    <row r="53" spans="1:9" x14ac:dyDescent="0.3">
      <c r="A53" s="136" t="s">
        <v>313</v>
      </c>
      <c r="B53" s="137"/>
      <c r="C53" s="138"/>
      <c r="D53" s="56">
        <v>400</v>
      </c>
      <c r="E53" s="39" t="s">
        <v>291</v>
      </c>
      <c r="F53" s="142" t="s">
        <v>314</v>
      </c>
      <c r="G53" s="143"/>
      <c r="H53" s="144"/>
      <c r="I53" s="145"/>
    </row>
    <row r="54" spans="1:9" ht="15" thickBot="1" x14ac:dyDescent="0.35">
      <c r="A54" s="149" t="s">
        <v>315</v>
      </c>
      <c r="B54" s="150"/>
      <c r="C54" s="151"/>
      <c r="D54" s="94">
        <v>65</v>
      </c>
      <c r="E54" s="95" t="s">
        <v>291</v>
      </c>
      <c r="F54" s="152"/>
      <c r="G54" s="152"/>
      <c r="H54" s="140"/>
      <c r="I54" s="141"/>
    </row>
    <row r="55" spans="1:9" ht="15" thickBot="1" x14ac:dyDescent="0.35">
      <c r="A55" s="153" t="s">
        <v>316</v>
      </c>
      <c r="B55" s="154"/>
      <c r="C55" s="154"/>
      <c r="D55" s="154"/>
      <c r="E55" s="154"/>
      <c r="F55" s="154"/>
      <c r="G55" s="154"/>
      <c r="H55" s="154"/>
      <c r="I55" s="155"/>
    </row>
    <row r="56" spans="1:9" ht="14.55" customHeight="1" x14ac:dyDescent="0.3">
      <c r="A56" s="156" t="s">
        <v>317</v>
      </c>
      <c r="B56" s="157"/>
      <c r="C56" s="158"/>
      <c r="D56" s="158"/>
      <c r="E56" s="158"/>
      <c r="F56" s="158"/>
      <c r="G56" s="158"/>
      <c r="H56" s="158"/>
      <c r="I56" s="159"/>
    </row>
    <row r="57" spans="1:9" ht="15.45" customHeight="1" x14ac:dyDescent="0.3">
      <c r="A57" s="156" t="s">
        <v>318</v>
      </c>
      <c r="B57" s="157"/>
      <c r="C57" s="158"/>
      <c r="D57" s="158"/>
      <c r="E57" s="158"/>
      <c r="F57" s="158"/>
      <c r="G57" s="158"/>
      <c r="H57" s="158"/>
      <c r="I57" s="159"/>
    </row>
    <row r="58" spans="1:9" x14ac:dyDescent="0.3">
      <c r="A58" s="156" t="s">
        <v>319</v>
      </c>
      <c r="B58" s="157"/>
      <c r="C58" s="158"/>
      <c r="D58" s="158"/>
      <c r="E58" s="158"/>
      <c r="F58" s="158"/>
      <c r="G58" s="158"/>
      <c r="H58" s="158"/>
      <c r="I58" s="159"/>
    </row>
    <row r="59" spans="1:9" ht="15" thickBot="1" x14ac:dyDescent="0.35">
      <c r="A59" s="160" t="s">
        <v>320</v>
      </c>
      <c r="B59" s="161"/>
      <c r="C59" s="162"/>
      <c r="D59" s="162"/>
      <c r="E59" s="162"/>
      <c r="F59" s="162"/>
      <c r="G59" s="162"/>
      <c r="H59" s="162"/>
      <c r="I59" s="163"/>
    </row>
    <row r="60" spans="1:9" ht="14.55" customHeight="1" x14ac:dyDescent="0.3">
      <c r="A60" s="164"/>
      <c r="B60" s="165"/>
      <c r="C60" s="165"/>
      <c r="D60" s="165"/>
      <c r="E60" s="165"/>
      <c r="F60" s="165"/>
      <c r="G60" s="165"/>
      <c r="H60" s="165"/>
      <c r="I60" s="166"/>
    </row>
    <row r="61" spans="1:9" ht="14.55" customHeight="1" x14ac:dyDescent="0.3">
      <c r="A61" s="167"/>
      <c r="B61" s="147"/>
      <c r="C61" s="147"/>
      <c r="D61" s="147"/>
      <c r="E61" s="147"/>
      <c r="F61" s="147"/>
      <c r="G61" s="147"/>
      <c r="H61" s="147"/>
      <c r="I61" s="168"/>
    </row>
    <row r="62" spans="1:9" ht="14.55" customHeight="1" x14ac:dyDescent="0.3">
      <c r="A62" s="146"/>
      <c r="B62" s="147"/>
      <c r="C62" s="147"/>
      <c r="D62" s="147"/>
      <c r="E62" s="147"/>
      <c r="F62" s="147"/>
      <c r="G62" s="147"/>
      <c r="H62" s="147"/>
      <c r="I62" s="148"/>
    </row>
    <row r="63" spans="1:9" ht="18" customHeight="1" x14ac:dyDescent="0.3">
      <c r="A63" s="146"/>
      <c r="B63" s="147"/>
      <c r="C63" s="147"/>
      <c r="D63" s="147"/>
      <c r="E63" s="147"/>
      <c r="F63" s="147"/>
      <c r="G63" s="147"/>
      <c r="H63" s="147"/>
      <c r="I63" s="148"/>
    </row>
    <row r="64" spans="1:9" ht="14.55" customHeight="1" x14ac:dyDescent="0.3">
      <c r="A64" s="146"/>
      <c r="B64" s="147"/>
      <c r="C64" s="147"/>
      <c r="D64" s="147"/>
      <c r="E64" s="147"/>
      <c r="F64" s="147"/>
      <c r="G64" s="147"/>
      <c r="H64" s="147"/>
      <c r="I64" s="148"/>
    </row>
    <row r="65" spans="1:9" ht="14.55" customHeight="1" thickBot="1" x14ac:dyDescent="0.35">
      <c r="A65" s="146"/>
      <c r="B65" s="147"/>
      <c r="C65" s="147"/>
      <c r="D65" s="147"/>
      <c r="E65" s="147"/>
      <c r="F65" s="147"/>
      <c r="G65" s="147"/>
      <c r="H65" s="147"/>
      <c r="I65" s="148"/>
    </row>
    <row r="66" spans="1:9" ht="14.55" customHeight="1" x14ac:dyDescent="0.3">
      <c r="A66" s="169" t="s">
        <v>332</v>
      </c>
      <c r="B66" s="170"/>
      <c r="C66" s="170"/>
      <c r="D66" s="170"/>
      <c r="E66" s="170"/>
      <c r="F66" s="170"/>
      <c r="G66" s="170"/>
      <c r="H66" s="170"/>
      <c r="I66" s="170"/>
    </row>
    <row r="67" spans="1:9" x14ac:dyDescent="0.3">
      <c r="A67" s="171"/>
      <c r="B67" s="172"/>
      <c r="C67" s="172"/>
      <c r="D67" s="172"/>
      <c r="E67" s="172"/>
      <c r="F67" s="172"/>
      <c r="G67" s="172"/>
      <c r="H67" s="172"/>
      <c r="I67" s="172"/>
    </row>
    <row r="68" spans="1:9" x14ac:dyDescent="0.3">
      <c r="A68" s="171"/>
      <c r="B68" s="172"/>
      <c r="C68" s="172"/>
      <c r="D68" s="172"/>
      <c r="E68" s="172"/>
      <c r="F68" s="172"/>
      <c r="G68" s="172"/>
      <c r="H68" s="172"/>
      <c r="I68" s="172"/>
    </row>
  </sheetData>
  <mergeCells count="46">
    <mergeCell ref="A64:I64"/>
    <mergeCell ref="A65:I65"/>
    <mergeCell ref="A66:I66"/>
    <mergeCell ref="A67:I67"/>
    <mergeCell ref="A68:I68"/>
    <mergeCell ref="A63:I63"/>
    <mergeCell ref="A54:C54"/>
    <mergeCell ref="F54:G54"/>
    <mergeCell ref="H54:I54"/>
    <mergeCell ref="A55:I55"/>
    <mergeCell ref="A56:I56"/>
    <mergeCell ref="A57:I57"/>
    <mergeCell ref="A58:I58"/>
    <mergeCell ref="A59:I59"/>
    <mergeCell ref="A60:I60"/>
    <mergeCell ref="A61:I61"/>
    <mergeCell ref="A62:I62"/>
    <mergeCell ref="A52:C52"/>
    <mergeCell ref="F52:G52"/>
    <mergeCell ref="H52:I52"/>
    <mergeCell ref="A53:C53"/>
    <mergeCell ref="F53:G53"/>
    <mergeCell ref="H53:I53"/>
    <mergeCell ref="A50:C50"/>
    <mergeCell ref="F50:G50"/>
    <mergeCell ref="H50:I50"/>
    <mergeCell ref="A51:C51"/>
    <mergeCell ref="F51:G51"/>
    <mergeCell ref="H51:I51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60"/>
  <sheetViews>
    <sheetView workbookViewId="0">
      <selection activeCell="C4" sqref="C4"/>
    </sheetView>
  </sheetViews>
  <sheetFormatPr baseColWidth="10" defaultRowHeight="14.4" x14ac:dyDescent="0.3"/>
  <cols>
    <col min="1" max="1" width="21.77734375" customWidth="1"/>
    <col min="3" max="3" width="40.77734375" customWidth="1"/>
    <col min="11" max="11" width="10" customWidth="1"/>
    <col min="12" max="12" width="11.44140625" style="2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16</v>
      </c>
    </row>
    <row r="14" spans="1:2" x14ac:dyDescent="0.3">
      <c r="A14" t="s">
        <v>22</v>
      </c>
      <c r="B14" t="s">
        <v>23</v>
      </c>
    </row>
    <row r="17" spans="1:14" x14ac:dyDescent="0.3">
      <c r="A17" t="s">
        <v>24</v>
      </c>
      <c r="B17" t="s">
        <v>25</v>
      </c>
    </row>
    <row r="18" spans="1:14" x14ac:dyDescent="0.3">
      <c r="B18" t="s">
        <v>264</v>
      </c>
    </row>
    <row r="20" spans="1:14" x14ac:dyDescent="0.3">
      <c r="A20" t="s">
        <v>28</v>
      </c>
      <c r="B20" t="s">
        <v>29</v>
      </c>
      <c r="C20" t="s">
        <v>30</v>
      </c>
      <c r="D20" t="s">
        <v>31</v>
      </c>
      <c r="E20" t="s">
        <v>32</v>
      </c>
      <c r="F20" t="s">
        <v>33</v>
      </c>
      <c r="G20" t="s">
        <v>34</v>
      </c>
      <c r="H20" t="s">
        <v>35</v>
      </c>
      <c r="I20" s="1" t="s">
        <v>36</v>
      </c>
      <c r="J20" t="s">
        <v>37</v>
      </c>
      <c r="K20" t="s">
        <v>38</v>
      </c>
    </row>
    <row r="21" spans="1:14" x14ac:dyDescent="0.3">
      <c r="A21" t="s">
        <v>39</v>
      </c>
      <c r="B21" t="s">
        <v>40</v>
      </c>
      <c r="C21" t="s">
        <v>41</v>
      </c>
      <c r="D21" t="s">
        <v>40</v>
      </c>
      <c r="E21" t="s">
        <v>42</v>
      </c>
      <c r="F21" t="s">
        <v>40</v>
      </c>
      <c r="G21" t="s">
        <v>40</v>
      </c>
      <c r="H21" t="s">
        <v>40</v>
      </c>
      <c r="I21" s="1" t="s">
        <v>43</v>
      </c>
      <c r="J21" t="s">
        <v>44</v>
      </c>
      <c r="K21" t="s">
        <v>43</v>
      </c>
      <c r="L21" s="3">
        <v>42.6</v>
      </c>
    </row>
    <row r="22" spans="1:14" x14ac:dyDescent="0.3">
      <c r="A22" t="s">
        <v>45</v>
      </c>
      <c r="B22" t="s">
        <v>40</v>
      </c>
      <c r="C22" t="s">
        <v>46</v>
      </c>
      <c r="D22" t="s">
        <v>40</v>
      </c>
      <c r="E22" t="s">
        <v>42</v>
      </c>
      <c r="F22" t="s">
        <v>40</v>
      </c>
      <c r="G22" t="s">
        <v>40</v>
      </c>
      <c r="H22" t="s">
        <v>40</v>
      </c>
      <c r="I22" s="1">
        <v>575.4</v>
      </c>
      <c r="J22" t="s">
        <v>44</v>
      </c>
      <c r="K22" t="s">
        <v>47</v>
      </c>
      <c r="L22" s="3">
        <v>575.4</v>
      </c>
      <c r="M22">
        <f>548*5%</f>
        <v>27.400000000000002</v>
      </c>
      <c r="N22">
        <f>548+27.4</f>
        <v>575.4</v>
      </c>
    </row>
    <row r="23" spans="1:14" x14ac:dyDescent="0.3">
      <c r="A23" t="s">
        <v>48</v>
      </c>
      <c r="B23" t="s">
        <v>40</v>
      </c>
      <c r="C23" t="s">
        <v>49</v>
      </c>
      <c r="D23" t="s">
        <v>40</v>
      </c>
      <c r="E23" t="s">
        <v>42</v>
      </c>
      <c r="F23" t="s">
        <v>40</v>
      </c>
      <c r="G23" t="s">
        <v>40</v>
      </c>
      <c r="H23" t="s">
        <v>40</v>
      </c>
      <c r="I23" s="1" t="s">
        <v>50</v>
      </c>
      <c r="J23" t="s">
        <v>44</v>
      </c>
      <c r="K23" t="s">
        <v>50</v>
      </c>
      <c r="L23" s="3">
        <v>78</v>
      </c>
    </row>
    <row r="24" spans="1:14" x14ac:dyDescent="0.3">
      <c r="A24" t="s">
        <v>51</v>
      </c>
      <c r="B24" t="s">
        <v>40</v>
      </c>
      <c r="C24" t="s">
        <v>52</v>
      </c>
      <c r="D24" t="s">
        <v>53</v>
      </c>
      <c r="E24" t="s">
        <v>42</v>
      </c>
      <c r="F24" t="s">
        <v>53</v>
      </c>
      <c r="G24" t="s">
        <v>53</v>
      </c>
      <c r="H24" t="s">
        <v>53</v>
      </c>
      <c r="I24" s="1" t="s">
        <v>54</v>
      </c>
      <c r="J24" t="s">
        <v>44</v>
      </c>
      <c r="K24" t="s">
        <v>55</v>
      </c>
      <c r="L24" s="3">
        <v>9.59</v>
      </c>
    </row>
    <row r="25" spans="1:14" x14ac:dyDescent="0.3">
      <c r="A25" t="s">
        <v>56</v>
      </c>
      <c r="B25" t="s">
        <v>40</v>
      </c>
      <c r="C25" t="s">
        <v>57</v>
      </c>
      <c r="D25" t="s">
        <v>58</v>
      </c>
      <c r="E25" t="s">
        <v>42</v>
      </c>
      <c r="F25" t="s">
        <v>58</v>
      </c>
      <c r="G25" t="s">
        <v>58</v>
      </c>
      <c r="H25" t="s">
        <v>58</v>
      </c>
      <c r="I25" s="1" t="s">
        <v>59</v>
      </c>
      <c r="J25" t="s">
        <v>44</v>
      </c>
      <c r="K25" t="s">
        <v>60</v>
      </c>
      <c r="L25" s="3">
        <v>470.92</v>
      </c>
    </row>
    <row r="26" spans="1:14" x14ac:dyDescent="0.3">
      <c r="A26" t="s">
        <v>61</v>
      </c>
      <c r="B26" t="s">
        <v>40</v>
      </c>
      <c r="C26" t="s">
        <v>62</v>
      </c>
      <c r="D26" t="s">
        <v>58</v>
      </c>
      <c r="E26" t="s">
        <v>42</v>
      </c>
      <c r="F26" t="s">
        <v>58</v>
      </c>
      <c r="G26" t="s">
        <v>58</v>
      </c>
      <c r="H26" t="s">
        <v>58</v>
      </c>
      <c r="I26" s="1" t="s">
        <v>63</v>
      </c>
      <c r="J26" t="s">
        <v>44</v>
      </c>
      <c r="K26" t="s">
        <v>64</v>
      </c>
      <c r="L26" s="3">
        <v>447.76</v>
      </c>
    </row>
    <row r="27" spans="1:14" x14ac:dyDescent="0.3">
      <c r="A27" t="s">
        <v>65</v>
      </c>
      <c r="B27" t="s">
        <v>40</v>
      </c>
      <c r="C27" t="s">
        <v>66</v>
      </c>
      <c r="D27" t="s">
        <v>40</v>
      </c>
      <c r="E27" t="s">
        <v>42</v>
      </c>
      <c r="F27" t="s">
        <v>40</v>
      </c>
      <c r="G27" t="s">
        <v>40</v>
      </c>
      <c r="H27" t="s">
        <v>40</v>
      </c>
      <c r="I27" s="1">
        <v>1610</v>
      </c>
      <c r="J27" t="s">
        <v>44</v>
      </c>
      <c r="K27" t="s">
        <v>68</v>
      </c>
      <c r="L27" s="3">
        <v>1610</v>
      </c>
    </row>
    <row r="28" spans="1:14" x14ac:dyDescent="0.3">
      <c r="A28" s="7" t="s">
        <v>69</v>
      </c>
      <c r="B28" s="7" t="s">
        <v>70</v>
      </c>
      <c r="C28" s="7" t="s">
        <v>265</v>
      </c>
      <c r="D28" s="7" t="s">
        <v>72</v>
      </c>
      <c r="E28" s="7" t="s">
        <v>42</v>
      </c>
      <c r="F28" s="7" t="s">
        <v>72</v>
      </c>
      <c r="G28" s="7" t="s">
        <v>72</v>
      </c>
      <c r="H28" s="7" t="s">
        <v>72</v>
      </c>
      <c r="I28" s="7">
        <v>9.6999999999999993</v>
      </c>
      <c r="J28" t="s">
        <v>74</v>
      </c>
      <c r="K28" t="s">
        <v>75</v>
      </c>
      <c r="L28" s="4">
        <v>504.4</v>
      </c>
      <c r="M28">
        <f>9.7*52</f>
        <v>504.4</v>
      </c>
    </row>
    <row r="29" spans="1:14" x14ac:dyDescent="0.3">
      <c r="A29" t="s">
        <v>76</v>
      </c>
      <c r="B29" t="s">
        <v>70</v>
      </c>
      <c r="C29" t="s">
        <v>77</v>
      </c>
      <c r="D29" t="s">
        <v>78</v>
      </c>
      <c r="E29" t="s">
        <v>42</v>
      </c>
      <c r="F29" t="s">
        <v>78</v>
      </c>
      <c r="G29" t="s">
        <v>78</v>
      </c>
      <c r="H29" t="s">
        <v>78</v>
      </c>
      <c r="I29" s="1" t="s">
        <v>79</v>
      </c>
      <c r="J29" t="s">
        <v>80</v>
      </c>
      <c r="K29" t="s">
        <v>81</v>
      </c>
      <c r="L29" s="4">
        <v>5.79</v>
      </c>
    </row>
    <row r="30" spans="1:14" x14ac:dyDescent="0.3">
      <c r="A30" t="s">
        <v>82</v>
      </c>
      <c r="B30" t="s">
        <v>70</v>
      </c>
      <c r="C30" t="s">
        <v>83</v>
      </c>
      <c r="D30" t="s">
        <v>84</v>
      </c>
      <c r="E30" t="s">
        <v>42</v>
      </c>
      <c r="F30" s="6">
        <v>1007</v>
      </c>
      <c r="G30" t="s">
        <v>84</v>
      </c>
      <c r="H30" t="s">
        <v>84</v>
      </c>
      <c r="I30" s="1" t="s">
        <v>85</v>
      </c>
      <c r="J30" t="s">
        <v>80</v>
      </c>
      <c r="K30" t="s">
        <v>86</v>
      </c>
      <c r="L30" s="4">
        <v>0.56000000000000005</v>
      </c>
    </row>
    <row r="31" spans="1:14" x14ac:dyDescent="0.3">
      <c r="A31" t="s">
        <v>87</v>
      </c>
      <c r="B31" t="s">
        <v>70</v>
      </c>
      <c r="C31" t="s">
        <v>88</v>
      </c>
      <c r="D31" t="s">
        <v>89</v>
      </c>
      <c r="E31" t="s">
        <v>42</v>
      </c>
      <c r="F31" t="s">
        <v>89</v>
      </c>
      <c r="G31" t="s">
        <v>89</v>
      </c>
      <c r="H31" t="s">
        <v>89</v>
      </c>
      <c r="I31" s="1" t="s">
        <v>90</v>
      </c>
      <c r="J31" t="s">
        <v>80</v>
      </c>
      <c r="K31" t="s">
        <v>91</v>
      </c>
      <c r="L31" s="4">
        <v>43.22</v>
      </c>
    </row>
    <row r="32" spans="1:14" x14ac:dyDescent="0.3">
      <c r="A32" t="s">
        <v>92</v>
      </c>
      <c r="B32" t="s">
        <v>70</v>
      </c>
      <c r="C32" t="s">
        <v>93</v>
      </c>
      <c r="D32" t="s">
        <v>94</v>
      </c>
      <c r="E32" t="s">
        <v>42</v>
      </c>
      <c r="F32" t="s">
        <v>94</v>
      </c>
      <c r="G32" t="s">
        <v>94</v>
      </c>
      <c r="H32" t="s">
        <v>94</v>
      </c>
      <c r="I32" s="1" t="s">
        <v>95</v>
      </c>
      <c r="J32" t="s">
        <v>96</v>
      </c>
      <c r="K32" t="s">
        <v>97</v>
      </c>
      <c r="L32" s="4">
        <v>1057</v>
      </c>
    </row>
    <row r="33" spans="1:13" x14ac:dyDescent="0.3">
      <c r="A33" t="s">
        <v>98</v>
      </c>
      <c r="B33" t="s">
        <v>99</v>
      </c>
      <c r="C33" t="s">
        <v>100</v>
      </c>
      <c r="D33" t="s">
        <v>101</v>
      </c>
      <c r="E33" t="s">
        <v>42</v>
      </c>
      <c r="F33" t="s">
        <v>101</v>
      </c>
      <c r="G33" t="s">
        <v>102</v>
      </c>
      <c r="H33" t="s">
        <v>102</v>
      </c>
      <c r="I33" s="1" t="s">
        <v>103</v>
      </c>
      <c r="J33" t="s">
        <v>80</v>
      </c>
      <c r="K33" t="s">
        <v>104</v>
      </c>
      <c r="L33" s="5">
        <v>78.510000000000005</v>
      </c>
    </row>
    <row r="34" spans="1:13" x14ac:dyDescent="0.3">
      <c r="A34" t="s">
        <v>105</v>
      </c>
      <c r="B34" t="s">
        <v>99</v>
      </c>
      <c r="C34" t="s">
        <v>106</v>
      </c>
      <c r="D34" t="s">
        <v>107</v>
      </c>
      <c r="E34" t="s">
        <v>42</v>
      </c>
      <c r="F34" t="s">
        <v>107</v>
      </c>
      <c r="G34" t="s">
        <v>108</v>
      </c>
      <c r="H34" t="s">
        <v>108</v>
      </c>
      <c r="I34" s="1" t="s">
        <v>109</v>
      </c>
      <c r="J34" t="s">
        <v>80</v>
      </c>
      <c r="K34" t="s">
        <v>110</v>
      </c>
      <c r="L34" s="5">
        <v>49.28</v>
      </c>
    </row>
    <row r="35" spans="1:13" x14ac:dyDescent="0.3">
      <c r="A35" t="s">
        <v>111</v>
      </c>
      <c r="B35" t="s">
        <v>99</v>
      </c>
      <c r="C35" t="s">
        <v>112</v>
      </c>
      <c r="D35" t="s">
        <v>113</v>
      </c>
      <c r="E35" t="s">
        <v>42</v>
      </c>
      <c r="F35" t="s">
        <v>113</v>
      </c>
      <c r="G35" t="s">
        <v>114</v>
      </c>
      <c r="H35" t="s">
        <v>114</v>
      </c>
      <c r="I35" s="1" t="s">
        <v>115</v>
      </c>
      <c r="J35" t="s">
        <v>80</v>
      </c>
      <c r="K35" t="s">
        <v>116</v>
      </c>
      <c r="L35" s="5">
        <v>6.12</v>
      </c>
    </row>
    <row r="36" spans="1:13" x14ac:dyDescent="0.3">
      <c r="A36" t="s">
        <v>117</v>
      </c>
      <c r="B36" t="s">
        <v>99</v>
      </c>
      <c r="C36" t="s">
        <v>118</v>
      </c>
      <c r="D36" t="s">
        <v>119</v>
      </c>
      <c r="E36" t="s">
        <v>42</v>
      </c>
      <c r="F36" t="s">
        <v>119</v>
      </c>
      <c r="G36" t="s">
        <v>120</v>
      </c>
      <c r="H36" t="s">
        <v>120</v>
      </c>
      <c r="I36" s="1" t="s">
        <v>121</v>
      </c>
      <c r="J36" t="s">
        <v>74</v>
      </c>
      <c r="K36" t="s">
        <v>122</v>
      </c>
      <c r="L36" s="5">
        <v>3.01</v>
      </c>
    </row>
    <row r="37" spans="1:13" x14ac:dyDescent="0.3">
      <c r="A37" t="s">
        <v>123</v>
      </c>
      <c r="B37" t="s">
        <v>99</v>
      </c>
      <c r="C37" t="s">
        <v>124</v>
      </c>
      <c r="D37" t="s">
        <v>125</v>
      </c>
      <c r="E37" t="s">
        <v>42</v>
      </c>
      <c r="F37" t="s">
        <v>125</v>
      </c>
      <c r="G37" t="s">
        <v>126</v>
      </c>
      <c r="H37" t="s">
        <v>126</v>
      </c>
      <c r="I37" s="1" t="s">
        <v>127</v>
      </c>
      <c r="J37" t="s">
        <v>74</v>
      </c>
      <c r="K37" t="s">
        <v>128</v>
      </c>
      <c r="L37" s="5">
        <v>4.8</v>
      </c>
    </row>
    <row r="38" spans="1:13" x14ac:dyDescent="0.3">
      <c r="A38" s="8" t="s">
        <v>129</v>
      </c>
      <c r="B38" s="8" t="s">
        <v>99</v>
      </c>
      <c r="C38" s="8" t="s">
        <v>265</v>
      </c>
      <c r="D38" s="8" t="s">
        <v>131</v>
      </c>
      <c r="E38" s="8" t="s">
        <v>42</v>
      </c>
      <c r="F38" s="8" t="s">
        <v>131</v>
      </c>
      <c r="G38" s="8" t="s">
        <v>132</v>
      </c>
      <c r="H38" s="8" t="s">
        <v>132</v>
      </c>
      <c r="I38" s="8">
        <v>9.6999999999999993</v>
      </c>
      <c r="J38" s="8" t="s">
        <v>74</v>
      </c>
      <c r="K38" s="8" t="s">
        <v>134</v>
      </c>
      <c r="L38" s="5">
        <v>145.21</v>
      </c>
      <c r="M38">
        <f>9.7*14.97</f>
        <v>145.209</v>
      </c>
    </row>
    <row r="39" spans="1:13" x14ac:dyDescent="0.3">
      <c r="A39" t="s">
        <v>135</v>
      </c>
      <c r="B39" t="s">
        <v>99</v>
      </c>
      <c r="C39" t="s">
        <v>136</v>
      </c>
      <c r="D39" t="s">
        <v>137</v>
      </c>
      <c r="E39" t="s">
        <v>42</v>
      </c>
      <c r="F39" t="s">
        <v>137</v>
      </c>
      <c r="G39" t="s">
        <v>138</v>
      </c>
      <c r="H39" t="s">
        <v>138</v>
      </c>
      <c r="I39" s="1" t="s">
        <v>139</v>
      </c>
      <c r="J39" t="s">
        <v>96</v>
      </c>
      <c r="K39" t="s">
        <v>140</v>
      </c>
      <c r="L39" s="5">
        <v>770.6</v>
      </c>
    </row>
    <row r="40" spans="1:13" x14ac:dyDescent="0.3">
      <c r="A40" t="s">
        <v>141</v>
      </c>
      <c r="B40" t="s">
        <v>142</v>
      </c>
      <c r="C40" t="s">
        <v>143</v>
      </c>
      <c r="D40" t="s">
        <v>144</v>
      </c>
      <c r="E40" t="s">
        <v>42</v>
      </c>
      <c r="F40" t="s">
        <v>144</v>
      </c>
      <c r="G40" t="s">
        <v>145</v>
      </c>
      <c r="H40" t="s">
        <v>145</v>
      </c>
      <c r="I40" s="1" t="s">
        <v>146</v>
      </c>
      <c r="J40" t="s">
        <v>80</v>
      </c>
      <c r="K40" t="s">
        <v>147</v>
      </c>
      <c r="L40" s="2">
        <v>66.72</v>
      </c>
    </row>
    <row r="41" spans="1:13" x14ac:dyDescent="0.3">
      <c r="A41" t="s">
        <v>148</v>
      </c>
      <c r="B41" t="s">
        <v>142</v>
      </c>
      <c r="C41" t="s">
        <v>149</v>
      </c>
      <c r="D41" t="s">
        <v>150</v>
      </c>
      <c r="E41" t="s">
        <v>42</v>
      </c>
      <c r="F41" t="s">
        <v>150</v>
      </c>
      <c r="G41" t="s">
        <v>151</v>
      </c>
      <c r="H41" t="s">
        <v>151</v>
      </c>
      <c r="I41" s="1" t="s">
        <v>152</v>
      </c>
      <c r="J41" t="s">
        <v>80</v>
      </c>
      <c r="K41" t="s">
        <v>153</v>
      </c>
      <c r="L41" s="2">
        <v>16.899999999999999</v>
      </c>
    </row>
    <row r="42" spans="1:13" x14ac:dyDescent="0.3">
      <c r="A42" t="s">
        <v>154</v>
      </c>
      <c r="B42" t="s">
        <v>142</v>
      </c>
      <c r="C42" t="s">
        <v>155</v>
      </c>
      <c r="D42" t="s">
        <v>156</v>
      </c>
      <c r="E42" t="s">
        <v>42</v>
      </c>
      <c r="F42" t="s">
        <v>156</v>
      </c>
      <c r="G42" t="s">
        <v>157</v>
      </c>
      <c r="H42" t="s">
        <v>157</v>
      </c>
      <c r="I42" s="1" t="s">
        <v>158</v>
      </c>
      <c r="J42" t="s">
        <v>80</v>
      </c>
      <c r="K42" t="s">
        <v>159</v>
      </c>
      <c r="L42" s="2">
        <v>168.57</v>
      </c>
    </row>
    <row r="43" spans="1:13" x14ac:dyDescent="0.3">
      <c r="A43" t="s">
        <v>160</v>
      </c>
      <c r="B43" t="s">
        <v>142</v>
      </c>
      <c r="C43" t="s">
        <v>161</v>
      </c>
      <c r="D43" t="s">
        <v>162</v>
      </c>
      <c r="E43" t="s">
        <v>42</v>
      </c>
      <c r="F43" t="s">
        <v>162</v>
      </c>
      <c r="G43" t="s">
        <v>163</v>
      </c>
      <c r="H43" t="s">
        <v>163</v>
      </c>
      <c r="I43" s="1" t="s">
        <v>164</v>
      </c>
      <c r="J43" t="s">
        <v>80</v>
      </c>
      <c r="K43" t="s">
        <v>165</v>
      </c>
      <c r="L43" s="2">
        <v>47.71</v>
      </c>
    </row>
    <row r="44" spans="1:13" x14ac:dyDescent="0.3">
      <c r="A44" t="s">
        <v>166</v>
      </c>
      <c r="B44" t="s">
        <v>142</v>
      </c>
      <c r="C44" t="s">
        <v>167</v>
      </c>
      <c r="D44" t="s">
        <v>168</v>
      </c>
      <c r="E44" t="s">
        <v>42</v>
      </c>
      <c r="F44" t="s">
        <v>168</v>
      </c>
      <c r="G44" t="s">
        <v>169</v>
      </c>
      <c r="H44" t="s">
        <v>169</v>
      </c>
      <c r="I44" s="1" t="s">
        <v>170</v>
      </c>
      <c r="J44" t="s">
        <v>80</v>
      </c>
      <c r="K44" t="s">
        <v>171</v>
      </c>
      <c r="L44" s="2">
        <v>1.87</v>
      </c>
    </row>
    <row r="45" spans="1:13" x14ac:dyDescent="0.3">
      <c r="A45" t="s">
        <v>172</v>
      </c>
      <c r="B45" t="s">
        <v>142</v>
      </c>
      <c r="C45" t="s">
        <v>173</v>
      </c>
      <c r="D45" t="s">
        <v>174</v>
      </c>
      <c r="E45" t="s">
        <v>42</v>
      </c>
      <c r="F45" t="s">
        <v>174</v>
      </c>
      <c r="G45" t="s">
        <v>175</v>
      </c>
      <c r="H45" t="s">
        <v>175</v>
      </c>
      <c r="I45" s="1" t="s">
        <v>176</v>
      </c>
      <c r="J45" t="s">
        <v>80</v>
      </c>
      <c r="K45" t="s">
        <v>177</v>
      </c>
      <c r="L45" s="2">
        <v>1.98</v>
      </c>
    </row>
    <row r="46" spans="1:13" x14ac:dyDescent="0.3">
      <c r="A46" t="s">
        <v>178</v>
      </c>
      <c r="B46" t="s">
        <v>142</v>
      </c>
      <c r="C46" t="s">
        <v>179</v>
      </c>
      <c r="D46" t="s">
        <v>180</v>
      </c>
      <c r="E46" t="s">
        <v>42</v>
      </c>
      <c r="F46" t="s">
        <v>180</v>
      </c>
      <c r="G46" t="s">
        <v>181</v>
      </c>
      <c r="H46" t="s">
        <v>181</v>
      </c>
      <c r="I46" s="1" t="s">
        <v>182</v>
      </c>
      <c r="J46" t="s">
        <v>80</v>
      </c>
      <c r="K46" t="s">
        <v>183</v>
      </c>
      <c r="L46" s="2">
        <v>3.05</v>
      </c>
    </row>
    <row r="47" spans="1:13" x14ac:dyDescent="0.3">
      <c r="A47" t="s">
        <v>184</v>
      </c>
      <c r="B47" t="s">
        <v>142</v>
      </c>
      <c r="C47" t="s">
        <v>185</v>
      </c>
      <c r="D47" t="s">
        <v>186</v>
      </c>
      <c r="E47" t="s">
        <v>42</v>
      </c>
      <c r="F47" t="s">
        <v>186</v>
      </c>
      <c r="G47" t="s">
        <v>187</v>
      </c>
      <c r="H47" t="s">
        <v>187</v>
      </c>
      <c r="I47" s="1" t="s">
        <v>188</v>
      </c>
      <c r="J47" t="s">
        <v>80</v>
      </c>
      <c r="K47" t="s">
        <v>189</v>
      </c>
      <c r="L47" s="2">
        <v>2.63</v>
      </c>
    </row>
    <row r="48" spans="1:13" x14ac:dyDescent="0.3">
      <c r="A48" t="s">
        <v>190</v>
      </c>
      <c r="B48" t="s">
        <v>142</v>
      </c>
      <c r="C48" t="s">
        <v>191</v>
      </c>
      <c r="D48" t="s">
        <v>192</v>
      </c>
      <c r="E48" t="s">
        <v>42</v>
      </c>
      <c r="F48" t="s">
        <v>192</v>
      </c>
      <c r="G48" t="s">
        <v>193</v>
      </c>
      <c r="H48" t="s">
        <v>193</v>
      </c>
      <c r="I48" s="1" t="s">
        <v>194</v>
      </c>
      <c r="J48" t="s">
        <v>80</v>
      </c>
      <c r="K48" t="s">
        <v>195</v>
      </c>
      <c r="L48" s="2">
        <v>4.37</v>
      </c>
    </row>
    <row r="49" spans="1:12" x14ac:dyDescent="0.3">
      <c r="A49" t="s">
        <v>196</v>
      </c>
      <c r="B49" t="s">
        <v>142</v>
      </c>
      <c r="C49" t="s">
        <v>197</v>
      </c>
      <c r="D49" t="s">
        <v>198</v>
      </c>
      <c r="E49" t="s">
        <v>42</v>
      </c>
      <c r="F49" t="s">
        <v>198</v>
      </c>
      <c r="G49" t="s">
        <v>199</v>
      </c>
      <c r="H49" t="s">
        <v>199</v>
      </c>
      <c r="I49" s="1" t="s">
        <v>200</v>
      </c>
      <c r="J49" t="s">
        <v>80</v>
      </c>
      <c r="K49" t="s">
        <v>201</v>
      </c>
      <c r="L49" s="2">
        <v>12.72</v>
      </c>
    </row>
    <row r="50" spans="1:12" x14ac:dyDescent="0.3">
      <c r="A50" t="s">
        <v>202</v>
      </c>
      <c r="B50" t="s">
        <v>142</v>
      </c>
      <c r="C50" t="s">
        <v>203</v>
      </c>
      <c r="D50" t="s">
        <v>204</v>
      </c>
      <c r="E50" t="s">
        <v>42</v>
      </c>
      <c r="F50" t="s">
        <v>204</v>
      </c>
      <c r="G50" t="s">
        <v>205</v>
      </c>
      <c r="H50" t="s">
        <v>205</v>
      </c>
      <c r="I50" s="1" t="s">
        <v>206</v>
      </c>
      <c r="J50" t="s">
        <v>80</v>
      </c>
      <c r="K50" t="s">
        <v>207</v>
      </c>
      <c r="L50" s="2">
        <v>3.3</v>
      </c>
    </row>
    <row r="51" spans="1:12" x14ac:dyDescent="0.3">
      <c r="A51" t="s">
        <v>208</v>
      </c>
      <c r="B51" t="s">
        <v>142</v>
      </c>
      <c r="C51" t="s">
        <v>209</v>
      </c>
      <c r="D51" t="s">
        <v>210</v>
      </c>
      <c r="E51" t="s">
        <v>42</v>
      </c>
      <c r="F51" t="s">
        <v>210</v>
      </c>
      <c r="G51" t="s">
        <v>211</v>
      </c>
      <c r="H51" t="s">
        <v>211</v>
      </c>
      <c r="I51" s="1" t="s">
        <v>212</v>
      </c>
      <c r="J51" t="s">
        <v>80</v>
      </c>
      <c r="K51" t="s">
        <v>213</v>
      </c>
      <c r="L51" s="2">
        <v>57.29</v>
      </c>
    </row>
    <row r="52" spans="1:12" x14ac:dyDescent="0.3">
      <c r="A52" t="s">
        <v>214</v>
      </c>
      <c r="B52" t="s">
        <v>142</v>
      </c>
      <c r="C52" t="s">
        <v>215</v>
      </c>
      <c r="D52" t="s">
        <v>216</v>
      </c>
      <c r="E52" t="s">
        <v>42</v>
      </c>
      <c r="F52" t="s">
        <v>216</v>
      </c>
      <c r="G52" t="s">
        <v>217</v>
      </c>
      <c r="H52" t="s">
        <v>217</v>
      </c>
      <c r="I52" s="1" t="s">
        <v>218</v>
      </c>
      <c r="J52" t="s">
        <v>80</v>
      </c>
      <c r="K52" t="s">
        <v>219</v>
      </c>
      <c r="L52" s="2">
        <v>19.489999999999998</v>
      </c>
    </row>
    <row r="53" spans="1:12" x14ac:dyDescent="0.3">
      <c r="A53" t="s">
        <v>220</v>
      </c>
      <c r="B53" t="s">
        <v>142</v>
      </c>
      <c r="C53" t="s">
        <v>221</v>
      </c>
      <c r="D53" t="s">
        <v>222</v>
      </c>
      <c r="E53" t="s">
        <v>42</v>
      </c>
      <c r="F53" t="s">
        <v>222</v>
      </c>
      <c r="G53" t="s">
        <v>223</v>
      </c>
      <c r="H53" t="s">
        <v>223</v>
      </c>
      <c r="I53" s="1" t="s">
        <v>224</v>
      </c>
      <c r="J53" t="s">
        <v>80</v>
      </c>
      <c r="K53" t="s">
        <v>225</v>
      </c>
      <c r="L53" s="2">
        <v>47.81</v>
      </c>
    </row>
    <row r="54" spans="1:12" x14ac:dyDescent="0.3">
      <c r="A54" t="s">
        <v>226</v>
      </c>
      <c r="B54" t="s">
        <v>142</v>
      </c>
      <c r="C54" t="s">
        <v>227</v>
      </c>
      <c r="D54" t="s">
        <v>228</v>
      </c>
      <c r="E54" t="s">
        <v>42</v>
      </c>
      <c r="F54" t="s">
        <v>228</v>
      </c>
      <c r="G54" t="s">
        <v>229</v>
      </c>
      <c r="H54" t="s">
        <v>229</v>
      </c>
      <c r="I54" s="1" t="s">
        <v>230</v>
      </c>
      <c r="J54" t="s">
        <v>80</v>
      </c>
      <c r="K54" t="s">
        <v>231</v>
      </c>
      <c r="L54" s="2">
        <v>67.08</v>
      </c>
    </row>
    <row r="55" spans="1:12" x14ac:dyDescent="0.3">
      <c r="A55" t="s">
        <v>232</v>
      </c>
      <c r="B55" t="s">
        <v>142</v>
      </c>
      <c r="C55" t="s">
        <v>233</v>
      </c>
      <c r="D55" t="s">
        <v>234</v>
      </c>
      <c r="E55" t="s">
        <v>42</v>
      </c>
      <c r="F55" t="s">
        <v>234</v>
      </c>
      <c r="G55" t="s">
        <v>235</v>
      </c>
      <c r="H55" t="s">
        <v>235</v>
      </c>
      <c r="I55" s="1" t="s">
        <v>236</v>
      </c>
      <c r="J55" t="s">
        <v>80</v>
      </c>
      <c r="K55" t="s">
        <v>237</v>
      </c>
      <c r="L55" s="2">
        <v>72.319999999999993</v>
      </c>
    </row>
    <row r="56" spans="1:12" x14ac:dyDescent="0.3">
      <c r="A56" t="s">
        <v>238</v>
      </c>
      <c r="B56" t="s">
        <v>142</v>
      </c>
      <c r="C56" t="s">
        <v>239</v>
      </c>
      <c r="D56" t="s">
        <v>222</v>
      </c>
      <c r="E56" t="s">
        <v>42</v>
      </c>
      <c r="F56" t="s">
        <v>222</v>
      </c>
      <c r="G56" t="s">
        <v>223</v>
      </c>
      <c r="H56" t="s">
        <v>223</v>
      </c>
      <c r="I56" s="1" t="s">
        <v>240</v>
      </c>
      <c r="J56" t="s">
        <v>80</v>
      </c>
      <c r="K56" t="s">
        <v>241</v>
      </c>
      <c r="L56" s="2">
        <v>173.31</v>
      </c>
    </row>
    <row r="57" spans="1:12" x14ac:dyDescent="0.3">
      <c r="A57" t="s">
        <v>242</v>
      </c>
      <c r="B57" t="s">
        <v>142</v>
      </c>
      <c r="C57" t="s">
        <v>88</v>
      </c>
      <c r="D57" t="s">
        <v>243</v>
      </c>
      <c r="E57" t="s">
        <v>42</v>
      </c>
      <c r="F57" t="s">
        <v>243</v>
      </c>
      <c r="G57" t="s">
        <v>244</v>
      </c>
      <c r="H57" t="s">
        <v>244</v>
      </c>
      <c r="I57" s="1" t="s">
        <v>90</v>
      </c>
      <c r="J57" t="s">
        <v>80</v>
      </c>
      <c r="K57" t="s">
        <v>245</v>
      </c>
      <c r="L57" s="2">
        <v>2.2999999999999998</v>
      </c>
    </row>
    <row r="58" spans="1:12" x14ac:dyDescent="0.3">
      <c r="A58" t="s">
        <v>246</v>
      </c>
      <c r="B58" t="s">
        <v>142</v>
      </c>
      <c r="C58" t="s">
        <v>247</v>
      </c>
      <c r="D58" t="s">
        <v>248</v>
      </c>
      <c r="E58" t="s">
        <v>42</v>
      </c>
      <c r="F58" t="s">
        <v>248</v>
      </c>
      <c r="G58" t="s">
        <v>249</v>
      </c>
      <c r="H58" t="s">
        <v>249</v>
      </c>
      <c r="I58" s="1" t="s">
        <v>250</v>
      </c>
      <c r="J58" t="s">
        <v>80</v>
      </c>
      <c r="K58" t="s">
        <v>251</v>
      </c>
      <c r="L58" s="2">
        <v>1.1299999999999999</v>
      </c>
    </row>
    <row r="59" spans="1:12" x14ac:dyDescent="0.3">
      <c r="A59" t="s">
        <v>252</v>
      </c>
      <c r="B59" t="s">
        <v>142</v>
      </c>
      <c r="C59" t="s">
        <v>253</v>
      </c>
      <c r="D59" t="s">
        <v>254</v>
      </c>
      <c r="E59" t="s">
        <v>42</v>
      </c>
      <c r="F59" t="s">
        <v>254</v>
      </c>
      <c r="G59" t="s">
        <v>255</v>
      </c>
      <c r="H59" t="s">
        <v>255</v>
      </c>
      <c r="I59" s="1" t="s">
        <v>256</v>
      </c>
      <c r="J59" t="s">
        <v>44</v>
      </c>
      <c r="K59" t="s">
        <v>257</v>
      </c>
      <c r="L59" s="2">
        <v>0.02</v>
      </c>
    </row>
    <row r="60" spans="1:12" x14ac:dyDescent="0.3">
      <c r="A60" t="s">
        <v>258</v>
      </c>
      <c r="B60" t="s">
        <v>142</v>
      </c>
      <c r="C60" t="s">
        <v>259</v>
      </c>
      <c r="D60" t="s">
        <v>260</v>
      </c>
      <c r="E60" t="s">
        <v>42</v>
      </c>
      <c r="F60" t="s">
        <v>260</v>
      </c>
      <c r="G60" t="s">
        <v>261</v>
      </c>
      <c r="H60" t="s">
        <v>261</v>
      </c>
      <c r="I60" s="1" t="s">
        <v>262</v>
      </c>
      <c r="J60" t="s">
        <v>44</v>
      </c>
      <c r="K60" t="s">
        <v>263</v>
      </c>
      <c r="L60" s="2">
        <v>0.05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B2662C-879D-420C-A2EF-92012374B79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2155A8C6-F0C4-42D8-ABA7-9E698AF521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50F11C-0CCF-422D-A1FE-2299EA7226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Costos de materiales 2023</vt:lpstr>
      <vt:lpstr>Hoja1</vt:lpstr>
      <vt:lpstr>costo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Valery Cerdas</cp:lastModifiedBy>
  <dcterms:created xsi:type="dcterms:W3CDTF">2024-04-26T16:09:04Z</dcterms:created>
  <dcterms:modified xsi:type="dcterms:W3CDTF">2025-02-24T21:48:22Z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
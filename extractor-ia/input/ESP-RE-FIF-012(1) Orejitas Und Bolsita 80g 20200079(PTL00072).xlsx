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ECC83250-B44B-479A-80A9-DB7F2799EC4C}" xr6:coauthVersionLast="47" xr6:coauthVersionMax="47" xr10:uidLastSave="{22A53C90-F17D-4F30-AD20-70D3AD33107A}"/>
  <bookViews>
    <workbookView xWindow="-108" yWindow="-108" windowWidth="23256" windowHeight="12456" tabRatio="876" xr2:uid="{00000000-000D-0000-FFFF-FFFF00000000}"/>
  </bookViews>
  <sheets>
    <sheet name="Hoja1" sheetId="12" r:id="rId1"/>
    <sheet name="COSTO OREJITAS DULCES" sheetId="11" state="hidden" r:id="rId2"/>
    <sheet name="COSTO" sheetId="9" state="hidden" r:id="rId3"/>
    <sheet name="PRECIO" sheetId="10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C31" i="11"/>
  <c r="F31" i="11"/>
  <c r="E30" i="11"/>
  <c r="D30" i="11"/>
  <c r="C30" i="11"/>
  <c r="B30" i="11"/>
  <c r="E29" i="11"/>
  <c r="F29" i="11"/>
  <c r="D29" i="11"/>
  <c r="C29" i="11"/>
  <c r="B29" i="11"/>
  <c r="D28" i="11"/>
  <c r="C28" i="11"/>
  <c r="F28" i="11"/>
  <c r="B28" i="11"/>
  <c r="F27" i="11"/>
  <c r="C27" i="11"/>
  <c r="D73" i="11"/>
  <c r="D74" i="11"/>
  <c r="D76" i="11"/>
  <c r="D71" i="11"/>
  <c r="D69" i="11"/>
  <c r="F65" i="11"/>
  <c r="C73" i="11"/>
  <c r="D60" i="11"/>
  <c r="D85" i="11"/>
  <c r="D86" i="1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D44" i="11"/>
  <c r="B44" i="11"/>
  <c r="E41" i="11"/>
  <c r="D41" i="11"/>
  <c r="B41" i="11"/>
  <c r="A41" i="11"/>
  <c r="C41" i="11"/>
  <c r="E40" i="11"/>
  <c r="D40" i="11"/>
  <c r="B40" i="11"/>
  <c r="A40" i="11"/>
  <c r="C40" i="11"/>
  <c r="E39" i="11"/>
  <c r="D39" i="11"/>
  <c r="C39" i="11"/>
  <c r="B39" i="11"/>
  <c r="A39" i="11"/>
  <c r="A48" i="11"/>
  <c r="C48" i="11"/>
  <c r="E38" i="11"/>
  <c r="D38" i="11"/>
  <c r="B38" i="11"/>
  <c r="A38" i="11"/>
  <c r="A47" i="11"/>
  <c r="C47" i="11"/>
  <c r="E37" i="11"/>
  <c r="D37" i="11"/>
  <c r="B37" i="11"/>
  <c r="A37" i="11"/>
  <c r="C37" i="11"/>
  <c r="E36" i="11"/>
  <c r="D36" i="11"/>
  <c r="B36" i="11"/>
  <c r="A36" i="11"/>
  <c r="C36" i="11"/>
  <c r="E35" i="11"/>
  <c r="D35" i="11"/>
  <c r="B35" i="11"/>
  <c r="A35" i="11"/>
  <c r="A44" i="11"/>
  <c r="C44" i="11"/>
  <c r="E32" i="11"/>
  <c r="F32" i="11"/>
  <c r="D32" i="11"/>
  <c r="C32" i="11"/>
  <c r="B32" i="11"/>
  <c r="E24" i="11"/>
  <c r="F24" i="11"/>
  <c r="D24" i="11"/>
  <c r="C24" i="11"/>
  <c r="B24" i="11"/>
  <c r="E23" i="11"/>
  <c r="F23" i="11"/>
  <c r="D23" i="11"/>
  <c r="C23" i="11"/>
  <c r="B23" i="11"/>
  <c r="E22" i="11"/>
  <c r="F22" i="11"/>
  <c r="D22" i="11"/>
  <c r="C22" i="11"/>
  <c r="B22" i="11"/>
  <c r="E21" i="11"/>
  <c r="F21" i="11"/>
  <c r="D21" i="11"/>
  <c r="C21" i="11"/>
  <c r="B21" i="11"/>
  <c r="E20" i="11"/>
  <c r="D20" i="11"/>
  <c r="C20" i="11"/>
  <c r="B20" i="11"/>
  <c r="E19" i="11"/>
  <c r="F19" i="11"/>
  <c r="D19" i="11"/>
  <c r="C19" i="11"/>
  <c r="B19" i="11"/>
  <c r="E18" i="11"/>
  <c r="F18" i="11"/>
  <c r="D18" i="11"/>
  <c r="C18" i="11"/>
  <c r="B18" i="11"/>
  <c r="F17" i="11"/>
  <c r="D17" i="11"/>
  <c r="C17" i="11"/>
  <c r="B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I53" i="10"/>
  <c r="I54" i="10"/>
  <c r="F38" i="10"/>
  <c r="G38" i="10"/>
  <c r="E38" i="10"/>
  <c r="D38" i="10"/>
  <c r="C38" i="10"/>
  <c r="F37" i="10"/>
  <c r="G37" i="10"/>
  <c r="E37" i="10"/>
  <c r="D37" i="10"/>
  <c r="C37" i="10"/>
  <c r="F36" i="10"/>
  <c r="G36" i="10"/>
  <c r="E36" i="10"/>
  <c r="D36" i="10"/>
  <c r="C36" i="10"/>
  <c r="F35" i="10"/>
  <c r="G35" i="10"/>
  <c r="E35" i="10"/>
  <c r="D35" i="10"/>
  <c r="C35" i="10"/>
  <c r="F34" i="10"/>
  <c r="G34" i="10"/>
  <c r="E34" i="10"/>
  <c r="D34" i="10"/>
  <c r="C34" i="10"/>
  <c r="F33" i="10"/>
  <c r="G33" i="10"/>
  <c r="E33" i="10"/>
  <c r="D33" i="10"/>
  <c r="C33" i="10"/>
  <c r="F31" i="10"/>
  <c r="G31" i="10"/>
  <c r="E31" i="10"/>
  <c r="D31" i="10"/>
  <c r="C31" i="10"/>
  <c r="F30" i="10"/>
  <c r="G30" i="10"/>
  <c r="E30" i="10"/>
  <c r="D30" i="10"/>
  <c r="C30" i="10"/>
  <c r="F29" i="10"/>
  <c r="G29" i="10"/>
  <c r="E29" i="10"/>
  <c r="D29" i="10"/>
  <c r="C29" i="10"/>
  <c r="F28" i="10"/>
  <c r="G28" i="10"/>
  <c r="E28" i="10"/>
  <c r="D28" i="10"/>
  <c r="C28" i="10"/>
  <c r="F27" i="10"/>
  <c r="G27" i="10"/>
  <c r="E27" i="10"/>
  <c r="D27" i="10"/>
  <c r="C27" i="10"/>
  <c r="F26" i="10"/>
  <c r="G26" i="10"/>
  <c r="E26" i="10"/>
  <c r="D26" i="10"/>
  <c r="C26" i="10"/>
  <c r="F25" i="10"/>
  <c r="G25" i="10"/>
  <c r="E25" i="10"/>
  <c r="D25" i="10"/>
  <c r="C25" i="10"/>
  <c r="F24" i="10"/>
  <c r="G24" i="10"/>
  <c r="E24" i="10"/>
  <c r="D24" i="10"/>
  <c r="C24" i="10"/>
  <c r="F20" i="10"/>
  <c r="G20" i="10"/>
  <c r="E20" i="10"/>
  <c r="D20" i="10"/>
  <c r="C20" i="10"/>
  <c r="F19" i="10"/>
  <c r="G19" i="10"/>
  <c r="E19" i="10"/>
  <c r="D19" i="10"/>
  <c r="C19" i="10"/>
  <c r="F18" i="10"/>
  <c r="G18" i="10"/>
  <c r="E18" i="10"/>
  <c r="D18" i="10"/>
  <c r="C18" i="10"/>
  <c r="F17" i="10"/>
  <c r="G17" i="10"/>
  <c r="E17" i="10"/>
  <c r="D17" i="10"/>
  <c r="C17" i="10"/>
  <c r="F14" i="10"/>
  <c r="G14" i="10"/>
  <c r="E14" i="10"/>
  <c r="D14" i="10"/>
  <c r="C14" i="10"/>
  <c r="F13" i="10"/>
  <c r="G13" i="10"/>
  <c r="E13" i="10"/>
  <c r="D13" i="10"/>
  <c r="C13" i="10"/>
  <c r="F12" i="10"/>
  <c r="G12" i="10"/>
  <c r="E12" i="10"/>
  <c r="D12" i="10"/>
  <c r="C12" i="10"/>
  <c r="F11" i="10"/>
  <c r="G11" i="10"/>
  <c r="E11" i="10"/>
  <c r="D11" i="10"/>
  <c r="C11" i="10"/>
  <c r="F10" i="10"/>
  <c r="G10" i="10"/>
  <c r="E10" i="10"/>
  <c r="D10" i="10"/>
  <c r="C10" i="10"/>
  <c r="D9" i="10"/>
  <c r="I7" i="10"/>
  <c r="D73" i="9"/>
  <c r="D74" i="9"/>
  <c r="D76" i="9"/>
  <c r="D71" i="9"/>
  <c r="D69" i="9"/>
  <c r="F65" i="9"/>
  <c r="C73" i="9"/>
  <c r="C85" i="9"/>
  <c r="D60" i="9"/>
  <c r="D81" i="9"/>
  <c r="C51" i="9"/>
  <c r="E50" i="9"/>
  <c r="F50" i="9"/>
  <c r="D50" i="9"/>
  <c r="B50" i="9"/>
  <c r="E49" i="9"/>
  <c r="F49" i="9"/>
  <c r="D49" i="9"/>
  <c r="B49" i="9"/>
  <c r="E48" i="9"/>
  <c r="F48" i="9"/>
  <c r="D48" i="9"/>
  <c r="B48" i="9"/>
  <c r="A48" i="9"/>
  <c r="C48" i="9"/>
  <c r="E47" i="9"/>
  <c r="F47" i="9"/>
  <c r="D47" i="9"/>
  <c r="B47" i="9"/>
  <c r="E46" i="9"/>
  <c r="F46" i="9"/>
  <c r="D46" i="9"/>
  <c r="B46" i="9"/>
  <c r="E45" i="9"/>
  <c r="F45" i="9"/>
  <c r="D45" i="9"/>
  <c r="B45" i="9"/>
  <c r="E44" i="9"/>
  <c r="F44" i="9"/>
  <c r="D44" i="9"/>
  <c r="B44" i="9"/>
  <c r="E42" i="9"/>
  <c r="F42" i="9"/>
  <c r="D42" i="9"/>
  <c r="B42" i="9"/>
  <c r="E41" i="9"/>
  <c r="F41" i="9"/>
  <c r="D41" i="9"/>
  <c r="B41" i="9"/>
  <c r="A41" i="9"/>
  <c r="A50" i="9"/>
  <c r="C50" i="9"/>
  <c r="E40" i="9"/>
  <c r="F40" i="9"/>
  <c r="D40" i="9"/>
  <c r="B40" i="9"/>
  <c r="A40" i="9"/>
  <c r="A49" i="9"/>
  <c r="C49" i="9"/>
  <c r="E39" i="9"/>
  <c r="F39" i="9"/>
  <c r="D39" i="9"/>
  <c r="B39" i="9"/>
  <c r="A39" i="9"/>
  <c r="C39" i="9"/>
  <c r="E38" i="9"/>
  <c r="F38" i="9"/>
  <c r="D38" i="9"/>
  <c r="C38" i="9"/>
  <c r="B38" i="9"/>
  <c r="A38" i="9"/>
  <c r="A47" i="9"/>
  <c r="C47" i="9"/>
  <c r="E37" i="9"/>
  <c r="F37" i="9"/>
  <c r="D37" i="9"/>
  <c r="B37" i="9"/>
  <c r="A37" i="9"/>
  <c r="A46" i="9"/>
  <c r="C46" i="9"/>
  <c r="E36" i="9"/>
  <c r="F36" i="9"/>
  <c r="D36" i="9"/>
  <c r="B36" i="9"/>
  <c r="A36" i="9"/>
  <c r="A45" i="9"/>
  <c r="C45" i="9"/>
  <c r="E35" i="9"/>
  <c r="F35" i="9"/>
  <c r="D35" i="9"/>
  <c r="B35" i="9"/>
  <c r="A35" i="9"/>
  <c r="A44" i="9"/>
  <c r="C44" i="9"/>
  <c r="E32" i="9"/>
  <c r="F32" i="9"/>
  <c r="D32" i="9"/>
  <c r="C32" i="9"/>
  <c r="B32" i="9"/>
  <c r="E31" i="9"/>
  <c r="F31" i="9"/>
  <c r="D31" i="9"/>
  <c r="C31" i="9"/>
  <c r="B31" i="9"/>
  <c r="E30" i="9"/>
  <c r="F30" i="9"/>
  <c r="D30" i="9"/>
  <c r="C30" i="9"/>
  <c r="B30" i="9"/>
  <c r="E29" i="9"/>
  <c r="F29" i="9"/>
  <c r="D29" i="9"/>
  <c r="C29" i="9"/>
  <c r="B29" i="9"/>
  <c r="E28" i="9"/>
  <c r="F28" i="9"/>
  <c r="D28" i="9"/>
  <c r="C28" i="9"/>
  <c r="B28" i="9"/>
  <c r="C27" i="9"/>
  <c r="F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F21" i="9"/>
  <c r="D21" i="9"/>
  <c r="C21" i="9"/>
  <c r="B21" i="9"/>
  <c r="E20" i="9"/>
  <c r="F20" i="9"/>
  <c r="D20" i="9"/>
  <c r="C20" i="9"/>
  <c r="B20" i="9"/>
  <c r="E19" i="9"/>
  <c r="F19" i="9"/>
  <c r="D19" i="9"/>
  <c r="C19" i="9"/>
  <c r="B19" i="9"/>
  <c r="E18" i="9"/>
  <c r="F18" i="9"/>
  <c r="D18" i="9"/>
  <c r="C18" i="9"/>
  <c r="B18" i="9"/>
  <c r="E17" i="9"/>
  <c r="F17" i="9"/>
  <c r="D17" i="9"/>
  <c r="C17" i="9"/>
  <c r="B17" i="9"/>
  <c r="B15" i="9"/>
  <c r="E14" i="9"/>
  <c r="F14" i="9"/>
  <c r="D14" i="9"/>
  <c r="C14" i="9"/>
  <c r="B14" i="9"/>
  <c r="E13" i="9"/>
  <c r="F13" i="9"/>
  <c r="D13" i="9"/>
  <c r="C13" i="9"/>
  <c r="B13" i="9"/>
  <c r="E12" i="9"/>
  <c r="F12" i="9"/>
  <c r="D12" i="9"/>
  <c r="C12" i="9"/>
  <c r="B12" i="9"/>
  <c r="E11" i="9"/>
  <c r="F11" i="9"/>
  <c r="D11" i="9"/>
  <c r="C11" i="9"/>
  <c r="B11" i="9"/>
  <c r="E10" i="9"/>
  <c r="F10" i="9"/>
  <c r="D10" i="9"/>
  <c r="C10" i="9"/>
  <c r="B10" i="9"/>
  <c r="E9" i="9"/>
  <c r="F9" i="9"/>
  <c r="D9" i="9"/>
  <c r="C9" i="9"/>
  <c r="B9" i="9"/>
  <c r="E8" i="9"/>
  <c r="F8" i="9"/>
  <c r="D8" i="9"/>
  <c r="C8" i="9"/>
  <c r="B8" i="9"/>
  <c r="H6" i="9"/>
  <c r="E51" i="9"/>
  <c r="F51" i="9"/>
  <c r="D85" i="9"/>
  <c r="D86" i="9"/>
  <c r="C35" i="9"/>
  <c r="C37" i="9"/>
  <c r="C41" i="9"/>
  <c r="E73" i="9"/>
  <c r="D83" i="9"/>
  <c r="C36" i="9"/>
  <c r="C40" i="9"/>
  <c r="E85" i="9"/>
  <c r="F48" i="11"/>
  <c r="F10" i="11"/>
  <c r="F12" i="11"/>
  <c r="F14" i="11"/>
  <c r="F41" i="10"/>
  <c r="F20" i="11"/>
  <c r="F30" i="11"/>
  <c r="D81" i="11"/>
  <c r="D83" i="11"/>
  <c r="C38" i="11"/>
  <c r="F38" i="11"/>
  <c r="F39" i="11"/>
  <c r="F47" i="11"/>
  <c r="F36" i="11"/>
  <c r="F37" i="11"/>
  <c r="F8" i="11"/>
  <c r="F9" i="11"/>
  <c r="F11" i="11"/>
  <c r="F13" i="11"/>
  <c r="F44" i="11"/>
  <c r="C35" i="11"/>
  <c r="F35" i="11"/>
  <c r="F40" i="11"/>
  <c r="F41" i="11"/>
  <c r="C85" i="11"/>
  <c r="E85" i="11"/>
  <c r="E73" i="11"/>
  <c r="A46" i="11"/>
  <c r="C46" i="11"/>
  <c r="F46" i="11"/>
  <c r="A50" i="11"/>
  <c r="C50" i="11"/>
  <c r="F50" i="11"/>
  <c r="E51" i="11"/>
  <c r="F51" i="11"/>
  <c r="A45" i="11"/>
  <c r="C45" i="11"/>
  <c r="F45" i="11"/>
  <c r="A49" i="11"/>
  <c r="C49" i="11"/>
  <c r="F49" i="11"/>
  <c r="F53" i="9"/>
  <c r="F56" i="9"/>
  <c r="F54" i="9"/>
  <c r="G41" i="10"/>
  <c r="G43" i="10"/>
  <c r="F53" i="11"/>
  <c r="F64" i="11"/>
  <c r="F54" i="11"/>
  <c r="C76" i="11"/>
  <c r="E76" i="11"/>
  <c r="C69" i="11"/>
  <c r="F56" i="11"/>
  <c r="C74" i="9"/>
  <c r="H56" i="9"/>
  <c r="H2" i="9"/>
  <c r="C76" i="9"/>
  <c r="E76" i="9"/>
  <c r="H54" i="9"/>
  <c r="G2" i="9"/>
  <c r="C69" i="9"/>
  <c r="F64" i="9"/>
  <c r="F55" i="9"/>
  <c r="H53" i="9"/>
  <c r="F2" i="9"/>
  <c r="G49" i="10"/>
  <c r="H53" i="11"/>
  <c r="F2" i="11"/>
  <c r="F55" i="11"/>
  <c r="H55" i="11"/>
  <c r="H54" i="11"/>
  <c r="G2" i="11"/>
  <c r="C74" i="11"/>
  <c r="H56" i="11"/>
  <c r="E69" i="11"/>
  <c r="C81" i="11"/>
  <c r="E81" i="11"/>
  <c r="F63" i="9"/>
  <c r="O54" i="9"/>
  <c r="H55" i="9"/>
  <c r="E69" i="9"/>
  <c r="C81" i="9"/>
  <c r="E81" i="9"/>
  <c r="C86" i="9"/>
  <c r="E86" i="9"/>
  <c r="E74" i="9"/>
  <c r="H2" i="11"/>
  <c r="O54" i="11"/>
  <c r="O58" i="11"/>
  <c r="F63" i="11"/>
  <c r="C71" i="11"/>
  <c r="E74" i="11"/>
  <c r="E78" i="11"/>
  <c r="C86" i="11"/>
  <c r="E86" i="11"/>
  <c r="E78" i="9"/>
  <c r="O56" i="9"/>
  <c r="O55" i="9"/>
  <c r="O58" i="9"/>
  <c r="C71" i="9"/>
  <c r="F66" i="9"/>
  <c r="G63" i="9"/>
  <c r="E63" i="9"/>
  <c r="F66" i="11"/>
  <c r="G27" i="11"/>
  <c r="O56" i="11"/>
  <c r="O57" i="11"/>
  <c r="O59" i="11"/>
  <c r="O60" i="11"/>
  <c r="O61" i="11"/>
  <c r="O62" i="11"/>
  <c r="E63" i="11"/>
  <c r="O57" i="9"/>
  <c r="G63" i="11"/>
  <c r="G28" i="11"/>
  <c r="G31" i="11"/>
  <c r="G20" i="11"/>
  <c r="G38" i="11"/>
  <c r="G36" i="11"/>
  <c r="G10" i="11"/>
  <c r="G21" i="11"/>
  <c r="G13" i="11"/>
  <c r="G37" i="11"/>
  <c r="G12" i="11"/>
  <c r="G24" i="11"/>
  <c r="G44" i="11"/>
  <c r="G23" i="11"/>
  <c r="G35" i="11"/>
  <c r="G18" i="11"/>
  <c r="G46" i="11"/>
  <c r="G45" i="11"/>
  <c r="G41" i="11"/>
  <c r="G49" i="11"/>
  <c r="G53" i="11"/>
  <c r="G51" i="11"/>
  <c r="G54" i="11"/>
  <c r="G50" i="11"/>
  <c r="G56" i="11"/>
  <c r="G55" i="11"/>
  <c r="G64" i="11"/>
  <c r="C83" i="11"/>
  <c r="E83" i="11"/>
  <c r="E71" i="11"/>
  <c r="O59" i="9"/>
  <c r="G35" i="9"/>
  <c r="G27" i="9"/>
  <c r="G32" i="9"/>
  <c r="G50" i="9"/>
  <c r="G14" i="9"/>
  <c r="G29" i="9"/>
  <c r="G17" i="9"/>
  <c r="G66" i="9"/>
  <c r="G47" i="9"/>
  <c r="G51" i="9"/>
  <c r="G11" i="9"/>
  <c r="G10" i="9"/>
  <c r="G65" i="9"/>
  <c r="G48" i="9"/>
  <c r="G39" i="9"/>
  <c r="G13" i="9"/>
  <c r="G18" i="9"/>
  <c r="G46" i="9"/>
  <c r="G22" i="9"/>
  <c r="G45" i="9"/>
  <c r="G49" i="9"/>
  <c r="G42" i="9"/>
  <c r="G24" i="9"/>
  <c r="G40" i="9"/>
  <c r="G8" i="9"/>
  <c r="G31" i="9"/>
  <c r="G36" i="9"/>
  <c r="G20" i="9"/>
  <c r="G38" i="9"/>
  <c r="G30" i="9"/>
  <c r="G21" i="9"/>
  <c r="G23" i="9"/>
  <c r="G41" i="9"/>
  <c r="G19" i="9"/>
  <c r="G44" i="9"/>
  <c r="G9" i="9"/>
  <c r="G12" i="9"/>
  <c r="G37" i="9"/>
  <c r="G28" i="9"/>
  <c r="G54" i="9"/>
  <c r="G53" i="9"/>
  <c r="G56" i="9"/>
  <c r="G55" i="9"/>
  <c r="G64" i="9"/>
  <c r="E71" i="9"/>
  <c r="C83" i="9"/>
  <c r="E83" i="9"/>
  <c r="G40" i="11"/>
  <c r="G8" i="11"/>
  <c r="G9" i="11"/>
  <c r="G39" i="11"/>
  <c r="G17" i="11"/>
  <c r="G65" i="11"/>
  <c r="G32" i="11"/>
  <c r="G66" i="11"/>
  <c r="G30" i="11"/>
  <c r="G47" i="11"/>
  <c r="G14" i="11"/>
  <c r="G22" i="11"/>
  <c r="G48" i="11"/>
  <c r="G19" i="11"/>
  <c r="G11" i="11"/>
  <c r="G29" i="11"/>
  <c r="P62" i="11"/>
  <c r="E2" i="11"/>
  <c r="O60" i="9"/>
  <c r="O61" i="9"/>
  <c r="O62" i="9"/>
  <c r="P62" i="9"/>
  <c r="E2" i="9"/>
  <c r="F9" i="10"/>
  <c r="G9" i="10"/>
  <c r="G40" i="10"/>
  <c r="G42" i="10"/>
  <c r="G48" i="10"/>
  <c r="G44" i="10"/>
  <c r="G50" i="10"/>
  <c r="G51" i="10"/>
  <c r="J53" i="10"/>
  <c r="I1" i="10"/>
  <c r="G52" i="10"/>
  <c r="G53" i="10"/>
  <c r="H51" i="10"/>
  <c r="H50" i="10"/>
  <c r="H12" i="10"/>
  <c r="H36" i="10"/>
  <c r="H37" i="10"/>
  <c r="H34" i="10"/>
  <c r="H29" i="10"/>
  <c r="H13" i="10"/>
  <c r="H24" i="10"/>
  <c r="H25" i="10"/>
  <c r="H49" i="10"/>
  <c r="G55" i="10"/>
  <c r="H35" i="10"/>
  <c r="H19" i="10"/>
  <c r="H43" i="10"/>
  <c r="H31" i="10"/>
  <c r="H17" i="10"/>
  <c r="H18" i="10"/>
  <c r="H38" i="10"/>
  <c r="G54" i="10"/>
  <c r="H10" i="10"/>
  <c r="H41" i="10"/>
  <c r="H11" i="10"/>
  <c r="H26" i="10"/>
  <c r="H28" i="10"/>
  <c r="H14" i="10"/>
  <c r="H30" i="10"/>
  <c r="H27" i="10"/>
  <c r="H33" i="10"/>
  <c r="H20" i="10"/>
  <c r="H9" i="10"/>
  <c r="H40" i="10"/>
  <c r="H42" i="10"/>
  <c r="H44" i="10"/>
  <c r="H48" i="10"/>
</calcChain>
</file>

<file path=xl/sharedStrings.xml><?xml version="1.0" encoding="utf-8"?>
<sst xmlns="http://schemas.openxmlformats.org/spreadsheetml/2006/main" count="319" uniqueCount="151">
  <si>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</si>
  <si>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</si>
  <si>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</si>
  <si>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</si>
  <si>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</si>
  <si>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</si>
  <si>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</si>
  <si>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</si>
  <si>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</si>
  <si>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</si>
  <si>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</si>
  <si>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</si>
  <si>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</si>
  <si>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</si>
  <si>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</si>
  <si>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</si>
  <si>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</si>
  <si>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</si>
  <si>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</si>
  <si>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</si>
  <si>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</si>
  <si>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</si>
  <si>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</si>
  <si>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</si>
  <si>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</si>
  <si>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</si>
  <si>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</si>
  <si>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</si>
  <si>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</si>
  <si>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</si>
  <si>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Pastas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</si>
  <si>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</si>
  <si>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</si>
  <si>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</si>
  <si>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</si>
  <si>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</si>
  <si>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</si>
  <si>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</si>
  <si>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</si>
  <si>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</si>
  <si>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</si>
  <si>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</si>
  <si>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</si>
  <si>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</si>
  <si>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</si>
  <si>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</si>
  <si>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</si>
  <si>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</si>
  <si>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</si>
  <si>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</si>
  <si>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</si>
  <si>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</si>
  <si>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</si>
  <si>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</si>
  <si>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</si>
  <si>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</si>
  <si>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</si>
  <si>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</si>
  <si>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</si>
  <si>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</si>
  <si>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</si>
  <si>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</si>
  <si>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</si>
  <si>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</si>
  <si>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</si>
  <si>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</si>
  <si>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</si>
  <si>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</si>
  <si>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</si>
  <si>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</si>
  <si>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</si>
  <si>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</si>
  <si>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</si>
  <si>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</si>
  <si>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</si>
  <si>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</si>
  <si>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</si>
  <si>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</si>
  <si>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</si>
  <si>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</si>
  <si>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</si>
  <si>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</si>
  <si>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</si>
  <si>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</si>
  <si>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</si>
  <si>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</si>
  <si>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</si>
  <si>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</si>
  <si>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</si>
  <si>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</si>
  <si>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</si>
  <si>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</si>
  <si>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</si>
  <si>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</si>
  <si>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</si>
  <si>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</si>
  <si>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</si>
  <si>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</si>
  <si>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</si>
  <si>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</si>
  <si>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</si>
  <si>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</si>
  <si>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</si>
  <si>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</si>
  <si>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906000011</t>
  </si>
  <si>
    <t>CORTE OREJITAS DULCES (KILO)</t>
  </si>
  <si>
    <t>ETIQ.FECHA VENCIMIENTO VERDE (ROLLO)</t>
  </si>
  <si>
    <t>ETIPLAST</t>
  </si>
  <si>
    <t>0702123</t>
  </si>
  <si>
    <t>ETIQUETA BLANCA 2 5/8X1 15/16 (UND)</t>
  </si>
  <si>
    <t>BOLSA CON VENTANA 10.5X18CM</t>
  </si>
  <si>
    <t>GIF</t>
  </si>
  <si>
    <t>NUEVO</t>
  </si>
  <si>
    <t>Und</t>
  </si>
  <si>
    <t>OREJITAS DULCES 70 g</t>
  </si>
  <si>
    <t>4, Mantener en temp ambiente</t>
  </si>
  <si>
    <t>BOLSA TRANSPARENTE 76X24X210 (KILO)</t>
  </si>
  <si>
    <t>2, Sellar con etiqueta de LOGO Y NOMBRE en el frente</t>
  </si>
  <si>
    <r>
      <t xml:space="preserve">1, Introducir 80g de orejitas dentro de la bolsa, </t>
    </r>
    <r>
      <rPr>
        <sz val="11"/>
        <rFont val="Arial"/>
        <family val="2"/>
      </rPr>
      <t>doblar y sellar en la máquina selladora</t>
    </r>
    <r>
      <rPr>
        <b/>
        <sz val="11"/>
        <rFont val="Arial"/>
        <family val="2"/>
      </rPr>
      <t xml:space="preserve"> por la naturaleza del producto pueden ir quebraduras</t>
    </r>
  </si>
  <si>
    <t>CARTULINA KRAFT 2.5 X 31 -8 (UND) DISEÑO NAVIDAD</t>
  </si>
  <si>
    <t>NUEVA</t>
  </si>
  <si>
    <t>ETIQUETA CINTA SPOON OREJITAS</t>
  </si>
  <si>
    <t>% MK</t>
  </si>
  <si>
    <t>1952856</t>
  </si>
  <si>
    <t xml:space="preserve">NUEVA </t>
  </si>
  <si>
    <t xml:space="preserve">0,27 dolares por cartulina </t>
  </si>
  <si>
    <t>CARTULINA KRAFT 2.5 X 31 -8 (UND)</t>
  </si>
  <si>
    <t>3, Etiquetar con fecha de vencimiento en un costado; y etiqueta con nombre y descripción de ingredientes en la parte trasera</t>
  </si>
  <si>
    <t>ETIQ OREJITAS RECT</t>
  </si>
  <si>
    <t>20200079(PTL00072) Orejitas Und Bolsita 80g</t>
  </si>
  <si>
    <t>SE00272</t>
  </si>
  <si>
    <t>EM10190</t>
  </si>
  <si>
    <t>EM10245</t>
  </si>
  <si>
    <t>EM10005</t>
  </si>
  <si>
    <t>EM10011</t>
  </si>
  <si>
    <t>EM10071</t>
  </si>
  <si>
    <t>01</t>
  </si>
  <si>
    <t>Javier Tong, Chef</t>
  </si>
  <si>
    <t>Esteban Cartin, Gte Manufactura</t>
  </si>
  <si>
    <t># Código Netsuite</t>
  </si>
  <si>
    <t>Ensamble</t>
  </si>
  <si>
    <t>Decoración</t>
  </si>
  <si>
    <t/>
  </si>
  <si>
    <t>Empaque</t>
  </si>
  <si>
    <t>CENTINELA</t>
  </si>
  <si>
    <t>Tiempo de Horneo:</t>
  </si>
  <si>
    <t>Horno:</t>
  </si>
  <si>
    <t>Temperatura de Horneo:</t>
  </si>
  <si>
    <t>Otros</t>
  </si>
  <si>
    <t>CONTROL DE CAMBIOS</t>
  </si>
  <si>
    <t>ESP-RE-FIF-012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</si>
</sst>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000"/>
    <numFmt numFmtId="172" formatCode="0.0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1"/>
      <color rgb="FF000000"/>
      <name val="Calibri"/>
      <family val="2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name val="Calibri"/>
      <family val="2"/>
    </font>
    <font>
      <sz val="10"/>
      <color indexed="8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" fillId="0" borderId="0"/>
    <xf numFmtId="0" fontId="3" fillId="0" borderId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404">
    <xf numFmtId="0" fontId="0" fillId="0" borderId="0" xfId="0"/>
    <xf numFmtId="0" fontId="2" fillId="2" borderId="2" xfId="4" applyFont="1" applyFill="1" applyBorder="1" applyAlignment="1">
      <alignment horizontal="center"/>
    </xf>
    <xf numFmtId="49" fontId="6" fillId="0" borderId="5" xfId="3" applyNumberFormat="1" applyFont="1" applyBorder="1" applyAlignment="1">
      <alignment horizontal="center"/>
    </xf>
    <xf numFmtId="16" fontId="6" fillId="0" borderId="3" xfId="3" applyNumberFormat="1" applyFont="1" applyBorder="1" applyAlignment="1">
      <alignment horizontal="center"/>
    </xf>
    <xf numFmtId="1" fontId="6" fillId="0" borderId="3" xfId="3" applyNumberFormat="1" applyFont="1" applyBorder="1" applyAlignment="1">
      <alignment horizontal="center"/>
    </xf>
    <xf numFmtId="1" fontId="6" fillId="0" borderId="3" xfId="3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11" fillId="0" borderId="3" xfId="3" applyNumberFormat="1" applyFont="1" applyBorder="1"/>
    <xf numFmtId="0" fontId="11" fillId="10" borderId="0" xfId="0" applyFont="1" applyFill="1" applyAlignment="1">
      <alignment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1" fillId="0" borderId="0" xfId="0" applyFont="1"/>
    <xf numFmtId="49" fontId="14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/>
    <xf numFmtId="49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10" fontId="15" fillId="4" borderId="16" xfId="6" applyNumberFormat="1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16" xfId="0" applyFont="1" applyFill="1" applyBorder="1" applyAlignment="1">
      <alignment vertical="center"/>
    </xf>
    <xf numFmtId="165" fontId="22" fillId="4" borderId="17" xfId="1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vertical="center"/>
    </xf>
    <xf numFmtId="10" fontId="15" fillId="4" borderId="17" xfId="6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right"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18" xfId="0" applyFont="1" applyBorder="1" applyAlignment="1">
      <alignment horizontal="right"/>
    </xf>
    <xf numFmtId="165" fontId="27" fillId="5" borderId="19" xfId="1" applyFont="1" applyFill="1" applyBorder="1" applyAlignment="1">
      <alignment horizontal="right"/>
    </xf>
    <xf numFmtId="0" fontId="28" fillId="0" borderId="0" xfId="0" applyFont="1" applyAlignment="1">
      <alignment horizontal="left" vertical="center"/>
    </xf>
    <xf numFmtId="169" fontId="14" fillId="4" borderId="3" xfId="1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165" fontId="14" fillId="6" borderId="3" xfId="1" applyFont="1" applyFill="1" applyBorder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0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1" fillId="4" borderId="20" xfId="0" applyFont="1" applyFill="1" applyBorder="1" applyAlignment="1">
      <alignment vertical="center"/>
    </xf>
    <xf numFmtId="165" fontId="27" fillId="4" borderId="7" xfId="1" applyFont="1" applyFill="1" applyBorder="1" applyAlignment="1">
      <alignment horizontal="right"/>
    </xf>
    <xf numFmtId="0" fontId="14" fillId="4" borderId="8" xfId="0" applyFont="1" applyFill="1" applyBorder="1" applyAlignment="1">
      <alignment horizontal="right" vertical="center"/>
    </xf>
    <xf numFmtId="165" fontId="34" fillId="0" borderId="0" xfId="0" applyNumberFormat="1" applyFont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14" fillId="7" borderId="19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" fontId="11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9" fontId="40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28" fillId="0" borderId="0" xfId="0" applyFont="1"/>
    <xf numFmtId="0" fontId="28" fillId="0" borderId="0" xfId="0" applyFont="1" applyAlignment="1">
      <alignment horizontal="center"/>
    </xf>
    <xf numFmtId="0" fontId="42" fillId="0" borderId="0" xfId="0" applyFont="1"/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5" fontId="14" fillId="0" borderId="0" xfId="1" applyFont="1" applyAlignment="1">
      <alignment vertical="top"/>
    </xf>
    <xf numFmtId="4" fontId="14" fillId="0" borderId="0" xfId="1" applyNumberFormat="1" applyFont="1" applyAlignment="1">
      <alignment vertical="top"/>
    </xf>
    <xf numFmtId="49" fontId="14" fillId="0" borderId="0" xfId="2" applyNumberFormat="1" applyFont="1" applyAlignment="1">
      <alignment horizontal="center"/>
    </xf>
    <xf numFmtId="0" fontId="14" fillId="12" borderId="19" xfId="0" applyFont="1" applyFill="1" applyBorder="1" applyAlignment="1">
      <alignment horizontal="center" vertical="center"/>
    </xf>
    <xf numFmtId="0" fontId="24" fillId="0" borderId="0" xfId="0" applyFont="1"/>
    <xf numFmtId="0" fontId="46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4" fillId="4" borderId="7" xfId="0" applyFont="1" applyFill="1" applyBorder="1"/>
    <xf numFmtId="0" fontId="11" fillId="0" borderId="21" xfId="0" applyFont="1" applyBorder="1"/>
    <xf numFmtId="0" fontId="22" fillId="0" borderId="0" xfId="0" applyFont="1" applyAlignment="1">
      <alignment horizontal="center"/>
    </xf>
    <xf numFmtId="165" fontId="14" fillId="3" borderId="19" xfId="1" applyFont="1" applyFill="1" applyBorder="1" applyAlignment="1">
      <alignment horizontal="center"/>
    </xf>
    <xf numFmtId="0" fontId="49" fillId="0" borderId="0" xfId="0" applyFont="1"/>
    <xf numFmtId="0" fontId="50" fillId="0" borderId="0" xfId="0" applyFont="1" applyAlignment="1">
      <alignment horizontal="right"/>
    </xf>
    <xf numFmtId="2" fontId="51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3" fontId="14" fillId="8" borderId="19" xfId="0" applyNumberFormat="1" applyFont="1" applyFill="1" applyBorder="1" applyAlignment="1">
      <alignment horizontal="center"/>
    </xf>
    <xf numFmtId="0" fontId="28" fillId="4" borderId="7" xfId="0" applyFont="1" applyFill="1" applyBorder="1"/>
    <xf numFmtId="3" fontId="35" fillId="9" borderId="19" xfId="0" applyNumberFormat="1" applyFont="1" applyFill="1" applyBorder="1" applyAlignment="1">
      <alignment horizontal="center"/>
    </xf>
    <xf numFmtId="3" fontId="14" fillId="0" borderId="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 wrapText="1"/>
    </xf>
    <xf numFmtId="1" fontId="12" fillId="0" borderId="9" xfId="3" applyNumberFormat="1" applyFont="1" applyBorder="1" applyAlignment="1">
      <alignment horizontal="center"/>
    </xf>
    <xf numFmtId="16" fontId="12" fillId="0" borderId="9" xfId="3" applyNumberFormat="1" applyFont="1" applyBorder="1" applyAlignment="1">
      <alignment horizontal="center"/>
    </xf>
    <xf numFmtId="49" fontId="10" fillId="0" borderId="23" xfId="3" applyNumberFormat="1" applyFont="1" applyBorder="1" applyAlignment="1">
      <alignment horizontal="center"/>
    </xf>
    <xf numFmtId="49" fontId="11" fillId="0" borderId="1" xfId="3" applyNumberFormat="1" applyFont="1" applyBorder="1"/>
    <xf numFmtId="16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49" fontId="10" fillId="0" borderId="5" xfId="3" applyNumberFormat="1" applyFont="1" applyBorder="1" applyAlignment="1">
      <alignment horizontal="center"/>
    </xf>
    <xf numFmtId="165" fontId="14" fillId="0" borderId="3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165" fontId="16" fillId="0" borderId="0" xfId="1" applyFont="1" applyFill="1" applyBorder="1" applyAlignment="1">
      <alignment horizontal="center" vertic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6" applyNumberFormat="1" applyFont="1" applyFill="1" applyAlignment="1">
      <alignment vertical="center"/>
    </xf>
    <xf numFmtId="10" fontId="15" fillId="0" borderId="0" xfId="6" applyNumberFormat="1" applyFont="1" applyFill="1" applyAlignment="1">
      <alignment vertical="center"/>
    </xf>
    <xf numFmtId="4" fontId="14" fillId="0" borderId="0" xfId="1" applyNumberFormat="1" applyFont="1" applyFill="1" applyAlignment="1">
      <alignment vertical="center"/>
    </xf>
    <xf numFmtId="165" fontId="22" fillId="0" borderId="0" xfId="1" applyFont="1" applyFill="1" applyAlignment="1">
      <alignment horizontal="center" vertical="center"/>
    </xf>
    <xf numFmtId="165" fontId="24" fillId="0" borderId="0" xfId="1" applyFont="1" applyFill="1" applyBorder="1" applyAlignment="1">
      <alignment horizontal="right"/>
    </xf>
    <xf numFmtId="9" fontId="54" fillId="0" borderId="0" xfId="6" applyFont="1" applyFill="1" applyAlignment="1">
      <alignment horizontal="center"/>
    </xf>
    <xf numFmtId="4" fontId="22" fillId="0" borderId="0" xfId="1" applyNumberFormat="1" applyFont="1" applyFill="1" applyAlignment="1">
      <alignment vertical="center"/>
    </xf>
    <xf numFmtId="165" fontId="27" fillId="0" borderId="0" xfId="1" applyFont="1" applyFill="1" applyBorder="1" applyAlignment="1">
      <alignment horizontal="right"/>
    </xf>
    <xf numFmtId="165" fontId="14" fillId="0" borderId="3" xfId="1" applyFont="1" applyFill="1" applyBorder="1" applyAlignment="1">
      <alignment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6" applyNumberFormat="1" applyFont="1" applyFill="1" applyAlignment="1">
      <alignment horizontal="right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10" fontId="11" fillId="0" borderId="0" xfId="6" applyNumberFormat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0" fontId="33" fillId="0" borderId="0" xfId="1" applyNumberFormat="1" applyFont="1" applyFill="1" applyAlignment="1">
      <alignment vertical="center"/>
    </xf>
    <xf numFmtId="10" fontId="15" fillId="0" borderId="0" xfId="6" applyNumberFormat="1" applyFont="1" applyFill="1" applyBorder="1" applyAlignment="1">
      <alignment vertical="center"/>
    </xf>
    <xf numFmtId="165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165" fontId="11" fillId="0" borderId="0" xfId="1" applyFont="1" applyFill="1" applyAlignment="1">
      <alignment vertical="center"/>
    </xf>
    <xf numFmtId="9" fontId="11" fillId="0" borderId="0" xfId="1" applyNumberFormat="1" applyFont="1" applyFill="1" applyAlignment="1">
      <alignment vertical="center"/>
    </xf>
    <xf numFmtId="4" fontId="21" fillId="0" borderId="0" xfId="1" applyNumberFormat="1" applyFont="1" applyFill="1" applyAlignment="1">
      <alignment vertical="center"/>
    </xf>
    <xf numFmtId="165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0" fillId="0" borderId="0" xfId="6" applyNumberFormat="1" applyFont="1" applyFill="1" applyAlignment="1">
      <alignment vertical="center"/>
    </xf>
    <xf numFmtId="165" fontId="30" fillId="0" borderId="0" xfId="1" applyFont="1" applyFill="1" applyBorder="1" applyAlignment="1">
      <alignment vertical="center"/>
    </xf>
    <xf numFmtId="165" fontId="11" fillId="0" borderId="0" xfId="1" applyFont="1" applyFill="1" applyBorder="1"/>
    <xf numFmtId="10" fontId="30" fillId="0" borderId="0" xfId="6" applyNumberFormat="1" applyFont="1" applyFill="1" applyBorder="1" applyAlignment="1">
      <alignment vertical="center"/>
    </xf>
    <xf numFmtId="165" fontId="11" fillId="0" borderId="0" xfId="1" applyFont="1" applyFill="1" applyBorder="1" applyAlignment="1">
      <alignment horizontal="center"/>
    </xf>
    <xf numFmtId="0" fontId="23" fillId="0" borderId="0" xfId="0" applyFont="1"/>
    <xf numFmtId="9" fontId="23" fillId="0" borderId="0" xfId="0" applyNumberFormat="1" applyFont="1"/>
    <xf numFmtId="10" fontId="43" fillId="0" borderId="0" xfId="6" applyNumberFormat="1" applyFont="1" applyFill="1"/>
    <xf numFmtId="10" fontId="14" fillId="0" borderId="0" xfId="6" applyNumberFormat="1" applyFont="1" applyFill="1" applyAlignment="1">
      <alignment horizontal="right" vertical="center"/>
    </xf>
    <xf numFmtId="165" fontId="24" fillId="0" borderId="0" xfId="1" applyFont="1" applyFill="1" applyBorder="1" applyAlignment="1">
      <alignment vertical="center"/>
    </xf>
    <xf numFmtId="4" fontId="20" fillId="0" borderId="0" xfId="2" applyNumberFormat="1" applyFont="1" applyFill="1" applyBorder="1" applyAlignment="1">
      <alignment horizontal="center" vertical="center"/>
    </xf>
    <xf numFmtId="4" fontId="14" fillId="0" borderId="0" xfId="2" applyNumberFormat="1" applyFont="1" applyFill="1" applyBorder="1" applyAlignment="1">
      <alignment horizontal="center" vertical="center"/>
    </xf>
    <xf numFmtId="10" fontId="14" fillId="0" borderId="0" xfId="6" applyNumberFormat="1" applyFont="1" applyFill="1" applyAlignment="1">
      <alignment horizontal="right" vertical="top"/>
    </xf>
    <xf numFmtId="9" fontId="14" fillId="0" borderId="0" xfId="6" applyFont="1" applyFill="1" applyAlignment="1">
      <alignment horizontal="right" vertical="center"/>
    </xf>
    <xf numFmtId="165" fontId="46" fillId="0" borderId="0" xfId="1" applyFont="1" applyFill="1" applyBorder="1" applyAlignment="1">
      <alignment horizontal="center"/>
    </xf>
    <xf numFmtId="4" fontId="46" fillId="0" borderId="0" xfId="2" applyNumberFormat="1" applyFont="1" applyFill="1" applyBorder="1"/>
    <xf numFmtId="10" fontId="46" fillId="0" borderId="0" xfId="6" applyNumberFormat="1" applyFont="1" applyFill="1" applyAlignment="1">
      <alignment vertical="center"/>
    </xf>
    <xf numFmtId="49" fontId="46" fillId="0" borderId="0" xfId="2" applyNumberFormat="1" applyFont="1" applyFill="1" applyBorder="1" applyAlignment="1">
      <alignment horizontal="center"/>
    </xf>
    <xf numFmtId="49" fontId="47" fillId="0" borderId="0" xfId="2" applyNumberFormat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/>
    </xf>
    <xf numFmtId="165" fontId="14" fillId="0" borderId="26" xfId="1" applyFont="1" applyFill="1" applyBorder="1" applyAlignment="1">
      <alignment horizontal="center"/>
    </xf>
    <xf numFmtId="165" fontId="38" fillId="0" borderId="0" xfId="1" applyFont="1" applyFill="1" applyBorder="1" applyAlignment="1">
      <alignment horizontal="center"/>
    </xf>
    <xf numFmtId="9" fontId="22" fillId="0" borderId="0" xfId="1" applyNumberFormat="1" applyFont="1" applyFill="1" applyBorder="1" applyAlignment="1">
      <alignment vertical="top"/>
    </xf>
    <xf numFmtId="4" fontId="22" fillId="0" borderId="0" xfId="1" applyNumberFormat="1" applyFont="1" applyFill="1" applyBorder="1" applyAlignment="1">
      <alignment horizontal="center"/>
    </xf>
    <xf numFmtId="10" fontId="14" fillId="0" borderId="0" xfId="6" applyNumberFormat="1" applyFont="1" applyFill="1" applyBorder="1" applyAlignment="1">
      <alignment horizontal="right" vertical="top"/>
    </xf>
    <xf numFmtId="10" fontId="30" fillId="0" borderId="0" xfId="6" applyNumberFormat="1" applyFont="1" applyFill="1" applyBorder="1" applyAlignment="1">
      <alignment horizontal="right" vertical="top"/>
    </xf>
    <xf numFmtId="10" fontId="14" fillId="0" borderId="0" xfId="6" applyNumberFormat="1" applyFont="1" applyFill="1" applyAlignment="1">
      <alignment horizontal="right"/>
    </xf>
    <xf numFmtId="170" fontId="35" fillId="0" borderId="0" xfId="1" applyNumberFormat="1" applyFont="1" applyFill="1" applyAlignment="1">
      <alignment vertical="top"/>
    </xf>
    <xf numFmtId="10" fontId="35" fillId="0" borderId="0" xfId="6" applyNumberFormat="1" applyFont="1" applyFill="1" applyAlignment="1">
      <alignment horizontal="right"/>
    </xf>
    <xf numFmtId="10" fontId="52" fillId="0" borderId="0" xfId="6" applyNumberFormat="1" applyFont="1" applyFill="1" applyAlignment="1">
      <alignment horizontal="right"/>
    </xf>
    <xf numFmtId="165" fontId="28" fillId="0" borderId="0" xfId="1" applyFont="1" applyFill="1" applyBorder="1"/>
    <xf numFmtId="10" fontId="38" fillId="0" borderId="0" xfId="6" applyNumberFormat="1" applyFont="1" applyFill="1" applyAlignment="1">
      <alignment horizontal="right"/>
    </xf>
    <xf numFmtId="9" fontId="28" fillId="0" borderId="0" xfId="5" applyFont="1"/>
    <xf numFmtId="1" fontId="12" fillId="0" borderId="3" xfId="3" applyNumberFormat="1" applyFont="1" applyBorder="1" applyAlignment="1">
      <alignment horizontal="center" wrapText="1"/>
    </xf>
    <xf numFmtId="0" fontId="55" fillId="0" borderId="3" xfId="0" applyFont="1" applyBorder="1" applyAlignment="1">
      <alignment horizontal="center"/>
    </xf>
    <xf numFmtId="49" fontId="10" fillId="0" borderId="40" xfId="3" applyNumberFormat="1" applyFont="1" applyBorder="1" applyAlignment="1">
      <alignment horizontal="center"/>
    </xf>
    <xf numFmtId="49" fontId="10" fillId="0" borderId="37" xfId="3" applyNumberFormat="1" applyFont="1" applyBorder="1" applyAlignment="1">
      <alignment horizontal="center"/>
    </xf>
    <xf numFmtId="49" fontId="6" fillId="0" borderId="37" xfId="3" applyNumberFormat="1" applyFont="1" applyBorder="1" applyAlignment="1">
      <alignment horizontal="center"/>
    </xf>
    <xf numFmtId="0" fontId="0" fillId="14" borderId="47" xfId="0" applyFill="1" applyBorder="1" applyAlignment="1">
      <alignment horizontal="center"/>
    </xf>
    <xf numFmtId="0" fontId="58" fillId="2" borderId="1" xfId="4" applyFont="1" applyFill="1" applyBorder="1" applyAlignment="1">
      <alignment horizontal="right"/>
    </xf>
    <xf numFmtId="0" fontId="58" fillId="2" borderId="3" xfId="4" applyFont="1" applyFill="1" applyBorder="1" applyAlignment="1">
      <alignment horizontal="right"/>
    </xf>
    <xf numFmtId="49" fontId="12" fillId="2" borderId="4" xfId="4" applyNumberFormat="1" applyFont="1" applyFill="1" applyBorder="1" applyAlignment="1">
      <alignment horizontal="center"/>
    </xf>
    <xf numFmtId="0" fontId="12" fillId="2" borderId="9" xfId="4" applyFont="1" applyFill="1" applyBorder="1" applyAlignment="1">
      <alignment horizontal="right"/>
    </xf>
    <xf numFmtId="0" fontId="12" fillId="2" borderId="3" xfId="4" applyFont="1" applyFill="1" applyBorder="1" applyAlignment="1">
      <alignment horizontal="right"/>
    </xf>
    <xf numFmtId="14" fontId="53" fillId="2" borderId="0" xfId="4" applyNumberFormat="1" applyFont="1" applyFill="1" applyAlignment="1">
      <alignment horizontal="center" vertical="center" wrapText="1"/>
    </xf>
    <xf numFmtId="0" fontId="58" fillId="3" borderId="2" xfId="3" applyFont="1" applyFill="1" applyBorder="1" applyAlignment="1">
      <alignment horizontal="center" vertical="center" wrapText="1"/>
    </xf>
    <xf numFmtId="1" fontId="58" fillId="3" borderId="11" xfId="3" applyNumberFormat="1" applyFont="1" applyFill="1" applyBorder="1" applyAlignment="1">
      <alignment horizontal="center"/>
    </xf>
    <xf numFmtId="1" fontId="58" fillId="3" borderId="11" xfId="3" applyNumberFormat="1" applyFont="1" applyFill="1" applyBorder="1" applyAlignment="1">
      <alignment horizontal="center" wrapText="1"/>
    </xf>
    <xf numFmtId="0" fontId="58" fillId="3" borderId="22" xfId="3" applyFont="1" applyFill="1" applyBorder="1" applyAlignment="1">
      <alignment horizontal="center"/>
    </xf>
    <xf numFmtId="0" fontId="59" fillId="0" borderId="5" xfId="3" applyFont="1" applyBorder="1" applyAlignment="1">
      <alignment horizontal="center" vertical="center"/>
    </xf>
    <xf numFmtId="0" fontId="59" fillId="0" borderId="37" xfId="3" applyFont="1" applyBorder="1" applyAlignment="1">
      <alignment horizontal="center" vertical="center"/>
    </xf>
    <xf numFmtId="0" fontId="60" fillId="0" borderId="3" xfId="3" applyFont="1" applyBorder="1" applyAlignment="1">
      <alignment vertical="center"/>
    </xf>
    <xf numFmtId="0" fontId="59" fillId="0" borderId="3" xfId="3" applyFont="1" applyBorder="1" applyAlignment="1">
      <alignment horizontal="center" vertical="center"/>
    </xf>
    <xf numFmtId="1" fontId="59" fillId="0" borderId="3" xfId="3" applyNumberFormat="1" applyFont="1" applyBorder="1" applyAlignment="1">
      <alignment horizontal="center"/>
    </xf>
    <xf numFmtId="1" fontId="59" fillId="0" borderId="3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1" fontId="58" fillId="0" borderId="3" xfId="0" applyNumberFormat="1" applyFont="1" applyBorder="1" applyAlignment="1">
      <alignment horizontal="center"/>
    </xf>
    <xf numFmtId="0" fontId="0" fillId="0" borderId="3" xfId="7" applyFont="1" applyBorder="1" applyAlignment="1">
      <alignment horizontal="center"/>
    </xf>
    <xf numFmtId="49" fontId="10" fillId="0" borderId="3" xfId="3" applyNumberFormat="1" applyFont="1" applyBorder="1" applyAlignment="1">
      <alignment horizontal="center"/>
    </xf>
    <xf numFmtId="49" fontId="14" fillId="0" borderId="3" xfId="3" applyNumberFormat="1" applyFont="1" applyBorder="1"/>
    <xf numFmtId="1" fontId="12" fillId="0" borderId="3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10" fillId="0" borderId="37" xfId="0" applyNumberFormat="1" applyFont="1" applyBorder="1" applyAlignment="1">
      <alignment horizontal="center"/>
    </xf>
    <xf numFmtId="49" fontId="28" fillId="0" borderId="3" xfId="0" applyNumberFormat="1" applyFont="1" applyBorder="1"/>
    <xf numFmtId="0" fontId="10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71" fontId="2" fillId="0" borderId="9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9" fillId="0" borderId="3" xfId="0" applyFont="1" applyBorder="1" applyAlignment="1">
      <alignment horizontal="center"/>
    </xf>
    <xf numFmtId="1" fontId="59" fillId="0" borderId="3" xfId="0" applyNumberFormat="1" applyFont="1" applyBorder="1" applyAlignment="1">
      <alignment horizontal="center"/>
    </xf>
    <xf numFmtId="1" fontId="59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6" fontId="2" fillId="0" borderId="3" xfId="3" applyNumberFormat="1" applyBorder="1" applyAlignment="1">
      <alignment horizontal="center"/>
    </xf>
    <xf numFmtId="1" fontId="2" fillId="0" borderId="0" xfId="3" applyNumberFormat="1" applyAlignment="1">
      <alignment horizontal="center"/>
    </xf>
    <xf numFmtId="1" fontId="2" fillId="0" borderId="0" xfId="3" applyNumberFormat="1" applyAlignment="1">
      <alignment horizontal="center" wrapText="1"/>
    </xf>
    <xf numFmtId="2" fontId="12" fillId="0" borderId="9" xfId="3" applyNumberFormat="1" applyFont="1" applyBorder="1" applyAlignment="1">
      <alignment horizontal="center"/>
    </xf>
    <xf numFmtId="0" fontId="0" fillId="10" borderId="3" xfId="0" applyFill="1" applyBorder="1"/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0" fontId="2" fillId="0" borderId="9" xfId="3" applyBorder="1" applyAlignment="1">
      <alignment horizontal="center"/>
    </xf>
    <xf numFmtId="0" fontId="45" fillId="10" borderId="3" xfId="3" applyFont="1" applyFill="1" applyBorder="1" applyAlignment="1">
      <alignment horizontal="left"/>
    </xf>
    <xf numFmtId="0" fontId="10" fillId="0" borderId="3" xfId="3" applyFont="1" applyBorder="1" applyAlignment="1">
      <alignment horizontal="center"/>
    </xf>
    <xf numFmtId="172" fontId="10" fillId="0" borderId="3" xfId="3" applyNumberFormat="1" applyFont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/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" fillId="10" borderId="3" xfId="8" applyFill="1" applyBorder="1" applyAlignment="1">
      <alignment horizontal="center"/>
    </xf>
    <xf numFmtId="0" fontId="1" fillId="10" borderId="3" xfId="8" applyFill="1" applyBorder="1"/>
    <xf numFmtId="49" fontId="10" fillId="10" borderId="5" xfId="0" applyNumberFormat="1" applyFont="1" applyFill="1" applyBorder="1" applyAlignment="1">
      <alignment horizontal="center" vertical="center"/>
    </xf>
    <xf numFmtId="49" fontId="11" fillId="10" borderId="3" xfId="0" applyNumberFormat="1" applyFont="1" applyFill="1" applyBorder="1" applyAlignment="1">
      <alignment vertical="center"/>
    </xf>
    <xf numFmtId="16" fontId="10" fillId="0" borderId="3" xfId="0" applyNumberFormat="1" applyFont="1" applyBorder="1" applyAlignment="1">
      <alignment horizontal="center"/>
    </xf>
    <xf numFmtId="1" fontId="10" fillId="0" borderId="3" xfId="9" applyNumberFormat="1" applyFont="1" applyBorder="1" applyAlignment="1">
      <alignment horizontal="center"/>
    </xf>
    <xf numFmtId="1" fontId="10" fillId="0" borderId="3" xfId="9" applyNumberFormat="1" applyFont="1" applyBorder="1" applyAlignment="1">
      <alignment horizontal="center" wrapText="1"/>
    </xf>
    <xf numFmtId="49" fontId="59" fillId="0" borderId="36" xfId="3" applyNumberFormat="1" applyFont="1" applyBorder="1" applyAlignment="1">
      <alignment horizontal="center"/>
    </xf>
    <xf numFmtId="49" fontId="59" fillId="0" borderId="28" xfId="3" applyNumberFormat="1" applyFont="1" applyBorder="1" applyAlignment="1">
      <alignment horizontal="center"/>
    </xf>
    <xf numFmtId="0" fontId="61" fillId="10" borderId="3" xfId="3" applyFont="1" applyFill="1" applyBorder="1" applyAlignment="1">
      <alignment vertical="center"/>
    </xf>
    <xf numFmtId="0" fontId="59" fillId="0" borderId="37" xfId="3" applyFont="1" applyBorder="1" applyAlignment="1">
      <alignment horizontal="center"/>
    </xf>
    <xf numFmtId="2" fontId="10" fillId="0" borderId="3" xfId="3" applyNumberFormat="1" applyFont="1" applyBorder="1" applyAlignment="1">
      <alignment horizontal="center"/>
    </xf>
    <xf numFmtId="12" fontId="10" fillId="0" borderId="3" xfId="3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wrapText="1"/>
    </xf>
    <xf numFmtId="0" fontId="62" fillId="0" borderId="3" xfId="0" applyFont="1" applyBorder="1"/>
    <xf numFmtId="0" fontId="62" fillId="0" borderId="3" xfId="0" applyFont="1" applyBorder="1" applyAlignment="1">
      <alignment horizontal="center"/>
    </xf>
    <xf numFmtId="0" fontId="12" fillId="0" borderId="3" xfId="0" quotePrefix="1" applyFont="1" applyBorder="1"/>
    <xf numFmtId="0" fontId="10" fillId="0" borderId="3" xfId="0" applyFont="1" applyBorder="1"/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13" fillId="0" borderId="3" xfId="3" applyFont="1" applyBorder="1" applyAlignment="1">
      <alignment horizontal="center"/>
    </xf>
    <xf numFmtId="49" fontId="63" fillId="2" borderId="41" xfId="3" applyNumberFormat="1" applyFont="1" applyFill="1" applyBorder="1" applyAlignment="1">
      <alignment horizontal="center" vertical="center"/>
    </xf>
    <xf numFmtId="49" fontId="63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7" fontId="12" fillId="2" borderId="0" xfId="3" applyNumberFormat="1" applyFont="1" applyFill="1" applyAlignment="1">
      <alignment horizontal="center" wrapText="1"/>
    </xf>
    <xf numFmtId="0" fontId="12" fillId="2" borderId="18" xfId="3" applyFont="1" applyFill="1" applyBorder="1" applyAlignment="1">
      <alignment horizontal="center"/>
    </xf>
    <xf numFmtId="0" fontId="12" fillId="3" borderId="6" xfId="3" applyFont="1" applyFill="1" applyBorder="1" applyAlignment="1">
      <alignment horizontal="center"/>
    </xf>
    <xf numFmtId="0" fontId="12" fillId="3" borderId="7" xfId="3" applyFont="1" applyFill="1" applyBorder="1" applyAlignment="1">
      <alignment horizontal="center"/>
    </xf>
    <xf numFmtId="0" fontId="12" fillId="3" borderId="7" xfId="3" applyFont="1" applyFill="1" applyBorder="1"/>
    <xf numFmtId="0" fontId="58" fillId="3" borderId="7" xfId="3" applyFont="1" applyFill="1" applyBorder="1" applyAlignment="1">
      <alignment horizontal="center"/>
    </xf>
    <xf numFmtId="1" fontId="58" fillId="3" borderId="7" xfId="3" applyNumberFormat="1" applyFont="1" applyFill="1" applyBorder="1" applyAlignment="1">
      <alignment horizontal="center"/>
    </xf>
    <xf numFmtId="167" fontId="12" fillId="3" borderId="7" xfId="3" applyNumberFormat="1" applyFont="1" applyFill="1" applyBorder="1" applyAlignment="1">
      <alignment horizontal="center" wrapText="1"/>
    </xf>
    <xf numFmtId="0" fontId="12" fillId="3" borderId="8" xfId="3" applyFont="1" applyFill="1" applyBorder="1" applyAlignment="1">
      <alignment horizontal="center"/>
    </xf>
    <xf numFmtId="0" fontId="12" fillId="2" borderId="58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7" fillId="0" borderId="36" xfId="3" applyFont="1" applyBorder="1" applyAlignment="1">
      <alignment horizontal="left" wrapText="1"/>
    </xf>
    <xf numFmtId="0" fontId="7" fillId="0" borderId="28" xfId="3" applyFont="1" applyBorder="1" applyAlignment="1">
      <alignment horizontal="left" wrapText="1"/>
    </xf>
    <xf numFmtId="0" fontId="7" fillId="0" borderId="29" xfId="3" applyFont="1" applyBorder="1" applyAlignment="1">
      <alignment horizontal="left" wrapText="1"/>
    </xf>
    <xf numFmtId="0" fontId="7" fillId="0" borderId="33" xfId="3" applyFont="1" applyBorder="1" applyAlignment="1">
      <alignment horizontal="left" wrapText="1"/>
    </xf>
    <xf numFmtId="0" fontId="7" fillId="0" borderId="34" xfId="3" applyFont="1" applyBorder="1" applyAlignment="1">
      <alignment horizontal="left" wrapText="1"/>
    </xf>
    <xf numFmtId="0" fontId="7" fillId="0" borderId="35" xfId="3" applyFont="1" applyBorder="1" applyAlignment="1">
      <alignment horizontal="left" wrapText="1"/>
    </xf>
    <xf numFmtId="0" fontId="12" fillId="0" borderId="36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36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12" fillId="0" borderId="55" xfId="3" applyFont="1" applyBorder="1" applyAlignment="1">
      <alignment horizontal="left"/>
    </xf>
    <xf numFmtId="0" fontId="12" fillId="0" borderId="56" xfId="3" applyFont="1" applyBorder="1" applyAlignment="1">
      <alignment horizontal="left"/>
    </xf>
    <xf numFmtId="0" fontId="12" fillId="0" borderId="32" xfId="3" applyFont="1" applyBorder="1" applyAlignment="1">
      <alignment horizontal="left"/>
    </xf>
    <xf numFmtId="0" fontId="58" fillId="15" borderId="57" xfId="4" applyFont="1" applyFill="1" applyBorder="1" applyAlignment="1">
      <alignment horizontal="center"/>
    </xf>
    <xf numFmtId="0" fontId="58" fillId="15" borderId="21" xfId="4" applyFont="1" applyFill="1" applyBorder="1" applyAlignment="1">
      <alignment horizontal="center"/>
    </xf>
    <xf numFmtId="0" fontId="58" fillId="0" borderId="36" xfId="3" applyFont="1" applyBorder="1" applyAlignment="1">
      <alignment horizontal="right"/>
    </xf>
    <xf numFmtId="0" fontId="58" fillId="0" borderId="28" xfId="3" applyFont="1" applyBorder="1" applyAlignment="1">
      <alignment horizontal="right"/>
    </xf>
    <xf numFmtId="0" fontId="58" fillId="0" borderId="37" xfId="3" applyFont="1" applyBorder="1" applyAlignment="1">
      <alignment horizontal="right"/>
    </xf>
    <xf numFmtId="0" fontId="12" fillId="0" borderId="3" xfId="3" applyFont="1" applyBorder="1" applyAlignment="1">
      <alignment horizontal="right"/>
    </xf>
    <xf numFmtId="167" fontId="12" fillId="0" borderId="27" xfId="3" applyNumberFormat="1" applyFont="1" applyBorder="1" applyAlignment="1">
      <alignment horizontal="center"/>
    </xf>
    <xf numFmtId="167" fontId="12" fillId="0" borderId="29" xfId="3" applyNumberFormat="1" applyFont="1" applyBorder="1" applyAlignment="1">
      <alignment horizontal="center"/>
    </xf>
    <xf numFmtId="167" fontId="12" fillId="0" borderId="27" xfId="3" applyNumberFormat="1" applyFont="1" applyBorder="1" applyAlignment="1">
      <alignment horizontal="right" wrapText="1"/>
    </xf>
    <xf numFmtId="167" fontId="12" fillId="0" borderId="37" xfId="3" applyNumberFormat="1" applyFont="1" applyBorder="1" applyAlignment="1">
      <alignment horizontal="right" wrapText="1"/>
    </xf>
    <xf numFmtId="0" fontId="58" fillId="0" borderId="30" xfId="3" applyFont="1" applyBorder="1" applyAlignment="1">
      <alignment horizontal="right"/>
    </xf>
    <xf numFmtId="0" fontId="58" fillId="0" borderId="44" xfId="3" applyFont="1" applyBorder="1" applyAlignment="1">
      <alignment horizontal="right"/>
    </xf>
    <xf numFmtId="0" fontId="58" fillId="0" borderId="11" xfId="3" applyFont="1" applyBorder="1" applyAlignment="1">
      <alignment horizontal="right"/>
    </xf>
    <xf numFmtId="0" fontId="12" fillId="0" borderId="11" xfId="3" applyFont="1" applyBorder="1" applyAlignment="1">
      <alignment horizontal="right"/>
    </xf>
    <xf numFmtId="167" fontId="12" fillId="0" borderId="31" xfId="3" applyNumberFormat="1" applyFont="1" applyBorder="1" applyAlignment="1">
      <alignment horizontal="center"/>
    </xf>
    <xf numFmtId="167" fontId="12" fillId="0" borderId="32" xfId="3" applyNumberFormat="1" applyFont="1" applyBorder="1" applyAlignment="1">
      <alignment horizontal="center"/>
    </xf>
    <xf numFmtId="0" fontId="58" fillId="3" borderId="6" xfId="3" applyFont="1" applyFill="1" applyBorder="1" applyAlignment="1">
      <alignment horizontal="left"/>
    </xf>
    <xf numFmtId="0" fontId="58" fillId="3" borderId="7" xfId="3" applyFont="1" applyFill="1" applyBorder="1" applyAlignment="1">
      <alignment horizontal="left"/>
    </xf>
    <xf numFmtId="0" fontId="58" fillId="3" borderId="8" xfId="3" applyFont="1" applyFill="1" applyBorder="1" applyAlignment="1">
      <alignment horizontal="left"/>
    </xf>
    <xf numFmtId="0" fontId="58" fillId="0" borderId="33" xfId="3" applyFont="1" applyBorder="1" applyAlignment="1">
      <alignment horizontal="right"/>
    </xf>
    <xf numFmtId="0" fontId="58" fillId="0" borderId="34" xfId="3" applyFont="1" applyBorder="1" applyAlignment="1">
      <alignment horizontal="right"/>
    </xf>
    <xf numFmtId="0" fontId="58" fillId="0" borderId="38" xfId="3" applyFont="1" applyBorder="1" applyAlignment="1">
      <alignment horizontal="right"/>
    </xf>
    <xf numFmtId="167" fontId="12" fillId="0" borderId="9" xfId="3" applyNumberFormat="1" applyFont="1" applyBorder="1" applyAlignment="1">
      <alignment horizontal="right"/>
    </xf>
    <xf numFmtId="0" fontId="12" fillId="2" borderId="10" xfId="3" applyFont="1" applyFill="1" applyBorder="1" applyAlignment="1">
      <alignment horizontal="center"/>
    </xf>
    <xf numFmtId="0" fontId="12" fillId="2" borderId="35" xfId="3" applyFont="1" applyFill="1" applyBorder="1" applyAlignment="1">
      <alignment horizontal="center"/>
    </xf>
    <xf numFmtId="0" fontId="5" fillId="2" borderId="0" xfId="4" applyFont="1" applyFill="1" applyAlignment="1">
      <alignment horizontal="right"/>
    </xf>
    <xf numFmtId="0" fontId="53" fillId="2" borderId="24" xfId="4" applyFont="1" applyFill="1" applyBorder="1" applyAlignment="1">
      <alignment horizontal="center"/>
    </xf>
    <xf numFmtId="0" fontId="5" fillId="2" borderId="0" xfId="4" applyFont="1" applyFill="1"/>
    <xf numFmtId="0" fontId="58" fillId="3" borderId="23" xfId="3" applyFont="1" applyFill="1" applyBorder="1" applyAlignment="1">
      <alignment horizontal="center" vertical="center"/>
    </xf>
    <xf numFmtId="0" fontId="58" fillId="3" borderId="30" xfId="3" applyFont="1" applyFill="1" applyBorder="1" applyAlignment="1">
      <alignment horizontal="center" vertical="center"/>
    </xf>
    <xf numFmtId="0" fontId="58" fillId="3" borderId="23" xfId="3" applyFont="1" applyFill="1" applyBorder="1" applyAlignment="1">
      <alignment horizontal="center" vertical="center" wrapText="1"/>
    </xf>
    <xf numFmtId="0" fontId="58" fillId="3" borderId="30" xfId="3" applyFont="1" applyFill="1" applyBorder="1" applyAlignment="1">
      <alignment horizontal="center" vertical="center" wrapText="1"/>
    </xf>
    <xf numFmtId="0" fontId="58" fillId="3" borderId="1" xfId="3" applyFont="1" applyFill="1" applyBorder="1" applyAlignment="1">
      <alignment horizontal="center" vertical="center"/>
    </xf>
    <xf numFmtId="0" fontId="58" fillId="3" borderId="11" xfId="3" applyFont="1" applyFill="1" applyBorder="1" applyAlignment="1">
      <alignment horizontal="center" vertical="center"/>
    </xf>
    <xf numFmtId="14" fontId="12" fillId="2" borderId="50" xfId="4" applyNumberFormat="1" applyFont="1" applyFill="1" applyBorder="1" applyAlignment="1">
      <alignment horizontal="center" vertical="center" wrapText="1"/>
    </xf>
    <xf numFmtId="14" fontId="12" fillId="2" borderId="52" xfId="4" applyNumberFormat="1" applyFont="1" applyFill="1" applyBorder="1" applyAlignment="1">
      <alignment horizontal="center" vertical="center" wrapText="1"/>
    </xf>
    <xf numFmtId="14" fontId="12" fillId="2" borderId="12" xfId="4" applyNumberFormat="1" applyFont="1" applyFill="1" applyBorder="1" applyAlignment="1">
      <alignment horizontal="center" vertical="center" wrapText="1"/>
    </xf>
    <xf numFmtId="0" fontId="12" fillId="2" borderId="39" xfId="4" applyFont="1" applyFill="1" applyBorder="1" applyAlignment="1">
      <alignment horizontal="left"/>
    </xf>
    <xf numFmtId="0" fontId="12" fillId="2" borderId="51" xfId="4" applyFont="1" applyFill="1" applyBorder="1" applyAlignment="1">
      <alignment horizontal="left"/>
    </xf>
    <xf numFmtId="0" fontId="12" fillId="2" borderId="40" xfId="4" applyFont="1" applyFill="1" applyBorder="1" applyAlignment="1">
      <alignment horizontal="left"/>
    </xf>
    <xf numFmtId="0" fontId="12" fillId="2" borderId="27" xfId="4" applyFont="1" applyFill="1" applyBorder="1" applyAlignment="1">
      <alignment horizontal="left"/>
    </xf>
    <xf numFmtId="0" fontId="12" fillId="2" borderId="28" xfId="4" applyFont="1" applyFill="1" applyBorder="1" applyAlignment="1">
      <alignment horizontal="left"/>
    </xf>
    <xf numFmtId="0" fontId="12" fillId="2" borderId="37" xfId="4" applyFont="1" applyFill="1" applyBorder="1" applyAlignment="1">
      <alignment horizontal="left"/>
    </xf>
    <xf numFmtId="0" fontId="12" fillId="2" borderId="42" xfId="4" applyFont="1" applyFill="1" applyBorder="1" applyAlignment="1">
      <alignment horizontal="center"/>
    </xf>
    <xf numFmtId="0" fontId="12" fillId="2" borderId="21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2" fillId="2" borderId="0" xfId="4" applyFont="1" applyFill="1" applyAlignment="1">
      <alignment horizontal="center"/>
    </xf>
    <xf numFmtId="0" fontId="12" fillId="2" borderId="33" xfId="4" applyFont="1" applyFill="1" applyBorder="1" applyAlignment="1">
      <alignment horizontal="center"/>
    </xf>
    <xf numFmtId="0" fontId="12" fillId="2" borderId="34" xfId="4" applyFont="1" applyFill="1" applyBorder="1" applyAlignment="1">
      <alignment horizontal="center"/>
    </xf>
    <xf numFmtId="0" fontId="57" fillId="2" borderId="1" xfId="4" applyFont="1" applyFill="1" applyBorder="1" applyAlignment="1">
      <alignment horizontal="center"/>
    </xf>
    <xf numFmtId="0" fontId="57" fillId="2" borderId="48" xfId="4" applyFont="1" applyFill="1" applyBorder="1" applyAlignment="1">
      <alignment horizontal="center"/>
    </xf>
    <xf numFmtId="0" fontId="8" fillId="5" borderId="27" xfId="4" applyFont="1" applyFill="1" applyBorder="1" applyAlignment="1">
      <alignment horizontal="center" vertical="center" wrapText="1"/>
    </xf>
    <xf numFmtId="0" fontId="8" fillId="5" borderId="28" xfId="4" applyFont="1" applyFill="1" applyBorder="1" applyAlignment="1">
      <alignment horizontal="center" vertical="center" wrapText="1"/>
    </xf>
    <xf numFmtId="0" fontId="8" fillId="5" borderId="37" xfId="4" applyFont="1" applyFill="1" applyBorder="1" applyAlignment="1">
      <alignment horizontal="center" vertical="center" wrapText="1"/>
    </xf>
    <xf numFmtId="0" fontId="58" fillId="2" borderId="49" xfId="4" applyFont="1" applyFill="1" applyBorder="1" applyAlignment="1">
      <alignment horizontal="right" vertical="top" wrapText="1"/>
    </xf>
    <xf numFmtId="0" fontId="58" fillId="2" borderId="45" xfId="4" applyFont="1" applyFill="1" applyBorder="1" applyAlignment="1">
      <alignment horizontal="right" vertical="top" wrapText="1"/>
    </xf>
    <xf numFmtId="0" fontId="58" fillId="2" borderId="46" xfId="4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/>
    </xf>
    <xf numFmtId="0" fontId="38" fillId="0" borderId="6" xfId="0" applyFont="1" applyBorder="1" applyAlignment="1">
      <alignment horizontal="right" vertical="center"/>
    </xf>
    <xf numFmtId="0" fontId="38" fillId="0" borderId="7" xfId="0" applyFont="1" applyBorder="1" applyAlignment="1">
      <alignment horizontal="right" vertical="center"/>
    </xf>
    <xf numFmtId="0" fontId="38" fillId="0" borderId="8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24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6" xfId="0" applyFont="1" applyFill="1" applyBorder="1" applyAlignment="1">
      <alignment horizontal="right"/>
    </xf>
    <xf numFmtId="0" fontId="27" fillId="4" borderId="7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0" fontId="14" fillId="0" borderId="25" xfId="0" applyFont="1" applyBorder="1" applyAlignment="1">
      <alignment horizontal="right" vertical="center"/>
    </xf>
    <xf numFmtId="0" fontId="14" fillId="8" borderId="6" xfId="0" applyFont="1" applyFill="1" applyBorder="1" applyAlignment="1">
      <alignment horizontal="right" vertical="center"/>
    </xf>
    <xf numFmtId="0" fontId="14" fillId="8" borderId="7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30" fillId="0" borderId="3" xfId="0" applyFont="1" applyBorder="1" applyAlignment="1">
      <alignment horizontal="right" vertical="center"/>
    </xf>
    <xf numFmtId="0" fontId="31" fillId="0" borderId="41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18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3" fillId="0" borderId="42" xfId="0" applyFont="1" applyBorder="1" applyAlignment="1">
      <alignment horizontal="right"/>
    </xf>
    <xf numFmtId="0" fontId="23" fillId="0" borderId="21" xfId="0" applyFont="1" applyBorder="1" applyAlignment="1">
      <alignment horizontal="right"/>
    </xf>
    <xf numFmtId="0" fontId="11" fillId="0" borderId="3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17" fillId="0" borderId="2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right" vertical="center" wrapText="1"/>
    </xf>
    <xf numFmtId="0" fontId="13" fillId="4" borderId="6" xfId="0" applyFont="1" applyFill="1" applyBorder="1" applyAlignment="1">
      <alignment horizontal="right"/>
    </xf>
    <xf numFmtId="0" fontId="13" fillId="4" borderId="7" xfId="0" applyFont="1" applyFill="1" applyBorder="1" applyAlignment="1">
      <alignment horizontal="right"/>
    </xf>
    <xf numFmtId="10" fontId="56" fillId="13" borderId="16" xfId="6" applyNumberFormat="1" applyFont="1" applyFill="1" applyBorder="1" applyAlignment="1">
      <alignment horizontal="center" vertical="center" wrapText="1"/>
    </xf>
    <xf numFmtId="10" fontId="56" fillId="13" borderId="20" xfId="6" applyNumberFormat="1" applyFont="1" applyFill="1" applyBorder="1" applyAlignment="1">
      <alignment horizontal="center" vertical="center"/>
    </xf>
    <xf numFmtId="165" fontId="41" fillId="0" borderId="16" xfId="1" applyFont="1" applyFill="1" applyBorder="1" applyAlignment="1">
      <alignment horizontal="center" vertical="center"/>
    </xf>
    <xf numFmtId="165" fontId="41" fillId="0" borderId="20" xfId="1" applyFont="1" applyFill="1" applyBorder="1" applyAlignment="1">
      <alignment horizontal="center" vertical="center"/>
    </xf>
    <xf numFmtId="0" fontId="44" fillId="0" borderId="6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43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8" xfId="0" applyFont="1" applyBorder="1" applyAlignment="1">
      <alignment horizontal="right"/>
    </xf>
  </cellXfs>
  <cellStyles count="10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3" xfId="8" xr:uid="{1144D29B-CD23-47F3-A4FD-AA9F642D9E86}"/>
    <cellStyle name="Normal 3 2" xfId="9" xr:uid="{A81E85DC-1151-4111-82E8-A7C542289042}"/>
    <cellStyle name="Normal 5" xfId="7" xr:uid="{D19FB613-2F5D-40F2-AB92-E2E2AD6E0C5F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4" name="Picture 1">
          <a:extLst>
            <a:ext uri="{FF2B5EF4-FFF2-40B4-BE49-F238E27FC236}">
              <a16:creationId xmlns:a16="http://schemas.microsoft.com/office/drawing/2014/main" id="{9457944C-3886-04CD-9693-DD2A5017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5" name="Picture 2">
          <a:extLst>
            <a:ext uri="{FF2B5EF4-FFF2-40B4-BE49-F238E27FC236}">
              <a16:creationId xmlns:a16="http://schemas.microsoft.com/office/drawing/2014/main" id="{70FA3759-1DE5-03C4-E929-8DF2EACB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6" name="Picture 3">
          <a:extLst>
            <a:ext uri="{FF2B5EF4-FFF2-40B4-BE49-F238E27FC236}">
              <a16:creationId xmlns:a16="http://schemas.microsoft.com/office/drawing/2014/main" id="{7942753A-A4F8-EE77-A5D1-3301D58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7" name="Picture 4">
          <a:extLst>
            <a:ext uri="{FF2B5EF4-FFF2-40B4-BE49-F238E27FC236}">
              <a16:creationId xmlns:a16="http://schemas.microsoft.com/office/drawing/2014/main" id="{A1404A70-1486-B2C9-5FB4-A870BC4F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8" name="Picture 5">
          <a:extLst>
            <a:ext uri="{FF2B5EF4-FFF2-40B4-BE49-F238E27FC236}">
              <a16:creationId xmlns:a16="http://schemas.microsoft.com/office/drawing/2014/main" id="{2B5C8F6A-3863-63AA-2E13-956B0B57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9" name="Picture 6">
          <a:extLst>
            <a:ext uri="{FF2B5EF4-FFF2-40B4-BE49-F238E27FC236}">
              <a16:creationId xmlns:a16="http://schemas.microsoft.com/office/drawing/2014/main" id="{33830FC3-5C53-2300-E627-9B8FA9B4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0" name="Picture 7">
          <a:extLst>
            <a:ext uri="{FF2B5EF4-FFF2-40B4-BE49-F238E27FC236}">
              <a16:creationId xmlns:a16="http://schemas.microsoft.com/office/drawing/2014/main" id="{943BE48C-7896-E41F-D9AC-94519244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1" name="Picture 8">
          <a:extLst>
            <a:ext uri="{FF2B5EF4-FFF2-40B4-BE49-F238E27FC236}">
              <a16:creationId xmlns:a16="http://schemas.microsoft.com/office/drawing/2014/main" id="{792253B8-5B56-756D-0845-29A75820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2" name="Picture 9">
          <a:extLst>
            <a:ext uri="{FF2B5EF4-FFF2-40B4-BE49-F238E27FC236}">
              <a16:creationId xmlns:a16="http://schemas.microsoft.com/office/drawing/2014/main" id="{99729BCE-D965-70D4-CCEE-52258153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3" name="Picture 10">
          <a:extLst>
            <a:ext uri="{FF2B5EF4-FFF2-40B4-BE49-F238E27FC236}">
              <a16:creationId xmlns:a16="http://schemas.microsoft.com/office/drawing/2014/main" id="{F49B035A-B2A3-5A9F-59F9-0DC92066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4" name="Picture 11">
          <a:extLst>
            <a:ext uri="{FF2B5EF4-FFF2-40B4-BE49-F238E27FC236}">
              <a16:creationId xmlns:a16="http://schemas.microsoft.com/office/drawing/2014/main" id="{C741B023-094D-6BB9-0ABE-635237E0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5" name="Picture 12">
          <a:extLst>
            <a:ext uri="{FF2B5EF4-FFF2-40B4-BE49-F238E27FC236}">
              <a16:creationId xmlns:a16="http://schemas.microsoft.com/office/drawing/2014/main" id="{26740A2A-29F8-B790-F011-33B379E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6" name="Picture 13">
          <a:extLst>
            <a:ext uri="{FF2B5EF4-FFF2-40B4-BE49-F238E27FC236}">
              <a16:creationId xmlns:a16="http://schemas.microsoft.com/office/drawing/2014/main" id="{A13E0836-4203-2886-3DA6-082D215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7" name="Picture 14">
          <a:extLst>
            <a:ext uri="{FF2B5EF4-FFF2-40B4-BE49-F238E27FC236}">
              <a16:creationId xmlns:a16="http://schemas.microsoft.com/office/drawing/2014/main" id="{CE4057AE-C089-5257-F68F-E9050B6E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8" name="Picture 15">
          <a:extLst>
            <a:ext uri="{FF2B5EF4-FFF2-40B4-BE49-F238E27FC236}">
              <a16:creationId xmlns:a16="http://schemas.microsoft.com/office/drawing/2014/main" id="{0188BF61-25E5-A734-1890-1690033EA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9" name="Picture 16">
          <a:extLst>
            <a:ext uri="{FF2B5EF4-FFF2-40B4-BE49-F238E27FC236}">
              <a16:creationId xmlns:a16="http://schemas.microsoft.com/office/drawing/2014/main" id="{C4EDC3DB-FFB6-0D13-C592-66E99D17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0" name="Picture 17">
          <a:extLst>
            <a:ext uri="{FF2B5EF4-FFF2-40B4-BE49-F238E27FC236}">
              <a16:creationId xmlns:a16="http://schemas.microsoft.com/office/drawing/2014/main" id="{06CF725B-1360-C82B-69F7-7F3B8BA8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1" name="Picture 18">
          <a:extLst>
            <a:ext uri="{FF2B5EF4-FFF2-40B4-BE49-F238E27FC236}">
              <a16:creationId xmlns:a16="http://schemas.microsoft.com/office/drawing/2014/main" id="{3B684403-7988-83D2-6EFA-F6DED9FC0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2" name="Picture 19">
          <a:extLst>
            <a:ext uri="{FF2B5EF4-FFF2-40B4-BE49-F238E27FC236}">
              <a16:creationId xmlns:a16="http://schemas.microsoft.com/office/drawing/2014/main" id="{491BFC9E-23FB-F278-C89D-842E13E8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3" name="Picture 20">
          <a:extLst>
            <a:ext uri="{FF2B5EF4-FFF2-40B4-BE49-F238E27FC236}">
              <a16:creationId xmlns:a16="http://schemas.microsoft.com/office/drawing/2014/main" id="{AA6A9226-0607-ED0D-6139-14910151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4" name="Picture 21">
          <a:extLst>
            <a:ext uri="{FF2B5EF4-FFF2-40B4-BE49-F238E27FC236}">
              <a16:creationId xmlns:a16="http://schemas.microsoft.com/office/drawing/2014/main" id="{62BE894D-7DCB-E783-8613-4C28CE62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5" name="Picture 22">
          <a:extLst>
            <a:ext uri="{FF2B5EF4-FFF2-40B4-BE49-F238E27FC236}">
              <a16:creationId xmlns:a16="http://schemas.microsoft.com/office/drawing/2014/main" id="{613460C1-7C6E-743A-8CBE-7B91162D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6" name="Picture 23">
          <a:extLst>
            <a:ext uri="{FF2B5EF4-FFF2-40B4-BE49-F238E27FC236}">
              <a16:creationId xmlns:a16="http://schemas.microsoft.com/office/drawing/2014/main" id="{5865021A-AEB9-D02B-06F4-04C2356C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7" name="Picture 24">
          <a:extLst>
            <a:ext uri="{FF2B5EF4-FFF2-40B4-BE49-F238E27FC236}">
              <a16:creationId xmlns:a16="http://schemas.microsoft.com/office/drawing/2014/main" id="{0A30424C-71ED-A037-BC57-39E4E4ED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8" name="Picture 25">
          <a:extLst>
            <a:ext uri="{FF2B5EF4-FFF2-40B4-BE49-F238E27FC236}">
              <a16:creationId xmlns:a16="http://schemas.microsoft.com/office/drawing/2014/main" id="{4A8EE2B7-6C47-AAD8-AE5F-D568A28DD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9" name="Picture 26">
          <a:extLst>
            <a:ext uri="{FF2B5EF4-FFF2-40B4-BE49-F238E27FC236}">
              <a16:creationId xmlns:a16="http://schemas.microsoft.com/office/drawing/2014/main" id="{EDB8134C-78D2-0648-92A4-16A00888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0" name="Picture 27">
          <a:extLst>
            <a:ext uri="{FF2B5EF4-FFF2-40B4-BE49-F238E27FC236}">
              <a16:creationId xmlns:a16="http://schemas.microsoft.com/office/drawing/2014/main" id="{A29ED0AD-86F3-395A-1E0C-F0CFD5E2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1" name="Picture 28">
          <a:extLst>
            <a:ext uri="{FF2B5EF4-FFF2-40B4-BE49-F238E27FC236}">
              <a16:creationId xmlns:a16="http://schemas.microsoft.com/office/drawing/2014/main" id="{3B60A41A-2C2B-C5E2-C8EE-D61A713C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2" name="Picture 29">
          <a:extLst>
            <a:ext uri="{FF2B5EF4-FFF2-40B4-BE49-F238E27FC236}">
              <a16:creationId xmlns:a16="http://schemas.microsoft.com/office/drawing/2014/main" id="{AF036C83-43A0-DE0B-C1FB-BF0B57C6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3" name="Picture 30">
          <a:extLst>
            <a:ext uri="{FF2B5EF4-FFF2-40B4-BE49-F238E27FC236}">
              <a16:creationId xmlns:a16="http://schemas.microsoft.com/office/drawing/2014/main" id="{3F83262C-5A2E-A757-5250-2939CDEE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4" name="Picture 31">
          <a:extLst>
            <a:ext uri="{FF2B5EF4-FFF2-40B4-BE49-F238E27FC236}">
              <a16:creationId xmlns:a16="http://schemas.microsoft.com/office/drawing/2014/main" id="{8205D95C-E039-2429-72C9-0C4A70EF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5" name="Picture 32">
          <a:extLst>
            <a:ext uri="{FF2B5EF4-FFF2-40B4-BE49-F238E27FC236}">
              <a16:creationId xmlns:a16="http://schemas.microsoft.com/office/drawing/2014/main" id="{A716D093-F32C-5687-FF4D-D2D4940A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6" name="Picture 33">
          <a:extLst>
            <a:ext uri="{FF2B5EF4-FFF2-40B4-BE49-F238E27FC236}">
              <a16:creationId xmlns:a16="http://schemas.microsoft.com/office/drawing/2014/main" id="{85D7F61F-73F4-DB2E-1DFF-518A1CD7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7" name="Picture 34">
          <a:extLst>
            <a:ext uri="{FF2B5EF4-FFF2-40B4-BE49-F238E27FC236}">
              <a16:creationId xmlns:a16="http://schemas.microsoft.com/office/drawing/2014/main" id="{4E1F7132-FE8E-6A18-710A-70E05D67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8" name="Picture 35">
          <a:extLst>
            <a:ext uri="{FF2B5EF4-FFF2-40B4-BE49-F238E27FC236}">
              <a16:creationId xmlns:a16="http://schemas.microsoft.com/office/drawing/2014/main" id="{02DC5B0E-964C-9B5B-12AE-2BD42AC5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9" name="Picture 36">
          <a:extLst>
            <a:ext uri="{FF2B5EF4-FFF2-40B4-BE49-F238E27FC236}">
              <a16:creationId xmlns:a16="http://schemas.microsoft.com/office/drawing/2014/main" id="{1D8466E5-8200-5443-2FB4-6F8FF96B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0" name="Picture 37">
          <a:extLst>
            <a:ext uri="{FF2B5EF4-FFF2-40B4-BE49-F238E27FC236}">
              <a16:creationId xmlns:a16="http://schemas.microsoft.com/office/drawing/2014/main" id="{4276C454-A5C4-7A32-6639-32D1289B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1" name="Picture 38">
          <a:extLst>
            <a:ext uri="{FF2B5EF4-FFF2-40B4-BE49-F238E27FC236}">
              <a16:creationId xmlns:a16="http://schemas.microsoft.com/office/drawing/2014/main" id="{2BF5D449-A184-4068-09CF-FD9AD2E3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2" name="Picture 39">
          <a:extLst>
            <a:ext uri="{FF2B5EF4-FFF2-40B4-BE49-F238E27FC236}">
              <a16:creationId xmlns:a16="http://schemas.microsoft.com/office/drawing/2014/main" id="{D24417F9-285D-7B73-67A5-A1FDBBB83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3" name="Picture 40">
          <a:extLst>
            <a:ext uri="{FF2B5EF4-FFF2-40B4-BE49-F238E27FC236}">
              <a16:creationId xmlns:a16="http://schemas.microsoft.com/office/drawing/2014/main" id="{3A5031D9-488B-70A6-8809-7890DF4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4" name="Picture 41">
          <a:extLst>
            <a:ext uri="{FF2B5EF4-FFF2-40B4-BE49-F238E27FC236}">
              <a16:creationId xmlns:a16="http://schemas.microsoft.com/office/drawing/2014/main" id="{89C5CBCC-57F6-F8DC-6196-C8B32F3E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5" name="Picture 42">
          <a:extLst>
            <a:ext uri="{FF2B5EF4-FFF2-40B4-BE49-F238E27FC236}">
              <a16:creationId xmlns:a16="http://schemas.microsoft.com/office/drawing/2014/main" id="{F3F00565-9741-F03E-2615-360D4426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6" name="Picture 43">
          <a:extLst>
            <a:ext uri="{FF2B5EF4-FFF2-40B4-BE49-F238E27FC236}">
              <a16:creationId xmlns:a16="http://schemas.microsoft.com/office/drawing/2014/main" id="{79FC9E2F-0038-6BA1-FB2F-948C4D91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7" name="Picture 44">
          <a:extLst>
            <a:ext uri="{FF2B5EF4-FFF2-40B4-BE49-F238E27FC236}">
              <a16:creationId xmlns:a16="http://schemas.microsoft.com/office/drawing/2014/main" id="{8F98C389-9A09-C51C-AC34-A73564E4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8" name="Picture 45">
          <a:extLst>
            <a:ext uri="{FF2B5EF4-FFF2-40B4-BE49-F238E27FC236}">
              <a16:creationId xmlns:a16="http://schemas.microsoft.com/office/drawing/2014/main" id="{393BB81F-03D9-5306-DF74-13789BBD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9" name="Picture 46">
          <a:extLst>
            <a:ext uri="{FF2B5EF4-FFF2-40B4-BE49-F238E27FC236}">
              <a16:creationId xmlns:a16="http://schemas.microsoft.com/office/drawing/2014/main" id="{58D97E70-150C-AD9F-FB7C-0701BC7E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0" name="Picture 47">
          <a:extLst>
            <a:ext uri="{FF2B5EF4-FFF2-40B4-BE49-F238E27FC236}">
              <a16:creationId xmlns:a16="http://schemas.microsoft.com/office/drawing/2014/main" id="{A8ED0516-29D3-8D06-D6EA-0FDF6B16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1" name="Picture 48">
          <a:extLst>
            <a:ext uri="{FF2B5EF4-FFF2-40B4-BE49-F238E27FC236}">
              <a16:creationId xmlns:a16="http://schemas.microsoft.com/office/drawing/2014/main" id="{410B73F4-0EF8-D8A8-1F1D-F89F033E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2" name="Picture 49">
          <a:extLst>
            <a:ext uri="{FF2B5EF4-FFF2-40B4-BE49-F238E27FC236}">
              <a16:creationId xmlns:a16="http://schemas.microsoft.com/office/drawing/2014/main" id="{7E3F1B0D-E308-4C5D-BA91-D2052164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3" name="Picture 50">
          <a:extLst>
            <a:ext uri="{FF2B5EF4-FFF2-40B4-BE49-F238E27FC236}">
              <a16:creationId xmlns:a16="http://schemas.microsoft.com/office/drawing/2014/main" id="{B4C71667-0E4C-9BFD-E5BC-4F095EA94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4" name="Picture 51">
          <a:extLst>
            <a:ext uri="{FF2B5EF4-FFF2-40B4-BE49-F238E27FC236}">
              <a16:creationId xmlns:a16="http://schemas.microsoft.com/office/drawing/2014/main" id="{4934AE46-9940-7888-EB66-2C1E48E6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5" name="Picture 52">
          <a:extLst>
            <a:ext uri="{FF2B5EF4-FFF2-40B4-BE49-F238E27FC236}">
              <a16:creationId xmlns:a16="http://schemas.microsoft.com/office/drawing/2014/main" id="{A37FB1AD-AECB-4F14-3E1F-653556AA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6" name="Picture 53">
          <a:extLst>
            <a:ext uri="{FF2B5EF4-FFF2-40B4-BE49-F238E27FC236}">
              <a16:creationId xmlns:a16="http://schemas.microsoft.com/office/drawing/2014/main" id="{28857451-7BA3-AF48-F3F4-E14D6D9B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7" name="Picture 54">
          <a:extLst>
            <a:ext uri="{FF2B5EF4-FFF2-40B4-BE49-F238E27FC236}">
              <a16:creationId xmlns:a16="http://schemas.microsoft.com/office/drawing/2014/main" id="{7A38CBB1-8831-AA86-BE15-A4B146DA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8" name="Picture 55">
          <a:extLst>
            <a:ext uri="{FF2B5EF4-FFF2-40B4-BE49-F238E27FC236}">
              <a16:creationId xmlns:a16="http://schemas.microsoft.com/office/drawing/2014/main" id="{B4D30E56-C296-EC63-0335-0241DC1C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9" name="Picture 56">
          <a:extLst>
            <a:ext uri="{FF2B5EF4-FFF2-40B4-BE49-F238E27FC236}">
              <a16:creationId xmlns:a16="http://schemas.microsoft.com/office/drawing/2014/main" id="{B53D4414-94D6-170A-E580-3225E7FE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0" name="Picture 57">
          <a:extLst>
            <a:ext uri="{FF2B5EF4-FFF2-40B4-BE49-F238E27FC236}">
              <a16:creationId xmlns:a16="http://schemas.microsoft.com/office/drawing/2014/main" id="{65F382B7-F826-4F93-1178-0D13A40C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1" name="Picture 58">
          <a:extLst>
            <a:ext uri="{FF2B5EF4-FFF2-40B4-BE49-F238E27FC236}">
              <a16:creationId xmlns:a16="http://schemas.microsoft.com/office/drawing/2014/main" id="{6687C373-DEAC-E407-F99D-11E40A92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2" name="Picture 59">
          <a:extLst>
            <a:ext uri="{FF2B5EF4-FFF2-40B4-BE49-F238E27FC236}">
              <a16:creationId xmlns:a16="http://schemas.microsoft.com/office/drawing/2014/main" id="{629F1BA6-2D85-843D-FC36-ACF1A8EC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3" name="Picture 60">
          <a:extLst>
            <a:ext uri="{FF2B5EF4-FFF2-40B4-BE49-F238E27FC236}">
              <a16:creationId xmlns:a16="http://schemas.microsoft.com/office/drawing/2014/main" id="{5A958863-DBA7-AA7F-B573-8C16DA24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4" name="Picture 61">
          <a:extLst>
            <a:ext uri="{FF2B5EF4-FFF2-40B4-BE49-F238E27FC236}">
              <a16:creationId xmlns:a16="http://schemas.microsoft.com/office/drawing/2014/main" id="{3168AC0E-69D4-9380-727F-F671FE21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5" name="Picture 62">
          <a:extLst>
            <a:ext uri="{FF2B5EF4-FFF2-40B4-BE49-F238E27FC236}">
              <a16:creationId xmlns:a16="http://schemas.microsoft.com/office/drawing/2014/main" id="{D1AD7050-DE87-2CB6-89FD-D1F62896C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6" name="Picture 63">
          <a:extLst>
            <a:ext uri="{FF2B5EF4-FFF2-40B4-BE49-F238E27FC236}">
              <a16:creationId xmlns:a16="http://schemas.microsoft.com/office/drawing/2014/main" id="{BE74E9CF-C95A-9E57-D27A-C03E049E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7" name="Picture 64">
          <a:extLst>
            <a:ext uri="{FF2B5EF4-FFF2-40B4-BE49-F238E27FC236}">
              <a16:creationId xmlns:a16="http://schemas.microsoft.com/office/drawing/2014/main" id="{E1D02C54-6308-ADEA-2D63-F4DAC92F0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8" name="Picture 65">
          <a:extLst>
            <a:ext uri="{FF2B5EF4-FFF2-40B4-BE49-F238E27FC236}">
              <a16:creationId xmlns:a16="http://schemas.microsoft.com/office/drawing/2014/main" id="{30034E16-D8A5-AF20-537B-EF08C39A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9" name="Picture 66">
          <a:extLst>
            <a:ext uri="{FF2B5EF4-FFF2-40B4-BE49-F238E27FC236}">
              <a16:creationId xmlns:a16="http://schemas.microsoft.com/office/drawing/2014/main" id="{C56E83D3-D3C0-3C8D-588C-881D43C6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0" name="Picture 67">
          <a:extLst>
            <a:ext uri="{FF2B5EF4-FFF2-40B4-BE49-F238E27FC236}">
              <a16:creationId xmlns:a16="http://schemas.microsoft.com/office/drawing/2014/main" id="{C3049ADC-CFCD-7EC0-6DD7-B7775382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1" name="Picture 68">
          <a:extLst>
            <a:ext uri="{FF2B5EF4-FFF2-40B4-BE49-F238E27FC236}">
              <a16:creationId xmlns:a16="http://schemas.microsoft.com/office/drawing/2014/main" id="{3E835542-6903-4637-7CBC-7244D11A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2" name="Picture 69">
          <a:extLst>
            <a:ext uri="{FF2B5EF4-FFF2-40B4-BE49-F238E27FC236}">
              <a16:creationId xmlns:a16="http://schemas.microsoft.com/office/drawing/2014/main" id="{3FB46560-0726-937B-2FB4-E21697AF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3" name="Picture 70">
          <a:extLst>
            <a:ext uri="{FF2B5EF4-FFF2-40B4-BE49-F238E27FC236}">
              <a16:creationId xmlns:a16="http://schemas.microsoft.com/office/drawing/2014/main" id="{1D3F452F-F260-4940-36B5-9D4DC00D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4" name="Picture 71">
          <a:extLst>
            <a:ext uri="{FF2B5EF4-FFF2-40B4-BE49-F238E27FC236}">
              <a16:creationId xmlns:a16="http://schemas.microsoft.com/office/drawing/2014/main" id="{D0A70761-06D3-A2FF-AC5E-C3E14B4D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5" name="Picture 72">
          <a:extLst>
            <a:ext uri="{FF2B5EF4-FFF2-40B4-BE49-F238E27FC236}">
              <a16:creationId xmlns:a16="http://schemas.microsoft.com/office/drawing/2014/main" id="{F7A7A573-1337-326C-A3AF-244E7736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6" name="Picture 73">
          <a:extLst>
            <a:ext uri="{FF2B5EF4-FFF2-40B4-BE49-F238E27FC236}">
              <a16:creationId xmlns:a16="http://schemas.microsoft.com/office/drawing/2014/main" id="{252A6C94-5FCA-BD73-8143-4E0D72E2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7" name="Picture 74">
          <a:extLst>
            <a:ext uri="{FF2B5EF4-FFF2-40B4-BE49-F238E27FC236}">
              <a16:creationId xmlns:a16="http://schemas.microsoft.com/office/drawing/2014/main" id="{53470E11-6491-557B-200F-0D83C993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8" name="Picture 75">
          <a:extLst>
            <a:ext uri="{FF2B5EF4-FFF2-40B4-BE49-F238E27FC236}">
              <a16:creationId xmlns:a16="http://schemas.microsoft.com/office/drawing/2014/main" id="{3310263D-D0E4-21F9-A07E-D204064F8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9" name="Picture 76">
          <a:extLst>
            <a:ext uri="{FF2B5EF4-FFF2-40B4-BE49-F238E27FC236}">
              <a16:creationId xmlns:a16="http://schemas.microsoft.com/office/drawing/2014/main" id="{7168C476-25BF-3C73-366C-CC5A76FE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0" name="Picture 77">
          <a:extLst>
            <a:ext uri="{FF2B5EF4-FFF2-40B4-BE49-F238E27FC236}">
              <a16:creationId xmlns:a16="http://schemas.microsoft.com/office/drawing/2014/main" id="{FD9E6423-19E0-B024-691D-CBDC18E6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1" name="Picture 78">
          <a:extLst>
            <a:ext uri="{FF2B5EF4-FFF2-40B4-BE49-F238E27FC236}">
              <a16:creationId xmlns:a16="http://schemas.microsoft.com/office/drawing/2014/main" id="{7287ED89-D76B-0908-5407-4D622268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2" name="Picture 79">
          <a:extLst>
            <a:ext uri="{FF2B5EF4-FFF2-40B4-BE49-F238E27FC236}">
              <a16:creationId xmlns:a16="http://schemas.microsoft.com/office/drawing/2014/main" id="{B5FAE745-75BE-1FCD-D3A9-6EDBB04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3" name="Picture 80">
          <a:extLst>
            <a:ext uri="{FF2B5EF4-FFF2-40B4-BE49-F238E27FC236}">
              <a16:creationId xmlns:a16="http://schemas.microsoft.com/office/drawing/2014/main" id="{8DB3BD3F-7EDD-B16F-6DC9-6DAD15D4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4" name="Picture 81">
          <a:extLst>
            <a:ext uri="{FF2B5EF4-FFF2-40B4-BE49-F238E27FC236}">
              <a16:creationId xmlns:a16="http://schemas.microsoft.com/office/drawing/2014/main" id="{FE34FFED-55E3-8E39-21B1-9D468B93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5" name="Picture 82">
          <a:extLst>
            <a:ext uri="{FF2B5EF4-FFF2-40B4-BE49-F238E27FC236}">
              <a16:creationId xmlns:a16="http://schemas.microsoft.com/office/drawing/2014/main" id="{389AE613-5118-F45E-EEA6-EF2AD401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6" name="Picture 83">
          <a:extLst>
            <a:ext uri="{FF2B5EF4-FFF2-40B4-BE49-F238E27FC236}">
              <a16:creationId xmlns:a16="http://schemas.microsoft.com/office/drawing/2014/main" id="{9F60618C-BAF7-62F9-4D01-63BCC728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7" name="Picture 84">
          <a:extLst>
            <a:ext uri="{FF2B5EF4-FFF2-40B4-BE49-F238E27FC236}">
              <a16:creationId xmlns:a16="http://schemas.microsoft.com/office/drawing/2014/main" id="{673FECC5-653A-211C-EE11-A5E35405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8" name="Picture 85">
          <a:extLst>
            <a:ext uri="{FF2B5EF4-FFF2-40B4-BE49-F238E27FC236}">
              <a16:creationId xmlns:a16="http://schemas.microsoft.com/office/drawing/2014/main" id="{901112F5-A39E-1705-7E6D-904F4BED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9" name="Picture 86">
          <a:extLst>
            <a:ext uri="{FF2B5EF4-FFF2-40B4-BE49-F238E27FC236}">
              <a16:creationId xmlns:a16="http://schemas.microsoft.com/office/drawing/2014/main" id="{B93EE4C4-706E-955E-D2A3-5E56F1CE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0" name="Picture 87">
          <a:extLst>
            <a:ext uri="{FF2B5EF4-FFF2-40B4-BE49-F238E27FC236}">
              <a16:creationId xmlns:a16="http://schemas.microsoft.com/office/drawing/2014/main" id="{D5192071-80D0-8E53-FAF5-33BFAFDB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1" name="Picture 88">
          <a:extLst>
            <a:ext uri="{FF2B5EF4-FFF2-40B4-BE49-F238E27FC236}">
              <a16:creationId xmlns:a16="http://schemas.microsoft.com/office/drawing/2014/main" id="{327B8AFC-6A63-E60E-49DD-2EBBBB31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2" name="Picture 89">
          <a:extLst>
            <a:ext uri="{FF2B5EF4-FFF2-40B4-BE49-F238E27FC236}">
              <a16:creationId xmlns:a16="http://schemas.microsoft.com/office/drawing/2014/main" id="{C8B30C55-57A9-8802-3A2B-A647C8FF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3" name="Picture 90">
          <a:extLst>
            <a:ext uri="{FF2B5EF4-FFF2-40B4-BE49-F238E27FC236}">
              <a16:creationId xmlns:a16="http://schemas.microsoft.com/office/drawing/2014/main" id="{7D4DC4EB-F93A-B2C1-53FD-EE59F34F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4" name="Picture 91">
          <a:extLst>
            <a:ext uri="{FF2B5EF4-FFF2-40B4-BE49-F238E27FC236}">
              <a16:creationId xmlns:a16="http://schemas.microsoft.com/office/drawing/2014/main" id="{8EAA574A-7707-6E05-AC88-EA07C9FD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5" name="Picture 92">
          <a:extLst>
            <a:ext uri="{FF2B5EF4-FFF2-40B4-BE49-F238E27FC236}">
              <a16:creationId xmlns:a16="http://schemas.microsoft.com/office/drawing/2014/main" id="{2D71CD02-2058-B16B-7555-678DB5A4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6" name="Picture 93">
          <a:extLst>
            <a:ext uri="{FF2B5EF4-FFF2-40B4-BE49-F238E27FC236}">
              <a16:creationId xmlns:a16="http://schemas.microsoft.com/office/drawing/2014/main" id="{8FE8F063-C489-73DC-F59C-67FA5E5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7" name="Picture 94">
          <a:extLst>
            <a:ext uri="{FF2B5EF4-FFF2-40B4-BE49-F238E27FC236}">
              <a16:creationId xmlns:a16="http://schemas.microsoft.com/office/drawing/2014/main" id="{DE69E866-2B3F-C419-9F45-26B9D9CE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8" name="Picture 95">
          <a:extLst>
            <a:ext uri="{FF2B5EF4-FFF2-40B4-BE49-F238E27FC236}">
              <a16:creationId xmlns:a16="http://schemas.microsoft.com/office/drawing/2014/main" id="{14101C1E-DDF7-25FA-5266-CCBB6C09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9" name="Picture 96">
          <a:extLst>
            <a:ext uri="{FF2B5EF4-FFF2-40B4-BE49-F238E27FC236}">
              <a16:creationId xmlns:a16="http://schemas.microsoft.com/office/drawing/2014/main" id="{1C67BE5A-2544-E362-90A7-3D4F14692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0" name="Picture 97">
          <a:extLst>
            <a:ext uri="{FF2B5EF4-FFF2-40B4-BE49-F238E27FC236}">
              <a16:creationId xmlns:a16="http://schemas.microsoft.com/office/drawing/2014/main" id="{6B4732D2-E35C-6E94-435F-AB2999B5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1" name="Picture 98">
          <a:extLst>
            <a:ext uri="{FF2B5EF4-FFF2-40B4-BE49-F238E27FC236}">
              <a16:creationId xmlns:a16="http://schemas.microsoft.com/office/drawing/2014/main" id="{3515D4C8-BC00-B157-B45B-3C74341B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2" name="Picture 99">
          <a:extLst>
            <a:ext uri="{FF2B5EF4-FFF2-40B4-BE49-F238E27FC236}">
              <a16:creationId xmlns:a16="http://schemas.microsoft.com/office/drawing/2014/main" id="{97FC3157-3A57-5486-2B38-98688DBE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3" name="Picture 100">
          <a:extLst>
            <a:ext uri="{FF2B5EF4-FFF2-40B4-BE49-F238E27FC236}">
              <a16:creationId xmlns:a16="http://schemas.microsoft.com/office/drawing/2014/main" id="{E56E504B-5CFE-5ADE-23EF-C08EE700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4" name="Picture 101">
          <a:extLst>
            <a:ext uri="{FF2B5EF4-FFF2-40B4-BE49-F238E27FC236}">
              <a16:creationId xmlns:a16="http://schemas.microsoft.com/office/drawing/2014/main" id="{EEAC39E1-51EA-9B53-5D4C-CCEF33E8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5" name="Picture 102">
          <a:extLst>
            <a:ext uri="{FF2B5EF4-FFF2-40B4-BE49-F238E27FC236}">
              <a16:creationId xmlns:a16="http://schemas.microsoft.com/office/drawing/2014/main" id="{FF7C1AA8-915C-4A49-FC72-DB9F9F19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6" name="Picture 103">
          <a:extLst>
            <a:ext uri="{FF2B5EF4-FFF2-40B4-BE49-F238E27FC236}">
              <a16:creationId xmlns:a16="http://schemas.microsoft.com/office/drawing/2014/main" id="{C6D2F074-0D1B-54AE-3C99-9AE300AA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7" name="Picture 104">
          <a:extLst>
            <a:ext uri="{FF2B5EF4-FFF2-40B4-BE49-F238E27FC236}">
              <a16:creationId xmlns:a16="http://schemas.microsoft.com/office/drawing/2014/main" id="{5DC416BE-C8A9-E58A-1BFD-6176D7CA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8" name="Picture 105">
          <a:extLst>
            <a:ext uri="{FF2B5EF4-FFF2-40B4-BE49-F238E27FC236}">
              <a16:creationId xmlns:a16="http://schemas.microsoft.com/office/drawing/2014/main" id="{11809E47-7DFE-6420-C4F5-1A2EF3D3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9" name="Picture 106">
          <a:extLst>
            <a:ext uri="{FF2B5EF4-FFF2-40B4-BE49-F238E27FC236}">
              <a16:creationId xmlns:a16="http://schemas.microsoft.com/office/drawing/2014/main" id="{D82A3668-B2C1-364F-7089-9E8892FB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0" name="Picture 107">
          <a:extLst>
            <a:ext uri="{FF2B5EF4-FFF2-40B4-BE49-F238E27FC236}">
              <a16:creationId xmlns:a16="http://schemas.microsoft.com/office/drawing/2014/main" id="{F1BB1D5E-E0E7-DBF6-C688-B6E870C0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1" name="Picture 108">
          <a:extLst>
            <a:ext uri="{FF2B5EF4-FFF2-40B4-BE49-F238E27FC236}">
              <a16:creationId xmlns:a16="http://schemas.microsoft.com/office/drawing/2014/main" id="{641BF6C7-616F-882D-BF90-A153B54F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2" name="Picture 109">
          <a:extLst>
            <a:ext uri="{FF2B5EF4-FFF2-40B4-BE49-F238E27FC236}">
              <a16:creationId xmlns:a16="http://schemas.microsoft.com/office/drawing/2014/main" id="{947E995B-EF0E-14E1-D5D6-64B95481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3" name="Picture 110">
          <a:extLst>
            <a:ext uri="{FF2B5EF4-FFF2-40B4-BE49-F238E27FC236}">
              <a16:creationId xmlns:a16="http://schemas.microsoft.com/office/drawing/2014/main" id="{33E53FD5-2966-7D97-66BA-876C84666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4" name="Picture 111">
          <a:extLst>
            <a:ext uri="{FF2B5EF4-FFF2-40B4-BE49-F238E27FC236}">
              <a16:creationId xmlns:a16="http://schemas.microsoft.com/office/drawing/2014/main" id="{BFD93A31-65D2-3605-28CF-E0194258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5" name="Picture 112">
          <a:extLst>
            <a:ext uri="{FF2B5EF4-FFF2-40B4-BE49-F238E27FC236}">
              <a16:creationId xmlns:a16="http://schemas.microsoft.com/office/drawing/2014/main" id="{BA7D7A5F-45AA-79D3-1EC5-AB4748CB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6" name="Picture 113">
          <a:extLst>
            <a:ext uri="{FF2B5EF4-FFF2-40B4-BE49-F238E27FC236}">
              <a16:creationId xmlns:a16="http://schemas.microsoft.com/office/drawing/2014/main" id="{C2C98B57-6751-E9E5-93CC-5393CD61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7" name="Picture 114">
          <a:extLst>
            <a:ext uri="{FF2B5EF4-FFF2-40B4-BE49-F238E27FC236}">
              <a16:creationId xmlns:a16="http://schemas.microsoft.com/office/drawing/2014/main" id="{898050D3-3621-2FBC-A937-E54B0922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8" name="Picture 115">
          <a:extLst>
            <a:ext uri="{FF2B5EF4-FFF2-40B4-BE49-F238E27FC236}">
              <a16:creationId xmlns:a16="http://schemas.microsoft.com/office/drawing/2014/main" id="{6BBAB19D-36FB-2EE8-15EF-4727F575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9" name="Picture 116">
          <a:extLst>
            <a:ext uri="{FF2B5EF4-FFF2-40B4-BE49-F238E27FC236}">
              <a16:creationId xmlns:a16="http://schemas.microsoft.com/office/drawing/2014/main" id="{813FA6CE-13B7-2110-DCAF-888CB631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0" name="Picture 117">
          <a:extLst>
            <a:ext uri="{FF2B5EF4-FFF2-40B4-BE49-F238E27FC236}">
              <a16:creationId xmlns:a16="http://schemas.microsoft.com/office/drawing/2014/main" id="{B021C83F-8629-B777-6AC3-4F30986E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1" name="Picture 118">
          <a:extLst>
            <a:ext uri="{FF2B5EF4-FFF2-40B4-BE49-F238E27FC236}">
              <a16:creationId xmlns:a16="http://schemas.microsoft.com/office/drawing/2014/main" id="{94E62115-E615-7DDA-6D32-98EFC954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2" name="Picture 119">
          <a:extLst>
            <a:ext uri="{FF2B5EF4-FFF2-40B4-BE49-F238E27FC236}">
              <a16:creationId xmlns:a16="http://schemas.microsoft.com/office/drawing/2014/main" id="{18C19A30-4DB2-B80E-C10C-836A9ACB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3" name="Picture 120">
          <a:extLst>
            <a:ext uri="{FF2B5EF4-FFF2-40B4-BE49-F238E27FC236}">
              <a16:creationId xmlns:a16="http://schemas.microsoft.com/office/drawing/2014/main" id="{CC156EBD-E495-08D2-8357-254AE8EF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4" name="Picture 121">
          <a:extLst>
            <a:ext uri="{FF2B5EF4-FFF2-40B4-BE49-F238E27FC236}">
              <a16:creationId xmlns:a16="http://schemas.microsoft.com/office/drawing/2014/main" id="{1FFF71BD-5131-9122-0F35-7EAE638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5" name="Picture 122">
          <a:extLst>
            <a:ext uri="{FF2B5EF4-FFF2-40B4-BE49-F238E27FC236}">
              <a16:creationId xmlns:a16="http://schemas.microsoft.com/office/drawing/2014/main" id="{C9843032-E207-37A8-8DDE-21D7CAF7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6" name="Picture 123">
          <a:extLst>
            <a:ext uri="{FF2B5EF4-FFF2-40B4-BE49-F238E27FC236}">
              <a16:creationId xmlns:a16="http://schemas.microsoft.com/office/drawing/2014/main" id="{C77FC3C5-524B-29FE-32A7-FE25949A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7" name="Picture 124">
          <a:extLst>
            <a:ext uri="{FF2B5EF4-FFF2-40B4-BE49-F238E27FC236}">
              <a16:creationId xmlns:a16="http://schemas.microsoft.com/office/drawing/2014/main" id="{9BD84641-9E33-E254-BBFE-D57CC887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8" name="Picture 125">
          <a:extLst>
            <a:ext uri="{FF2B5EF4-FFF2-40B4-BE49-F238E27FC236}">
              <a16:creationId xmlns:a16="http://schemas.microsoft.com/office/drawing/2014/main" id="{880ABF28-38B5-BE4B-7A04-131DE6F7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9" name="Picture 126">
          <a:extLst>
            <a:ext uri="{FF2B5EF4-FFF2-40B4-BE49-F238E27FC236}">
              <a16:creationId xmlns:a16="http://schemas.microsoft.com/office/drawing/2014/main" id="{E4ABF124-301E-1367-208A-BF00E9AB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0" name="Picture 127">
          <a:extLst>
            <a:ext uri="{FF2B5EF4-FFF2-40B4-BE49-F238E27FC236}">
              <a16:creationId xmlns:a16="http://schemas.microsoft.com/office/drawing/2014/main" id="{F7A35650-F8FB-12CC-8C59-2043B81F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1" name="Picture 128">
          <a:extLst>
            <a:ext uri="{FF2B5EF4-FFF2-40B4-BE49-F238E27FC236}">
              <a16:creationId xmlns:a16="http://schemas.microsoft.com/office/drawing/2014/main" id="{08D7DED6-1A81-EBD0-226E-8F0B9161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2" name="Picture 129">
          <a:extLst>
            <a:ext uri="{FF2B5EF4-FFF2-40B4-BE49-F238E27FC236}">
              <a16:creationId xmlns:a16="http://schemas.microsoft.com/office/drawing/2014/main" id="{C7812819-72A4-396D-9C51-FEA31439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3" name="Picture 130">
          <a:extLst>
            <a:ext uri="{FF2B5EF4-FFF2-40B4-BE49-F238E27FC236}">
              <a16:creationId xmlns:a16="http://schemas.microsoft.com/office/drawing/2014/main" id="{110EF43E-6C94-1E19-730D-A0721E1E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4" name="Picture 131">
          <a:extLst>
            <a:ext uri="{FF2B5EF4-FFF2-40B4-BE49-F238E27FC236}">
              <a16:creationId xmlns:a16="http://schemas.microsoft.com/office/drawing/2014/main" id="{5BABED24-3BD3-6F6A-2567-70C79D14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5" name="Picture 132">
          <a:extLst>
            <a:ext uri="{FF2B5EF4-FFF2-40B4-BE49-F238E27FC236}">
              <a16:creationId xmlns:a16="http://schemas.microsoft.com/office/drawing/2014/main" id="{2B4BFA42-66C4-B4E3-FD6E-86115C01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6" name="Picture 133">
          <a:extLst>
            <a:ext uri="{FF2B5EF4-FFF2-40B4-BE49-F238E27FC236}">
              <a16:creationId xmlns:a16="http://schemas.microsoft.com/office/drawing/2014/main" id="{36237A98-63A3-02E5-AEE0-6CAE3DCB2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7" name="Picture 134">
          <a:extLst>
            <a:ext uri="{FF2B5EF4-FFF2-40B4-BE49-F238E27FC236}">
              <a16:creationId xmlns:a16="http://schemas.microsoft.com/office/drawing/2014/main" id="{649327B9-94DB-3B0E-B47B-81E6C6C7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8" name="Picture 135">
          <a:extLst>
            <a:ext uri="{FF2B5EF4-FFF2-40B4-BE49-F238E27FC236}">
              <a16:creationId xmlns:a16="http://schemas.microsoft.com/office/drawing/2014/main" id="{A7DA2F2A-D90C-5BBC-5444-1A3F2193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9" name="Picture 136">
          <a:extLst>
            <a:ext uri="{FF2B5EF4-FFF2-40B4-BE49-F238E27FC236}">
              <a16:creationId xmlns:a16="http://schemas.microsoft.com/office/drawing/2014/main" id="{9C363445-DAB3-D8B3-344B-021721B7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0" name="Picture 137">
          <a:extLst>
            <a:ext uri="{FF2B5EF4-FFF2-40B4-BE49-F238E27FC236}">
              <a16:creationId xmlns:a16="http://schemas.microsoft.com/office/drawing/2014/main" id="{BF0B338D-16DC-9CD5-014B-21D41976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1" name="Picture 138">
          <a:extLst>
            <a:ext uri="{FF2B5EF4-FFF2-40B4-BE49-F238E27FC236}">
              <a16:creationId xmlns:a16="http://schemas.microsoft.com/office/drawing/2014/main" id="{B8EDF488-6E6A-15DE-FF0D-15EE6714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2" name="Picture 139">
          <a:extLst>
            <a:ext uri="{FF2B5EF4-FFF2-40B4-BE49-F238E27FC236}">
              <a16:creationId xmlns:a16="http://schemas.microsoft.com/office/drawing/2014/main" id="{21AD0D4C-9FD4-3F7E-8ADA-7D56AE39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3" name="Picture 140">
          <a:extLst>
            <a:ext uri="{FF2B5EF4-FFF2-40B4-BE49-F238E27FC236}">
              <a16:creationId xmlns:a16="http://schemas.microsoft.com/office/drawing/2014/main" id="{F0F52EC0-9C47-BCEB-A39F-A3BECA11C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4" name="Picture 141">
          <a:extLst>
            <a:ext uri="{FF2B5EF4-FFF2-40B4-BE49-F238E27FC236}">
              <a16:creationId xmlns:a16="http://schemas.microsoft.com/office/drawing/2014/main" id="{DCDC3DFF-26C0-DEBC-4CC8-1988C2E0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5" name="Picture 142">
          <a:extLst>
            <a:ext uri="{FF2B5EF4-FFF2-40B4-BE49-F238E27FC236}">
              <a16:creationId xmlns:a16="http://schemas.microsoft.com/office/drawing/2014/main" id="{DD23F9F2-CC26-75A7-5A42-9B3D5051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6" name="Picture 143">
          <a:extLst>
            <a:ext uri="{FF2B5EF4-FFF2-40B4-BE49-F238E27FC236}">
              <a16:creationId xmlns:a16="http://schemas.microsoft.com/office/drawing/2014/main" id="{0E00B7BF-588A-E544-96E0-C164F738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7" name="Picture 144">
          <a:extLst>
            <a:ext uri="{FF2B5EF4-FFF2-40B4-BE49-F238E27FC236}">
              <a16:creationId xmlns:a16="http://schemas.microsoft.com/office/drawing/2014/main" id="{A66FCC77-7D89-5748-BE4A-7440E1DE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8" name="Picture 145">
          <a:extLst>
            <a:ext uri="{FF2B5EF4-FFF2-40B4-BE49-F238E27FC236}">
              <a16:creationId xmlns:a16="http://schemas.microsoft.com/office/drawing/2014/main" id="{30F4238F-6E75-DCEB-6ECA-8BE09402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9" name="Picture 146">
          <a:extLst>
            <a:ext uri="{FF2B5EF4-FFF2-40B4-BE49-F238E27FC236}">
              <a16:creationId xmlns:a16="http://schemas.microsoft.com/office/drawing/2014/main" id="{4EA5C506-3057-A71E-CB59-84650E1B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0" name="Picture 147">
          <a:extLst>
            <a:ext uri="{FF2B5EF4-FFF2-40B4-BE49-F238E27FC236}">
              <a16:creationId xmlns:a16="http://schemas.microsoft.com/office/drawing/2014/main" id="{AE27961E-D427-A231-70B0-5D8F6A96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1" name="Picture 148">
          <a:extLst>
            <a:ext uri="{FF2B5EF4-FFF2-40B4-BE49-F238E27FC236}">
              <a16:creationId xmlns:a16="http://schemas.microsoft.com/office/drawing/2014/main" id="{BAC8B604-BC47-721C-72C9-2EE21A25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2" name="Picture 149">
          <a:extLst>
            <a:ext uri="{FF2B5EF4-FFF2-40B4-BE49-F238E27FC236}">
              <a16:creationId xmlns:a16="http://schemas.microsoft.com/office/drawing/2014/main" id="{79C5CDD1-A5F7-4726-B346-06B32CE2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3" name="Picture 150">
          <a:extLst>
            <a:ext uri="{FF2B5EF4-FFF2-40B4-BE49-F238E27FC236}">
              <a16:creationId xmlns:a16="http://schemas.microsoft.com/office/drawing/2014/main" id="{52C0814A-A942-5186-AFCD-277CE3C1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4" name="Picture 151">
          <a:extLst>
            <a:ext uri="{FF2B5EF4-FFF2-40B4-BE49-F238E27FC236}">
              <a16:creationId xmlns:a16="http://schemas.microsoft.com/office/drawing/2014/main" id="{8AB9539C-3972-DD80-D61E-E3C2710C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5" name="Picture 152">
          <a:extLst>
            <a:ext uri="{FF2B5EF4-FFF2-40B4-BE49-F238E27FC236}">
              <a16:creationId xmlns:a16="http://schemas.microsoft.com/office/drawing/2014/main" id="{5CF49799-99B5-83E5-9B8C-E7EB827F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6" name="Picture 153">
          <a:extLst>
            <a:ext uri="{FF2B5EF4-FFF2-40B4-BE49-F238E27FC236}">
              <a16:creationId xmlns:a16="http://schemas.microsoft.com/office/drawing/2014/main" id="{6B833E62-CF33-FF1B-EFB1-3276422DE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7" name="Picture 154">
          <a:extLst>
            <a:ext uri="{FF2B5EF4-FFF2-40B4-BE49-F238E27FC236}">
              <a16:creationId xmlns:a16="http://schemas.microsoft.com/office/drawing/2014/main" id="{2223232A-FBD6-00CD-7D55-B7EAB3DB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8" name="Picture 155">
          <a:extLst>
            <a:ext uri="{FF2B5EF4-FFF2-40B4-BE49-F238E27FC236}">
              <a16:creationId xmlns:a16="http://schemas.microsoft.com/office/drawing/2014/main" id="{53183C44-D57E-740A-0573-470770BF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9" name="Picture 156">
          <a:extLst>
            <a:ext uri="{FF2B5EF4-FFF2-40B4-BE49-F238E27FC236}">
              <a16:creationId xmlns:a16="http://schemas.microsoft.com/office/drawing/2014/main" id="{7FB21560-1597-D7EB-1B6F-DFB09B2C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0" name="Picture 157">
          <a:extLst>
            <a:ext uri="{FF2B5EF4-FFF2-40B4-BE49-F238E27FC236}">
              <a16:creationId xmlns:a16="http://schemas.microsoft.com/office/drawing/2014/main" id="{84FE9200-37FC-2CF0-1FD3-11BAC48F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1" name="Picture 158">
          <a:extLst>
            <a:ext uri="{FF2B5EF4-FFF2-40B4-BE49-F238E27FC236}">
              <a16:creationId xmlns:a16="http://schemas.microsoft.com/office/drawing/2014/main" id="{3CB1E3D5-F8FD-1EE3-5D20-94A2F915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2" name="Picture 159">
          <a:extLst>
            <a:ext uri="{FF2B5EF4-FFF2-40B4-BE49-F238E27FC236}">
              <a16:creationId xmlns:a16="http://schemas.microsoft.com/office/drawing/2014/main" id="{3AC46106-301B-229C-068E-6A7D46CF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3" name="Picture 160">
          <a:extLst>
            <a:ext uri="{FF2B5EF4-FFF2-40B4-BE49-F238E27FC236}">
              <a16:creationId xmlns:a16="http://schemas.microsoft.com/office/drawing/2014/main" id="{1C90C614-EB95-8196-26AE-4C3B67DB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4" name="Picture 161">
          <a:extLst>
            <a:ext uri="{FF2B5EF4-FFF2-40B4-BE49-F238E27FC236}">
              <a16:creationId xmlns:a16="http://schemas.microsoft.com/office/drawing/2014/main" id="{4CCB425E-C6CA-5DD2-A174-AACA1110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5" name="Picture 162">
          <a:extLst>
            <a:ext uri="{FF2B5EF4-FFF2-40B4-BE49-F238E27FC236}">
              <a16:creationId xmlns:a16="http://schemas.microsoft.com/office/drawing/2014/main" id="{F9AF2B2D-1DDA-B62F-8355-5E66FF49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6" name="Picture 163">
          <a:extLst>
            <a:ext uri="{FF2B5EF4-FFF2-40B4-BE49-F238E27FC236}">
              <a16:creationId xmlns:a16="http://schemas.microsoft.com/office/drawing/2014/main" id="{FFFC76D0-D7A7-CD18-4497-66828355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7" name="Picture 164">
          <a:extLst>
            <a:ext uri="{FF2B5EF4-FFF2-40B4-BE49-F238E27FC236}">
              <a16:creationId xmlns:a16="http://schemas.microsoft.com/office/drawing/2014/main" id="{71EB1060-0D73-BFBC-46D2-FF2073CEE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8" name="Picture 165">
          <a:extLst>
            <a:ext uri="{FF2B5EF4-FFF2-40B4-BE49-F238E27FC236}">
              <a16:creationId xmlns:a16="http://schemas.microsoft.com/office/drawing/2014/main" id="{92ADCCDB-3BBF-F43C-096B-B05A7542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9" name="Picture 166">
          <a:extLst>
            <a:ext uri="{FF2B5EF4-FFF2-40B4-BE49-F238E27FC236}">
              <a16:creationId xmlns:a16="http://schemas.microsoft.com/office/drawing/2014/main" id="{4D1B6190-48B8-39D8-6CF5-88400BC54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0" name="Picture 167">
          <a:extLst>
            <a:ext uri="{FF2B5EF4-FFF2-40B4-BE49-F238E27FC236}">
              <a16:creationId xmlns:a16="http://schemas.microsoft.com/office/drawing/2014/main" id="{002EAB24-BBF3-DE33-1C70-4D6FEF3E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1" name="Picture 168">
          <a:extLst>
            <a:ext uri="{FF2B5EF4-FFF2-40B4-BE49-F238E27FC236}">
              <a16:creationId xmlns:a16="http://schemas.microsoft.com/office/drawing/2014/main" id="{B5E0F1D4-710D-6BD4-64FD-08A35665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2" name="Picture 169">
          <a:extLst>
            <a:ext uri="{FF2B5EF4-FFF2-40B4-BE49-F238E27FC236}">
              <a16:creationId xmlns:a16="http://schemas.microsoft.com/office/drawing/2014/main" id="{983F5B28-54EC-E78E-488B-4FBB3EAF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3" name="Picture 170">
          <a:extLst>
            <a:ext uri="{FF2B5EF4-FFF2-40B4-BE49-F238E27FC236}">
              <a16:creationId xmlns:a16="http://schemas.microsoft.com/office/drawing/2014/main" id="{49B27BB5-043E-F08B-AB61-44773BB5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4" name="Picture 171">
          <a:extLst>
            <a:ext uri="{FF2B5EF4-FFF2-40B4-BE49-F238E27FC236}">
              <a16:creationId xmlns:a16="http://schemas.microsoft.com/office/drawing/2014/main" id="{A0AA42EB-1665-14C0-54B8-E26E4D86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5" name="Picture 172">
          <a:extLst>
            <a:ext uri="{FF2B5EF4-FFF2-40B4-BE49-F238E27FC236}">
              <a16:creationId xmlns:a16="http://schemas.microsoft.com/office/drawing/2014/main" id="{A3CCEB06-E844-91BF-3E83-EDBBE708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6" name="Picture 173">
          <a:extLst>
            <a:ext uri="{FF2B5EF4-FFF2-40B4-BE49-F238E27FC236}">
              <a16:creationId xmlns:a16="http://schemas.microsoft.com/office/drawing/2014/main" id="{74241341-AA40-A343-F92F-F0F8E9F0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7" name="Picture 174">
          <a:extLst>
            <a:ext uri="{FF2B5EF4-FFF2-40B4-BE49-F238E27FC236}">
              <a16:creationId xmlns:a16="http://schemas.microsoft.com/office/drawing/2014/main" id="{6090DB93-81D6-5B9F-4D8D-D329C0AD7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8" name="Picture 175">
          <a:extLst>
            <a:ext uri="{FF2B5EF4-FFF2-40B4-BE49-F238E27FC236}">
              <a16:creationId xmlns:a16="http://schemas.microsoft.com/office/drawing/2014/main" id="{D870F4EA-BFBC-7919-4DB8-DED0A0F3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9" name="Picture 176">
          <a:extLst>
            <a:ext uri="{FF2B5EF4-FFF2-40B4-BE49-F238E27FC236}">
              <a16:creationId xmlns:a16="http://schemas.microsoft.com/office/drawing/2014/main" id="{17FDD73E-FF04-09AD-C427-FB02F46C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0" name="Picture 177">
          <a:extLst>
            <a:ext uri="{FF2B5EF4-FFF2-40B4-BE49-F238E27FC236}">
              <a16:creationId xmlns:a16="http://schemas.microsoft.com/office/drawing/2014/main" id="{5E29D7D0-8E23-4830-9367-B5F5275C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1" name="Picture 178">
          <a:extLst>
            <a:ext uri="{FF2B5EF4-FFF2-40B4-BE49-F238E27FC236}">
              <a16:creationId xmlns:a16="http://schemas.microsoft.com/office/drawing/2014/main" id="{87F5207B-9819-D733-FE71-2361C8AB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2" name="Picture 179">
          <a:extLst>
            <a:ext uri="{FF2B5EF4-FFF2-40B4-BE49-F238E27FC236}">
              <a16:creationId xmlns:a16="http://schemas.microsoft.com/office/drawing/2014/main" id="{240257CC-6A36-FB33-C366-EF4839F2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3" name="Picture 180">
          <a:extLst>
            <a:ext uri="{FF2B5EF4-FFF2-40B4-BE49-F238E27FC236}">
              <a16:creationId xmlns:a16="http://schemas.microsoft.com/office/drawing/2014/main" id="{E2426208-CBC0-BE0C-212C-A36398BF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4" name="Picture 181">
          <a:extLst>
            <a:ext uri="{FF2B5EF4-FFF2-40B4-BE49-F238E27FC236}">
              <a16:creationId xmlns:a16="http://schemas.microsoft.com/office/drawing/2014/main" id="{9253C42E-5EC9-FA3F-FBFF-2D8B64D8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5" name="Picture 182">
          <a:extLst>
            <a:ext uri="{FF2B5EF4-FFF2-40B4-BE49-F238E27FC236}">
              <a16:creationId xmlns:a16="http://schemas.microsoft.com/office/drawing/2014/main" id="{99D18FAB-4C0B-9A44-DE7E-F2829CBB5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6" name="Picture 183">
          <a:extLst>
            <a:ext uri="{FF2B5EF4-FFF2-40B4-BE49-F238E27FC236}">
              <a16:creationId xmlns:a16="http://schemas.microsoft.com/office/drawing/2014/main" id="{310995DA-A372-3A93-7AF9-07AC79ED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7" name="Picture 184">
          <a:extLst>
            <a:ext uri="{FF2B5EF4-FFF2-40B4-BE49-F238E27FC236}">
              <a16:creationId xmlns:a16="http://schemas.microsoft.com/office/drawing/2014/main" id="{CCCD607E-D585-0248-91B8-7EAB357A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8" name="Picture 185">
          <a:extLst>
            <a:ext uri="{FF2B5EF4-FFF2-40B4-BE49-F238E27FC236}">
              <a16:creationId xmlns:a16="http://schemas.microsoft.com/office/drawing/2014/main" id="{C974DC1E-85BA-B308-4F93-0741EE72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9" name="Picture 186">
          <a:extLst>
            <a:ext uri="{FF2B5EF4-FFF2-40B4-BE49-F238E27FC236}">
              <a16:creationId xmlns:a16="http://schemas.microsoft.com/office/drawing/2014/main" id="{35B8A79C-4541-1FAF-CCA8-28F6677D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0" name="Picture 187">
          <a:extLst>
            <a:ext uri="{FF2B5EF4-FFF2-40B4-BE49-F238E27FC236}">
              <a16:creationId xmlns:a16="http://schemas.microsoft.com/office/drawing/2014/main" id="{CA9848FB-34A4-1CC6-2F9C-FEBF1100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1" name="Picture 188">
          <a:extLst>
            <a:ext uri="{FF2B5EF4-FFF2-40B4-BE49-F238E27FC236}">
              <a16:creationId xmlns:a16="http://schemas.microsoft.com/office/drawing/2014/main" id="{9DB3BF0B-B9B6-8773-E21C-2B5F38D1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2" name="Picture 189">
          <a:extLst>
            <a:ext uri="{FF2B5EF4-FFF2-40B4-BE49-F238E27FC236}">
              <a16:creationId xmlns:a16="http://schemas.microsoft.com/office/drawing/2014/main" id="{8FBBB481-02D0-7110-C551-2159642F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3" name="Picture 190">
          <a:extLst>
            <a:ext uri="{FF2B5EF4-FFF2-40B4-BE49-F238E27FC236}">
              <a16:creationId xmlns:a16="http://schemas.microsoft.com/office/drawing/2014/main" id="{05539090-9D06-0203-03F1-00CE12233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4" name="Picture 191">
          <a:extLst>
            <a:ext uri="{FF2B5EF4-FFF2-40B4-BE49-F238E27FC236}">
              <a16:creationId xmlns:a16="http://schemas.microsoft.com/office/drawing/2014/main" id="{B26C5248-AA28-7C5E-2572-08DA7584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5" name="Picture 192">
          <a:extLst>
            <a:ext uri="{FF2B5EF4-FFF2-40B4-BE49-F238E27FC236}">
              <a16:creationId xmlns:a16="http://schemas.microsoft.com/office/drawing/2014/main" id="{5F9F6825-EE6C-DD4E-C865-464618DF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6" name="Picture 193">
          <a:extLst>
            <a:ext uri="{FF2B5EF4-FFF2-40B4-BE49-F238E27FC236}">
              <a16:creationId xmlns:a16="http://schemas.microsoft.com/office/drawing/2014/main" id="{4F30537C-4569-B69F-DBD5-26C78752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7" name="Picture 194">
          <a:extLst>
            <a:ext uri="{FF2B5EF4-FFF2-40B4-BE49-F238E27FC236}">
              <a16:creationId xmlns:a16="http://schemas.microsoft.com/office/drawing/2014/main" id="{CC4E1F15-7751-05C8-A018-47B38480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8" name="Picture 195">
          <a:extLst>
            <a:ext uri="{FF2B5EF4-FFF2-40B4-BE49-F238E27FC236}">
              <a16:creationId xmlns:a16="http://schemas.microsoft.com/office/drawing/2014/main" id="{07213046-B615-6FF9-8E90-AFEBC22A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9" name="Picture 196">
          <a:extLst>
            <a:ext uri="{FF2B5EF4-FFF2-40B4-BE49-F238E27FC236}">
              <a16:creationId xmlns:a16="http://schemas.microsoft.com/office/drawing/2014/main" id="{F72815D9-167D-BACD-52F3-7D6A205A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0" name="Picture 197">
          <a:extLst>
            <a:ext uri="{FF2B5EF4-FFF2-40B4-BE49-F238E27FC236}">
              <a16:creationId xmlns:a16="http://schemas.microsoft.com/office/drawing/2014/main" id="{8677AB2F-A11A-0645-69D5-C2576095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1" name="Picture 198">
          <a:extLst>
            <a:ext uri="{FF2B5EF4-FFF2-40B4-BE49-F238E27FC236}">
              <a16:creationId xmlns:a16="http://schemas.microsoft.com/office/drawing/2014/main" id="{3EB74986-8A4A-F08B-92AB-10913FAE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2" name="Picture 199">
          <a:extLst>
            <a:ext uri="{FF2B5EF4-FFF2-40B4-BE49-F238E27FC236}">
              <a16:creationId xmlns:a16="http://schemas.microsoft.com/office/drawing/2014/main" id="{7A1F66DA-262B-5F09-D537-0ECA3ECE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3" name="Picture 200">
          <a:extLst>
            <a:ext uri="{FF2B5EF4-FFF2-40B4-BE49-F238E27FC236}">
              <a16:creationId xmlns:a16="http://schemas.microsoft.com/office/drawing/2014/main" id="{EE87286C-CAA1-1615-C687-C71586E8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4" name="Picture 201">
          <a:extLst>
            <a:ext uri="{FF2B5EF4-FFF2-40B4-BE49-F238E27FC236}">
              <a16:creationId xmlns:a16="http://schemas.microsoft.com/office/drawing/2014/main" id="{A90E5D51-2F6B-7099-9A6A-BEB493EA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5" name="Picture 202">
          <a:extLst>
            <a:ext uri="{FF2B5EF4-FFF2-40B4-BE49-F238E27FC236}">
              <a16:creationId xmlns:a16="http://schemas.microsoft.com/office/drawing/2014/main" id="{6816ECBB-DE0F-C736-89FB-373F89E6E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6" name="Picture 203">
          <a:extLst>
            <a:ext uri="{FF2B5EF4-FFF2-40B4-BE49-F238E27FC236}">
              <a16:creationId xmlns:a16="http://schemas.microsoft.com/office/drawing/2014/main" id="{26BF048D-47D9-BA4E-9E72-A8F492EC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7" name="Picture 204">
          <a:extLst>
            <a:ext uri="{FF2B5EF4-FFF2-40B4-BE49-F238E27FC236}">
              <a16:creationId xmlns:a16="http://schemas.microsoft.com/office/drawing/2014/main" id="{99742BCC-B14D-99E4-1E86-42C86AB1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8" name="Picture 205">
          <a:extLst>
            <a:ext uri="{FF2B5EF4-FFF2-40B4-BE49-F238E27FC236}">
              <a16:creationId xmlns:a16="http://schemas.microsoft.com/office/drawing/2014/main" id="{9ECFBD84-D714-01B5-63ED-326633BC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9" name="Picture 206">
          <a:extLst>
            <a:ext uri="{FF2B5EF4-FFF2-40B4-BE49-F238E27FC236}">
              <a16:creationId xmlns:a16="http://schemas.microsoft.com/office/drawing/2014/main" id="{7CDF84A8-6F67-B506-1787-2483047A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0" name="Picture 207">
          <a:extLst>
            <a:ext uri="{FF2B5EF4-FFF2-40B4-BE49-F238E27FC236}">
              <a16:creationId xmlns:a16="http://schemas.microsoft.com/office/drawing/2014/main" id="{344EAA80-93C8-40D6-45EA-52600898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1" name="Picture 208">
          <a:extLst>
            <a:ext uri="{FF2B5EF4-FFF2-40B4-BE49-F238E27FC236}">
              <a16:creationId xmlns:a16="http://schemas.microsoft.com/office/drawing/2014/main" id="{1B6318AD-91F9-5F20-F9E0-70C23D8A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2" name="Picture 209">
          <a:extLst>
            <a:ext uri="{FF2B5EF4-FFF2-40B4-BE49-F238E27FC236}">
              <a16:creationId xmlns:a16="http://schemas.microsoft.com/office/drawing/2014/main" id="{757DBE3C-CEDF-4AAE-F89D-F407CBCA4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3" name="Picture 210">
          <a:extLst>
            <a:ext uri="{FF2B5EF4-FFF2-40B4-BE49-F238E27FC236}">
              <a16:creationId xmlns:a16="http://schemas.microsoft.com/office/drawing/2014/main" id="{4E3A31B2-C7AC-5253-7A9A-337B4767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4" name="Picture 211">
          <a:extLst>
            <a:ext uri="{FF2B5EF4-FFF2-40B4-BE49-F238E27FC236}">
              <a16:creationId xmlns:a16="http://schemas.microsoft.com/office/drawing/2014/main" id="{2E6AF3B3-04DF-15E5-A4E9-308C6F46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5" name="Picture 212">
          <a:extLst>
            <a:ext uri="{FF2B5EF4-FFF2-40B4-BE49-F238E27FC236}">
              <a16:creationId xmlns:a16="http://schemas.microsoft.com/office/drawing/2014/main" id="{16DB6AD6-4346-FC26-DF65-847BF2BD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6" name="Picture 213">
          <a:extLst>
            <a:ext uri="{FF2B5EF4-FFF2-40B4-BE49-F238E27FC236}">
              <a16:creationId xmlns:a16="http://schemas.microsoft.com/office/drawing/2014/main" id="{6E5DEBE1-6FB5-B6F9-A584-3248C548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7" name="Picture 214">
          <a:extLst>
            <a:ext uri="{FF2B5EF4-FFF2-40B4-BE49-F238E27FC236}">
              <a16:creationId xmlns:a16="http://schemas.microsoft.com/office/drawing/2014/main" id="{6F0F2768-A9B0-E0A3-6DB6-6B3543F5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8" name="Picture 215">
          <a:extLst>
            <a:ext uri="{FF2B5EF4-FFF2-40B4-BE49-F238E27FC236}">
              <a16:creationId xmlns:a16="http://schemas.microsoft.com/office/drawing/2014/main" id="{D5821BE8-CCC7-E453-A76F-CF4BDE51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9" name="Picture 216">
          <a:extLst>
            <a:ext uri="{FF2B5EF4-FFF2-40B4-BE49-F238E27FC236}">
              <a16:creationId xmlns:a16="http://schemas.microsoft.com/office/drawing/2014/main" id="{80499328-8086-2833-A3A2-9CD4C7D0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0" name="Picture 217">
          <a:extLst>
            <a:ext uri="{FF2B5EF4-FFF2-40B4-BE49-F238E27FC236}">
              <a16:creationId xmlns:a16="http://schemas.microsoft.com/office/drawing/2014/main" id="{EF4C24DC-9113-1BB3-6302-0FC7349B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1" name="Picture 218">
          <a:extLst>
            <a:ext uri="{FF2B5EF4-FFF2-40B4-BE49-F238E27FC236}">
              <a16:creationId xmlns:a16="http://schemas.microsoft.com/office/drawing/2014/main" id="{D628E57F-7473-42BA-76C4-AE9D2A6F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2" name="Picture 219">
          <a:extLst>
            <a:ext uri="{FF2B5EF4-FFF2-40B4-BE49-F238E27FC236}">
              <a16:creationId xmlns:a16="http://schemas.microsoft.com/office/drawing/2014/main" id="{B34A6EE9-11AA-7A58-F9EE-79B7431A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3" name="Picture 220">
          <a:extLst>
            <a:ext uri="{FF2B5EF4-FFF2-40B4-BE49-F238E27FC236}">
              <a16:creationId xmlns:a16="http://schemas.microsoft.com/office/drawing/2014/main" id="{13F46A18-4BF5-EDF7-3901-17B3FCA1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4" name="Picture 221">
          <a:extLst>
            <a:ext uri="{FF2B5EF4-FFF2-40B4-BE49-F238E27FC236}">
              <a16:creationId xmlns:a16="http://schemas.microsoft.com/office/drawing/2014/main" id="{B1A28B4B-E392-2E23-A324-917BC46B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5" name="Picture 222">
          <a:extLst>
            <a:ext uri="{FF2B5EF4-FFF2-40B4-BE49-F238E27FC236}">
              <a16:creationId xmlns:a16="http://schemas.microsoft.com/office/drawing/2014/main" id="{A8C75705-D3DE-B423-A18E-E17F1FF4D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6" name="Picture 223">
          <a:extLst>
            <a:ext uri="{FF2B5EF4-FFF2-40B4-BE49-F238E27FC236}">
              <a16:creationId xmlns:a16="http://schemas.microsoft.com/office/drawing/2014/main" id="{77B07109-86B1-76D8-F1A0-AD278DB4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7" name="Picture 224">
          <a:extLst>
            <a:ext uri="{FF2B5EF4-FFF2-40B4-BE49-F238E27FC236}">
              <a16:creationId xmlns:a16="http://schemas.microsoft.com/office/drawing/2014/main" id="{22B79536-8022-04DD-AEF4-CB8E31AA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8" name="Picture 225">
          <a:extLst>
            <a:ext uri="{FF2B5EF4-FFF2-40B4-BE49-F238E27FC236}">
              <a16:creationId xmlns:a16="http://schemas.microsoft.com/office/drawing/2014/main" id="{8D559380-3D62-42FE-8D91-A0EB785ED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9" name="Picture 226">
          <a:extLst>
            <a:ext uri="{FF2B5EF4-FFF2-40B4-BE49-F238E27FC236}">
              <a16:creationId xmlns:a16="http://schemas.microsoft.com/office/drawing/2014/main" id="{29CADAE4-B4C5-94DC-EAF8-3C0E8728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0" name="Picture 227">
          <a:extLst>
            <a:ext uri="{FF2B5EF4-FFF2-40B4-BE49-F238E27FC236}">
              <a16:creationId xmlns:a16="http://schemas.microsoft.com/office/drawing/2014/main" id="{9CBBE6D1-F392-4F26-1AFB-A4693B0C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1" name="Picture 228">
          <a:extLst>
            <a:ext uri="{FF2B5EF4-FFF2-40B4-BE49-F238E27FC236}">
              <a16:creationId xmlns:a16="http://schemas.microsoft.com/office/drawing/2014/main" id="{958BA5EB-CA1D-55E8-416E-1F6F97CC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2" name="Picture 229">
          <a:extLst>
            <a:ext uri="{FF2B5EF4-FFF2-40B4-BE49-F238E27FC236}">
              <a16:creationId xmlns:a16="http://schemas.microsoft.com/office/drawing/2014/main" id="{40830966-306D-44C8-F293-D7D85255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3" name="Picture 230">
          <a:extLst>
            <a:ext uri="{FF2B5EF4-FFF2-40B4-BE49-F238E27FC236}">
              <a16:creationId xmlns:a16="http://schemas.microsoft.com/office/drawing/2014/main" id="{999D5DFF-483E-BC72-09BD-C1DE69C6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4" name="Picture 231">
          <a:extLst>
            <a:ext uri="{FF2B5EF4-FFF2-40B4-BE49-F238E27FC236}">
              <a16:creationId xmlns:a16="http://schemas.microsoft.com/office/drawing/2014/main" id="{E77122D6-C911-D0DC-C2E4-F07CC1EFE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5" name="Picture 232">
          <a:extLst>
            <a:ext uri="{FF2B5EF4-FFF2-40B4-BE49-F238E27FC236}">
              <a16:creationId xmlns:a16="http://schemas.microsoft.com/office/drawing/2014/main" id="{8201F96A-645B-4871-5FB5-6F1A51DF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6" name="Picture 233">
          <a:extLst>
            <a:ext uri="{FF2B5EF4-FFF2-40B4-BE49-F238E27FC236}">
              <a16:creationId xmlns:a16="http://schemas.microsoft.com/office/drawing/2014/main" id="{761F7272-E80F-EB5D-C55F-9793B5A2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7" name="Picture 234">
          <a:extLst>
            <a:ext uri="{FF2B5EF4-FFF2-40B4-BE49-F238E27FC236}">
              <a16:creationId xmlns:a16="http://schemas.microsoft.com/office/drawing/2014/main" id="{106E3B91-DB03-D05F-14D7-49CFC1B3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8" name="Picture 235">
          <a:extLst>
            <a:ext uri="{FF2B5EF4-FFF2-40B4-BE49-F238E27FC236}">
              <a16:creationId xmlns:a16="http://schemas.microsoft.com/office/drawing/2014/main" id="{EFEEB289-08C8-C9AA-871D-09100DFF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9" name="Picture 236">
          <a:extLst>
            <a:ext uri="{FF2B5EF4-FFF2-40B4-BE49-F238E27FC236}">
              <a16:creationId xmlns:a16="http://schemas.microsoft.com/office/drawing/2014/main" id="{A9F68633-858E-FB6F-E86D-ABC08CB28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0" name="Picture 237">
          <a:extLst>
            <a:ext uri="{FF2B5EF4-FFF2-40B4-BE49-F238E27FC236}">
              <a16:creationId xmlns:a16="http://schemas.microsoft.com/office/drawing/2014/main" id="{885FFB29-2418-8472-6D97-2EEAAF83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1" name="Picture 238">
          <a:extLst>
            <a:ext uri="{FF2B5EF4-FFF2-40B4-BE49-F238E27FC236}">
              <a16:creationId xmlns:a16="http://schemas.microsoft.com/office/drawing/2014/main" id="{4315C421-526C-5184-C8E7-98ACB568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2" name="Picture 239">
          <a:extLst>
            <a:ext uri="{FF2B5EF4-FFF2-40B4-BE49-F238E27FC236}">
              <a16:creationId xmlns:a16="http://schemas.microsoft.com/office/drawing/2014/main" id="{97DD7357-9706-A8CA-D825-EDBE44F7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3" name="Picture 240">
          <a:extLst>
            <a:ext uri="{FF2B5EF4-FFF2-40B4-BE49-F238E27FC236}">
              <a16:creationId xmlns:a16="http://schemas.microsoft.com/office/drawing/2014/main" id="{24FB9833-8ED8-3422-0D5B-C8EE215E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4" name="Picture 241">
          <a:extLst>
            <a:ext uri="{FF2B5EF4-FFF2-40B4-BE49-F238E27FC236}">
              <a16:creationId xmlns:a16="http://schemas.microsoft.com/office/drawing/2014/main" id="{414552DC-5D5E-63BB-C2DE-7B887FDA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5" name="Picture 242">
          <a:extLst>
            <a:ext uri="{FF2B5EF4-FFF2-40B4-BE49-F238E27FC236}">
              <a16:creationId xmlns:a16="http://schemas.microsoft.com/office/drawing/2014/main" id="{3A74B4A3-2C4C-9752-1353-67EE0109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6" name="Picture 243">
          <a:extLst>
            <a:ext uri="{FF2B5EF4-FFF2-40B4-BE49-F238E27FC236}">
              <a16:creationId xmlns:a16="http://schemas.microsoft.com/office/drawing/2014/main" id="{54F2437A-C048-FFFE-84D8-1194988C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7" name="Picture 244">
          <a:extLst>
            <a:ext uri="{FF2B5EF4-FFF2-40B4-BE49-F238E27FC236}">
              <a16:creationId xmlns:a16="http://schemas.microsoft.com/office/drawing/2014/main" id="{65BE13AB-677B-556A-EBBD-7C4FD1C1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8" name="Picture 245">
          <a:extLst>
            <a:ext uri="{FF2B5EF4-FFF2-40B4-BE49-F238E27FC236}">
              <a16:creationId xmlns:a16="http://schemas.microsoft.com/office/drawing/2014/main" id="{F7DD6D7C-FC91-DB69-DA2E-EB543023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9" name="Picture 246">
          <a:extLst>
            <a:ext uri="{FF2B5EF4-FFF2-40B4-BE49-F238E27FC236}">
              <a16:creationId xmlns:a16="http://schemas.microsoft.com/office/drawing/2014/main" id="{51B06CA6-C943-BA4D-26FF-EECDDA4A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0" name="Picture 247">
          <a:extLst>
            <a:ext uri="{FF2B5EF4-FFF2-40B4-BE49-F238E27FC236}">
              <a16:creationId xmlns:a16="http://schemas.microsoft.com/office/drawing/2014/main" id="{B0351DFD-406B-2A5C-1800-7396BAA7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1" name="Picture 248">
          <a:extLst>
            <a:ext uri="{FF2B5EF4-FFF2-40B4-BE49-F238E27FC236}">
              <a16:creationId xmlns:a16="http://schemas.microsoft.com/office/drawing/2014/main" id="{A076CD23-80B6-7C7C-27EC-8969A98B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2" name="Picture 249">
          <a:extLst>
            <a:ext uri="{FF2B5EF4-FFF2-40B4-BE49-F238E27FC236}">
              <a16:creationId xmlns:a16="http://schemas.microsoft.com/office/drawing/2014/main" id="{C43BF919-1EB8-71B8-4021-BC376CA3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3" name="Picture 250">
          <a:extLst>
            <a:ext uri="{FF2B5EF4-FFF2-40B4-BE49-F238E27FC236}">
              <a16:creationId xmlns:a16="http://schemas.microsoft.com/office/drawing/2014/main" id="{F100EEBB-185A-4285-2BBB-8DF49F50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4" name="Picture 251">
          <a:extLst>
            <a:ext uri="{FF2B5EF4-FFF2-40B4-BE49-F238E27FC236}">
              <a16:creationId xmlns:a16="http://schemas.microsoft.com/office/drawing/2014/main" id="{30CB9A94-696D-8ED8-BCF3-785B7316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5" name="Picture 252">
          <a:extLst>
            <a:ext uri="{FF2B5EF4-FFF2-40B4-BE49-F238E27FC236}">
              <a16:creationId xmlns:a16="http://schemas.microsoft.com/office/drawing/2014/main" id="{A606E7F1-053A-4B2A-5EC0-8662B515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6" name="Picture 253">
          <a:extLst>
            <a:ext uri="{FF2B5EF4-FFF2-40B4-BE49-F238E27FC236}">
              <a16:creationId xmlns:a16="http://schemas.microsoft.com/office/drawing/2014/main" id="{6CF5513E-A235-A824-D083-83D2E910F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7" name="Picture 254">
          <a:extLst>
            <a:ext uri="{FF2B5EF4-FFF2-40B4-BE49-F238E27FC236}">
              <a16:creationId xmlns:a16="http://schemas.microsoft.com/office/drawing/2014/main" id="{04095B0F-6045-A968-A23D-8B2ED33B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8" name="Picture 255">
          <a:extLst>
            <a:ext uri="{FF2B5EF4-FFF2-40B4-BE49-F238E27FC236}">
              <a16:creationId xmlns:a16="http://schemas.microsoft.com/office/drawing/2014/main" id="{61EF8BA2-2F85-2641-FC02-B277E87F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9" name="Picture 256">
          <a:extLst>
            <a:ext uri="{FF2B5EF4-FFF2-40B4-BE49-F238E27FC236}">
              <a16:creationId xmlns:a16="http://schemas.microsoft.com/office/drawing/2014/main" id="{C6552767-1905-0F0E-EB4E-679E15FD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0" name="Picture 257">
          <a:extLst>
            <a:ext uri="{FF2B5EF4-FFF2-40B4-BE49-F238E27FC236}">
              <a16:creationId xmlns:a16="http://schemas.microsoft.com/office/drawing/2014/main" id="{C213821C-2A93-0E16-22EB-4988DF6C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1" name="Picture 258">
          <a:extLst>
            <a:ext uri="{FF2B5EF4-FFF2-40B4-BE49-F238E27FC236}">
              <a16:creationId xmlns:a16="http://schemas.microsoft.com/office/drawing/2014/main" id="{C4FA7FFD-6B13-000E-34C5-11ED1DDD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2" name="Picture 259">
          <a:extLst>
            <a:ext uri="{FF2B5EF4-FFF2-40B4-BE49-F238E27FC236}">
              <a16:creationId xmlns:a16="http://schemas.microsoft.com/office/drawing/2014/main" id="{F71B44C9-66FE-09BF-1E21-94392DBC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3" name="Picture 260">
          <a:extLst>
            <a:ext uri="{FF2B5EF4-FFF2-40B4-BE49-F238E27FC236}">
              <a16:creationId xmlns:a16="http://schemas.microsoft.com/office/drawing/2014/main" id="{569CB27A-E6E5-D933-F1FA-1D683B7C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4" name="Picture 261">
          <a:extLst>
            <a:ext uri="{FF2B5EF4-FFF2-40B4-BE49-F238E27FC236}">
              <a16:creationId xmlns:a16="http://schemas.microsoft.com/office/drawing/2014/main" id="{5008BE90-66D4-9FA4-5945-2EB979C1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5" name="Picture 262">
          <a:extLst>
            <a:ext uri="{FF2B5EF4-FFF2-40B4-BE49-F238E27FC236}">
              <a16:creationId xmlns:a16="http://schemas.microsoft.com/office/drawing/2014/main" id="{E824F2B8-C0EF-BFDD-755E-D40FE3F0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6" name="Picture 263">
          <a:extLst>
            <a:ext uri="{FF2B5EF4-FFF2-40B4-BE49-F238E27FC236}">
              <a16:creationId xmlns:a16="http://schemas.microsoft.com/office/drawing/2014/main" id="{FEEE5A90-B8EA-F207-2523-C6DFEC96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7" name="Picture 264">
          <a:extLst>
            <a:ext uri="{FF2B5EF4-FFF2-40B4-BE49-F238E27FC236}">
              <a16:creationId xmlns:a16="http://schemas.microsoft.com/office/drawing/2014/main" id="{72E80048-C662-693D-EFE5-624C30096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8" name="Picture 265">
          <a:extLst>
            <a:ext uri="{FF2B5EF4-FFF2-40B4-BE49-F238E27FC236}">
              <a16:creationId xmlns:a16="http://schemas.microsoft.com/office/drawing/2014/main" id="{9E10E6F8-21B4-5231-57EB-293A72D32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9" name="Picture 266">
          <a:extLst>
            <a:ext uri="{FF2B5EF4-FFF2-40B4-BE49-F238E27FC236}">
              <a16:creationId xmlns:a16="http://schemas.microsoft.com/office/drawing/2014/main" id="{0FE7FB9E-4623-0C0D-D393-FB560C33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0" name="Picture 267">
          <a:extLst>
            <a:ext uri="{FF2B5EF4-FFF2-40B4-BE49-F238E27FC236}">
              <a16:creationId xmlns:a16="http://schemas.microsoft.com/office/drawing/2014/main" id="{5A3A3EE8-59BF-B36E-088A-8D588093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1" name="Picture 268">
          <a:extLst>
            <a:ext uri="{FF2B5EF4-FFF2-40B4-BE49-F238E27FC236}">
              <a16:creationId xmlns:a16="http://schemas.microsoft.com/office/drawing/2014/main" id="{3BBFE777-2E5E-1C0C-9F1A-7081FD9D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2" name="Picture 269">
          <a:extLst>
            <a:ext uri="{FF2B5EF4-FFF2-40B4-BE49-F238E27FC236}">
              <a16:creationId xmlns:a16="http://schemas.microsoft.com/office/drawing/2014/main" id="{87CDA2A7-B506-95E1-2A66-738B51D1D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3" name="Picture 270">
          <a:extLst>
            <a:ext uri="{FF2B5EF4-FFF2-40B4-BE49-F238E27FC236}">
              <a16:creationId xmlns:a16="http://schemas.microsoft.com/office/drawing/2014/main" id="{84CBB00B-8334-91F8-AA51-D11E1D0E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4" name="Picture 271">
          <a:extLst>
            <a:ext uri="{FF2B5EF4-FFF2-40B4-BE49-F238E27FC236}">
              <a16:creationId xmlns:a16="http://schemas.microsoft.com/office/drawing/2014/main" id="{BF7279C9-9204-BC16-C6C0-1D9E9CBE7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5" name="Picture 272">
          <a:extLst>
            <a:ext uri="{FF2B5EF4-FFF2-40B4-BE49-F238E27FC236}">
              <a16:creationId xmlns:a16="http://schemas.microsoft.com/office/drawing/2014/main" id="{50704402-A5FE-FC77-7D0A-25C69EA3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6" name="Picture 273">
          <a:extLst>
            <a:ext uri="{FF2B5EF4-FFF2-40B4-BE49-F238E27FC236}">
              <a16:creationId xmlns:a16="http://schemas.microsoft.com/office/drawing/2014/main" id="{1F4F1109-6B99-2E83-07C2-E8E47460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7" name="Picture 274">
          <a:extLst>
            <a:ext uri="{FF2B5EF4-FFF2-40B4-BE49-F238E27FC236}">
              <a16:creationId xmlns:a16="http://schemas.microsoft.com/office/drawing/2014/main" id="{CF4585F8-4899-CAD7-7ECD-175A7F56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8" name="Picture 275">
          <a:extLst>
            <a:ext uri="{FF2B5EF4-FFF2-40B4-BE49-F238E27FC236}">
              <a16:creationId xmlns:a16="http://schemas.microsoft.com/office/drawing/2014/main" id="{125826A2-638B-8A26-0B9D-D6E26C6B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9" name="Picture 276">
          <a:extLst>
            <a:ext uri="{FF2B5EF4-FFF2-40B4-BE49-F238E27FC236}">
              <a16:creationId xmlns:a16="http://schemas.microsoft.com/office/drawing/2014/main" id="{EE1C438A-FA12-A2AB-4768-475E9CF8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0" name="Picture 277">
          <a:extLst>
            <a:ext uri="{FF2B5EF4-FFF2-40B4-BE49-F238E27FC236}">
              <a16:creationId xmlns:a16="http://schemas.microsoft.com/office/drawing/2014/main" id="{69F38768-788E-E07D-356F-A408CAFA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1" name="Picture 278">
          <a:extLst>
            <a:ext uri="{FF2B5EF4-FFF2-40B4-BE49-F238E27FC236}">
              <a16:creationId xmlns:a16="http://schemas.microsoft.com/office/drawing/2014/main" id="{097042AE-1694-A5E8-05E8-0D5E75A2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2" name="Picture 279">
          <a:extLst>
            <a:ext uri="{FF2B5EF4-FFF2-40B4-BE49-F238E27FC236}">
              <a16:creationId xmlns:a16="http://schemas.microsoft.com/office/drawing/2014/main" id="{580C5813-87EF-C385-F983-5F023F14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3" name="Picture 280">
          <a:extLst>
            <a:ext uri="{FF2B5EF4-FFF2-40B4-BE49-F238E27FC236}">
              <a16:creationId xmlns:a16="http://schemas.microsoft.com/office/drawing/2014/main" id="{1E33A4F5-5E36-17FC-158F-2CCFEF47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4" name="Picture 281">
          <a:extLst>
            <a:ext uri="{FF2B5EF4-FFF2-40B4-BE49-F238E27FC236}">
              <a16:creationId xmlns:a16="http://schemas.microsoft.com/office/drawing/2014/main" id="{1AB9FD22-319A-902A-67BC-853136BD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5" name="Picture 282">
          <a:extLst>
            <a:ext uri="{FF2B5EF4-FFF2-40B4-BE49-F238E27FC236}">
              <a16:creationId xmlns:a16="http://schemas.microsoft.com/office/drawing/2014/main" id="{174F567F-433D-9C80-577F-8DD433C60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6" name="Picture 283">
          <a:extLst>
            <a:ext uri="{FF2B5EF4-FFF2-40B4-BE49-F238E27FC236}">
              <a16:creationId xmlns:a16="http://schemas.microsoft.com/office/drawing/2014/main" id="{4FF0E263-9BEE-759D-0237-43759AC5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7" name="Picture 284">
          <a:extLst>
            <a:ext uri="{FF2B5EF4-FFF2-40B4-BE49-F238E27FC236}">
              <a16:creationId xmlns:a16="http://schemas.microsoft.com/office/drawing/2014/main" id="{06DFAB7C-55E3-77B4-0F2A-F0B1667D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8" name="Picture 285">
          <a:extLst>
            <a:ext uri="{FF2B5EF4-FFF2-40B4-BE49-F238E27FC236}">
              <a16:creationId xmlns:a16="http://schemas.microsoft.com/office/drawing/2014/main" id="{8EA2CD69-25AE-03AB-1D8D-97D6FC19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9" name="Picture 286">
          <a:extLst>
            <a:ext uri="{FF2B5EF4-FFF2-40B4-BE49-F238E27FC236}">
              <a16:creationId xmlns:a16="http://schemas.microsoft.com/office/drawing/2014/main" id="{AFB39296-A1B9-69FA-C4BB-2DE04B23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0" name="Picture 287">
          <a:extLst>
            <a:ext uri="{FF2B5EF4-FFF2-40B4-BE49-F238E27FC236}">
              <a16:creationId xmlns:a16="http://schemas.microsoft.com/office/drawing/2014/main" id="{32083591-9380-A99B-0B59-8B41EA68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1" name="Picture 288">
          <a:extLst>
            <a:ext uri="{FF2B5EF4-FFF2-40B4-BE49-F238E27FC236}">
              <a16:creationId xmlns:a16="http://schemas.microsoft.com/office/drawing/2014/main" id="{D43CF94D-305E-CABF-0771-29BF4FD7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2" name="Picture 289">
          <a:extLst>
            <a:ext uri="{FF2B5EF4-FFF2-40B4-BE49-F238E27FC236}">
              <a16:creationId xmlns:a16="http://schemas.microsoft.com/office/drawing/2014/main" id="{87AFEA72-4B5A-7FED-BA58-E8EBAD4F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3" name="Picture 290">
          <a:extLst>
            <a:ext uri="{FF2B5EF4-FFF2-40B4-BE49-F238E27FC236}">
              <a16:creationId xmlns:a16="http://schemas.microsoft.com/office/drawing/2014/main" id="{5AD088A4-455C-B6F5-FEF4-E99F2417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4" name="Picture 291">
          <a:extLst>
            <a:ext uri="{FF2B5EF4-FFF2-40B4-BE49-F238E27FC236}">
              <a16:creationId xmlns:a16="http://schemas.microsoft.com/office/drawing/2014/main" id="{DDA9AACB-5277-1062-4568-54BA7304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5" name="Picture 292">
          <a:extLst>
            <a:ext uri="{FF2B5EF4-FFF2-40B4-BE49-F238E27FC236}">
              <a16:creationId xmlns:a16="http://schemas.microsoft.com/office/drawing/2014/main" id="{F0A1361D-E47B-692C-EB86-591F44EA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6" name="Picture 293">
          <a:extLst>
            <a:ext uri="{FF2B5EF4-FFF2-40B4-BE49-F238E27FC236}">
              <a16:creationId xmlns:a16="http://schemas.microsoft.com/office/drawing/2014/main" id="{94875298-CB5D-2D75-5FC9-E4EE7008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7" name="Picture 294">
          <a:extLst>
            <a:ext uri="{FF2B5EF4-FFF2-40B4-BE49-F238E27FC236}">
              <a16:creationId xmlns:a16="http://schemas.microsoft.com/office/drawing/2014/main" id="{FF77FC5B-0606-1D24-1211-3E8AA7EE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8" name="Picture 295">
          <a:extLst>
            <a:ext uri="{FF2B5EF4-FFF2-40B4-BE49-F238E27FC236}">
              <a16:creationId xmlns:a16="http://schemas.microsoft.com/office/drawing/2014/main" id="{9D428467-B069-E008-AE20-DF811D1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9" name="Picture 296">
          <a:extLst>
            <a:ext uri="{FF2B5EF4-FFF2-40B4-BE49-F238E27FC236}">
              <a16:creationId xmlns:a16="http://schemas.microsoft.com/office/drawing/2014/main" id="{9863FCD4-4469-D299-ADB0-10E6912E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0" name="Picture 297">
          <a:extLst>
            <a:ext uri="{FF2B5EF4-FFF2-40B4-BE49-F238E27FC236}">
              <a16:creationId xmlns:a16="http://schemas.microsoft.com/office/drawing/2014/main" id="{9463EE12-85C8-902A-3A5F-EF68D46B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1" name="Picture 298">
          <a:extLst>
            <a:ext uri="{FF2B5EF4-FFF2-40B4-BE49-F238E27FC236}">
              <a16:creationId xmlns:a16="http://schemas.microsoft.com/office/drawing/2014/main" id="{0B1607C9-326E-EC81-DF41-2663C733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2" name="Picture 299">
          <a:extLst>
            <a:ext uri="{FF2B5EF4-FFF2-40B4-BE49-F238E27FC236}">
              <a16:creationId xmlns:a16="http://schemas.microsoft.com/office/drawing/2014/main" id="{03A77BBF-2596-B905-B47C-EA170EB7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3" name="Picture 300">
          <a:extLst>
            <a:ext uri="{FF2B5EF4-FFF2-40B4-BE49-F238E27FC236}">
              <a16:creationId xmlns:a16="http://schemas.microsoft.com/office/drawing/2014/main" id="{A617ED5F-64EE-CAD9-0447-B4C8CB79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4" name="Picture 301">
          <a:extLst>
            <a:ext uri="{FF2B5EF4-FFF2-40B4-BE49-F238E27FC236}">
              <a16:creationId xmlns:a16="http://schemas.microsoft.com/office/drawing/2014/main" id="{044DFDD0-72CD-0C67-CCB1-060BE601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5" name="Picture 302">
          <a:extLst>
            <a:ext uri="{FF2B5EF4-FFF2-40B4-BE49-F238E27FC236}">
              <a16:creationId xmlns:a16="http://schemas.microsoft.com/office/drawing/2014/main" id="{2503B45B-4364-99FD-E76F-6AA9A5C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6" name="Picture 303">
          <a:extLst>
            <a:ext uri="{FF2B5EF4-FFF2-40B4-BE49-F238E27FC236}">
              <a16:creationId xmlns:a16="http://schemas.microsoft.com/office/drawing/2014/main" id="{E4840174-F6E6-B1BF-3B78-B14B8E973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7" name="Picture 304">
          <a:extLst>
            <a:ext uri="{FF2B5EF4-FFF2-40B4-BE49-F238E27FC236}">
              <a16:creationId xmlns:a16="http://schemas.microsoft.com/office/drawing/2014/main" id="{D5525CCC-CFBF-829E-FE46-3E845011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8" name="Picture 305">
          <a:extLst>
            <a:ext uri="{FF2B5EF4-FFF2-40B4-BE49-F238E27FC236}">
              <a16:creationId xmlns:a16="http://schemas.microsoft.com/office/drawing/2014/main" id="{E053CDA9-0FAB-C578-923E-E4AAAD37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9" name="Picture 306">
          <a:extLst>
            <a:ext uri="{FF2B5EF4-FFF2-40B4-BE49-F238E27FC236}">
              <a16:creationId xmlns:a16="http://schemas.microsoft.com/office/drawing/2014/main" id="{45B80F03-8B7D-2AA4-A8F9-17C061E2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0" name="Picture 307">
          <a:extLst>
            <a:ext uri="{FF2B5EF4-FFF2-40B4-BE49-F238E27FC236}">
              <a16:creationId xmlns:a16="http://schemas.microsoft.com/office/drawing/2014/main" id="{AD91B962-E3F6-A90E-FE2B-C98A20B4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1" name="Picture 308">
          <a:extLst>
            <a:ext uri="{FF2B5EF4-FFF2-40B4-BE49-F238E27FC236}">
              <a16:creationId xmlns:a16="http://schemas.microsoft.com/office/drawing/2014/main" id="{0C31DFD2-CCEA-04E9-F814-A84A19E5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2" name="Picture 309">
          <a:extLst>
            <a:ext uri="{FF2B5EF4-FFF2-40B4-BE49-F238E27FC236}">
              <a16:creationId xmlns:a16="http://schemas.microsoft.com/office/drawing/2014/main" id="{B0BA5678-A774-37E1-4B0E-D19B30CFA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3" name="Picture 310">
          <a:extLst>
            <a:ext uri="{FF2B5EF4-FFF2-40B4-BE49-F238E27FC236}">
              <a16:creationId xmlns:a16="http://schemas.microsoft.com/office/drawing/2014/main" id="{0EA72A1F-7CD3-0FDD-9BF4-6C1199A9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4" name="Picture 311">
          <a:extLst>
            <a:ext uri="{FF2B5EF4-FFF2-40B4-BE49-F238E27FC236}">
              <a16:creationId xmlns:a16="http://schemas.microsoft.com/office/drawing/2014/main" id="{714B5B34-A220-06D5-6F8B-4CB85E2C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5" name="Picture 312">
          <a:extLst>
            <a:ext uri="{FF2B5EF4-FFF2-40B4-BE49-F238E27FC236}">
              <a16:creationId xmlns:a16="http://schemas.microsoft.com/office/drawing/2014/main" id="{5F6BC1BE-FDDC-2475-D5CC-CCDC9540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6" name="Picture 313">
          <a:extLst>
            <a:ext uri="{FF2B5EF4-FFF2-40B4-BE49-F238E27FC236}">
              <a16:creationId xmlns:a16="http://schemas.microsoft.com/office/drawing/2014/main" id="{5421D5F8-09D6-DD64-6372-DD8A0784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7" name="Picture 314">
          <a:extLst>
            <a:ext uri="{FF2B5EF4-FFF2-40B4-BE49-F238E27FC236}">
              <a16:creationId xmlns:a16="http://schemas.microsoft.com/office/drawing/2014/main" id="{DF9FC821-1BE5-E599-19F3-DD51C8180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8" name="Picture 315">
          <a:extLst>
            <a:ext uri="{FF2B5EF4-FFF2-40B4-BE49-F238E27FC236}">
              <a16:creationId xmlns:a16="http://schemas.microsoft.com/office/drawing/2014/main" id="{C817C9DA-7D1C-5C91-55AE-1982CA76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9" name="Picture 316">
          <a:extLst>
            <a:ext uri="{FF2B5EF4-FFF2-40B4-BE49-F238E27FC236}">
              <a16:creationId xmlns:a16="http://schemas.microsoft.com/office/drawing/2014/main" id="{EF7F11C4-4E24-254A-F253-68D7BCCF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0" name="Picture 317">
          <a:extLst>
            <a:ext uri="{FF2B5EF4-FFF2-40B4-BE49-F238E27FC236}">
              <a16:creationId xmlns:a16="http://schemas.microsoft.com/office/drawing/2014/main" id="{BAA68D72-3233-AF69-5C9D-645660E5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1" name="Picture 318">
          <a:extLst>
            <a:ext uri="{FF2B5EF4-FFF2-40B4-BE49-F238E27FC236}">
              <a16:creationId xmlns:a16="http://schemas.microsoft.com/office/drawing/2014/main" id="{9E2997A1-9C4B-C43E-725B-BC0B8B40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2" name="Picture 319">
          <a:extLst>
            <a:ext uri="{FF2B5EF4-FFF2-40B4-BE49-F238E27FC236}">
              <a16:creationId xmlns:a16="http://schemas.microsoft.com/office/drawing/2014/main" id="{961FF9FF-8A1F-B876-FAB3-506DC363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3" name="Picture 320">
          <a:extLst>
            <a:ext uri="{FF2B5EF4-FFF2-40B4-BE49-F238E27FC236}">
              <a16:creationId xmlns:a16="http://schemas.microsoft.com/office/drawing/2014/main" id="{FA2356AE-F433-648D-2634-643ADB62F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4" name="Picture 321">
          <a:extLst>
            <a:ext uri="{FF2B5EF4-FFF2-40B4-BE49-F238E27FC236}">
              <a16:creationId xmlns:a16="http://schemas.microsoft.com/office/drawing/2014/main" id="{642DEFFA-FA14-DB57-61B4-E70CDA18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5" name="Picture 322">
          <a:extLst>
            <a:ext uri="{FF2B5EF4-FFF2-40B4-BE49-F238E27FC236}">
              <a16:creationId xmlns:a16="http://schemas.microsoft.com/office/drawing/2014/main" id="{6D9221D6-97A7-7C36-3637-32207251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6" name="Picture 323">
          <a:extLst>
            <a:ext uri="{FF2B5EF4-FFF2-40B4-BE49-F238E27FC236}">
              <a16:creationId xmlns:a16="http://schemas.microsoft.com/office/drawing/2014/main" id="{BAFB5E45-59CE-342F-5AB2-5C642853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7" name="Picture 324">
          <a:extLst>
            <a:ext uri="{FF2B5EF4-FFF2-40B4-BE49-F238E27FC236}">
              <a16:creationId xmlns:a16="http://schemas.microsoft.com/office/drawing/2014/main" id="{27539C17-DB3B-C594-9921-020330F5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8" name="Picture 325">
          <a:extLst>
            <a:ext uri="{FF2B5EF4-FFF2-40B4-BE49-F238E27FC236}">
              <a16:creationId xmlns:a16="http://schemas.microsoft.com/office/drawing/2014/main" id="{BF16D3C8-3962-C220-0039-2C642BA8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9" name="Picture 326">
          <a:extLst>
            <a:ext uri="{FF2B5EF4-FFF2-40B4-BE49-F238E27FC236}">
              <a16:creationId xmlns:a16="http://schemas.microsoft.com/office/drawing/2014/main" id="{95B4811A-95DA-34AD-CC82-6E741E38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0" name="Picture 327">
          <a:extLst>
            <a:ext uri="{FF2B5EF4-FFF2-40B4-BE49-F238E27FC236}">
              <a16:creationId xmlns:a16="http://schemas.microsoft.com/office/drawing/2014/main" id="{D2831983-BCAF-BB47-8D3E-FA16C3EB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1" name="Picture 328">
          <a:extLst>
            <a:ext uri="{FF2B5EF4-FFF2-40B4-BE49-F238E27FC236}">
              <a16:creationId xmlns:a16="http://schemas.microsoft.com/office/drawing/2014/main" id="{CCF36D02-0D03-DB66-96E3-482E5BF2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2" name="Picture 329">
          <a:extLst>
            <a:ext uri="{FF2B5EF4-FFF2-40B4-BE49-F238E27FC236}">
              <a16:creationId xmlns:a16="http://schemas.microsoft.com/office/drawing/2014/main" id="{5663F982-EB9F-DEAC-280F-46D3F616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3" name="Picture 330">
          <a:extLst>
            <a:ext uri="{FF2B5EF4-FFF2-40B4-BE49-F238E27FC236}">
              <a16:creationId xmlns:a16="http://schemas.microsoft.com/office/drawing/2014/main" id="{AD10405A-9D87-2262-E980-B6D854A3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4" name="Picture 331">
          <a:extLst>
            <a:ext uri="{FF2B5EF4-FFF2-40B4-BE49-F238E27FC236}">
              <a16:creationId xmlns:a16="http://schemas.microsoft.com/office/drawing/2014/main" id="{0D4DEBAF-04D2-32E4-2DF6-D9BC09FF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5" name="Picture 332">
          <a:extLst>
            <a:ext uri="{FF2B5EF4-FFF2-40B4-BE49-F238E27FC236}">
              <a16:creationId xmlns:a16="http://schemas.microsoft.com/office/drawing/2014/main" id="{8C06E624-066B-E42D-57EC-7763B900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6" name="Picture 333">
          <a:extLst>
            <a:ext uri="{FF2B5EF4-FFF2-40B4-BE49-F238E27FC236}">
              <a16:creationId xmlns:a16="http://schemas.microsoft.com/office/drawing/2014/main" id="{2AEED898-648C-6EE8-68C1-B5CA9181D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7" name="Picture 334">
          <a:extLst>
            <a:ext uri="{FF2B5EF4-FFF2-40B4-BE49-F238E27FC236}">
              <a16:creationId xmlns:a16="http://schemas.microsoft.com/office/drawing/2014/main" id="{799034ED-BA69-0279-DAC1-4A9464FA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8" name="Picture 335">
          <a:extLst>
            <a:ext uri="{FF2B5EF4-FFF2-40B4-BE49-F238E27FC236}">
              <a16:creationId xmlns:a16="http://schemas.microsoft.com/office/drawing/2014/main" id="{F3CBB99F-971E-D7AB-972B-EF8A64C10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9" name="Picture 336">
          <a:extLst>
            <a:ext uri="{FF2B5EF4-FFF2-40B4-BE49-F238E27FC236}">
              <a16:creationId xmlns:a16="http://schemas.microsoft.com/office/drawing/2014/main" id="{39581802-A0ED-B901-D156-A77C65BB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0" name="Picture 337">
          <a:extLst>
            <a:ext uri="{FF2B5EF4-FFF2-40B4-BE49-F238E27FC236}">
              <a16:creationId xmlns:a16="http://schemas.microsoft.com/office/drawing/2014/main" id="{E5538E02-3B55-7B23-EA3A-681561F29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1" name="Picture 338">
          <a:extLst>
            <a:ext uri="{FF2B5EF4-FFF2-40B4-BE49-F238E27FC236}">
              <a16:creationId xmlns:a16="http://schemas.microsoft.com/office/drawing/2014/main" id="{BA6C212B-4D3C-97F0-F5C5-7BD4E4BB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2" name="Picture 339">
          <a:extLst>
            <a:ext uri="{FF2B5EF4-FFF2-40B4-BE49-F238E27FC236}">
              <a16:creationId xmlns:a16="http://schemas.microsoft.com/office/drawing/2014/main" id="{BF7E7716-93FA-D12D-A12D-64953859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3" name="Picture 340">
          <a:extLst>
            <a:ext uri="{FF2B5EF4-FFF2-40B4-BE49-F238E27FC236}">
              <a16:creationId xmlns:a16="http://schemas.microsoft.com/office/drawing/2014/main" id="{F4082CF0-FC95-3D00-D998-9A035381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4" name="Picture 341">
          <a:extLst>
            <a:ext uri="{FF2B5EF4-FFF2-40B4-BE49-F238E27FC236}">
              <a16:creationId xmlns:a16="http://schemas.microsoft.com/office/drawing/2014/main" id="{2A70529F-CBF4-51FE-1A9D-CF7176DE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5" name="Picture 342">
          <a:extLst>
            <a:ext uri="{FF2B5EF4-FFF2-40B4-BE49-F238E27FC236}">
              <a16:creationId xmlns:a16="http://schemas.microsoft.com/office/drawing/2014/main" id="{04E5716B-3713-A891-A0D6-7E578C56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6" name="Picture 343">
          <a:extLst>
            <a:ext uri="{FF2B5EF4-FFF2-40B4-BE49-F238E27FC236}">
              <a16:creationId xmlns:a16="http://schemas.microsoft.com/office/drawing/2014/main" id="{9762219B-F1F5-2BDE-7D6A-8479E36E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7" name="Picture 344">
          <a:extLst>
            <a:ext uri="{FF2B5EF4-FFF2-40B4-BE49-F238E27FC236}">
              <a16:creationId xmlns:a16="http://schemas.microsoft.com/office/drawing/2014/main" id="{EADFBB8D-18A5-1C3A-C313-B84445E3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8" name="Picture 345">
          <a:extLst>
            <a:ext uri="{FF2B5EF4-FFF2-40B4-BE49-F238E27FC236}">
              <a16:creationId xmlns:a16="http://schemas.microsoft.com/office/drawing/2014/main" id="{57E98827-AEC8-0296-C44D-DE56F836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9" name="Picture 346">
          <a:extLst>
            <a:ext uri="{FF2B5EF4-FFF2-40B4-BE49-F238E27FC236}">
              <a16:creationId xmlns:a16="http://schemas.microsoft.com/office/drawing/2014/main" id="{E3A4F989-15AE-0EA9-950E-4F3B4FD0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0" name="Picture 347">
          <a:extLst>
            <a:ext uri="{FF2B5EF4-FFF2-40B4-BE49-F238E27FC236}">
              <a16:creationId xmlns:a16="http://schemas.microsoft.com/office/drawing/2014/main" id="{6DCCD296-6A57-272E-424B-C11048A2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1" name="Picture 348">
          <a:extLst>
            <a:ext uri="{FF2B5EF4-FFF2-40B4-BE49-F238E27FC236}">
              <a16:creationId xmlns:a16="http://schemas.microsoft.com/office/drawing/2014/main" id="{F12E817C-F613-9591-F425-D0EFFD6CC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2" name="Picture 349">
          <a:extLst>
            <a:ext uri="{FF2B5EF4-FFF2-40B4-BE49-F238E27FC236}">
              <a16:creationId xmlns:a16="http://schemas.microsoft.com/office/drawing/2014/main" id="{5C0D5112-072B-32AF-A521-E1A5403C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3" name="Picture 350">
          <a:extLst>
            <a:ext uri="{FF2B5EF4-FFF2-40B4-BE49-F238E27FC236}">
              <a16:creationId xmlns:a16="http://schemas.microsoft.com/office/drawing/2014/main" id="{4AD60B5C-40F2-1B01-895E-05E9D73BF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4" name="Picture 351">
          <a:extLst>
            <a:ext uri="{FF2B5EF4-FFF2-40B4-BE49-F238E27FC236}">
              <a16:creationId xmlns:a16="http://schemas.microsoft.com/office/drawing/2014/main" id="{3F9AD7D5-E536-9811-11F2-3B960949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5" name="Picture 352">
          <a:extLst>
            <a:ext uri="{FF2B5EF4-FFF2-40B4-BE49-F238E27FC236}">
              <a16:creationId xmlns:a16="http://schemas.microsoft.com/office/drawing/2014/main" id="{123A80D3-BAB2-FCEA-349E-57DD03C68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6" name="Picture 353">
          <a:extLst>
            <a:ext uri="{FF2B5EF4-FFF2-40B4-BE49-F238E27FC236}">
              <a16:creationId xmlns:a16="http://schemas.microsoft.com/office/drawing/2014/main" id="{2A43750E-5E94-F219-2E9A-76B61075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7" name="Picture 354">
          <a:extLst>
            <a:ext uri="{FF2B5EF4-FFF2-40B4-BE49-F238E27FC236}">
              <a16:creationId xmlns:a16="http://schemas.microsoft.com/office/drawing/2014/main" id="{A7A2AC35-B80C-D328-63BF-1A27FAC8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8" name="Picture 355">
          <a:extLst>
            <a:ext uri="{FF2B5EF4-FFF2-40B4-BE49-F238E27FC236}">
              <a16:creationId xmlns:a16="http://schemas.microsoft.com/office/drawing/2014/main" id="{C943A148-4034-2FDE-DF8F-425833AF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9" name="Picture 356">
          <a:extLst>
            <a:ext uri="{FF2B5EF4-FFF2-40B4-BE49-F238E27FC236}">
              <a16:creationId xmlns:a16="http://schemas.microsoft.com/office/drawing/2014/main" id="{4AA41A36-6B58-2A98-B7E3-B4B1A585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0" name="Picture 357">
          <a:extLst>
            <a:ext uri="{FF2B5EF4-FFF2-40B4-BE49-F238E27FC236}">
              <a16:creationId xmlns:a16="http://schemas.microsoft.com/office/drawing/2014/main" id="{A3B7C20B-75FF-9DDE-B000-6610930F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1" name="Picture 358">
          <a:extLst>
            <a:ext uri="{FF2B5EF4-FFF2-40B4-BE49-F238E27FC236}">
              <a16:creationId xmlns:a16="http://schemas.microsoft.com/office/drawing/2014/main" id="{1AB93B13-6AA0-DD8E-83FC-BE4015E5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2" name="Picture 359">
          <a:extLst>
            <a:ext uri="{FF2B5EF4-FFF2-40B4-BE49-F238E27FC236}">
              <a16:creationId xmlns:a16="http://schemas.microsoft.com/office/drawing/2014/main" id="{34AE8228-D75D-A0CE-7542-E6C0EA83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3" name="Picture 360">
          <a:extLst>
            <a:ext uri="{FF2B5EF4-FFF2-40B4-BE49-F238E27FC236}">
              <a16:creationId xmlns:a16="http://schemas.microsoft.com/office/drawing/2014/main" id="{209B24BD-3D42-44E0-AA34-75F3672E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4" name="Picture 361">
          <a:extLst>
            <a:ext uri="{FF2B5EF4-FFF2-40B4-BE49-F238E27FC236}">
              <a16:creationId xmlns:a16="http://schemas.microsoft.com/office/drawing/2014/main" id="{2201DB16-21EC-2515-176F-C44978BA5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5" name="Picture 362">
          <a:extLst>
            <a:ext uri="{FF2B5EF4-FFF2-40B4-BE49-F238E27FC236}">
              <a16:creationId xmlns:a16="http://schemas.microsoft.com/office/drawing/2014/main" id="{B8587D33-B0CE-B8A4-7D18-C46B51C0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6" name="Picture 363">
          <a:extLst>
            <a:ext uri="{FF2B5EF4-FFF2-40B4-BE49-F238E27FC236}">
              <a16:creationId xmlns:a16="http://schemas.microsoft.com/office/drawing/2014/main" id="{3D2C1170-AAD4-F192-E314-897A75B7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7" name="Picture 364">
          <a:extLst>
            <a:ext uri="{FF2B5EF4-FFF2-40B4-BE49-F238E27FC236}">
              <a16:creationId xmlns:a16="http://schemas.microsoft.com/office/drawing/2014/main" id="{0B0703E9-C2BF-B996-D6F9-CDBE53CD4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8" name="Picture 365">
          <a:extLst>
            <a:ext uri="{FF2B5EF4-FFF2-40B4-BE49-F238E27FC236}">
              <a16:creationId xmlns:a16="http://schemas.microsoft.com/office/drawing/2014/main" id="{10B92BA8-6447-D831-97C6-4B636A95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9" name="Picture 366">
          <a:extLst>
            <a:ext uri="{FF2B5EF4-FFF2-40B4-BE49-F238E27FC236}">
              <a16:creationId xmlns:a16="http://schemas.microsoft.com/office/drawing/2014/main" id="{913BA9D4-A1D5-2D06-DDC9-D8E8265B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0" name="Picture 367">
          <a:extLst>
            <a:ext uri="{FF2B5EF4-FFF2-40B4-BE49-F238E27FC236}">
              <a16:creationId xmlns:a16="http://schemas.microsoft.com/office/drawing/2014/main" id="{95948390-C283-7E41-FE34-59E7BD53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1" name="Picture 368">
          <a:extLst>
            <a:ext uri="{FF2B5EF4-FFF2-40B4-BE49-F238E27FC236}">
              <a16:creationId xmlns:a16="http://schemas.microsoft.com/office/drawing/2014/main" id="{AB3AEF70-AABE-2E05-C3C3-CBFB50F0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2" name="Picture 369">
          <a:extLst>
            <a:ext uri="{FF2B5EF4-FFF2-40B4-BE49-F238E27FC236}">
              <a16:creationId xmlns:a16="http://schemas.microsoft.com/office/drawing/2014/main" id="{F13024A9-7503-097E-5DCC-538D1161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3" name="Picture 370">
          <a:extLst>
            <a:ext uri="{FF2B5EF4-FFF2-40B4-BE49-F238E27FC236}">
              <a16:creationId xmlns:a16="http://schemas.microsoft.com/office/drawing/2014/main" id="{6A1E101D-DDE7-A8A8-755C-D22F73ED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4" name="Picture 371">
          <a:extLst>
            <a:ext uri="{FF2B5EF4-FFF2-40B4-BE49-F238E27FC236}">
              <a16:creationId xmlns:a16="http://schemas.microsoft.com/office/drawing/2014/main" id="{995E9FA3-55C3-894D-3FE9-76F6868C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5" name="Picture 372">
          <a:extLst>
            <a:ext uri="{FF2B5EF4-FFF2-40B4-BE49-F238E27FC236}">
              <a16:creationId xmlns:a16="http://schemas.microsoft.com/office/drawing/2014/main" id="{EE65DE5D-FFA5-C52B-7E41-18E9EB9D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6" name="Picture 373">
          <a:extLst>
            <a:ext uri="{FF2B5EF4-FFF2-40B4-BE49-F238E27FC236}">
              <a16:creationId xmlns:a16="http://schemas.microsoft.com/office/drawing/2014/main" id="{C3445F52-33E0-711B-E671-EBEE4082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7" name="Picture 374">
          <a:extLst>
            <a:ext uri="{FF2B5EF4-FFF2-40B4-BE49-F238E27FC236}">
              <a16:creationId xmlns:a16="http://schemas.microsoft.com/office/drawing/2014/main" id="{573A9799-A62F-1E39-5572-62F72BD6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8" name="Picture 375">
          <a:extLst>
            <a:ext uri="{FF2B5EF4-FFF2-40B4-BE49-F238E27FC236}">
              <a16:creationId xmlns:a16="http://schemas.microsoft.com/office/drawing/2014/main" id="{19B388B3-13FA-9557-F357-61A32B6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9" name="Picture 376">
          <a:extLst>
            <a:ext uri="{FF2B5EF4-FFF2-40B4-BE49-F238E27FC236}">
              <a16:creationId xmlns:a16="http://schemas.microsoft.com/office/drawing/2014/main" id="{B643B776-E114-DA84-5A2F-023E2D97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0" name="Picture 377">
          <a:extLst>
            <a:ext uri="{FF2B5EF4-FFF2-40B4-BE49-F238E27FC236}">
              <a16:creationId xmlns:a16="http://schemas.microsoft.com/office/drawing/2014/main" id="{88CC11CF-808F-A29D-375D-7AA24674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1" name="Picture 378">
          <a:extLst>
            <a:ext uri="{FF2B5EF4-FFF2-40B4-BE49-F238E27FC236}">
              <a16:creationId xmlns:a16="http://schemas.microsoft.com/office/drawing/2014/main" id="{87D44DFC-5905-1103-01F3-EEB9DA36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2" name="Picture 379">
          <a:extLst>
            <a:ext uri="{FF2B5EF4-FFF2-40B4-BE49-F238E27FC236}">
              <a16:creationId xmlns:a16="http://schemas.microsoft.com/office/drawing/2014/main" id="{8387D415-1878-45A9-1EE0-9900B48F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3" name="Picture 380">
          <a:extLst>
            <a:ext uri="{FF2B5EF4-FFF2-40B4-BE49-F238E27FC236}">
              <a16:creationId xmlns:a16="http://schemas.microsoft.com/office/drawing/2014/main" id="{C9639EE0-9673-A1BC-DB4F-C1208BBB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4" name="Picture 381">
          <a:extLst>
            <a:ext uri="{FF2B5EF4-FFF2-40B4-BE49-F238E27FC236}">
              <a16:creationId xmlns:a16="http://schemas.microsoft.com/office/drawing/2014/main" id="{8D389FBD-0BE5-C2A3-4A1C-FFD0F500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5" name="Picture 382">
          <a:extLst>
            <a:ext uri="{FF2B5EF4-FFF2-40B4-BE49-F238E27FC236}">
              <a16:creationId xmlns:a16="http://schemas.microsoft.com/office/drawing/2014/main" id="{DC127D5D-6B16-00EB-584E-131D9F73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6" name="Picture 383">
          <a:extLst>
            <a:ext uri="{FF2B5EF4-FFF2-40B4-BE49-F238E27FC236}">
              <a16:creationId xmlns:a16="http://schemas.microsoft.com/office/drawing/2014/main" id="{3D4B0F29-03AC-71E7-6B86-67A6FB33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7" name="Picture 384">
          <a:extLst>
            <a:ext uri="{FF2B5EF4-FFF2-40B4-BE49-F238E27FC236}">
              <a16:creationId xmlns:a16="http://schemas.microsoft.com/office/drawing/2014/main" id="{1403E2C8-3F0F-E673-0C77-E5036C95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8" name="Picture 385">
          <a:extLst>
            <a:ext uri="{FF2B5EF4-FFF2-40B4-BE49-F238E27FC236}">
              <a16:creationId xmlns:a16="http://schemas.microsoft.com/office/drawing/2014/main" id="{DADB5951-E86A-677D-9780-A686591B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9" name="Picture 386">
          <a:extLst>
            <a:ext uri="{FF2B5EF4-FFF2-40B4-BE49-F238E27FC236}">
              <a16:creationId xmlns:a16="http://schemas.microsoft.com/office/drawing/2014/main" id="{AD9F6276-180B-BDA8-3206-8942B0408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0" name="Picture 387">
          <a:extLst>
            <a:ext uri="{FF2B5EF4-FFF2-40B4-BE49-F238E27FC236}">
              <a16:creationId xmlns:a16="http://schemas.microsoft.com/office/drawing/2014/main" id="{16C75218-BA8B-5E5B-4F1D-8DA80273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1" name="Picture 388">
          <a:extLst>
            <a:ext uri="{FF2B5EF4-FFF2-40B4-BE49-F238E27FC236}">
              <a16:creationId xmlns:a16="http://schemas.microsoft.com/office/drawing/2014/main" id="{64F22957-4586-F070-D8BA-8BB97D86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2" name="Picture 389">
          <a:extLst>
            <a:ext uri="{FF2B5EF4-FFF2-40B4-BE49-F238E27FC236}">
              <a16:creationId xmlns:a16="http://schemas.microsoft.com/office/drawing/2014/main" id="{ADED6E29-AAB9-73BC-B63C-ACD93302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3" name="Picture 390">
          <a:extLst>
            <a:ext uri="{FF2B5EF4-FFF2-40B4-BE49-F238E27FC236}">
              <a16:creationId xmlns:a16="http://schemas.microsoft.com/office/drawing/2014/main" id="{F870184B-1D70-3796-D336-33A779E9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4" name="Picture 391">
          <a:extLst>
            <a:ext uri="{FF2B5EF4-FFF2-40B4-BE49-F238E27FC236}">
              <a16:creationId xmlns:a16="http://schemas.microsoft.com/office/drawing/2014/main" id="{B2775759-FF9C-6E07-1556-DACF2ABD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5" name="Picture 392">
          <a:extLst>
            <a:ext uri="{FF2B5EF4-FFF2-40B4-BE49-F238E27FC236}">
              <a16:creationId xmlns:a16="http://schemas.microsoft.com/office/drawing/2014/main" id="{7A19F526-BB89-B252-1A00-AB0888AF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6" name="Picture 393">
          <a:extLst>
            <a:ext uri="{FF2B5EF4-FFF2-40B4-BE49-F238E27FC236}">
              <a16:creationId xmlns:a16="http://schemas.microsoft.com/office/drawing/2014/main" id="{39B52025-1E5C-3923-2D3B-6C6D7474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7" name="Picture 394">
          <a:extLst>
            <a:ext uri="{FF2B5EF4-FFF2-40B4-BE49-F238E27FC236}">
              <a16:creationId xmlns:a16="http://schemas.microsoft.com/office/drawing/2014/main" id="{D6CBC6FB-F493-CE36-C3B2-3B036181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8" name="Picture 395">
          <a:extLst>
            <a:ext uri="{FF2B5EF4-FFF2-40B4-BE49-F238E27FC236}">
              <a16:creationId xmlns:a16="http://schemas.microsoft.com/office/drawing/2014/main" id="{BF164616-3FA4-3A86-ED39-A5E81D8F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9" name="Picture 396">
          <a:extLst>
            <a:ext uri="{FF2B5EF4-FFF2-40B4-BE49-F238E27FC236}">
              <a16:creationId xmlns:a16="http://schemas.microsoft.com/office/drawing/2014/main" id="{62603290-223A-D457-9FFD-BF8D95E0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0" name="Picture 397">
          <a:extLst>
            <a:ext uri="{FF2B5EF4-FFF2-40B4-BE49-F238E27FC236}">
              <a16:creationId xmlns:a16="http://schemas.microsoft.com/office/drawing/2014/main" id="{9EBD57AD-F787-AF16-332E-2EFB2D95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1" name="Picture 398">
          <a:extLst>
            <a:ext uri="{FF2B5EF4-FFF2-40B4-BE49-F238E27FC236}">
              <a16:creationId xmlns:a16="http://schemas.microsoft.com/office/drawing/2014/main" id="{5747899F-5F8F-3119-1557-08A0909A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2" name="Picture 399">
          <a:extLst>
            <a:ext uri="{FF2B5EF4-FFF2-40B4-BE49-F238E27FC236}">
              <a16:creationId xmlns:a16="http://schemas.microsoft.com/office/drawing/2014/main" id="{FF339E1F-67E0-9BBF-DF58-C8A08C9D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3" name="Picture 400">
          <a:extLst>
            <a:ext uri="{FF2B5EF4-FFF2-40B4-BE49-F238E27FC236}">
              <a16:creationId xmlns:a16="http://schemas.microsoft.com/office/drawing/2014/main" id="{1F50766B-25FF-FE64-D42D-034654BE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4" name="Picture 401">
          <a:extLst>
            <a:ext uri="{FF2B5EF4-FFF2-40B4-BE49-F238E27FC236}">
              <a16:creationId xmlns:a16="http://schemas.microsoft.com/office/drawing/2014/main" id="{A6AAC761-1A62-F5EF-7DCE-6050B99E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5" name="Picture 402">
          <a:extLst>
            <a:ext uri="{FF2B5EF4-FFF2-40B4-BE49-F238E27FC236}">
              <a16:creationId xmlns:a16="http://schemas.microsoft.com/office/drawing/2014/main" id="{E3DB620D-0AD1-CB38-9F00-F6A0793F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6" name="Picture 403">
          <a:extLst>
            <a:ext uri="{FF2B5EF4-FFF2-40B4-BE49-F238E27FC236}">
              <a16:creationId xmlns:a16="http://schemas.microsoft.com/office/drawing/2014/main" id="{D8C9B6FD-7587-8C30-03AD-2782BB83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7" name="Picture 404">
          <a:extLst>
            <a:ext uri="{FF2B5EF4-FFF2-40B4-BE49-F238E27FC236}">
              <a16:creationId xmlns:a16="http://schemas.microsoft.com/office/drawing/2014/main" id="{97D4379A-7820-3A42-E351-A0EFFD14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8" name="Picture 405">
          <a:extLst>
            <a:ext uri="{FF2B5EF4-FFF2-40B4-BE49-F238E27FC236}">
              <a16:creationId xmlns:a16="http://schemas.microsoft.com/office/drawing/2014/main" id="{281B9E29-CB5F-6B8A-B233-F80997884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9" name="Picture 406">
          <a:extLst>
            <a:ext uri="{FF2B5EF4-FFF2-40B4-BE49-F238E27FC236}">
              <a16:creationId xmlns:a16="http://schemas.microsoft.com/office/drawing/2014/main" id="{5525E659-2FCD-5460-9EC1-FBBC43A8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0" name="Picture 407">
          <a:extLst>
            <a:ext uri="{FF2B5EF4-FFF2-40B4-BE49-F238E27FC236}">
              <a16:creationId xmlns:a16="http://schemas.microsoft.com/office/drawing/2014/main" id="{DE45D2B7-ED2B-70F2-2954-62D34B19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1" name="Picture 408">
          <a:extLst>
            <a:ext uri="{FF2B5EF4-FFF2-40B4-BE49-F238E27FC236}">
              <a16:creationId xmlns:a16="http://schemas.microsoft.com/office/drawing/2014/main" id="{78B5DF93-FA2F-9FFE-0649-61075344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2" name="Picture 409">
          <a:extLst>
            <a:ext uri="{FF2B5EF4-FFF2-40B4-BE49-F238E27FC236}">
              <a16:creationId xmlns:a16="http://schemas.microsoft.com/office/drawing/2014/main" id="{ACDA3077-2B13-906F-6393-817BA8E8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3" name="Picture 410">
          <a:extLst>
            <a:ext uri="{FF2B5EF4-FFF2-40B4-BE49-F238E27FC236}">
              <a16:creationId xmlns:a16="http://schemas.microsoft.com/office/drawing/2014/main" id="{B61042CA-DF48-F219-D15A-473AB13C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4" name="Picture 411">
          <a:extLst>
            <a:ext uri="{FF2B5EF4-FFF2-40B4-BE49-F238E27FC236}">
              <a16:creationId xmlns:a16="http://schemas.microsoft.com/office/drawing/2014/main" id="{FB93DC7E-3270-005F-23C3-75E02953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5" name="Picture 412">
          <a:extLst>
            <a:ext uri="{FF2B5EF4-FFF2-40B4-BE49-F238E27FC236}">
              <a16:creationId xmlns:a16="http://schemas.microsoft.com/office/drawing/2014/main" id="{D1E43824-3865-2358-336D-DCEAC456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6" name="Picture 413">
          <a:extLst>
            <a:ext uri="{FF2B5EF4-FFF2-40B4-BE49-F238E27FC236}">
              <a16:creationId xmlns:a16="http://schemas.microsoft.com/office/drawing/2014/main" id="{3C2747D0-4547-AD37-8292-B61235A8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7" name="Picture 414">
          <a:extLst>
            <a:ext uri="{FF2B5EF4-FFF2-40B4-BE49-F238E27FC236}">
              <a16:creationId xmlns:a16="http://schemas.microsoft.com/office/drawing/2014/main" id="{3D4520C8-9A05-69D2-9496-9DCA1057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8" name="Picture 415">
          <a:extLst>
            <a:ext uri="{FF2B5EF4-FFF2-40B4-BE49-F238E27FC236}">
              <a16:creationId xmlns:a16="http://schemas.microsoft.com/office/drawing/2014/main" id="{C1B83A21-3F9B-D58A-4FE6-8E0299A3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9" name="Picture 416">
          <a:extLst>
            <a:ext uri="{FF2B5EF4-FFF2-40B4-BE49-F238E27FC236}">
              <a16:creationId xmlns:a16="http://schemas.microsoft.com/office/drawing/2014/main" id="{FB2C85FB-89CB-668D-4BFF-6431AC6B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0" name="Picture 417">
          <a:extLst>
            <a:ext uri="{FF2B5EF4-FFF2-40B4-BE49-F238E27FC236}">
              <a16:creationId xmlns:a16="http://schemas.microsoft.com/office/drawing/2014/main" id="{03978658-9D61-54C1-B0CA-61D73B66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1" name="Picture 418">
          <a:extLst>
            <a:ext uri="{FF2B5EF4-FFF2-40B4-BE49-F238E27FC236}">
              <a16:creationId xmlns:a16="http://schemas.microsoft.com/office/drawing/2014/main" id="{2D219641-2B21-0AB4-E47D-71C6D2A3E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2" name="Picture 419">
          <a:extLst>
            <a:ext uri="{FF2B5EF4-FFF2-40B4-BE49-F238E27FC236}">
              <a16:creationId xmlns:a16="http://schemas.microsoft.com/office/drawing/2014/main" id="{B871FD13-CF65-310D-B28E-0110F8B1F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3" name="Picture 420">
          <a:extLst>
            <a:ext uri="{FF2B5EF4-FFF2-40B4-BE49-F238E27FC236}">
              <a16:creationId xmlns:a16="http://schemas.microsoft.com/office/drawing/2014/main" id="{8D7A6BD7-8C35-EF3E-C544-00ECF7F6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4" name="Picture 421">
          <a:extLst>
            <a:ext uri="{FF2B5EF4-FFF2-40B4-BE49-F238E27FC236}">
              <a16:creationId xmlns:a16="http://schemas.microsoft.com/office/drawing/2014/main" id="{CDC6243D-76A2-6F9A-3B7C-B4D8CF4F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5" name="Picture 422">
          <a:extLst>
            <a:ext uri="{FF2B5EF4-FFF2-40B4-BE49-F238E27FC236}">
              <a16:creationId xmlns:a16="http://schemas.microsoft.com/office/drawing/2014/main" id="{4E42B5C7-9570-AD24-CFC6-38EFA49D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6" name="Picture 423">
          <a:extLst>
            <a:ext uri="{FF2B5EF4-FFF2-40B4-BE49-F238E27FC236}">
              <a16:creationId xmlns:a16="http://schemas.microsoft.com/office/drawing/2014/main" id="{ED88F23F-AA3C-A46F-6497-3EB58973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7" name="Picture 424">
          <a:extLst>
            <a:ext uri="{FF2B5EF4-FFF2-40B4-BE49-F238E27FC236}">
              <a16:creationId xmlns:a16="http://schemas.microsoft.com/office/drawing/2014/main" id="{1CB1E3EE-48E7-B722-3E1A-510EA7F1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8" name="Picture 425">
          <a:extLst>
            <a:ext uri="{FF2B5EF4-FFF2-40B4-BE49-F238E27FC236}">
              <a16:creationId xmlns:a16="http://schemas.microsoft.com/office/drawing/2014/main" id="{7E42DAB4-0223-5E43-F48B-7E10415C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9" name="Picture 426">
          <a:extLst>
            <a:ext uri="{FF2B5EF4-FFF2-40B4-BE49-F238E27FC236}">
              <a16:creationId xmlns:a16="http://schemas.microsoft.com/office/drawing/2014/main" id="{F73CAA31-8FE8-9F46-6D89-50BCA93D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0" name="Picture 427">
          <a:extLst>
            <a:ext uri="{FF2B5EF4-FFF2-40B4-BE49-F238E27FC236}">
              <a16:creationId xmlns:a16="http://schemas.microsoft.com/office/drawing/2014/main" id="{0C4327AB-3FBB-077A-C286-6F2E4015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1" name="Picture 428">
          <a:extLst>
            <a:ext uri="{FF2B5EF4-FFF2-40B4-BE49-F238E27FC236}">
              <a16:creationId xmlns:a16="http://schemas.microsoft.com/office/drawing/2014/main" id="{551506C3-A481-55F5-7ACD-51A8DEF8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2" name="Picture 429">
          <a:extLst>
            <a:ext uri="{FF2B5EF4-FFF2-40B4-BE49-F238E27FC236}">
              <a16:creationId xmlns:a16="http://schemas.microsoft.com/office/drawing/2014/main" id="{BBB27D6E-CF1C-D7D5-85F7-EC4B9194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3" name="Picture 430">
          <a:extLst>
            <a:ext uri="{FF2B5EF4-FFF2-40B4-BE49-F238E27FC236}">
              <a16:creationId xmlns:a16="http://schemas.microsoft.com/office/drawing/2014/main" id="{5E5357A8-B1E9-4E98-3974-5B4E57B7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4" name="Picture 431">
          <a:extLst>
            <a:ext uri="{FF2B5EF4-FFF2-40B4-BE49-F238E27FC236}">
              <a16:creationId xmlns:a16="http://schemas.microsoft.com/office/drawing/2014/main" id="{F0ED3DF2-BE16-5F1C-FD9F-F84F6FD2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5" name="Picture 432">
          <a:extLst>
            <a:ext uri="{FF2B5EF4-FFF2-40B4-BE49-F238E27FC236}">
              <a16:creationId xmlns:a16="http://schemas.microsoft.com/office/drawing/2014/main" id="{F0158A7B-C7C0-CE8A-AE2C-72F627BB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6" name="Picture 433">
          <a:extLst>
            <a:ext uri="{FF2B5EF4-FFF2-40B4-BE49-F238E27FC236}">
              <a16:creationId xmlns:a16="http://schemas.microsoft.com/office/drawing/2014/main" id="{05F6A815-5468-49B8-EDDF-45E0440D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7" name="Picture 434">
          <a:extLst>
            <a:ext uri="{FF2B5EF4-FFF2-40B4-BE49-F238E27FC236}">
              <a16:creationId xmlns:a16="http://schemas.microsoft.com/office/drawing/2014/main" id="{1A2E4C16-110E-CBBD-737C-43D8791A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8" name="Picture 435">
          <a:extLst>
            <a:ext uri="{FF2B5EF4-FFF2-40B4-BE49-F238E27FC236}">
              <a16:creationId xmlns:a16="http://schemas.microsoft.com/office/drawing/2014/main" id="{96B7DCDA-A60C-F93C-E7B9-D79A6B76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9" name="Picture 436">
          <a:extLst>
            <a:ext uri="{FF2B5EF4-FFF2-40B4-BE49-F238E27FC236}">
              <a16:creationId xmlns:a16="http://schemas.microsoft.com/office/drawing/2014/main" id="{3A11C3EE-4477-778B-9949-9162E2AE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0" name="Picture 437">
          <a:extLst>
            <a:ext uri="{FF2B5EF4-FFF2-40B4-BE49-F238E27FC236}">
              <a16:creationId xmlns:a16="http://schemas.microsoft.com/office/drawing/2014/main" id="{82244745-4C86-6B9D-23E6-85C5B19A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1" name="Picture 438">
          <a:extLst>
            <a:ext uri="{FF2B5EF4-FFF2-40B4-BE49-F238E27FC236}">
              <a16:creationId xmlns:a16="http://schemas.microsoft.com/office/drawing/2014/main" id="{98AA10C4-2167-41FB-3F9B-ABA804E8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2" name="Picture 439">
          <a:extLst>
            <a:ext uri="{FF2B5EF4-FFF2-40B4-BE49-F238E27FC236}">
              <a16:creationId xmlns:a16="http://schemas.microsoft.com/office/drawing/2014/main" id="{CAC23D3F-B260-7779-64DA-82E1FACA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3" name="Picture 440">
          <a:extLst>
            <a:ext uri="{FF2B5EF4-FFF2-40B4-BE49-F238E27FC236}">
              <a16:creationId xmlns:a16="http://schemas.microsoft.com/office/drawing/2014/main" id="{0FF371E6-77AC-47C0-F870-8EB5227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4" name="Picture 441">
          <a:extLst>
            <a:ext uri="{FF2B5EF4-FFF2-40B4-BE49-F238E27FC236}">
              <a16:creationId xmlns:a16="http://schemas.microsoft.com/office/drawing/2014/main" id="{C2A6CEEC-DC4A-1600-53CF-9E0FF93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5" name="Picture 442">
          <a:extLst>
            <a:ext uri="{FF2B5EF4-FFF2-40B4-BE49-F238E27FC236}">
              <a16:creationId xmlns:a16="http://schemas.microsoft.com/office/drawing/2014/main" id="{5CAC4287-3858-665F-5F6A-9A554529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6" name="Picture 443">
          <a:extLst>
            <a:ext uri="{FF2B5EF4-FFF2-40B4-BE49-F238E27FC236}">
              <a16:creationId xmlns:a16="http://schemas.microsoft.com/office/drawing/2014/main" id="{A78DFADD-E639-FD8A-CAF6-F4B13C82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7" name="Picture 444">
          <a:extLst>
            <a:ext uri="{FF2B5EF4-FFF2-40B4-BE49-F238E27FC236}">
              <a16:creationId xmlns:a16="http://schemas.microsoft.com/office/drawing/2014/main" id="{B20DFBC5-994F-B549-0D93-30671324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8" name="Picture 445">
          <a:extLst>
            <a:ext uri="{FF2B5EF4-FFF2-40B4-BE49-F238E27FC236}">
              <a16:creationId xmlns:a16="http://schemas.microsoft.com/office/drawing/2014/main" id="{05916CAF-D1C2-15DA-41A8-40F7F75FE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9" name="Picture 446">
          <a:extLst>
            <a:ext uri="{FF2B5EF4-FFF2-40B4-BE49-F238E27FC236}">
              <a16:creationId xmlns:a16="http://schemas.microsoft.com/office/drawing/2014/main" id="{40E8BEF5-0172-94CF-074E-B007A7D9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0" name="Picture 447">
          <a:extLst>
            <a:ext uri="{FF2B5EF4-FFF2-40B4-BE49-F238E27FC236}">
              <a16:creationId xmlns:a16="http://schemas.microsoft.com/office/drawing/2014/main" id="{AC7236B4-566F-6208-01BE-4EB801034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1" name="Picture 448">
          <a:extLst>
            <a:ext uri="{FF2B5EF4-FFF2-40B4-BE49-F238E27FC236}">
              <a16:creationId xmlns:a16="http://schemas.microsoft.com/office/drawing/2014/main" id="{62E1365F-C0BF-F964-9B61-1178FB5B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2" name="Picture 449">
          <a:extLst>
            <a:ext uri="{FF2B5EF4-FFF2-40B4-BE49-F238E27FC236}">
              <a16:creationId xmlns:a16="http://schemas.microsoft.com/office/drawing/2014/main" id="{21805FDD-A32E-01E5-3E7D-D2DE83A9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3" name="Picture 450">
          <a:extLst>
            <a:ext uri="{FF2B5EF4-FFF2-40B4-BE49-F238E27FC236}">
              <a16:creationId xmlns:a16="http://schemas.microsoft.com/office/drawing/2014/main" id="{7850172F-EEC3-1171-0D42-BAC9D281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4" name="Picture 451">
          <a:extLst>
            <a:ext uri="{FF2B5EF4-FFF2-40B4-BE49-F238E27FC236}">
              <a16:creationId xmlns:a16="http://schemas.microsoft.com/office/drawing/2014/main" id="{4B5D7B7E-E879-EDE9-7DBD-5475053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5" name="Picture 452">
          <a:extLst>
            <a:ext uri="{FF2B5EF4-FFF2-40B4-BE49-F238E27FC236}">
              <a16:creationId xmlns:a16="http://schemas.microsoft.com/office/drawing/2014/main" id="{4E9C5560-D62E-322F-33BA-280188523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6" name="Picture 453">
          <a:extLst>
            <a:ext uri="{FF2B5EF4-FFF2-40B4-BE49-F238E27FC236}">
              <a16:creationId xmlns:a16="http://schemas.microsoft.com/office/drawing/2014/main" id="{40776748-CCA4-654B-FCC8-05A8CA76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7" name="Picture 454">
          <a:extLst>
            <a:ext uri="{FF2B5EF4-FFF2-40B4-BE49-F238E27FC236}">
              <a16:creationId xmlns:a16="http://schemas.microsoft.com/office/drawing/2014/main" id="{62B55090-5604-002C-2D0F-963900E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8" name="Picture 455">
          <a:extLst>
            <a:ext uri="{FF2B5EF4-FFF2-40B4-BE49-F238E27FC236}">
              <a16:creationId xmlns:a16="http://schemas.microsoft.com/office/drawing/2014/main" id="{96951B34-6DB5-91CC-6A66-09EC3C4F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9" name="Picture 456">
          <a:extLst>
            <a:ext uri="{FF2B5EF4-FFF2-40B4-BE49-F238E27FC236}">
              <a16:creationId xmlns:a16="http://schemas.microsoft.com/office/drawing/2014/main" id="{C94858A3-F811-1746-5269-C10096AB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0" name="Picture 457">
          <a:extLst>
            <a:ext uri="{FF2B5EF4-FFF2-40B4-BE49-F238E27FC236}">
              <a16:creationId xmlns:a16="http://schemas.microsoft.com/office/drawing/2014/main" id="{52ADA514-B066-0555-6497-684BBF8E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1" name="Picture 458">
          <a:extLst>
            <a:ext uri="{FF2B5EF4-FFF2-40B4-BE49-F238E27FC236}">
              <a16:creationId xmlns:a16="http://schemas.microsoft.com/office/drawing/2014/main" id="{167E4E0B-4221-089A-1C69-94B1F8479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2" name="Picture 459">
          <a:extLst>
            <a:ext uri="{FF2B5EF4-FFF2-40B4-BE49-F238E27FC236}">
              <a16:creationId xmlns:a16="http://schemas.microsoft.com/office/drawing/2014/main" id="{B27EBE61-B66B-B0A3-993C-5401FDD5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3" name="Picture 460">
          <a:extLst>
            <a:ext uri="{FF2B5EF4-FFF2-40B4-BE49-F238E27FC236}">
              <a16:creationId xmlns:a16="http://schemas.microsoft.com/office/drawing/2014/main" id="{03085A03-3FCE-BD5B-75FB-615B9B72A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4" name="Picture 461">
          <a:extLst>
            <a:ext uri="{FF2B5EF4-FFF2-40B4-BE49-F238E27FC236}">
              <a16:creationId xmlns:a16="http://schemas.microsoft.com/office/drawing/2014/main" id="{4A20161C-787A-8882-C72F-D2DBB021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5" name="Picture 462">
          <a:extLst>
            <a:ext uri="{FF2B5EF4-FFF2-40B4-BE49-F238E27FC236}">
              <a16:creationId xmlns:a16="http://schemas.microsoft.com/office/drawing/2014/main" id="{F4AA1E3B-D688-8C8B-D026-A25060E0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6" name="Picture 463">
          <a:extLst>
            <a:ext uri="{FF2B5EF4-FFF2-40B4-BE49-F238E27FC236}">
              <a16:creationId xmlns:a16="http://schemas.microsoft.com/office/drawing/2014/main" id="{38C79081-BB32-48D9-81BB-0A9CB953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7" name="Picture 464">
          <a:extLst>
            <a:ext uri="{FF2B5EF4-FFF2-40B4-BE49-F238E27FC236}">
              <a16:creationId xmlns:a16="http://schemas.microsoft.com/office/drawing/2014/main" id="{023FE86A-6D7D-22CF-B256-79C706CB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8" name="Picture 465">
          <a:extLst>
            <a:ext uri="{FF2B5EF4-FFF2-40B4-BE49-F238E27FC236}">
              <a16:creationId xmlns:a16="http://schemas.microsoft.com/office/drawing/2014/main" id="{B72BA5FE-407D-E4EC-7F03-479097779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9" name="Picture 466">
          <a:extLst>
            <a:ext uri="{FF2B5EF4-FFF2-40B4-BE49-F238E27FC236}">
              <a16:creationId xmlns:a16="http://schemas.microsoft.com/office/drawing/2014/main" id="{F989198A-7952-22FA-5B13-91797443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0" name="Picture 467">
          <a:extLst>
            <a:ext uri="{FF2B5EF4-FFF2-40B4-BE49-F238E27FC236}">
              <a16:creationId xmlns:a16="http://schemas.microsoft.com/office/drawing/2014/main" id="{DCAE0271-B5B3-E6B8-AC88-B7AAE26E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1" name="Picture 468">
          <a:extLst>
            <a:ext uri="{FF2B5EF4-FFF2-40B4-BE49-F238E27FC236}">
              <a16:creationId xmlns:a16="http://schemas.microsoft.com/office/drawing/2014/main" id="{8936099D-4AD9-D906-3589-681042CC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2" name="Picture 469">
          <a:extLst>
            <a:ext uri="{FF2B5EF4-FFF2-40B4-BE49-F238E27FC236}">
              <a16:creationId xmlns:a16="http://schemas.microsoft.com/office/drawing/2014/main" id="{784425E8-672D-2E0B-7023-48A9926F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3" name="Picture 470">
          <a:extLst>
            <a:ext uri="{FF2B5EF4-FFF2-40B4-BE49-F238E27FC236}">
              <a16:creationId xmlns:a16="http://schemas.microsoft.com/office/drawing/2014/main" id="{8E8F58FB-80A1-C1E7-440F-1BB06108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4" name="Picture 471">
          <a:extLst>
            <a:ext uri="{FF2B5EF4-FFF2-40B4-BE49-F238E27FC236}">
              <a16:creationId xmlns:a16="http://schemas.microsoft.com/office/drawing/2014/main" id="{17C2C056-7ED0-B8CC-2158-90DB8D9B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5" name="Picture 472">
          <a:extLst>
            <a:ext uri="{FF2B5EF4-FFF2-40B4-BE49-F238E27FC236}">
              <a16:creationId xmlns:a16="http://schemas.microsoft.com/office/drawing/2014/main" id="{AD768F5F-7AB9-3EAD-D48E-5EEFB09F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6" name="Picture 473">
          <a:extLst>
            <a:ext uri="{FF2B5EF4-FFF2-40B4-BE49-F238E27FC236}">
              <a16:creationId xmlns:a16="http://schemas.microsoft.com/office/drawing/2014/main" id="{9BCA4019-1151-CC99-D4C5-950C29AE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7" name="Picture 474">
          <a:extLst>
            <a:ext uri="{FF2B5EF4-FFF2-40B4-BE49-F238E27FC236}">
              <a16:creationId xmlns:a16="http://schemas.microsoft.com/office/drawing/2014/main" id="{7CE721B1-5C41-B7D1-D011-8EB5BCD1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8" name="Picture 475">
          <a:extLst>
            <a:ext uri="{FF2B5EF4-FFF2-40B4-BE49-F238E27FC236}">
              <a16:creationId xmlns:a16="http://schemas.microsoft.com/office/drawing/2014/main" id="{35DAF966-A72A-14CA-D1CF-4293B585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9" name="Picture 476">
          <a:extLst>
            <a:ext uri="{FF2B5EF4-FFF2-40B4-BE49-F238E27FC236}">
              <a16:creationId xmlns:a16="http://schemas.microsoft.com/office/drawing/2014/main" id="{26C81A59-54D0-E11A-3FA9-B511CD079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0" name="Picture 477">
          <a:extLst>
            <a:ext uri="{FF2B5EF4-FFF2-40B4-BE49-F238E27FC236}">
              <a16:creationId xmlns:a16="http://schemas.microsoft.com/office/drawing/2014/main" id="{2969CEB6-1BFE-483F-FB5C-B03C5DCC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1" name="Picture 478">
          <a:extLst>
            <a:ext uri="{FF2B5EF4-FFF2-40B4-BE49-F238E27FC236}">
              <a16:creationId xmlns:a16="http://schemas.microsoft.com/office/drawing/2014/main" id="{75C4C892-B2F0-BE2C-27FB-E39FA929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2" name="Picture 479">
          <a:extLst>
            <a:ext uri="{FF2B5EF4-FFF2-40B4-BE49-F238E27FC236}">
              <a16:creationId xmlns:a16="http://schemas.microsoft.com/office/drawing/2014/main" id="{0B614C4F-289B-822B-9318-C5E42DC7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3" name="Picture 480">
          <a:extLst>
            <a:ext uri="{FF2B5EF4-FFF2-40B4-BE49-F238E27FC236}">
              <a16:creationId xmlns:a16="http://schemas.microsoft.com/office/drawing/2014/main" id="{4F251173-A27B-95CA-1A06-663D7B55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4" name="Picture 481">
          <a:extLst>
            <a:ext uri="{FF2B5EF4-FFF2-40B4-BE49-F238E27FC236}">
              <a16:creationId xmlns:a16="http://schemas.microsoft.com/office/drawing/2014/main" id="{B35AAF2F-4830-AC1E-7040-EE7F61175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5" name="Picture 482">
          <a:extLst>
            <a:ext uri="{FF2B5EF4-FFF2-40B4-BE49-F238E27FC236}">
              <a16:creationId xmlns:a16="http://schemas.microsoft.com/office/drawing/2014/main" id="{EE2C0560-ABE3-2DBD-632A-E9B38305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6" name="Picture 483">
          <a:extLst>
            <a:ext uri="{FF2B5EF4-FFF2-40B4-BE49-F238E27FC236}">
              <a16:creationId xmlns:a16="http://schemas.microsoft.com/office/drawing/2014/main" id="{1779D833-C3CD-47B1-4097-907F90B2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7" name="Picture 484">
          <a:extLst>
            <a:ext uri="{FF2B5EF4-FFF2-40B4-BE49-F238E27FC236}">
              <a16:creationId xmlns:a16="http://schemas.microsoft.com/office/drawing/2014/main" id="{01301016-9906-72F9-B3C6-A150C569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8" name="Picture 485">
          <a:extLst>
            <a:ext uri="{FF2B5EF4-FFF2-40B4-BE49-F238E27FC236}">
              <a16:creationId xmlns:a16="http://schemas.microsoft.com/office/drawing/2014/main" id="{0E92DC77-DFC4-BF66-0290-61284D75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9" name="Picture 486">
          <a:extLst>
            <a:ext uri="{FF2B5EF4-FFF2-40B4-BE49-F238E27FC236}">
              <a16:creationId xmlns:a16="http://schemas.microsoft.com/office/drawing/2014/main" id="{7FB1096C-1C13-F8B6-8F31-7B029ECB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0" name="Picture 487">
          <a:extLst>
            <a:ext uri="{FF2B5EF4-FFF2-40B4-BE49-F238E27FC236}">
              <a16:creationId xmlns:a16="http://schemas.microsoft.com/office/drawing/2014/main" id="{1294EAF5-6BD9-F612-46D6-23E41648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1" name="Picture 488">
          <a:extLst>
            <a:ext uri="{FF2B5EF4-FFF2-40B4-BE49-F238E27FC236}">
              <a16:creationId xmlns:a16="http://schemas.microsoft.com/office/drawing/2014/main" id="{12059C60-FD10-9977-6B08-1F5D8F26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2" name="Picture 489">
          <a:extLst>
            <a:ext uri="{FF2B5EF4-FFF2-40B4-BE49-F238E27FC236}">
              <a16:creationId xmlns:a16="http://schemas.microsoft.com/office/drawing/2014/main" id="{2E7CE347-6678-2B7C-7C45-28E3B953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3" name="Picture 490">
          <a:extLst>
            <a:ext uri="{FF2B5EF4-FFF2-40B4-BE49-F238E27FC236}">
              <a16:creationId xmlns:a16="http://schemas.microsoft.com/office/drawing/2014/main" id="{61F54614-B111-C4E7-CB4A-79D40103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4" name="Picture 491">
          <a:extLst>
            <a:ext uri="{FF2B5EF4-FFF2-40B4-BE49-F238E27FC236}">
              <a16:creationId xmlns:a16="http://schemas.microsoft.com/office/drawing/2014/main" id="{3E7673CE-06BB-B951-074F-9848EFB7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5" name="Picture 492">
          <a:extLst>
            <a:ext uri="{FF2B5EF4-FFF2-40B4-BE49-F238E27FC236}">
              <a16:creationId xmlns:a16="http://schemas.microsoft.com/office/drawing/2014/main" id="{90FE12D2-D307-D4AC-AEE4-2F282CA2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6" name="Picture 493">
          <a:extLst>
            <a:ext uri="{FF2B5EF4-FFF2-40B4-BE49-F238E27FC236}">
              <a16:creationId xmlns:a16="http://schemas.microsoft.com/office/drawing/2014/main" id="{BB9C15F0-3EC5-09D3-0663-5AF8F9CF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7" name="Picture 494">
          <a:extLst>
            <a:ext uri="{FF2B5EF4-FFF2-40B4-BE49-F238E27FC236}">
              <a16:creationId xmlns:a16="http://schemas.microsoft.com/office/drawing/2014/main" id="{0FADC34A-71F9-B2A5-E4B6-1F025DA7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8" name="Picture 495">
          <a:extLst>
            <a:ext uri="{FF2B5EF4-FFF2-40B4-BE49-F238E27FC236}">
              <a16:creationId xmlns:a16="http://schemas.microsoft.com/office/drawing/2014/main" id="{91289BAC-8E50-1E34-9A49-FD006D25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9" name="Picture 496">
          <a:extLst>
            <a:ext uri="{FF2B5EF4-FFF2-40B4-BE49-F238E27FC236}">
              <a16:creationId xmlns:a16="http://schemas.microsoft.com/office/drawing/2014/main" id="{53BB159E-148D-DFAF-7211-7FA4C01A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0" name="Picture 497">
          <a:extLst>
            <a:ext uri="{FF2B5EF4-FFF2-40B4-BE49-F238E27FC236}">
              <a16:creationId xmlns:a16="http://schemas.microsoft.com/office/drawing/2014/main" id="{8F59617F-D2EF-4F76-59C8-A9101580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1" name="Picture 498">
          <a:extLst>
            <a:ext uri="{FF2B5EF4-FFF2-40B4-BE49-F238E27FC236}">
              <a16:creationId xmlns:a16="http://schemas.microsoft.com/office/drawing/2014/main" id="{7AA4436C-7CA4-C448-4965-2C6800F0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2" name="Picture 499">
          <a:extLst>
            <a:ext uri="{FF2B5EF4-FFF2-40B4-BE49-F238E27FC236}">
              <a16:creationId xmlns:a16="http://schemas.microsoft.com/office/drawing/2014/main" id="{960DA3FB-4A10-A875-4B7F-DCAB7FBCA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3" name="Picture 500">
          <a:extLst>
            <a:ext uri="{FF2B5EF4-FFF2-40B4-BE49-F238E27FC236}">
              <a16:creationId xmlns:a16="http://schemas.microsoft.com/office/drawing/2014/main" id="{4A909AA3-EE04-E587-9710-353625CF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4" name="Picture 501">
          <a:extLst>
            <a:ext uri="{FF2B5EF4-FFF2-40B4-BE49-F238E27FC236}">
              <a16:creationId xmlns:a16="http://schemas.microsoft.com/office/drawing/2014/main" id="{D4B4BFED-E01C-286F-5A5F-7D557C0A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5" name="Picture 502">
          <a:extLst>
            <a:ext uri="{FF2B5EF4-FFF2-40B4-BE49-F238E27FC236}">
              <a16:creationId xmlns:a16="http://schemas.microsoft.com/office/drawing/2014/main" id="{AE11579B-948D-D4A5-B3CA-9AD06F28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6" name="Picture 503">
          <a:extLst>
            <a:ext uri="{FF2B5EF4-FFF2-40B4-BE49-F238E27FC236}">
              <a16:creationId xmlns:a16="http://schemas.microsoft.com/office/drawing/2014/main" id="{E5E8BCBA-CE9A-EA1E-62C3-8779C8E3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7" name="Picture 504">
          <a:extLst>
            <a:ext uri="{FF2B5EF4-FFF2-40B4-BE49-F238E27FC236}">
              <a16:creationId xmlns:a16="http://schemas.microsoft.com/office/drawing/2014/main" id="{F11820D3-14AD-5F13-8D5A-70FC7163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8" name="Picture 505">
          <a:extLst>
            <a:ext uri="{FF2B5EF4-FFF2-40B4-BE49-F238E27FC236}">
              <a16:creationId xmlns:a16="http://schemas.microsoft.com/office/drawing/2014/main" id="{BF822EC8-2838-ED51-CDBC-829C8976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9" name="Picture 506">
          <a:extLst>
            <a:ext uri="{FF2B5EF4-FFF2-40B4-BE49-F238E27FC236}">
              <a16:creationId xmlns:a16="http://schemas.microsoft.com/office/drawing/2014/main" id="{46E18158-96B9-8600-4292-519639C9A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0" name="Picture 507">
          <a:extLst>
            <a:ext uri="{FF2B5EF4-FFF2-40B4-BE49-F238E27FC236}">
              <a16:creationId xmlns:a16="http://schemas.microsoft.com/office/drawing/2014/main" id="{50E6A765-E9B9-F8FF-C353-81F1E962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1" name="Picture 508">
          <a:extLst>
            <a:ext uri="{FF2B5EF4-FFF2-40B4-BE49-F238E27FC236}">
              <a16:creationId xmlns:a16="http://schemas.microsoft.com/office/drawing/2014/main" id="{A4A2F511-79E2-1FE1-F13C-B5EE1D18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2" name="Picture 509">
          <a:extLst>
            <a:ext uri="{FF2B5EF4-FFF2-40B4-BE49-F238E27FC236}">
              <a16:creationId xmlns:a16="http://schemas.microsoft.com/office/drawing/2014/main" id="{A93EA220-40BD-D36D-51F6-9D2569BC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3" name="Picture 510">
          <a:extLst>
            <a:ext uri="{FF2B5EF4-FFF2-40B4-BE49-F238E27FC236}">
              <a16:creationId xmlns:a16="http://schemas.microsoft.com/office/drawing/2014/main" id="{6A1441B6-E2C2-2D94-9264-83C50F5D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4" name="Picture 511">
          <a:extLst>
            <a:ext uri="{FF2B5EF4-FFF2-40B4-BE49-F238E27FC236}">
              <a16:creationId xmlns:a16="http://schemas.microsoft.com/office/drawing/2014/main" id="{4210D8C2-3D80-537A-AA86-C5681789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5" name="Picture 512">
          <a:extLst>
            <a:ext uri="{FF2B5EF4-FFF2-40B4-BE49-F238E27FC236}">
              <a16:creationId xmlns:a16="http://schemas.microsoft.com/office/drawing/2014/main" id="{15AF4240-A083-9D67-B8A6-8A1FA3F2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6" name="Picture 513">
          <a:extLst>
            <a:ext uri="{FF2B5EF4-FFF2-40B4-BE49-F238E27FC236}">
              <a16:creationId xmlns:a16="http://schemas.microsoft.com/office/drawing/2014/main" id="{028FE195-4B3B-656E-75FF-A650117A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7" name="Picture 514">
          <a:extLst>
            <a:ext uri="{FF2B5EF4-FFF2-40B4-BE49-F238E27FC236}">
              <a16:creationId xmlns:a16="http://schemas.microsoft.com/office/drawing/2014/main" id="{A69F65DA-A2C2-377C-3F88-66FE8AC8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8" name="Picture 515">
          <a:extLst>
            <a:ext uri="{FF2B5EF4-FFF2-40B4-BE49-F238E27FC236}">
              <a16:creationId xmlns:a16="http://schemas.microsoft.com/office/drawing/2014/main" id="{E75641ED-B9CC-6912-BE45-0A5104F68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9" name="Picture 516">
          <a:extLst>
            <a:ext uri="{FF2B5EF4-FFF2-40B4-BE49-F238E27FC236}">
              <a16:creationId xmlns:a16="http://schemas.microsoft.com/office/drawing/2014/main" id="{FD89BE1F-10F5-83F7-A753-2EAE3B2AE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0" name="Picture 517">
          <a:extLst>
            <a:ext uri="{FF2B5EF4-FFF2-40B4-BE49-F238E27FC236}">
              <a16:creationId xmlns:a16="http://schemas.microsoft.com/office/drawing/2014/main" id="{5C5DB0AE-8B31-D93B-5C9F-48117922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1" name="Picture 518">
          <a:extLst>
            <a:ext uri="{FF2B5EF4-FFF2-40B4-BE49-F238E27FC236}">
              <a16:creationId xmlns:a16="http://schemas.microsoft.com/office/drawing/2014/main" id="{FA72545C-73C9-EF01-3DFC-DA113E50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2" name="Picture 519">
          <a:extLst>
            <a:ext uri="{FF2B5EF4-FFF2-40B4-BE49-F238E27FC236}">
              <a16:creationId xmlns:a16="http://schemas.microsoft.com/office/drawing/2014/main" id="{CF0DDF29-9A46-B675-77DC-E8B7923C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3" name="Picture 520">
          <a:extLst>
            <a:ext uri="{FF2B5EF4-FFF2-40B4-BE49-F238E27FC236}">
              <a16:creationId xmlns:a16="http://schemas.microsoft.com/office/drawing/2014/main" id="{DACA623A-1BFF-AD6E-F6A1-3AF7428A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4" name="Picture 521">
          <a:extLst>
            <a:ext uri="{FF2B5EF4-FFF2-40B4-BE49-F238E27FC236}">
              <a16:creationId xmlns:a16="http://schemas.microsoft.com/office/drawing/2014/main" id="{3BB3C803-03D9-CBD3-A528-6B30DDAA1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5" name="Picture 522">
          <a:extLst>
            <a:ext uri="{FF2B5EF4-FFF2-40B4-BE49-F238E27FC236}">
              <a16:creationId xmlns:a16="http://schemas.microsoft.com/office/drawing/2014/main" id="{93242E29-A089-AFDD-55BC-44D6A2D6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6" name="Picture 523">
          <a:extLst>
            <a:ext uri="{FF2B5EF4-FFF2-40B4-BE49-F238E27FC236}">
              <a16:creationId xmlns:a16="http://schemas.microsoft.com/office/drawing/2014/main" id="{D71AFD01-9156-FCE6-A8BC-CA0B6C7C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7" name="Picture 524">
          <a:extLst>
            <a:ext uri="{FF2B5EF4-FFF2-40B4-BE49-F238E27FC236}">
              <a16:creationId xmlns:a16="http://schemas.microsoft.com/office/drawing/2014/main" id="{B5984C37-207D-E4CF-C278-E467C0D7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8" name="Picture 525">
          <a:extLst>
            <a:ext uri="{FF2B5EF4-FFF2-40B4-BE49-F238E27FC236}">
              <a16:creationId xmlns:a16="http://schemas.microsoft.com/office/drawing/2014/main" id="{23FD5860-BE9B-4AAA-B4C9-B79DB583B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9" name="Picture 526">
          <a:extLst>
            <a:ext uri="{FF2B5EF4-FFF2-40B4-BE49-F238E27FC236}">
              <a16:creationId xmlns:a16="http://schemas.microsoft.com/office/drawing/2014/main" id="{472D8B92-7FF2-62FB-23D6-29595B67B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0" name="Picture 527">
          <a:extLst>
            <a:ext uri="{FF2B5EF4-FFF2-40B4-BE49-F238E27FC236}">
              <a16:creationId xmlns:a16="http://schemas.microsoft.com/office/drawing/2014/main" id="{4A55F885-0E1D-04A0-8712-0F08B5D1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1" name="Picture 528">
          <a:extLst>
            <a:ext uri="{FF2B5EF4-FFF2-40B4-BE49-F238E27FC236}">
              <a16:creationId xmlns:a16="http://schemas.microsoft.com/office/drawing/2014/main" id="{939213B7-67D5-6B21-BB29-758C3279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2" name="Picture 529">
          <a:extLst>
            <a:ext uri="{FF2B5EF4-FFF2-40B4-BE49-F238E27FC236}">
              <a16:creationId xmlns:a16="http://schemas.microsoft.com/office/drawing/2014/main" id="{858E44E3-6AAB-C362-067F-36BDB150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3" name="Picture 530">
          <a:extLst>
            <a:ext uri="{FF2B5EF4-FFF2-40B4-BE49-F238E27FC236}">
              <a16:creationId xmlns:a16="http://schemas.microsoft.com/office/drawing/2014/main" id="{421445A0-7D15-7A36-19E7-026C7EA8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4" name="Picture 531">
          <a:extLst>
            <a:ext uri="{FF2B5EF4-FFF2-40B4-BE49-F238E27FC236}">
              <a16:creationId xmlns:a16="http://schemas.microsoft.com/office/drawing/2014/main" id="{962CD9FA-4781-E88F-A243-033669D4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5" name="Picture 532">
          <a:extLst>
            <a:ext uri="{FF2B5EF4-FFF2-40B4-BE49-F238E27FC236}">
              <a16:creationId xmlns:a16="http://schemas.microsoft.com/office/drawing/2014/main" id="{40C17B33-47AC-F43C-4D84-05AE6792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6" name="Picture 533">
          <a:extLst>
            <a:ext uri="{FF2B5EF4-FFF2-40B4-BE49-F238E27FC236}">
              <a16:creationId xmlns:a16="http://schemas.microsoft.com/office/drawing/2014/main" id="{D28281D8-A2F9-2E66-CF52-16999C37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7" name="Picture 534">
          <a:extLst>
            <a:ext uri="{FF2B5EF4-FFF2-40B4-BE49-F238E27FC236}">
              <a16:creationId xmlns:a16="http://schemas.microsoft.com/office/drawing/2014/main" id="{971322F8-04C2-48CC-3F15-DDD028E8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8" name="Picture 535">
          <a:extLst>
            <a:ext uri="{FF2B5EF4-FFF2-40B4-BE49-F238E27FC236}">
              <a16:creationId xmlns:a16="http://schemas.microsoft.com/office/drawing/2014/main" id="{FF600F0F-561E-4827-703B-EC8791BC9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9" name="Picture 536">
          <a:extLst>
            <a:ext uri="{FF2B5EF4-FFF2-40B4-BE49-F238E27FC236}">
              <a16:creationId xmlns:a16="http://schemas.microsoft.com/office/drawing/2014/main" id="{18570506-F9FD-68F7-EAA4-31C220C0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0" name="Picture 537">
          <a:extLst>
            <a:ext uri="{FF2B5EF4-FFF2-40B4-BE49-F238E27FC236}">
              <a16:creationId xmlns:a16="http://schemas.microsoft.com/office/drawing/2014/main" id="{A950ACA3-2BD8-95DB-465D-57EF832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1" name="Picture 538">
          <a:extLst>
            <a:ext uri="{FF2B5EF4-FFF2-40B4-BE49-F238E27FC236}">
              <a16:creationId xmlns:a16="http://schemas.microsoft.com/office/drawing/2014/main" id="{6CA46A94-85C4-88B2-FA00-84A31461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2" name="Picture 539">
          <a:extLst>
            <a:ext uri="{FF2B5EF4-FFF2-40B4-BE49-F238E27FC236}">
              <a16:creationId xmlns:a16="http://schemas.microsoft.com/office/drawing/2014/main" id="{F8332F5A-EDEA-5723-85DB-9023F395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3" name="Picture 540">
          <a:extLst>
            <a:ext uri="{FF2B5EF4-FFF2-40B4-BE49-F238E27FC236}">
              <a16:creationId xmlns:a16="http://schemas.microsoft.com/office/drawing/2014/main" id="{34572D6B-5899-A5D3-CBE0-024286D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4" name="Picture 541">
          <a:extLst>
            <a:ext uri="{FF2B5EF4-FFF2-40B4-BE49-F238E27FC236}">
              <a16:creationId xmlns:a16="http://schemas.microsoft.com/office/drawing/2014/main" id="{80B3DD74-BF63-EC33-8D07-71231ED0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5" name="Picture 542">
          <a:extLst>
            <a:ext uri="{FF2B5EF4-FFF2-40B4-BE49-F238E27FC236}">
              <a16:creationId xmlns:a16="http://schemas.microsoft.com/office/drawing/2014/main" id="{56FE3C1C-A936-D3D0-A43F-14371976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6" name="Picture 543">
          <a:extLst>
            <a:ext uri="{FF2B5EF4-FFF2-40B4-BE49-F238E27FC236}">
              <a16:creationId xmlns:a16="http://schemas.microsoft.com/office/drawing/2014/main" id="{C15DF5B2-EAF5-9F0D-B32A-A576734A7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7" name="Picture 544">
          <a:extLst>
            <a:ext uri="{FF2B5EF4-FFF2-40B4-BE49-F238E27FC236}">
              <a16:creationId xmlns:a16="http://schemas.microsoft.com/office/drawing/2014/main" id="{5AFCFD8E-8528-7BA4-9C43-D21F25FC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8" name="Picture 545">
          <a:extLst>
            <a:ext uri="{FF2B5EF4-FFF2-40B4-BE49-F238E27FC236}">
              <a16:creationId xmlns:a16="http://schemas.microsoft.com/office/drawing/2014/main" id="{3598B4D1-D1B4-556F-AF24-50868008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9" name="Picture 546">
          <a:extLst>
            <a:ext uri="{FF2B5EF4-FFF2-40B4-BE49-F238E27FC236}">
              <a16:creationId xmlns:a16="http://schemas.microsoft.com/office/drawing/2014/main" id="{839EF816-ADDE-2F28-3117-91630769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0" name="Picture 547">
          <a:extLst>
            <a:ext uri="{FF2B5EF4-FFF2-40B4-BE49-F238E27FC236}">
              <a16:creationId xmlns:a16="http://schemas.microsoft.com/office/drawing/2014/main" id="{875ADC66-63D5-BDF1-6B14-8A057E3E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1" name="Picture 548">
          <a:extLst>
            <a:ext uri="{FF2B5EF4-FFF2-40B4-BE49-F238E27FC236}">
              <a16:creationId xmlns:a16="http://schemas.microsoft.com/office/drawing/2014/main" id="{34254B2D-974E-4CF4-1DEE-B95B5C6E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2" name="Picture 549">
          <a:extLst>
            <a:ext uri="{FF2B5EF4-FFF2-40B4-BE49-F238E27FC236}">
              <a16:creationId xmlns:a16="http://schemas.microsoft.com/office/drawing/2014/main" id="{6AF047AF-2BFA-D997-A2E9-0B7723F7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3" name="Picture 550">
          <a:extLst>
            <a:ext uri="{FF2B5EF4-FFF2-40B4-BE49-F238E27FC236}">
              <a16:creationId xmlns:a16="http://schemas.microsoft.com/office/drawing/2014/main" id="{7EEB73F8-23EA-A755-D7C1-A1A4FF66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4" name="Picture 551">
          <a:extLst>
            <a:ext uri="{FF2B5EF4-FFF2-40B4-BE49-F238E27FC236}">
              <a16:creationId xmlns:a16="http://schemas.microsoft.com/office/drawing/2014/main" id="{01199717-B71D-C59D-04F7-622175C85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5" name="Picture 552">
          <a:extLst>
            <a:ext uri="{FF2B5EF4-FFF2-40B4-BE49-F238E27FC236}">
              <a16:creationId xmlns:a16="http://schemas.microsoft.com/office/drawing/2014/main" id="{E1D1D9F8-D09B-EDFC-5E99-2EE5D464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6" name="Picture 553">
          <a:extLst>
            <a:ext uri="{FF2B5EF4-FFF2-40B4-BE49-F238E27FC236}">
              <a16:creationId xmlns:a16="http://schemas.microsoft.com/office/drawing/2014/main" id="{64779689-68AF-6ADE-0D25-FA4C2402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7" name="Picture 554">
          <a:extLst>
            <a:ext uri="{FF2B5EF4-FFF2-40B4-BE49-F238E27FC236}">
              <a16:creationId xmlns:a16="http://schemas.microsoft.com/office/drawing/2014/main" id="{E1AC5CF4-93D8-EBF4-7727-5311E1B0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8" name="Picture 555">
          <a:extLst>
            <a:ext uri="{FF2B5EF4-FFF2-40B4-BE49-F238E27FC236}">
              <a16:creationId xmlns:a16="http://schemas.microsoft.com/office/drawing/2014/main" id="{71B227E1-C227-43FD-ABBB-591064A4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9" name="Picture 556">
          <a:extLst>
            <a:ext uri="{FF2B5EF4-FFF2-40B4-BE49-F238E27FC236}">
              <a16:creationId xmlns:a16="http://schemas.microsoft.com/office/drawing/2014/main" id="{1BAA6A1E-E27A-049C-4B45-25D86F82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0" name="Picture 557">
          <a:extLst>
            <a:ext uri="{FF2B5EF4-FFF2-40B4-BE49-F238E27FC236}">
              <a16:creationId xmlns:a16="http://schemas.microsoft.com/office/drawing/2014/main" id="{824F5DF4-70A4-D507-B7D2-36E886DF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1" name="Picture 558">
          <a:extLst>
            <a:ext uri="{FF2B5EF4-FFF2-40B4-BE49-F238E27FC236}">
              <a16:creationId xmlns:a16="http://schemas.microsoft.com/office/drawing/2014/main" id="{BECDAFDF-437A-470F-55D9-2CA7217C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2" name="Picture 559">
          <a:extLst>
            <a:ext uri="{FF2B5EF4-FFF2-40B4-BE49-F238E27FC236}">
              <a16:creationId xmlns:a16="http://schemas.microsoft.com/office/drawing/2014/main" id="{2801355B-F7AC-E2C7-9CA1-F903FB2D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3" name="Picture 560">
          <a:extLst>
            <a:ext uri="{FF2B5EF4-FFF2-40B4-BE49-F238E27FC236}">
              <a16:creationId xmlns:a16="http://schemas.microsoft.com/office/drawing/2014/main" id="{3D18BB19-3CE2-FAAF-EE22-FD30CED4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4" name="Picture 561">
          <a:extLst>
            <a:ext uri="{FF2B5EF4-FFF2-40B4-BE49-F238E27FC236}">
              <a16:creationId xmlns:a16="http://schemas.microsoft.com/office/drawing/2014/main" id="{CC39AA6B-4055-C900-286F-EEBB1777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5" name="Picture 562">
          <a:extLst>
            <a:ext uri="{FF2B5EF4-FFF2-40B4-BE49-F238E27FC236}">
              <a16:creationId xmlns:a16="http://schemas.microsoft.com/office/drawing/2014/main" id="{7383438A-113A-145D-F2AA-9294CF43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6" name="Picture 563">
          <a:extLst>
            <a:ext uri="{FF2B5EF4-FFF2-40B4-BE49-F238E27FC236}">
              <a16:creationId xmlns:a16="http://schemas.microsoft.com/office/drawing/2014/main" id="{A72068ED-3ED0-1D2C-0ACE-4F021B5D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7" name="Picture 564">
          <a:extLst>
            <a:ext uri="{FF2B5EF4-FFF2-40B4-BE49-F238E27FC236}">
              <a16:creationId xmlns:a16="http://schemas.microsoft.com/office/drawing/2014/main" id="{26D9E696-A8A8-B510-2930-11295144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8" name="Picture 565">
          <a:extLst>
            <a:ext uri="{FF2B5EF4-FFF2-40B4-BE49-F238E27FC236}">
              <a16:creationId xmlns:a16="http://schemas.microsoft.com/office/drawing/2014/main" id="{5EE2EDCC-8A70-5397-A2D9-3BD39D575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9" name="Picture 566">
          <a:extLst>
            <a:ext uri="{FF2B5EF4-FFF2-40B4-BE49-F238E27FC236}">
              <a16:creationId xmlns:a16="http://schemas.microsoft.com/office/drawing/2014/main" id="{CD5DCF63-520B-07EC-DA80-40445F95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0" name="Picture 567">
          <a:extLst>
            <a:ext uri="{FF2B5EF4-FFF2-40B4-BE49-F238E27FC236}">
              <a16:creationId xmlns:a16="http://schemas.microsoft.com/office/drawing/2014/main" id="{1093D305-D5C1-5363-2D1F-C5F59B02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1" name="Picture 568">
          <a:extLst>
            <a:ext uri="{FF2B5EF4-FFF2-40B4-BE49-F238E27FC236}">
              <a16:creationId xmlns:a16="http://schemas.microsoft.com/office/drawing/2014/main" id="{2A3B8DB6-7A61-7F22-064E-451E225A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2" name="Picture 569">
          <a:extLst>
            <a:ext uri="{FF2B5EF4-FFF2-40B4-BE49-F238E27FC236}">
              <a16:creationId xmlns:a16="http://schemas.microsoft.com/office/drawing/2014/main" id="{B67E204B-AEB6-34AC-2D24-B9D77E1F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3" name="Picture 570">
          <a:extLst>
            <a:ext uri="{FF2B5EF4-FFF2-40B4-BE49-F238E27FC236}">
              <a16:creationId xmlns:a16="http://schemas.microsoft.com/office/drawing/2014/main" id="{D21A1B5C-84D3-BFD1-677E-D95CA4E9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4" name="Picture 571">
          <a:extLst>
            <a:ext uri="{FF2B5EF4-FFF2-40B4-BE49-F238E27FC236}">
              <a16:creationId xmlns:a16="http://schemas.microsoft.com/office/drawing/2014/main" id="{CC3AFFC2-E7BE-2887-D3A2-BE65E2FF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5" name="Picture 572">
          <a:extLst>
            <a:ext uri="{FF2B5EF4-FFF2-40B4-BE49-F238E27FC236}">
              <a16:creationId xmlns:a16="http://schemas.microsoft.com/office/drawing/2014/main" id="{6862B703-8132-1755-F5C9-22FEF043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6" name="Picture 573">
          <a:extLst>
            <a:ext uri="{FF2B5EF4-FFF2-40B4-BE49-F238E27FC236}">
              <a16:creationId xmlns:a16="http://schemas.microsoft.com/office/drawing/2014/main" id="{E00D2653-D484-4B97-3DC2-FA08593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7" name="Picture 574">
          <a:extLst>
            <a:ext uri="{FF2B5EF4-FFF2-40B4-BE49-F238E27FC236}">
              <a16:creationId xmlns:a16="http://schemas.microsoft.com/office/drawing/2014/main" id="{9FF24294-647D-2A71-77E3-D83789B9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8" name="Picture 575">
          <a:extLst>
            <a:ext uri="{FF2B5EF4-FFF2-40B4-BE49-F238E27FC236}">
              <a16:creationId xmlns:a16="http://schemas.microsoft.com/office/drawing/2014/main" id="{5137DA56-A38C-1406-6D80-3240F74F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9" name="Picture 576">
          <a:extLst>
            <a:ext uri="{FF2B5EF4-FFF2-40B4-BE49-F238E27FC236}">
              <a16:creationId xmlns:a16="http://schemas.microsoft.com/office/drawing/2014/main" id="{53DE64AE-DC7E-0230-46F6-FF462F29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0" name="Picture 577">
          <a:extLst>
            <a:ext uri="{FF2B5EF4-FFF2-40B4-BE49-F238E27FC236}">
              <a16:creationId xmlns:a16="http://schemas.microsoft.com/office/drawing/2014/main" id="{E2EB0991-83A7-3804-3495-0E1003C0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1" name="Picture 578">
          <a:extLst>
            <a:ext uri="{FF2B5EF4-FFF2-40B4-BE49-F238E27FC236}">
              <a16:creationId xmlns:a16="http://schemas.microsoft.com/office/drawing/2014/main" id="{602E15E0-0C1B-BE85-A2D0-3B37DA3C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2" name="Picture 579">
          <a:extLst>
            <a:ext uri="{FF2B5EF4-FFF2-40B4-BE49-F238E27FC236}">
              <a16:creationId xmlns:a16="http://schemas.microsoft.com/office/drawing/2014/main" id="{61D55A32-C9AC-04A1-DC08-4B250BA6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3" name="Picture 580">
          <a:extLst>
            <a:ext uri="{FF2B5EF4-FFF2-40B4-BE49-F238E27FC236}">
              <a16:creationId xmlns:a16="http://schemas.microsoft.com/office/drawing/2014/main" id="{DBC4407D-A4F1-DDC1-AF63-A7E16E01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4" name="Picture 581">
          <a:extLst>
            <a:ext uri="{FF2B5EF4-FFF2-40B4-BE49-F238E27FC236}">
              <a16:creationId xmlns:a16="http://schemas.microsoft.com/office/drawing/2014/main" id="{D61CE0CA-D824-1907-EBFA-873F5DB2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5" name="Picture 582">
          <a:extLst>
            <a:ext uri="{FF2B5EF4-FFF2-40B4-BE49-F238E27FC236}">
              <a16:creationId xmlns:a16="http://schemas.microsoft.com/office/drawing/2014/main" id="{23CCFAC9-28E6-DBA0-5808-D92EC47C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6" name="Picture 583">
          <a:extLst>
            <a:ext uri="{FF2B5EF4-FFF2-40B4-BE49-F238E27FC236}">
              <a16:creationId xmlns:a16="http://schemas.microsoft.com/office/drawing/2014/main" id="{313CB279-4677-E4C4-EA9B-058871481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7" name="Picture 584">
          <a:extLst>
            <a:ext uri="{FF2B5EF4-FFF2-40B4-BE49-F238E27FC236}">
              <a16:creationId xmlns:a16="http://schemas.microsoft.com/office/drawing/2014/main" id="{CE3B2190-172E-3730-65E4-FEDE5C4CB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8" name="Picture 585">
          <a:extLst>
            <a:ext uri="{FF2B5EF4-FFF2-40B4-BE49-F238E27FC236}">
              <a16:creationId xmlns:a16="http://schemas.microsoft.com/office/drawing/2014/main" id="{C82242FF-7488-087E-08F2-BA53CC04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9" name="Picture 586">
          <a:extLst>
            <a:ext uri="{FF2B5EF4-FFF2-40B4-BE49-F238E27FC236}">
              <a16:creationId xmlns:a16="http://schemas.microsoft.com/office/drawing/2014/main" id="{C33C580A-2709-DBBD-2BF4-376DC17B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0" name="Picture 587">
          <a:extLst>
            <a:ext uri="{FF2B5EF4-FFF2-40B4-BE49-F238E27FC236}">
              <a16:creationId xmlns:a16="http://schemas.microsoft.com/office/drawing/2014/main" id="{3DFCC952-D7E5-CF0C-96B1-6FC98C1A8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1" name="Picture 588">
          <a:extLst>
            <a:ext uri="{FF2B5EF4-FFF2-40B4-BE49-F238E27FC236}">
              <a16:creationId xmlns:a16="http://schemas.microsoft.com/office/drawing/2014/main" id="{3161FF66-4BA8-9B68-9D11-47F38ECE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2" name="Picture 589">
          <a:extLst>
            <a:ext uri="{FF2B5EF4-FFF2-40B4-BE49-F238E27FC236}">
              <a16:creationId xmlns:a16="http://schemas.microsoft.com/office/drawing/2014/main" id="{17D7D665-F54D-F05A-3824-B0621C54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3" name="Picture 590">
          <a:extLst>
            <a:ext uri="{FF2B5EF4-FFF2-40B4-BE49-F238E27FC236}">
              <a16:creationId xmlns:a16="http://schemas.microsoft.com/office/drawing/2014/main" id="{D3EC2611-8258-9708-4CB2-7C3C828BC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4" name="Picture 591">
          <a:extLst>
            <a:ext uri="{FF2B5EF4-FFF2-40B4-BE49-F238E27FC236}">
              <a16:creationId xmlns:a16="http://schemas.microsoft.com/office/drawing/2014/main" id="{824A1B36-B1B7-ABCD-060B-40DD1EB9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5" name="Picture 592">
          <a:extLst>
            <a:ext uri="{FF2B5EF4-FFF2-40B4-BE49-F238E27FC236}">
              <a16:creationId xmlns:a16="http://schemas.microsoft.com/office/drawing/2014/main" id="{9CFEA381-E28E-7F88-0C9F-0E50A083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6" name="Picture 593">
          <a:extLst>
            <a:ext uri="{FF2B5EF4-FFF2-40B4-BE49-F238E27FC236}">
              <a16:creationId xmlns:a16="http://schemas.microsoft.com/office/drawing/2014/main" id="{C1F0E16A-A8C6-687E-E8C6-990C7253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7" name="Picture 594">
          <a:extLst>
            <a:ext uri="{FF2B5EF4-FFF2-40B4-BE49-F238E27FC236}">
              <a16:creationId xmlns:a16="http://schemas.microsoft.com/office/drawing/2014/main" id="{2375F4A1-E96E-B056-484D-2476AF96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8" name="Picture 595">
          <a:extLst>
            <a:ext uri="{FF2B5EF4-FFF2-40B4-BE49-F238E27FC236}">
              <a16:creationId xmlns:a16="http://schemas.microsoft.com/office/drawing/2014/main" id="{45C35E89-8FB3-BF8C-E99B-0A51BED0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9" name="Picture 596">
          <a:extLst>
            <a:ext uri="{FF2B5EF4-FFF2-40B4-BE49-F238E27FC236}">
              <a16:creationId xmlns:a16="http://schemas.microsoft.com/office/drawing/2014/main" id="{73D79A21-E0ED-AAD3-2C51-9917FA9C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0" name="Picture 597">
          <a:extLst>
            <a:ext uri="{FF2B5EF4-FFF2-40B4-BE49-F238E27FC236}">
              <a16:creationId xmlns:a16="http://schemas.microsoft.com/office/drawing/2014/main" id="{288ECC9E-84AB-CE5F-1810-C4AB97E8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1" name="Picture 598">
          <a:extLst>
            <a:ext uri="{FF2B5EF4-FFF2-40B4-BE49-F238E27FC236}">
              <a16:creationId xmlns:a16="http://schemas.microsoft.com/office/drawing/2014/main" id="{5160D013-CF1A-3B93-B118-2FA73191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2" name="Picture 599">
          <a:extLst>
            <a:ext uri="{FF2B5EF4-FFF2-40B4-BE49-F238E27FC236}">
              <a16:creationId xmlns:a16="http://schemas.microsoft.com/office/drawing/2014/main" id="{EC002545-9E3D-36D9-73E9-67F63AFD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3" name="Picture 600">
          <a:extLst>
            <a:ext uri="{FF2B5EF4-FFF2-40B4-BE49-F238E27FC236}">
              <a16:creationId xmlns:a16="http://schemas.microsoft.com/office/drawing/2014/main" id="{D643DF13-F120-B1BE-B3B3-E21E362B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4" name="Picture 601">
          <a:extLst>
            <a:ext uri="{FF2B5EF4-FFF2-40B4-BE49-F238E27FC236}">
              <a16:creationId xmlns:a16="http://schemas.microsoft.com/office/drawing/2014/main" id="{9FDCB53D-B493-05DC-8597-9A5F100E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5" name="Picture 602">
          <a:extLst>
            <a:ext uri="{FF2B5EF4-FFF2-40B4-BE49-F238E27FC236}">
              <a16:creationId xmlns:a16="http://schemas.microsoft.com/office/drawing/2014/main" id="{BEE26BAB-4859-DC6F-EDC2-243C67E2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6" name="Picture 603">
          <a:extLst>
            <a:ext uri="{FF2B5EF4-FFF2-40B4-BE49-F238E27FC236}">
              <a16:creationId xmlns:a16="http://schemas.microsoft.com/office/drawing/2014/main" id="{5E532949-628C-D2BA-FE38-44C8C5D3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7" name="Picture 604">
          <a:extLst>
            <a:ext uri="{FF2B5EF4-FFF2-40B4-BE49-F238E27FC236}">
              <a16:creationId xmlns:a16="http://schemas.microsoft.com/office/drawing/2014/main" id="{498FBA50-F57B-BAB3-12FA-FC0FB88C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8" name="Picture 605">
          <a:extLst>
            <a:ext uri="{FF2B5EF4-FFF2-40B4-BE49-F238E27FC236}">
              <a16:creationId xmlns:a16="http://schemas.microsoft.com/office/drawing/2014/main" id="{CC3D59C3-E52C-5CAA-C1C7-8D7BE1B6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9" name="Picture 606">
          <a:extLst>
            <a:ext uri="{FF2B5EF4-FFF2-40B4-BE49-F238E27FC236}">
              <a16:creationId xmlns:a16="http://schemas.microsoft.com/office/drawing/2014/main" id="{6EA62843-1ECA-3517-F031-BD250B6D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0" name="Picture 607">
          <a:extLst>
            <a:ext uri="{FF2B5EF4-FFF2-40B4-BE49-F238E27FC236}">
              <a16:creationId xmlns:a16="http://schemas.microsoft.com/office/drawing/2014/main" id="{7ADEECD2-288A-225E-41AB-475D45BE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1" name="Picture 608">
          <a:extLst>
            <a:ext uri="{FF2B5EF4-FFF2-40B4-BE49-F238E27FC236}">
              <a16:creationId xmlns:a16="http://schemas.microsoft.com/office/drawing/2014/main" id="{25B13C0C-C3C3-DD15-67CA-00534CE6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2" name="Picture 609">
          <a:extLst>
            <a:ext uri="{FF2B5EF4-FFF2-40B4-BE49-F238E27FC236}">
              <a16:creationId xmlns:a16="http://schemas.microsoft.com/office/drawing/2014/main" id="{D9B419E3-BAC6-07AA-A698-03921F3A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3" name="Picture 610">
          <a:extLst>
            <a:ext uri="{FF2B5EF4-FFF2-40B4-BE49-F238E27FC236}">
              <a16:creationId xmlns:a16="http://schemas.microsoft.com/office/drawing/2014/main" id="{0B43AB98-1753-3821-077E-E4209A51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4" name="Picture 611">
          <a:extLst>
            <a:ext uri="{FF2B5EF4-FFF2-40B4-BE49-F238E27FC236}">
              <a16:creationId xmlns:a16="http://schemas.microsoft.com/office/drawing/2014/main" id="{659E3DE5-481B-D399-33A6-3D84BCF1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5" name="Picture 612">
          <a:extLst>
            <a:ext uri="{FF2B5EF4-FFF2-40B4-BE49-F238E27FC236}">
              <a16:creationId xmlns:a16="http://schemas.microsoft.com/office/drawing/2014/main" id="{3FE13A9F-1594-66F1-2774-63CB00A41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6" name="Picture 613">
          <a:extLst>
            <a:ext uri="{FF2B5EF4-FFF2-40B4-BE49-F238E27FC236}">
              <a16:creationId xmlns:a16="http://schemas.microsoft.com/office/drawing/2014/main" id="{9194D904-40B3-1E58-F6A6-9A95DC0C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7" name="Picture 614">
          <a:extLst>
            <a:ext uri="{FF2B5EF4-FFF2-40B4-BE49-F238E27FC236}">
              <a16:creationId xmlns:a16="http://schemas.microsoft.com/office/drawing/2014/main" id="{915B8E1F-D9A3-7DBA-A5EA-12C6B98F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8" name="Picture 615">
          <a:extLst>
            <a:ext uri="{FF2B5EF4-FFF2-40B4-BE49-F238E27FC236}">
              <a16:creationId xmlns:a16="http://schemas.microsoft.com/office/drawing/2014/main" id="{1E0FFD70-B674-5393-5467-E9F920C3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9" name="Picture 616">
          <a:extLst>
            <a:ext uri="{FF2B5EF4-FFF2-40B4-BE49-F238E27FC236}">
              <a16:creationId xmlns:a16="http://schemas.microsoft.com/office/drawing/2014/main" id="{32D30E87-2F9F-59BF-932C-87BDBED1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0" name="Picture 617">
          <a:extLst>
            <a:ext uri="{FF2B5EF4-FFF2-40B4-BE49-F238E27FC236}">
              <a16:creationId xmlns:a16="http://schemas.microsoft.com/office/drawing/2014/main" id="{B946BD1C-0C55-073B-2191-80745B65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1" name="Picture 618">
          <a:extLst>
            <a:ext uri="{FF2B5EF4-FFF2-40B4-BE49-F238E27FC236}">
              <a16:creationId xmlns:a16="http://schemas.microsoft.com/office/drawing/2014/main" id="{69ED21CA-70BA-B343-9DAF-3295D9C5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2" name="Picture 619">
          <a:extLst>
            <a:ext uri="{FF2B5EF4-FFF2-40B4-BE49-F238E27FC236}">
              <a16:creationId xmlns:a16="http://schemas.microsoft.com/office/drawing/2014/main" id="{7140BCDB-B288-BA46-97F5-B607328A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3" name="Picture 620">
          <a:extLst>
            <a:ext uri="{FF2B5EF4-FFF2-40B4-BE49-F238E27FC236}">
              <a16:creationId xmlns:a16="http://schemas.microsoft.com/office/drawing/2014/main" id="{59D662EA-B10D-2D95-EBDA-9E538EFF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4" name="Picture 621">
          <a:extLst>
            <a:ext uri="{FF2B5EF4-FFF2-40B4-BE49-F238E27FC236}">
              <a16:creationId xmlns:a16="http://schemas.microsoft.com/office/drawing/2014/main" id="{4CBF72F0-4331-C67E-418F-C85C4E9E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5" name="Picture 622">
          <a:extLst>
            <a:ext uri="{FF2B5EF4-FFF2-40B4-BE49-F238E27FC236}">
              <a16:creationId xmlns:a16="http://schemas.microsoft.com/office/drawing/2014/main" id="{ABC077E1-D49B-8C5B-7FFC-0C590F13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6" name="Picture 623">
          <a:extLst>
            <a:ext uri="{FF2B5EF4-FFF2-40B4-BE49-F238E27FC236}">
              <a16:creationId xmlns:a16="http://schemas.microsoft.com/office/drawing/2014/main" id="{B2D2E100-E19B-AFA5-CA07-3359A40A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7" name="Picture 624">
          <a:extLst>
            <a:ext uri="{FF2B5EF4-FFF2-40B4-BE49-F238E27FC236}">
              <a16:creationId xmlns:a16="http://schemas.microsoft.com/office/drawing/2014/main" id="{4297AB98-B734-710D-7F78-C10A96B0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8" name="Picture 625">
          <a:extLst>
            <a:ext uri="{FF2B5EF4-FFF2-40B4-BE49-F238E27FC236}">
              <a16:creationId xmlns:a16="http://schemas.microsoft.com/office/drawing/2014/main" id="{96574FB4-0C6E-5ABE-8E78-42A9FB5B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9" name="Picture 626">
          <a:extLst>
            <a:ext uri="{FF2B5EF4-FFF2-40B4-BE49-F238E27FC236}">
              <a16:creationId xmlns:a16="http://schemas.microsoft.com/office/drawing/2014/main" id="{EB60C122-6FA9-4D41-2388-CABA9D2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0" name="Picture 627">
          <a:extLst>
            <a:ext uri="{FF2B5EF4-FFF2-40B4-BE49-F238E27FC236}">
              <a16:creationId xmlns:a16="http://schemas.microsoft.com/office/drawing/2014/main" id="{EFE9AB72-8E53-A5A3-14B1-A97DF939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1" name="Picture 628">
          <a:extLst>
            <a:ext uri="{FF2B5EF4-FFF2-40B4-BE49-F238E27FC236}">
              <a16:creationId xmlns:a16="http://schemas.microsoft.com/office/drawing/2014/main" id="{ECA6C70E-2DB0-741C-2C51-42BC8E5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2" name="Picture 629">
          <a:extLst>
            <a:ext uri="{FF2B5EF4-FFF2-40B4-BE49-F238E27FC236}">
              <a16:creationId xmlns:a16="http://schemas.microsoft.com/office/drawing/2014/main" id="{B92E5F22-8A7C-22E4-490E-BBBF3851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3" name="Picture 630">
          <a:extLst>
            <a:ext uri="{FF2B5EF4-FFF2-40B4-BE49-F238E27FC236}">
              <a16:creationId xmlns:a16="http://schemas.microsoft.com/office/drawing/2014/main" id="{A4722033-E1F1-DCA2-A529-054EBF33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4" name="Picture 631">
          <a:extLst>
            <a:ext uri="{FF2B5EF4-FFF2-40B4-BE49-F238E27FC236}">
              <a16:creationId xmlns:a16="http://schemas.microsoft.com/office/drawing/2014/main" id="{C7310D21-B51E-8456-F0A1-14B8518F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5" name="Picture 632">
          <a:extLst>
            <a:ext uri="{FF2B5EF4-FFF2-40B4-BE49-F238E27FC236}">
              <a16:creationId xmlns:a16="http://schemas.microsoft.com/office/drawing/2014/main" id="{486CD888-7292-4B62-B108-803BAFF2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6" name="Picture 633">
          <a:extLst>
            <a:ext uri="{FF2B5EF4-FFF2-40B4-BE49-F238E27FC236}">
              <a16:creationId xmlns:a16="http://schemas.microsoft.com/office/drawing/2014/main" id="{0B7F7D67-05C7-050E-9F24-C720D308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7" name="Picture 634">
          <a:extLst>
            <a:ext uri="{FF2B5EF4-FFF2-40B4-BE49-F238E27FC236}">
              <a16:creationId xmlns:a16="http://schemas.microsoft.com/office/drawing/2014/main" id="{936B03DC-44B1-EF4A-B30F-838A8EA3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8" name="Picture 635">
          <a:extLst>
            <a:ext uri="{FF2B5EF4-FFF2-40B4-BE49-F238E27FC236}">
              <a16:creationId xmlns:a16="http://schemas.microsoft.com/office/drawing/2014/main" id="{7A911419-0597-56DD-E90D-2154C5C4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9" name="Picture 636">
          <a:extLst>
            <a:ext uri="{FF2B5EF4-FFF2-40B4-BE49-F238E27FC236}">
              <a16:creationId xmlns:a16="http://schemas.microsoft.com/office/drawing/2014/main" id="{D2A79850-E0F3-8584-DF83-B0EC67E98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0" name="Picture 637">
          <a:extLst>
            <a:ext uri="{FF2B5EF4-FFF2-40B4-BE49-F238E27FC236}">
              <a16:creationId xmlns:a16="http://schemas.microsoft.com/office/drawing/2014/main" id="{13CA5E31-4335-8D11-B5E7-386D41F5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1" name="Picture 638">
          <a:extLst>
            <a:ext uri="{FF2B5EF4-FFF2-40B4-BE49-F238E27FC236}">
              <a16:creationId xmlns:a16="http://schemas.microsoft.com/office/drawing/2014/main" id="{C247FFB5-7C66-88EB-A8FB-67F61681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2" name="Picture 639">
          <a:extLst>
            <a:ext uri="{FF2B5EF4-FFF2-40B4-BE49-F238E27FC236}">
              <a16:creationId xmlns:a16="http://schemas.microsoft.com/office/drawing/2014/main" id="{7E070BD4-F324-8F6C-AC60-EB3AE63D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3" name="Picture 640">
          <a:extLst>
            <a:ext uri="{FF2B5EF4-FFF2-40B4-BE49-F238E27FC236}">
              <a16:creationId xmlns:a16="http://schemas.microsoft.com/office/drawing/2014/main" id="{F631591E-2774-ED61-6BC5-578CBD73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4" name="Picture 641">
          <a:extLst>
            <a:ext uri="{FF2B5EF4-FFF2-40B4-BE49-F238E27FC236}">
              <a16:creationId xmlns:a16="http://schemas.microsoft.com/office/drawing/2014/main" id="{F6E61E25-65D7-7B4D-C1D8-0F041E54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5" name="Picture 642">
          <a:extLst>
            <a:ext uri="{FF2B5EF4-FFF2-40B4-BE49-F238E27FC236}">
              <a16:creationId xmlns:a16="http://schemas.microsoft.com/office/drawing/2014/main" id="{529FB9A8-9397-A253-41FE-ADCBA12E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6" name="Picture 643">
          <a:extLst>
            <a:ext uri="{FF2B5EF4-FFF2-40B4-BE49-F238E27FC236}">
              <a16:creationId xmlns:a16="http://schemas.microsoft.com/office/drawing/2014/main" id="{99748B20-3375-2E7F-8CD5-914D21A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7" name="Picture 644">
          <a:extLst>
            <a:ext uri="{FF2B5EF4-FFF2-40B4-BE49-F238E27FC236}">
              <a16:creationId xmlns:a16="http://schemas.microsoft.com/office/drawing/2014/main" id="{AB454BAC-DB52-6C07-8918-835287AA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8" name="Picture 645">
          <a:extLst>
            <a:ext uri="{FF2B5EF4-FFF2-40B4-BE49-F238E27FC236}">
              <a16:creationId xmlns:a16="http://schemas.microsoft.com/office/drawing/2014/main" id="{799ABFCD-A167-6B21-8023-18A1619F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9" name="Picture 646">
          <a:extLst>
            <a:ext uri="{FF2B5EF4-FFF2-40B4-BE49-F238E27FC236}">
              <a16:creationId xmlns:a16="http://schemas.microsoft.com/office/drawing/2014/main" id="{7D2165F9-ECA3-9852-5F7C-890A1D4BD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0" name="Picture 647">
          <a:extLst>
            <a:ext uri="{FF2B5EF4-FFF2-40B4-BE49-F238E27FC236}">
              <a16:creationId xmlns:a16="http://schemas.microsoft.com/office/drawing/2014/main" id="{C01D92C9-F080-FCE5-6B0B-1509CBA1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1" name="Picture 648">
          <a:extLst>
            <a:ext uri="{FF2B5EF4-FFF2-40B4-BE49-F238E27FC236}">
              <a16:creationId xmlns:a16="http://schemas.microsoft.com/office/drawing/2014/main" id="{176448CE-F484-5016-74BB-24CCE8C6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2" name="Picture 649">
          <a:extLst>
            <a:ext uri="{FF2B5EF4-FFF2-40B4-BE49-F238E27FC236}">
              <a16:creationId xmlns:a16="http://schemas.microsoft.com/office/drawing/2014/main" id="{99E4E69D-9D95-CF39-A691-ABD0855F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3" name="Picture 650">
          <a:extLst>
            <a:ext uri="{FF2B5EF4-FFF2-40B4-BE49-F238E27FC236}">
              <a16:creationId xmlns:a16="http://schemas.microsoft.com/office/drawing/2014/main" id="{1B908BAF-091D-A0D3-B1FA-DE9E9F84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4" name="Picture 651">
          <a:extLst>
            <a:ext uri="{FF2B5EF4-FFF2-40B4-BE49-F238E27FC236}">
              <a16:creationId xmlns:a16="http://schemas.microsoft.com/office/drawing/2014/main" id="{5F7906C1-7C7B-8F6E-0C5B-862D4BC2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5" name="Picture 652">
          <a:extLst>
            <a:ext uri="{FF2B5EF4-FFF2-40B4-BE49-F238E27FC236}">
              <a16:creationId xmlns:a16="http://schemas.microsoft.com/office/drawing/2014/main" id="{8D6ACDB3-1121-7587-C7D3-8A693C07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6" name="Picture 653">
          <a:extLst>
            <a:ext uri="{FF2B5EF4-FFF2-40B4-BE49-F238E27FC236}">
              <a16:creationId xmlns:a16="http://schemas.microsoft.com/office/drawing/2014/main" id="{67D6EA9D-D1FD-EB3D-27AE-4513095F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7" name="Picture 654">
          <a:extLst>
            <a:ext uri="{FF2B5EF4-FFF2-40B4-BE49-F238E27FC236}">
              <a16:creationId xmlns:a16="http://schemas.microsoft.com/office/drawing/2014/main" id="{7652E0F7-3284-7F36-D22E-DC77CDA25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8" name="Picture 655">
          <a:extLst>
            <a:ext uri="{FF2B5EF4-FFF2-40B4-BE49-F238E27FC236}">
              <a16:creationId xmlns:a16="http://schemas.microsoft.com/office/drawing/2014/main" id="{1B572E5A-DD2B-BFE2-F014-85115905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9" name="Picture 656">
          <a:extLst>
            <a:ext uri="{FF2B5EF4-FFF2-40B4-BE49-F238E27FC236}">
              <a16:creationId xmlns:a16="http://schemas.microsoft.com/office/drawing/2014/main" id="{43B88F6D-F36C-0FBC-A4DC-320F4685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0" name="Picture 657">
          <a:extLst>
            <a:ext uri="{FF2B5EF4-FFF2-40B4-BE49-F238E27FC236}">
              <a16:creationId xmlns:a16="http://schemas.microsoft.com/office/drawing/2014/main" id="{AF10FA24-F0D1-473F-0150-0BAA1F53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1" name="Picture 658">
          <a:extLst>
            <a:ext uri="{FF2B5EF4-FFF2-40B4-BE49-F238E27FC236}">
              <a16:creationId xmlns:a16="http://schemas.microsoft.com/office/drawing/2014/main" id="{3F43DD5E-E4EB-809B-6345-6F1E5BFF7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2" name="Picture 659">
          <a:extLst>
            <a:ext uri="{FF2B5EF4-FFF2-40B4-BE49-F238E27FC236}">
              <a16:creationId xmlns:a16="http://schemas.microsoft.com/office/drawing/2014/main" id="{4326C5EA-F269-607C-3E00-CCE62909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3" name="Picture 660">
          <a:extLst>
            <a:ext uri="{FF2B5EF4-FFF2-40B4-BE49-F238E27FC236}">
              <a16:creationId xmlns:a16="http://schemas.microsoft.com/office/drawing/2014/main" id="{AB1E40CB-5A12-93D1-0BA0-2191A48F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4" name="Picture 661">
          <a:extLst>
            <a:ext uri="{FF2B5EF4-FFF2-40B4-BE49-F238E27FC236}">
              <a16:creationId xmlns:a16="http://schemas.microsoft.com/office/drawing/2014/main" id="{356525E4-0FCA-3D4F-F3D3-FD844A5E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5" name="Picture 662">
          <a:extLst>
            <a:ext uri="{FF2B5EF4-FFF2-40B4-BE49-F238E27FC236}">
              <a16:creationId xmlns:a16="http://schemas.microsoft.com/office/drawing/2014/main" id="{361B0AEA-B5CF-15CE-EE15-48FC5C95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6" name="Picture 663">
          <a:extLst>
            <a:ext uri="{FF2B5EF4-FFF2-40B4-BE49-F238E27FC236}">
              <a16:creationId xmlns:a16="http://schemas.microsoft.com/office/drawing/2014/main" id="{B785DA40-E2B7-13BD-F8EB-430C6FA1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7" name="Picture 664">
          <a:extLst>
            <a:ext uri="{FF2B5EF4-FFF2-40B4-BE49-F238E27FC236}">
              <a16:creationId xmlns:a16="http://schemas.microsoft.com/office/drawing/2014/main" id="{43660FC4-5C96-F84A-3A88-050C4887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8" name="Picture 665">
          <a:extLst>
            <a:ext uri="{FF2B5EF4-FFF2-40B4-BE49-F238E27FC236}">
              <a16:creationId xmlns:a16="http://schemas.microsoft.com/office/drawing/2014/main" id="{063922FF-AC5C-7BF1-28CB-8982BEA9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9" name="Picture 666">
          <a:extLst>
            <a:ext uri="{FF2B5EF4-FFF2-40B4-BE49-F238E27FC236}">
              <a16:creationId xmlns:a16="http://schemas.microsoft.com/office/drawing/2014/main" id="{0B89EAAE-C2EF-BC87-12CF-ECBB9A06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0" name="Picture 667">
          <a:extLst>
            <a:ext uri="{FF2B5EF4-FFF2-40B4-BE49-F238E27FC236}">
              <a16:creationId xmlns:a16="http://schemas.microsoft.com/office/drawing/2014/main" id="{1BF8E389-1548-ADBE-A9D7-AEC3D9ED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1" name="Picture 668">
          <a:extLst>
            <a:ext uri="{FF2B5EF4-FFF2-40B4-BE49-F238E27FC236}">
              <a16:creationId xmlns:a16="http://schemas.microsoft.com/office/drawing/2014/main" id="{407CA04C-D498-9FF9-D260-0BD12AD8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2" name="Picture 669">
          <a:extLst>
            <a:ext uri="{FF2B5EF4-FFF2-40B4-BE49-F238E27FC236}">
              <a16:creationId xmlns:a16="http://schemas.microsoft.com/office/drawing/2014/main" id="{ADFC14B1-4927-DC1F-262E-6A52B299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3" name="Picture 670">
          <a:extLst>
            <a:ext uri="{FF2B5EF4-FFF2-40B4-BE49-F238E27FC236}">
              <a16:creationId xmlns:a16="http://schemas.microsoft.com/office/drawing/2014/main" id="{315BF506-09FC-D83C-6095-0C3541A9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4" name="Picture 671">
          <a:extLst>
            <a:ext uri="{FF2B5EF4-FFF2-40B4-BE49-F238E27FC236}">
              <a16:creationId xmlns:a16="http://schemas.microsoft.com/office/drawing/2014/main" id="{17AEE3AF-4B3B-DE35-D3AB-B2A71E5E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5" name="Picture 672">
          <a:extLst>
            <a:ext uri="{FF2B5EF4-FFF2-40B4-BE49-F238E27FC236}">
              <a16:creationId xmlns:a16="http://schemas.microsoft.com/office/drawing/2014/main" id="{CE330DEF-A585-9EDC-FA7D-C16E0889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6" name="Picture 673">
          <a:extLst>
            <a:ext uri="{FF2B5EF4-FFF2-40B4-BE49-F238E27FC236}">
              <a16:creationId xmlns:a16="http://schemas.microsoft.com/office/drawing/2014/main" id="{49F7C9DA-4A2E-4BD2-F714-914D1785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7" name="Picture 674">
          <a:extLst>
            <a:ext uri="{FF2B5EF4-FFF2-40B4-BE49-F238E27FC236}">
              <a16:creationId xmlns:a16="http://schemas.microsoft.com/office/drawing/2014/main" id="{55590F9A-C8AE-457A-29F8-16175E35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8" name="Picture 675">
          <a:extLst>
            <a:ext uri="{FF2B5EF4-FFF2-40B4-BE49-F238E27FC236}">
              <a16:creationId xmlns:a16="http://schemas.microsoft.com/office/drawing/2014/main" id="{8888F049-8265-1308-2921-7DE71401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9" name="Picture 676">
          <a:extLst>
            <a:ext uri="{FF2B5EF4-FFF2-40B4-BE49-F238E27FC236}">
              <a16:creationId xmlns:a16="http://schemas.microsoft.com/office/drawing/2014/main" id="{153AA727-787C-A4F3-AC47-0432B014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0" name="Picture 677">
          <a:extLst>
            <a:ext uri="{FF2B5EF4-FFF2-40B4-BE49-F238E27FC236}">
              <a16:creationId xmlns:a16="http://schemas.microsoft.com/office/drawing/2014/main" id="{19F8C3B3-F0B9-D31A-9864-0E063928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1" name="Picture 678">
          <a:extLst>
            <a:ext uri="{FF2B5EF4-FFF2-40B4-BE49-F238E27FC236}">
              <a16:creationId xmlns:a16="http://schemas.microsoft.com/office/drawing/2014/main" id="{5AEC36C2-0695-07CD-1FE9-0F2B6E07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2" name="Picture 679">
          <a:extLst>
            <a:ext uri="{FF2B5EF4-FFF2-40B4-BE49-F238E27FC236}">
              <a16:creationId xmlns:a16="http://schemas.microsoft.com/office/drawing/2014/main" id="{4E67333A-33A4-A309-5DBE-E7BD45C2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3" name="Picture 680">
          <a:extLst>
            <a:ext uri="{FF2B5EF4-FFF2-40B4-BE49-F238E27FC236}">
              <a16:creationId xmlns:a16="http://schemas.microsoft.com/office/drawing/2014/main" id="{089924E0-1A1A-3C4D-9EA5-138537A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4" name="Picture 681">
          <a:extLst>
            <a:ext uri="{FF2B5EF4-FFF2-40B4-BE49-F238E27FC236}">
              <a16:creationId xmlns:a16="http://schemas.microsoft.com/office/drawing/2014/main" id="{F0018F15-233C-8059-A260-FE57C92D6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5" name="Picture 682">
          <a:extLst>
            <a:ext uri="{FF2B5EF4-FFF2-40B4-BE49-F238E27FC236}">
              <a16:creationId xmlns:a16="http://schemas.microsoft.com/office/drawing/2014/main" id="{272EE2DA-31CB-0C5C-7CDB-DEC0EDE5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6" name="Picture 683">
          <a:extLst>
            <a:ext uri="{FF2B5EF4-FFF2-40B4-BE49-F238E27FC236}">
              <a16:creationId xmlns:a16="http://schemas.microsoft.com/office/drawing/2014/main" id="{CBD912AC-6334-32B5-AD93-0689F65B4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7" name="Picture 684">
          <a:extLst>
            <a:ext uri="{FF2B5EF4-FFF2-40B4-BE49-F238E27FC236}">
              <a16:creationId xmlns:a16="http://schemas.microsoft.com/office/drawing/2014/main" id="{F580F926-08C5-4E33-8566-34CB166A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8" name="Picture 685">
          <a:extLst>
            <a:ext uri="{FF2B5EF4-FFF2-40B4-BE49-F238E27FC236}">
              <a16:creationId xmlns:a16="http://schemas.microsoft.com/office/drawing/2014/main" id="{88C057BF-999D-9020-6D27-9C0719B0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9" name="Picture 686">
          <a:extLst>
            <a:ext uri="{FF2B5EF4-FFF2-40B4-BE49-F238E27FC236}">
              <a16:creationId xmlns:a16="http://schemas.microsoft.com/office/drawing/2014/main" id="{E0BBE839-7ECE-1FA4-D016-76EF40E4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0" name="Picture 687">
          <a:extLst>
            <a:ext uri="{FF2B5EF4-FFF2-40B4-BE49-F238E27FC236}">
              <a16:creationId xmlns:a16="http://schemas.microsoft.com/office/drawing/2014/main" id="{A8CD02B1-9860-F78D-3344-E1FB5452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1" name="Picture 688">
          <a:extLst>
            <a:ext uri="{FF2B5EF4-FFF2-40B4-BE49-F238E27FC236}">
              <a16:creationId xmlns:a16="http://schemas.microsoft.com/office/drawing/2014/main" id="{782F398D-EF2E-660D-2B62-80569480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2" name="Picture 689">
          <a:extLst>
            <a:ext uri="{FF2B5EF4-FFF2-40B4-BE49-F238E27FC236}">
              <a16:creationId xmlns:a16="http://schemas.microsoft.com/office/drawing/2014/main" id="{B35B1BF4-5B34-1279-D681-821688F7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3" name="Picture 690">
          <a:extLst>
            <a:ext uri="{FF2B5EF4-FFF2-40B4-BE49-F238E27FC236}">
              <a16:creationId xmlns:a16="http://schemas.microsoft.com/office/drawing/2014/main" id="{BA698CAF-F66C-C83F-AD06-1ADA1F5E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4" name="Picture 691">
          <a:extLst>
            <a:ext uri="{FF2B5EF4-FFF2-40B4-BE49-F238E27FC236}">
              <a16:creationId xmlns:a16="http://schemas.microsoft.com/office/drawing/2014/main" id="{00DF6103-D91D-43AB-613A-8FDE4397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5" name="Picture 692">
          <a:extLst>
            <a:ext uri="{FF2B5EF4-FFF2-40B4-BE49-F238E27FC236}">
              <a16:creationId xmlns:a16="http://schemas.microsoft.com/office/drawing/2014/main" id="{87B2B50C-B996-6CFC-95F5-8E3D8FC3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6" name="Picture 693">
          <a:extLst>
            <a:ext uri="{FF2B5EF4-FFF2-40B4-BE49-F238E27FC236}">
              <a16:creationId xmlns:a16="http://schemas.microsoft.com/office/drawing/2014/main" id="{D0878B4F-1641-1A8E-F082-67708030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7" name="Picture 694">
          <a:extLst>
            <a:ext uri="{FF2B5EF4-FFF2-40B4-BE49-F238E27FC236}">
              <a16:creationId xmlns:a16="http://schemas.microsoft.com/office/drawing/2014/main" id="{B3F38143-B13B-3D5B-B2B0-0A9DEB2C2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8" name="Picture 695">
          <a:extLst>
            <a:ext uri="{FF2B5EF4-FFF2-40B4-BE49-F238E27FC236}">
              <a16:creationId xmlns:a16="http://schemas.microsoft.com/office/drawing/2014/main" id="{AF0AFBCB-1F98-63B8-45A9-9C1C0C0F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9" name="Picture 696">
          <a:extLst>
            <a:ext uri="{FF2B5EF4-FFF2-40B4-BE49-F238E27FC236}">
              <a16:creationId xmlns:a16="http://schemas.microsoft.com/office/drawing/2014/main" id="{C6AEB145-5DD6-6BAD-ABCC-41A9BA98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0" name="Picture 697">
          <a:extLst>
            <a:ext uri="{FF2B5EF4-FFF2-40B4-BE49-F238E27FC236}">
              <a16:creationId xmlns:a16="http://schemas.microsoft.com/office/drawing/2014/main" id="{8AE98B77-8759-576B-1357-9F920F1E0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1" name="Picture 698">
          <a:extLst>
            <a:ext uri="{FF2B5EF4-FFF2-40B4-BE49-F238E27FC236}">
              <a16:creationId xmlns:a16="http://schemas.microsoft.com/office/drawing/2014/main" id="{FDD3B70A-EDB7-C033-35DC-DC8EAF6C1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2" name="Picture 699">
          <a:extLst>
            <a:ext uri="{FF2B5EF4-FFF2-40B4-BE49-F238E27FC236}">
              <a16:creationId xmlns:a16="http://schemas.microsoft.com/office/drawing/2014/main" id="{D40BBA74-BF14-3B55-A6E8-5C501B3B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3" name="Picture 700">
          <a:extLst>
            <a:ext uri="{FF2B5EF4-FFF2-40B4-BE49-F238E27FC236}">
              <a16:creationId xmlns:a16="http://schemas.microsoft.com/office/drawing/2014/main" id="{721F4077-8A2E-B123-90BF-0E3AFDBCF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4" name="Picture 701">
          <a:extLst>
            <a:ext uri="{FF2B5EF4-FFF2-40B4-BE49-F238E27FC236}">
              <a16:creationId xmlns:a16="http://schemas.microsoft.com/office/drawing/2014/main" id="{71EC46BD-AD64-A9B7-BCA8-724F3E16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5" name="Picture 702">
          <a:extLst>
            <a:ext uri="{FF2B5EF4-FFF2-40B4-BE49-F238E27FC236}">
              <a16:creationId xmlns:a16="http://schemas.microsoft.com/office/drawing/2014/main" id="{CAE9C527-F1CF-5082-E309-2B44B9D1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6" name="Picture 703">
          <a:extLst>
            <a:ext uri="{FF2B5EF4-FFF2-40B4-BE49-F238E27FC236}">
              <a16:creationId xmlns:a16="http://schemas.microsoft.com/office/drawing/2014/main" id="{6300F09E-0615-DCBB-5B5F-6E217B96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7" name="Picture 704">
          <a:extLst>
            <a:ext uri="{FF2B5EF4-FFF2-40B4-BE49-F238E27FC236}">
              <a16:creationId xmlns:a16="http://schemas.microsoft.com/office/drawing/2014/main" id="{E4B33DAB-9EC2-9226-A9EC-769A1C84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8" name="Picture 705">
          <a:extLst>
            <a:ext uri="{FF2B5EF4-FFF2-40B4-BE49-F238E27FC236}">
              <a16:creationId xmlns:a16="http://schemas.microsoft.com/office/drawing/2014/main" id="{BC5A7EFD-F775-BA75-0DF9-53E94C8C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9" name="Picture 706">
          <a:extLst>
            <a:ext uri="{FF2B5EF4-FFF2-40B4-BE49-F238E27FC236}">
              <a16:creationId xmlns:a16="http://schemas.microsoft.com/office/drawing/2014/main" id="{A3845C7F-E2D7-7CB7-BD5B-34C6A470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0" name="Picture 707">
          <a:extLst>
            <a:ext uri="{FF2B5EF4-FFF2-40B4-BE49-F238E27FC236}">
              <a16:creationId xmlns:a16="http://schemas.microsoft.com/office/drawing/2014/main" id="{23F93162-210A-7113-2795-322100E3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1" name="Picture 708">
          <a:extLst>
            <a:ext uri="{FF2B5EF4-FFF2-40B4-BE49-F238E27FC236}">
              <a16:creationId xmlns:a16="http://schemas.microsoft.com/office/drawing/2014/main" id="{26674397-43E4-13CE-340E-31F439249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2" name="Picture 709">
          <a:extLst>
            <a:ext uri="{FF2B5EF4-FFF2-40B4-BE49-F238E27FC236}">
              <a16:creationId xmlns:a16="http://schemas.microsoft.com/office/drawing/2014/main" id="{8DE0E1CB-B59F-81C3-180B-E21E0529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3" name="Picture 710">
          <a:extLst>
            <a:ext uri="{FF2B5EF4-FFF2-40B4-BE49-F238E27FC236}">
              <a16:creationId xmlns:a16="http://schemas.microsoft.com/office/drawing/2014/main" id="{A250D954-CE98-A3A8-8EAD-D30075EF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4" name="Picture 711">
          <a:extLst>
            <a:ext uri="{FF2B5EF4-FFF2-40B4-BE49-F238E27FC236}">
              <a16:creationId xmlns:a16="http://schemas.microsoft.com/office/drawing/2014/main" id="{C38CE2BA-FA18-920C-4222-DE0C9C74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5" name="Picture 712">
          <a:extLst>
            <a:ext uri="{FF2B5EF4-FFF2-40B4-BE49-F238E27FC236}">
              <a16:creationId xmlns:a16="http://schemas.microsoft.com/office/drawing/2014/main" id="{4D7D44B9-5C29-EE58-705B-29B6AB72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6" name="Picture 713">
          <a:extLst>
            <a:ext uri="{FF2B5EF4-FFF2-40B4-BE49-F238E27FC236}">
              <a16:creationId xmlns:a16="http://schemas.microsoft.com/office/drawing/2014/main" id="{C41DA565-9119-4607-0C3B-86477C27B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7" name="Picture 714">
          <a:extLst>
            <a:ext uri="{FF2B5EF4-FFF2-40B4-BE49-F238E27FC236}">
              <a16:creationId xmlns:a16="http://schemas.microsoft.com/office/drawing/2014/main" id="{0A87753E-2BFE-314F-7FB3-2E635EF9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8" name="Picture 715">
          <a:extLst>
            <a:ext uri="{FF2B5EF4-FFF2-40B4-BE49-F238E27FC236}">
              <a16:creationId xmlns:a16="http://schemas.microsoft.com/office/drawing/2014/main" id="{52F5C100-F649-1D2E-1A10-6E879320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9" name="Picture 716">
          <a:extLst>
            <a:ext uri="{FF2B5EF4-FFF2-40B4-BE49-F238E27FC236}">
              <a16:creationId xmlns:a16="http://schemas.microsoft.com/office/drawing/2014/main" id="{4FDDA484-87FF-6E3C-0D03-E9B35A5EA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0" name="Picture 717">
          <a:extLst>
            <a:ext uri="{FF2B5EF4-FFF2-40B4-BE49-F238E27FC236}">
              <a16:creationId xmlns:a16="http://schemas.microsoft.com/office/drawing/2014/main" id="{E752370E-8627-DA3E-7068-A4DD0142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1" name="Picture 718">
          <a:extLst>
            <a:ext uri="{FF2B5EF4-FFF2-40B4-BE49-F238E27FC236}">
              <a16:creationId xmlns:a16="http://schemas.microsoft.com/office/drawing/2014/main" id="{85EAEB16-FC27-E4D9-539C-DB20D224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2" name="Picture 719">
          <a:extLst>
            <a:ext uri="{FF2B5EF4-FFF2-40B4-BE49-F238E27FC236}">
              <a16:creationId xmlns:a16="http://schemas.microsoft.com/office/drawing/2014/main" id="{1F99EA96-751B-1304-DC95-A4C7FA6F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3" name="Picture 720">
          <a:extLst>
            <a:ext uri="{FF2B5EF4-FFF2-40B4-BE49-F238E27FC236}">
              <a16:creationId xmlns:a16="http://schemas.microsoft.com/office/drawing/2014/main" id="{CB4CA64B-DBC1-80EE-5801-6425286FE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4" name="Picture 721">
          <a:extLst>
            <a:ext uri="{FF2B5EF4-FFF2-40B4-BE49-F238E27FC236}">
              <a16:creationId xmlns:a16="http://schemas.microsoft.com/office/drawing/2014/main" id="{C25A2860-EBAB-B1D9-E73B-16A1D2E1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5" name="Picture 722">
          <a:extLst>
            <a:ext uri="{FF2B5EF4-FFF2-40B4-BE49-F238E27FC236}">
              <a16:creationId xmlns:a16="http://schemas.microsoft.com/office/drawing/2014/main" id="{2AC260E0-995D-D0B2-7B2E-C6CDE203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6" name="Picture 723">
          <a:extLst>
            <a:ext uri="{FF2B5EF4-FFF2-40B4-BE49-F238E27FC236}">
              <a16:creationId xmlns:a16="http://schemas.microsoft.com/office/drawing/2014/main" id="{CBF535E0-EF58-8055-A84D-68F62DC5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7" name="Picture 724">
          <a:extLst>
            <a:ext uri="{FF2B5EF4-FFF2-40B4-BE49-F238E27FC236}">
              <a16:creationId xmlns:a16="http://schemas.microsoft.com/office/drawing/2014/main" id="{2EC29678-E46F-1750-D0D4-4F65FA5D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8" name="Picture 725">
          <a:extLst>
            <a:ext uri="{FF2B5EF4-FFF2-40B4-BE49-F238E27FC236}">
              <a16:creationId xmlns:a16="http://schemas.microsoft.com/office/drawing/2014/main" id="{D0F95858-3D6A-33B7-BF54-F2DCB839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9" name="Picture 726">
          <a:extLst>
            <a:ext uri="{FF2B5EF4-FFF2-40B4-BE49-F238E27FC236}">
              <a16:creationId xmlns:a16="http://schemas.microsoft.com/office/drawing/2014/main" id="{D1CE3EB9-A62E-EB2B-CE49-C8E2A663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0" name="Picture 727">
          <a:extLst>
            <a:ext uri="{FF2B5EF4-FFF2-40B4-BE49-F238E27FC236}">
              <a16:creationId xmlns:a16="http://schemas.microsoft.com/office/drawing/2014/main" id="{88DEF3D9-9C36-4E66-A1F0-5051555E3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1" name="Picture 728">
          <a:extLst>
            <a:ext uri="{FF2B5EF4-FFF2-40B4-BE49-F238E27FC236}">
              <a16:creationId xmlns:a16="http://schemas.microsoft.com/office/drawing/2014/main" id="{746E6E00-99D5-F1F6-8B47-3D9FC91F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2" name="Picture 729">
          <a:extLst>
            <a:ext uri="{FF2B5EF4-FFF2-40B4-BE49-F238E27FC236}">
              <a16:creationId xmlns:a16="http://schemas.microsoft.com/office/drawing/2014/main" id="{858BDABC-A462-1ED3-4AD3-881ECD5A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3" name="Picture 730">
          <a:extLst>
            <a:ext uri="{FF2B5EF4-FFF2-40B4-BE49-F238E27FC236}">
              <a16:creationId xmlns:a16="http://schemas.microsoft.com/office/drawing/2014/main" id="{438113D2-2056-4D27-7E32-441BC366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4" name="Picture 731">
          <a:extLst>
            <a:ext uri="{FF2B5EF4-FFF2-40B4-BE49-F238E27FC236}">
              <a16:creationId xmlns:a16="http://schemas.microsoft.com/office/drawing/2014/main" id="{77A2125A-BB4F-4524-2C4E-8B0F0591A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5" name="Picture 732">
          <a:extLst>
            <a:ext uri="{FF2B5EF4-FFF2-40B4-BE49-F238E27FC236}">
              <a16:creationId xmlns:a16="http://schemas.microsoft.com/office/drawing/2014/main" id="{6DC59B88-F581-2234-6F27-36FCEF7FF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6" name="Picture 733">
          <a:extLst>
            <a:ext uri="{FF2B5EF4-FFF2-40B4-BE49-F238E27FC236}">
              <a16:creationId xmlns:a16="http://schemas.microsoft.com/office/drawing/2014/main" id="{238EDC33-17FD-367C-9286-6DA283B4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7" name="Picture 734">
          <a:extLst>
            <a:ext uri="{FF2B5EF4-FFF2-40B4-BE49-F238E27FC236}">
              <a16:creationId xmlns:a16="http://schemas.microsoft.com/office/drawing/2014/main" id="{38CF6DD1-4C2B-5206-1BDC-EC1792B8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8" name="Picture 735">
          <a:extLst>
            <a:ext uri="{FF2B5EF4-FFF2-40B4-BE49-F238E27FC236}">
              <a16:creationId xmlns:a16="http://schemas.microsoft.com/office/drawing/2014/main" id="{E337722C-399B-3583-2765-4A960433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9" name="Picture 736">
          <a:extLst>
            <a:ext uri="{FF2B5EF4-FFF2-40B4-BE49-F238E27FC236}">
              <a16:creationId xmlns:a16="http://schemas.microsoft.com/office/drawing/2014/main" id="{8FB87603-5650-69FC-8CEA-36C646F5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0" name="Picture 737">
          <a:extLst>
            <a:ext uri="{FF2B5EF4-FFF2-40B4-BE49-F238E27FC236}">
              <a16:creationId xmlns:a16="http://schemas.microsoft.com/office/drawing/2014/main" id="{44F5842D-3725-D731-9AC5-03C647DD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1" name="Picture 738">
          <a:extLst>
            <a:ext uri="{FF2B5EF4-FFF2-40B4-BE49-F238E27FC236}">
              <a16:creationId xmlns:a16="http://schemas.microsoft.com/office/drawing/2014/main" id="{8A816AA4-C7C9-CAAC-96F3-E12EB9CF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2" name="Picture 739">
          <a:extLst>
            <a:ext uri="{FF2B5EF4-FFF2-40B4-BE49-F238E27FC236}">
              <a16:creationId xmlns:a16="http://schemas.microsoft.com/office/drawing/2014/main" id="{CE39CA1C-5168-C3A7-75F7-2D95447F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3" name="Picture 740">
          <a:extLst>
            <a:ext uri="{FF2B5EF4-FFF2-40B4-BE49-F238E27FC236}">
              <a16:creationId xmlns:a16="http://schemas.microsoft.com/office/drawing/2014/main" id="{1ECF5033-903C-EFF0-A7B7-712673C1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4" name="Picture 741">
          <a:extLst>
            <a:ext uri="{FF2B5EF4-FFF2-40B4-BE49-F238E27FC236}">
              <a16:creationId xmlns:a16="http://schemas.microsoft.com/office/drawing/2014/main" id="{7C480DE1-F9EB-5D2D-B9A9-34F17F08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5" name="Picture 742">
          <a:extLst>
            <a:ext uri="{FF2B5EF4-FFF2-40B4-BE49-F238E27FC236}">
              <a16:creationId xmlns:a16="http://schemas.microsoft.com/office/drawing/2014/main" id="{713EB77D-C383-C39F-7B43-1338017C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6" name="Picture 743">
          <a:extLst>
            <a:ext uri="{FF2B5EF4-FFF2-40B4-BE49-F238E27FC236}">
              <a16:creationId xmlns:a16="http://schemas.microsoft.com/office/drawing/2014/main" id="{F4EBBD3B-952D-4F45-8949-C9DA26E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7" name="Picture 744">
          <a:extLst>
            <a:ext uri="{FF2B5EF4-FFF2-40B4-BE49-F238E27FC236}">
              <a16:creationId xmlns:a16="http://schemas.microsoft.com/office/drawing/2014/main" id="{920D6ACD-3F1E-FC55-6A02-3FB1BABB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8" name="Picture 745">
          <a:extLst>
            <a:ext uri="{FF2B5EF4-FFF2-40B4-BE49-F238E27FC236}">
              <a16:creationId xmlns:a16="http://schemas.microsoft.com/office/drawing/2014/main" id="{EC9648B1-62E5-3553-FC5A-F9707583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9" name="Picture 746">
          <a:extLst>
            <a:ext uri="{FF2B5EF4-FFF2-40B4-BE49-F238E27FC236}">
              <a16:creationId xmlns:a16="http://schemas.microsoft.com/office/drawing/2014/main" id="{E4EB1452-A37D-D417-5520-82D6A02D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0" name="Picture 747">
          <a:extLst>
            <a:ext uri="{FF2B5EF4-FFF2-40B4-BE49-F238E27FC236}">
              <a16:creationId xmlns:a16="http://schemas.microsoft.com/office/drawing/2014/main" id="{36B678AB-502C-CCC4-0670-F9985A5C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1" name="Picture 748">
          <a:extLst>
            <a:ext uri="{FF2B5EF4-FFF2-40B4-BE49-F238E27FC236}">
              <a16:creationId xmlns:a16="http://schemas.microsoft.com/office/drawing/2014/main" id="{B64E7F94-A253-0E46-5C45-FB655447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2" name="Picture 749">
          <a:extLst>
            <a:ext uri="{FF2B5EF4-FFF2-40B4-BE49-F238E27FC236}">
              <a16:creationId xmlns:a16="http://schemas.microsoft.com/office/drawing/2014/main" id="{88508181-C4B0-2DA2-3035-7DED425B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3" name="Picture 750">
          <a:extLst>
            <a:ext uri="{FF2B5EF4-FFF2-40B4-BE49-F238E27FC236}">
              <a16:creationId xmlns:a16="http://schemas.microsoft.com/office/drawing/2014/main" id="{C482715B-C2FA-400B-2D28-D9D42180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4" name="Picture 751">
          <a:extLst>
            <a:ext uri="{FF2B5EF4-FFF2-40B4-BE49-F238E27FC236}">
              <a16:creationId xmlns:a16="http://schemas.microsoft.com/office/drawing/2014/main" id="{EC046993-F599-32DE-BD26-2F6084B8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5" name="Picture 752">
          <a:extLst>
            <a:ext uri="{FF2B5EF4-FFF2-40B4-BE49-F238E27FC236}">
              <a16:creationId xmlns:a16="http://schemas.microsoft.com/office/drawing/2014/main" id="{211E7729-8A65-F23C-7D18-FC7EE115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6" name="Picture 753">
          <a:extLst>
            <a:ext uri="{FF2B5EF4-FFF2-40B4-BE49-F238E27FC236}">
              <a16:creationId xmlns:a16="http://schemas.microsoft.com/office/drawing/2014/main" id="{A639A951-5B16-59D2-7864-7AD47B7B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7" name="Picture 754">
          <a:extLst>
            <a:ext uri="{FF2B5EF4-FFF2-40B4-BE49-F238E27FC236}">
              <a16:creationId xmlns:a16="http://schemas.microsoft.com/office/drawing/2014/main" id="{977039C2-79AA-A62F-FDAC-16C053D4A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8" name="Picture 755">
          <a:extLst>
            <a:ext uri="{FF2B5EF4-FFF2-40B4-BE49-F238E27FC236}">
              <a16:creationId xmlns:a16="http://schemas.microsoft.com/office/drawing/2014/main" id="{77159220-DFEE-3BC2-AED3-FCF99F74E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9" name="Picture 756">
          <a:extLst>
            <a:ext uri="{FF2B5EF4-FFF2-40B4-BE49-F238E27FC236}">
              <a16:creationId xmlns:a16="http://schemas.microsoft.com/office/drawing/2014/main" id="{2B7D48CC-9089-03C6-E692-C1E15FD3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0" name="Picture 757">
          <a:extLst>
            <a:ext uri="{FF2B5EF4-FFF2-40B4-BE49-F238E27FC236}">
              <a16:creationId xmlns:a16="http://schemas.microsoft.com/office/drawing/2014/main" id="{B7EACDD7-9E31-6050-6BD7-C6F537CE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1" name="Picture 758">
          <a:extLst>
            <a:ext uri="{FF2B5EF4-FFF2-40B4-BE49-F238E27FC236}">
              <a16:creationId xmlns:a16="http://schemas.microsoft.com/office/drawing/2014/main" id="{B36F30DD-271A-67F6-7B58-3EC25488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2" name="Picture 759">
          <a:extLst>
            <a:ext uri="{FF2B5EF4-FFF2-40B4-BE49-F238E27FC236}">
              <a16:creationId xmlns:a16="http://schemas.microsoft.com/office/drawing/2014/main" id="{8832028C-1A39-2903-5A30-4FD41C70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3" name="Picture 760">
          <a:extLst>
            <a:ext uri="{FF2B5EF4-FFF2-40B4-BE49-F238E27FC236}">
              <a16:creationId xmlns:a16="http://schemas.microsoft.com/office/drawing/2014/main" id="{AE3450BD-8C0A-9F02-D9EE-C148F698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4" name="Picture 761">
          <a:extLst>
            <a:ext uri="{FF2B5EF4-FFF2-40B4-BE49-F238E27FC236}">
              <a16:creationId xmlns:a16="http://schemas.microsoft.com/office/drawing/2014/main" id="{351C6117-AF1E-38A3-F962-C65E897A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5" name="Picture 762">
          <a:extLst>
            <a:ext uri="{FF2B5EF4-FFF2-40B4-BE49-F238E27FC236}">
              <a16:creationId xmlns:a16="http://schemas.microsoft.com/office/drawing/2014/main" id="{9A579B33-B70B-A2EF-75A3-E7EEAB31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6" name="Picture 763">
          <a:extLst>
            <a:ext uri="{FF2B5EF4-FFF2-40B4-BE49-F238E27FC236}">
              <a16:creationId xmlns:a16="http://schemas.microsoft.com/office/drawing/2014/main" id="{0847E86C-8197-C79D-9993-370DCF80C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7" name="Picture 764">
          <a:extLst>
            <a:ext uri="{FF2B5EF4-FFF2-40B4-BE49-F238E27FC236}">
              <a16:creationId xmlns:a16="http://schemas.microsoft.com/office/drawing/2014/main" id="{797E7D2C-7398-E0F4-24DD-2C5820D4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8" name="Picture 765">
          <a:extLst>
            <a:ext uri="{FF2B5EF4-FFF2-40B4-BE49-F238E27FC236}">
              <a16:creationId xmlns:a16="http://schemas.microsoft.com/office/drawing/2014/main" id="{2B1E4423-706A-83F7-7D57-86B39273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9" name="Picture 766">
          <a:extLst>
            <a:ext uri="{FF2B5EF4-FFF2-40B4-BE49-F238E27FC236}">
              <a16:creationId xmlns:a16="http://schemas.microsoft.com/office/drawing/2014/main" id="{DB38D67B-F54A-17B8-57F5-A81C4EB4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0" name="Picture 767">
          <a:extLst>
            <a:ext uri="{FF2B5EF4-FFF2-40B4-BE49-F238E27FC236}">
              <a16:creationId xmlns:a16="http://schemas.microsoft.com/office/drawing/2014/main" id="{608AA88D-AF74-F7EE-2B58-FE714B39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1" name="Picture 768">
          <a:extLst>
            <a:ext uri="{FF2B5EF4-FFF2-40B4-BE49-F238E27FC236}">
              <a16:creationId xmlns:a16="http://schemas.microsoft.com/office/drawing/2014/main" id="{DCD70151-56C2-9CD6-940F-538EB307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2" name="Picture 769">
          <a:extLst>
            <a:ext uri="{FF2B5EF4-FFF2-40B4-BE49-F238E27FC236}">
              <a16:creationId xmlns:a16="http://schemas.microsoft.com/office/drawing/2014/main" id="{25539853-19EF-FDE8-710E-DAFF38FE2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3" name="Picture 770">
          <a:extLst>
            <a:ext uri="{FF2B5EF4-FFF2-40B4-BE49-F238E27FC236}">
              <a16:creationId xmlns:a16="http://schemas.microsoft.com/office/drawing/2014/main" id="{CFE026B1-59D4-8FCF-A799-B1DA3032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4" name="Picture 771">
          <a:extLst>
            <a:ext uri="{FF2B5EF4-FFF2-40B4-BE49-F238E27FC236}">
              <a16:creationId xmlns:a16="http://schemas.microsoft.com/office/drawing/2014/main" id="{4923E6CF-FE95-4523-6B13-B0737918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5" name="Picture 772">
          <a:extLst>
            <a:ext uri="{FF2B5EF4-FFF2-40B4-BE49-F238E27FC236}">
              <a16:creationId xmlns:a16="http://schemas.microsoft.com/office/drawing/2014/main" id="{441F628A-DB5A-BA5F-73C0-4FFD54E8A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6" name="Picture 773">
          <a:extLst>
            <a:ext uri="{FF2B5EF4-FFF2-40B4-BE49-F238E27FC236}">
              <a16:creationId xmlns:a16="http://schemas.microsoft.com/office/drawing/2014/main" id="{247F3B33-FFBD-43A6-6A75-2B04F858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7" name="Picture 774">
          <a:extLst>
            <a:ext uri="{FF2B5EF4-FFF2-40B4-BE49-F238E27FC236}">
              <a16:creationId xmlns:a16="http://schemas.microsoft.com/office/drawing/2014/main" id="{BB58605D-8BFF-EBE3-72CA-09F5014F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8" name="Picture 775">
          <a:extLst>
            <a:ext uri="{FF2B5EF4-FFF2-40B4-BE49-F238E27FC236}">
              <a16:creationId xmlns:a16="http://schemas.microsoft.com/office/drawing/2014/main" id="{101BEB5D-487F-EAC6-B0D3-D5B9C965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9" name="Picture 776">
          <a:extLst>
            <a:ext uri="{FF2B5EF4-FFF2-40B4-BE49-F238E27FC236}">
              <a16:creationId xmlns:a16="http://schemas.microsoft.com/office/drawing/2014/main" id="{6A559BC4-2B96-B674-75F3-711C95C7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0" name="Picture 777">
          <a:extLst>
            <a:ext uri="{FF2B5EF4-FFF2-40B4-BE49-F238E27FC236}">
              <a16:creationId xmlns:a16="http://schemas.microsoft.com/office/drawing/2014/main" id="{61D2DD4B-AC0B-B0BD-201D-D563583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1" name="Picture 778">
          <a:extLst>
            <a:ext uri="{FF2B5EF4-FFF2-40B4-BE49-F238E27FC236}">
              <a16:creationId xmlns:a16="http://schemas.microsoft.com/office/drawing/2014/main" id="{AD107138-9F7D-69B2-A5AF-3765326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2" name="Picture 779">
          <a:extLst>
            <a:ext uri="{FF2B5EF4-FFF2-40B4-BE49-F238E27FC236}">
              <a16:creationId xmlns:a16="http://schemas.microsoft.com/office/drawing/2014/main" id="{9246FBC5-FD55-1BDD-DFB9-FFC7E2CEA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3" name="Picture 780">
          <a:extLst>
            <a:ext uri="{FF2B5EF4-FFF2-40B4-BE49-F238E27FC236}">
              <a16:creationId xmlns:a16="http://schemas.microsoft.com/office/drawing/2014/main" id="{CD90BE3F-EF81-1DF3-AA02-DEB04C8A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4" name="Picture 781">
          <a:extLst>
            <a:ext uri="{FF2B5EF4-FFF2-40B4-BE49-F238E27FC236}">
              <a16:creationId xmlns:a16="http://schemas.microsoft.com/office/drawing/2014/main" id="{D3A31415-720E-6A20-0BF0-8F79C368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5" name="Picture 782">
          <a:extLst>
            <a:ext uri="{FF2B5EF4-FFF2-40B4-BE49-F238E27FC236}">
              <a16:creationId xmlns:a16="http://schemas.microsoft.com/office/drawing/2014/main" id="{C17FFC18-AC7F-AD3C-897E-92C456A1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6" name="Picture 783">
          <a:extLst>
            <a:ext uri="{FF2B5EF4-FFF2-40B4-BE49-F238E27FC236}">
              <a16:creationId xmlns:a16="http://schemas.microsoft.com/office/drawing/2014/main" id="{50050BE7-C32D-AC9E-7AD7-88D9B95C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7" name="Picture 784">
          <a:extLst>
            <a:ext uri="{FF2B5EF4-FFF2-40B4-BE49-F238E27FC236}">
              <a16:creationId xmlns:a16="http://schemas.microsoft.com/office/drawing/2014/main" id="{411099BE-E9AC-DAEB-9EEA-F6241FDE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8" name="Picture 785">
          <a:extLst>
            <a:ext uri="{FF2B5EF4-FFF2-40B4-BE49-F238E27FC236}">
              <a16:creationId xmlns:a16="http://schemas.microsoft.com/office/drawing/2014/main" id="{9F7AE6D0-4A5A-63BC-530F-D2F8812F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9" name="Picture 786">
          <a:extLst>
            <a:ext uri="{FF2B5EF4-FFF2-40B4-BE49-F238E27FC236}">
              <a16:creationId xmlns:a16="http://schemas.microsoft.com/office/drawing/2014/main" id="{85BACD70-8E1C-ECB0-7821-C704B30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0" name="Picture 787">
          <a:extLst>
            <a:ext uri="{FF2B5EF4-FFF2-40B4-BE49-F238E27FC236}">
              <a16:creationId xmlns:a16="http://schemas.microsoft.com/office/drawing/2014/main" id="{427F0F27-86AB-0F23-C72D-7759712B8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1" name="Picture 788">
          <a:extLst>
            <a:ext uri="{FF2B5EF4-FFF2-40B4-BE49-F238E27FC236}">
              <a16:creationId xmlns:a16="http://schemas.microsoft.com/office/drawing/2014/main" id="{3304808E-EC2D-7DD5-84B0-C19E605E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2" name="Picture 789">
          <a:extLst>
            <a:ext uri="{FF2B5EF4-FFF2-40B4-BE49-F238E27FC236}">
              <a16:creationId xmlns:a16="http://schemas.microsoft.com/office/drawing/2014/main" id="{9F19AE70-24DA-CBCF-E52F-B5D47F27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3" name="Picture 790">
          <a:extLst>
            <a:ext uri="{FF2B5EF4-FFF2-40B4-BE49-F238E27FC236}">
              <a16:creationId xmlns:a16="http://schemas.microsoft.com/office/drawing/2014/main" id="{0C8D2EDF-AC20-B3F9-29CC-A4ECC3AB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4" name="Picture 791">
          <a:extLst>
            <a:ext uri="{FF2B5EF4-FFF2-40B4-BE49-F238E27FC236}">
              <a16:creationId xmlns:a16="http://schemas.microsoft.com/office/drawing/2014/main" id="{D33BA30B-C18B-D97B-62F5-47D226EA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5" name="Picture 792">
          <a:extLst>
            <a:ext uri="{FF2B5EF4-FFF2-40B4-BE49-F238E27FC236}">
              <a16:creationId xmlns:a16="http://schemas.microsoft.com/office/drawing/2014/main" id="{8324CB48-A0B6-1630-4CE5-78F1B6FF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6" name="Picture 793">
          <a:extLst>
            <a:ext uri="{FF2B5EF4-FFF2-40B4-BE49-F238E27FC236}">
              <a16:creationId xmlns:a16="http://schemas.microsoft.com/office/drawing/2014/main" id="{FAC5FA8C-6CA0-CA21-347A-F1831E26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7" name="Picture 794">
          <a:extLst>
            <a:ext uri="{FF2B5EF4-FFF2-40B4-BE49-F238E27FC236}">
              <a16:creationId xmlns:a16="http://schemas.microsoft.com/office/drawing/2014/main" id="{F08ABFFA-1BE4-DA02-541B-75B4CA34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8" name="Picture 795">
          <a:extLst>
            <a:ext uri="{FF2B5EF4-FFF2-40B4-BE49-F238E27FC236}">
              <a16:creationId xmlns:a16="http://schemas.microsoft.com/office/drawing/2014/main" id="{EB7DB791-D0B0-5B74-2C92-AC577E2F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9" name="Picture 796">
          <a:extLst>
            <a:ext uri="{FF2B5EF4-FFF2-40B4-BE49-F238E27FC236}">
              <a16:creationId xmlns:a16="http://schemas.microsoft.com/office/drawing/2014/main" id="{4720C6D7-FB6A-9929-5ED5-ECFE8C56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0" name="Picture 797">
          <a:extLst>
            <a:ext uri="{FF2B5EF4-FFF2-40B4-BE49-F238E27FC236}">
              <a16:creationId xmlns:a16="http://schemas.microsoft.com/office/drawing/2014/main" id="{8ACFCA42-2E1A-1E3D-A8A0-483F7C70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1" name="Picture 798">
          <a:extLst>
            <a:ext uri="{FF2B5EF4-FFF2-40B4-BE49-F238E27FC236}">
              <a16:creationId xmlns:a16="http://schemas.microsoft.com/office/drawing/2014/main" id="{9B3A75E0-2B51-E254-D332-53D3318E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2" name="Picture 799">
          <a:extLst>
            <a:ext uri="{FF2B5EF4-FFF2-40B4-BE49-F238E27FC236}">
              <a16:creationId xmlns:a16="http://schemas.microsoft.com/office/drawing/2014/main" id="{64D2957B-2532-967B-B79C-CD57164E5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3" name="Picture 800">
          <a:extLst>
            <a:ext uri="{FF2B5EF4-FFF2-40B4-BE49-F238E27FC236}">
              <a16:creationId xmlns:a16="http://schemas.microsoft.com/office/drawing/2014/main" id="{6B92774C-E88F-E7EA-D136-3B46D91A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4" name="Picture 801">
          <a:extLst>
            <a:ext uri="{FF2B5EF4-FFF2-40B4-BE49-F238E27FC236}">
              <a16:creationId xmlns:a16="http://schemas.microsoft.com/office/drawing/2014/main" id="{B74D02DC-C158-604B-C0E7-8F8E1782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5" name="Picture 802">
          <a:extLst>
            <a:ext uri="{FF2B5EF4-FFF2-40B4-BE49-F238E27FC236}">
              <a16:creationId xmlns:a16="http://schemas.microsoft.com/office/drawing/2014/main" id="{07AFDB89-8BB9-12E5-D2A5-7CAF0AA3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6" name="Picture 803">
          <a:extLst>
            <a:ext uri="{FF2B5EF4-FFF2-40B4-BE49-F238E27FC236}">
              <a16:creationId xmlns:a16="http://schemas.microsoft.com/office/drawing/2014/main" id="{D96043FF-1319-2CBC-5C29-43F36FCBE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7" name="Picture 804">
          <a:extLst>
            <a:ext uri="{FF2B5EF4-FFF2-40B4-BE49-F238E27FC236}">
              <a16:creationId xmlns:a16="http://schemas.microsoft.com/office/drawing/2014/main" id="{11E31E4C-5DB9-2281-CDBF-4AA1129F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8" name="Picture 805">
          <a:extLst>
            <a:ext uri="{FF2B5EF4-FFF2-40B4-BE49-F238E27FC236}">
              <a16:creationId xmlns:a16="http://schemas.microsoft.com/office/drawing/2014/main" id="{4D820EB7-B8C4-A3AF-5B91-51B6C4424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9" name="Picture 806">
          <a:extLst>
            <a:ext uri="{FF2B5EF4-FFF2-40B4-BE49-F238E27FC236}">
              <a16:creationId xmlns:a16="http://schemas.microsoft.com/office/drawing/2014/main" id="{25E2F19C-AC0B-4386-D7C6-62BC05A9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0" name="Picture 807">
          <a:extLst>
            <a:ext uri="{FF2B5EF4-FFF2-40B4-BE49-F238E27FC236}">
              <a16:creationId xmlns:a16="http://schemas.microsoft.com/office/drawing/2014/main" id="{0A1CCDA2-4D92-E675-2C60-78528275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1" name="Picture 808">
          <a:extLst>
            <a:ext uri="{FF2B5EF4-FFF2-40B4-BE49-F238E27FC236}">
              <a16:creationId xmlns:a16="http://schemas.microsoft.com/office/drawing/2014/main" id="{AC13A7E7-7F05-FDFC-605A-E7AE7C53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2" name="Picture 809">
          <a:extLst>
            <a:ext uri="{FF2B5EF4-FFF2-40B4-BE49-F238E27FC236}">
              <a16:creationId xmlns:a16="http://schemas.microsoft.com/office/drawing/2014/main" id="{3634D307-8A5B-4AF7-9825-6E7DF0BA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3" name="Picture 810">
          <a:extLst>
            <a:ext uri="{FF2B5EF4-FFF2-40B4-BE49-F238E27FC236}">
              <a16:creationId xmlns:a16="http://schemas.microsoft.com/office/drawing/2014/main" id="{28135289-8777-26DA-5A0D-289BBC96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4" name="Picture 811">
          <a:extLst>
            <a:ext uri="{FF2B5EF4-FFF2-40B4-BE49-F238E27FC236}">
              <a16:creationId xmlns:a16="http://schemas.microsoft.com/office/drawing/2014/main" id="{3FDDEC51-111F-29AB-B03D-2C841B37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5" name="Picture 812">
          <a:extLst>
            <a:ext uri="{FF2B5EF4-FFF2-40B4-BE49-F238E27FC236}">
              <a16:creationId xmlns:a16="http://schemas.microsoft.com/office/drawing/2014/main" id="{7E221E95-34DA-F3EE-56A2-967911D2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6" name="Picture 813">
          <a:extLst>
            <a:ext uri="{FF2B5EF4-FFF2-40B4-BE49-F238E27FC236}">
              <a16:creationId xmlns:a16="http://schemas.microsoft.com/office/drawing/2014/main" id="{45390B80-2DD2-2E0F-923F-00233E51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7" name="Picture 814">
          <a:extLst>
            <a:ext uri="{FF2B5EF4-FFF2-40B4-BE49-F238E27FC236}">
              <a16:creationId xmlns:a16="http://schemas.microsoft.com/office/drawing/2014/main" id="{8B462615-D3C3-A2E1-D10B-9F067CE7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8" name="Picture 815">
          <a:extLst>
            <a:ext uri="{FF2B5EF4-FFF2-40B4-BE49-F238E27FC236}">
              <a16:creationId xmlns:a16="http://schemas.microsoft.com/office/drawing/2014/main" id="{040DAEA0-D3D2-8105-9F77-02507982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9" name="Picture 816">
          <a:extLst>
            <a:ext uri="{FF2B5EF4-FFF2-40B4-BE49-F238E27FC236}">
              <a16:creationId xmlns:a16="http://schemas.microsoft.com/office/drawing/2014/main" id="{D81EF325-7803-B04D-DF6F-3B3C9FB6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0" name="Picture 817">
          <a:extLst>
            <a:ext uri="{FF2B5EF4-FFF2-40B4-BE49-F238E27FC236}">
              <a16:creationId xmlns:a16="http://schemas.microsoft.com/office/drawing/2014/main" id="{75453FEF-CF6D-F6C2-35B6-CF5E3C12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1" name="Picture 818">
          <a:extLst>
            <a:ext uri="{FF2B5EF4-FFF2-40B4-BE49-F238E27FC236}">
              <a16:creationId xmlns:a16="http://schemas.microsoft.com/office/drawing/2014/main" id="{37E6FE25-37BB-A96B-DB2C-65A3209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2" name="Picture 819">
          <a:extLst>
            <a:ext uri="{FF2B5EF4-FFF2-40B4-BE49-F238E27FC236}">
              <a16:creationId xmlns:a16="http://schemas.microsoft.com/office/drawing/2014/main" id="{C0AA3DF8-ECD0-D732-9BCF-7D163A0B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3" name="Picture 820">
          <a:extLst>
            <a:ext uri="{FF2B5EF4-FFF2-40B4-BE49-F238E27FC236}">
              <a16:creationId xmlns:a16="http://schemas.microsoft.com/office/drawing/2014/main" id="{6D1A7144-9775-6026-D323-0C40330C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4" name="Picture 821">
          <a:extLst>
            <a:ext uri="{FF2B5EF4-FFF2-40B4-BE49-F238E27FC236}">
              <a16:creationId xmlns:a16="http://schemas.microsoft.com/office/drawing/2014/main" id="{42160B5F-73D1-7579-4348-D6913E6D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5" name="Picture 822">
          <a:extLst>
            <a:ext uri="{FF2B5EF4-FFF2-40B4-BE49-F238E27FC236}">
              <a16:creationId xmlns:a16="http://schemas.microsoft.com/office/drawing/2014/main" id="{EED9B010-7BD1-009E-3F49-ABE50B47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6" name="Picture 823">
          <a:extLst>
            <a:ext uri="{FF2B5EF4-FFF2-40B4-BE49-F238E27FC236}">
              <a16:creationId xmlns:a16="http://schemas.microsoft.com/office/drawing/2014/main" id="{1155498E-F018-BBE2-8DD3-B773C11F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7" name="Picture 824">
          <a:extLst>
            <a:ext uri="{FF2B5EF4-FFF2-40B4-BE49-F238E27FC236}">
              <a16:creationId xmlns:a16="http://schemas.microsoft.com/office/drawing/2014/main" id="{56CD2DB6-ECC7-8467-AC82-B882B0CF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8" name="Picture 825">
          <a:extLst>
            <a:ext uri="{FF2B5EF4-FFF2-40B4-BE49-F238E27FC236}">
              <a16:creationId xmlns:a16="http://schemas.microsoft.com/office/drawing/2014/main" id="{7EAE06BA-A3C4-7C35-21E4-FC981258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9" name="Picture 826">
          <a:extLst>
            <a:ext uri="{FF2B5EF4-FFF2-40B4-BE49-F238E27FC236}">
              <a16:creationId xmlns:a16="http://schemas.microsoft.com/office/drawing/2014/main" id="{1BCDA8E9-4E49-C95C-7FD2-0080368D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0" name="Picture 827">
          <a:extLst>
            <a:ext uri="{FF2B5EF4-FFF2-40B4-BE49-F238E27FC236}">
              <a16:creationId xmlns:a16="http://schemas.microsoft.com/office/drawing/2014/main" id="{0676C1A5-9186-F0F9-AAB3-D79C4670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1" name="Picture 828">
          <a:extLst>
            <a:ext uri="{FF2B5EF4-FFF2-40B4-BE49-F238E27FC236}">
              <a16:creationId xmlns:a16="http://schemas.microsoft.com/office/drawing/2014/main" id="{835D199E-3756-407F-2BA1-4486E1B2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2" name="Picture 829">
          <a:extLst>
            <a:ext uri="{FF2B5EF4-FFF2-40B4-BE49-F238E27FC236}">
              <a16:creationId xmlns:a16="http://schemas.microsoft.com/office/drawing/2014/main" id="{CB9DF51C-41DE-B253-5EAE-3AF5A7763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3" name="Picture 830">
          <a:extLst>
            <a:ext uri="{FF2B5EF4-FFF2-40B4-BE49-F238E27FC236}">
              <a16:creationId xmlns:a16="http://schemas.microsoft.com/office/drawing/2014/main" id="{6AA6C15E-EC0C-C39D-216D-F1E47AD63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4" name="Picture 831">
          <a:extLst>
            <a:ext uri="{FF2B5EF4-FFF2-40B4-BE49-F238E27FC236}">
              <a16:creationId xmlns:a16="http://schemas.microsoft.com/office/drawing/2014/main" id="{E751B9E1-45AA-F7B4-8FB0-2E980599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5" name="Picture 832">
          <a:extLst>
            <a:ext uri="{FF2B5EF4-FFF2-40B4-BE49-F238E27FC236}">
              <a16:creationId xmlns:a16="http://schemas.microsoft.com/office/drawing/2014/main" id="{021249D0-B84A-FA6A-3B56-36A66AB1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6" name="Picture 833">
          <a:extLst>
            <a:ext uri="{FF2B5EF4-FFF2-40B4-BE49-F238E27FC236}">
              <a16:creationId xmlns:a16="http://schemas.microsoft.com/office/drawing/2014/main" id="{E89E31AD-DB3F-4740-E66C-C7B13E98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7" name="Picture 834">
          <a:extLst>
            <a:ext uri="{FF2B5EF4-FFF2-40B4-BE49-F238E27FC236}">
              <a16:creationId xmlns:a16="http://schemas.microsoft.com/office/drawing/2014/main" id="{5C891185-939C-E9FE-4FF1-BCE30A16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8" name="Picture 835">
          <a:extLst>
            <a:ext uri="{FF2B5EF4-FFF2-40B4-BE49-F238E27FC236}">
              <a16:creationId xmlns:a16="http://schemas.microsoft.com/office/drawing/2014/main" id="{9A73B7BA-D161-2537-9638-1070C273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9" name="Picture 836">
          <a:extLst>
            <a:ext uri="{FF2B5EF4-FFF2-40B4-BE49-F238E27FC236}">
              <a16:creationId xmlns:a16="http://schemas.microsoft.com/office/drawing/2014/main" id="{54D546B6-B632-2B01-A013-F75C131B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0" name="Picture 837">
          <a:extLst>
            <a:ext uri="{FF2B5EF4-FFF2-40B4-BE49-F238E27FC236}">
              <a16:creationId xmlns:a16="http://schemas.microsoft.com/office/drawing/2014/main" id="{EA6FD57A-2926-C3F5-7FD4-D92716BF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1" name="Picture 838">
          <a:extLst>
            <a:ext uri="{FF2B5EF4-FFF2-40B4-BE49-F238E27FC236}">
              <a16:creationId xmlns:a16="http://schemas.microsoft.com/office/drawing/2014/main" id="{9DB45EC3-F7E8-B6AA-F40F-4F09B015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2" name="Picture 839">
          <a:extLst>
            <a:ext uri="{FF2B5EF4-FFF2-40B4-BE49-F238E27FC236}">
              <a16:creationId xmlns:a16="http://schemas.microsoft.com/office/drawing/2014/main" id="{9BBD58F9-623A-68CE-8DB9-A7381E60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3" name="Picture 840">
          <a:extLst>
            <a:ext uri="{FF2B5EF4-FFF2-40B4-BE49-F238E27FC236}">
              <a16:creationId xmlns:a16="http://schemas.microsoft.com/office/drawing/2014/main" id="{DE4BFA11-1B71-20AD-CAAC-5D294558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4" name="Picture 841">
          <a:extLst>
            <a:ext uri="{FF2B5EF4-FFF2-40B4-BE49-F238E27FC236}">
              <a16:creationId xmlns:a16="http://schemas.microsoft.com/office/drawing/2014/main" id="{B48FB6B2-8447-8A16-5718-D50B9F18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5" name="Picture 842">
          <a:extLst>
            <a:ext uri="{FF2B5EF4-FFF2-40B4-BE49-F238E27FC236}">
              <a16:creationId xmlns:a16="http://schemas.microsoft.com/office/drawing/2014/main" id="{8C658BA6-6FFE-5FAB-2157-EBB96FDF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6" name="Picture 843">
          <a:extLst>
            <a:ext uri="{FF2B5EF4-FFF2-40B4-BE49-F238E27FC236}">
              <a16:creationId xmlns:a16="http://schemas.microsoft.com/office/drawing/2014/main" id="{17C76382-52DF-18F8-E629-F6A9A7D7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7" name="Picture 844">
          <a:extLst>
            <a:ext uri="{FF2B5EF4-FFF2-40B4-BE49-F238E27FC236}">
              <a16:creationId xmlns:a16="http://schemas.microsoft.com/office/drawing/2014/main" id="{22D3FDCB-32ED-BF0C-0D45-6D62BE7B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8" name="Picture 845">
          <a:extLst>
            <a:ext uri="{FF2B5EF4-FFF2-40B4-BE49-F238E27FC236}">
              <a16:creationId xmlns:a16="http://schemas.microsoft.com/office/drawing/2014/main" id="{2C2B44A6-7579-FE24-3314-9713995AF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9" name="Picture 846">
          <a:extLst>
            <a:ext uri="{FF2B5EF4-FFF2-40B4-BE49-F238E27FC236}">
              <a16:creationId xmlns:a16="http://schemas.microsoft.com/office/drawing/2014/main" id="{46201FBB-3E9E-840F-95A7-C1CCBA4A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0" name="Picture 847">
          <a:extLst>
            <a:ext uri="{FF2B5EF4-FFF2-40B4-BE49-F238E27FC236}">
              <a16:creationId xmlns:a16="http://schemas.microsoft.com/office/drawing/2014/main" id="{A2CB4AE2-7556-7E03-3761-2E4223A5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1" name="Picture 848">
          <a:extLst>
            <a:ext uri="{FF2B5EF4-FFF2-40B4-BE49-F238E27FC236}">
              <a16:creationId xmlns:a16="http://schemas.microsoft.com/office/drawing/2014/main" id="{B77EDD37-34E0-1369-FF05-6C7FAE01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2" name="Picture 849">
          <a:extLst>
            <a:ext uri="{FF2B5EF4-FFF2-40B4-BE49-F238E27FC236}">
              <a16:creationId xmlns:a16="http://schemas.microsoft.com/office/drawing/2014/main" id="{B352336E-84A2-BDB2-F45A-E417D3652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3" name="Picture 850">
          <a:extLst>
            <a:ext uri="{FF2B5EF4-FFF2-40B4-BE49-F238E27FC236}">
              <a16:creationId xmlns:a16="http://schemas.microsoft.com/office/drawing/2014/main" id="{1B941067-F190-3B44-76CF-ACBD3E0C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4" name="Picture 851">
          <a:extLst>
            <a:ext uri="{FF2B5EF4-FFF2-40B4-BE49-F238E27FC236}">
              <a16:creationId xmlns:a16="http://schemas.microsoft.com/office/drawing/2014/main" id="{42825CF7-0A6C-105F-03EB-BC369EE9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5" name="Picture 852">
          <a:extLst>
            <a:ext uri="{FF2B5EF4-FFF2-40B4-BE49-F238E27FC236}">
              <a16:creationId xmlns:a16="http://schemas.microsoft.com/office/drawing/2014/main" id="{AED22089-2267-962F-D391-7993C216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6" name="Picture 853">
          <a:extLst>
            <a:ext uri="{FF2B5EF4-FFF2-40B4-BE49-F238E27FC236}">
              <a16:creationId xmlns:a16="http://schemas.microsoft.com/office/drawing/2014/main" id="{4BE65124-5B64-9E66-81A8-A0A7C37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7" name="Picture 854">
          <a:extLst>
            <a:ext uri="{FF2B5EF4-FFF2-40B4-BE49-F238E27FC236}">
              <a16:creationId xmlns:a16="http://schemas.microsoft.com/office/drawing/2014/main" id="{AC00461C-2329-C0B0-CB45-947205EF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8" name="Picture 855">
          <a:extLst>
            <a:ext uri="{FF2B5EF4-FFF2-40B4-BE49-F238E27FC236}">
              <a16:creationId xmlns:a16="http://schemas.microsoft.com/office/drawing/2014/main" id="{5867432F-CF6D-6886-C44E-F613FB3F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9" name="Picture 856">
          <a:extLst>
            <a:ext uri="{FF2B5EF4-FFF2-40B4-BE49-F238E27FC236}">
              <a16:creationId xmlns:a16="http://schemas.microsoft.com/office/drawing/2014/main" id="{C9FFC0AF-82F3-7C1B-F475-2007A1FF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0" name="Picture 857">
          <a:extLst>
            <a:ext uri="{FF2B5EF4-FFF2-40B4-BE49-F238E27FC236}">
              <a16:creationId xmlns:a16="http://schemas.microsoft.com/office/drawing/2014/main" id="{165D9484-26F4-A4E8-08D4-5A974574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1" name="Picture 858">
          <a:extLst>
            <a:ext uri="{FF2B5EF4-FFF2-40B4-BE49-F238E27FC236}">
              <a16:creationId xmlns:a16="http://schemas.microsoft.com/office/drawing/2014/main" id="{E649C645-F982-3254-B8B1-69A58379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2" name="Picture 859">
          <a:extLst>
            <a:ext uri="{FF2B5EF4-FFF2-40B4-BE49-F238E27FC236}">
              <a16:creationId xmlns:a16="http://schemas.microsoft.com/office/drawing/2014/main" id="{D49E5554-C8E3-62F1-59A4-1D2D0FDF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3" name="Picture 860">
          <a:extLst>
            <a:ext uri="{FF2B5EF4-FFF2-40B4-BE49-F238E27FC236}">
              <a16:creationId xmlns:a16="http://schemas.microsoft.com/office/drawing/2014/main" id="{F96A11E8-A37C-7EAF-6224-9B0AF3B3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4" name="Picture 861">
          <a:extLst>
            <a:ext uri="{FF2B5EF4-FFF2-40B4-BE49-F238E27FC236}">
              <a16:creationId xmlns:a16="http://schemas.microsoft.com/office/drawing/2014/main" id="{6C17EF17-0E79-5C03-F570-FE27FA53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5" name="Picture 862">
          <a:extLst>
            <a:ext uri="{FF2B5EF4-FFF2-40B4-BE49-F238E27FC236}">
              <a16:creationId xmlns:a16="http://schemas.microsoft.com/office/drawing/2014/main" id="{0C16BE6D-43B8-503A-217C-BA25DBC3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6" name="Picture 863">
          <a:extLst>
            <a:ext uri="{FF2B5EF4-FFF2-40B4-BE49-F238E27FC236}">
              <a16:creationId xmlns:a16="http://schemas.microsoft.com/office/drawing/2014/main" id="{D1784920-1B7D-D046-72DC-28009AC5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7" name="Picture 864">
          <a:extLst>
            <a:ext uri="{FF2B5EF4-FFF2-40B4-BE49-F238E27FC236}">
              <a16:creationId xmlns:a16="http://schemas.microsoft.com/office/drawing/2014/main" id="{37620813-43BC-260D-9ADA-19E365A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8" name="Picture 865">
          <a:extLst>
            <a:ext uri="{FF2B5EF4-FFF2-40B4-BE49-F238E27FC236}">
              <a16:creationId xmlns:a16="http://schemas.microsoft.com/office/drawing/2014/main" id="{490E8317-2F4A-B9E2-2FE6-A145B5A5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9" name="Picture 866">
          <a:extLst>
            <a:ext uri="{FF2B5EF4-FFF2-40B4-BE49-F238E27FC236}">
              <a16:creationId xmlns:a16="http://schemas.microsoft.com/office/drawing/2014/main" id="{12B7A253-8871-EEE1-036D-F873AAB2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0" name="Picture 867">
          <a:extLst>
            <a:ext uri="{FF2B5EF4-FFF2-40B4-BE49-F238E27FC236}">
              <a16:creationId xmlns:a16="http://schemas.microsoft.com/office/drawing/2014/main" id="{6CF8C02F-2886-D70F-D8AC-16256A0A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1" name="Picture 868">
          <a:extLst>
            <a:ext uri="{FF2B5EF4-FFF2-40B4-BE49-F238E27FC236}">
              <a16:creationId xmlns:a16="http://schemas.microsoft.com/office/drawing/2014/main" id="{4557CA37-9CB6-F955-6791-63B201E26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2" name="Picture 869">
          <a:extLst>
            <a:ext uri="{FF2B5EF4-FFF2-40B4-BE49-F238E27FC236}">
              <a16:creationId xmlns:a16="http://schemas.microsoft.com/office/drawing/2014/main" id="{F04DF92B-541B-64D7-8B8A-F12C2891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3" name="Picture 870">
          <a:extLst>
            <a:ext uri="{FF2B5EF4-FFF2-40B4-BE49-F238E27FC236}">
              <a16:creationId xmlns:a16="http://schemas.microsoft.com/office/drawing/2014/main" id="{D990DE87-86DB-C8A5-071F-2BCC2559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4" name="Picture 871">
          <a:extLst>
            <a:ext uri="{FF2B5EF4-FFF2-40B4-BE49-F238E27FC236}">
              <a16:creationId xmlns:a16="http://schemas.microsoft.com/office/drawing/2014/main" id="{11AE3508-DAD7-7251-F843-423B906D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5" name="Picture 872">
          <a:extLst>
            <a:ext uri="{FF2B5EF4-FFF2-40B4-BE49-F238E27FC236}">
              <a16:creationId xmlns:a16="http://schemas.microsoft.com/office/drawing/2014/main" id="{F6A0332D-795F-AA82-6D58-6D4DD3A48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6" name="Picture 873">
          <a:extLst>
            <a:ext uri="{FF2B5EF4-FFF2-40B4-BE49-F238E27FC236}">
              <a16:creationId xmlns:a16="http://schemas.microsoft.com/office/drawing/2014/main" id="{7F92BF85-89E3-50C6-533F-4E4B8D42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7" name="Picture 874">
          <a:extLst>
            <a:ext uri="{FF2B5EF4-FFF2-40B4-BE49-F238E27FC236}">
              <a16:creationId xmlns:a16="http://schemas.microsoft.com/office/drawing/2014/main" id="{B9F3F76F-2F79-9DDF-3B85-767E7D6B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8" name="Picture 875">
          <a:extLst>
            <a:ext uri="{FF2B5EF4-FFF2-40B4-BE49-F238E27FC236}">
              <a16:creationId xmlns:a16="http://schemas.microsoft.com/office/drawing/2014/main" id="{BA6FC77E-7624-5416-C5FA-FB2970E6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9" name="Picture 876">
          <a:extLst>
            <a:ext uri="{FF2B5EF4-FFF2-40B4-BE49-F238E27FC236}">
              <a16:creationId xmlns:a16="http://schemas.microsoft.com/office/drawing/2014/main" id="{419DD39D-B8D1-CEFC-E6F6-E1C1592D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0" name="Picture 877">
          <a:extLst>
            <a:ext uri="{FF2B5EF4-FFF2-40B4-BE49-F238E27FC236}">
              <a16:creationId xmlns:a16="http://schemas.microsoft.com/office/drawing/2014/main" id="{3F347D39-631F-D66D-6955-F395D1A2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1" name="Picture 878">
          <a:extLst>
            <a:ext uri="{FF2B5EF4-FFF2-40B4-BE49-F238E27FC236}">
              <a16:creationId xmlns:a16="http://schemas.microsoft.com/office/drawing/2014/main" id="{8E0BD76C-8C93-2467-D759-EE9B7A42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2" name="Picture 879">
          <a:extLst>
            <a:ext uri="{FF2B5EF4-FFF2-40B4-BE49-F238E27FC236}">
              <a16:creationId xmlns:a16="http://schemas.microsoft.com/office/drawing/2014/main" id="{D9ACDF35-EFFF-9927-FE3E-674F67141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3" name="Picture 880">
          <a:extLst>
            <a:ext uri="{FF2B5EF4-FFF2-40B4-BE49-F238E27FC236}">
              <a16:creationId xmlns:a16="http://schemas.microsoft.com/office/drawing/2014/main" id="{5793F470-DD02-F325-7159-D9CC68E2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4" name="Picture 881">
          <a:extLst>
            <a:ext uri="{FF2B5EF4-FFF2-40B4-BE49-F238E27FC236}">
              <a16:creationId xmlns:a16="http://schemas.microsoft.com/office/drawing/2014/main" id="{259FAF03-5E4A-E3A5-EEE2-1B50EE4E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5" name="Picture 882">
          <a:extLst>
            <a:ext uri="{FF2B5EF4-FFF2-40B4-BE49-F238E27FC236}">
              <a16:creationId xmlns:a16="http://schemas.microsoft.com/office/drawing/2014/main" id="{8CDBBD50-FF09-A230-E44F-620F45F1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6" name="Picture 883">
          <a:extLst>
            <a:ext uri="{FF2B5EF4-FFF2-40B4-BE49-F238E27FC236}">
              <a16:creationId xmlns:a16="http://schemas.microsoft.com/office/drawing/2014/main" id="{AD38258E-7448-5874-7637-29E662C0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7" name="Picture 884">
          <a:extLst>
            <a:ext uri="{FF2B5EF4-FFF2-40B4-BE49-F238E27FC236}">
              <a16:creationId xmlns:a16="http://schemas.microsoft.com/office/drawing/2014/main" id="{BEB08ABE-B3C6-2D9F-78FA-27040184C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8" name="Picture 885">
          <a:extLst>
            <a:ext uri="{FF2B5EF4-FFF2-40B4-BE49-F238E27FC236}">
              <a16:creationId xmlns:a16="http://schemas.microsoft.com/office/drawing/2014/main" id="{C08EFBE1-DEE5-3A23-C3BE-6629B3A29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9" name="Picture 886">
          <a:extLst>
            <a:ext uri="{FF2B5EF4-FFF2-40B4-BE49-F238E27FC236}">
              <a16:creationId xmlns:a16="http://schemas.microsoft.com/office/drawing/2014/main" id="{CF1AD0EA-2823-E319-B5D9-D04600C2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0" name="Picture 887">
          <a:extLst>
            <a:ext uri="{FF2B5EF4-FFF2-40B4-BE49-F238E27FC236}">
              <a16:creationId xmlns:a16="http://schemas.microsoft.com/office/drawing/2014/main" id="{415A8F11-84C9-0036-6AB4-1ACB1136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1" name="Picture 888">
          <a:extLst>
            <a:ext uri="{FF2B5EF4-FFF2-40B4-BE49-F238E27FC236}">
              <a16:creationId xmlns:a16="http://schemas.microsoft.com/office/drawing/2014/main" id="{6634517A-66EB-D310-44B5-4583BAD5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2" name="Picture 889">
          <a:extLst>
            <a:ext uri="{FF2B5EF4-FFF2-40B4-BE49-F238E27FC236}">
              <a16:creationId xmlns:a16="http://schemas.microsoft.com/office/drawing/2014/main" id="{ABFF4254-5AED-57D4-3225-30CC165F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3" name="Picture 890">
          <a:extLst>
            <a:ext uri="{FF2B5EF4-FFF2-40B4-BE49-F238E27FC236}">
              <a16:creationId xmlns:a16="http://schemas.microsoft.com/office/drawing/2014/main" id="{495A284B-8F0F-F26E-E1E4-66E2A897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4" name="Picture 891">
          <a:extLst>
            <a:ext uri="{FF2B5EF4-FFF2-40B4-BE49-F238E27FC236}">
              <a16:creationId xmlns:a16="http://schemas.microsoft.com/office/drawing/2014/main" id="{C1354091-8961-4D14-1FC0-C0B9286C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5" name="Picture 892">
          <a:extLst>
            <a:ext uri="{FF2B5EF4-FFF2-40B4-BE49-F238E27FC236}">
              <a16:creationId xmlns:a16="http://schemas.microsoft.com/office/drawing/2014/main" id="{F5806D09-F043-3F68-543A-EB32193A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6" name="Picture 893">
          <a:extLst>
            <a:ext uri="{FF2B5EF4-FFF2-40B4-BE49-F238E27FC236}">
              <a16:creationId xmlns:a16="http://schemas.microsoft.com/office/drawing/2014/main" id="{1E0D1323-F3FF-D7DA-C7B9-2F0A7B26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7" name="Picture 894">
          <a:extLst>
            <a:ext uri="{FF2B5EF4-FFF2-40B4-BE49-F238E27FC236}">
              <a16:creationId xmlns:a16="http://schemas.microsoft.com/office/drawing/2014/main" id="{8E3D4A24-5E55-FE1C-0237-B996E230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8" name="Picture 895">
          <a:extLst>
            <a:ext uri="{FF2B5EF4-FFF2-40B4-BE49-F238E27FC236}">
              <a16:creationId xmlns:a16="http://schemas.microsoft.com/office/drawing/2014/main" id="{0436F58F-24CA-6DEF-88D3-A54AECFA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9" name="Picture 896">
          <a:extLst>
            <a:ext uri="{FF2B5EF4-FFF2-40B4-BE49-F238E27FC236}">
              <a16:creationId xmlns:a16="http://schemas.microsoft.com/office/drawing/2014/main" id="{69B0A509-E3F3-F158-D2F7-7F2F88BEA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0" name="Picture 897">
          <a:extLst>
            <a:ext uri="{FF2B5EF4-FFF2-40B4-BE49-F238E27FC236}">
              <a16:creationId xmlns:a16="http://schemas.microsoft.com/office/drawing/2014/main" id="{D486C0C6-2130-B45E-3ED4-5B16E2DA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1" name="Picture 898">
          <a:extLst>
            <a:ext uri="{FF2B5EF4-FFF2-40B4-BE49-F238E27FC236}">
              <a16:creationId xmlns:a16="http://schemas.microsoft.com/office/drawing/2014/main" id="{E73E73B8-E0FD-8982-E350-7E1A438D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2" name="Picture 899">
          <a:extLst>
            <a:ext uri="{FF2B5EF4-FFF2-40B4-BE49-F238E27FC236}">
              <a16:creationId xmlns:a16="http://schemas.microsoft.com/office/drawing/2014/main" id="{200C1A72-44EF-A5AC-0979-7CE62B8E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3" name="Picture 900">
          <a:extLst>
            <a:ext uri="{FF2B5EF4-FFF2-40B4-BE49-F238E27FC236}">
              <a16:creationId xmlns:a16="http://schemas.microsoft.com/office/drawing/2014/main" id="{6D89E092-827A-D041-C2C4-E0DD2D2E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4" name="Picture 901">
          <a:extLst>
            <a:ext uri="{FF2B5EF4-FFF2-40B4-BE49-F238E27FC236}">
              <a16:creationId xmlns:a16="http://schemas.microsoft.com/office/drawing/2014/main" id="{CE33558A-D01B-BFD5-2CC7-87A72D7C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5" name="Picture 902">
          <a:extLst>
            <a:ext uri="{FF2B5EF4-FFF2-40B4-BE49-F238E27FC236}">
              <a16:creationId xmlns:a16="http://schemas.microsoft.com/office/drawing/2014/main" id="{7CC03BE9-9FA7-B99D-75EB-1B570C7B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6" name="Picture 903">
          <a:extLst>
            <a:ext uri="{FF2B5EF4-FFF2-40B4-BE49-F238E27FC236}">
              <a16:creationId xmlns:a16="http://schemas.microsoft.com/office/drawing/2014/main" id="{EF2A6E3A-1757-F0CE-D804-B35F779E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7" name="Picture 904">
          <a:extLst>
            <a:ext uri="{FF2B5EF4-FFF2-40B4-BE49-F238E27FC236}">
              <a16:creationId xmlns:a16="http://schemas.microsoft.com/office/drawing/2014/main" id="{0D37C4D4-00E3-7708-E93F-652F721F1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8" name="Picture 905">
          <a:extLst>
            <a:ext uri="{FF2B5EF4-FFF2-40B4-BE49-F238E27FC236}">
              <a16:creationId xmlns:a16="http://schemas.microsoft.com/office/drawing/2014/main" id="{7C8F7C2C-C1E2-899D-E99E-27991429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9" name="Picture 906">
          <a:extLst>
            <a:ext uri="{FF2B5EF4-FFF2-40B4-BE49-F238E27FC236}">
              <a16:creationId xmlns:a16="http://schemas.microsoft.com/office/drawing/2014/main" id="{86CDECE6-3C77-ED9B-615E-A098F9C7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0" name="Picture 907">
          <a:extLst>
            <a:ext uri="{FF2B5EF4-FFF2-40B4-BE49-F238E27FC236}">
              <a16:creationId xmlns:a16="http://schemas.microsoft.com/office/drawing/2014/main" id="{B6A5906D-2662-FD13-7743-6439A427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1" name="Picture 908">
          <a:extLst>
            <a:ext uri="{FF2B5EF4-FFF2-40B4-BE49-F238E27FC236}">
              <a16:creationId xmlns:a16="http://schemas.microsoft.com/office/drawing/2014/main" id="{0DAD1D2A-E0E2-645B-752F-78E4988D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2" name="Picture 909">
          <a:extLst>
            <a:ext uri="{FF2B5EF4-FFF2-40B4-BE49-F238E27FC236}">
              <a16:creationId xmlns:a16="http://schemas.microsoft.com/office/drawing/2014/main" id="{5ACF00C7-410C-6129-E396-E855CC80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3" name="Picture 910">
          <a:extLst>
            <a:ext uri="{FF2B5EF4-FFF2-40B4-BE49-F238E27FC236}">
              <a16:creationId xmlns:a16="http://schemas.microsoft.com/office/drawing/2014/main" id="{F4B74765-97B2-A312-AF2B-130312E8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4" name="Picture 911">
          <a:extLst>
            <a:ext uri="{FF2B5EF4-FFF2-40B4-BE49-F238E27FC236}">
              <a16:creationId xmlns:a16="http://schemas.microsoft.com/office/drawing/2014/main" id="{26E5D4F1-5605-B5B9-CABC-D56226F5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5" name="Picture 912">
          <a:extLst>
            <a:ext uri="{FF2B5EF4-FFF2-40B4-BE49-F238E27FC236}">
              <a16:creationId xmlns:a16="http://schemas.microsoft.com/office/drawing/2014/main" id="{FC5ED69A-EA49-0CD0-BE2D-84156961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6" name="Picture 913">
          <a:extLst>
            <a:ext uri="{FF2B5EF4-FFF2-40B4-BE49-F238E27FC236}">
              <a16:creationId xmlns:a16="http://schemas.microsoft.com/office/drawing/2014/main" id="{3739F086-A85A-AA3A-A377-C35A6FD5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7" name="Picture 914">
          <a:extLst>
            <a:ext uri="{FF2B5EF4-FFF2-40B4-BE49-F238E27FC236}">
              <a16:creationId xmlns:a16="http://schemas.microsoft.com/office/drawing/2014/main" id="{BE462F6B-442F-11FF-F884-F0D47DBD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8" name="Picture 915">
          <a:extLst>
            <a:ext uri="{FF2B5EF4-FFF2-40B4-BE49-F238E27FC236}">
              <a16:creationId xmlns:a16="http://schemas.microsoft.com/office/drawing/2014/main" id="{CD983054-5D60-5152-F118-405B8AB1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9" name="Picture 916">
          <a:extLst>
            <a:ext uri="{FF2B5EF4-FFF2-40B4-BE49-F238E27FC236}">
              <a16:creationId xmlns:a16="http://schemas.microsoft.com/office/drawing/2014/main" id="{9EF99C9B-A1E8-0084-CAFB-92D886507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0" name="Picture 917">
          <a:extLst>
            <a:ext uri="{FF2B5EF4-FFF2-40B4-BE49-F238E27FC236}">
              <a16:creationId xmlns:a16="http://schemas.microsoft.com/office/drawing/2014/main" id="{85B996BB-BC7C-2464-970E-ECC1C160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1" name="Picture 918">
          <a:extLst>
            <a:ext uri="{FF2B5EF4-FFF2-40B4-BE49-F238E27FC236}">
              <a16:creationId xmlns:a16="http://schemas.microsoft.com/office/drawing/2014/main" id="{1E241608-FC52-C06C-AEC3-1EF477E6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2" name="Picture 919">
          <a:extLst>
            <a:ext uri="{FF2B5EF4-FFF2-40B4-BE49-F238E27FC236}">
              <a16:creationId xmlns:a16="http://schemas.microsoft.com/office/drawing/2014/main" id="{4F284659-9099-E056-89E1-C766EB14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3" name="Picture 920">
          <a:extLst>
            <a:ext uri="{FF2B5EF4-FFF2-40B4-BE49-F238E27FC236}">
              <a16:creationId xmlns:a16="http://schemas.microsoft.com/office/drawing/2014/main" id="{122FA6D8-EF78-42A9-E33E-779BB48D3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4" name="Picture 921">
          <a:extLst>
            <a:ext uri="{FF2B5EF4-FFF2-40B4-BE49-F238E27FC236}">
              <a16:creationId xmlns:a16="http://schemas.microsoft.com/office/drawing/2014/main" id="{FC26AB91-29A7-07BA-C428-CBFC33C0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5" name="Picture 922">
          <a:extLst>
            <a:ext uri="{FF2B5EF4-FFF2-40B4-BE49-F238E27FC236}">
              <a16:creationId xmlns:a16="http://schemas.microsoft.com/office/drawing/2014/main" id="{0EA15EE9-7C27-2F41-8A50-35F493C8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6" name="Picture 923">
          <a:extLst>
            <a:ext uri="{FF2B5EF4-FFF2-40B4-BE49-F238E27FC236}">
              <a16:creationId xmlns:a16="http://schemas.microsoft.com/office/drawing/2014/main" id="{438FCD0F-5B07-4BEE-6C73-85409946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7" name="Picture 924">
          <a:extLst>
            <a:ext uri="{FF2B5EF4-FFF2-40B4-BE49-F238E27FC236}">
              <a16:creationId xmlns:a16="http://schemas.microsoft.com/office/drawing/2014/main" id="{F169C2AC-0DC3-D0FF-6209-E15AC81D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8" name="Picture 925">
          <a:extLst>
            <a:ext uri="{FF2B5EF4-FFF2-40B4-BE49-F238E27FC236}">
              <a16:creationId xmlns:a16="http://schemas.microsoft.com/office/drawing/2014/main" id="{FB9C56EB-FF5A-E9E3-DDE2-602B4A94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9" name="Picture 926">
          <a:extLst>
            <a:ext uri="{FF2B5EF4-FFF2-40B4-BE49-F238E27FC236}">
              <a16:creationId xmlns:a16="http://schemas.microsoft.com/office/drawing/2014/main" id="{E1C19F03-A5D3-426A-58B9-3C74F4BF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0" name="Picture 927">
          <a:extLst>
            <a:ext uri="{FF2B5EF4-FFF2-40B4-BE49-F238E27FC236}">
              <a16:creationId xmlns:a16="http://schemas.microsoft.com/office/drawing/2014/main" id="{9748CCCE-EA8A-29FB-4A81-BC85EE1E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1" name="Picture 928">
          <a:extLst>
            <a:ext uri="{FF2B5EF4-FFF2-40B4-BE49-F238E27FC236}">
              <a16:creationId xmlns:a16="http://schemas.microsoft.com/office/drawing/2014/main" id="{1DE6137A-9EA1-2C56-5F3C-BE0E486B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2" name="Picture 929">
          <a:extLst>
            <a:ext uri="{FF2B5EF4-FFF2-40B4-BE49-F238E27FC236}">
              <a16:creationId xmlns:a16="http://schemas.microsoft.com/office/drawing/2014/main" id="{D91BCE11-E0AA-34C7-AF1C-24A23E89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3" name="Picture 930">
          <a:extLst>
            <a:ext uri="{FF2B5EF4-FFF2-40B4-BE49-F238E27FC236}">
              <a16:creationId xmlns:a16="http://schemas.microsoft.com/office/drawing/2014/main" id="{8034A233-0D51-100A-D810-B9400832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4" name="Picture 931">
          <a:extLst>
            <a:ext uri="{FF2B5EF4-FFF2-40B4-BE49-F238E27FC236}">
              <a16:creationId xmlns:a16="http://schemas.microsoft.com/office/drawing/2014/main" id="{FE507648-786F-EBB5-812C-DD74B9F0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5" name="Picture 932">
          <a:extLst>
            <a:ext uri="{FF2B5EF4-FFF2-40B4-BE49-F238E27FC236}">
              <a16:creationId xmlns:a16="http://schemas.microsoft.com/office/drawing/2014/main" id="{25E1EC78-C5CD-7120-C1DD-460BF4A4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6" name="Picture 933">
          <a:extLst>
            <a:ext uri="{FF2B5EF4-FFF2-40B4-BE49-F238E27FC236}">
              <a16:creationId xmlns:a16="http://schemas.microsoft.com/office/drawing/2014/main" id="{FFECFD1B-B459-AC45-1087-4FC1FCF1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7" name="Picture 934">
          <a:extLst>
            <a:ext uri="{FF2B5EF4-FFF2-40B4-BE49-F238E27FC236}">
              <a16:creationId xmlns:a16="http://schemas.microsoft.com/office/drawing/2014/main" id="{2DA67CB0-0BEB-3ED2-13E6-B367AB3A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8" name="Picture 935">
          <a:extLst>
            <a:ext uri="{FF2B5EF4-FFF2-40B4-BE49-F238E27FC236}">
              <a16:creationId xmlns:a16="http://schemas.microsoft.com/office/drawing/2014/main" id="{DA25243F-D76A-CE0C-429E-75C3DAD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9" name="Picture 936">
          <a:extLst>
            <a:ext uri="{FF2B5EF4-FFF2-40B4-BE49-F238E27FC236}">
              <a16:creationId xmlns:a16="http://schemas.microsoft.com/office/drawing/2014/main" id="{4094AD64-A680-33F6-D1DC-BB576848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0" name="Picture 937">
          <a:extLst>
            <a:ext uri="{FF2B5EF4-FFF2-40B4-BE49-F238E27FC236}">
              <a16:creationId xmlns:a16="http://schemas.microsoft.com/office/drawing/2014/main" id="{895CB5CB-E730-0D40-7224-6D35626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1" name="Picture 938">
          <a:extLst>
            <a:ext uri="{FF2B5EF4-FFF2-40B4-BE49-F238E27FC236}">
              <a16:creationId xmlns:a16="http://schemas.microsoft.com/office/drawing/2014/main" id="{872DA5BA-065C-45B7-B124-E00B75D6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2" name="Picture 939">
          <a:extLst>
            <a:ext uri="{FF2B5EF4-FFF2-40B4-BE49-F238E27FC236}">
              <a16:creationId xmlns:a16="http://schemas.microsoft.com/office/drawing/2014/main" id="{B76DE997-69A9-7FB0-3914-EB0CDC5BE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3" name="Picture 940">
          <a:extLst>
            <a:ext uri="{FF2B5EF4-FFF2-40B4-BE49-F238E27FC236}">
              <a16:creationId xmlns:a16="http://schemas.microsoft.com/office/drawing/2014/main" id="{353ACCB3-737C-BC34-1CCD-7B8CD4D0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4" name="Picture 941">
          <a:extLst>
            <a:ext uri="{FF2B5EF4-FFF2-40B4-BE49-F238E27FC236}">
              <a16:creationId xmlns:a16="http://schemas.microsoft.com/office/drawing/2014/main" id="{2C0B55D9-86EC-2B47-0E0D-C790F0C8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5" name="Picture 942">
          <a:extLst>
            <a:ext uri="{FF2B5EF4-FFF2-40B4-BE49-F238E27FC236}">
              <a16:creationId xmlns:a16="http://schemas.microsoft.com/office/drawing/2014/main" id="{ABB582FB-9799-C306-A6EF-6F95504D0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6" name="Picture 943">
          <a:extLst>
            <a:ext uri="{FF2B5EF4-FFF2-40B4-BE49-F238E27FC236}">
              <a16:creationId xmlns:a16="http://schemas.microsoft.com/office/drawing/2014/main" id="{200D0813-71D2-2CDA-BE68-1DBA9BC9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7" name="Picture 944">
          <a:extLst>
            <a:ext uri="{FF2B5EF4-FFF2-40B4-BE49-F238E27FC236}">
              <a16:creationId xmlns:a16="http://schemas.microsoft.com/office/drawing/2014/main" id="{D7292D73-C0C0-1932-068E-F89D1D45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8" name="Picture 945">
          <a:extLst>
            <a:ext uri="{FF2B5EF4-FFF2-40B4-BE49-F238E27FC236}">
              <a16:creationId xmlns:a16="http://schemas.microsoft.com/office/drawing/2014/main" id="{3F02501E-FE9C-2A05-42FD-DA1EF180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9" name="Picture 946">
          <a:extLst>
            <a:ext uri="{FF2B5EF4-FFF2-40B4-BE49-F238E27FC236}">
              <a16:creationId xmlns:a16="http://schemas.microsoft.com/office/drawing/2014/main" id="{2994CA2E-E84D-33D5-C9DF-BD7E3DEC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0" name="Picture 947">
          <a:extLst>
            <a:ext uri="{FF2B5EF4-FFF2-40B4-BE49-F238E27FC236}">
              <a16:creationId xmlns:a16="http://schemas.microsoft.com/office/drawing/2014/main" id="{D28C2FBE-6CAA-E39D-6D60-19B2643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1" name="Picture 948">
          <a:extLst>
            <a:ext uri="{FF2B5EF4-FFF2-40B4-BE49-F238E27FC236}">
              <a16:creationId xmlns:a16="http://schemas.microsoft.com/office/drawing/2014/main" id="{F997E226-F4C9-0758-19DE-75234091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2" name="Picture 949">
          <a:extLst>
            <a:ext uri="{FF2B5EF4-FFF2-40B4-BE49-F238E27FC236}">
              <a16:creationId xmlns:a16="http://schemas.microsoft.com/office/drawing/2014/main" id="{44D0E27D-5A6C-CAFD-8BB8-09FF6E2C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3" name="Picture 950">
          <a:extLst>
            <a:ext uri="{FF2B5EF4-FFF2-40B4-BE49-F238E27FC236}">
              <a16:creationId xmlns:a16="http://schemas.microsoft.com/office/drawing/2014/main" id="{88F03AE4-70DF-2F62-DA26-20ECC039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4" name="Picture 951">
          <a:extLst>
            <a:ext uri="{FF2B5EF4-FFF2-40B4-BE49-F238E27FC236}">
              <a16:creationId xmlns:a16="http://schemas.microsoft.com/office/drawing/2014/main" id="{983D5DFD-90BD-8A27-6ADB-FA0603F7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5" name="Picture 952">
          <a:extLst>
            <a:ext uri="{FF2B5EF4-FFF2-40B4-BE49-F238E27FC236}">
              <a16:creationId xmlns:a16="http://schemas.microsoft.com/office/drawing/2014/main" id="{34338FC5-E909-DA31-BAA8-E7729EB6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6" name="Picture 953">
          <a:extLst>
            <a:ext uri="{FF2B5EF4-FFF2-40B4-BE49-F238E27FC236}">
              <a16:creationId xmlns:a16="http://schemas.microsoft.com/office/drawing/2014/main" id="{5BB9443D-4393-369D-6C51-95E09241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7" name="Picture 954">
          <a:extLst>
            <a:ext uri="{FF2B5EF4-FFF2-40B4-BE49-F238E27FC236}">
              <a16:creationId xmlns:a16="http://schemas.microsoft.com/office/drawing/2014/main" id="{BA0B29FC-499A-1026-8FC7-0A5CAE71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8" name="Picture 955">
          <a:extLst>
            <a:ext uri="{FF2B5EF4-FFF2-40B4-BE49-F238E27FC236}">
              <a16:creationId xmlns:a16="http://schemas.microsoft.com/office/drawing/2014/main" id="{6F952966-AEEB-4B76-9DB1-73574396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9" name="Picture 956">
          <a:extLst>
            <a:ext uri="{FF2B5EF4-FFF2-40B4-BE49-F238E27FC236}">
              <a16:creationId xmlns:a16="http://schemas.microsoft.com/office/drawing/2014/main" id="{6AAC7B6A-F1F0-A73E-E7C8-985C354F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0" name="Picture 957">
          <a:extLst>
            <a:ext uri="{FF2B5EF4-FFF2-40B4-BE49-F238E27FC236}">
              <a16:creationId xmlns:a16="http://schemas.microsoft.com/office/drawing/2014/main" id="{355D8C86-FA89-9863-D20B-616E10ED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1" name="Picture 958">
          <a:extLst>
            <a:ext uri="{FF2B5EF4-FFF2-40B4-BE49-F238E27FC236}">
              <a16:creationId xmlns:a16="http://schemas.microsoft.com/office/drawing/2014/main" id="{47347E98-F887-B02D-44BF-F8936681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2" name="Picture 959">
          <a:extLst>
            <a:ext uri="{FF2B5EF4-FFF2-40B4-BE49-F238E27FC236}">
              <a16:creationId xmlns:a16="http://schemas.microsoft.com/office/drawing/2014/main" id="{4D4574E2-6E21-DA60-1061-7B701E66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3" name="Picture 960">
          <a:extLst>
            <a:ext uri="{FF2B5EF4-FFF2-40B4-BE49-F238E27FC236}">
              <a16:creationId xmlns:a16="http://schemas.microsoft.com/office/drawing/2014/main" id="{3030D370-4293-E140-0AE3-6FF22C93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4" name="Picture 961">
          <a:extLst>
            <a:ext uri="{FF2B5EF4-FFF2-40B4-BE49-F238E27FC236}">
              <a16:creationId xmlns:a16="http://schemas.microsoft.com/office/drawing/2014/main" id="{3C17D0C9-0F28-5551-9777-F5E1BC1B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5" name="Picture 962">
          <a:extLst>
            <a:ext uri="{FF2B5EF4-FFF2-40B4-BE49-F238E27FC236}">
              <a16:creationId xmlns:a16="http://schemas.microsoft.com/office/drawing/2014/main" id="{DFC250D1-9ECE-E6AC-AD7D-6248DB2F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6" name="Picture 963">
          <a:extLst>
            <a:ext uri="{FF2B5EF4-FFF2-40B4-BE49-F238E27FC236}">
              <a16:creationId xmlns:a16="http://schemas.microsoft.com/office/drawing/2014/main" id="{6DFC4EA9-6919-4AB1-B758-7D3C9C68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7" name="Picture 964">
          <a:extLst>
            <a:ext uri="{FF2B5EF4-FFF2-40B4-BE49-F238E27FC236}">
              <a16:creationId xmlns:a16="http://schemas.microsoft.com/office/drawing/2014/main" id="{61DF93C3-9FA6-D67F-BF85-3EBBCA78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8" name="Picture 965">
          <a:extLst>
            <a:ext uri="{FF2B5EF4-FFF2-40B4-BE49-F238E27FC236}">
              <a16:creationId xmlns:a16="http://schemas.microsoft.com/office/drawing/2014/main" id="{DBF56A1C-4D48-4330-4A53-61F1A370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9" name="Picture 966">
          <a:extLst>
            <a:ext uri="{FF2B5EF4-FFF2-40B4-BE49-F238E27FC236}">
              <a16:creationId xmlns:a16="http://schemas.microsoft.com/office/drawing/2014/main" id="{8222476E-D2E1-52BB-F501-FA59DDA2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0" name="Picture 967">
          <a:extLst>
            <a:ext uri="{FF2B5EF4-FFF2-40B4-BE49-F238E27FC236}">
              <a16:creationId xmlns:a16="http://schemas.microsoft.com/office/drawing/2014/main" id="{431EF3BC-24D3-79A8-E873-89673CA9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1" name="Picture 968">
          <a:extLst>
            <a:ext uri="{FF2B5EF4-FFF2-40B4-BE49-F238E27FC236}">
              <a16:creationId xmlns:a16="http://schemas.microsoft.com/office/drawing/2014/main" id="{840C2200-1B25-E80E-0B86-6EA1B3A87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2" name="Picture 969">
          <a:extLst>
            <a:ext uri="{FF2B5EF4-FFF2-40B4-BE49-F238E27FC236}">
              <a16:creationId xmlns:a16="http://schemas.microsoft.com/office/drawing/2014/main" id="{A7A6A2F5-816E-717F-9E38-F8E1A7A7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3" name="Picture 970">
          <a:extLst>
            <a:ext uri="{FF2B5EF4-FFF2-40B4-BE49-F238E27FC236}">
              <a16:creationId xmlns:a16="http://schemas.microsoft.com/office/drawing/2014/main" id="{A9FB7431-727C-A647-5C21-B3F232F2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4" name="Picture 971">
          <a:extLst>
            <a:ext uri="{FF2B5EF4-FFF2-40B4-BE49-F238E27FC236}">
              <a16:creationId xmlns:a16="http://schemas.microsoft.com/office/drawing/2014/main" id="{A9E885CB-93F7-5D37-21B0-3484A995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5" name="Picture 972">
          <a:extLst>
            <a:ext uri="{FF2B5EF4-FFF2-40B4-BE49-F238E27FC236}">
              <a16:creationId xmlns:a16="http://schemas.microsoft.com/office/drawing/2014/main" id="{5CEC0D21-6144-7A14-963D-ED7DDB44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6" name="Picture 973">
          <a:extLst>
            <a:ext uri="{FF2B5EF4-FFF2-40B4-BE49-F238E27FC236}">
              <a16:creationId xmlns:a16="http://schemas.microsoft.com/office/drawing/2014/main" id="{EAFD231E-0748-BD7D-193D-A1C83474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7" name="Picture 974">
          <a:extLst>
            <a:ext uri="{FF2B5EF4-FFF2-40B4-BE49-F238E27FC236}">
              <a16:creationId xmlns:a16="http://schemas.microsoft.com/office/drawing/2014/main" id="{98340D49-22D4-144D-AF62-0FDD1327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8" name="Picture 975">
          <a:extLst>
            <a:ext uri="{FF2B5EF4-FFF2-40B4-BE49-F238E27FC236}">
              <a16:creationId xmlns:a16="http://schemas.microsoft.com/office/drawing/2014/main" id="{D4066EA4-6639-454F-7D34-1957215BD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9" name="Picture 976">
          <a:extLst>
            <a:ext uri="{FF2B5EF4-FFF2-40B4-BE49-F238E27FC236}">
              <a16:creationId xmlns:a16="http://schemas.microsoft.com/office/drawing/2014/main" id="{2C5FF3DA-84F8-8BC2-A420-8BCD08C7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0" name="Picture 977">
          <a:extLst>
            <a:ext uri="{FF2B5EF4-FFF2-40B4-BE49-F238E27FC236}">
              <a16:creationId xmlns:a16="http://schemas.microsoft.com/office/drawing/2014/main" id="{0D4C1E9D-969A-81F1-3E68-1ABAC6FD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1" name="Picture 978">
          <a:extLst>
            <a:ext uri="{FF2B5EF4-FFF2-40B4-BE49-F238E27FC236}">
              <a16:creationId xmlns:a16="http://schemas.microsoft.com/office/drawing/2014/main" id="{E15213D6-1161-4215-85C0-480C30C1F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2" name="Picture 979">
          <a:extLst>
            <a:ext uri="{FF2B5EF4-FFF2-40B4-BE49-F238E27FC236}">
              <a16:creationId xmlns:a16="http://schemas.microsoft.com/office/drawing/2014/main" id="{D858B213-C00E-BF2E-6003-B166EBCE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3" name="Picture 980">
          <a:extLst>
            <a:ext uri="{FF2B5EF4-FFF2-40B4-BE49-F238E27FC236}">
              <a16:creationId xmlns:a16="http://schemas.microsoft.com/office/drawing/2014/main" id="{0526C19F-E747-DF91-F093-A5730EB5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4" name="Picture 981">
          <a:extLst>
            <a:ext uri="{FF2B5EF4-FFF2-40B4-BE49-F238E27FC236}">
              <a16:creationId xmlns:a16="http://schemas.microsoft.com/office/drawing/2014/main" id="{64CB2138-426D-CC25-855D-E6B0FB4B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5" name="Picture 982">
          <a:extLst>
            <a:ext uri="{FF2B5EF4-FFF2-40B4-BE49-F238E27FC236}">
              <a16:creationId xmlns:a16="http://schemas.microsoft.com/office/drawing/2014/main" id="{869FD2A6-6704-B3B5-E3C5-DD97821E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6" name="Picture 983">
          <a:extLst>
            <a:ext uri="{FF2B5EF4-FFF2-40B4-BE49-F238E27FC236}">
              <a16:creationId xmlns:a16="http://schemas.microsoft.com/office/drawing/2014/main" id="{624ED29F-040B-7D02-CB2B-675AD894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7" name="Picture 984">
          <a:extLst>
            <a:ext uri="{FF2B5EF4-FFF2-40B4-BE49-F238E27FC236}">
              <a16:creationId xmlns:a16="http://schemas.microsoft.com/office/drawing/2014/main" id="{D87A5C81-EE8D-A2DD-F62A-9F1F2772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8" name="Picture 985">
          <a:extLst>
            <a:ext uri="{FF2B5EF4-FFF2-40B4-BE49-F238E27FC236}">
              <a16:creationId xmlns:a16="http://schemas.microsoft.com/office/drawing/2014/main" id="{7DFB208C-071E-3BDF-0764-1E5A065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9" name="Picture 986">
          <a:extLst>
            <a:ext uri="{FF2B5EF4-FFF2-40B4-BE49-F238E27FC236}">
              <a16:creationId xmlns:a16="http://schemas.microsoft.com/office/drawing/2014/main" id="{50F12268-FFEE-7608-C713-14A42D83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0" name="Picture 987">
          <a:extLst>
            <a:ext uri="{FF2B5EF4-FFF2-40B4-BE49-F238E27FC236}">
              <a16:creationId xmlns:a16="http://schemas.microsoft.com/office/drawing/2014/main" id="{0F793CCE-0C27-294C-5721-F4334332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1" name="Picture 988">
          <a:extLst>
            <a:ext uri="{FF2B5EF4-FFF2-40B4-BE49-F238E27FC236}">
              <a16:creationId xmlns:a16="http://schemas.microsoft.com/office/drawing/2014/main" id="{D4EE7C0F-AD35-22B5-9EB9-167D6E85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2" name="Picture 989">
          <a:extLst>
            <a:ext uri="{FF2B5EF4-FFF2-40B4-BE49-F238E27FC236}">
              <a16:creationId xmlns:a16="http://schemas.microsoft.com/office/drawing/2014/main" id="{D6262D53-C323-3BC1-BB86-7E108F96B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3" name="Picture 990">
          <a:extLst>
            <a:ext uri="{FF2B5EF4-FFF2-40B4-BE49-F238E27FC236}">
              <a16:creationId xmlns:a16="http://schemas.microsoft.com/office/drawing/2014/main" id="{2634CAD6-5C5F-0A5D-78F3-824DF6E3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4" name="Picture 991">
          <a:extLst>
            <a:ext uri="{FF2B5EF4-FFF2-40B4-BE49-F238E27FC236}">
              <a16:creationId xmlns:a16="http://schemas.microsoft.com/office/drawing/2014/main" id="{189094D5-DB87-8DD3-D46B-263F9195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5" name="Picture 992">
          <a:extLst>
            <a:ext uri="{FF2B5EF4-FFF2-40B4-BE49-F238E27FC236}">
              <a16:creationId xmlns:a16="http://schemas.microsoft.com/office/drawing/2014/main" id="{277B648F-D00F-60B4-C983-2B76E772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6" name="Picture 993">
          <a:extLst>
            <a:ext uri="{FF2B5EF4-FFF2-40B4-BE49-F238E27FC236}">
              <a16:creationId xmlns:a16="http://schemas.microsoft.com/office/drawing/2014/main" id="{6D37B4DD-AA7C-4B21-246B-B401E803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7" name="Picture 994">
          <a:extLst>
            <a:ext uri="{FF2B5EF4-FFF2-40B4-BE49-F238E27FC236}">
              <a16:creationId xmlns:a16="http://schemas.microsoft.com/office/drawing/2014/main" id="{3AE99601-EF75-9F87-5815-8421D38D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8" name="Picture 995">
          <a:extLst>
            <a:ext uri="{FF2B5EF4-FFF2-40B4-BE49-F238E27FC236}">
              <a16:creationId xmlns:a16="http://schemas.microsoft.com/office/drawing/2014/main" id="{DCD44D13-82D4-ED51-0580-660BCF4B3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9" name="Picture 996">
          <a:extLst>
            <a:ext uri="{FF2B5EF4-FFF2-40B4-BE49-F238E27FC236}">
              <a16:creationId xmlns:a16="http://schemas.microsoft.com/office/drawing/2014/main" id="{CA297C35-3EA2-80CE-3068-FBBA0F6B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0" name="Picture 997">
          <a:extLst>
            <a:ext uri="{FF2B5EF4-FFF2-40B4-BE49-F238E27FC236}">
              <a16:creationId xmlns:a16="http://schemas.microsoft.com/office/drawing/2014/main" id="{A3F36300-E0EB-8CED-2ABC-91EC09A6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1" name="Picture 998">
          <a:extLst>
            <a:ext uri="{FF2B5EF4-FFF2-40B4-BE49-F238E27FC236}">
              <a16:creationId xmlns:a16="http://schemas.microsoft.com/office/drawing/2014/main" id="{07177DD2-0E3E-C193-4254-5D97E8E2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2" name="Picture 999">
          <a:extLst>
            <a:ext uri="{FF2B5EF4-FFF2-40B4-BE49-F238E27FC236}">
              <a16:creationId xmlns:a16="http://schemas.microsoft.com/office/drawing/2014/main" id="{9E85CD69-3827-0CEB-585B-BE6C0D53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3" name="Picture 1000">
          <a:extLst>
            <a:ext uri="{FF2B5EF4-FFF2-40B4-BE49-F238E27FC236}">
              <a16:creationId xmlns:a16="http://schemas.microsoft.com/office/drawing/2014/main" id="{A539192D-C306-6C4B-7238-DFCA9DF8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4" name="Picture 1001">
          <a:extLst>
            <a:ext uri="{FF2B5EF4-FFF2-40B4-BE49-F238E27FC236}">
              <a16:creationId xmlns:a16="http://schemas.microsoft.com/office/drawing/2014/main" id="{6BAD1B23-01BF-FD1E-2E7A-552D65B5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5" name="Picture 1002">
          <a:extLst>
            <a:ext uri="{FF2B5EF4-FFF2-40B4-BE49-F238E27FC236}">
              <a16:creationId xmlns:a16="http://schemas.microsoft.com/office/drawing/2014/main" id="{F7A53DAF-0D7E-7A6E-B884-5A2DC341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6" name="Picture 1003">
          <a:extLst>
            <a:ext uri="{FF2B5EF4-FFF2-40B4-BE49-F238E27FC236}">
              <a16:creationId xmlns:a16="http://schemas.microsoft.com/office/drawing/2014/main" id="{DFEBCB51-2561-D087-BED5-AEFB42BF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7" name="Picture 1004">
          <a:extLst>
            <a:ext uri="{FF2B5EF4-FFF2-40B4-BE49-F238E27FC236}">
              <a16:creationId xmlns:a16="http://schemas.microsoft.com/office/drawing/2014/main" id="{D1030787-729A-2B9B-EA9B-4FC0FE49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8" name="Picture 1005">
          <a:extLst>
            <a:ext uri="{FF2B5EF4-FFF2-40B4-BE49-F238E27FC236}">
              <a16:creationId xmlns:a16="http://schemas.microsoft.com/office/drawing/2014/main" id="{4057D6BF-5249-41A1-B040-03654396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9" name="Picture 1006">
          <a:extLst>
            <a:ext uri="{FF2B5EF4-FFF2-40B4-BE49-F238E27FC236}">
              <a16:creationId xmlns:a16="http://schemas.microsoft.com/office/drawing/2014/main" id="{12603BF1-B859-C6ED-28F1-6F514EFD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0" name="Picture 1007">
          <a:extLst>
            <a:ext uri="{FF2B5EF4-FFF2-40B4-BE49-F238E27FC236}">
              <a16:creationId xmlns:a16="http://schemas.microsoft.com/office/drawing/2014/main" id="{55DAA5ED-DCEB-FA03-8607-14D5F8FF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1" name="Picture 1008">
          <a:extLst>
            <a:ext uri="{FF2B5EF4-FFF2-40B4-BE49-F238E27FC236}">
              <a16:creationId xmlns:a16="http://schemas.microsoft.com/office/drawing/2014/main" id="{E1CDA3BE-5070-E40A-F9D8-70C159C3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2" name="Picture 1009">
          <a:extLst>
            <a:ext uri="{FF2B5EF4-FFF2-40B4-BE49-F238E27FC236}">
              <a16:creationId xmlns:a16="http://schemas.microsoft.com/office/drawing/2014/main" id="{AFDCC0E3-18B6-383F-F5D0-12E8BCFA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3" name="Picture 1010">
          <a:extLst>
            <a:ext uri="{FF2B5EF4-FFF2-40B4-BE49-F238E27FC236}">
              <a16:creationId xmlns:a16="http://schemas.microsoft.com/office/drawing/2014/main" id="{571F39B1-C2C6-5314-9CF1-F334E1D0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4" name="Picture 1011">
          <a:extLst>
            <a:ext uri="{FF2B5EF4-FFF2-40B4-BE49-F238E27FC236}">
              <a16:creationId xmlns:a16="http://schemas.microsoft.com/office/drawing/2014/main" id="{EA42D910-A0F3-48DE-CD97-0433A0D2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5" name="Picture 1012">
          <a:extLst>
            <a:ext uri="{FF2B5EF4-FFF2-40B4-BE49-F238E27FC236}">
              <a16:creationId xmlns:a16="http://schemas.microsoft.com/office/drawing/2014/main" id="{1449FD72-0B35-9679-56A0-EEAE9388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6" name="Picture 1013">
          <a:extLst>
            <a:ext uri="{FF2B5EF4-FFF2-40B4-BE49-F238E27FC236}">
              <a16:creationId xmlns:a16="http://schemas.microsoft.com/office/drawing/2014/main" id="{D6E3B6B0-3E04-D228-99CF-A8D544B4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7" name="Picture 1014">
          <a:extLst>
            <a:ext uri="{FF2B5EF4-FFF2-40B4-BE49-F238E27FC236}">
              <a16:creationId xmlns:a16="http://schemas.microsoft.com/office/drawing/2014/main" id="{4E6E07FA-0193-78AA-21FA-DAFC2F25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8" name="Picture 1015">
          <a:extLst>
            <a:ext uri="{FF2B5EF4-FFF2-40B4-BE49-F238E27FC236}">
              <a16:creationId xmlns:a16="http://schemas.microsoft.com/office/drawing/2014/main" id="{5E7A9E00-AD8E-F3CE-CFB7-BDBB56B2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9" name="Picture 1016">
          <a:extLst>
            <a:ext uri="{FF2B5EF4-FFF2-40B4-BE49-F238E27FC236}">
              <a16:creationId xmlns:a16="http://schemas.microsoft.com/office/drawing/2014/main" id="{A7BD7587-E844-AF0B-F489-0CD49ED2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0" name="Picture 1017">
          <a:extLst>
            <a:ext uri="{FF2B5EF4-FFF2-40B4-BE49-F238E27FC236}">
              <a16:creationId xmlns:a16="http://schemas.microsoft.com/office/drawing/2014/main" id="{B2C6F5C1-823E-A4C6-C9D2-D699627F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1" name="Picture 1018">
          <a:extLst>
            <a:ext uri="{FF2B5EF4-FFF2-40B4-BE49-F238E27FC236}">
              <a16:creationId xmlns:a16="http://schemas.microsoft.com/office/drawing/2014/main" id="{40156E58-BA81-1BD2-A8A3-F7604BDB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2" name="Picture 1019">
          <a:extLst>
            <a:ext uri="{FF2B5EF4-FFF2-40B4-BE49-F238E27FC236}">
              <a16:creationId xmlns:a16="http://schemas.microsoft.com/office/drawing/2014/main" id="{CA6A5599-0594-1467-B04D-60D7987CA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3" name="Picture 1020">
          <a:extLst>
            <a:ext uri="{FF2B5EF4-FFF2-40B4-BE49-F238E27FC236}">
              <a16:creationId xmlns:a16="http://schemas.microsoft.com/office/drawing/2014/main" id="{192B10B6-B06D-F05D-409D-2C64DE4A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AE9F-7963-4A9E-8BDE-644ADB161A89}">
  <dimension ref="A1:I58"/>
  <sheetViews>
    <sheetView tabSelected="1" zoomScale="70" zoomScaleNormal="70" workbookViewId="0">
      <selection activeCell="H37" sqref="H37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23.44140625" bestFit="1" customWidth="1"/>
  </cols>
  <sheetData>
    <row r="1" spans="1:9" ht="15" x14ac:dyDescent="0.25">
      <c r="A1" s="341"/>
      <c r="B1" s="342"/>
      <c r="C1" s="347" t="s">
        <v>22</v>
      </c>
      <c r="D1" s="347"/>
      <c r="E1" s="347"/>
      <c r="F1" s="347"/>
      <c r="G1" s="347"/>
      <c r="H1" s="184" t="s">
        <v>21</v>
      </c>
      <c r="I1" s="1" t="s">
        <v>150</v>
      </c>
    </row>
    <row r="2" spans="1:9" ht="15" x14ac:dyDescent="0.25">
      <c r="A2" s="343"/>
      <c r="B2" s="344"/>
      <c r="C2" s="348" t="s">
        <v>0</v>
      </c>
      <c r="D2" s="348"/>
      <c r="E2" s="348"/>
      <c r="F2" s="348"/>
      <c r="G2" s="348"/>
      <c r="H2" s="185" t="s">
        <v>20</v>
      </c>
      <c r="I2" s="186" t="s">
        <v>136</v>
      </c>
    </row>
    <row r="3" spans="1:9" ht="16.05" customHeight="1" thickBot="1" x14ac:dyDescent="0.3">
      <c r="A3" s="343"/>
      <c r="B3" s="344"/>
      <c r="C3" s="349" t="s">
        <v>129</v>
      </c>
      <c r="D3" s="350"/>
      <c r="E3" s="350"/>
      <c r="F3" s="350"/>
      <c r="G3" s="351"/>
      <c r="H3" s="352" t="s">
        <v>19</v>
      </c>
      <c r="I3" s="332">
        <v>45609</v>
      </c>
    </row>
    <row r="4" spans="1:9" x14ac:dyDescent="0.25">
      <c r="A4" s="343"/>
      <c r="B4" s="344"/>
      <c r="C4" s="187" t="s">
        <v>18</v>
      </c>
      <c r="D4" s="335" t="s">
        <v>137</v>
      </c>
      <c r="E4" s="336"/>
      <c r="F4" s="336"/>
      <c r="G4" s="337"/>
      <c r="H4" s="353"/>
      <c r="I4" s="333"/>
    </row>
    <row r="5" spans="1:9" ht="13.8" thickBot="1" x14ac:dyDescent="0.3">
      <c r="A5" s="345"/>
      <c r="B5" s="346"/>
      <c r="C5" s="188" t="s">
        <v>17</v>
      </c>
      <c r="D5" s="338" t="s">
        <v>138</v>
      </c>
      <c r="E5" s="339"/>
      <c r="F5" s="339"/>
      <c r="G5" s="340"/>
      <c r="H5" s="354"/>
      <c r="I5" s="334"/>
    </row>
    <row r="6" spans="1:9" ht="18" thickBot="1" x14ac:dyDescent="0.35">
      <c r="A6" s="323" t="s">
        <v>23</v>
      </c>
      <c r="B6" s="323"/>
      <c r="C6" s="323"/>
      <c r="D6" s="324" t="s">
        <v>30</v>
      </c>
      <c r="E6" s="324"/>
      <c r="F6" s="324"/>
      <c r="G6" s="325" t="s">
        <v>24</v>
      </c>
      <c r="H6" s="325"/>
      <c r="I6" s="189" t="s">
        <v>31</v>
      </c>
    </row>
    <row r="7" spans="1:9" x14ac:dyDescent="0.25">
      <c r="A7" s="326" t="s">
        <v>1</v>
      </c>
      <c r="B7" s="328" t="s">
        <v>139</v>
      </c>
      <c r="C7" s="330" t="s">
        <v>2</v>
      </c>
      <c r="D7" s="330" t="s">
        <v>3</v>
      </c>
      <c r="E7" s="330" t="s">
        <v>4</v>
      </c>
      <c r="F7" s="330"/>
      <c r="G7" s="330" t="s">
        <v>16</v>
      </c>
      <c r="H7" s="330"/>
      <c r="I7" s="190" t="s">
        <v>5</v>
      </c>
    </row>
    <row r="8" spans="1:9" ht="26.4" thickBot="1" x14ac:dyDescent="0.3">
      <c r="A8" s="327"/>
      <c r="B8" s="329"/>
      <c r="C8" s="331"/>
      <c r="D8" s="331"/>
      <c r="E8" s="191" t="s">
        <v>6</v>
      </c>
      <c r="F8" s="192" t="s">
        <v>7</v>
      </c>
      <c r="G8" s="191" t="s">
        <v>6</v>
      </c>
      <c r="H8" s="192" t="s">
        <v>7</v>
      </c>
      <c r="I8" s="193" t="s">
        <v>8</v>
      </c>
    </row>
    <row r="9" spans="1:9" ht="14.4" thickBot="1" x14ac:dyDescent="0.3">
      <c r="A9" s="194"/>
      <c r="B9" s="195"/>
      <c r="C9" s="196" t="s">
        <v>140</v>
      </c>
      <c r="D9" s="197"/>
      <c r="E9" s="198"/>
      <c r="F9" s="199"/>
      <c r="G9" s="198"/>
      <c r="H9" s="199"/>
      <c r="I9" s="200"/>
    </row>
    <row r="10" spans="1:9" ht="16.05" customHeight="1" x14ac:dyDescent="0.25">
      <c r="A10" s="109" t="s">
        <v>104</v>
      </c>
      <c r="B10" s="180" t="s">
        <v>130</v>
      </c>
      <c r="C10" s="110" t="s">
        <v>105</v>
      </c>
      <c r="D10" s="111" t="s">
        <v>103</v>
      </c>
      <c r="E10" s="112">
        <v>80</v>
      </c>
      <c r="F10" s="113" t="s">
        <v>26</v>
      </c>
      <c r="G10" s="201"/>
      <c r="H10" s="202"/>
      <c r="I10" s="200"/>
    </row>
    <row r="11" spans="1:9" ht="15" x14ac:dyDescent="0.25">
      <c r="A11" s="203"/>
      <c r="B11" s="203"/>
      <c r="C11" s="11"/>
      <c r="D11" s="108"/>
      <c r="E11" s="107"/>
      <c r="F11" s="10"/>
      <c r="G11" s="201"/>
      <c r="H11" s="202"/>
      <c r="I11" s="200"/>
    </row>
    <row r="12" spans="1:9" ht="13.8" x14ac:dyDescent="0.25">
      <c r="A12" s="203"/>
      <c r="B12" s="203"/>
      <c r="C12" s="204"/>
      <c r="D12" s="108"/>
      <c r="E12" s="107"/>
      <c r="F12" s="5"/>
      <c r="G12" s="205"/>
      <c r="H12" s="202"/>
      <c r="I12" s="200"/>
    </row>
    <row r="13" spans="1:9" ht="13.8" x14ac:dyDescent="0.25">
      <c r="A13" s="203"/>
      <c r="B13" s="203"/>
      <c r="C13" s="11"/>
      <c r="D13" s="108"/>
      <c r="E13" s="107"/>
      <c r="F13" s="106"/>
      <c r="G13" s="205"/>
      <c r="H13" s="202"/>
      <c r="I13" s="200"/>
    </row>
    <row r="14" spans="1:9" ht="13.8" x14ac:dyDescent="0.25">
      <c r="A14" s="206"/>
      <c r="B14" s="207"/>
      <c r="C14" s="208"/>
      <c r="D14" s="209"/>
      <c r="E14" s="205"/>
      <c r="F14" s="210"/>
      <c r="G14" s="205"/>
      <c r="H14" s="202"/>
      <c r="I14" s="200"/>
    </row>
    <row r="15" spans="1:9" ht="13.8" x14ac:dyDescent="0.25">
      <c r="A15" s="211"/>
      <c r="B15" s="212"/>
      <c r="C15" s="213"/>
      <c r="D15" s="209"/>
      <c r="E15" s="214"/>
      <c r="F15" s="215"/>
      <c r="G15" s="216"/>
      <c r="H15" s="202"/>
      <c r="I15" s="200"/>
    </row>
    <row r="16" spans="1:9" ht="13.8" x14ac:dyDescent="0.25">
      <c r="A16" s="211"/>
      <c r="B16" s="212"/>
      <c r="C16" s="213"/>
      <c r="D16" s="209"/>
      <c r="E16" s="214"/>
      <c r="F16" s="215"/>
      <c r="G16" s="216"/>
      <c r="H16" s="202"/>
      <c r="I16" s="200"/>
    </row>
    <row r="17" spans="1:9" ht="13.8" x14ac:dyDescent="0.25">
      <c r="A17" s="217"/>
      <c r="B17" s="217"/>
      <c r="C17" s="218"/>
      <c r="D17" s="219"/>
      <c r="E17" s="220"/>
      <c r="F17" s="221"/>
      <c r="G17" s="216"/>
      <c r="H17" s="202"/>
      <c r="I17" s="200"/>
    </row>
    <row r="18" spans="1:9" ht="13.8" x14ac:dyDescent="0.25">
      <c r="A18" s="222"/>
      <c r="B18" s="222"/>
      <c r="C18" s="223"/>
      <c r="D18" s="224"/>
      <c r="E18" s="225"/>
      <c r="F18" s="226"/>
      <c r="G18" s="227"/>
      <c r="H18" s="202"/>
      <c r="I18" s="200"/>
    </row>
    <row r="19" spans="1:9" ht="13.8" x14ac:dyDescent="0.25">
      <c r="A19" s="222"/>
      <c r="B19" s="222"/>
      <c r="C19" s="228"/>
      <c r="D19" s="229"/>
      <c r="E19" s="229"/>
      <c r="F19" s="230"/>
      <c r="G19" s="198"/>
      <c r="H19" s="231"/>
      <c r="I19" s="200"/>
    </row>
    <row r="20" spans="1:9" ht="15.6" x14ac:dyDescent="0.3">
      <c r="A20" s="114"/>
      <c r="B20" s="181"/>
      <c r="C20" s="232" t="s">
        <v>141</v>
      </c>
      <c r="D20" s="233" t="s">
        <v>142</v>
      </c>
      <c r="E20" s="234"/>
      <c r="F20" s="230"/>
      <c r="G20" s="198"/>
      <c r="H20" s="231"/>
      <c r="I20" s="200"/>
    </row>
    <row r="21" spans="1:9" ht="13.8" x14ac:dyDescent="0.25">
      <c r="A21" s="235"/>
      <c r="B21" s="236"/>
      <c r="C21" s="237"/>
      <c r="D21" s="238"/>
      <c r="E21" s="239"/>
      <c r="F21" s="240"/>
      <c r="G21" s="198"/>
      <c r="H21" s="231"/>
      <c r="I21" s="200"/>
    </row>
    <row r="22" spans="1:9" ht="14.4" x14ac:dyDescent="0.3">
      <c r="A22" s="241"/>
      <c r="B22" s="241"/>
      <c r="C22" s="242"/>
      <c r="D22" s="238"/>
      <c r="E22" s="239"/>
      <c r="F22" s="240"/>
      <c r="G22" s="198"/>
      <c r="H22" s="231"/>
      <c r="I22" s="200"/>
    </row>
    <row r="23" spans="1:9" ht="13.8" x14ac:dyDescent="0.25">
      <c r="A23" s="243"/>
      <c r="B23" s="236"/>
      <c r="C23" s="244"/>
      <c r="D23" s="238"/>
      <c r="E23" s="239"/>
      <c r="F23" s="240"/>
      <c r="G23" s="198"/>
      <c r="H23" s="231"/>
      <c r="I23" s="200"/>
    </row>
    <row r="24" spans="1:9" ht="13.8" x14ac:dyDescent="0.25">
      <c r="A24" s="222"/>
      <c r="B24" s="222"/>
      <c r="C24" s="228"/>
      <c r="D24" s="229"/>
      <c r="E24" s="233"/>
      <c r="F24" s="230"/>
      <c r="G24" s="198"/>
      <c r="H24" s="231"/>
      <c r="I24" s="200"/>
    </row>
    <row r="25" spans="1:9" ht="13.8" x14ac:dyDescent="0.25">
      <c r="A25" s="222"/>
      <c r="B25" s="222"/>
      <c r="C25" s="228"/>
      <c r="D25" s="245" t="s">
        <v>142</v>
      </c>
      <c r="E25" s="246"/>
      <c r="F25" s="247"/>
      <c r="G25" s="198"/>
      <c r="H25" s="231"/>
      <c r="I25" s="200"/>
    </row>
    <row r="26" spans="1:9" ht="15.6" x14ac:dyDescent="0.25">
      <c r="A26" s="248"/>
      <c r="B26" s="249"/>
      <c r="C26" s="250" t="s">
        <v>143</v>
      </c>
      <c r="D26" s="251" t="s">
        <v>142</v>
      </c>
      <c r="E26" s="198"/>
      <c r="F26" s="199"/>
      <c r="G26" s="198"/>
      <c r="H26" s="231"/>
      <c r="I26" s="200"/>
    </row>
    <row r="27" spans="1:9" ht="13.8" x14ac:dyDescent="0.25">
      <c r="A27" s="114">
        <v>702169</v>
      </c>
      <c r="B27" s="183" t="s">
        <v>135</v>
      </c>
      <c r="C27" s="11" t="s">
        <v>126</v>
      </c>
      <c r="D27" s="108" t="s">
        <v>144</v>
      </c>
      <c r="E27" s="107">
        <v>1</v>
      </c>
      <c r="F27" s="106" t="s">
        <v>27</v>
      </c>
      <c r="G27" s="216"/>
      <c r="H27" s="231"/>
      <c r="I27" s="200"/>
    </row>
    <row r="28" spans="1:9" ht="13.8" x14ac:dyDescent="0.25">
      <c r="A28" s="114">
        <v>1952856</v>
      </c>
      <c r="B28" s="181" t="s">
        <v>131</v>
      </c>
      <c r="C28" s="11" t="s">
        <v>116</v>
      </c>
      <c r="D28" s="108" t="s">
        <v>144</v>
      </c>
      <c r="E28" s="107">
        <v>1</v>
      </c>
      <c r="F28" s="106" t="s">
        <v>27</v>
      </c>
      <c r="G28" s="252"/>
      <c r="H28" s="231"/>
      <c r="I28" s="200"/>
    </row>
    <row r="29" spans="1:9" ht="13.8" x14ac:dyDescent="0.25">
      <c r="A29" s="114" t="s">
        <v>28</v>
      </c>
      <c r="B29" s="183" t="s">
        <v>133</v>
      </c>
      <c r="C29" s="11" t="s">
        <v>106</v>
      </c>
      <c r="D29" s="108" t="s">
        <v>107</v>
      </c>
      <c r="E29" s="107">
        <v>1</v>
      </c>
      <c r="F29" s="106" t="s">
        <v>27</v>
      </c>
      <c r="G29" s="198"/>
      <c r="H29" s="231"/>
      <c r="I29" s="200"/>
    </row>
    <row r="30" spans="1:9" ht="13.8" x14ac:dyDescent="0.25">
      <c r="A30" s="114" t="s">
        <v>108</v>
      </c>
      <c r="B30" s="181" t="s">
        <v>134</v>
      </c>
      <c r="C30" s="11" t="s">
        <v>109</v>
      </c>
      <c r="D30" s="108" t="s">
        <v>107</v>
      </c>
      <c r="E30" s="107">
        <v>1</v>
      </c>
      <c r="F30" s="106" t="s">
        <v>27</v>
      </c>
      <c r="G30" s="198"/>
      <c r="H30" s="231"/>
      <c r="I30" s="200"/>
    </row>
    <row r="31" spans="1:9" ht="14.4" x14ac:dyDescent="0.3">
      <c r="A31" s="179">
        <v>60100104</v>
      </c>
      <c r="B31" s="179" t="s">
        <v>132</v>
      </c>
      <c r="C31" s="11" t="s">
        <v>128</v>
      </c>
      <c r="D31" s="108" t="s">
        <v>107</v>
      </c>
      <c r="E31" s="178">
        <v>1</v>
      </c>
      <c r="F31" s="178" t="s">
        <v>27</v>
      </c>
      <c r="G31" s="198"/>
      <c r="H31" s="231"/>
      <c r="I31" s="200"/>
    </row>
    <row r="32" spans="1:9" ht="13.8" x14ac:dyDescent="0.25">
      <c r="A32" s="2"/>
      <c r="B32" s="182"/>
      <c r="C32" s="11"/>
      <c r="D32" s="3"/>
      <c r="E32" s="4"/>
      <c r="F32" s="5"/>
      <c r="G32" s="253"/>
      <c r="H32" s="231"/>
      <c r="I32" s="200"/>
    </row>
    <row r="33" spans="1:9" ht="13.8" x14ac:dyDescent="0.25">
      <c r="A33" s="254"/>
      <c r="B33" s="255"/>
      <c r="C33" s="256"/>
      <c r="D33" s="257"/>
      <c r="E33" s="258"/>
      <c r="F33" s="259"/>
      <c r="G33" s="229"/>
      <c r="H33" s="231"/>
      <c r="I33" s="200"/>
    </row>
    <row r="34" spans="1:9" ht="14.4" x14ac:dyDescent="0.3">
      <c r="A34" s="260"/>
      <c r="B34" s="261"/>
      <c r="C34" s="262"/>
      <c r="D34" s="263"/>
      <c r="E34" s="210"/>
      <c r="F34" s="210"/>
      <c r="G34" s="229"/>
      <c r="H34" s="231"/>
      <c r="I34" s="200"/>
    </row>
    <row r="35" spans="1:9" ht="15.6" x14ac:dyDescent="0.3">
      <c r="A35" s="222"/>
      <c r="B35" s="264"/>
      <c r="C35" s="223"/>
      <c r="D35" s="265"/>
      <c r="E35" s="266"/>
      <c r="F35" s="215"/>
      <c r="G35" s="229"/>
      <c r="H35" s="233"/>
      <c r="I35" s="200"/>
    </row>
    <row r="36" spans="1:9" ht="15.6" x14ac:dyDescent="0.3">
      <c r="A36" s="114"/>
      <c r="B36" s="181"/>
      <c r="C36" s="11"/>
      <c r="D36" s="233"/>
      <c r="E36" s="233"/>
      <c r="F36" s="230"/>
      <c r="G36" s="267"/>
      <c r="H36" s="267"/>
      <c r="I36" s="200"/>
    </row>
    <row r="37" spans="1:9" ht="13.8" thickBot="1" x14ac:dyDescent="0.3">
      <c r="A37" s="268"/>
      <c r="B37" s="269"/>
      <c r="C37" s="270"/>
      <c r="D37" s="270"/>
      <c r="E37" s="271"/>
      <c r="F37" s="272"/>
      <c r="G37" s="270"/>
      <c r="H37" s="270"/>
      <c r="I37" s="273"/>
    </row>
    <row r="38" spans="1:9" ht="13.8" thickBot="1" x14ac:dyDescent="0.3">
      <c r="A38" s="274"/>
      <c r="B38" s="275"/>
      <c r="C38" s="276"/>
      <c r="D38" s="277" t="s">
        <v>6</v>
      </c>
      <c r="E38" s="278" t="s">
        <v>15</v>
      </c>
      <c r="F38" s="279"/>
      <c r="G38" s="276"/>
      <c r="H38" s="276"/>
      <c r="I38" s="280"/>
    </row>
    <row r="39" spans="1:9" x14ac:dyDescent="0.25">
      <c r="A39" s="317" t="s">
        <v>10</v>
      </c>
      <c r="B39" s="318"/>
      <c r="C39" s="319"/>
      <c r="D39" s="7">
        <v>80</v>
      </c>
      <c r="E39" s="8" t="s">
        <v>26</v>
      </c>
      <c r="F39" s="320" t="s">
        <v>145</v>
      </c>
      <c r="G39" s="320"/>
      <c r="H39" s="321"/>
      <c r="I39" s="322"/>
    </row>
    <row r="40" spans="1:9" x14ac:dyDescent="0.25">
      <c r="A40" s="300" t="s">
        <v>9</v>
      </c>
      <c r="B40" s="301"/>
      <c r="C40" s="302"/>
      <c r="D40" s="9">
        <v>1</v>
      </c>
      <c r="E40" s="6" t="s">
        <v>29</v>
      </c>
      <c r="F40" s="303" t="s">
        <v>146</v>
      </c>
      <c r="G40" s="303"/>
      <c r="H40" s="304"/>
      <c r="I40" s="305"/>
    </row>
    <row r="41" spans="1:9" x14ac:dyDescent="0.25">
      <c r="A41" s="300" t="s">
        <v>14</v>
      </c>
      <c r="B41" s="301"/>
      <c r="C41" s="302"/>
      <c r="D41" s="6">
        <v>1</v>
      </c>
      <c r="E41" s="6" t="s">
        <v>27</v>
      </c>
      <c r="F41" s="303" t="s">
        <v>147</v>
      </c>
      <c r="G41" s="303"/>
      <c r="H41" s="304"/>
      <c r="I41" s="305"/>
    </row>
    <row r="42" spans="1:9" x14ac:dyDescent="0.25">
      <c r="A42" s="300" t="s">
        <v>13</v>
      </c>
      <c r="B42" s="301"/>
      <c r="C42" s="302"/>
      <c r="D42" s="6">
        <v>80</v>
      </c>
      <c r="E42" s="6" t="s">
        <v>26</v>
      </c>
      <c r="F42" s="306" t="s">
        <v>148</v>
      </c>
      <c r="G42" s="307"/>
      <c r="H42" s="304"/>
      <c r="I42" s="305"/>
    </row>
    <row r="43" spans="1:9" ht="13.8" thickBot="1" x14ac:dyDescent="0.3">
      <c r="A43" s="308" t="s">
        <v>12</v>
      </c>
      <c r="B43" s="309"/>
      <c r="C43" s="310"/>
      <c r="D43" s="105">
        <v>0</v>
      </c>
      <c r="E43" s="104" t="s">
        <v>26</v>
      </c>
      <c r="F43" s="311"/>
      <c r="G43" s="311"/>
      <c r="H43" s="312"/>
      <c r="I43" s="313"/>
    </row>
    <row r="44" spans="1:9" ht="13.8" thickBot="1" x14ac:dyDescent="0.3">
      <c r="A44" s="314" t="s">
        <v>11</v>
      </c>
      <c r="B44" s="315"/>
      <c r="C44" s="315"/>
      <c r="D44" s="315"/>
      <c r="E44" s="315"/>
      <c r="F44" s="315"/>
      <c r="G44" s="315"/>
      <c r="H44" s="315"/>
      <c r="I44" s="316"/>
    </row>
    <row r="45" spans="1:9" ht="13.8" x14ac:dyDescent="0.25">
      <c r="A45" s="286" t="s">
        <v>118</v>
      </c>
      <c r="B45" s="287"/>
      <c r="C45" s="287"/>
      <c r="D45" s="287"/>
      <c r="E45" s="287"/>
      <c r="F45" s="287"/>
      <c r="G45" s="287"/>
      <c r="H45" s="287"/>
      <c r="I45" s="288"/>
    </row>
    <row r="46" spans="1:9" ht="14.55" customHeight="1" x14ac:dyDescent="0.25">
      <c r="A46" s="286" t="s">
        <v>117</v>
      </c>
      <c r="B46" s="287"/>
      <c r="C46" s="287"/>
      <c r="D46" s="287"/>
      <c r="E46" s="287"/>
      <c r="F46" s="287"/>
      <c r="G46" s="287"/>
      <c r="H46" s="287"/>
      <c r="I46" s="288"/>
    </row>
    <row r="47" spans="1:9" ht="14.55" customHeight="1" x14ac:dyDescent="0.25">
      <c r="A47" s="283" t="s">
        <v>127</v>
      </c>
      <c r="B47" s="284"/>
      <c r="C47" s="284"/>
      <c r="D47" s="284"/>
      <c r="E47" s="284"/>
      <c r="F47" s="284"/>
      <c r="G47" s="284"/>
      <c r="H47" s="284"/>
      <c r="I47" s="285"/>
    </row>
    <row r="48" spans="1:9" ht="14.55" customHeight="1" x14ac:dyDescent="0.25">
      <c r="A48" s="286" t="s">
        <v>115</v>
      </c>
      <c r="B48" s="287"/>
      <c r="C48" s="287"/>
      <c r="D48" s="287"/>
      <c r="E48" s="287"/>
      <c r="F48" s="287"/>
      <c r="G48" s="287"/>
      <c r="H48" s="287"/>
      <c r="I48" s="288"/>
    </row>
    <row r="49" spans="1:9" x14ac:dyDescent="0.25">
      <c r="A49" s="289"/>
      <c r="B49" s="290"/>
      <c r="C49" s="290"/>
      <c r="D49" s="290"/>
      <c r="E49" s="290"/>
      <c r="F49" s="290"/>
      <c r="G49" s="290"/>
      <c r="H49" s="290"/>
      <c r="I49" s="291"/>
    </row>
    <row r="50" spans="1:9" x14ac:dyDescent="0.25">
      <c r="A50" s="292"/>
      <c r="B50" s="293"/>
      <c r="C50" s="293"/>
      <c r="D50" s="293"/>
      <c r="E50" s="293"/>
      <c r="F50" s="293"/>
      <c r="G50" s="293"/>
      <c r="H50" s="293"/>
      <c r="I50" s="294"/>
    </row>
    <row r="51" spans="1:9" x14ac:dyDescent="0.25">
      <c r="A51" s="289"/>
      <c r="B51" s="290"/>
      <c r="C51" s="290"/>
      <c r="D51" s="290"/>
      <c r="E51" s="290"/>
      <c r="F51" s="290"/>
      <c r="G51" s="290"/>
      <c r="H51" s="290"/>
      <c r="I51" s="291"/>
    </row>
    <row r="52" spans="1:9" x14ac:dyDescent="0.25">
      <c r="A52" s="289"/>
      <c r="B52" s="290"/>
      <c r="C52" s="290"/>
      <c r="D52" s="290"/>
      <c r="E52" s="290"/>
      <c r="F52" s="290"/>
      <c r="G52" s="290"/>
      <c r="H52" s="290"/>
      <c r="I52" s="291"/>
    </row>
    <row r="53" spans="1:9" ht="18" customHeight="1" x14ac:dyDescent="0.25">
      <c r="A53" s="289"/>
      <c r="B53" s="290"/>
      <c r="C53" s="290"/>
      <c r="D53" s="290"/>
      <c r="E53" s="290"/>
      <c r="F53" s="290"/>
      <c r="G53" s="290"/>
      <c r="H53" s="290"/>
      <c r="I53" s="291"/>
    </row>
    <row r="54" spans="1:9" x14ac:dyDescent="0.25">
      <c r="A54" s="289"/>
      <c r="B54" s="290"/>
      <c r="C54" s="290"/>
      <c r="D54" s="290"/>
      <c r="E54" s="290"/>
      <c r="F54" s="290"/>
      <c r="G54" s="290"/>
      <c r="H54" s="290"/>
      <c r="I54" s="291"/>
    </row>
    <row r="55" spans="1:9" ht="13.8" thickBot="1" x14ac:dyDescent="0.3">
      <c r="A55" s="295"/>
      <c r="B55" s="296"/>
      <c r="C55" s="296"/>
      <c r="D55" s="296"/>
      <c r="E55" s="296"/>
      <c r="F55" s="296"/>
      <c r="G55" s="296"/>
      <c r="H55" s="296"/>
      <c r="I55" s="297"/>
    </row>
    <row r="56" spans="1:9" x14ac:dyDescent="0.25">
      <c r="A56" s="298" t="s">
        <v>149</v>
      </c>
      <c r="B56" s="299"/>
      <c r="C56" s="299"/>
      <c r="D56" s="299"/>
      <c r="E56" s="299"/>
      <c r="F56" s="299"/>
      <c r="G56" s="299"/>
      <c r="H56" s="299"/>
      <c r="I56" s="299"/>
    </row>
    <row r="57" spans="1:9" x14ac:dyDescent="0.25">
      <c r="A57" s="281"/>
      <c r="B57" s="282"/>
      <c r="C57" s="282"/>
      <c r="D57" s="282"/>
      <c r="E57" s="282"/>
      <c r="F57" s="282"/>
      <c r="G57" s="282"/>
      <c r="H57" s="282"/>
      <c r="I57" s="282"/>
    </row>
    <row r="58" spans="1:9" x14ac:dyDescent="0.25">
      <c r="A58" s="281"/>
      <c r="B58" s="282"/>
      <c r="C58" s="282"/>
      <c r="D58" s="282"/>
      <c r="E58" s="282"/>
      <c r="F58" s="282"/>
      <c r="G58" s="282"/>
      <c r="H58" s="282"/>
      <c r="I58" s="282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D541-7CF5-4FDD-9F26-20B6EF768C92}">
  <dimension ref="A1:Q91"/>
  <sheetViews>
    <sheetView workbookViewId="0">
      <selection activeCell="O58" sqref="O58"/>
    </sheetView>
  </sheetViews>
  <sheetFormatPr baseColWidth="10" defaultColWidth="8.44140625" defaultRowHeight="13.2" x14ac:dyDescent="0.25"/>
  <cols>
    <col min="1" max="1" width="10" style="17" bestFit="1" customWidth="1"/>
    <col min="2" max="2" width="44.21875" style="17" bestFit="1" customWidth="1"/>
    <col min="3" max="3" width="10.44140625" style="17" bestFit="1" customWidth="1"/>
    <col min="4" max="4" width="10.44140625" style="17" customWidth="1"/>
    <col min="5" max="5" width="9.77734375" style="17" bestFit="1" customWidth="1"/>
    <col min="6" max="6" width="9.5546875" style="17" bestFit="1" customWidth="1"/>
    <col min="7" max="7" width="9.5546875" style="145" bestFit="1" customWidth="1"/>
    <col min="8" max="8" width="10.44140625" style="63" bestFit="1" customWidth="1"/>
    <col min="9" max="9" width="4.5546875" style="63" customWidth="1"/>
    <col min="10" max="10" width="1.77734375" style="16" customWidth="1"/>
    <col min="11" max="11" width="7" style="17" bestFit="1" customWidth="1"/>
    <col min="12" max="12" width="6.2187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21875" style="17" customWidth="1"/>
    <col min="18" max="256" width="8.44140625" style="17"/>
    <col min="257" max="257" width="10" style="17" bestFit="1" customWidth="1"/>
    <col min="258" max="258" width="44.21875" style="17" bestFit="1" customWidth="1"/>
    <col min="259" max="259" width="10.44140625" style="17" bestFit="1" customWidth="1"/>
    <col min="260" max="260" width="10.44140625" style="17" customWidth="1"/>
    <col min="261" max="261" width="9.77734375" style="17" bestFit="1" customWidth="1"/>
    <col min="262" max="263" width="9.5546875" style="17" bestFit="1" customWidth="1"/>
    <col min="264" max="264" width="10.44140625" style="17" bestFit="1" customWidth="1"/>
    <col min="265" max="265" width="4.5546875" style="17" customWidth="1"/>
    <col min="266" max="266" width="1.77734375" style="17" customWidth="1"/>
    <col min="267" max="267" width="7" style="17" bestFit="1" customWidth="1"/>
    <col min="268" max="268" width="6.21875" style="17" customWidth="1"/>
    <col min="269" max="269" width="20.44140625" style="17" customWidth="1"/>
    <col min="270" max="270" width="6.44140625" style="17" bestFit="1" customWidth="1"/>
    <col min="271" max="272" width="8.44140625" style="17"/>
    <col min="273" max="273" width="3.21875" style="17" customWidth="1"/>
    <col min="274" max="512" width="8.44140625" style="17"/>
    <col min="513" max="513" width="10" style="17" bestFit="1" customWidth="1"/>
    <col min="514" max="514" width="44.21875" style="17" bestFit="1" customWidth="1"/>
    <col min="515" max="515" width="10.44140625" style="17" bestFit="1" customWidth="1"/>
    <col min="516" max="516" width="10.44140625" style="17" customWidth="1"/>
    <col min="517" max="517" width="9.77734375" style="17" bestFit="1" customWidth="1"/>
    <col min="518" max="519" width="9.5546875" style="17" bestFit="1" customWidth="1"/>
    <col min="520" max="520" width="10.44140625" style="17" bestFit="1" customWidth="1"/>
    <col min="521" max="521" width="4.5546875" style="17" customWidth="1"/>
    <col min="522" max="522" width="1.77734375" style="17" customWidth="1"/>
    <col min="523" max="523" width="7" style="17" bestFit="1" customWidth="1"/>
    <col min="524" max="524" width="6.21875" style="17" customWidth="1"/>
    <col min="525" max="525" width="20.44140625" style="17" customWidth="1"/>
    <col min="526" max="526" width="6.44140625" style="17" bestFit="1" customWidth="1"/>
    <col min="527" max="528" width="8.44140625" style="17"/>
    <col min="529" max="529" width="3.21875" style="17" customWidth="1"/>
    <col min="530" max="768" width="8.44140625" style="17"/>
    <col min="769" max="769" width="10" style="17" bestFit="1" customWidth="1"/>
    <col min="770" max="770" width="44.21875" style="17" bestFit="1" customWidth="1"/>
    <col min="771" max="771" width="10.44140625" style="17" bestFit="1" customWidth="1"/>
    <col min="772" max="772" width="10.44140625" style="17" customWidth="1"/>
    <col min="773" max="773" width="9.77734375" style="17" bestFit="1" customWidth="1"/>
    <col min="774" max="775" width="9.5546875" style="17" bestFit="1" customWidth="1"/>
    <col min="776" max="776" width="10.44140625" style="17" bestFit="1" customWidth="1"/>
    <col min="777" max="777" width="4.5546875" style="17" customWidth="1"/>
    <col min="778" max="778" width="1.77734375" style="17" customWidth="1"/>
    <col min="779" max="779" width="7" style="17" bestFit="1" customWidth="1"/>
    <col min="780" max="780" width="6.21875" style="17" customWidth="1"/>
    <col min="781" max="781" width="20.44140625" style="17" customWidth="1"/>
    <col min="782" max="782" width="6.44140625" style="17" bestFit="1" customWidth="1"/>
    <col min="783" max="784" width="8.44140625" style="17"/>
    <col min="785" max="785" width="3.21875" style="17" customWidth="1"/>
    <col min="786" max="1024" width="8.44140625" style="17"/>
    <col min="1025" max="1025" width="10" style="17" bestFit="1" customWidth="1"/>
    <col min="1026" max="1026" width="44.21875" style="17" bestFit="1" customWidth="1"/>
    <col min="1027" max="1027" width="10.44140625" style="17" bestFit="1" customWidth="1"/>
    <col min="1028" max="1028" width="10.44140625" style="17" customWidth="1"/>
    <col min="1029" max="1029" width="9.77734375" style="17" bestFit="1" customWidth="1"/>
    <col min="1030" max="1031" width="9.5546875" style="17" bestFit="1" customWidth="1"/>
    <col min="1032" max="1032" width="10.44140625" style="17" bestFit="1" customWidth="1"/>
    <col min="1033" max="1033" width="4.5546875" style="17" customWidth="1"/>
    <col min="1034" max="1034" width="1.77734375" style="17" customWidth="1"/>
    <col min="1035" max="1035" width="7" style="17" bestFit="1" customWidth="1"/>
    <col min="1036" max="1036" width="6.21875" style="17" customWidth="1"/>
    <col min="1037" max="1037" width="20.44140625" style="17" customWidth="1"/>
    <col min="1038" max="1038" width="6.44140625" style="17" bestFit="1" customWidth="1"/>
    <col min="1039" max="1040" width="8.44140625" style="17"/>
    <col min="1041" max="1041" width="3.21875" style="17" customWidth="1"/>
    <col min="1042" max="1280" width="8.44140625" style="17"/>
    <col min="1281" max="1281" width="10" style="17" bestFit="1" customWidth="1"/>
    <col min="1282" max="1282" width="44.21875" style="17" bestFit="1" customWidth="1"/>
    <col min="1283" max="1283" width="10.44140625" style="17" bestFit="1" customWidth="1"/>
    <col min="1284" max="1284" width="10.44140625" style="17" customWidth="1"/>
    <col min="1285" max="1285" width="9.77734375" style="17" bestFit="1" customWidth="1"/>
    <col min="1286" max="1287" width="9.5546875" style="17" bestFit="1" customWidth="1"/>
    <col min="1288" max="1288" width="10.44140625" style="17" bestFit="1" customWidth="1"/>
    <col min="1289" max="1289" width="4.5546875" style="17" customWidth="1"/>
    <col min="1290" max="1290" width="1.77734375" style="17" customWidth="1"/>
    <col min="1291" max="1291" width="7" style="17" bestFit="1" customWidth="1"/>
    <col min="1292" max="1292" width="6.21875" style="17" customWidth="1"/>
    <col min="1293" max="1293" width="20.44140625" style="17" customWidth="1"/>
    <col min="1294" max="1294" width="6.44140625" style="17" bestFit="1" customWidth="1"/>
    <col min="1295" max="1296" width="8.44140625" style="17"/>
    <col min="1297" max="1297" width="3.21875" style="17" customWidth="1"/>
    <col min="1298" max="1536" width="8.44140625" style="17"/>
    <col min="1537" max="1537" width="10" style="17" bestFit="1" customWidth="1"/>
    <col min="1538" max="1538" width="44.21875" style="17" bestFit="1" customWidth="1"/>
    <col min="1539" max="1539" width="10.44140625" style="17" bestFit="1" customWidth="1"/>
    <col min="1540" max="1540" width="10.44140625" style="17" customWidth="1"/>
    <col min="1541" max="1541" width="9.77734375" style="17" bestFit="1" customWidth="1"/>
    <col min="1542" max="1543" width="9.5546875" style="17" bestFit="1" customWidth="1"/>
    <col min="1544" max="1544" width="10.44140625" style="17" bestFit="1" customWidth="1"/>
    <col min="1545" max="1545" width="4.5546875" style="17" customWidth="1"/>
    <col min="1546" max="1546" width="1.77734375" style="17" customWidth="1"/>
    <col min="1547" max="1547" width="7" style="17" bestFit="1" customWidth="1"/>
    <col min="1548" max="1548" width="6.21875" style="17" customWidth="1"/>
    <col min="1549" max="1549" width="20.44140625" style="17" customWidth="1"/>
    <col min="1550" max="1550" width="6.44140625" style="17" bestFit="1" customWidth="1"/>
    <col min="1551" max="1552" width="8.44140625" style="17"/>
    <col min="1553" max="1553" width="3.21875" style="17" customWidth="1"/>
    <col min="1554" max="1792" width="8.44140625" style="17"/>
    <col min="1793" max="1793" width="10" style="17" bestFit="1" customWidth="1"/>
    <col min="1794" max="1794" width="44.21875" style="17" bestFit="1" customWidth="1"/>
    <col min="1795" max="1795" width="10.44140625" style="17" bestFit="1" customWidth="1"/>
    <col min="1796" max="1796" width="10.44140625" style="17" customWidth="1"/>
    <col min="1797" max="1797" width="9.77734375" style="17" bestFit="1" customWidth="1"/>
    <col min="1798" max="1799" width="9.5546875" style="17" bestFit="1" customWidth="1"/>
    <col min="1800" max="1800" width="10.44140625" style="17" bestFit="1" customWidth="1"/>
    <col min="1801" max="1801" width="4.5546875" style="17" customWidth="1"/>
    <col min="1802" max="1802" width="1.77734375" style="17" customWidth="1"/>
    <col min="1803" max="1803" width="7" style="17" bestFit="1" customWidth="1"/>
    <col min="1804" max="1804" width="6.21875" style="17" customWidth="1"/>
    <col min="1805" max="1805" width="20.44140625" style="17" customWidth="1"/>
    <col min="1806" max="1806" width="6.44140625" style="17" bestFit="1" customWidth="1"/>
    <col min="1807" max="1808" width="8.44140625" style="17"/>
    <col min="1809" max="1809" width="3.21875" style="17" customWidth="1"/>
    <col min="1810" max="2048" width="8.44140625" style="17"/>
    <col min="2049" max="2049" width="10" style="17" bestFit="1" customWidth="1"/>
    <col min="2050" max="2050" width="44.21875" style="17" bestFit="1" customWidth="1"/>
    <col min="2051" max="2051" width="10.44140625" style="17" bestFit="1" customWidth="1"/>
    <col min="2052" max="2052" width="10.44140625" style="17" customWidth="1"/>
    <col min="2053" max="2053" width="9.77734375" style="17" bestFit="1" customWidth="1"/>
    <col min="2054" max="2055" width="9.5546875" style="17" bestFit="1" customWidth="1"/>
    <col min="2056" max="2056" width="10.44140625" style="17" bestFit="1" customWidth="1"/>
    <col min="2057" max="2057" width="4.5546875" style="17" customWidth="1"/>
    <col min="2058" max="2058" width="1.77734375" style="17" customWidth="1"/>
    <col min="2059" max="2059" width="7" style="17" bestFit="1" customWidth="1"/>
    <col min="2060" max="2060" width="6.21875" style="17" customWidth="1"/>
    <col min="2061" max="2061" width="20.44140625" style="17" customWidth="1"/>
    <col min="2062" max="2062" width="6.44140625" style="17" bestFit="1" customWidth="1"/>
    <col min="2063" max="2064" width="8.44140625" style="17"/>
    <col min="2065" max="2065" width="3.21875" style="17" customWidth="1"/>
    <col min="2066" max="2304" width="8.44140625" style="17"/>
    <col min="2305" max="2305" width="10" style="17" bestFit="1" customWidth="1"/>
    <col min="2306" max="2306" width="44.21875" style="17" bestFit="1" customWidth="1"/>
    <col min="2307" max="2307" width="10.44140625" style="17" bestFit="1" customWidth="1"/>
    <col min="2308" max="2308" width="10.44140625" style="17" customWidth="1"/>
    <col min="2309" max="2309" width="9.77734375" style="17" bestFit="1" customWidth="1"/>
    <col min="2310" max="2311" width="9.5546875" style="17" bestFit="1" customWidth="1"/>
    <col min="2312" max="2312" width="10.44140625" style="17" bestFit="1" customWidth="1"/>
    <col min="2313" max="2313" width="4.5546875" style="17" customWidth="1"/>
    <col min="2314" max="2314" width="1.77734375" style="17" customWidth="1"/>
    <col min="2315" max="2315" width="7" style="17" bestFit="1" customWidth="1"/>
    <col min="2316" max="2316" width="6.21875" style="17" customWidth="1"/>
    <col min="2317" max="2317" width="20.44140625" style="17" customWidth="1"/>
    <col min="2318" max="2318" width="6.44140625" style="17" bestFit="1" customWidth="1"/>
    <col min="2319" max="2320" width="8.44140625" style="17"/>
    <col min="2321" max="2321" width="3.21875" style="17" customWidth="1"/>
    <col min="2322" max="2560" width="8.44140625" style="17"/>
    <col min="2561" max="2561" width="10" style="17" bestFit="1" customWidth="1"/>
    <col min="2562" max="2562" width="44.21875" style="17" bestFit="1" customWidth="1"/>
    <col min="2563" max="2563" width="10.44140625" style="17" bestFit="1" customWidth="1"/>
    <col min="2564" max="2564" width="10.44140625" style="17" customWidth="1"/>
    <col min="2565" max="2565" width="9.77734375" style="17" bestFit="1" customWidth="1"/>
    <col min="2566" max="2567" width="9.5546875" style="17" bestFit="1" customWidth="1"/>
    <col min="2568" max="2568" width="10.44140625" style="17" bestFit="1" customWidth="1"/>
    <col min="2569" max="2569" width="4.5546875" style="17" customWidth="1"/>
    <col min="2570" max="2570" width="1.77734375" style="17" customWidth="1"/>
    <col min="2571" max="2571" width="7" style="17" bestFit="1" customWidth="1"/>
    <col min="2572" max="2572" width="6.21875" style="17" customWidth="1"/>
    <col min="2573" max="2573" width="20.44140625" style="17" customWidth="1"/>
    <col min="2574" max="2574" width="6.44140625" style="17" bestFit="1" customWidth="1"/>
    <col min="2575" max="2576" width="8.44140625" style="17"/>
    <col min="2577" max="2577" width="3.21875" style="17" customWidth="1"/>
    <col min="2578" max="2816" width="8.44140625" style="17"/>
    <col min="2817" max="2817" width="10" style="17" bestFit="1" customWidth="1"/>
    <col min="2818" max="2818" width="44.21875" style="17" bestFit="1" customWidth="1"/>
    <col min="2819" max="2819" width="10.44140625" style="17" bestFit="1" customWidth="1"/>
    <col min="2820" max="2820" width="10.44140625" style="17" customWidth="1"/>
    <col min="2821" max="2821" width="9.77734375" style="17" bestFit="1" customWidth="1"/>
    <col min="2822" max="2823" width="9.5546875" style="17" bestFit="1" customWidth="1"/>
    <col min="2824" max="2824" width="10.44140625" style="17" bestFit="1" customWidth="1"/>
    <col min="2825" max="2825" width="4.5546875" style="17" customWidth="1"/>
    <col min="2826" max="2826" width="1.77734375" style="17" customWidth="1"/>
    <col min="2827" max="2827" width="7" style="17" bestFit="1" customWidth="1"/>
    <col min="2828" max="2828" width="6.21875" style="17" customWidth="1"/>
    <col min="2829" max="2829" width="20.44140625" style="17" customWidth="1"/>
    <col min="2830" max="2830" width="6.44140625" style="17" bestFit="1" customWidth="1"/>
    <col min="2831" max="2832" width="8.44140625" style="17"/>
    <col min="2833" max="2833" width="3.21875" style="17" customWidth="1"/>
    <col min="2834" max="3072" width="8.44140625" style="17"/>
    <col min="3073" max="3073" width="10" style="17" bestFit="1" customWidth="1"/>
    <col min="3074" max="3074" width="44.21875" style="17" bestFit="1" customWidth="1"/>
    <col min="3075" max="3075" width="10.44140625" style="17" bestFit="1" customWidth="1"/>
    <col min="3076" max="3076" width="10.44140625" style="17" customWidth="1"/>
    <col min="3077" max="3077" width="9.77734375" style="17" bestFit="1" customWidth="1"/>
    <col min="3078" max="3079" width="9.5546875" style="17" bestFit="1" customWidth="1"/>
    <col min="3080" max="3080" width="10.44140625" style="17" bestFit="1" customWidth="1"/>
    <col min="3081" max="3081" width="4.5546875" style="17" customWidth="1"/>
    <col min="3082" max="3082" width="1.77734375" style="17" customWidth="1"/>
    <col min="3083" max="3083" width="7" style="17" bestFit="1" customWidth="1"/>
    <col min="3084" max="3084" width="6.21875" style="17" customWidth="1"/>
    <col min="3085" max="3085" width="20.44140625" style="17" customWidth="1"/>
    <col min="3086" max="3086" width="6.44140625" style="17" bestFit="1" customWidth="1"/>
    <col min="3087" max="3088" width="8.44140625" style="17"/>
    <col min="3089" max="3089" width="3.21875" style="17" customWidth="1"/>
    <col min="3090" max="3328" width="8.44140625" style="17"/>
    <col min="3329" max="3329" width="10" style="17" bestFit="1" customWidth="1"/>
    <col min="3330" max="3330" width="44.21875" style="17" bestFit="1" customWidth="1"/>
    <col min="3331" max="3331" width="10.44140625" style="17" bestFit="1" customWidth="1"/>
    <col min="3332" max="3332" width="10.44140625" style="17" customWidth="1"/>
    <col min="3333" max="3333" width="9.77734375" style="17" bestFit="1" customWidth="1"/>
    <col min="3334" max="3335" width="9.5546875" style="17" bestFit="1" customWidth="1"/>
    <col min="3336" max="3336" width="10.44140625" style="17" bestFit="1" customWidth="1"/>
    <col min="3337" max="3337" width="4.5546875" style="17" customWidth="1"/>
    <col min="3338" max="3338" width="1.77734375" style="17" customWidth="1"/>
    <col min="3339" max="3339" width="7" style="17" bestFit="1" customWidth="1"/>
    <col min="3340" max="3340" width="6.21875" style="17" customWidth="1"/>
    <col min="3341" max="3341" width="20.44140625" style="17" customWidth="1"/>
    <col min="3342" max="3342" width="6.44140625" style="17" bestFit="1" customWidth="1"/>
    <col min="3343" max="3344" width="8.44140625" style="17"/>
    <col min="3345" max="3345" width="3.21875" style="17" customWidth="1"/>
    <col min="3346" max="3584" width="8.44140625" style="17"/>
    <col min="3585" max="3585" width="10" style="17" bestFit="1" customWidth="1"/>
    <col min="3586" max="3586" width="44.21875" style="17" bestFit="1" customWidth="1"/>
    <col min="3587" max="3587" width="10.44140625" style="17" bestFit="1" customWidth="1"/>
    <col min="3588" max="3588" width="10.44140625" style="17" customWidth="1"/>
    <col min="3589" max="3589" width="9.77734375" style="17" bestFit="1" customWidth="1"/>
    <col min="3590" max="3591" width="9.5546875" style="17" bestFit="1" customWidth="1"/>
    <col min="3592" max="3592" width="10.44140625" style="17" bestFit="1" customWidth="1"/>
    <col min="3593" max="3593" width="4.5546875" style="17" customWidth="1"/>
    <col min="3594" max="3594" width="1.77734375" style="17" customWidth="1"/>
    <col min="3595" max="3595" width="7" style="17" bestFit="1" customWidth="1"/>
    <col min="3596" max="3596" width="6.21875" style="17" customWidth="1"/>
    <col min="3597" max="3597" width="20.44140625" style="17" customWidth="1"/>
    <col min="3598" max="3598" width="6.44140625" style="17" bestFit="1" customWidth="1"/>
    <col min="3599" max="3600" width="8.44140625" style="17"/>
    <col min="3601" max="3601" width="3.21875" style="17" customWidth="1"/>
    <col min="3602" max="3840" width="8.44140625" style="17"/>
    <col min="3841" max="3841" width="10" style="17" bestFit="1" customWidth="1"/>
    <col min="3842" max="3842" width="44.21875" style="17" bestFit="1" customWidth="1"/>
    <col min="3843" max="3843" width="10.44140625" style="17" bestFit="1" customWidth="1"/>
    <col min="3844" max="3844" width="10.44140625" style="17" customWidth="1"/>
    <col min="3845" max="3845" width="9.77734375" style="17" bestFit="1" customWidth="1"/>
    <col min="3846" max="3847" width="9.5546875" style="17" bestFit="1" customWidth="1"/>
    <col min="3848" max="3848" width="10.44140625" style="17" bestFit="1" customWidth="1"/>
    <col min="3849" max="3849" width="4.5546875" style="17" customWidth="1"/>
    <col min="3850" max="3850" width="1.77734375" style="17" customWidth="1"/>
    <col min="3851" max="3851" width="7" style="17" bestFit="1" customWidth="1"/>
    <col min="3852" max="3852" width="6.21875" style="17" customWidth="1"/>
    <col min="3853" max="3853" width="20.44140625" style="17" customWidth="1"/>
    <col min="3854" max="3854" width="6.44140625" style="17" bestFit="1" customWidth="1"/>
    <col min="3855" max="3856" width="8.44140625" style="17"/>
    <col min="3857" max="3857" width="3.21875" style="17" customWidth="1"/>
    <col min="3858" max="4096" width="8.44140625" style="17"/>
    <col min="4097" max="4097" width="10" style="17" bestFit="1" customWidth="1"/>
    <col min="4098" max="4098" width="44.21875" style="17" bestFit="1" customWidth="1"/>
    <col min="4099" max="4099" width="10.44140625" style="17" bestFit="1" customWidth="1"/>
    <col min="4100" max="4100" width="10.44140625" style="17" customWidth="1"/>
    <col min="4101" max="4101" width="9.77734375" style="17" bestFit="1" customWidth="1"/>
    <col min="4102" max="4103" width="9.5546875" style="17" bestFit="1" customWidth="1"/>
    <col min="4104" max="4104" width="10.44140625" style="17" bestFit="1" customWidth="1"/>
    <col min="4105" max="4105" width="4.5546875" style="17" customWidth="1"/>
    <col min="4106" max="4106" width="1.77734375" style="17" customWidth="1"/>
    <col min="4107" max="4107" width="7" style="17" bestFit="1" customWidth="1"/>
    <col min="4108" max="4108" width="6.21875" style="17" customWidth="1"/>
    <col min="4109" max="4109" width="20.44140625" style="17" customWidth="1"/>
    <col min="4110" max="4110" width="6.44140625" style="17" bestFit="1" customWidth="1"/>
    <col min="4111" max="4112" width="8.44140625" style="17"/>
    <col min="4113" max="4113" width="3.21875" style="17" customWidth="1"/>
    <col min="4114" max="4352" width="8.44140625" style="17"/>
    <col min="4353" max="4353" width="10" style="17" bestFit="1" customWidth="1"/>
    <col min="4354" max="4354" width="44.21875" style="17" bestFit="1" customWidth="1"/>
    <col min="4355" max="4355" width="10.44140625" style="17" bestFit="1" customWidth="1"/>
    <col min="4356" max="4356" width="10.44140625" style="17" customWidth="1"/>
    <col min="4357" max="4357" width="9.77734375" style="17" bestFit="1" customWidth="1"/>
    <col min="4358" max="4359" width="9.5546875" style="17" bestFit="1" customWidth="1"/>
    <col min="4360" max="4360" width="10.44140625" style="17" bestFit="1" customWidth="1"/>
    <col min="4361" max="4361" width="4.5546875" style="17" customWidth="1"/>
    <col min="4362" max="4362" width="1.77734375" style="17" customWidth="1"/>
    <col min="4363" max="4363" width="7" style="17" bestFit="1" customWidth="1"/>
    <col min="4364" max="4364" width="6.21875" style="17" customWidth="1"/>
    <col min="4365" max="4365" width="20.44140625" style="17" customWidth="1"/>
    <col min="4366" max="4366" width="6.44140625" style="17" bestFit="1" customWidth="1"/>
    <col min="4367" max="4368" width="8.44140625" style="17"/>
    <col min="4369" max="4369" width="3.21875" style="17" customWidth="1"/>
    <col min="4370" max="4608" width="8.44140625" style="17"/>
    <col min="4609" max="4609" width="10" style="17" bestFit="1" customWidth="1"/>
    <col min="4610" max="4610" width="44.21875" style="17" bestFit="1" customWidth="1"/>
    <col min="4611" max="4611" width="10.44140625" style="17" bestFit="1" customWidth="1"/>
    <col min="4612" max="4612" width="10.44140625" style="17" customWidth="1"/>
    <col min="4613" max="4613" width="9.77734375" style="17" bestFit="1" customWidth="1"/>
    <col min="4614" max="4615" width="9.5546875" style="17" bestFit="1" customWidth="1"/>
    <col min="4616" max="4616" width="10.44140625" style="17" bestFit="1" customWidth="1"/>
    <col min="4617" max="4617" width="4.5546875" style="17" customWidth="1"/>
    <col min="4618" max="4618" width="1.77734375" style="17" customWidth="1"/>
    <col min="4619" max="4619" width="7" style="17" bestFit="1" customWidth="1"/>
    <col min="4620" max="4620" width="6.21875" style="17" customWidth="1"/>
    <col min="4621" max="4621" width="20.44140625" style="17" customWidth="1"/>
    <col min="4622" max="4622" width="6.44140625" style="17" bestFit="1" customWidth="1"/>
    <col min="4623" max="4624" width="8.44140625" style="17"/>
    <col min="4625" max="4625" width="3.21875" style="17" customWidth="1"/>
    <col min="4626" max="4864" width="8.44140625" style="17"/>
    <col min="4865" max="4865" width="10" style="17" bestFit="1" customWidth="1"/>
    <col min="4866" max="4866" width="44.21875" style="17" bestFit="1" customWidth="1"/>
    <col min="4867" max="4867" width="10.44140625" style="17" bestFit="1" customWidth="1"/>
    <col min="4868" max="4868" width="10.44140625" style="17" customWidth="1"/>
    <col min="4869" max="4869" width="9.77734375" style="17" bestFit="1" customWidth="1"/>
    <col min="4870" max="4871" width="9.5546875" style="17" bestFit="1" customWidth="1"/>
    <col min="4872" max="4872" width="10.44140625" style="17" bestFit="1" customWidth="1"/>
    <col min="4873" max="4873" width="4.5546875" style="17" customWidth="1"/>
    <col min="4874" max="4874" width="1.77734375" style="17" customWidth="1"/>
    <col min="4875" max="4875" width="7" style="17" bestFit="1" customWidth="1"/>
    <col min="4876" max="4876" width="6.21875" style="17" customWidth="1"/>
    <col min="4877" max="4877" width="20.44140625" style="17" customWidth="1"/>
    <col min="4878" max="4878" width="6.44140625" style="17" bestFit="1" customWidth="1"/>
    <col min="4879" max="4880" width="8.44140625" style="17"/>
    <col min="4881" max="4881" width="3.21875" style="17" customWidth="1"/>
    <col min="4882" max="5120" width="8.44140625" style="17"/>
    <col min="5121" max="5121" width="10" style="17" bestFit="1" customWidth="1"/>
    <col min="5122" max="5122" width="44.21875" style="17" bestFit="1" customWidth="1"/>
    <col min="5123" max="5123" width="10.44140625" style="17" bestFit="1" customWidth="1"/>
    <col min="5124" max="5124" width="10.44140625" style="17" customWidth="1"/>
    <col min="5125" max="5125" width="9.77734375" style="17" bestFit="1" customWidth="1"/>
    <col min="5126" max="5127" width="9.5546875" style="17" bestFit="1" customWidth="1"/>
    <col min="5128" max="5128" width="10.44140625" style="17" bestFit="1" customWidth="1"/>
    <col min="5129" max="5129" width="4.5546875" style="17" customWidth="1"/>
    <col min="5130" max="5130" width="1.77734375" style="17" customWidth="1"/>
    <col min="5131" max="5131" width="7" style="17" bestFit="1" customWidth="1"/>
    <col min="5132" max="5132" width="6.21875" style="17" customWidth="1"/>
    <col min="5133" max="5133" width="20.44140625" style="17" customWidth="1"/>
    <col min="5134" max="5134" width="6.44140625" style="17" bestFit="1" customWidth="1"/>
    <col min="5135" max="5136" width="8.44140625" style="17"/>
    <col min="5137" max="5137" width="3.21875" style="17" customWidth="1"/>
    <col min="5138" max="5376" width="8.44140625" style="17"/>
    <col min="5377" max="5377" width="10" style="17" bestFit="1" customWidth="1"/>
    <col min="5378" max="5378" width="44.21875" style="17" bestFit="1" customWidth="1"/>
    <col min="5379" max="5379" width="10.44140625" style="17" bestFit="1" customWidth="1"/>
    <col min="5380" max="5380" width="10.44140625" style="17" customWidth="1"/>
    <col min="5381" max="5381" width="9.77734375" style="17" bestFit="1" customWidth="1"/>
    <col min="5382" max="5383" width="9.5546875" style="17" bestFit="1" customWidth="1"/>
    <col min="5384" max="5384" width="10.44140625" style="17" bestFit="1" customWidth="1"/>
    <col min="5385" max="5385" width="4.5546875" style="17" customWidth="1"/>
    <col min="5386" max="5386" width="1.77734375" style="17" customWidth="1"/>
    <col min="5387" max="5387" width="7" style="17" bestFit="1" customWidth="1"/>
    <col min="5388" max="5388" width="6.21875" style="17" customWidth="1"/>
    <col min="5389" max="5389" width="20.44140625" style="17" customWidth="1"/>
    <col min="5390" max="5390" width="6.44140625" style="17" bestFit="1" customWidth="1"/>
    <col min="5391" max="5392" width="8.44140625" style="17"/>
    <col min="5393" max="5393" width="3.21875" style="17" customWidth="1"/>
    <col min="5394" max="5632" width="8.44140625" style="17"/>
    <col min="5633" max="5633" width="10" style="17" bestFit="1" customWidth="1"/>
    <col min="5634" max="5634" width="44.21875" style="17" bestFit="1" customWidth="1"/>
    <col min="5635" max="5635" width="10.44140625" style="17" bestFit="1" customWidth="1"/>
    <col min="5636" max="5636" width="10.44140625" style="17" customWidth="1"/>
    <col min="5637" max="5637" width="9.77734375" style="17" bestFit="1" customWidth="1"/>
    <col min="5638" max="5639" width="9.5546875" style="17" bestFit="1" customWidth="1"/>
    <col min="5640" max="5640" width="10.44140625" style="17" bestFit="1" customWidth="1"/>
    <col min="5641" max="5641" width="4.5546875" style="17" customWidth="1"/>
    <col min="5642" max="5642" width="1.77734375" style="17" customWidth="1"/>
    <col min="5643" max="5643" width="7" style="17" bestFit="1" customWidth="1"/>
    <col min="5644" max="5644" width="6.21875" style="17" customWidth="1"/>
    <col min="5645" max="5645" width="20.44140625" style="17" customWidth="1"/>
    <col min="5646" max="5646" width="6.44140625" style="17" bestFit="1" customWidth="1"/>
    <col min="5647" max="5648" width="8.44140625" style="17"/>
    <col min="5649" max="5649" width="3.21875" style="17" customWidth="1"/>
    <col min="5650" max="5888" width="8.44140625" style="17"/>
    <col min="5889" max="5889" width="10" style="17" bestFit="1" customWidth="1"/>
    <col min="5890" max="5890" width="44.21875" style="17" bestFit="1" customWidth="1"/>
    <col min="5891" max="5891" width="10.44140625" style="17" bestFit="1" customWidth="1"/>
    <col min="5892" max="5892" width="10.44140625" style="17" customWidth="1"/>
    <col min="5893" max="5893" width="9.77734375" style="17" bestFit="1" customWidth="1"/>
    <col min="5894" max="5895" width="9.5546875" style="17" bestFit="1" customWidth="1"/>
    <col min="5896" max="5896" width="10.44140625" style="17" bestFit="1" customWidth="1"/>
    <col min="5897" max="5897" width="4.5546875" style="17" customWidth="1"/>
    <col min="5898" max="5898" width="1.77734375" style="17" customWidth="1"/>
    <col min="5899" max="5899" width="7" style="17" bestFit="1" customWidth="1"/>
    <col min="5900" max="5900" width="6.21875" style="17" customWidth="1"/>
    <col min="5901" max="5901" width="20.44140625" style="17" customWidth="1"/>
    <col min="5902" max="5902" width="6.44140625" style="17" bestFit="1" customWidth="1"/>
    <col min="5903" max="5904" width="8.44140625" style="17"/>
    <col min="5905" max="5905" width="3.21875" style="17" customWidth="1"/>
    <col min="5906" max="6144" width="8.44140625" style="17"/>
    <col min="6145" max="6145" width="10" style="17" bestFit="1" customWidth="1"/>
    <col min="6146" max="6146" width="44.21875" style="17" bestFit="1" customWidth="1"/>
    <col min="6147" max="6147" width="10.44140625" style="17" bestFit="1" customWidth="1"/>
    <col min="6148" max="6148" width="10.44140625" style="17" customWidth="1"/>
    <col min="6149" max="6149" width="9.77734375" style="17" bestFit="1" customWidth="1"/>
    <col min="6150" max="6151" width="9.5546875" style="17" bestFit="1" customWidth="1"/>
    <col min="6152" max="6152" width="10.44140625" style="17" bestFit="1" customWidth="1"/>
    <col min="6153" max="6153" width="4.5546875" style="17" customWidth="1"/>
    <col min="6154" max="6154" width="1.77734375" style="17" customWidth="1"/>
    <col min="6155" max="6155" width="7" style="17" bestFit="1" customWidth="1"/>
    <col min="6156" max="6156" width="6.21875" style="17" customWidth="1"/>
    <col min="6157" max="6157" width="20.44140625" style="17" customWidth="1"/>
    <col min="6158" max="6158" width="6.44140625" style="17" bestFit="1" customWidth="1"/>
    <col min="6159" max="6160" width="8.44140625" style="17"/>
    <col min="6161" max="6161" width="3.21875" style="17" customWidth="1"/>
    <col min="6162" max="6400" width="8.44140625" style="17"/>
    <col min="6401" max="6401" width="10" style="17" bestFit="1" customWidth="1"/>
    <col min="6402" max="6402" width="44.21875" style="17" bestFit="1" customWidth="1"/>
    <col min="6403" max="6403" width="10.44140625" style="17" bestFit="1" customWidth="1"/>
    <col min="6404" max="6404" width="10.44140625" style="17" customWidth="1"/>
    <col min="6405" max="6405" width="9.77734375" style="17" bestFit="1" customWidth="1"/>
    <col min="6406" max="6407" width="9.5546875" style="17" bestFit="1" customWidth="1"/>
    <col min="6408" max="6408" width="10.44140625" style="17" bestFit="1" customWidth="1"/>
    <col min="6409" max="6409" width="4.5546875" style="17" customWidth="1"/>
    <col min="6410" max="6410" width="1.77734375" style="17" customWidth="1"/>
    <col min="6411" max="6411" width="7" style="17" bestFit="1" customWidth="1"/>
    <col min="6412" max="6412" width="6.21875" style="17" customWidth="1"/>
    <col min="6413" max="6413" width="20.44140625" style="17" customWidth="1"/>
    <col min="6414" max="6414" width="6.44140625" style="17" bestFit="1" customWidth="1"/>
    <col min="6415" max="6416" width="8.44140625" style="17"/>
    <col min="6417" max="6417" width="3.21875" style="17" customWidth="1"/>
    <col min="6418" max="6656" width="8.44140625" style="17"/>
    <col min="6657" max="6657" width="10" style="17" bestFit="1" customWidth="1"/>
    <col min="6658" max="6658" width="44.21875" style="17" bestFit="1" customWidth="1"/>
    <col min="6659" max="6659" width="10.44140625" style="17" bestFit="1" customWidth="1"/>
    <col min="6660" max="6660" width="10.44140625" style="17" customWidth="1"/>
    <col min="6661" max="6661" width="9.77734375" style="17" bestFit="1" customWidth="1"/>
    <col min="6662" max="6663" width="9.5546875" style="17" bestFit="1" customWidth="1"/>
    <col min="6664" max="6664" width="10.44140625" style="17" bestFit="1" customWidth="1"/>
    <col min="6665" max="6665" width="4.5546875" style="17" customWidth="1"/>
    <col min="6666" max="6666" width="1.77734375" style="17" customWidth="1"/>
    <col min="6667" max="6667" width="7" style="17" bestFit="1" customWidth="1"/>
    <col min="6668" max="6668" width="6.21875" style="17" customWidth="1"/>
    <col min="6669" max="6669" width="20.44140625" style="17" customWidth="1"/>
    <col min="6670" max="6670" width="6.44140625" style="17" bestFit="1" customWidth="1"/>
    <col min="6671" max="6672" width="8.44140625" style="17"/>
    <col min="6673" max="6673" width="3.21875" style="17" customWidth="1"/>
    <col min="6674" max="6912" width="8.44140625" style="17"/>
    <col min="6913" max="6913" width="10" style="17" bestFit="1" customWidth="1"/>
    <col min="6914" max="6914" width="44.21875" style="17" bestFit="1" customWidth="1"/>
    <col min="6915" max="6915" width="10.44140625" style="17" bestFit="1" customWidth="1"/>
    <col min="6916" max="6916" width="10.44140625" style="17" customWidth="1"/>
    <col min="6917" max="6917" width="9.77734375" style="17" bestFit="1" customWidth="1"/>
    <col min="6918" max="6919" width="9.5546875" style="17" bestFit="1" customWidth="1"/>
    <col min="6920" max="6920" width="10.44140625" style="17" bestFit="1" customWidth="1"/>
    <col min="6921" max="6921" width="4.5546875" style="17" customWidth="1"/>
    <col min="6922" max="6922" width="1.77734375" style="17" customWidth="1"/>
    <col min="6923" max="6923" width="7" style="17" bestFit="1" customWidth="1"/>
    <col min="6924" max="6924" width="6.21875" style="17" customWidth="1"/>
    <col min="6925" max="6925" width="20.44140625" style="17" customWidth="1"/>
    <col min="6926" max="6926" width="6.44140625" style="17" bestFit="1" customWidth="1"/>
    <col min="6927" max="6928" width="8.44140625" style="17"/>
    <col min="6929" max="6929" width="3.21875" style="17" customWidth="1"/>
    <col min="6930" max="7168" width="8.44140625" style="17"/>
    <col min="7169" max="7169" width="10" style="17" bestFit="1" customWidth="1"/>
    <col min="7170" max="7170" width="44.21875" style="17" bestFit="1" customWidth="1"/>
    <col min="7171" max="7171" width="10.44140625" style="17" bestFit="1" customWidth="1"/>
    <col min="7172" max="7172" width="10.44140625" style="17" customWidth="1"/>
    <col min="7173" max="7173" width="9.77734375" style="17" bestFit="1" customWidth="1"/>
    <col min="7174" max="7175" width="9.5546875" style="17" bestFit="1" customWidth="1"/>
    <col min="7176" max="7176" width="10.44140625" style="17" bestFit="1" customWidth="1"/>
    <col min="7177" max="7177" width="4.5546875" style="17" customWidth="1"/>
    <col min="7178" max="7178" width="1.77734375" style="17" customWidth="1"/>
    <col min="7179" max="7179" width="7" style="17" bestFit="1" customWidth="1"/>
    <col min="7180" max="7180" width="6.21875" style="17" customWidth="1"/>
    <col min="7181" max="7181" width="20.44140625" style="17" customWidth="1"/>
    <col min="7182" max="7182" width="6.44140625" style="17" bestFit="1" customWidth="1"/>
    <col min="7183" max="7184" width="8.44140625" style="17"/>
    <col min="7185" max="7185" width="3.21875" style="17" customWidth="1"/>
    <col min="7186" max="7424" width="8.44140625" style="17"/>
    <col min="7425" max="7425" width="10" style="17" bestFit="1" customWidth="1"/>
    <col min="7426" max="7426" width="44.21875" style="17" bestFit="1" customWidth="1"/>
    <col min="7427" max="7427" width="10.44140625" style="17" bestFit="1" customWidth="1"/>
    <col min="7428" max="7428" width="10.44140625" style="17" customWidth="1"/>
    <col min="7429" max="7429" width="9.77734375" style="17" bestFit="1" customWidth="1"/>
    <col min="7430" max="7431" width="9.5546875" style="17" bestFit="1" customWidth="1"/>
    <col min="7432" max="7432" width="10.44140625" style="17" bestFit="1" customWidth="1"/>
    <col min="7433" max="7433" width="4.5546875" style="17" customWidth="1"/>
    <col min="7434" max="7434" width="1.77734375" style="17" customWidth="1"/>
    <col min="7435" max="7435" width="7" style="17" bestFit="1" customWidth="1"/>
    <col min="7436" max="7436" width="6.21875" style="17" customWidth="1"/>
    <col min="7437" max="7437" width="20.44140625" style="17" customWidth="1"/>
    <col min="7438" max="7438" width="6.44140625" style="17" bestFit="1" customWidth="1"/>
    <col min="7439" max="7440" width="8.44140625" style="17"/>
    <col min="7441" max="7441" width="3.21875" style="17" customWidth="1"/>
    <col min="7442" max="7680" width="8.44140625" style="17"/>
    <col min="7681" max="7681" width="10" style="17" bestFit="1" customWidth="1"/>
    <col min="7682" max="7682" width="44.21875" style="17" bestFit="1" customWidth="1"/>
    <col min="7683" max="7683" width="10.44140625" style="17" bestFit="1" customWidth="1"/>
    <col min="7684" max="7684" width="10.44140625" style="17" customWidth="1"/>
    <col min="7685" max="7685" width="9.77734375" style="17" bestFit="1" customWidth="1"/>
    <col min="7686" max="7687" width="9.5546875" style="17" bestFit="1" customWidth="1"/>
    <col min="7688" max="7688" width="10.44140625" style="17" bestFit="1" customWidth="1"/>
    <col min="7689" max="7689" width="4.5546875" style="17" customWidth="1"/>
    <col min="7690" max="7690" width="1.77734375" style="17" customWidth="1"/>
    <col min="7691" max="7691" width="7" style="17" bestFit="1" customWidth="1"/>
    <col min="7692" max="7692" width="6.21875" style="17" customWidth="1"/>
    <col min="7693" max="7693" width="20.44140625" style="17" customWidth="1"/>
    <col min="7694" max="7694" width="6.44140625" style="17" bestFit="1" customWidth="1"/>
    <col min="7695" max="7696" width="8.44140625" style="17"/>
    <col min="7697" max="7697" width="3.21875" style="17" customWidth="1"/>
    <col min="7698" max="7936" width="8.44140625" style="17"/>
    <col min="7937" max="7937" width="10" style="17" bestFit="1" customWidth="1"/>
    <col min="7938" max="7938" width="44.21875" style="17" bestFit="1" customWidth="1"/>
    <col min="7939" max="7939" width="10.44140625" style="17" bestFit="1" customWidth="1"/>
    <col min="7940" max="7940" width="10.44140625" style="17" customWidth="1"/>
    <col min="7941" max="7941" width="9.77734375" style="17" bestFit="1" customWidth="1"/>
    <col min="7942" max="7943" width="9.5546875" style="17" bestFit="1" customWidth="1"/>
    <col min="7944" max="7944" width="10.44140625" style="17" bestFit="1" customWidth="1"/>
    <col min="7945" max="7945" width="4.5546875" style="17" customWidth="1"/>
    <col min="7946" max="7946" width="1.77734375" style="17" customWidth="1"/>
    <col min="7947" max="7947" width="7" style="17" bestFit="1" customWidth="1"/>
    <col min="7948" max="7948" width="6.21875" style="17" customWidth="1"/>
    <col min="7949" max="7949" width="20.44140625" style="17" customWidth="1"/>
    <col min="7950" max="7950" width="6.44140625" style="17" bestFit="1" customWidth="1"/>
    <col min="7951" max="7952" width="8.44140625" style="17"/>
    <col min="7953" max="7953" width="3.21875" style="17" customWidth="1"/>
    <col min="7954" max="8192" width="8.44140625" style="17"/>
    <col min="8193" max="8193" width="10" style="17" bestFit="1" customWidth="1"/>
    <col min="8194" max="8194" width="44.21875" style="17" bestFit="1" customWidth="1"/>
    <col min="8195" max="8195" width="10.44140625" style="17" bestFit="1" customWidth="1"/>
    <col min="8196" max="8196" width="10.44140625" style="17" customWidth="1"/>
    <col min="8197" max="8197" width="9.77734375" style="17" bestFit="1" customWidth="1"/>
    <col min="8198" max="8199" width="9.5546875" style="17" bestFit="1" customWidth="1"/>
    <col min="8200" max="8200" width="10.44140625" style="17" bestFit="1" customWidth="1"/>
    <col min="8201" max="8201" width="4.5546875" style="17" customWidth="1"/>
    <col min="8202" max="8202" width="1.77734375" style="17" customWidth="1"/>
    <col min="8203" max="8203" width="7" style="17" bestFit="1" customWidth="1"/>
    <col min="8204" max="8204" width="6.21875" style="17" customWidth="1"/>
    <col min="8205" max="8205" width="20.44140625" style="17" customWidth="1"/>
    <col min="8206" max="8206" width="6.44140625" style="17" bestFit="1" customWidth="1"/>
    <col min="8207" max="8208" width="8.44140625" style="17"/>
    <col min="8209" max="8209" width="3.21875" style="17" customWidth="1"/>
    <col min="8210" max="8448" width="8.44140625" style="17"/>
    <col min="8449" max="8449" width="10" style="17" bestFit="1" customWidth="1"/>
    <col min="8450" max="8450" width="44.21875" style="17" bestFit="1" customWidth="1"/>
    <col min="8451" max="8451" width="10.44140625" style="17" bestFit="1" customWidth="1"/>
    <col min="8452" max="8452" width="10.44140625" style="17" customWidth="1"/>
    <col min="8453" max="8453" width="9.77734375" style="17" bestFit="1" customWidth="1"/>
    <col min="8454" max="8455" width="9.5546875" style="17" bestFit="1" customWidth="1"/>
    <col min="8456" max="8456" width="10.44140625" style="17" bestFit="1" customWidth="1"/>
    <col min="8457" max="8457" width="4.5546875" style="17" customWidth="1"/>
    <col min="8458" max="8458" width="1.77734375" style="17" customWidth="1"/>
    <col min="8459" max="8459" width="7" style="17" bestFit="1" customWidth="1"/>
    <col min="8460" max="8460" width="6.21875" style="17" customWidth="1"/>
    <col min="8461" max="8461" width="20.44140625" style="17" customWidth="1"/>
    <col min="8462" max="8462" width="6.44140625" style="17" bestFit="1" customWidth="1"/>
    <col min="8463" max="8464" width="8.44140625" style="17"/>
    <col min="8465" max="8465" width="3.21875" style="17" customWidth="1"/>
    <col min="8466" max="8704" width="8.44140625" style="17"/>
    <col min="8705" max="8705" width="10" style="17" bestFit="1" customWidth="1"/>
    <col min="8706" max="8706" width="44.21875" style="17" bestFit="1" customWidth="1"/>
    <col min="8707" max="8707" width="10.44140625" style="17" bestFit="1" customWidth="1"/>
    <col min="8708" max="8708" width="10.44140625" style="17" customWidth="1"/>
    <col min="8709" max="8709" width="9.77734375" style="17" bestFit="1" customWidth="1"/>
    <col min="8710" max="8711" width="9.5546875" style="17" bestFit="1" customWidth="1"/>
    <col min="8712" max="8712" width="10.44140625" style="17" bestFit="1" customWidth="1"/>
    <col min="8713" max="8713" width="4.5546875" style="17" customWidth="1"/>
    <col min="8714" max="8714" width="1.77734375" style="17" customWidth="1"/>
    <col min="8715" max="8715" width="7" style="17" bestFit="1" customWidth="1"/>
    <col min="8716" max="8716" width="6.21875" style="17" customWidth="1"/>
    <col min="8717" max="8717" width="20.44140625" style="17" customWidth="1"/>
    <col min="8718" max="8718" width="6.44140625" style="17" bestFit="1" customWidth="1"/>
    <col min="8719" max="8720" width="8.44140625" style="17"/>
    <col min="8721" max="8721" width="3.21875" style="17" customWidth="1"/>
    <col min="8722" max="8960" width="8.44140625" style="17"/>
    <col min="8961" max="8961" width="10" style="17" bestFit="1" customWidth="1"/>
    <col min="8962" max="8962" width="44.21875" style="17" bestFit="1" customWidth="1"/>
    <col min="8963" max="8963" width="10.44140625" style="17" bestFit="1" customWidth="1"/>
    <col min="8964" max="8964" width="10.44140625" style="17" customWidth="1"/>
    <col min="8965" max="8965" width="9.77734375" style="17" bestFit="1" customWidth="1"/>
    <col min="8966" max="8967" width="9.5546875" style="17" bestFit="1" customWidth="1"/>
    <col min="8968" max="8968" width="10.44140625" style="17" bestFit="1" customWidth="1"/>
    <col min="8969" max="8969" width="4.5546875" style="17" customWidth="1"/>
    <col min="8970" max="8970" width="1.77734375" style="17" customWidth="1"/>
    <col min="8971" max="8971" width="7" style="17" bestFit="1" customWidth="1"/>
    <col min="8972" max="8972" width="6.21875" style="17" customWidth="1"/>
    <col min="8973" max="8973" width="20.44140625" style="17" customWidth="1"/>
    <col min="8974" max="8974" width="6.44140625" style="17" bestFit="1" customWidth="1"/>
    <col min="8975" max="8976" width="8.44140625" style="17"/>
    <col min="8977" max="8977" width="3.21875" style="17" customWidth="1"/>
    <col min="8978" max="9216" width="8.44140625" style="17"/>
    <col min="9217" max="9217" width="10" style="17" bestFit="1" customWidth="1"/>
    <col min="9218" max="9218" width="44.21875" style="17" bestFit="1" customWidth="1"/>
    <col min="9219" max="9219" width="10.44140625" style="17" bestFit="1" customWidth="1"/>
    <col min="9220" max="9220" width="10.44140625" style="17" customWidth="1"/>
    <col min="9221" max="9221" width="9.77734375" style="17" bestFit="1" customWidth="1"/>
    <col min="9222" max="9223" width="9.5546875" style="17" bestFit="1" customWidth="1"/>
    <col min="9224" max="9224" width="10.44140625" style="17" bestFit="1" customWidth="1"/>
    <col min="9225" max="9225" width="4.5546875" style="17" customWidth="1"/>
    <col min="9226" max="9226" width="1.77734375" style="17" customWidth="1"/>
    <col min="9227" max="9227" width="7" style="17" bestFit="1" customWidth="1"/>
    <col min="9228" max="9228" width="6.21875" style="17" customWidth="1"/>
    <col min="9229" max="9229" width="20.44140625" style="17" customWidth="1"/>
    <col min="9230" max="9230" width="6.44140625" style="17" bestFit="1" customWidth="1"/>
    <col min="9231" max="9232" width="8.44140625" style="17"/>
    <col min="9233" max="9233" width="3.21875" style="17" customWidth="1"/>
    <col min="9234" max="9472" width="8.44140625" style="17"/>
    <col min="9473" max="9473" width="10" style="17" bestFit="1" customWidth="1"/>
    <col min="9474" max="9474" width="44.21875" style="17" bestFit="1" customWidth="1"/>
    <col min="9475" max="9475" width="10.44140625" style="17" bestFit="1" customWidth="1"/>
    <col min="9476" max="9476" width="10.44140625" style="17" customWidth="1"/>
    <col min="9477" max="9477" width="9.77734375" style="17" bestFit="1" customWidth="1"/>
    <col min="9478" max="9479" width="9.5546875" style="17" bestFit="1" customWidth="1"/>
    <col min="9480" max="9480" width="10.44140625" style="17" bestFit="1" customWidth="1"/>
    <col min="9481" max="9481" width="4.5546875" style="17" customWidth="1"/>
    <col min="9482" max="9482" width="1.77734375" style="17" customWidth="1"/>
    <col min="9483" max="9483" width="7" style="17" bestFit="1" customWidth="1"/>
    <col min="9484" max="9484" width="6.21875" style="17" customWidth="1"/>
    <col min="9485" max="9485" width="20.44140625" style="17" customWidth="1"/>
    <col min="9486" max="9486" width="6.44140625" style="17" bestFit="1" customWidth="1"/>
    <col min="9487" max="9488" width="8.44140625" style="17"/>
    <col min="9489" max="9489" width="3.21875" style="17" customWidth="1"/>
    <col min="9490" max="9728" width="8.44140625" style="17"/>
    <col min="9729" max="9729" width="10" style="17" bestFit="1" customWidth="1"/>
    <col min="9730" max="9730" width="44.21875" style="17" bestFit="1" customWidth="1"/>
    <col min="9731" max="9731" width="10.44140625" style="17" bestFit="1" customWidth="1"/>
    <col min="9732" max="9732" width="10.44140625" style="17" customWidth="1"/>
    <col min="9733" max="9733" width="9.77734375" style="17" bestFit="1" customWidth="1"/>
    <col min="9734" max="9735" width="9.5546875" style="17" bestFit="1" customWidth="1"/>
    <col min="9736" max="9736" width="10.44140625" style="17" bestFit="1" customWidth="1"/>
    <col min="9737" max="9737" width="4.5546875" style="17" customWidth="1"/>
    <col min="9738" max="9738" width="1.77734375" style="17" customWidth="1"/>
    <col min="9739" max="9739" width="7" style="17" bestFit="1" customWidth="1"/>
    <col min="9740" max="9740" width="6.21875" style="17" customWidth="1"/>
    <col min="9741" max="9741" width="20.44140625" style="17" customWidth="1"/>
    <col min="9742" max="9742" width="6.44140625" style="17" bestFit="1" customWidth="1"/>
    <col min="9743" max="9744" width="8.44140625" style="17"/>
    <col min="9745" max="9745" width="3.21875" style="17" customWidth="1"/>
    <col min="9746" max="9984" width="8.44140625" style="17"/>
    <col min="9985" max="9985" width="10" style="17" bestFit="1" customWidth="1"/>
    <col min="9986" max="9986" width="44.21875" style="17" bestFit="1" customWidth="1"/>
    <col min="9987" max="9987" width="10.44140625" style="17" bestFit="1" customWidth="1"/>
    <col min="9988" max="9988" width="10.44140625" style="17" customWidth="1"/>
    <col min="9989" max="9989" width="9.77734375" style="17" bestFit="1" customWidth="1"/>
    <col min="9990" max="9991" width="9.5546875" style="17" bestFit="1" customWidth="1"/>
    <col min="9992" max="9992" width="10.44140625" style="17" bestFit="1" customWidth="1"/>
    <col min="9993" max="9993" width="4.5546875" style="17" customWidth="1"/>
    <col min="9994" max="9994" width="1.77734375" style="17" customWidth="1"/>
    <col min="9995" max="9995" width="7" style="17" bestFit="1" customWidth="1"/>
    <col min="9996" max="9996" width="6.21875" style="17" customWidth="1"/>
    <col min="9997" max="9997" width="20.44140625" style="17" customWidth="1"/>
    <col min="9998" max="9998" width="6.44140625" style="17" bestFit="1" customWidth="1"/>
    <col min="9999" max="10000" width="8.44140625" style="17"/>
    <col min="10001" max="10001" width="3.21875" style="17" customWidth="1"/>
    <col min="10002" max="10240" width="8.44140625" style="17"/>
    <col min="10241" max="10241" width="10" style="17" bestFit="1" customWidth="1"/>
    <col min="10242" max="10242" width="44.21875" style="17" bestFit="1" customWidth="1"/>
    <col min="10243" max="10243" width="10.44140625" style="17" bestFit="1" customWidth="1"/>
    <col min="10244" max="10244" width="10.44140625" style="17" customWidth="1"/>
    <col min="10245" max="10245" width="9.77734375" style="17" bestFit="1" customWidth="1"/>
    <col min="10246" max="10247" width="9.5546875" style="17" bestFit="1" customWidth="1"/>
    <col min="10248" max="10248" width="10.44140625" style="17" bestFit="1" customWidth="1"/>
    <col min="10249" max="10249" width="4.5546875" style="17" customWidth="1"/>
    <col min="10250" max="10250" width="1.77734375" style="17" customWidth="1"/>
    <col min="10251" max="10251" width="7" style="17" bestFit="1" customWidth="1"/>
    <col min="10252" max="10252" width="6.21875" style="17" customWidth="1"/>
    <col min="10253" max="10253" width="20.44140625" style="17" customWidth="1"/>
    <col min="10254" max="10254" width="6.44140625" style="17" bestFit="1" customWidth="1"/>
    <col min="10255" max="10256" width="8.44140625" style="17"/>
    <col min="10257" max="10257" width="3.21875" style="17" customWidth="1"/>
    <col min="10258" max="10496" width="8.44140625" style="17"/>
    <col min="10497" max="10497" width="10" style="17" bestFit="1" customWidth="1"/>
    <col min="10498" max="10498" width="44.21875" style="17" bestFit="1" customWidth="1"/>
    <col min="10499" max="10499" width="10.44140625" style="17" bestFit="1" customWidth="1"/>
    <col min="10500" max="10500" width="10.44140625" style="17" customWidth="1"/>
    <col min="10501" max="10501" width="9.77734375" style="17" bestFit="1" customWidth="1"/>
    <col min="10502" max="10503" width="9.5546875" style="17" bestFit="1" customWidth="1"/>
    <col min="10504" max="10504" width="10.44140625" style="17" bestFit="1" customWidth="1"/>
    <col min="10505" max="10505" width="4.5546875" style="17" customWidth="1"/>
    <col min="10506" max="10506" width="1.77734375" style="17" customWidth="1"/>
    <col min="10507" max="10507" width="7" style="17" bestFit="1" customWidth="1"/>
    <col min="10508" max="10508" width="6.21875" style="17" customWidth="1"/>
    <col min="10509" max="10509" width="20.44140625" style="17" customWidth="1"/>
    <col min="10510" max="10510" width="6.44140625" style="17" bestFit="1" customWidth="1"/>
    <col min="10511" max="10512" width="8.44140625" style="17"/>
    <col min="10513" max="10513" width="3.21875" style="17" customWidth="1"/>
    <col min="10514" max="10752" width="8.44140625" style="17"/>
    <col min="10753" max="10753" width="10" style="17" bestFit="1" customWidth="1"/>
    <col min="10754" max="10754" width="44.21875" style="17" bestFit="1" customWidth="1"/>
    <col min="10755" max="10755" width="10.44140625" style="17" bestFit="1" customWidth="1"/>
    <col min="10756" max="10756" width="10.44140625" style="17" customWidth="1"/>
    <col min="10757" max="10757" width="9.77734375" style="17" bestFit="1" customWidth="1"/>
    <col min="10758" max="10759" width="9.5546875" style="17" bestFit="1" customWidth="1"/>
    <col min="10760" max="10760" width="10.44140625" style="17" bestFit="1" customWidth="1"/>
    <col min="10761" max="10761" width="4.5546875" style="17" customWidth="1"/>
    <col min="10762" max="10762" width="1.77734375" style="17" customWidth="1"/>
    <col min="10763" max="10763" width="7" style="17" bestFit="1" customWidth="1"/>
    <col min="10764" max="10764" width="6.21875" style="17" customWidth="1"/>
    <col min="10765" max="10765" width="20.44140625" style="17" customWidth="1"/>
    <col min="10766" max="10766" width="6.44140625" style="17" bestFit="1" customWidth="1"/>
    <col min="10767" max="10768" width="8.44140625" style="17"/>
    <col min="10769" max="10769" width="3.21875" style="17" customWidth="1"/>
    <col min="10770" max="11008" width="8.44140625" style="17"/>
    <col min="11009" max="11009" width="10" style="17" bestFit="1" customWidth="1"/>
    <col min="11010" max="11010" width="44.21875" style="17" bestFit="1" customWidth="1"/>
    <col min="11011" max="11011" width="10.44140625" style="17" bestFit="1" customWidth="1"/>
    <col min="11012" max="11012" width="10.44140625" style="17" customWidth="1"/>
    <col min="11013" max="11013" width="9.77734375" style="17" bestFit="1" customWidth="1"/>
    <col min="11014" max="11015" width="9.5546875" style="17" bestFit="1" customWidth="1"/>
    <col min="11016" max="11016" width="10.44140625" style="17" bestFit="1" customWidth="1"/>
    <col min="11017" max="11017" width="4.5546875" style="17" customWidth="1"/>
    <col min="11018" max="11018" width="1.77734375" style="17" customWidth="1"/>
    <col min="11019" max="11019" width="7" style="17" bestFit="1" customWidth="1"/>
    <col min="11020" max="11020" width="6.21875" style="17" customWidth="1"/>
    <col min="11021" max="11021" width="20.44140625" style="17" customWidth="1"/>
    <col min="11022" max="11022" width="6.44140625" style="17" bestFit="1" customWidth="1"/>
    <col min="11023" max="11024" width="8.44140625" style="17"/>
    <col min="11025" max="11025" width="3.21875" style="17" customWidth="1"/>
    <col min="11026" max="11264" width="8.44140625" style="17"/>
    <col min="11265" max="11265" width="10" style="17" bestFit="1" customWidth="1"/>
    <col min="11266" max="11266" width="44.21875" style="17" bestFit="1" customWidth="1"/>
    <col min="11267" max="11267" width="10.44140625" style="17" bestFit="1" customWidth="1"/>
    <col min="11268" max="11268" width="10.44140625" style="17" customWidth="1"/>
    <col min="11269" max="11269" width="9.77734375" style="17" bestFit="1" customWidth="1"/>
    <col min="11270" max="11271" width="9.5546875" style="17" bestFit="1" customWidth="1"/>
    <col min="11272" max="11272" width="10.44140625" style="17" bestFit="1" customWidth="1"/>
    <col min="11273" max="11273" width="4.5546875" style="17" customWidth="1"/>
    <col min="11274" max="11274" width="1.77734375" style="17" customWidth="1"/>
    <col min="11275" max="11275" width="7" style="17" bestFit="1" customWidth="1"/>
    <col min="11276" max="11276" width="6.21875" style="17" customWidth="1"/>
    <col min="11277" max="11277" width="20.44140625" style="17" customWidth="1"/>
    <col min="11278" max="11278" width="6.44140625" style="17" bestFit="1" customWidth="1"/>
    <col min="11279" max="11280" width="8.44140625" style="17"/>
    <col min="11281" max="11281" width="3.21875" style="17" customWidth="1"/>
    <col min="11282" max="11520" width="8.44140625" style="17"/>
    <col min="11521" max="11521" width="10" style="17" bestFit="1" customWidth="1"/>
    <col min="11522" max="11522" width="44.21875" style="17" bestFit="1" customWidth="1"/>
    <col min="11523" max="11523" width="10.44140625" style="17" bestFit="1" customWidth="1"/>
    <col min="11524" max="11524" width="10.44140625" style="17" customWidth="1"/>
    <col min="11525" max="11525" width="9.77734375" style="17" bestFit="1" customWidth="1"/>
    <col min="11526" max="11527" width="9.5546875" style="17" bestFit="1" customWidth="1"/>
    <col min="11528" max="11528" width="10.44140625" style="17" bestFit="1" customWidth="1"/>
    <col min="11529" max="11529" width="4.5546875" style="17" customWidth="1"/>
    <col min="11530" max="11530" width="1.77734375" style="17" customWidth="1"/>
    <col min="11531" max="11531" width="7" style="17" bestFit="1" customWidth="1"/>
    <col min="11532" max="11532" width="6.21875" style="17" customWidth="1"/>
    <col min="11533" max="11533" width="20.44140625" style="17" customWidth="1"/>
    <col min="11534" max="11534" width="6.44140625" style="17" bestFit="1" customWidth="1"/>
    <col min="11535" max="11536" width="8.44140625" style="17"/>
    <col min="11537" max="11537" width="3.21875" style="17" customWidth="1"/>
    <col min="11538" max="11776" width="8.44140625" style="17"/>
    <col min="11777" max="11777" width="10" style="17" bestFit="1" customWidth="1"/>
    <col min="11778" max="11778" width="44.21875" style="17" bestFit="1" customWidth="1"/>
    <col min="11779" max="11779" width="10.44140625" style="17" bestFit="1" customWidth="1"/>
    <col min="11780" max="11780" width="10.44140625" style="17" customWidth="1"/>
    <col min="11781" max="11781" width="9.77734375" style="17" bestFit="1" customWidth="1"/>
    <col min="11782" max="11783" width="9.5546875" style="17" bestFit="1" customWidth="1"/>
    <col min="11784" max="11784" width="10.44140625" style="17" bestFit="1" customWidth="1"/>
    <col min="11785" max="11785" width="4.5546875" style="17" customWidth="1"/>
    <col min="11786" max="11786" width="1.77734375" style="17" customWidth="1"/>
    <col min="11787" max="11787" width="7" style="17" bestFit="1" customWidth="1"/>
    <col min="11788" max="11788" width="6.21875" style="17" customWidth="1"/>
    <col min="11789" max="11789" width="20.44140625" style="17" customWidth="1"/>
    <col min="11790" max="11790" width="6.44140625" style="17" bestFit="1" customWidth="1"/>
    <col min="11791" max="11792" width="8.44140625" style="17"/>
    <col min="11793" max="11793" width="3.21875" style="17" customWidth="1"/>
    <col min="11794" max="12032" width="8.44140625" style="17"/>
    <col min="12033" max="12033" width="10" style="17" bestFit="1" customWidth="1"/>
    <col min="12034" max="12034" width="44.21875" style="17" bestFit="1" customWidth="1"/>
    <col min="12035" max="12035" width="10.44140625" style="17" bestFit="1" customWidth="1"/>
    <col min="12036" max="12036" width="10.44140625" style="17" customWidth="1"/>
    <col min="12037" max="12037" width="9.77734375" style="17" bestFit="1" customWidth="1"/>
    <col min="12038" max="12039" width="9.5546875" style="17" bestFit="1" customWidth="1"/>
    <col min="12040" max="12040" width="10.44140625" style="17" bestFit="1" customWidth="1"/>
    <col min="12041" max="12041" width="4.5546875" style="17" customWidth="1"/>
    <col min="12042" max="12042" width="1.77734375" style="17" customWidth="1"/>
    <col min="12043" max="12043" width="7" style="17" bestFit="1" customWidth="1"/>
    <col min="12044" max="12044" width="6.21875" style="17" customWidth="1"/>
    <col min="12045" max="12045" width="20.44140625" style="17" customWidth="1"/>
    <col min="12046" max="12046" width="6.44140625" style="17" bestFit="1" customWidth="1"/>
    <col min="12047" max="12048" width="8.44140625" style="17"/>
    <col min="12049" max="12049" width="3.21875" style="17" customWidth="1"/>
    <col min="12050" max="12288" width="8.44140625" style="17"/>
    <col min="12289" max="12289" width="10" style="17" bestFit="1" customWidth="1"/>
    <col min="12290" max="12290" width="44.21875" style="17" bestFit="1" customWidth="1"/>
    <col min="12291" max="12291" width="10.44140625" style="17" bestFit="1" customWidth="1"/>
    <col min="12292" max="12292" width="10.44140625" style="17" customWidth="1"/>
    <col min="12293" max="12293" width="9.77734375" style="17" bestFit="1" customWidth="1"/>
    <col min="12294" max="12295" width="9.5546875" style="17" bestFit="1" customWidth="1"/>
    <col min="12296" max="12296" width="10.44140625" style="17" bestFit="1" customWidth="1"/>
    <col min="12297" max="12297" width="4.5546875" style="17" customWidth="1"/>
    <col min="12298" max="12298" width="1.77734375" style="17" customWidth="1"/>
    <col min="12299" max="12299" width="7" style="17" bestFit="1" customWidth="1"/>
    <col min="12300" max="12300" width="6.21875" style="17" customWidth="1"/>
    <col min="12301" max="12301" width="20.44140625" style="17" customWidth="1"/>
    <col min="12302" max="12302" width="6.44140625" style="17" bestFit="1" customWidth="1"/>
    <col min="12303" max="12304" width="8.44140625" style="17"/>
    <col min="12305" max="12305" width="3.21875" style="17" customWidth="1"/>
    <col min="12306" max="12544" width="8.44140625" style="17"/>
    <col min="12545" max="12545" width="10" style="17" bestFit="1" customWidth="1"/>
    <col min="12546" max="12546" width="44.21875" style="17" bestFit="1" customWidth="1"/>
    <col min="12547" max="12547" width="10.44140625" style="17" bestFit="1" customWidth="1"/>
    <col min="12548" max="12548" width="10.44140625" style="17" customWidth="1"/>
    <col min="12549" max="12549" width="9.77734375" style="17" bestFit="1" customWidth="1"/>
    <col min="12550" max="12551" width="9.5546875" style="17" bestFit="1" customWidth="1"/>
    <col min="12552" max="12552" width="10.44140625" style="17" bestFit="1" customWidth="1"/>
    <col min="12553" max="12553" width="4.5546875" style="17" customWidth="1"/>
    <col min="12554" max="12554" width="1.77734375" style="17" customWidth="1"/>
    <col min="12555" max="12555" width="7" style="17" bestFit="1" customWidth="1"/>
    <col min="12556" max="12556" width="6.21875" style="17" customWidth="1"/>
    <col min="12557" max="12557" width="20.44140625" style="17" customWidth="1"/>
    <col min="12558" max="12558" width="6.44140625" style="17" bestFit="1" customWidth="1"/>
    <col min="12559" max="12560" width="8.44140625" style="17"/>
    <col min="12561" max="12561" width="3.21875" style="17" customWidth="1"/>
    <col min="12562" max="12800" width="8.44140625" style="17"/>
    <col min="12801" max="12801" width="10" style="17" bestFit="1" customWidth="1"/>
    <col min="12802" max="12802" width="44.21875" style="17" bestFit="1" customWidth="1"/>
    <col min="12803" max="12803" width="10.44140625" style="17" bestFit="1" customWidth="1"/>
    <col min="12804" max="12804" width="10.44140625" style="17" customWidth="1"/>
    <col min="12805" max="12805" width="9.77734375" style="17" bestFit="1" customWidth="1"/>
    <col min="12806" max="12807" width="9.5546875" style="17" bestFit="1" customWidth="1"/>
    <col min="12808" max="12808" width="10.44140625" style="17" bestFit="1" customWidth="1"/>
    <col min="12809" max="12809" width="4.5546875" style="17" customWidth="1"/>
    <col min="12810" max="12810" width="1.77734375" style="17" customWidth="1"/>
    <col min="12811" max="12811" width="7" style="17" bestFit="1" customWidth="1"/>
    <col min="12812" max="12812" width="6.21875" style="17" customWidth="1"/>
    <col min="12813" max="12813" width="20.44140625" style="17" customWidth="1"/>
    <col min="12814" max="12814" width="6.44140625" style="17" bestFit="1" customWidth="1"/>
    <col min="12815" max="12816" width="8.44140625" style="17"/>
    <col min="12817" max="12817" width="3.21875" style="17" customWidth="1"/>
    <col min="12818" max="13056" width="8.44140625" style="17"/>
    <col min="13057" max="13057" width="10" style="17" bestFit="1" customWidth="1"/>
    <col min="13058" max="13058" width="44.21875" style="17" bestFit="1" customWidth="1"/>
    <col min="13059" max="13059" width="10.44140625" style="17" bestFit="1" customWidth="1"/>
    <col min="13060" max="13060" width="10.44140625" style="17" customWidth="1"/>
    <col min="13061" max="13061" width="9.77734375" style="17" bestFit="1" customWidth="1"/>
    <col min="13062" max="13063" width="9.5546875" style="17" bestFit="1" customWidth="1"/>
    <col min="13064" max="13064" width="10.44140625" style="17" bestFit="1" customWidth="1"/>
    <col min="13065" max="13065" width="4.5546875" style="17" customWidth="1"/>
    <col min="13066" max="13066" width="1.77734375" style="17" customWidth="1"/>
    <col min="13067" max="13067" width="7" style="17" bestFit="1" customWidth="1"/>
    <col min="13068" max="13068" width="6.21875" style="17" customWidth="1"/>
    <col min="13069" max="13069" width="20.44140625" style="17" customWidth="1"/>
    <col min="13070" max="13070" width="6.44140625" style="17" bestFit="1" customWidth="1"/>
    <col min="13071" max="13072" width="8.44140625" style="17"/>
    <col min="13073" max="13073" width="3.21875" style="17" customWidth="1"/>
    <col min="13074" max="13312" width="8.44140625" style="17"/>
    <col min="13313" max="13313" width="10" style="17" bestFit="1" customWidth="1"/>
    <col min="13314" max="13314" width="44.21875" style="17" bestFit="1" customWidth="1"/>
    <col min="13315" max="13315" width="10.44140625" style="17" bestFit="1" customWidth="1"/>
    <col min="13316" max="13316" width="10.44140625" style="17" customWidth="1"/>
    <col min="13317" max="13317" width="9.77734375" style="17" bestFit="1" customWidth="1"/>
    <col min="13318" max="13319" width="9.5546875" style="17" bestFit="1" customWidth="1"/>
    <col min="13320" max="13320" width="10.44140625" style="17" bestFit="1" customWidth="1"/>
    <col min="13321" max="13321" width="4.5546875" style="17" customWidth="1"/>
    <col min="13322" max="13322" width="1.77734375" style="17" customWidth="1"/>
    <col min="13323" max="13323" width="7" style="17" bestFit="1" customWidth="1"/>
    <col min="13324" max="13324" width="6.21875" style="17" customWidth="1"/>
    <col min="13325" max="13325" width="20.44140625" style="17" customWidth="1"/>
    <col min="13326" max="13326" width="6.44140625" style="17" bestFit="1" customWidth="1"/>
    <col min="13327" max="13328" width="8.44140625" style="17"/>
    <col min="13329" max="13329" width="3.21875" style="17" customWidth="1"/>
    <col min="13330" max="13568" width="8.44140625" style="17"/>
    <col min="13569" max="13569" width="10" style="17" bestFit="1" customWidth="1"/>
    <col min="13570" max="13570" width="44.21875" style="17" bestFit="1" customWidth="1"/>
    <col min="13571" max="13571" width="10.44140625" style="17" bestFit="1" customWidth="1"/>
    <col min="13572" max="13572" width="10.44140625" style="17" customWidth="1"/>
    <col min="13573" max="13573" width="9.77734375" style="17" bestFit="1" customWidth="1"/>
    <col min="13574" max="13575" width="9.5546875" style="17" bestFit="1" customWidth="1"/>
    <col min="13576" max="13576" width="10.44140625" style="17" bestFit="1" customWidth="1"/>
    <col min="13577" max="13577" width="4.5546875" style="17" customWidth="1"/>
    <col min="13578" max="13578" width="1.77734375" style="17" customWidth="1"/>
    <col min="13579" max="13579" width="7" style="17" bestFit="1" customWidth="1"/>
    <col min="13580" max="13580" width="6.21875" style="17" customWidth="1"/>
    <col min="13581" max="13581" width="20.44140625" style="17" customWidth="1"/>
    <col min="13582" max="13582" width="6.44140625" style="17" bestFit="1" customWidth="1"/>
    <col min="13583" max="13584" width="8.44140625" style="17"/>
    <col min="13585" max="13585" width="3.21875" style="17" customWidth="1"/>
    <col min="13586" max="13824" width="8.44140625" style="17"/>
    <col min="13825" max="13825" width="10" style="17" bestFit="1" customWidth="1"/>
    <col min="13826" max="13826" width="44.21875" style="17" bestFit="1" customWidth="1"/>
    <col min="13827" max="13827" width="10.44140625" style="17" bestFit="1" customWidth="1"/>
    <col min="13828" max="13828" width="10.44140625" style="17" customWidth="1"/>
    <col min="13829" max="13829" width="9.77734375" style="17" bestFit="1" customWidth="1"/>
    <col min="13830" max="13831" width="9.5546875" style="17" bestFit="1" customWidth="1"/>
    <col min="13832" max="13832" width="10.44140625" style="17" bestFit="1" customWidth="1"/>
    <col min="13833" max="13833" width="4.5546875" style="17" customWidth="1"/>
    <col min="13834" max="13834" width="1.77734375" style="17" customWidth="1"/>
    <col min="13835" max="13835" width="7" style="17" bestFit="1" customWidth="1"/>
    <col min="13836" max="13836" width="6.21875" style="17" customWidth="1"/>
    <col min="13837" max="13837" width="20.44140625" style="17" customWidth="1"/>
    <col min="13838" max="13838" width="6.44140625" style="17" bestFit="1" customWidth="1"/>
    <col min="13839" max="13840" width="8.44140625" style="17"/>
    <col min="13841" max="13841" width="3.21875" style="17" customWidth="1"/>
    <col min="13842" max="14080" width="8.44140625" style="17"/>
    <col min="14081" max="14081" width="10" style="17" bestFit="1" customWidth="1"/>
    <col min="14082" max="14082" width="44.21875" style="17" bestFit="1" customWidth="1"/>
    <col min="14083" max="14083" width="10.44140625" style="17" bestFit="1" customWidth="1"/>
    <col min="14084" max="14084" width="10.44140625" style="17" customWidth="1"/>
    <col min="14085" max="14085" width="9.77734375" style="17" bestFit="1" customWidth="1"/>
    <col min="14086" max="14087" width="9.5546875" style="17" bestFit="1" customWidth="1"/>
    <col min="14088" max="14088" width="10.44140625" style="17" bestFit="1" customWidth="1"/>
    <col min="14089" max="14089" width="4.5546875" style="17" customWidth="1"/>
    <col min="14090" max="14090" width="1.77734375" style="17" customWidth="1"/>
    <col min="14091" max="14091" width="7" style="17" bestFit="1" customWidth="1"/>
    <col min="14092" max="14092" width="6.21875" style="17" customWidth="1"/>
    <col min="14093" max="14093" width="20.44140625" style="17" customWidth="1"/>
    <col min="14094" max="14094" width="6.44140625" style="17" bestFit="1" customWidth="1"/>
    <col min="14095" max="14096" width="8.44140625" style="17"/>
    <col min="14097" max="14097" width="3.21875" style="17" customWidth="1"/>
    <col min="14098" max="14336" width="8.44140625" style="17"/>
    <col min="14337" max="14337" width="10" style="17" bestFit="1" customWidth="1"/>
    <col min="14338" max="14338" width="44.21875" style="17" bestFit="1" customWidth="1"/>
    <col min="14339" max="14339" width="10.44140625" style="17" bestFit="1" customWidth="1"/>
    <col min="14340" max="14340" width="10.44140625" style="17" customWidth="1"/>
    <col min="14341" max="14341" width="9.77734375" style="17" bestFit="1" customWidth="1"/>
    <col min="14342" max="14343" width="9.5546875" style="17" bestFit="1" customWidth="1"/>
    <col min="14344" max="14344" width="10.44140625" style="17" bestFit="1" customWidth="1"/>
    <col min="14345" max="14345" width="4.5546875" style="17" customWidth="1"/>
    <col min="14346" max="14346" width="1.77734375" style="17" customWidth="1"/>
    <col min="14347" max="14347" width="7" style="17" bestFit="1" customWidth="1"/>
    <col min="14348" max="14348" width="6.21875" style="17" customWidth="1"/>
    <col min="14349" max="14349" width="20.44140625" style="17" customWidth="1"/>
    <col min="14350" max="14350" width="6.44140625" style="17" bestFit="1" customWidth="1"/>
    <col min="14351" max="14352" width="8.44140625" style="17"/>
    <col min="14353" max="14353" width="3.21875" style="17" customWidth="1"/>
    <col min="14354" max="14592" width="8.44140625" style="17"/>
    <col min="14593" max="14593" width="10" style="17" bestFit="1" customWidth="1"/>
    <col min="14594" max="14594" width="44.21875" style="17" bestFit="1" customWidth="1"/>
    <col min="14595" max="14595" width="10.44140625" style="17" bestFit="1" customWidth="1"/>
    <col min="14596" max="14596" width="10.44140625" style="17" customWidth="1"/>
    <col min="14597" max="14597" width="9.77734375" style="17" bestFit="1" customWidth="1"/>
    <col min="14598" max="14599" width="9.5546875" style="17" bestFit="1" customWidth="1"/>
    <col min="14600" max="14600" width="10.44140625" style="17" bestFit="1" customWidth="1"/>
    <col min="14601" max="14601" width="4.5546875" style="17" customWidth="1"/>
    <col min="14602" max="14602" width="1.77734375" style="17" customWidth="1"/>
    <col min="14603" max="14603" width="7" style="17" bestFit="1" customWidth="1"/>
    <col min="14604" max="14604" width="6.21875" style="17" customWidth="1"/>
    <col min="14605" max="14605" width="20.44140625" style="17" customWidth="1"/>
    <col min="14606" max="14606" width="6.44140625" style="17" bestFit="1" customWidth="1"/>
    <col min="14607" max="14608" width="8.44140625" style="17"/>
    <col min="14609" max="14609" width="3.21875" style="17" customWidth="1"/>
    <col min="14610" max="14848" width="8.44140625" style="17"/>
    <col min="14849" max="14849" width="10" style="17" bestFit="1" customWidth="1"/>
    <col min="14850" max="14850" width="44.21875" style="17" bestFit="1" customWidth="1"/>
    <col min="14851" max="14851" width="10.44140625" style="17" bestFit="1" customWidth="1"/>
    <col min="14852" max="14852" width="10.44140625" style="17" customWidth="1"/>
    <col min="14853" max="14853" width="9.77734375" style="17" bestFit="1" customWidth="1"/>
    <col min="14854" max="14855" width="9.5546875" style="17" bestFit="1" customWidth="1"/>
    <col min="14856" max="14856" width="10.44140625" style="17" bestFit="1" customWidth="1"/>
    <col min="14857" max="14857" width="4.5546875" style="17" customWidth="1"/>
    <col min="14858" max="14858" width="1.77734375" style="17" customWidth="1"/>
    <col min="14859" max="14859" width="7" style="17" bestFit="1" customWidth="1"/>
    <col min="14860" max="14860" width="6.21875" style="17" customWidth="1"/>
    <col min="14861" max="14861" width="20.44140625" style="17" customWidth="1"/>
    <col min="14862" max="14862" width="6.44140625" style="17" bestFit="1" customWidth="1"/>
    <col min="14863" max="14864" width="8.44140625" style="17"/>
    <col min="14865" max="14865" width="3.21875" style="17" customWidth="1"/>
    <col min="14866" max="15104" width="8.44140625" style="17"/>
    <col min="15105" max="15105" width="10" style="17" bestFit="1" customWidth="1"/>
    <col min="15106" max="15106" width="44.21875" style="17" bestFit="1" customWidth="1"/>
    <col min="15107" max="15107" width="10.44140625" style="17" bestFit="1" customWidth="1"/>
    <col min="15108" max="15108" width="10.44140625" style="17" customWidth="1"/>
    <col min="15109" max="15109" width="9.77734375" style="17" bestFit="1" customWidth="1"/>
    <col min="15110" max="15111" width="9.5546875" style="17" bestFit="1" customWidth="1"/>
    <col min="15112" max="15112" width="10.44140625" style="17" bestFit="1" customWidth="1"/>
    <col min="15113" max="15113" width="4.5546875" style="17" customWidth="1"/>
    <col min="15114" max="15114" width="1.77734375" style="17" customWidth="1"/>
    <col min="15115" max="15115" width="7" style="17" bestFit="1" customWidth="1"/>
    <col min="15116" max="15116" width="6.21875" style="17" customWidth="1"/>
    <col min="15117" max="15117" width="20.44140625" style="17" customWidth="1"/>
    <col min="15118" max="15118" width="6.44140625" style="17" bestFit="1" customWidth="1"/>
    <col min="15119" max="15120" width="8.44140625" style="17"/>
    <col min="15121" max="15121" width="3.21875" style="17" customWidth="1"/>
    <col min="15122" max="15360" width="8.44140625" style="17"/>
    <col min="15361" max="15361" width="10" style="17" bestFit="1" customWidth="1"/>
    <col min="15362" max="15362" width="44.21875" style="17" bestFit="1" customWidth="1"/>
    <col min="15363" max="15363" width="10.44140625" style="17" bestFit="1" customWidth="1"/>
    <col min="15364" max="15364" width="10.44140625" style="17" customWidth="1"/>
    <col min="15365" max="15365" width="9.77734375" style="17" bestFit="1" customWidth="1"/>
    <col min="15366" max="15367" width="9.5546875" style="17" bestFit="1" customWidth="1"/>
    <col min="15368" max="15368" width="10.44140625" style="17" bestFit="1" customWidth="1"/>
    <col min="15369" max="15369" width="4.5546875" style="17" customWidth="1"/>
    <col min="15370" max="15370" width="1.77734375" style="17" customWidth="1"/>
    <col min="15371" max="15371" width="7" style="17" bestFit="1" customWidth="1"/>
    <col min="15372" max="15372" width="6.21875" style="17" customWidth="1"/>
    <col min="15373" max="15373" width="20.44140625" style="17" customWidth="1"/>
    <col min="15374" max="15374" width="6.44140625" style="17" bestFit="1" customWidth="1"/>
    <col min="15375" max="15376" width="8.44140625" style="17"/>
    <col min="15377" max="15377" width="3.21875" style="17" customWidth="1"/>
    <col min="15378" max="15616" width="8.44140625" style="17"/>
    <col min="15617" max="15617" width="10" style="17" bestFit="1" customWidth="1"/>
    <col min="15618" max="15618" width="44.21875" style="17" bestFit="1" customWidth="1"/>
    <col min="15619" max="15619" width="10.44140625" style="17" bestFit="1" customWidth="1"/>
    <col min="15620" max="15620" width="10.44140625" style="17" customWidth="1"/>
    <col min="15621" max="15621" width="9.77734375" style="17" bestFit="1" customWidth="1"/>
    <col min="15622" max="15623" width="9.5546875" style="17" bestFit="1" customWidth="1"/>
    <col min="15624" max="15624" width="10.44140625" style="17" bestFit="1" customWidth="1"/>
    <col min="15625" max="15625" width="4.5546875" style="17" customWidth="1"/>
    <col min="15626" max="15626" width="1.77734375" style="17" customWidth="1"/>
    <col min="15627" max="15627" width="7" style="17" bestFit="1" customWidth="1"/>
    <col min="15628" max="15628" width="6.21875" style="17" customWidth="1"/>
    <col min="15629" max="15629" width="20.44140625" style="17" customWidth="1"/>
    <col min="15630" max="15630" width="6.44140625" style="17" bestFit="1" customWidth="1"/>
    <col min="15631" max="15632" width="8.44140625" style="17"/>
    <col min="15633" max="15633" width="3.21875" style="17" customWidth="1"/>
    <col min="15634" max="15872" width="8.44140625" style="17"/>
    <col min="15873" max="15873" width="10" style="17" bestFit="1" customWidth="1"/>
    <col min="15874" max="15874" width="44.21875" style="17" bestFit="1" customWidth="1"/>
    <col min="15875" max="15875" width="10.44140625" style="17" bestFit="1" customWidth="1"/>
    <col min="15876" max="15876" width="10.44140625" style="17" customWidth="1"/>
    <col min="15877" max="15877" width="9.77734375" style="17" bestFit="1" customWidth="1"/>
    <col min="15878" max="15879" width="9.5546875" style="17" bestFit="1" customWidth="1"/>
    <col min="15880" max="15880" width="10.44140625" style="17" bestFit="1" customWidth="1"/>
    <col min="15881" max="15881" width="4.5546875" style="17" customWidth="1"/>
    <col min="15882" max="15882" width="1.77734375" style="17" customWidth="1"/>
    <col min="15883" max="15883" width="7" style="17" bestFit="1" customWidth="1"/>
    <col min="15884" max="15884" width="6.21875" style="17" customWidth="1"/>
    <col min="15885" max="15885" width="20.44140625" style="17" customWidth="1"/>
    <col min="15886" max="15886" width="6.44140625" style="17" bestFit="1" customWidth="1"/>
    <col min="15887" max="15888" width="8.44140625" style="17"/>
    <col min="15889" max="15889" width="3.21875" style="17" customWidth="1"/>
    <col min="15890" max="16128" width="8.44140625" style="17"/>
    <col min="16129" max="16129" width="10" style="17" bestFit="1" customWidth="1"/>
    <col min="16130" max="16130" width="44.21875" style="17" bestFit="1" customWidth="1"/>
    <col min="16131" max="16131" width="10.44140625" style="17" bestFit="1" customWidth="1"/>
    <col min="16132" max="16132" width="10.44140625" style="17" customWidth="1"/>
    <col min="16133" max="16133" width="9.77734375" style="17" bestFit="1" customWidth="1"/>
    <col min="16134" max="16135" width="9.5546875" style="17" bestFit="1" customWidth="1"/>
    <col min="16136" max="16136" width="10.44140625" style="17" bestFit="1" customWidth="1"/>
    <col min="16137" max="16137" width="4.5546875" style="17" customWidth="1"/>
    <col min="16138" max="16138" width="1.77734375" style="17" customWidth="1"/>
    <col min="16139" max="16139" width="7" style="17" bestFit="1" customWidth="1"/>
    <col min="16140" max="16140" width="6.21875" style="17" customWidth="1"/>
    <col min="16141" max="16141" width="20.44140625" style="17" customWidth="1"/>
    <col min="16142" max="16142" width="6.44140625" style="17" bestFit="1" customWidth="1"/>
    <col min="16143" max="16144" width="8.44140625" style="17"/>
    <col min="16145" max="16145" width="3.21875" style="17" customWidth="1"/>
    <col min="16146" max="16384" width="8.44140625" style="17"/>
  </cols>
  <sheetData>
    <row r="1" spans="1:10" ht="27.75" customHeight="1" x14ac:dyDescent="0.25">
      <c r="A1" s="12"/>
      <c r="B1" s="12"/>
      <c r="C1" s="12"/>
      <c r="D1" s="12"/>
      <c r="E1" s="13" t="s">
        <v>32</v>
      </c>
      <c r="F1" s="14" t="s">
        <v>33</v>
      </c>
      <c r="G1" s="14" t="s">
        <v>34</v>
      </c>
      <c r="H1" s="14" t="s">
        <v>35</v>
      </c>
      <c r="I1" s="15"/>
    </row>
    <row r="2" spans="1:10" ht="30.75" customHeight="1" x14ac:dyDescent="0.25">
      <c r="A2" s="12"/>
      <c r="B2" s="12"/>
      <c r="C2" s="12"/>
      <c r="D2" s="12"/>
      <c r="E2" s="115">
        <f>IFERROR(O62,"")</f>
        <v>443.48783207074513</v>
      </c>
      <c r="F2" s="115">
        <f>IFERROR(H53,"")</f>
        <v>59.2</v>
      </c>
      <c r="G2" s="115">
        <f>IFERROR(H54,"")</f>
        <v>206.73778626788373</v>
      </c>
      <c r="H2" s="115">
        <f>IFERROR(H56,"")</f>
        <v>144.60000000000002</v>
      </c>
      <c r="I2" s="116"/>
    </row>
    <row r="3" spans="1:10" ht="15" customHeight="1" x14ac:dyDescent="0.25">
      <c r="A3" s="12"/>
      <c r="B3" s="12"/>
      <c r="C3" s="12"/>
      <c r="D3" s="12"/>
      <c r="E3" s="12"/>
      <c r="F3" s="117"/>
      <c r="G3" s="117"/>
      <c r="H3" s="117"/>
      <c r="I3" s="117"/>
    </row>
    <row r="4" spans="1:10" ht="24.75" customHeight="1" thickBot="1" x14ac:dyDescent="0.3">
      <c r="A4" s="381"/>
      <c r="B4" s="381"/>
      <c r="C4" s="381"/>
      <c r="D4" s="381"/>
      <c r="E4" s="381"/>
      <c r="F4" s="381"/>
      <c r="G4" s="381"/>
      <c r="H4" s="381"/>
      <c r="I4" s="18"/>
    </row>
    <row r="5" spans="1:10" ht="19.5" customHeight="1" thickBot="1" x14ac:dyDescent="0.3">
      <c r="A5" s="382" t="s">
        <v>36</v>
      </c>
      <c r="B5" s="383"/>
      <c r="C5" s="383"/>
      <c r="D5" s="383"/>
      <c r="E5" s="383"/>
      <c r="F5" s="383"/>
      <c r="G5" s="383"/>
      <c r="H5" s="384"/>
      <c r="I5" s="19"/>
    </row>
    <row r="6" spans="1:10" ht="18" thickBot="1" x14ac:dyDescent="0.3">
      <c r="A6" s="19"/>
      <c r="B6" s="19"/>
      <c r="C6" s="19"/>
      <c r="D6" s="19"/>
      <c r="E6" s="19"/>
      <c r="F6" s="385" t="s">
        <v>37</v>
      </c>
      <c r="G6" s="385"/>
      <c r="H6" s="20">
        <f ca="1">TODAY()</f>
        <v>45922</v>
      </c>
      <c r="I6" s="20"/>
    </row>
    <row r="7" spans="1:10" ht="40.200000000000003" hidden="1" thickBot="1" x14ac:dyDescent="0.3">
      <c r="A7" s="21" t="s">
        <v>38</v>
      </c>
      <c r="B7" s="22" t="s">
        <v>39</v>
      </c>
      <c r="C7" s="22" t="s">
        <v>38</v>
      </c>
      <c r="D7" s="23" t="s">
        <v>40</v>
      </c>
      <c r="E7" s="23" t="s">
        <v>41</v>
      </c>
      <c r="F7" s="23" t="s">
        <v>42</v>
      </c>
      <c r="G7" s="23" t="s">
        <v>43</v>
      </c>
      <c r="H7" s="24" t="s">
        <v>44</v>
      </c>
      <c r="I7" s="25"/>
    </row>
    <row r="8" spans="1:10" ht="13.8" hidden="1" x14ac:dyDescent="0.3">
      <c r="A8" s="26"/>
      <c r="B8" s="17" t="str">
        <f>IFERROR(VLOOKUP(H8,'[1]Consolidado MP Planta'!$A$2:$M$823,3,0),"")</f>
        <v/>
      </c>
      <c r="C8" s="118">
        <f>+A8</f>
        <v>0</v>
      </c>
      <c r="D8" s="119" t="str">
        <f>IFERROR(VLOOKUP(H8,'[1]Consolidado MP Planta'!$A$2:$M$823,13,0),"")</f>
        <v/>
      </c>
      <c r="E8" s="119" t="str">
        <f>IFERROR(VLOOKUP(H8,'[1]Consolidado MP Planta'!$A$2:$M$823,12,0),"")</f>
        <v/>
      </c>
      <c r="F8" s="119" t="str">
        <f>IFERROR(C8*E8,"")</f>
        <v/>
      </c>
      <c r="G8" s="120" t="str">
        <f t="shared" ref="G8:G14" si="0">IFERROR(F8/$F$66,"")</f>
        <v/>
      </c>
      <c r="H8" s="27"/>
      <c r="I8" s="27"/>
      <c r="J8" s="121"/>
    </row>
    <row r="9" spans="1:10" ht="13.8" hidden="1" x14ac:dyDescent="0.3">
      <c r="A9" s="26"/>
      <c r="B9" s="17" t="str">
        <f>IFERROR(VLOOKUP(H9,'[1]Consolidado MP Planta'!$A$2:$M$823,3,0),"")</f>
        <v/>
      </c>
      <c r="C9" s="118">
        <f t="shared" ref="C9:C14" si="1">+A9</f>
        <v>0</v>
      </c>
      <c r="D9" s="119" t="str">
        <f>IFERROR(VLOOKUP(H9,'[1]Consolidado MP Planta'!$A$2:$M$823,13,0),"")</f>
        <v/>
      </c>
      <c r="E9" s="119" t="str">
        <f>IFERROR(VLOOKUP(H9,'[1]Consolidado MP Planta'!$A$2:$M$823,12,0),"")</f>
        <v/>
      </c>
      <c r="F9" s="119" t="str">
        <f t="shared" ref="F9:F14" si="2">IFERROR(C9*E9,"")</f>
        <v/>
      </c>
      <c r="G9" s="120" t="str">
        <f t="shared" si="0"/>
        <v/>
      </c>
      <c r="H9" s="27"/>
      <c r="I9" s="27"/>
      <c r="J9" s="121"/>
    </row>
    <row r="10" spans="1:10" ht="13.8" hidden="1" x14ac:dyDescent="0.3">
      <c r="A10" s="26"/>
      <c r="B10" s="17" t="str">
        <f>IFERROR(VLOOKUP(H10,'[1]Consolidado MP Planta'!$A$2:$M$823,3,0),"")</f>
        <v/>
      </c>
      <c r="C10" s="118">
        <f t="shared" si="1"/>
        <v>0</v>
      </c>
      <c r="D10" s="119" t="str">
        <f>IFERROR(VLOOKUP(H10,'[1]Consolidado MP Planta'!$A$2:$M$823,13,0),"")</f>
        <v/>
      </c>
      <c r="E10" s="119" t="str">
        <f>IFERROR(VLOOKUP(H10,'[1]Consolidado MP Planta'!$A$2:$M$823,12,0),"")</f>
        <v/>
      </c>
      <c r="F10" s="119" t="str">
        <f t="shared" si="2"/>
        <v/>
      </c>
      <c r="G10" s="120" t="str">
        <f t="shared" si="0"/>
        <v/>
      </c>
      <c r="H10" s="27"/>
      <c r="I10" s="27"/>
      <c r="J10" s="121"/>
    </row>
    <row r="11" spans="1:10" ht="13.8" hidden="1" x14ac:dyDescent="0.3">
      <c r="A11" s="26"/>
      <c r="B11" s="17" t="str">
        <f>IFERROR(VLOOKUP(H11,'[1]Consolidado MP Planta'!$A$2:$M$823,3,0),"")</f>
        <v/>
      </c>
      <c r="C11" s="118">
        <f t="shared" si="1"/>
        <v>0</v>
      </c>
      <c r="D11" s="119" t="str">
        <f>IFERROR(VLOOKUP(H11,'[1]Consolidado MP Planta'!$A$2:$M$823,13,0),"")</f>
        <v/>
      </c>
      <c r="E11" s="119" t="str">
        <f>IFERROR(VLOOKUP(H11,'[1]Consolidado MP Planta'!$A$2:$M$823,12,0),"")</f>
        <v/>
      </c>
      <c r="F11" s="119" t="str">
        <f t="shared" si="2"/>
        <v/>
      </c>
      <c r="G11" s="120" t="str">
        <f t="shared" si="0"/>
        <v/>
      </c>
      <c r="H11" s="27"/>
      <c r="I11" s="27"/>
      <c r="J11" s="121"/>
    </row>
    <row r="12" spans="1:10" ht="13.8" hidden="1" x14ac:dyDescent="0.3">
      <c r="A12" s="26"/>
      <c r="B12" s="17" t="str">
        <f>IFERROR(VLOOKUP(H12,'[1]Consolidado MP Planta'!$A$2:$M$823,3,0),"")</f>
        <v/>
      </c>
      <c r="C12" s="118">
        <f t="shared" si="1"/>
        <v>0</v>
      </c>
      <c r="D12" s="119" t="str">
        <f>IFERROR(VLOOKUP(H12,'[1]Consolidado MP Planta'!$A$2:$M$823,13,0),"")</f>
        <v/>
      </c>
      <c r="E12" s="119" t="str">
        <f>IFERROR(VLOOKUP(H12,'[1]Consolidado MP Planta'!$A$2:$M$823,12,0),"")</f>
        <v/>
      </c>
      <c r="F12" s="119" t="str">
        <f t="shared" si="2"/>
        <v/>
      </c>
      <c r="G12" s="120" t="str">
        <f t="shared" si="0"/>
        <v/>
      </c>
      <c r="H12" s="27"/>
      <c r="I12" s="27"/>
      <c r="J12" s="121"/>
    </row>
    <row r="13" spans="1:10" ht="13.8" hidden="1" x14ac:dyDescent="0.3">
      <c r="A13" s="26"/>
      <c r="B13" s="17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27"/>
      <c r="I13" s="27"/>
      <c r="J13" s="121"/>
    </row>
    <row r="14" spans="1:10" ht="13.8" hidden="1" x14ac:dyDescent="0.3">
      <c r="A14" s="26"/>
      <c r="B14" s="17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27"/>
      <c r="I14" s="27"/>
      <c r="J14" s="121"/>
    </row>
    <row r="15" spans="1:10" ht="14.4" hidden="1" thickBot="1" x14ac:dyDescent="0.35">
      <c r="A15" s="26"/>
      <c r="B15" s="17" t="str">
        <f>IFERROR(VLOOKUP(H15,'[2]ARTICULOS MP PLANTA'!$A$2:$G$589,2,0),"")</f>
        <v/>
      </c>
      <c r="C15" s="118"/>
      <c r="D15" s="119"/>
      <c r="E15" s="119"/>
      <c r="F15" s="119"/>
      <c r="G15" s="120"/>
      <c r="H15" s="27"/>
      <c r="I15" s="27"/>
      <c r="J15" s="121"/>
    </row>
    <row r="16" spans="1:10" ht="40.200000000000003" thickBot="1" x14ac:dyDescent="0.3">
      <c r="A16" s="21" t="s">
        <v>38</v>
      </c>
      <c r="B16" s="22" t="s">
        <v>45</v>
      </c>
      <c r="C16" s="22" t="s">
        <v>38</v>
      </c>
      <c r="D16" s="23" t="s">
        <v>40</v>
      </c>
      <c r="E16" s="23" t="s">
        <v>41</v>
      </c>
      <c r="F16" s="23" t="s">
        <v>42</v>
      </c>
      <c r="G16" s="23" t="s">
        <v>43</v>
      </c>
      <c r="H16" s="24" t="s">
        <v>44</v>
      </c>
      <c r="I16" s="25"/>
      <c r="J16" s="121"/>
    </row>
    <row r="17" spans="1:14" ht="13.8" x14ac:dyDescent="0.3">
      <c r="A17" s="26">
        <v>80</v>
      </c>
      <c r="B17" s="17" t="str">
        <f>IFERROR(VLOOKUP(H17,[1]SEMIELABORADOS!$A$2:$M$6000,2,0),"")</f>
        <v>CORTE OREJITAS DULCES (KILO)</v>
      </c>
      <c r="C17" s="118">
        <f>+A17</f>
        <v>80</v>
      </c>
      <c r="D17" s="118" t="str">
        <f>IFERROR(VLOOKUP(H17,[1]SEMIELABORADOS!$A$2:$M$6000,6,0),"")</f>
        <v>Gramo</v>
      </c>
      <c r="E17" s="119">
        <v>0.74</v>
      </c>
      <c r="F17" s="119">
        <f>IFERROR(E17*C17,"")</f>
        <v>59.2</v>
      </c>
      <c r="G17" s="120">
        <f t="shared" ref="G17:G24" si="3">IFERROR(F17/$F$66,"")</f>
        <v>0.18378142219405161</v>
      </c>
      <c r="H17" s="27" t="s">
        <v>104</v>
      </c>
      <c r="I17" s="27"/>
      <c r="J17" s="121"/>
    </row>
    <row r="18" spans="1:14" ht="13.8" hidden="1" x14ac:dyDescent="0.3">
      <c r="A18" s="26"/>
      <c r="B18" s="17" t="str">
        <f>IFERROR(VLOOKUP(H18,[1]SEMIELABORADOS!$A$2:$M$6000,2,0),"")</f>
        <v/>
      </c>
      <c r="C18" s="118">
        <f t="shared" ref="C18:C24" si="4">+A18</f>
        <v>0</v>
      </c>
      <c r="D18" s="118" t="str">
        <f>IFERROR(VLOOKUP(H18,[1]SEMIELABORADOS!$A$2:$M$6000,6,0),"")</f>
        <v/>
      </c>
      <c r="E18" s="119" t="str">
        <f>IFERROR(VLOOKUP(H18,[1]SEMIELABORADOS!$A$2:$H$65536,8,0),"")</f>
        <v/>
      </c>
      <c r="F18" s="119" t="str">
        <f t="shared" ref="F18:F24" si="5">IFERROR(E18*C18,"")</f>
        <v/>
      </c>
      <c r="G18" s="120" t="str">
        <f t="shared" si="3"/>
        <v/>
      </c>
      <c r="H18" s="27"/>
      <c r="I18" s="27"/>
      <c r="J18" s="121"/>
    </row>
    <row r="19" spans="1:14" ht="13.8" hidden="1" x14ac:dyDescent="0.3">
      <c r="A19" s="26"/>
      <c r="B19" s="17" t="str">
        <f>IFERROR(VLOOKUP(H19,[1]SEMIELABORADOS!$A$2:$M$6000,2,0),"")</f>
        <v/>
      </c>
      <c r="C19" s="118">
        <f>+A19</f>
        <v>0</v>
      </c>
      <c r="D19" s="118" t="str">
        <f>IFERROR(VLOOKUP(H19,[1]SEMIELABORADOS!$A$2:$M$6000,6,0),"")</f>
        <v/>
      </c>
      <c r="E19" s="119" t="str">
        <f>IFERROR(VLOOKUP(H19,[1]SEMIELABORADOS!$A$2:$H$65536,8,0),"")</f>
        <v/>
      </c>
      <c r="F19" s="119" t="str">
        <f>IFERROR(E19*C19,"")</f>
        <v/>
      </c>
      <c r="G19" s="120" t="str">
        <f t="shared" si="3"/>
        <v/>
      </c>
      <c r="H19" s="27"/>
      <c r="I19" s="27"/>
      <c r="J19" s="121"/>
    </row>
    <row r="20" spans="1:14" ht="13.8" hidden="1" x14ac:dyDescent="0.3">
      <c r="A20" s="26"/>
      <c r="B20" s="17" t="str">
        <f>IFERROR(VLOOKUP(H20,[1]SEMIELABORADOS!$A$2:$M$6000,2,0),"")</f>
        <v/>
      </c>
      <c r="C20" s="118">
        <f>+A20</f>
        <v>0</v>
      </c>
      <c r="D20" s="118" t="str">
        <f>IFERROR(VLOOKUP(H20,[1]SEMIELABORADOS!$A$2:$M$6000,6,0),"")</f>
        <v/>
      </c>
      <c r="E20" s="119" t="str">
        <f>IFERROR(VLOOKUP(H20,[1]SEMIELABORADOS!$A$2:$H$65536,8,0),"")</f>
        <v/>
      </c>
      <c r="F20" s="119" t="str">
        <f>IFERROR(E20*C20,"")</f>
        <v/>
      </c>
      <c r="G20" s="120" t="str">
        <f t="shared" si="3"/>
        <v/>
      </c>
      <c r="H20" s="27"/>
      <c r="I20" s="27"/>
      <c r="J20" s="121"/>
    </row>
    <row r="21" spans="1:14" ht="13.8" hidden="1" x14ac:dyDescent="0.3">
      <c r="A21" s="26"/>
      <c r="B21" s="17" t="str">
        <f>IFERROR(VLOOKUP(H21,[1]SEMIELABORADOS!$A$2:$M$6000,2,0),"")</f>
        <v/>
      </c>
      <c r="C21" s="118">
        <f>+A21</f>
        <v>0</v>
      </c>
      <c r="D21" s="118" t="str">
        <f>IFERROR(VLOOKUP(H21,[1]SEMIELABORADOS!$A$2:$M$6000,6,0),"")</f>
        <v/>
      </c>
      <c r="E21" s="119" t="str">
        <f>IFERROR(VLOOKUP(H21,[1]SEMIELABORADOS!$A$2:$H$65536,8,0),"")</f>
        <v/>
      </c>
      <c r="F21" s="119" t="str">
        <f>IFERROR(E21*C21,"")</f>
        <v/>
      </c>
      <c r="G21" s="120" t="str">
        <f t="shared" si="3"/>
        <v/>
      </c>
      <c r="H21" s="27"/>
      <c r="I21" s="27"/>
      <c r="J21" s="121"/>
    </row>
    <row r="22" spans="1:14" ht="13.8" hidden="1" x14ac:dyDescent="0.3">
      <c r="A22" s="26"/>
      <c r="B22" s="17" t="str">
        <f>IFERROR(VLOOKUP(H22,[1]SEMIELABORADOS!$A$2:$M$6000,2,0),"")</f>
        <v/>
      </c>
      <c r="C22" s="118">
        <f t="shared" si="4"/>
        <v>0</v>
      </c>
      <c r="D22" s="118" t="str">
        <f>IFERROR(VLOOKUP(H22,[1]SEMIELABORADOS!$A$2:$M$6000,6,0),"")</f>
        <v/>
      </c>
      <c r="E22" s="119" t="str">
        <f>IFERROR(VLOOKUP(H22,[1]SEMIELABORADOS!$A$2:$H$65536,8,0),"")</f>
        <v/>
      </c>
      <c r="F22" s="119" t="str">
        <f t="shared" si="5"/>
        <v/>
      </c>
      <c r="G22" s="120" t="str">
        <f t="shared" si="3"/>
        <v/>
      </c>
      <c r="H22" s="27"/>
      <c r="I22" s="27"/>
      <c r="J22" s="121"/>
    </row>
    <row r="23" spans="1:14" ht="13.8" hidden="1" x14ac:dyDescent="0.3">
      <c r="A23" s="26"/>
      <c r="B23" s="17" t="str">
        <f>IFERROR(VLOOKUP(H23,[1]SEMIELABORADOS!$A$2:$M$6000,2,0),"")</f>
        <v/>
      </c>
      <c r="C23" s="118">
        <f t="shared" si="4"/>
        <v>0</v>
      </c>
      <c r="D23" s="118" t="str">
        <f>IFERROR(VLOOKUP(H23,[1]SEMIELABORADOS!$A$2:$M$6000,6,0),"")</f>
        <v/>
      </c>
      <c r="E23" s="119" t="str">
        <f>IFERROR(VLOOKUP(H23,[1]SEMIELABORADOS!$A$2:$H$65536,8,0),"")</f>
        <v/>
      </c>
      <c r="F23" s="119" t="str">
        <f t="shared" si="5"/>
        <v/>
      </c>
      <c r="G23" s="120" t="str">
        <f t="shared" si="3"/>
        <v/>
      </c>
      <c r="H23" s="27"/>
      <c r="I23" s="27"/>
      <c r="J23" s="121"/>
    </row>
    <row r="24" spans="1:14" ht="13.8" hidden="1" x14ac:dyDescent="0.3">
      <c r="A24" s="26"/>
      <c r="B24" s="17" t="str">
        <f>IFERROR(VLOOKUP(H24,[1]SEMIELABORADOS!$A$2:$M$6000,2,0),"")</f>
        <v/>
      </c>
      <c r="C24" s="118">
        <f t="shared" si="4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5"/>
        <v/>
      </c>
      <c r="G24" s="120" t="str">
        <f t="shared" si="3"/>
        <v/>
      </c>
      <c r="H24" s="27"/>
      <c r="I24" s="27"/>
      <c r="J24" s="121"/>
    </row>
    <row r="25" spans="1:14" ht="14.4" thickBot="1" x14ac:dyDescent="0.35">
      <c r="A25" s="26"/>
      <c r="C25" s="118"/>
      <c r="D25" s="118"/>
      <c r="E25" s="119"/>
      <c r="F25" s="119"/>
      <c r="G25" s="120"/>
      <c r="H25" s="27"/>
      <c r="I25" s="27"/>
      <c r="J25" s="121"/>
    </row>
    <row r="26" spans="1:14" ht="40.200000000000003" thickBot="1" x14ac:dyDescent="0.3">
      <c r="A26" s="21" t="s">
        <v>38</v>
      </c>
      <c r="B26" s="22" t="s">
        <v>25</v>
      </c>
      <c r="C26" s="22" t="s">
        <v>38</v>
      </c>
      <c r="D26" s="23" t="s">
        <v>40</v>
      </c>
      <c r="E26" s="23" t="s">
        <v>41</v>
      </c>
      <c r="F26" s="23" t="s">
        <v>42</v>
      </c>
      <c r="G26" s="23" t="s">
        <v>43</v>
      </c>
      <c r="H26" s="24" t="s">
        <v>44</v>
      </c>
      <c r="I26" s="25"/>
    </row>
    <row r="27" spans="1:14" ht="13.8" x14ac:dyDescent="0.3">
      <c r="A27" s="26">
        <v>1</v>
      </c>
      <c r="B27" s="28" t="s">
        <v>119</v>
      </c>
      <c r="C27" s="118">
        <f t="shared" ref="C27:C31" si="6">+A27</f>
        <v>1</v>
      </c>
      <c r="D27" s="119" t="s">
        <v>113</v>
      </c>
      <c r="E27" s="119">
        <v>170.83</v>
      </c>
      <c r="F27" s="119">
        <f t="shared" ref="F27:F31" si="7">IFERROR(C27*E27,"")</f>
        <v>170.83</v>
      </c>
      <c r="G27" s="120">
        <f t="shared" ref="G27:G31" si="8">IFERROR(F27/$F$66,"")</f>
        <v>0.53032737083462567</v>
      </c>
      <c r="H27" s="29" t="s">
        <v>120</v>
      </c>
      <c r="I27" s="29"/>
      <c r="J27" s="121"/>
      <c r="K27" s="375"/>
      <c r="L27" s="375"/>
      <c r="M27" s="17" t="s">
        <v>125</v>
      </c>
      <c r="N27" s="17">
        <f>0.27*632.72</f>
        <v>170.83440000000002</v>
      </c>
    </row>
    <row r="28" spans="1:14" ht="13.8" x14ac:dyDescent="0.3">
      <c r="A28" s="26">
        <v>1</v>
      </c>
      <c r="B28" s="28" t="str">
        <f>IFERROR(VLOOKUP(H28,'[1]Consolidado MP Planta'!$A$2:$M$823,3,0),"")</f>
        <v>BOLSA TRANSPARENTE 76X24X210 (KILO)</v>
      </c>
      <c r="C28" s="118">
        <f t="shared" si="6"/>
        <v>1</v>
      </c>
      <c r="D28" s="119" t="str">
        <f>IFERROR(VLOOKUP(H28,'[1]Consolidado MP Planta'!$A$2:$M$823,13,0),"")</f>
        <v>Und</v>
      </c>
      <c r="E28" s="119">
        <v>12.46</v>
      </c>
      <c r="F28" s="119">
        <f t="shared" si="7"/>
        <v>12.46</v>
      </c>
      <c r="G28" s="120">
        <f t="shared" si="8"/>
        <v>3.8681022306383164E-2</v>
      </c>
      <c r="H28" s="29" t="s">
        <v>123</v>
      </c>
      <c r="I28" s="29"/>
      <c r="J28" s="121"/>
      <c r="K28" s="375"/>
      <c r="L28" s="375"/>
    </row>
    <row r="29" spans="1:14" ht="13.8" x14ac:dyDescent="0.3">
      <c r="A29" s="26">
        <v>1</v>
      </c>
      <c r="B29" s="28" t="str">
        <f>IFERROR(VLOOKUP(H29,'[1]Consolidado MP Planta'!$A$2:$M$823,3,0),"")</f>
        <v>ETIQ.FECHA VENCIMIENTO VERDE (ROLLO)</v>
      </c>
      <c r="C29" s="118">
        <f t="shared" si="6"/>
        <v>1</v>
      </c>
      <c r="D29" s="119" t="str">
        <f>IFERROR(VLOOKUP(H29,'[1]Consolidado MP Planta'!$A$2:$M$823,13,0),"")</f>
        <v>Und</v>
      </c>
      <c r="E29" s="119">
        <f>IFERROR(VLOOKUP(H29,'[1]Consolidado MP Planta'!$A$2:$M$823,12,0),"")</f>
        <v>0.33333333333333331</v>
      </c>
      <c r="F29" s="119">
        <f t="shared" si="7"/>
        <v>0.33333333333333331</v>
      </c>
      <c r="G29" s="120">
        <f t="shared" si="8"/>
        <v>1.034805305146687E-3</v>
      </c>
      <c r="H29" s="29" t="s">
        <v>28</v>
      </c>
      <c r="I29" s="29"/>
      <c r="J29" s="121"/>
      <c r="K29" s="375"/>
      <c r="L29" s="375"/>
    </row>
    <row r="30" spans="1:14" ht="13.8" x14ac:dyDescent="0.3">
      <c r="A30" s="26">
        <v>1</v>
      </c>
      <c r="B30" s="28" t="str">
        <f>IFERROR(VLOOKUP(H30,'[1]Consolidado MP Planta'!$A$2:$M$823,3,0),"")</f>
        <v>ETIQUETA BLANCA 2 5/8X1 15/16 (UND)</v>
      </c>
      <c r="C30" s="118">
        <f t="shared" si="6"/>
        <v>1</v>
      </c>
      <c r="D30" s="119" t="str">
        <f>IFERROR(VLOOKUP(H30,'[1]Consolidado MP Planta'!$A$2:$M$823,13,0),"")</f>
        <v>Und</v>
      </c>
      <c r="E30" s="119">
        <f>IFERROR(VLOOKUP(H30,'[1]Consolidado MP Planta'!$A$2:$M$823,12,0),"")</f>
        <v>2.1280000000000001</v>
      </c>
      <c r="F30" s="119">
        <f t="shared" si="7"/>
        <v>2.1280000000000001</v>
      </c>
      <c r="G30" s="120">
        <f t="shared" si="8"/>
        <v>6.6061970680564505E-3</v>
      </c>
      <c r="H30" s="29" t="s">
        <v>108</v>
      </c>
      <c r="I30" s="29"/>
      <c r="J30" s="121"/>
      <c r="K30" s="375"/>
      <c r="L30" s="375"/>
    </row>
    <row r="31" spans="1:14" ht="13.8" x14ac:dyDescent="0.3">
      <c r="A31" s="26">
        <v>1</v>
      </c>
      <c r="B31" s="28" t="s">
        <v>121</v>
      </c>
      <c r="C31" s="118">
        <f t="shared" si="6"/>
        <v>1</v>
      </c>
      <c r="D31" s="119" t="s">
        <v>113</v>
      </c>
      <c r="E31" s="119">
        <v>19</v>
      </c>
      <c r="F31" s="119">
        <f t="shared" si="7"/>
        <v>19</v>
      </c>
      <c r="G31" s="120">
        <f t="shared" si="8"/>
        <v>5.8983902393361161E-2</v>
      </c>
      <c r="H31" s="29" t="s">
        <v>124</v>
      </c>
      <c r="I31" s="29"/>
      <c r="J31" s="121"/>
      <c r="K31" s="30"/>
      <c r="L31" s="31"/>
    </row>
    <row r="32" spans="1:14" ht="13.8" x14ac:dyDescent="0.3">
      <c r="A32" s="26"/>
      <c r="B32" s="28" t="str">
        <f>IFERROR(VLOOKUP(H32,'[1]Consolidado MP Planta'!$A$2:$M$823,3,0),"")</f>
        <v/>
      </c>
      <c r="C32" s="118">
        <f t="shared" ref="C32" si="9">+A32</f>
        <v>0</v>
      </c>
      <c r="D32" s="119" t="str">
        <f>IFERROR(VLOOKUP(H32,'[1]Consolidado MP Planta'!$A$2:$M$823,13,0),"")</f>
        <v/>
      </c>
      <c r="E32" s="119" t="str">
        <f>IFERROR(VLOOKUP(H32,'[1]Consolidado MP Planta'!$A$2:$M$823,12,0),"")</f>
        <v/>
      </c>
      <c r="F32" s="119" t="str">
        <f t="shared" ref="F32" si="10">IFERROR(C32*E32,"")</f>
        <v/>
      </c>
      <c r="G32" s="120" t="str">
        <f t="shared" ref="G32" si="11">IFERROR(F32/$F$66,"")</f>
        <v/>
      </c>
      <c r="H32" s="29"/>
      <c r="I32" s="29"/>
      <c r="J32" s="121"/>
    </row>
    <row r="33" spans="1:13" ht="14.4" thickBot="1" x14ac:dyDescent="0.35">
      <c r="A33" s="26"/>
      <c r="B33" s="28"/>
      <c r="C33" s="118"/>
      <c r="D33" s="119"/>
      <c r="E33" s="119"/>
      <c r="F33" s="119"/>
      <c r="G33" s="120"/>
      <c r="H33" s="29"/>
      <c r="I33" s="29"/>
      <c r="J33" s="121"/>
    </row>
    <row r="34" spans="1:13" ht="40.200000000000003" thickBot="1" x14ac:dyDescent="0.3">
      <c r="A34" s="21" t="s">
        <v>38</v>
      </c>
      <c r="B34" s="22" t="s">
        <v>46</v>
      </c>
      <c r="C34" s="22" t="s">
        <v>38</v>
      </c>
      <c r="D34" s="23" t="s">
        <v>40</v>
      </c>
      <c r="E34" s="23" t="s">
        <v>41</v>
      </c>
      <c r="F34" s="23" t="s">
        <v>42</v>
      </c>
      <c r="G34" s="23" t="s">
        <v>43</v>
      </c>
      <c r="H34" s="24" t="s">
        <v>44</v>
      </c>
      <c r="I34" s="29"/>
      <c r="J34" s="121"/>
    </row>
    <row r="35" spans="1:13" ht="13.8" x14ac:dyDescent="0.3">
      <c r="A35" s="26">
        <f>+A17</f>
        <v>80</v>
      </c>
      <c r="B35" s="28" t="str">
        <f>IFERROR(VLOOKUP(H35,[1]SEMIELABORADOS!$A$2:$M$6000,2,0),"")</f>
        <v>CORTE OREJITAS DULCES (KILO)</v>
      </c>
      <c r="C35" s="118">
        <f>+A35</f>
        <v>80</v>
      </c>
      <c r="D35" s="119" t="str">
        <f>IFERROR(VLOOKUP(H35,[1]SEMIELABORADOS!$A$2:$M$6000,6,0),"")</f>
        <v>Gramo</v>
      </c>
      <c r="E35" s="119">
        <f>IFERROR(VLOOKUP(H35,[1]SEMIELABORADOS!$A$2:$M$65536,10,0),"")</f>
        <v>2.4830661681879362E-2</v>
      </c>
      <c r="F35" s="119">
        <f>IFERROR(E35*C35,"")</f>
        <v>1.986452934550349</v>
      </c>
      <c r="G35" s="120">
        <f t="shared" ref="G35:G41" si="12">IFERROR(F35/$F$66,"")</f>
        <v>6.1667761052907177E-3</v>
      </c>
      <c r="H35" s="29" t="s">
        <v>104</v>
      </c>
      <c r="I35" s="29"/>
      <c r="J35" s="121"/>
    </row>
    <row r="36" spans="1:13" ht="13.8" hidden="1" x14ac:dyDescent="0.3">
      <c r="A36" s="26">
        <f t="shared" ref="A36:A41" si="13">+A18</f>
        <v>0</v>
      </c>
      <c r="B36" s="28" t="str">
        <f>IFERROR(VLOOKUP(H36,[1]SEMIELABORADOS!$A$2:$M$6000,2,0),"")</f>
        <v/>
      </c>
      <c r="C36" s="118">
        <f t="shared" ref="C36:C41" si="14">+A36</f>
        <v>0</v>
      </c>
      <c r="D36" s="119" t="str">
        <f>IFERROR(VLOOKUP(H36,[1]SEMIELABORADOS!$A$2:$M$6000,6,0),"")</f>
        <v/>
      </c>
      <c r="E36" s="119" t="str">
        <f>IFERROR(VLOOKUP(H36,[1]SEMIELABORADOS!$A$2:$M$65536,10,0),"")</f>
        <v/>
      </c>
      <c r="F36" s="119" t="str">
        <f t="shared" ref="F36:F41" si="15">IFERROR(E36*C36,"")</f>
        <v/>
      </c>
      <c r="G36" s="120" t="str">
        <f t="shared" si="12"/>
        <v/>
      </c>
      <c r="H36" s="29"/>
      <c r="I36" s="29"/>
      <c r="J36" s="121"/>
    </row>
    <row r="37" spans="1:13" ht="13.8" hidden="1" x14ac:dyDescent="0.3">
      <c r="A37" s="26">
        <f t="shared" si="13"/>
        <v>0</v>
      </c>
      <c r="B37" s="28" t="str">
        <f>IFERROR(VLOOKUP(H37,[1]SEMIELABORADOS!$A$2:$M$6000,2,0),"")</f>
        <v/>
      </c>
      <c r="C37" s="118">
        <f t="shared" si="14"/>
        <v>0</v>
      </c>
      <c r="D37" s="119" t="str">
        <f>IFERROR(VLOOKUP(H37,[1]SEMIELABORADOS!$A$2:$M$6000,6,0),"")</f>
        <v/>
      </c>
      <c r="E37" s="119" t="str">
        <f>IFERROR(VLOOKUP(H37,[1]SEMIELABORADOS!$A$2:$M$65536,10,0),"")</f>
        <v/>
      </c>
      <c r="F37" s="119" t="str">
        <f t="shared" si="15"/>
        <v/>
      </c>
      <c r="G37" s="120" t="str">
        <f t="shared" si="12"/>
        <v/>
      </c>
      <c r="H37" s="29"/>
      <c r="I37" s="29"/>
      <c r="J37" s="121"/>
    </row>
    <row r="38" spans="1:13" ht="13.8" hidden="1" x14ac:dyDescent="0.3">
      <c r="A38" s="26">
        <f t="shared" si="13"/>
        <v>0</v>
      </c>
      <c r="B38" s="28" t="str">
        <f>IFERROR(VLOOKUP(H38,[1]SEMIELABORADOS!$A$2:$M$6000,2,0),"")</f>
        <v/>
      </c>
      <c r="C38" s="118">
        <f>+A38</f>
        <v>0</v>
      </c>
      <c r="D38" s="119" t="str">
        <f>IFERROR(VLOOKUP(H38,[1]SEMIELABORADOS!$A$2:$M$6000,6,0),"")</f>
        <v/>
      </c>
      <c r="E38" s="119" t="str">
        <f>IFERROR(VLOOKUP(H38,[1]SEMIELABORADOS!$A$2:$M$65536,10,0),"")</f>
        <v/>
      </c>
      <c r="F38" s="119" t="str">
        <f>IFERROR(E38*C38,"")</f>
        <v/>
      </c>
      <c r="G38" s="120" t="str">
        <f t="shared" si="12"/>
        <v/>
      </c>
      <c r="H38" s="29"/>
      <c r="I38" s="29"/>
      <c r="J38" s="121"/>
    </row>
    <row r="39" spans="1:13" ht="13.8" hidden="1" x14ac:dyDescent="0.3">
      <c r="A39" s="26">
        <f t="shared" si="13"/>
        <v>0</v>
      </c>
      <c r="B39" s="28" t="str">
        <f>IFERROR(VLOOKUP(H39,[1]SEMIELABORADOS!$A$2:$M$6000,2,0),"")</f>
        <v/>
      </c>
      <c r="C39" s="118">
        <f>+A39</f>
        <v>0</v>
      </c>
      <c r="D39" s="119" t="str">
        <f>IFERROR(VLOOKUP(H39,[1]SEMIELABORADOS!$A$2:$M$6000,6,0),"")</f>
        <v/>
      </c>
      <c r="E39" s="119" t="str">
        <f>IFERROR(VLOOKUP(H39,[1]SEMIELABORADOS!$A$2:$M$65536,10,0),"")</f>
        <v/>
      </c>
      <c r="F39" s="119" t="str">
        <f>IFERROR(E39*C39,"")</f>
        <v/>
      </c>
      <c r="G39" s="120" t="str">
        <f t="shared" si="12"/>
        <v/>
      </c>
      <c r="H39" s="29"/>
      <c r="I39" s="29"/>
      <c r="J39" s="121"/>
    </row>
    <row r="40" spans="1:13" ht="13.8" hidden="1" x14ac:dyDescent="0.3">
      <c r="A40" s="26">
        <f t="shared" si="13"/>
        <v>0</v>
      </c>
      <c r="B40" s="28" t="str">
        <f>IFERROR(VLOOKUP(H40,[1]SEMIELABORADOS!$A$2:$M$6000,2,0),"")</f>
        <v/>
      </c>
      <c r="C40" s="118">
        <f t="shared" si="14"/>
        <v>0</v>
      </c>
      <c r="D40" s="119" t="str">
        <f>IFERROR(VLOOKUP(H40,[1]SEMIELABORADOS!$A$2:$M$6000,6,0),"")</f>
        <v/>
      </c>
      <c r="E40" s="119" t="str">
        <f>IFERROR(VLOOKUP(H40,[1]SEMIELABORADOS!$A$2:$M$65536,10,0),"")</f>
        <v/>
      </c>
      <c r="F40" s="119" t="str">
        <f t="shared" si="15"/>
        <v/>
      </c>
      <c r="G40" s="120" t="str">
        <f t="shared" si="12"/>
        <v/>
      </c>
      <c r="H40" s="29"/>
      <c r="I40" s="29"/>
      <c r="J40" s="121"/>
    </row>
    <row r="41" spans="1:13" ht="13.8" hidden="1" x14ac:dyDescent="0.3">
      <c r="A41" s="26">
        <f t="shared" si="13"/>
        <v>0</v>
      </c>
      <c r="B41" s="28" t="str">
        <f>IFERROR(VLOOKUP(H41,[1]SEMIELABORADOS!$A$2:$M$6000,2,0),"")</f>
        <v/>
      </c>
      <c r="C41" s="118">
        <f t="shared" si="14"/>
        <v>0</v>
      </c>
      <c r="D41" s="119" t="str">
        <f>IFERROR(VLOOKUP(H41,[1]SEMIELABORADOS!$A$2:$M$6000,6,0),"")</f>
        <v/>
      </c>
      <c r="E41" s="119" t="str">
        <f>IFERROR(VLOOKUP(H41,[1]SEMIELABORADOS!$A$2:$M$65536,10,0),"")</f>
        <v/>
      </c>
      <c r="F41" s="119" t="str">
        <f t="shared" si="15"/>
        <v/>
      </c>
      <c r="G41" s="120" t="str">
        <f t="shared" si="12"/>
        <v/>
      </c>
      <c r="H41" s="29"/>
      <c r="I41" s="29"/>
      <c r="J41" s="121"/>
    </row>
    <row r="42" spans="1:13" ht="14.4" thickBot="1" x14ac:dyDescent="0.35">
      <c r="A42" s="26"/>
      <c r="B42" s="28"/>
      <c r="C42" s="118"/>
      <c r="D42" s="119"/>
      <c r="E42" s="119"/>
      <c r="F42" s="119"/>
      <c r="G42" s="120"/>
      <c r="H42" s="29"/>
      <c r="I42" s="29"/>
      <c r="J42" s="121"/>
    </row>
    <row r="43" spans="1:13" ht="40.200000000000003" thickBot="1" x14ac:dyDescent="0.3">
      <c r="A43" s="21" t="s">
        <v>38</v>
      </c>
      <c r="B43" s="22" t="s">
        <v>48</v>
      </c>
      <c r="C43" s="22" t="s">
        <v>38</v>
      </c>
      <c r="D43" s="23" t="s">
        <v>40</v>
      </c>
      <c r="E43" s="23" t="s">
        <v>41</v>
      </c>
      <c r="F43" s="23" t="s">
        <v>42</v>
      </c>
      <c r="G43" s="23" t="s">
        <v>43</v>
      </c>
      <c r="H43" s="24" t="s">
        <v>44</v>
      </c>
      <c r="I43" s="25"/>
      <c r="J43" s="121"/>
    </row>
    <row r="44" spans="1:13" ht="13.8" x14ac:dyDescent="0.3">
      <c r="A44" s="26">
        <f>+A35</f>
        <v>80</v>
      </c>
      <c r="B44" s="28" t="str">
        <f>IFERROR(VLOOKUP(H44,[1]SEMIELABORADOS!$A$2:$M$6000,2,0),"")</f>
        <v>CORTE OREJITAS DULCES (KILO)</v>
      </c>
      <c r="C44" s="118">
        <f>+A44</f>
        <v>80</v>
      </c>
      <c r="D44" s="119" t="str">
        <f>IFERROR(VLOOKUP(H44,[1]SEMIELABORADOS!$A$2:$M$6000,6,0),"")</f>
        <v>Gramo</v>
      </c>
      <c r="E44" s="119">
        <v>1.1200000000000001</v>
      </c>
      <c r="F44" s="119">
        <f>IFERROR(E44*C44,"")</f>
        <v>89.600000000000009</v>
      </c>
      <c r="G44" s="120">
        <f>IFERROR(F44/$F$66,"")</f>
        <v>0.2781556660234295</v>
      </c>
      <c r="H44" s="29" t="s">
        <v>104</v>
      </c>
      <c r="I44" s="25"/>
      <c r="J44" s="121"/>
    </row>
    <row r="45" spans="1:13" ht="13.8" hidden="1" x14ac:dyDescent="0.3">
      <c r="A45" s="26">
        <f t="shared" ref="A45:A50" si="16">+A36</f>
        <v>0</v>
      </c>
      <c r="B45" s="28" t="str">
        <f>IFERROR(VLOOKUP(H45,[1]SEMIELABORADOS!$A$2:$M$6000,2,0),"")</f>
        <v/>
      </c>
      <c r="C45" s="118">
        <f t="shared" ref="C45:C50" si="17">+A45</f>
        <v>0</v>
      </c>
      <c r="D45" s="119" t="str">
        <f>IFERROR(VLOOKUP(H45,[1]SEMIELABORADOS!$A$2:$M$6000,6,0),"")</f>
        <v/>
      </c>
      <c r="E45" s="119" t="str">
        <f>IFERROR(VLOOKUP(H45,[1]SEMIELABORADOS!$A$2:$M$65536,12,0),"")</f>
        <v/>
      </c>
      <c r="F45" s="119" t="str">
        <f t="shared" ref="F45:F50" si="18">IFERROR(E45*C45,"")</f>
        <v/>
      </c>
      <c r="G45" s="120" t="str">
        <f t="shared" ref="G45:G50" si="19">IFERROR(F45/$F$66,"")</f>
        <v/>
      </c>
      <c r="H45" s="29"/>
      <c r="I45" s="25"/>
      <c r="J45" s="121"/>
      <c r="M45" s="139"/>
    </row>
    <row r="46" spans="1:13" ht="13.8" hidden="1" x14ac:dyDescent="0.3">
      <c r="A46" s="26">
        <f t="shared" si="16"/>
        <v>0</v>
      </c>
      <c r="B46" s="28" t="str">
        <f>IFERROR(VLOOKUP(H46,[1]SEMIELABORADOS!$A$2:$M$6000,2,0),"")</f>
        <v/>
      </c>
      <c r="C46" s="118">
        <f t="shared" si="17"/>
        <v>0</v>
      </c>
      <c r="D46" s="119" t="str">
        <f>IFERROR(VLOOKUP(H46,[1]SEMIELABORADOS!$A$2:$M$6000,6,0),"")</f>
        <v/>
      </c>
      <c r="E46" s="119" t="str">
        <f>IFERROR(VLOOKUP(H46,[1]SEMIELABORADOS!$A$2:$M$65536,12,0),"")</f>
        <v/>
      </c>
      <c r="F46" s="119" t="str">
        <f t="shared" si="18"/>
        <v/>
      </c>
      <c r="G46" s="120" t="str">
        <f t="shared" si="19"/>
        <v/>
      </c>
      <c r="H46" s="29"/>
      <c r="I46" s="25"/>
      <c r="J46" s="121"/>
    </row>
    <row r="47" spans="1:13" ht="13.8" hidden="1" x14ac:dyDescent="0.3">
      <c r="A47" s="26">
        <f t="shared" si="16"/>
        <v>0</v>
      </c>
      <c r="B47" s="28" t="str">
        <f>IFERROR(VLOOKUP(H47,[1]SEMIELABORADOS!$A$2:$M$6000,2,0),"")</f>
        <v/>
      </c>
      <c r="C47" s="118">
        <f t="shared" si="17"/>
        <v>0</v>
      </c>
      <c r="D47" s="119" t="str">
        <f>IFERROR(VLOOKUP(H47,[1]SEMIELABORADOS!$A$2:$M$6000,6,0),"")</f>
        <v/>
      </c>
      <c r="E47" s="119" t="str">
        <f>IFERROR(VLOOKUP(H47,[1]SEMIELABORADOS!$A$2:$M$65536,12,0),"")</f>
        <v/>
      </c>
      <c r="F47" s="119" t="str">
        <f t="shared" si="18"/>
        <v/>
      </c>
      <c r="G47" s="120" t="str">
        <f t="shared" si="19"/>
        <v/>
      </c>
      <c r="H47" s="29"/>
      <c r="I47" s="25"/>
      <c r="J47" s="121"/>
    </row>
    <row r="48" spans="1:13" ht="13.8" hidden="1" x14ac:dyDescent="0.3">
      <c r="A48" s="26">
        <f t="shared" si="16"/>
        <v>0</v>
      </c>
      <c r="B48" s="28" t="str">
        <f>IFERROR(VLOOKUP(H48,[1]SEMIELABORADOS!$A$2:$M$6000,2,0),"")</f>
        <v/>
      </c>
      <c r="C48" s="118">
        <f t="shared" si="17"/>
        <v>0</v>
      </c>
      <c r="D48" s="119" t="str">
        <f>IFERROR(VLOOKUP(H48,[1]SEMIELABORADOS!$A$2:$M$6000,6,0),"")</f>
        <v/>
      </c>
      <c r="E48" s="119" t="str">
        <f>IFERROR(VLOOKUP(H48,[1]SEMIELABORADOS!$A$2:$M$65536,12,0),"")</f>
        <v/>
      </c>
      <c r="F48" s="119" t="str">
        <f t="shared" si="18"/>
        <v/>
      </c>
      <c r="G48" s="120" t="str">
        <f t="shared" si="19"/>
        <v/>
      </c>
      <c r="H48" s="29"/>
      <c r="I48" s="25"/>
      <c r="J48" s="121"/>
    </row>
    <row r="49" spans="1:17" ht="13.8" hidden="1" x14ac:dyDescent="0.3">
      <c r="A49" s="26">
        <f t="shared" si="16"/>
        <v>0</v>
      </c>
      <c r="B49" s="28" t="str">
        <f>IFERROR(VLOOKUP(H49,[1]SEMIELABORADOS!$A$2:$M$6000,2,0),"")</f>
        <v/>
      </c>
      <c r="C49" s="118">
        <f t="shared" si="17"/>
        <v>0</v>
      </c>
      <c r="D49" s="119" t="str">
        <f>IFERROR(VLOOKUP(H49,[1]SEMIELABORADOS!$A$2:$M$6000,6,0),"")</f>
        <v/>
      </c>
      <c r="E49" s="119" t="str">
        <f>IFERROR(VLOOKUP(H49,[1]SEMIELABORADOS!$A$2:$M$65536,12,0),"")</f>
        <v/>
      </c>
      <c r="F49" s="119" t="str">
        <f t="shared" si="18"/>
        <v/>
      </c>
      <c r="G49" s="120" t="str">
        <f t="shared" si="19"/>
        <v/>
      </c>
      <c r="H49" s="29"/>
      <c r="I49" s="25"/>
      <c r="J49" s="121"/>
    </row>
    <row r="50" spans="1:17" ht="13.8" hidden="1" x14ac:dyDescent="0.3">
      <c r="A50" s="26">
        <f t="shared" si="16"/>
        <v>0</v>
      </c>
      <c r="B50" s="28" t="str">
        <f>IFERROR(VLOOKUP(H50,[1]SEMIELABORADOS!$A$2:$M$6000,2,0),"")</f>
        <v/>
      </c>
      <c r="C50" s="118">
        <f t="shared" si="17"/>
        <v>0</v>
      </c>
      <c r="D50" s="119" t="str">
        <f>IFERROR(VLOOKUP(H50,[1]SEMIELABORADOS!$A$2:$M$6000,6,0),"")</f>
        <v/>
      </c>
      <c r="E50" s="119" t="str">
        <f>IFERROR(VLOOKUP(H50,[1]SEMIELABORADOS!$A$2:$M$65536,12,0),"")</f>
        <v/>
      </c>
      <c r="F50" s="119" t="str">
        <f t="shared" si="18"/>
        <v/>
      </c>
      <c r="G50" s="120" t="str">
        <f t="shared" si="19"/>
        <v/>
      </c>
      <c r="H50" s="28"/>
      <c r="I50" s="25"/>
      <c r="J50" s="121"/>
    </row>
    <row r="51" spans="1:17" ht="13.8" x14ac:dyDescent="0.3">
      <c r="A51" s="26">
        <v>1</v>
      </c>
      <c r="B51" s="28" t="s">
        <v>49</v>
      </c>
      <c r="C51" s="118">
        <f>+A51</f>
        <v>1</v>
      </c>
      <c r="D51" s="118" t="s">
        <v>47</v>
      </c>
      <c r="E51" s="119">
        <f>+F65</f>
        <v>55</v>
      </c>
      <c r="F51" s="119">
        <f>IFERROR(C51*E51,"")</f>
        <v>55</v>
      </c>
      <c r="G51" s="120">
        <f>IFERROR(F51/$F$66,"")</f>
        <v>0.17074287534920335</v>
      </c>
      <c r="H51" s="33"/>
      <c r="I51" s="33"/>
      <c r="J51" s="121"/>
    </row>
    <row r="52" spans="1:17" ht="14.4" thickBot="1" x14ac:dyDescent="0.35">
      <c r="A52" s="26"/>
      <c r="B52" s="28"/>
      <c r="C52" s="118"/>
      <c r="D52" s="118"/>
      <c r="E52" s="119"/>
      <c r="F52" s="119"/>
      <c r="G52" s="120"/>
      <c r="H52" s="33"/>
      <c r="I52" s="33"/>
      <c r="J52" s="121"/>
    </row>
    <row r="53" spans="1:17" ht="13.8" thickBot="1" x14ac:dyDescent="0.3">
      <c r="A53" s="34"/>
      <c r="B53" s="376" t="s">
        <v>50</v>
      </c>
      <c r="C53" s="376"/>
      <c r="D53" s="376"/>
      <c r="E53" s="376"/>
      <c r="F53" s="122">
        <f>SUM(F8:F14,F17:F24)</f>
        <v>59.2</v>
      </c>
      <c r="G53" s="120">
        <f>+F53/$F$66</f>
        <v>0.18378142219405161</v>
      </c>
      <c r="H53" s="123">
        <f>+F53/$D$60</f>
        <v>59.2</v>
      </c>
      <c r="I53" s="123"/>
      <c r="J53" s="36"/>
      <c r="K53" s="37"/>
      <c r="L53" s="37"/>
      <c r="M53" s="37"/>
      <c r="N53" s="37"/>
      <c r="O53" s="37"/>
      <c r="P53" s="37"/>
      <c r="Q53" s="38"/>
    </row>
    <row r="54" spans="1:17" x14ac:dyDescent="0.25">
      <c r="A54" s="34"/>
      <c r="B54" s="376" t="s">
        <v>51</v>
      </c>
      <c r="C54" s="376"/>
      <c r="D54" s="376"/>
      <c r="E54" s="376"/>
      <c r="F54" s="122">
        <f>SUM(F27:F32,F35:F41)</f>
        <v>206.73778626788373</v>
      </c>
      <c r="G54" s="120">
        <f>+F54/$F$66</f>
        <v>0.64180007401286399</v>
      </c>
      <c r="H54" s="123">
        <f>+F54/$D$60</f>
        <v>206.73778626788373</v>
      </c>
      <c r="I54" s="123"/>
      <c r="J54" s="39"/>
      <c r="K54" s="377" t="s">
        <v>52</v>
      </c>
      <c r="L54" s="378"/>
      <c r="M54" s="378"/>
      <c r="N54" s="378"/>
      <c r="O54" s="124">
        <f>+F55</f>
        <v>265.93778626788372</v>
      </c>
      <c r="P54" s="124"/>
      <c r="Q54" s="40"/>
    </row>
    <row r="55" spans="1:17" x14ac:dyDescent="0.25">
      <c r="A55" s="34"/>
      <c r="B55" s="376" t="s">
        <v>53</v>
      </c>
      <c r="C55" s="376"/>
      <c r="D55" s="376"/>
      <c r="E55" s="376"/>
      <c r="F55" s="122">
        <f>+F53+F54</f>
        <v>265.93778626788372</v>
      </c>
      <c r="G55" s="120">
        <f>+F55/$F$66</f>
        <v>0.82558149620691557</v>
      </c>
      <c r="H55" s="123">
        <f>+F55/$D$60</f>
        <v>265.93778626788372</v>
      </c>
      <c r="I55" s="123"/>
      <c r="J55" s="41"/>
      <c r="K55" s="42"/>
      <c r="M55" s="150" t="s">
        <v>54</v>
      </c>
      <c r="N55" s="151"/>
      <c r="O55" s="124">
        <v>135</v>
      </c>
      <c r="P55" s="124"/>
      <c r="Q55" s="40"/>
    </row>
    <row r="56" spans="1:17" ht="13.8" thickBot="1" x14ac:dyDescent="0.3">
      <c r="A56" s="34"/>
      <c r="B56" s="35"/>
      <c r="C56" s="376" t="s">
        <v>55</v>
      </c>
      <c r="D56" s="376"/>
      <c r="E56" s="376"/>
      <c r="F56" s="122">
        <f>SUM(F44:F51)</f>
        <v>144.60000000000002</v>
      </c>
      <c r="G56" s="120">
        <f>+F56/$F$66</f>
        <v>0.44889854137263291</v>
      </c>
      <c r="H56" s="123">
        <f>+F56/$D$60</f>
        <v>144.60000000000002</v>
      </c>
      <c r="I56" s="123"/>
      <c r="J56" s="41"/>
      <c r="K56" s="42"/>
      <c r="L56" s="42"/>
      <c r="M56" s="42" t="s">
        <v>56</v>
      </c>
      <c r="N56" s="125"/>
      <c r="O56" s="124">
        <f>O54*N56</f>
        <v>0</v>
      </c>
      <c r="P56" s="124"/>
      <c r="Q56" s="40"/>
    </row>
    <row r="57" spans="1:17" ht="13.8" thickBot="1" x14ac:dyDescent="0.25">
      <c r="A57" s="34"/>
      <c r="B57" s="43"/>
      <c r="C57" s="43"/>
      <c r="D57" s="43"/>
      <c r="E57" s="43"/>
      <c r="F57" s="126"/>
      <c r="G57" s="120"/>
      <c r="H57" s="44"/>
      <c r="I57" s="123"/>
      <c r="J57" s="41"/>
      <c r="K57" s="45"/>
      <c r="M57" s="46" t="s">
        <v>57</v>
      </c>
      <c r="N57" s="47"/>
      <c r="O57" s="48">
        <f>SUM(O54:O56)</f>
        <v>400.93778626788372</v>
      </c>
      <c r="P57" s="127"/>
      <c r="Q57" s="40"/>
    </row>
    <row r="58" spans="1:17" x14ac:dyDescent="0.25">
      <c r="B58" s="379" t="s">
        <v>58</v>
      </c>
      <c r="C58" s="379"/>
      <c r="D58" s="128">
        <v>80</v>
      </c>
      <c r="E58" s="49"/>
      <c r="G58" s="120"/>
      <c r="H58" s="44"/>
      <c r="I58" s="129"/>
      <c r="J58" s="41"/>
      <c r="K58" s="45"/>
      <c r="L58" s="42"/>
      <c r="M58" s="42" t="s">
        <v>122</v>
      </c>
      <c r="N58" s="130">
        <v>0.16</v>
      </c>
      <c r="O58" s="124">
        <f>+O54*N58</f>
        <v>42.550045802861398</v>
      </c>
      <c r="P58" s="124"/>
      <c r="Q58" s="40"/>
    </row>
    <row r="59" spans="1:17" x14ac:dyDescent="0.25">
      <c r="B59" s="379" t="s">
        <v>59</v>
      </c>
      <c r="C59" s="379"/>
      <c r="D59" s="50">
        <v>80</v>
      </c>
      <c r="E59" s="49"/>
      <c r="G59" s="120"/>
      <c r="H59" s="44"/>
      <c r="I59" s="129"/>
      <c r="J59" s="41"/>
      <c r="K59" s="45"/>
      <c r="L59" s="42"/>
      <c r="M59" s="380" t="s">
        <v>57</v>
      </c>
      <c r="N59" s="380"/>
      <c r="O59" s="124">
        <f>SUM(O57:O58)</f>
        <v>443.48783207074513</v>
      </c>
      <c r="P59" s="124"/>
      <c r="Q59" s="40"/>
    </row>
    <row r="60" spans="1:17" ht="13.8" thickBot="1" x14ac:dyDescent="0.3">
      <c r="B60" s="371" t="s">
        <v>60</v>
      </c>
      <c r="C60" s="371"/>
      <c r="D60" s="128">
        <f>+D58/D59</f>
        <v>1</v>
      </c>
      <c r="E60" s="49"/>
      <c r="F60" s="51"/>
      <c r="G60" s="120"/>
      <c r="H60" s="44"/>
      <c r="I60" s="129"/>
      <c r="J60" s="41"/>
      <c r="K60" s="45"/>
      <c r="L60" s="380"/>
      <c r="M60" s="380"/>
      <c r="N60" s="130"/>
      <c r="O60" s="124">
        <f>+O59*N60</f>
        <v>0</v>
      </c>
      <c r="P60" s="124"/>
      <c r="Q60" s="40"/>
    </row>
    <row r="61" spans="1:17" ht="13.8" thickBot="1" x14ac:dyDescent="0.25">
      <c r="B61" s="371" t="s">
        <v>61</v>
      </c>
      <c r="C61" s="371"/>
      <c r="D61" s="52"/>
      <c r="E61" s="49"/>
      <c r="F61" s="51"/>
      <c r="G61" s="120"/>
      <c r="H61" s="44"/>
      <c r="I61" s="129"/>
      <c r="J61" s="41"/>
      <c r="K61" s="372" t="s">
        <v>62</v>
      </c>
      <c r="L61" s="373"/>
      <c r="M61" s="373"/>
      <c r="N61" s="374"/>
      <c r="O61" s="48">
        <f>SUM(O59:O60)</f>
        <v>443.48783207074513</v>
      </c>
      <c r="P61" s="53" t="s">
        <v>63</v>
      </c>
      <c r="Q61" s="40"/>
    </row>
    <row r="62" spans="1:17" ht="13.8" thickBot="1" x14ac:dyDescent="0.25">
      <c r="C62" s="34" t="s">
        <v>64</v>
      </c>
      <c r="D62" s="54"/>
      <c r="E62" s="15" t="s">
        <v>65</v>
      </c>
      <c r="F62" s="55" t="s">
        <v>66</v>
      </c>
      <c r="G62" s="120"/>
      <c r="H62" s="44"/>
      <c r="I62" s="129"/>
      <c r="J62" s="56"/>
      <c r="K62" s="57"/>
      <c r="L62" s="360" t="s">
        <v>67</v>
      </c>
      <c r="M62" s="360"/>
      <c r="N62" s="360"/>
      <c r="O62" s="131">
        <f>+O61/D60</f>
        <v>443.48783207074513</v>
      </c>
      <c r="P62" s="132">
        <f>+O62/D59</f>
        <v>5.5435979008843139</v>
      </c>
      <c r="Q62" s="58"/>
    </row>
    <row r="63" spans="1:17" ht="13.8" thickBot="1" x14ac:dyDescent="0.25">
      <c r="B63" s="361" t="s">
        <v>53</v>
      </c>
      <c r="C63" s="361"/>
      <c r="D63" s="361"/>
      <c r="E63" s="133">
        <f>+F63/F63</f>
        <v>1</v>
      </c>
      <c r="F63" s="134">
        <f>SUM(F55)</f>
        <v>265.93778626788372</v>
      </c>
      <c r="G63" s="120">
        <f>+F63/$F$66</f>
        <v>0.82558149620691557</v>
      </c>
      <c r="H63" s="44"/>
      <c r="I63" s="129"/>
      <c r="K63" s="362"/>
      <c r="L63" s="363"/>
      <c r="M63" s="363"/>
      <c r="N63" s="363"/>
      <c r="O63" s="59"/>
      <c r="P63" s="60"/>
    </row>
    <row r="64" spans="1:17" ht="13.8" thickBot="1" x14ac:dyDescent="0.3">
      <c r="B64" s="364" t="s">
        <v>68</v>
      </c>
      <c r="C64" s="364"/>
      <c r="D64" s="364"/>
      <c r="E64" s="135">
        <v>0.02</v>
      </c>
      <c r="F64" s="134">
        <f>+F53*E64</f>
        <v>1.1840000000000002</v>
      </c>
      <c r="G64" s="120">
        <f>+F64/$F$66</f>
        <v>3.6756284438810329E-3</v>
      </c>
      <c r="H64" s="123"/>
      <c r="I64" s="129"/>
      <c r="J64" s="136"/>
      <c r="O64" s="61"/>
      <c r="P64" s="35"/>
    </row>
    <row r="65" spans="2:10" ht="13.8" thickBot="1" x14ac:dyDescent="0.3">
      <c r="B65" s="365" t="s">
        <v>69</v>
      </c>
      <c r="C65" s="366"/>
      <c r="D65" s="62">
        <v>1</v>
      </c>
      <c r="E65" s="137">
        <v>55</v>
      </c>
      <c r="F65" s="134">
        <f>+E65*D65</f>
        <v>55</v>
      </c>
      <c r="G65" s="120">
        <f>+F65/$F$66</f>
        <v>0.17074287534920335</v>
      </c>
      <c r="H65" s="123"/>
      <c r="I65" s="123"/>
      <c r="J65" s="121"/>
    </row>
    <row r="66" spans="2:10" ht="13.8" thickBot="1" x14ac:dyDescent="0.3">
      <c r="B66" s="367" t="s">
        <v>70</v>
      </c>
      <c r="C66" s="368"/>
      <c r="D66" s="368"/>
      <c r="E66" s="369"/>
      <c r="F66" s="126">
        <f>SUM(F63:F65)</f>
        <v>322.12178626788375</v>
      </c>
      <c r="G66" s="120">
        <f>+F66/$F$66</f>
        <v>1</v>
      </c>
      <c r="H66" s="370"/>
      <c r="I66" s="123"/>
      <c r="J66" s="121"/>
    </row>
    <row r="67" spans="2:10" x14ac:dyDescent="0.25">
      <c r="C67" s="139"/>
      <c r="D67" s="139"/>
      <c r="E67" s="140"/>
      <c r="F67" s="134"/>
      <c r="G67" s="120"/>
      <c r="H67" s="370"/>
      <c r="I67" s="138"/>
      <c r="J67" s="17"/>
    </row>
    <row r="68" spans="2:10" ht="13.8" thickBot="1" x14ac:dyDescent="0.3">
      <c r="B68" s="355" t="s">
        <v>71</v>
      </c>
      <c r="C68" s="355"/>
      <c r="D68" s="355"/>
      <c r="E68" s="355"/>
      <c r="F68" s="355"/>
      <c r="G68" s="120"/>
      <c r="H68" s="64"/>
      <c r="I68" s="138"/>
      <c r="J68" s="17"/>
    </row>
    <row r="69" spans="2:10" ht="13.8" thickBot="1" x14ac:dyDescent="0.3">
      <c r="B69" s="65" t="s">
        <v>72</v>
      </c>
      <c r="C69" s="141">
        <f>+F53</f>
        <v>59.2</v>
      </c>
      <c r="D69" s="141">
        <f>+D58</f>
        <v>80</v>
      </c>
      <c r="E69" s="66">
        <f>+C69/D69</f>
        <v>0.74</v>
      </c>
      <c r="F69" s="120"/>
      <c r="G69" s="64"/>
      <c r="H69" s="121"/>
      <c r="I69" s="64"/>
      <c r="J69" s="17"/>
    </row>
    <row r="70" spans="2:10" x14ac:dyDescent="0.25">
      <c r="B70" s="67"/>
      <c r="C70" s="142"/>
      <c r="D70" s="143"/>
      <c r="E70" s="134"/>
      <c r="F70" s="120"/>
      <c r="G70" s="64"/>
      <c r="H70" s="121"/>
      <c r="I70" s="121"/>
      <c r="J70" s="17"/>
    </row>
    <row r="71" spans="2:10" x14ac:dyDescent="0.25">
      <c r="B71" s="65" t="s">
        <v>73</v>
      </c>
      <c r="C71" s="141">
        <f>SUM(F63:F64)</f>
        <v>267.12178626788375</v>
      </c>
      <c r="D71" s="141">
        <f>+D58</f>
        <v>80</v>
      </c>
      <c r="E71" s="144">
        <f>+C71/D71</f>
        <v>3.339022328348547</v>
      </c>
      <c r="F71" s="120"/>
      <c r="G71" s="64"/>
      <c r="H71" s="121"/>
      <c r="I71" s="121"/>
      <c r="J71" s="17"/>
    </row>
    <row r="72" spans="2:10" x14ac:dyDescent="0.25">
      <c r="B72" s="65"/>
      <c r="C72" s="141"/>
      <c r="D72" s="141"/>
      <c r="E72" s="144"/>
      <c r="F72" s="120"/>
      <c r="G72" s="64"/>
      <c r="H72" s="121"/>
      <c r="I72" s="121"/>
      <c r="J72" s="17"/>
    </row>
    <row r="73" spans="2:10" ht="13.8" thickBot="1" x14ac:dyDescent="0.3">
      <c r="B73" s="65" t="s">
        <v>74</v>
      </c>
      <c r="C73" s="141">
        <f>+F65</f>
        <v>55</v>
      </c>
      <c r="D73" s="141">
        <f>+D58</f>
        <v>80</v>
      </c>
      <c r="E73" s="144">
        <f>+C73/D73</f>
        <v>0.6875</v>
      </c>
      <c r="F73" s="120"/>
      <c r="G73" s="64"/>
      <c r="H73" s="121"/>
      <c r="I73" s="121"/>
      <c r="J73" s="17"/>
    </row>
    <row r="74" spans="2:10" ht="13.8" thickBot="1" x14ac:dyDescent="0.3">
      <c r="B74" s="65" t="s">
        <v>75</v>
      </c>
      <c r="C74" s="141">
        <f>+F56</f>
        <v>144.60000000000002</v>
      </c>
      <c r="D74" s="141">
        <f>+D73</f>
        <v>80</v>
      </c>
      <c r="E74" s="66">
        <f>+C74/D74</f>
        <v>1.8075000000000003</v>
      </c>
      <c r="F74" s="120"/>
      <c r="G74" s="64"/>
      <c r="H74" s="121"/>
      <c r="I74" s="121"/>
      <c r="J74" s="17"/>
    </row>
    <row r="75" spans="2:10" ht="13.8" thickBot="1" x14ac:dyDescent="0.3">
      <c r="B75" s="43"/>
      <c r="C75" s="126"/>
      <c r="D75" s="126"/>
      <c r="E75" s="144"/>
      <c r="F75" s="120"/>
      <c r="G75" s="64"/>
      <c r="H75" s="121"/>
      <c r="I75" s="121"/>
      <c r="J75" s="17"/>
    </row>
    <row r="76" spans="2:10" ht="13.8" thickBot="1" x14ac:dyDescent="0.3">
      <c r="B76" s="65" t="s">
        <v>76</v>
      </c>
      <c r="C76" s="141">
        <f>+F54</f>
        <v>206.73778626788373</v>
      </c>
      <c r="D76" s="141">
        <f>+D74</f>
        <v>80</v>
      </c>
      <c r="E76" s="66">
        <f>+C76/D76</f>
        <v>2.5842223283485466</v>
      </c>
      <c r="F76" s="120"/>
      <c r="G76" s="64"/>
      <c r="H76" s="121"/>
      <c r="I76" s="121"/>
      <c r="J76" s="121"/>
    </row>
    <row r="77" spans="2:10" ht="13.8" thickBot="1" x14ac:dyDescent="0.3">
      <c r="B77" s="43"/>
      <c r="C77" s="126"/>
      <c r="D77" s="126"/>
      <c r="E77" s="144"/>
      <c r="F77" s="120"/>
      <c r="G77" s="64"/>
      <c r="H77" s="121"/>
      <c r="I77" s="121"/>
    </row>
    <row r="78" spans="2:10" ht="13.8" thickBot="1" x14ac:dyDescent="0.3">
      <c r="B78" s="356" t="s">
        <v>77</v>
      </c>
      <c r="C78" s="357"/>
      <c r="D78" s="358"/>
      <c r="E78" s="66">
        <f>+E69+E74</f>
        <v>2.5475000000000003</v>
      </c>
      <c r="G78" s="120"/>
      <c r="H78" s="64"/>
      <c r="I78" s="121"/>
      <c r="J78" s="144"/>
    </row>
    <row r="79" spans="2:10" x14ac:dyDescent="0.25">
      <c r="I79" s="64"/>
      <c r="J79" s="17"/>
    </row>
    <row r="80" spans="2:10" ht="13.8" thickBot="1" x14ac:dyDescent="0.3">
      <c r="B80" s="355" t="s">
        <v>78</v>
      </c>
      <c r="C80" s="355"/>
      <c r="D80" s="355"/>
      <c r="E80" s="355"/>
      <c r="F80" s="355"/>
      <c r="G80" s="120"/>
      <c r="H80" s="64"/>
      <c r="J80" s="17"/>
    </row>
    <row r="81" spans="1:10" ht="13.8" thickBot="1" x14ac:dyDescent="0.3">
      <c r="B81" s="65" t="s">
        <v>72</v>
      </c>
      <c r="C81" s="141">
        <f>+C69</f>
        <v>59.2</v>
      </c>
      <c r="D81" s="141">
        <f>+D60</f>
        <v>1</v>
      </c>
      <c r="E81" s="66">
        <f>+C81/D81</f>
        <v>59.2</v>
      </c>
      <c r="F81" s="120"/>
      <c r="G81" s="64"/>
      <c r="H81" s="121"/>
      <c r="I81" s="64"/>
      <c r="J81" s="17"/>
    </row>
    <row r="82" spans="1:10" x14ac:dyDescent="0.25">
      <c r="B82" s="67"/>
      <c r="C82" s="142"/>
      <c r="D82" s="143"/>
      <c r="E82" s="134"/>
      <c r="F82" s="120"/>
      <c r="G82" s="64"/>
      <c r="H82" s="121"/>
      <c r="I82" s="121"/>
      <c r="J82" s="17"/>
    </row>
    <row r="83" spans="1:10" x14ac:dyDescent="0.25">
      <c r="B83" s="65" t="s">
        <v>73</v>
      </c>
      <c r="C83" s="141">
        <f>+C71</f>
        <v>267.12178626788375</v>
      </c>
      <c r="D83" s="141">
        <f>+D60</f>
        <v>1</v>
      </c>
      <c r="E83" s="144">
        <f>+C83/D83</f>
        <v>267.12178626788375</v>
      </c>
      <c r="F83" s="120"/>
      <c r="G83" s="64"/>
      <c r="H83" s="121"/>
      <c r="I83" s="121"/>
      <c r="J83" s="17"/>
    </row>
    <row r="84" spans="1:10" x14ac:dyDescent="0.25">
      <c r="B84" s="65"/>
      <c r="C84" s="141"/>
      <c r="D84" s="141"/>
      <c r="E84" s="144"/>
      <c r="F84" s="120"/>
      <c r="G84" s="64"/>
      <c r="H84" s="121"/>
      <c r="I84" s="121"/>
      <c r="J84" s="17"/>
    </row>
    <row r="85" spans="1:10" ht="13.8" thickBot="1" x14ac:dyDescent="0.3">
      <c r="B85" s="65" t="s">
        <v>75</v>
      </c>
      <c r="C85" s="141">
        <f>+C73</f>
        <v>55</v>
      </c>
      <c r="D85" s="141">
        <f>+D60</f>
        <v>1</v>
      </c>
      <c r="E85" s="144">
        <f>+C85/D85</f>
        <v>55</v>
      </c>
      <c r="F85" s="146"/>
      <c r="G85" s="63"/>
      <c r="H85" s="16"/>
      <c r="I85" s="121"/>
    </row>
    <row r="86" spans="1:10" ht="13.8" thickBot="1" x14ac:dyDescent="0.3">
      <c r="B86" s="65" t="s">
        <v>75</v>
      </c>
      <c r="C86" s="141">
        <f>+C74</f>
        <v>144.60000000000002</v>
      </c>
      <c r="D86" s="141">
        <f>+D85</f>
        <v>1</v>
      </c>
      <c r="E86" s="66">
        <f>+C86/D86</f>
        <v>144.60000000000002</v>
      </c>
      <c r="F86" s="145"/>
      <c r="G86" s="63"/>
      <c r="H86" s="16"/>
      <c r="I86" s="16"/>
    </row>
    <row r="87" spans="1:10" x14ac:dyDescent="0.25">
      <c r="I87" s="16"/>
    </row>
    <row r="88" spans="1:10" x14ac:dyDescent="0.25">
      <c r="A88" s="359"/>
      <c r="B88" s="359"/>
      <c r="C88" s="68"/>
      <c r="D88" s="68"/>
      <c r="E88" s="147"/>
      <c r="G88" s="148"/>
    </row>
    <row r="89" spans="1:10" x14ac:dyDescent="0.25">
      <c r="A89" s="28"/>
      <c r="B89" s="69"/>
      <c r="C89" s="149"/>
      <c r="D89" s="149"/>
      <c r="E89" s="70"/>
      <c r="G89" s="148"/>
    </row>
    <row r="90" spans="1:10" x14ac:dyDescent="0.25">
      <c r="A90" s="28"/>
      <c r="B90" s="69"/>
      <c r="C90" s="71"/>
      <c r="D90" s="71"/>
      <c r="E90" s="28"/>
      <c r="G90" s="148"/>
    </row>
    <row r="91" spans="1:10" x14ac:dyDescent="0.25">
      <c r="A91" s="28"/>
      <c r="B91" s="69"/>
      <c r="C91" s="72"/>
      <c r="D91" s="72"/>
      <c r="E91" s="28"/>
      <c r="G91" s="14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29" workbookViewId="0">
      <selection activeCell="M33" sqref="M33"/>
    </sheetView>
  </sheetViews>
  <sheetFormatPr baseColWidth="10" defaultColWidth="8.44140625" defaultRowHeight="13.2" x14ac:dyDescent="0.25"/>
  <cols>
    <col min="1" max="1" width="10" style="17" bestFit="1" customWidth="1"/>
    <col min="2" max="2" width="44.21875" style="17" bestFit="1" customWidth="1"/>
    <col min="3" max="3" width="10.44140625" style="17" bestFit="1" customWidth="1"/>
    <col min="4" max="4" width="10.44140625" style="17" customWidth="1"/>
    <col min="5" max="5" width="9.77734375" style="17" bestFit="1" customWidth="1"/>
    <col min="6" max="6" width="9.5546875" style="17" bestFit="1" customWidth="1"/>
    <col min="7" max="7" width="9.5546875" style="145" bestFit="1" customWidth="1"/>
    <col min="8" max="8" width="10.44140625" style="63" bestFit="1" customWidth="1"/>
    <col min="9" max="9" width="4.5546875" style="63" customWidth="1"/>
    <col min="10" max="10" width="1.77734375" style="16" customWidth="1"/>
    <col min="11" max="11" width="7" style="17" bestFit="1" customWidth="1"/>
    <col min="12" max="12" width="6.2187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21875" style="17" customWidth="1"/>
    <col min="18" max="16384" width="8.44140625" style="17"/>
  </cols>
  <sheetData>
    <row r="1" spans="1:10" ht="27.75" customHeight="1" x14ac:dyDescent="0.25">
      <c r="A1" s="12"/>
      <c r="B1" s="12"/>
      <c r="C1" s="12"/>
      <c r="D1" s="12"/>
      <c r="E1" s="13" t="s">
        <v>32</v>
      </c>
      <c r="F1" s="14" t="s">
        <v>33</v>
      </c>
      <c r="G1" s="14" t="s">
        <v>34</v>
      </c>
      <c r="H1" s="14" t="s">
        <v>35</v>
      </c>
      <c r="I1" s="15"/>
    </row>
    <row r="2" spans="1:10" ht="30.75" customHeight="1" x14ac:dyDescent="0.25">
      <c r="A2" s="12"/>
      <c r="B2" s="12"/>
      <c r="C2" s="12"/>
      <c r="D2" s="12"/>
      <c r="E2" s="115">
        <f>IFERROR(O62,"")</f>
        <v>273.37054882608646</v>
      </c>
      <c r="F2" s="115">
        <f>IFERROR(H53,"")</f>
        <v>73.314991353221345</v>
      </c>
      <c r="G2" s="115">
        <f>IFERROR(H54,"")</f>
        <v>119.19947965106488</v>
      </c>
      <c r="H2" s="115">
        <f>IFERROR(H56,"")</f>
        <v>41.00956478077152</v>
      </c>
      <c r="I2" s="116"/>
    </row>
    <row r="3" spans="1:10" ht="15" customHeight="1" x14ac:dyDescent="0.25">
      <c r="A3" s="12"/>
      <c r="B3" s="12"/>
      <c r="C3" s="12"/>
      <c r="D3" s="12"/>
      <c r="E3" s="12"/>
      <c r="F3" s="117"/>
      <c r="G3" s="117"/>
      <c r="H3" s="117"/>
      <c r="I3" s="117"/>
    </row>
    <row r="4" spans="1:10" ht="24.75" customHeight="1" thickBot="1" x14ac:dyDescent="0.3">
      <c r="A4" s="381"/>
      <c r="B4" s="381"/>
      <c r="C4" s="381"/>
      <c r="D4" s="381"/>
      <c r="E4" s="381"/>
      <c r="F4" s="381"/>
      <c r="G4" s="381"/>
      <c r="H4" s="381"/>
      <c r="I4" s="18"/>
    </row>
    <row r="5" spans="1:10" ht="19.5" customHeight="1" thickBot="1" x14ac:dyDescent="0.3">
      <c r="A5" s="382" t="s">
        <v>36</v>
      </c>
      <c r="B5" s="383"/>
      <c r="C5" s="383"/>
      <c r="D5" s="383"/>
      <c r="E5" s="383"/>
      <c r="F5" s="383"/>
      <c r="G5" s="383"/>
      <c r="H5" s="384"/>
      <c r="I5" s="19"/>
    </row>
    <row r="6" spans="1:10" ht="18" thickBot="1" x14ac:dyDescent="0.3">
      <c r="A6" s="19"/>
      <c r="B6" s="19"/>
      <c r="C6" s="19"/>
      <c r="D6" s="19"/>
      <c r="E6" s="19"/>
      <c r="F6" s="385" t="s">
        <v>37</v>
      </c>
      <c r="G6" s="385"/>
      <c r="H6" s="20">
        <f ca="1">TODAY()</f>
        <v>45922</v>
      </c>
      <c r="I6" s="20"/>
    </row>
    <row r="7" spans="1:10" ht="40.200000000000003" hidden="1" thickBot="1" x14ac:dyDescent="0.3">
      <c r="A7" s="21" t="s">
        <v>38</v>
      </c>
      <c r="B7" s="22" t="s">
        <v>39</v>
      </c>
      <c r="C7" s="22" t="s">
        <v>38</v>
      </c>
      <c r="D7" s="23" t="s">
        <v>40</v>
      </c>
      <c r="E7" s="23" t="s">
        <v>41</v>
      </c>
      <c r="F7" s="23" t="s">
        <v>42</v>
      </c>
      <c r="G7" s="23" t="s">
        <v>43</v>
      </c>
      <c r="H7" s="24" t="s">
        <v>44</v>
      </c>
      <c r="I7" s="25"/>
    </row>
    <row r="8" spans="1:10" ht="13.8" hidden="1" x14ac:dyDescent="0.3">
      <c r="A8" s="26"/>
      <c r="B8" s="17" t="str">
        <f>IFERROR(VLOOKUP(H8,'[1]Consolidado MP Planta'!$A$2:$M$823,3,0),"")</f>
        <v/>
      </c>
      <c r="C8" s="118">
        <f>+A8</f>
        <v>0</v>
      </c>
      <c r="D8" s="119" t="str">
        <f>IFERROR(VLOOKUP(H8,'[1]Consolidado MP Planta'!$A$2:$M$823,13,0),"")</f>
        <v/>
      </c>
      <c r="E8" s="119" t="str">
        <f>IFERROR(VLOOKUP(H8,'[1]Consolidado MP Planta'!$A$2:$M$823,12,0),"")</f>
        <v/>
      </c>
      <c r="F8" s="119" t="str">
        <f>IFERROR(C8*E8,"")</f>
        <v/>
      </c>
      <c r="G8" s="120" t="str">
        <f t="shared" ref="G8:G14" si="0">IFERROR(F8/$F$66,"")</f>
        <v/>
      </c>
      <c r="H8" s="27"/>
      <c r="I8" s="27"/>
      <c r="J8" s="121"/>
    </row>
    <row r="9" spans="1:10" ht="13.8" hidden="1" x14ac:dyDescent="0.3">
      <c r="A9" s="26"/>
      <c r="B9" s="17" t="str">
        <f>IFERROR(VLOOKUP(H9,'[1]Consolidado MP Planta'!$A$2:$M$823,3,0),"")</f>
        <v/>
      </c>
      <c r="C9" s="118">
        <f t="shared" ref="C9:C14" si="1">+A9</f>
        <v>0</v>
      </c>
      <c r="D9" s="119" t="str">
        <f>IFERROR(VLOOKUP(H9,'[1]Consolidado MP Planta'!$A$2:$M$823,13,0),"")</f>
        <v/>
      </c>
      <c r="E9" s="119" t="str">
        <f>IFERROR(VLOOKUP(H9,'[1]Consolidado MP Planta'!$A$2:$M$823,12,0),"")</f>
        <v/>
      </c>
      <c r="F9" s="119" t="str">
        <f t="shared" ref="F9:F14" si="2">IFERROR(C9*E9,"")</f>
        <v/>
      </c>
      <c r="G9" s="120" t="str">
        <f t="shared" si="0"/>
        <v/>
      </c>
      <c r="H9" s="27"/>
      <c r="I9" s="27"/>
      <c r="J9" s="121"/>
    </row>
    <row r="10" spans="1:10" ht="13.8" hidden="1" x14ac:dyDescent="0.3">
      <c r="A10" s="26"/>
      <c r="B10" s="17" t="str">
        <f>IFERROR(VLOOKUP(H10,'[1]Consolidado MP Planta'!$A$2:$M$823,3,0),"")</f>
        <v/>
      </c>
      <c r="C10" s="118">
        <f t="shared" si="1"/>
        <v>0</v>
      </c>
      <c r="D10" s="119" t="str">
        <f>IFERROR(VLOOKUP(H10,'[1]Consolidado MP Planta'!$A$2:$M$823,13,0),"")</f>
        <v/>
      </c>
      <c r="E10" s="119" t="str">
        <f>IFERROR(VLOOKUP(H10,'[1]Consolidado MP Planta'!$A$2:$M$823,12,0),"")</f>
        <v/>
      </c>
      <c r="F10" s="119" t="str">
        <f t="shared" si="2"/>
        <v/>
      </c>
      <c r="G10" s="120" t="str">
        <f t="shared" si="0"/>
        <v/>
      </c>
      <c r="H10" s="27"/>
      <c r="I10" s="27"/>
      <c r="J10" s="121"/>
    </row>
    <row r="11" spans="1:10" ht="13.8" hidden="1" x14ac:dyDescent="0.3">
      <c r="A11" s="26"/>
      <c r="B11" s="17" t="str">
        <f>IFERROR(VLOOKUP(H11,'[1]Consolidado MP Planta'!$A$2:$M$823,3,0),"")</f>
        <v/>
      </c>
      <c r="C11" s="118">
        <f t="shared" si="1"/>
        <v>0</v>
      </c>
      <c r="D11" s="119" t="str">
        <f>IFERROR(VLOOKUP(H11,'[1]Consolidado MP Planta'!$A$2:$M$823,13,0),"")</f>
        <v/>
      </c>
      <c r="E11" s="119" t="str">
        <f>IFERROR(VLOOKUP(H11,'[1]Consolidado MP Planta'!$A$2:$M$823,12,0),"")</f>
        <v/>
      </c>
      <c r="F11" s="119" t="str">
        <f t="shared" si="2"/>
        <v/>
      </c>
      <c r="G11" s="120" t="str">
        <f t="shared" si="0"/>
        <v/>
      </c>
      <c r="H11" s="27"/>
      <c r="I11" s="27"/>
      <c r="J11" s="121"/>
    </row>
    <row r="12" spans="1:10" ht="13.8" hidden="1" x14ac:dyDescent="0.3">
      <c r="A12" s="26"/>
      <c r="B12" s="17" t="str">
        <f>IFERROR(VLOOKUP(H12,'[1]Consolidado MP Planta'!$A$2:$M$823,3,0),"")</f>
        <v/>
      </c>
      <c r="C12" s="118">
        <f t="shared" si="1"/>
        <v>0</v>
      </c>
      <c r="D12" s="119" t="str">
        <f>IFERROR(VLOOKUP(H12,'[1]Consolidado MP Planta'!$A$2:$M$823,13,0),"")</f>
        <v/>
      </c>
      <c r="E12" s="119" t="str">
        <f>IFERROR(VLOOKUP(H12,'[1]Consolidado MP Planta'!$A$2:$M$823,12,0),"")</f>
        <v/>
      </c>
      <c r="F12" s="119" t="str">
        <f t="shared" si="2"/>
        <v/>
      </c>
      <c r="G12" s="120" t="str">
        <f t="shared" si="0"/>
        <v/>
      </c>
      <c r="H12" s="27"/>
      <c r="I12" s="27"/>
      <c r="J12" s="121"/>
    </row>
    <row r="13" spans="1:10" ht="13.8" hidden="1" x14ac:dyDescent="0.3">
      <c r="A13" s="26"/>
      <c r="B13" s="17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27"/>
      <c r="I13" s="27"/>
      <c r="J13" s="121"/>
    </row>
    <row r="14" spans="1:10" ht="13.8" hidden="1" x14ac:dyDescent="0.3">
      <c r="A14" s="26"/>
      <c r="B14" s="17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27"/>
      <c r="I14" s="27"/>
      <c r="J14" s="121"/>
    </row>
    <row r="15" spans="1:10" ht="14.4" hidden="1" thickBot="1" x14ac:dyDescent="0.35">
      <c r="A15" s="26"/>
      <c r="B15" s="17" t="str">
        <f>IFERROR(VLOOKUP(H15,'[3]Consolidado MP Planta'!$A$2:$G$589,2,0),"")</f>
        <v/>
      </c>
      <c r="C15" s="118"/>
      <c r="D15" s="119"/>
      <c r="E15" s="119"/>
      <c r="F15" s="119"/>
      <c r="G15" s="120"/>
      <c r="H15" s="27"/>
      <c r="I15" s="27"/>
      <c r="J15" s="121"/>
    </row>
    <row r="16" spans="1:10" ht="40.200000000000003" thickBot="1" x14ac:dyDescent="0.3">
      <c r="A16" s="21" t="s">
        <v>38</v>
      </c>
      <c r="B16" s="22" t="s">
        <v>45</v>
      </c>
      <c r="C16" s="22" t="s">
        <v>38</v>
      </c>
      <c r="D16" s="23" t="s">
        <v>40</v>
      </c>
      <c r="E16" s="23" t="s">
        <v>41</v>
      </c>
      <c r="F16" s="23" t="s">
        <v>42</v>
      </c>
      <c r="G16" s="23" t="s">
        <v>43</v>
      </c>
      <c r="H16" s="24" t="s">
        <v>44</v>
      </c>
      <c r="I16" s="25"/>
      <c r="J16" s="121"/>
    </row>
    <row r="17" spans="1:12" ht="13.8" x14ac:dyDescent="0.3">
      <c r="A17" s="26">
        <v>70</v>
      </c>
      <c r="B17" s="17" t="str">
        <f>IFERROR(VLOOKUP(H17,[1]SEMIELABORADOS!$A$2:$M$6000,2,0),"")</f>
        <v>CORTE OREJITAS DULCES (KILO)</v>
      </c>
      <c r="C17" s="118">
        <f>+A17</f>
        <v>70</v>
      </c>
      <c r="D17" s="118" t="str">
        <f>IFERROR(VLOOKUP(H17,[1]SEMIELABORADOS!$A$2:$M$6000,6,0),"")</f>
        <v>Gramo</v>
      </c>
      <c r="E17" s="119">
        <f>IFERROR(VLOOKUP(H17,[1]SEMIELABORADOS!$A$2:$H$65536,8,0),"")</f>
        <v>1.0473570193317334</v>
      </c>
      <c r="F17" s="119">
        <f>IFERROR(E17*C17,"")</f>
        <v>73.314991353221345</v>
      </c>
      <c r="G17" s="120">
        <f>IFERROR(F17/$F$66,"")</f>
        <v>0.33102192609329489</v>
      </c>
      <c r="H17" s="27" t="s">
        <v>104</v>
      </c>
      <c r="I17" s="27"/>
      <c r="J17" s="121"/>
    </row>
    <row r="18" spans="1:12" ht="13.8" hidden="1" x14ac:dyDescent="0.3">
      <c r="A18" s="26"/>
      <c r="B18" s="17" t="str">
        <f>IFERROR(VLOOKUP(H18,[1]SEMIELABORADOS!$A$2:$M$6000,2,0),"")</f>
        <v/>
      </c>
      <c r="C18" s="118">
        <f t="shared" ref="C18:C24" si="3">+A18</f>
        <v>0</v>
      </c>
      <c r="D18" s="118" t="str">
        <f>IFERROR(VLOOKUP(H18,[1]SEMIELABORADOS!$A$2:$M$6000,6,0),"")</f>
        <v/>
      </c>
      <c r="E18" s="119" t="str">
        <f>IFERROR(VLOOKUP(H18,[1]SEMIELABORADOS!$A$2:$H$65536,8,0),"")</f>
        <v/>
      </c>
      <c r="F18" s="119" t="str">
        <f t="shared" ref="F18:F24" si="4">IFERROR(E18*C18,"")</f>
        <v/>
      </c>
      <c r="G18" s="120" t="str">
        <f t="shared" ref="G18:G24" si="5">IFERROR(F18/$F$66,"")</f>
        <v/>
      </c>
      <c r="H18" s="27"/>
      <c r="I18" s="27"/>
      <c r="J18" s="121"/>
    </row>
    <row r="19" spans="1:12" ht="13.8" hidden="1" x14ac:dyDescent="0.3">
      <c r="A19" s="26"/>
      <c r="B19" s="17" t="str">
        <f>IFERROR(VLOOKUP(H19,[1]SEMIELABORADOS!$A$2:$M$6000,2,0),"")</f>
        <v/>
      </c>
      <c r="C19" s="118">
        <f t="shared" si="3"/>
        <v>0</v>
      </c>
      <c r="D19" s="118" t="str">
        <f>IFERROR(VLOOKUP(H19,[1]SEMIELABORADOS!$A$2:$M$6000,6,0),"")</f>
        <v/>
      </c>
      <c r="E19" s="119" t="str">
        <f>IFERROR(VLOOKUP(H19,[1]SEMIELABORADOS!$A$2:$H$65536,8,0),"")</f>
        <v/>
      </c>
      <c r="F19" s="119" t="str">
        <f t="shared" si="4"/>
        <v/>
      </c>
      <c r="G19" s="120" t="str">
        <f t="shared" si="5"/>
        <v/>
      </c>
      <c r="H19" s="27"/>
      <c r="I19" s="27"/>
      <c r="J19" s="121"/>
    </row>
    <row r="20" spans="1:12" ht="13.8" hidden="1" x14ac:dyDescent="0.3">
      <c r="A20" s="26"/>
      <c r="B20" s="17" t="str">
        <f>IFERROR(VLOOKUP(H20,[1]SEMIELABORADOS!$A$2:$M$6000,2,0),"")</f>
        <v/>
      </c>
      <c r="C20" s="118">
        <f t="shared" si="3"/>
        <v>0</v>
      </c>
      <c r="D20" s="118" t="str">
        <f>IFERROR(VLOOKUP(H20,[1]SEMIELABORADOS!$A$2:$M$6000,6,0),"")</f>
        <v/>
      </c>
      <c r="E20" s="119" t="str">
        <f>IFERROR(VLOOKUP(H20,[1]SEMIELABORADOS!$A$2:$H$65536,8,0),"")</f>
        <v/>
      </c>
      <c r="F20" s="119" t="str">
        <f t="shared" si="4"/>
        <v/>
      </c>
      <c r="G20" s="120" t="str">
        <f t="shared" si="5"/>
        <v/>
      </c>
      <c r="H20" s="29"/>
      <c r="I20" s="27"/>
      <c r="J20" s="121"/>
    </row>
    <row r="21" spans="1:12" ht="13.8" hidden="1" x14ac:dyDescent="0.3">
      <c r="A21" s="26"/>
      <c r="B21" s="17" t="str">
        <f>IFERROR(VLOOKUP(H21,[1]SEMIELABORADOS!$A$2:$M$6000,2,0),"")</f>
        <v/>
      </c>
      <c r="C21" s="118">
        <f t="shared" si="3"/>
        <v>0</v>
      </c>
      <c r="D21" s="118" t="str">
        <f>IFERROR(VLOOKUP(H21,[1]SEMIELABORADOS!$A$2:$M$6000,6,0),"")</f>
        <v/>
      </c>
      <c r="E21" s="119" t="str">
        <f>IFERROR(VLOOKUP(H21,[1]SEMIELABORADOS!$A$2:$H$65536,8,0),"")</f>
        <v/>
      </c>
      <c r="F21" s="119" t="str">
        <f t="shared" si="4"/>
        <v/>
      </c>
      <c r="G21" s="120" t="str">
        <f t="shared" si="5"/>
        <v/>
      </c>
      <c r="H21" s="29"/>
      <c r="I21" s="27"/>
      <c r="J21" s="121"/>
    </row>
    <row r="22" spans="1:12" ht="13.8" hidden="1" x14ac:dyDescent="0.3">
      <c r="A22" s="26"/>
      <c r="B22" s="17" t="str">
        <f>IFERROR(VLOOKUP(H22,[1]SEMIELABORADOS!$A$2:$M$6000,2,0),"")</f>
        <v/>
      </c>
      <c r="C22" s="118">
        <f t="shared" si="3"/>
        <v>0</v>
      </c>
      <c r="D22" s="118" t="str">
        <f>IFERROR(VLOOKUP(H22,[1]SEMIELABORADOS!$A$2:$M$6000,6,0),"")</f>
        <v/>
      </c>
      <c r="E22" s="119" t="str">
        <f>IFERROR(VLOOKUP(H22,[1]SEMIELABORADOS!$A$2:$H$65536,8,0),"")</f>
        <v/>
      </c>
      <c r="F22" s="119" t="str">
        <f t="shared" si="4"/>
        <v/>
      </c>
      <c r="G22" s="120" t="str">
        <f t="shared" si="5"/>
        <v/>
      </c>
      <c r="H22" s="29"/>
      <c r="I22" s="27"/>
      <c r="J22" s="121"/>
    </row>
    <row r="23" spans="1:12" ht="13.8" hidden="1" x14ac:dyDescent="0.3">
      <c r="A23" s="26"/>
      <c r="B23" s="17" t="str">
        <f>IFERROR(VLOOKUP(H23,[1]SEMIELABORADOS!$A$2:$M$6000,2,0),"")</f>
        <v/>
      </c>
      <c r="C23" s="118">
        <f t="shared" si="3"/>
        <v>0</v>
      </c>
      <c r="D23" s="118" t="str">
        <f>IFERROR(VLOOKUP(H23,[1]SEMIELABORADOS!$A$2:$M$6000,6,0),"")</f>
        <v/>
      </c>
      <c r="E23" s="119" t="str">
        <f>IFERROR(VLOOKUP(H23,[1]SEMIELABORADOS!$A$2:$H$65536,8,0),"")</f>
        <v/>
      </c>
      <c r="F23" s="119" t="str">
        <f t="shared" si="4"/>
        <v/>
      </c>
      <c r="G23" s="120" t="str">
        <f t="shared" si="5"/>
        <v/>
      </c>
      <c r="H23" s="29"/>
      <c r="I23" s="27"/>
      <c r="J23" s="121"/>
    </row>
    <row r="24" spans="1:12" ht="13.8" hidden="1" x14ac:dyDescent="0.3">
      <c r="A24" s="26"/>
      <c r="B24" s="17" t="str">
        <f>IFERROR(VLOOKUP(H24,[1]SEMIELABORADOS!$A$2:$M$6000,2,0),"")</f>
        <v/>
      </c>
      <c r="C24" s="118">
        <f t="shared" si="3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4"/>
        <v/>
      </c>
      <c r="G24" s="120" t="str">
        <f t="shared" si="5"/>
        <v/>
      </c>
      <c r="H24" s="29"/>
      <c r="I24" s="27"/>
      <c r="J24" s="121"/>
    </row>
    <row r="25" spans="1:12" ht="14.4" thickBot="1" x14ac:dyDescent="0.35">
      <c r="A25" s="26"/>
      <c r="C25" s="118"/>
      <c r="D25" s="118"/>
      <c r="E25" s="119"/>
      <c r="F25" s="119"/>
      <c r="G25" s="120"/>
      <c r="H25" s="27"/>
      <c r="I25" s="27"/>
      <c r="J25" s="121"/>
    </row>
    <row r="26" spans="1:12" ht="40.200000000000003" thickBot="1" x14ac:dyDescent="0.3">
      <c r="A26" s="21" t="s">
        <v>38</v>
      </c>
      <c r="B26" s="22" t="s">
        <v>25</v>
      </c>
      <c r="C26" s="22" t="s">
        <v>38</v>
      </c>
      <c r="D26" s="23" t="s">
        <v>40</v>
      </c>
      <c r="E26" s="23" t="s">
        <v>41</v>
      </c>
      <c r="F26" s="23" t="s">
        <v>42</v>
      </c>
      <c r="G26" s="23" t="s">
        <v>43</v>
      </c>
      <c r="H26" s="24" t="s">
        <v>44</v>
      </c>
      <c r="I26" s="25"/>
    </row>
    <row r="27" spans="1:12" ht="13.8" x14ac:dyDescent="0.3">
      <c r="A27" s="26">
        <v>1</v>
      </c>
      <c r="B27" s="28" t="s">
        <v>110</v>
      </c>
      <c r="C27" s="118">
        <f t="shared" ref="C27:C32" si="6">+A27</f>
        <v>1</v>
      </c>
      <c r="D27" s="119" t="s">
        <v>113</v>
      </c>
      <c r="E27" s="119">
        <v>115</v>
      </c>
      <c r="F27" s="119">
        <f t="shared" ref="F27:F32" si="7">IFERROR(C27*E27,"")</f>
        <v>115</v>
      </c>
      <c r="G27" s="120">
        <f t="shared" ref="G27:G32" si="8">IFERROR(F27/$F$66,"")</f>
        <v>0.51923243525086071</v>
      </c>
      <c r="H27" s="29" t="s">
        <v>112</v>
      </c>
      <c r="I27" s="29"/>
      <c r="J27" s="121"/>
      <c r="K27" s="375"/>
      <c r="L27" s="375"/>
    </row>
    <row r="28" spans="1:12" ht="13.8" x14ac:dyDescent="0.3">
      <c r="A28" s="26">
        <v>1</v>
      </c>
      <c r="B28" s="28" t="str">
        <f>IFERROR(VLOOKUP(H28,'[1]Consolidado MP Planta'!$A$2:$M$823,3,0),"")</f>
        <v>ETIQ.FECHA VENCIMIENTO VERDE (ROLLO)</v>
      </c>
      <c r="C28" s="118">
        <f t="shared" si="6"/>
        <v>1</v>
      </c>
      <c r="D28" s="119" t="str">
        <f>IFERROR(VLOOKUP(H28,'[1]Consolidado MP Planta'!$A$2:$M$823,13,0),"")</f>
        <v>Und</v>
      </c>
      <c r="E28" s="119">
        <f>IFERROR(VLOOKUP(H28,'[1]Consolidado MP Planta'!$A$2:$M$823,12,0),"")</f>
        <v>0.33333333333333331</v>
      </c>
      <c r="F28" s="119">
        <f t="shared" si="7"/>
        <v>0.33333333333333331</v>
      </c>
      <c r="G28" s="120">
        <f t="shared" si="8"/>
        <v>1.5050215514517699E-3</v>
      </c>
      <c r="H28" s="29" t="s">
        <v>28</v>
      </c>
      <c r="I28" s="29"/>
      <c r="J28" s="121"/>
      <c r="K28" s="375"/>
      <c r="L28" s="375"/>
    </row>
    <row r="29" spans="1:12" ht="13.8" x14ac:dyDescent="0.3">
      <c r="A29" s="26">
        <v>1</v>
      </c>
      <c r="B29" s="28" t="str">
        <f>IFERROR(VLOOKUP(H29,'[1]Consolidado MP Planta'!$A$2:$M$823,3,0),"")</f>
        <v>ETIQUETA BLANCA 2 5/8X1 15/16 (UND)</v>
      </c>
      <c r="C29" s="118">
        <f t="shared" si="6"/>
        <v>1</v>
      </c>
      <c r="D29" s="119" t="str">
        <f>IFERROR(VLOOKUP(H29,'[1]Consolidado MP Planta'!$A$2:$M$823,13,0),"")</f>
        <v>Und</v>
      </c>
      <c r="E29" s="119">
        <f>IFERROR(VLOOKUP(H29,'[1]Consolidado MP Planta'!$A$2:$M$823,12,0),"")</f>
        <v>2.1280000000000001</v>
      </c>
      <c r="F29" s="119">
        <f t="shared" si="7"/>
        <v>2.1280000000000001</v>
      </c>
      <c r="G29" s="120">
        <f t="shared" si="8"/>
        <v>9.6080575844681004E-3</v>
      </c>
      <c r="H29" s="29" t="s">
        <v>108</v>
      </c>
      <c r="I29" s="29"/>
      <c r="J29" s="121"/>
      <c r="K29" s="375"/>
      <c r="L29" s="375"/>
    </row>
    <row r="30" spans="1:12" ht="13.8" hidden="1" x14ac:dyDescent="0.3">
      <c r="A30" s="26"/>
      <c r="B30" s="28" t="str">
        <f>IFERROR(VLOOKUP(H30,'[1]Consolidado MP Planta'!$A$2:$M$823,3,0),"")</f>
        <v/>
      </c>
      <c r="C30" s="118">
        <f t="shared" si="6"/>
        <v>0</v>
      </c>
      <c r="D30" s="119" t="str">
        <f>IFERROR(VLOOKUP(H30,'[1]Consolidado MP Planta'!$A$2:$M$823,13,0),"")</f>
        <v/>
      </c>
      <c r="E30" s="119" t="str">
        <f>IFERROR(VLOOKUP(H30,'[1]Consolidado MP Planta'!$A$2:$M$823,12,0),"")</f>
        <v/>
      </c>
      <c r="F30" s="119" t="str">
        <f t="shared" si="7"/>
        <v/>
      </c>
      <c r="G30" s="120" t="str">
        <f t="shared" si="8"/>
        <v/>
      </c>
      <c r="H30" s="29"/>
      <c r="I30" s="29"/>
      <c r="J30" s="121"/>
      <c r="K30" s="375"/>
      <c r="L30" s="375"/>
    </row>
    <row r="31" spans="1:12" ht="13.8" hidden="1" x14ac:dyDescent="0.3">
      <c r="A31" s="26"/>
      <c r="B31" s="28" t="str">
        <f>IFERROR(VLOOKUP(H31,'[1]Consolidado MP Planta'!$A$2:$M$823,3,0),"")</f>
        <v/>
      </c>
      <c r="C31" s="118">
        <f t="shared" si="6"/>
        <v>0</v>
      </c>
      <c r="D31" s="119" t="str">
        <f>IFERROR(VLOOKUP(H31,'[1]Consolidado MP Planta'!$A$2:$M$823,13,0),"")</f>
        <v/>
      </c>
      <c r="E31" s="119" t="str">
        <f>IFERROR(VLOOKUP(H31,'[1]Consolidado MP Planta'!$A$2:$M$823,12,0),"")</f>
        <v/>
      </c>
      <c r="F31" s="119" t="str">
        <f t="shared" si="7"/>
        <v/>
      </c>
      <c r="G31" s="120" t="str">
        <f t="shared" si="8"/>
        <v/>
      </c>
      <c r="H31" s="29"/>
      <c r="I31" s="29"/>
      <c r="J31" s="121"/>
      <c r="K31" s="30"/>
      <c r="L31" s="31"/>
    </row>
    <row r="32" spans="1:12" ht="13.8" hidden="1" x14ac:dyDescent="0.3">
      <c r="A32" s="26"/>
      <c r="B32" s="28" t="str">
        <f>IFERROR(VLOOKUP(H32,'[1]Consolidado MP Planta'!$A$2:$M$823,3,0),"")</f>
        <v/>
      </c>
      <c r="C32" s="118">
        <f t="shared" si="6"/>
        <v>0</v>
      </c>
      <c r="D32" s="119" t="str">
        <f>IFERROR(VLOOKUP(H32,'[1]Consolidado MP Planta'!$A$2:$M$823,13,0),"")</f>
        <v/>
      </c>
      <c r="E32" s="119" t="str">
        <f>IFERROR(VLOOKUP(H32,'[1]Consolidado MP Planta'!$A$2:$M$823,12,0),"")</f>
        <v/>
      </c>
      <c r="F32" s="119" t="str">
        <f t="shared" si="7"/>
        <v/>
      </c>
      <c r="G32" s="120" t="str">
        <f t="shared" si="8"/>
        <v/>
      </c>
      <c r="H32" s="29"/>
      <c r="I32" s="29"/>
      <c r="J32" s="121"/>
    </row>
    <row r="33" spans="1:13" ht="14.4" thickBot="1" x14ac:dyDescent="0.35">
      <c r="A33" s="26"/>
      <c r="B33" s="28"/>
      <c r="C33" s="118"/>
      <c r="D33" s="119"/>
      <c r="E33" s="119"/>
      <c r="F33" s="119"/>
      <c r="G33" s="120"/>
      <c r="H33" s="29"/>
      <c r="I33" s="29"/>
      <c r="J33" s="121"/>
    </row>
    <row r="34" spans="1:13" ht="40.200000000000003" thickBot="1" x14ac:dyDescent="0.3">
      <c r="A34" s="21" t="s">
        <v>38</v>
      </c>
      <c r="B34" s="22" t="s">
        <v>46</v>
      </c>
      <c r="C34" s="22" t="s">
        <v>38</v>
      </c>
      <c r="D34" s="23" t="s">
        <v>40</v>
      </c>
      <c r="E34" s="23" t="s">
        <v>41</v>
      </c>
      <c r="F34" s="23" t="s">
        <v>42</v>
      </c>
      <c r="G34" s="23" t="s">
        <v>43</v>
      </c>
      <c r="H34" s="24" t="s">
        <v>44</v>
      </c>
      <c r="I34" s="29"/>
      <c r="J34" s="121"/>
    </row>
    <row r="35" spans="1:13" ht="13.8" x14ac:dyDescent="0.3">
      <c r="A35" s="26">
        <f>+A17</f>
        <v>70</v>
      </c>
      <c r="B35" s="28" t="str">
        <f>IFERROR(VLOOKUP(H35,[1]SEMIELABORADOS!$A$2:$M$6000,2,0),"")</f>
        <v>CORTE OREJITAS DULCES (KILO)</v>
      </c>
      <c r="C35" s="118">
        <f>+A35</f>
        <v>70</v>
      </c>
      <c r="D35" s="119" t="str">
        <f>IFERROR(VLOOKUP(H35,[1]SEMIELABORADOS!$A$2:$M$6000,6,0),"")</f>
        <v>Gramo</v>
      </c>
      <c r="E35" s="119">
        <f>IFERROR(VLOOKUP(H35,[1]SEMIELABORADOS!$A$2:$M$65536,10,0),"")</f>
        <v>2.4830661681879362E-2</v>
      </c>
      <c r="F35" s="119">
        <f>IFERROR(E35*C35,"")</f>
        <v>1.7381463177315553</v>
      </c>
      <c r="G35" s="120">
        <f>IFERROR(F35/$F$66,"")</f>
        <v>7.8478430032875805E-3</v>
      </c>
      <c r="H35" s="27" t="s">
        <v>104</v>
      </c>
      <c r="I35" s="29"/>
      <c r="J35" s="121"/>
    </row>
    <row r="36" spans="1:13" ht="13.8" hidden="1" x14ac:dyDescent="0.3">
      <c r="A36" s="26">
        <f t="shared" ref="A36:A41" si="9">+A18</f>
        <v>0</v>
      </c>
      <c r="B36" s="28" t="str">
        <f>IFERROR(VLOOKUP(H36,[1]SEMIELABORADOS!$A$2:$M$6000,2,0),"")</f>
        <v/>
      </c>
      <c r="C36" s="118">
        <f t="shared" ref="C36:C41" si="10">+A36</f>
        <v>0</v>
      </c>
      <c r="D36" s="119" t="str">
        <f>IFERROR(VLOOKUP(H36,[1]SEMIELABORADOS!$A$2:$M$6000,6,0),"")</f>
        <v/>
      </c>
      <c r="E36" s="119" t="str">
        <f>IFERROR(VLOOKUP(H36,[1]SEMIELABORADOS!$A$2:$M$65536,10,0),"")</f>
        <v/>
      </c>
      <c r="F36" s="119" t="str">
        <f t="shared" ref="F36:F41" si="11">IFERROR(E36*C36,"")</f>
        <v/>
      </c>
      <c r="G36" s="120" t="str">
        <f t="shared" ref="G36:G41" si="12">IFERROR(F36/$F$66,"")</f>
        <v/>
      </c>
      <c r="H36" s="27"/>
      <c r="I36" s="29"/>
      <c r="J36" s="121"/>
    </row>
    <row r="37" spans="1:13" ht="13.8" hidden="1" x14ac:dyDescent="0.3">
      <c r="A37" s="26">
        <f t="shared" si="9"/>
        <v>0</v>
      </c>
      <c r="B37" s="28" t="str">
        <f>IFERROR(VLOOKUP(H37,[1]SEMIELABORADOS!$A$2:$M$6000,2,0),"")</f>
        <v/>
      </c>
      <c r="C37" s="118">
        <f t="shared" si="10"/>
        <v>0</v>
      </c>
      <c r="D37" s="119" t="str">
        <f>IFERROR(VLOOKUP(H37,[1]SEMIELABORADOS!$A$2:$M$6000,6,0),"")</f>
        <v/>
      </c>
      <c r="E37" s="119" t="str">
        <f>IFERROR(VLOOKUP(H37,[1]SEMIELABORADOS!$A$2:$M$65536,10,0),"")</f>
        <v/>
      </c>
      <c r="F37" s="119" t="str">
        <f t="shared" si="11"/>
        <v/>
      </c>
      <c r="G37" s="120" t="str">
        <f t="shared" si="12"/>
        <v/>
      </c>
      <c r="H37" s="27"/>
      <c r="I37" s="29"/>
      <c r="J37" s="121"/>
    </row>
    <row r="38" spans="1:13" ht="13.8" hidden="1" x14ac:dyDescent="0.3">
      <c r="A38" s="26">
        <f t="shared" si="9"/>
        <v>0</v>
      </c>
      <c r="B38" s="28" t="str">
        <f>IFERROR(VLOOKUP(H38,[1]SEMIELABORADOS!$A$2:$M$6000,2,0),"")</f>
        <v/>
      </c>
      <c r="C38" s="118">
        <f t="shared" si="10"/>
        <v>0</v>
      </c>
      <c r="D38" s="119" t="str">
        <f>IFERROR(VLOOKUP(H38,[1]SEMIELABORADOS!$A$2:$M$6000,6,0),"")</f>
        <v/>
      </c>
      <c r="E38" s="119" t="str">
        <f>IFERROR(VLOOKUP(H38,[1]SEMIELABORADOS!$A$2:$M$65536,10,0),"")</f>
        <v/>
      </c>
      <c r="F38" s="119" t="str">
        <f t="shared" si="11"/>
        <v/>
      </c>
      <c r="G38" s="120" t="str">
        <f t="shared" si="12"/>
        <v/>
      </c>
      <c r="H38" s="27"/>
      <c r="I38" s="29"/>
      <c r="J38" s="121"/>
    </row>
    <row r="39" spans="1:13" ht="13.8" hidden="1" x14ac:dyDescent="0.3">
      <c r="A39" s="26">
        <f t="shared" si="9"/>
        <v>0</v>
      </c>
      <c r="B39" s="28" t="str">
        <f>IFERROR(VLOOKUP(H39,[1]SEMIELABORADOS!$A$2:$M$6000,2,0),"")</f>
        <v/>
      </c>
      <c r="C39" s="118">
        <f t="shared" si="10"/>
        <v>0</v>
      </c>
      <c r="D39" s="119" t="str">
        <f>IFERROR(VLOOKUP(H39,[1]SEMIELABORADOS!$A$2:$M$6000,6,0),"")</f>
        <v/>
      </c>
      <c r="E39" s="119" t="str">
        <f>IFERROR(VLOOKUP(H39,[1]SEMIELABORADOS!$A$2:$M$65536,10,0),"")</f>
        <v/>
      </c>
      <c r="F39" s="119" t="str">
        <f t="shared" si="11"/>
        <v/>
      </c>
      <c r="G39" s="120" t="str">
        <f t="shared" si="12"/>
        <v/>
      </c>
      <c r="H39" s="27"/>
      <c r="I39" s="29"/>
      <c r="J39" s="121"/>
    </row>
    <row r="40" spans="1:13" ht="13.8" hidden="1" x14ac:dyDescent="0.3">
      <c r="A40" s="26">
        <f t="shared" si="9"/>
        <v>0</v>
      </c>
      <c r="B40" s="28" t="str">
        <f>IFERROR(VLOOKUP(H40,[1]SEMIELABORADOS!$A$2:$M$6000,2,0),"")</f>
        <v/>
      </c>
      <c r="C40" s="118">
        <f t="shared" si="10"/>
        <v>0</v>
      </c>
      <c r="D40" s="119" t="str">
        <f>IFERROR(VLOOKUP(H40,[1]SEMIELABORADOS!$A$2:$M$6000,6,0),"")</f>
        <v/>
      </c>
      <c r="E40" s="119" t="str">
        <f>IFERROR(VLOOKUP(H40,[1]SEMIELABORADOS!$A$2:$M$65536,10,0),"")</f>
        <v/>
      </c>
      <c r="F40" s="119" t="str">
        <f t="shared" si="11"/>
        <v/>
      </c>
      <c r="G40" s="120" t="str">
        <f t="shared" si="12"/>
        <v/>
      </c>
      <c r="H40" s="27"/>
      <c r="I40" s="29"/>
      <c r="J40" s="121"/>
    </row>
    <row r="41" spans="1:13" ht="13.8" hidden="1" x14ac:dyDescent="0.3">
      <c r="A41" s="26">
        <f t="shared" si="9"/>
        <v>0</v>
      </c>
      <c r="B41" s="28" t="str">
        <f>IFERROR(VLOOKUP(H41,[1]SEMIELABORADOS!$A$2:$M$6000,2,0),"")</f>
        <v/>
      </c>
      <c r="C41" s="118">
        <f t="shared" si="10"/>
        <v>0</v>
      </c>
      <c r="D41" s="119" t="str">
        <f>IFERROR(VLOOKUP(H41,[1]SEMIELABORADOS!$A$2:$M$6000,6,0),"")</f>
        <v/>
      </c>
      <c r="E41" s="119" t="str">
        <f>IFERROR(VLOOKUP(H41,[1]SEMIELABORADOS!$A$2:$M$65536,10,0),"")</f>
        <v/>
      </c>
      <c r="F41" s="119" t="str">
        <f t="shared" si="11"/>
        <v/>
      </c>
      <c r="G41" s="120" t="str">
        <f t="shared" si="12"/>
        <v/>
      </c>
      <c r="H41" s="29"/>
      <c r="I41" s="29"/>
      <c r="J41" s="121"/>
    </row>
    <row r="42" spans="1:13" ht="14.4" thickBot="1" x14ac:dyDescent="0.35">
      <c r="A42" s="26"/>
      <c r="B42" s="17" t="str">
        <f>IFERROR(VLOOKUP(H42,[1]SEMIELABORADOS!$A$2:$M$6000,2,0),"")</f>
        <v/>
      </c>
      <c r="C42" s="118"/>
      <c r="D42" s="118" t="str">
        <f>IFERROR(VLOOKUP(H42,[1]SEMIELABORADOS!$A$2:$M$6000,6,0),"")</f>
        <v/>
      </c>
      <c r="E42" s="119" t="str">
        <f>IFERROR(VLOOKUP(H42,[1]SEMIELABORADOS!$A$2:$H$65536,8,0),"")</f>
        <v/>
      </c>
      <c r="F42" s="119" t="str">
        <f>IFERROR(E42*C42,"")</f>
        <v/>
      </c>
      <c r="G42" s="120" t="str">
        <f>IFERROR(F42/$F$66,"")</f>
        <v/>
      </c>
      <c r="H42" s="29"/>
      <c r="I42" s="29"/>
      <c r="J42" s="121"/>
    </row>
    <row r="43" spans="1:13" ht="40.200000000000003" thickBot="1" x14ac:dyDescent="0.3">
      <c r="A43" s="21" t="s">
        <v>38</v>
      </c>
      <c r="B43" s="22" t="s">
        <v>48</v>
      </c>
      <c r="C43" s="22" t="s">
        <v>38</v>
      </c>
      <c r="D43" s="23" t="s">
        <v>40</v>
      </c>
      <c r="E43" s="23" t="s">
        <v>41</v>
      </c>
      <c r="F43" s="23" t="s">
        <v>42</v>
      </c>
      <c r="G43" s="23" t="s">
        <v>43</v>
      </c>
      <c r="H43" s="24" t="s">
        <v>44</v>
      </c>
      <c r="I43" s="25"/>
      <c r="J43" s="121"/>
    </row>
    <row r="44" spans="1:13" ht="13.8" x14ac:dyDescent="0.3">
      <c r="A44" s="26">
        <f>+A35</f>
        <v>70</v>
      </c>
      <c r="B44" s="28" t="str">
        <f>IFERROR(VLOOKUP(H44,[1]SEMIELABORADOS!$A$2:$M$6000,2,0),"")</f>
        <v>CORTE OREJITAS DULCES (KILO)</v>
      </c>
      <c r="C44" s="118">
        <f>+A44</f>
        <v>70</v>
      </c>
      <c r="D44" s="119" t="str">
        <f>IFERROR(VLOOKUP(H44,[1]SEMIELABORADOS!$A$2:$M$6000,6,0),"")</f>
        <v>Gramo</v>
      </c>
      <c r="E44" s="119">
        <f>IFERROR(VLOOKUP(H44,[1]SEMIELABORADOS!$A$2:$M$65536,12,0),"")</f>
        <v>0.19299378258245029</v>
      </c>
      <c r="F44" s="119">
        <f>IFERROR(E44*C44,"")</f>
        <v>13.50956478077152</v>
      </c>
      <c r="G44" s="120">
        <f>IFERROR(F44/$F$66,"")</f>
        <v>6.0996558437384836E-2</v>
      </c>
      <c r="H44" s="27" t="s">
        <v>104</v>
      </c>
      <c r="I44" s="25"/>
      <c r="J44" s="121"/>
    </row>
    <row r="45" spans="1:13" ht="13.8" hidden="1" x14ac:dyDescent="0.3">
      <c r="A45" s="26">
        <f t="shared" ref="A45:A50" si="13">+A36</f>
        <v>0</v>
      </c>
      <c r="B45" s="28" t="str">
        <f>IFERROR(VLOOKUP(H45,[1]SEMIELABORADOS!$A$2:$M$6000,2,0),"")</f>
        <v/>
      </c>
      <c r="C45" s="118">
        <f t="shared" ref="C45:C50" si="14">+A45</f>
        <v>0</v>
      </c>
      <c r="D45" s="119" t="str">
        <f>IFERROR(VLOOKUP(H45,[1]SEMIELABORADOS!$A$2:$M$6000,6,0),"")</f>
        <v/>
      </c>
      <c r="E45" s="119" t="str">
        <f>IFERROR(VLOOKUP(H45,[1]SEMIELABORADOS!$A$2:$M$65536,12,0),"")</f>
        <v/>
      </c>
      <c r="F45" s="119" t="str">
        <f t="shared" ref="F45:F50" si="15">IFERROR(E45*C45,"")</f>
        <v/>
      </c>
      <c r="G45" s="120" t="str">
        <f t="shared" ref="G45:G50" si="16">IFERROR(F45/$F$66,"")</f>
        <v/>
      </c>
      <c r="H45" s="27"/>
      <c r="I45" s="25"/>
      <c r="J45" s="121"/>
      <c r="M45" s="139"/>
    </row>
    <row r="46" spans="1:13" ht="13.8" hidden="1" x14ac:dyDescent="0.3">
      <c r="A46" s="26">
        <f t="shared" si="13"/>
        <v>0</v>
      </c>
      <c r="B46" s="28" t="str">
        <f>IFERROR(VLOOKUP(H46,[1]SEMIELABORADOS!$A$2:$M$6000,2,0),"")</f>
        <v/>
      </c>
      <c r="C46" s="118">
        <f t="shared" si="14"/>
        <v>0</v>
      </c>
      <c r="D46" s="119" t="str">
        <f>IFERROR(VLOOKUP(H46,[1]SEMIELABORADOS!$A$2:$M$6000,6,0),"")</f>
        <v/>
      </c>
      <c r="E46" s="119" t="str">
        <f>IFERROR(VLOOKUP(H46,[1]SEMIELABORADOS!$A$2:$M$65536,12,0),"")</f>
        <v/>
      </c>
      <c r="F46" s="119" t="str">
        <f t="shared" si="15"/>
        <v/>
      </c>
      <c r="G46" s="120" t="str">
        <f t="shared" si="16"/>
        <v/>
      </c>
      <c r="H46" s="27"/>
      <c r="I46" s="25"/>
      <c r="J46" s="121"/>
    </row>
    <row r="47" spans="1:13" ht="13.8" hidden="1" x14ac:dyDescent="0.3">
      <c r="A47" s="26">
        <f t="shared" si="13"/>
        <v>0</v>
      </c>
      <c r="B47" s="28" t="str">
        <f>IFERROR(VLOOKUP(H47,[1]SEMIELABORADOS!$A$2:$M$6000,2,0),"")</f>
        <v/>
      </c>
      <c r="C47" s="118">
        <f t="shared" si="14"/>
        <v>0</v>
      </c>
      <c r="D47" s="119" t="str">
        <f>IFERROR(VLOOKUP(H47,[1]SEMIELABORADOS!$A$2:$M$6000,6,0),"")</f>
        <v/>
      </c>
      <c r="E47" s="119" t="str">
        <f>IFERROR(VLOOKUP(H47,[1]SEMIELABORADOS!$A$2:$M$65536,12,0),"")</f>
        <v/>
      </c>
      <c r="F47" s="119" t="str">
        <f t="shared" si="15"/>
        <v/>
      </c>
      <c r="G47" s="120" t="str">
        <f t="shared" si="16"/>
        <v/>
      </c>
      <c r="H47" s="29"/>
      <c r="I47" s="25"/>
      <c r="J47" s="121"/>
    </row>
    <row r="48" spans="1:13" ht="13.8" hidden="1" x14ac:dyDescent="0.3">
      <c r="A48" s="26">
        <f t="shared" si="13"/>
        <v>0</v>
      </c>
      <c r="B48" s="28" t="str">
        <f>IFERROR(VLOOKUP(H48,[1]SEMIELABORADOS!$A$2:$M$6000,2,0),"")</f>
        <v/>
      </c>
      <c r="C48" s="118">
        <f t="shared" si="14"/>
        <v>0</v>
      </c>
      <c r="D48" s="119" t="str">
        <f>IFERROR(VLOOKUP(H48,[1]SEMIELABORADOS!$A$2:$M$6000,6,0),"")</f>
        <v/>
      </c>
      <c r="E48" s="119" t="str">
        <f>IFERROR(VLOOKUP(H48,[1]SEMIELABORADOS!$A$2:$M$65536,12,0),"")</f>
        <v/>
      </c>
      <c r="F48" s="119" t="str">
        <f t="shared" si="15"/>
        <v/>
      </c>
      <c r="G48" s="120" t="str">
        <f t="shared" si="16"/>
        <v/>
      </c>
      <c r="H48" s="29"/>
      <c r="I48" s="25"/>
      <c r="J48" s="121"/>
    </row>
    <row r="49" spans="1:17" ht="13.8" hidden="1" x14ac:dyDescent="0.3">
      <c r="A49" s="26">
        <f t="shared" si="13"/>
        <v>0</v>
      </c>
      <c r="B49" s="28" t="str">
        <f>IFERROR(VLOOKUP(H49,[1]SEMIELABORADOS!$A$2:$M$6000,2,0),"")</f>
        <v/>
      </c>
      <c r="C49" s="118">
        <f t="shared" si="14"/>
        <v>0</v>
      </c>
      <c r="D49" s="119" t="str">
        <f>IFERROR(VLOOKUP(H49,[1]SEMIELABORADOS!$A$2:$M$6000,6,0),"")</f>
        <v/>
      </c>
      <c r="E49" s="119" t="str">
        <f>IFERROR(VLOOKUP(H49,[1]SEMIELABORADOS!$A$2:$M$65536,12,0),"")</f>
        <v/>
      </c>
      <c r="F49" s="119" t="str">
        <f t="shared" si="15"/>
        <v/>
      </c>
      <c r="G49" s="120" t="str">
        <f t="shared" si="16"/>
        <v/>
      </c>
      <c r="H49" s="29"/>
      <c r="I49" s="25"/>
      <c r="J49" s="121"/>
    </row>
    <row r="50" spans="1:17" ht="13.8" hidden="1" x14ac:dyDescent="0.3">
      <c r="A50" s="26">
        <f t="shared" si="13"/>
        <v>0</v>
      </c>
      <c r="B50" s="28" t="str">
        <f>IFERROR(VLOOKUP(H50,[1]SEMIELABORADOS!$A$2:$M$6000,2,0),"")</f>
        <v/>
      </c>
      <c r="C50" s="118">
        <f t="shared" si="14"/>
        <v>0</v>
      </c>
      <c r="D50" s="119" t="str">
        <f>IFERROR(VLOOKUP(H50,[1]SEMIELABORADOS!$A$2:$M$6000,6,0),"")</f>
        <v/>
      </c>
      <c r="E50" s="119" t="str">
        <f>IFERROR(VLOOKUP(H50,[1]SEMIELABORADOS!$A$2:$M$65536,12,0),"")</f>
        <v/>
      </c>
      <c r="F50" s="119" t="str">
        <f t="shared" si="15"/>
        <v/>
      </c>
      <c r="G50" s="120" t="str">
        <f t="shared" si="16"/>
        <v/>
      </c>
      <c r="H50" s="29"/>
      <c r="I50" s="25"/>
      <c r="J50" s="121"/>
    </row>
    <row r="51" spans="1:17" ht="13.8" x14ac:dyDescent="0.3">
      <c r="A51" s="26">
        <v>1</v>
      </c>
      <c r="B51" s="28" t="s">
        <v>49</v>
      </c>
      <c r="C51" s="118">
        <f>+A51</f>
        <v>1</v>
      </c>
      <c r="D51" s="118" t="s">
        <v>47</v>
      </c>
      <c r="E51" s="119">
        <f>+F65</f>
        <v>27.5</v>
      </c>
      <c r="F51" s="119">
        <f>IFERROR(C51*E51,"")</f>
        <v>27.5</v>
      </c>
      <c r="G51" s="120">
        <f>IFERROR(F51/$F$66,"")</f>
        <v>0.12416427799477103</v>
      </c>
      <c r="H51" s="33"/>
      <c r="I51" s="33"/>
      <c r="J51" s="121"/>
    </row>
    <row r="52" spans="1:17" ht="14.4" thickBot="1" x14ac:dyDescent="0.35">
      <c r="A52" s="26"/>
      <c r="B52" s="28"/>
      <c r="C52" s="118"/>
      <c r="D52" s="118"/>
      <c r="E52" s="119"/>
      <c r="F52" s="119"/>
      <c r="G52" s="120"/>
      <c r="H52" s="33"/>
      <c r="I52" s="33"/>
      <c r="J52" s="121"/>
    </row>
    <row r="53" spans="1:17" ht="13.8" thickBot="1" x14ac:dyDescent="0.3">
      <c r="A53" s="34"/>
      <c r="B53" s="376" t="s">
        <v>50</v>
      </c>
      <c r="C53" s="376"/>
      <c r="D53" s="376"/>
      <c r="E53" s="376"/>
      <c r="F53" s="122">
        <f>SUM(F8:F14,F17:F24)</f>
        <v>73.314991353221345</v>
      </c>
      <c r="G53" s="120">
        <f>+F53/$F$66</f>
        <v>0.33102192609329489</v>
      </c>
      <c r="H53" s="123">
        <f>+F53/$D$60</f>
        <v>73.314991353221345</v>
      </c>
      <c r="I53" s="123"/>
      <c r="J53" s="36"/>
      <c r="K53" s="37"/>
      <c r="L53" s="37"/>
      <c r="M53" s="37"/>
      <c r="N53" s="37"/>
      <c r="O53" s="37"/>
      <c r="P53" s="37"/>
      <c r="Q53" s="38"/>
    </row>
    <row r="54" spans="1:17" x14ac:dyDescent="0.25">
      <c r="A54" s="34"/>
      <c r="B54" s="376" t="s">
        <v>51</v>
      </c>
      <c r="C54" s="376"/>
      <c r="D54" s="376"/>
      <c r="E54" s="376"/>
      <c r="F54" s="122">
        <f>SUM(F27:F32,F35:F41)</f>
        <v>119.19947965106488</v>
      </c>
      <c r="G54" s="120">
        <f>+F54/$F$66</f>
        <v>0.53819335739006813</v>
      </c>
      <c r="H54" s="123">
        <f>+F54/$D$60</f>
        <v>119.19947965106488</v>
      </c>
      <c r="I54" s="123"/>
      <c r="J54" s="39"/>
      <c r="K54" s="377" t="s">
        <v>52</v>
      </c>
      <c r="L54" s="378"/>
      <c r="M54" s="378"/>
      <c r="N54" s="378"/>
      <c r="O54" s="124">
        <f>+F55</f>
        <v>192.51447100428624</v>
      </c>
      <c r="P54" s="124"/>
      <c r="Q54" s="40"/>
    </row>
    <row r="55" spans="1:17" x14ac:dyDescent="0.25">
      <c r="A55" s="34"/>
      <c r="B55" s="376" t="s">
        <v>53</v>
      </c>
      <c r="C55" s="376"/>
      <c r="D55" s="376"/>
      <c r="E55" s="376"/>
      <c r="F55" s="122">
        <f>+F53+F54</f>
        <v>192.51447100428624</v>
      </c>
      <c r="G55" s="120">
        <f>+F55/$F$66</f>
        <v>0.86921528348336308</v>
      </c>
      <c r="H55" s="123">
        <f>+F55/$D$60</f>
        <v>192.51447100428624</v>
      </c>
      <c r="I55" s="123"/>
      <c r="J55" s="41"/>
      <c r="K55" s="42"/>
      <c r="L55" s="150" t="s">
        <v>54</v>
      </c>
      <c r="M55" s="150"/>
      <c r="N55" s="151">
        <v>0.22</v>
      </c>
      <c r="O55" s="124">
        <f>+O54*N55</f>
        <v>42.353183620942971</v>
      </c>
      <c r="P55" s="124"/>
      <c r="Q55" s="40"/>
    </row>
    <row r="56" spans="1:17" ht="13.8" thickBot="1" x14ac:dyDescent="0.3">
      <c r="A56" s="34"/>
      <c r="B56" s="35"/>
      <c r="C56" s="376" t="s">
        <v>55</v>
      </c>
      <c r="D56" s="376"/>
      <c r="E56" s="376"/>
      <c r="F56" s="122">
        <f>SUM(F44:F51)</f>
        <v>41.00956478077152</v>
      </c>
      <c r="G56" s="120">
        <f>+F56/$F$66</f>
        <v>0.18516083643215586</v>
      </c>
      <c r="H56" s="123">
        <f>+F56/$D$60</f>
        <v>41.00956478077152</v>
      </c>
      <c r="I56" s="123"/>
      <c r="J56" s="41"/>
      <c r="K56" s="42"/>
      <c r="L56" s="42"/>
      <c r="M56" s="42" t="s">
        <v>56</v>
      </c>
      <c r="N56" s="125"/>
      <c r="O56" s="124">
        <f>O54*N56</f>
        <v>0</v>
      </c>
      <c r="P56" s="124"/>
      <c r="Q56" s="40"/>
    </row>
    <row r="57" spans="1:17" ht="13.8" thickBot="1" x14ac:dyDescent="0.25">
      <c r="A57" s="34"/>
      <c r="B57" s="43"/>
      <c r="C57" s="43"/>
      <c r="D57" s="43"/>
      <c r="E57" s="43"/>
      <c r="F57" s="126"/>
      <c r="G57" s="120"/>
      <c r="H57" s="44"/>
      <c r="I57" s="123"/>
      <c r="J57" s="41"/>
      <c r="K57" s="45"/>
      <c r="M57" s="46" t="s">
        <v>57</v>
      </c>
      <c r="N57" s="47"/>
      <c r="O57" s="48">
        <f>SUM(O54:O56)</f>
        <v>234.86765462522919</v>
      </c>
      <c r="P57" s="127"/>
      <c r="Q57" s="40"/>
    </row>
    <row r="58" spans="1:17" x14ac:dyDescent="0.25">
      <c r="B58" s="379" t="s">
        <v>58</v>
      </c>
      <c r="C58" s="379"/>
      <c r="D58" s="128">
        <v>70</v>
      </c>
      <c r="E58" s="49"/>
      <c r="G58" s="120"/>
      <c r="H58" s="44"/>
      <c r="I58" s="129"/>
      <c r="J58" s="41"/>
      <c r="K58" s="45"/>
      <c r="L58" s="42"/>
      <c r="M58" s="42" t="s">
        <v>111</v>
      </c>
      <c r="N58" s="130">
        <v>0.2</v>
      </c>
      <c r="O58" s="124">
        <f>+O54*N58</f>
        <v>38.502894200857249</v>
      </c>
      <c r="P58" s="124"/>
      <c r="Q58" s="40"/>
    </row>
    <row r="59" spans="1:17" x14ac:dyDescent="0.25">
      <c r="B59" s="379" t="s">
        <v>59</v>
      </c>
      <c r="C59" s="379"/>
      <c r="D59" s="50">
        <v>70</v>
      </c>
      <c r="E59" s="49"/>
      <c r="G59" s="120"/>
      <c r="H59" s="44"/>
      <c r="I59" s="129"/>
      <c r="J59" s="41"/>
      <c r="K59" s="45"/>
      <c r="L59" s="42"/>
      <c r="M59" s="380" t="s">
        <v>57</v>
      </c>
      <c r="N59" s="380"/>
      <c r="O59" s="124">
        <f>SUM(O57:O58)</f>
        <v>273.37054882608646</v>
      </c>
      <c r="P59" s="124"/>
      <c r="Q59" s="40"/>
    </row>
    <row r="60" spans="1:17" ht="13.8" thickBot="1" x14ac:dyDescent="0.3">
      <c r="B60" s="371" t="s">
        <v>60</v>
      </c>
      <c r="C60" s="371"/>
      <c r="D60" s="128">
        <f>+D58/D59</f>
        <v>1</v>
      </c>
      <c r="E60" s="49"/>
      <c r="F60" s="51"/>
      <c r="G60" s="120"/>
      <c r="H60" s="44"/>
      <c r="I60" s="129"/>
      <c r="J60" s="41"/>
      <c r="K60" s="45"/>
      <c r="L60" s="380"/>
      <c r="M60" s="380"/>
      <c r="N60" s="130"/>
      <c r="O60" s="124">
        <f>+O59*N60</f>
        <v>0</v>
      </c>
      <c r="P60" s="124"/>
      <c r="Q60" s="40"/>
    </row>
    <row r="61" spans="1:17" ht="13.8" thickBot="1" x14ac:dyDescent="0.25">
      <c r="B61" s="371" t="s">
        <v>61</v>
      </c>
      <c r="C61" s="371"/>
      <c r="D61" s="52"/>
      <c r="E61" s="49"/>
      <c r="F61" s="51"/>
      <c r="G61" s="120"/>
      <c r="H61" s="44"/>
      <c r="I61" s="129"/>
      <c r="J61" s="41"/>
      <c r="K61" s="372" t="s">
        <v>62</v>
      </c>
      <c r="L61" s="373"/>
      <c r="M61" s="373"/>
      <c r="N61" s="374"/>
      <c r="O61" s="48">
        <f>SUM(O59:O60)</f>
        <v>273.37054882608646</v>
      </c>
      <c r="P61" s="53" t="s">
        <v>63</v>
      </c>
      <c r="Q61" s="40"/>
    </row>
    <row r="62" spans="1:17" ht="13.8" thickBot="1" x14ac:dyDescent="0.25">
      <c r="C62" s="34" t="s">
        <v>64</v>
      </c>
      <c r="D62" s="54"/>
      <c r="E62" s="15" t="s">
        <v>65</v>
      </c>
      <c r="F62" s="55" t="s">
        <v>66</v>
      </c>
      <c r="G62" s="120"/>
      <c r="H62" s="44"/>
      <c r="I62" s="129"/>
      <c r="J62" s="56"/>
      <c r="K62" s="57"/>
      <c r="L62" s="360" t="s">
        <v>67</v>
      </c>
      <c r="M62" s="360"/>
      <c r="N62" s="360"/>
      <c r="O62" s="131">
        <f>+O61/D60</f>
        <v>273.37054882608646</v>
      </c>
      <c r="P62" s="132">
        <f>+O62/D59</f>
        <v>3.9052935546583782</v>
      </c>
      <c r="Q62" s="58"/>
    </row>
    <row r="63" spans="1:17" ht="13.8" thickBot="1" x14ac:dyDescent="0.25">
      <c r="B63" s="361" t="s">
        <v>53</v>
      </c>
      <c r="C63" s="361"/>
      <c r="D63" s="361"/>
      <c r="E63" s="133">
        <f>+F63/F63</f>
        <v>1</v>
      </c>
      <c r="F63" s="134">
        <f>SUM(F55)</f>
        <v>192.51447100428624</v>
      </c>
      <c r="G63" s="120">
        <f>+F63/$F$66</f>
        <v>0.86921528348336308</v>
      </c>
      <c r="H63" s="44"/>
      <c r="I63" s="129"/>
      <c r="K63" s="362"/>
      <c r="L63" s="363"/>
      <c r="M63" s="363"/>
      <c r="N63" s="363"/>
      <c r="O63" s="59"/>
      <c r="P63" s="60"/>
    </row>
    <row r="64" spans="1:17" ht="13.8" thickBot="1" x14ac:dyDescent="0.3">
      <c r="B64" s="364" t="s">
        <v>68</v>
      </c>
      <c r="C64" s="364"/>
      <c r="D64" s="364"/>
      <c r="E64" s="135">
        <v>0.02</v>
      </c>
      <c r="F64" s="134">
        <f>+F53*E64</f>
        <v>1.466299827064427</v>
      </c>
      <c r="G64" s="120">
        <f>+F64/$F$66</f>
        <v>6.6204385218658979E-3</v>
      </c>
      <c r="H64" s="123"/>
      <c r="I64" s="129"/>
      <c r="J64" s="136"/>
      <c r="O64" s="61"/>
      <c r="P64" s="35"/>
    </row>
    <row r="65" spans="2:10" ht="13.8" thickBot="1" x14ac:dyDescent="0.3">
      <c r="B65" s="365" t="s">
        <v>69</v>
      </c>
      <c r="C65" s="366"/>
      <c r="D65" s="62">
        <v>0.5</v>
      </c>
      <c r="E65" s="137">
        <v>55</v>
      </c>
      <c r="F65" s="134">
        <f>+E65*D65</f>
        <v>27.5</v>
      </c>
      <c r="G65" s="120">
        <f>+F65/$F$66</f>
        <v>0.12416427799477103</v>
      </c>
      <c r="H65" s="123"/>
      <c r="I65" s="123"/>
      <c r="J65" s="121"/>
    </row>
    <row r="66" spans="2:10" ht="13.8" thickBot="1" x14ac:dyDescent="0.3">
      <c r="B66" s="367" t="s">
        <v>70</v>
      </c>
      <c r="C66" s="368"/>
      <c r="D66" s="368"/>
      <c r="E66" s="369"/>
      <c r="F66" s="126">
        <f>SUM(F63:F65)</f>
        <v>221.48077083135067</v>
      </c>
      <c r="G66" s="120">
        <f>+F66/$F$66</f>
        <v>1</v>
      </c>
      <c r="H66" s="370"/>
      <c r="I66" s="123"/>
      <c r="J66" s="121"/>
    </row>
    <row r="67" spans="2:10" x14ac:dyDescent="0.25">
      <c r="C67" s="139"/>
      <c r="D67" s="139"/>
      <c r="E67" s="140"/>
      <c r="F67" s="134"/>
      <c r="G67" s="120"/>
      <c r="H67" s="370"/>
      <c r="I67" s="138"/>
      <c r="J67" s="17"/>
    </row>
    <row r="68" spans="2:10" ht="13.8" thickBot="1" x14ac:dyDescent="0.3">
      <c r="B68" s="355" t="s">
        <v>71</v>
      </c>
      <c r="C68" s="355"/>
      <c r="D68" s="355"/>
      <c r="E68" s="355"/>
      <c r="F68" s="355"/>
      <c r="G68" s="120"/>
      <c r="H68" s="64"/>
      <c r="I68" s="138"/>
      <c r="J68" s="17"/>
    </row>
    <row r="69" spans="2:10" ht="13.8" thickBot="1" x14ac:dyDescent="0.3">
      <c r="B69" s="65" t="s">
        <v>72</v>
      </c>
      <c r="C69" s="141">
        <f>+F53</f>
        <v>73.314991353221345</v>
      </c>
      <c r="D69" s="141">
        <f>+D58</f>
        <v>70</v>
      </c>
      <c r="E69" s="66">
        <f>+C69/D69</f>
        <v>1.0473570193317334</v>
      </c>
      <c r="F69" s="120"/>
      <c r="G69" s="64"/>
      <c r="H69" s="121"/>
      <c r="I69" s="64"/>
      <c r="J69" s="17"/>
    </row>
    <row r="70" spans="2:10" x14ac:dyDescent="0.25">
      <c r="B70" s="67"/>
      <c r="C70" s="142"/>
      <c r="D70" s="143"/>
      <c r="E70" s="134"/>
      <c r="F70" s="120"/>
      <c r="G70" s="64"/>
      <c r="H70" s="121"/>
      <c r="I70" s="121"/>
      <c r="J70" s="17"/>
    </row>
    <row r="71" spans="2:10" x14ac:dyDescent="0.25">
      <c r="B71" s="65" t="s">
        <v>73</v>
      </c>
      <c r="C71" s="141">
        <f>SUM(F63:F64)</f>
        <v>193.98077083135067</v>
      </c>
      <c r="D71" s="141">
        <f>+D58</f>
        <v>70</v>
      </c>
      <c r="E71" s="144">
        <f>+C71/D71</f>
        <v>2.7711538690192952</v>
      </c>
      <c r="F71" s="120"/>
      <c r="G71" s="64"/>
      <c r="H71" s="121"/>
      <c r="I71" s="121"/>
      <c r="J71" s="17"/>
    </row>
    <row r="72" spans="2:10" x14ac:dyDescent="0.25">
      <c r="B72" s="65"/>
      <c r="C72" s="141"/>
      <c r="D72" s="141"/>
      <c r="E72" s="144"/>
      <c r="F72" s="120"/>
      <c r="G72" s="64"/>
      <c r="H72" s="121"/>
      <c r="I72" s="121"/>
      <c r="J72" s="17"/>
    </row>
    <row r="73" spans="2:10" ht="13.8" thickBot="1" x14ac:dyDescent="0.3">
      <c r="B73" s="65" t="s">
        <v>74</v>
      </c>
      <c r="C73" s="141">
        <f>+F65</f>
        <v>27.5</v>
      </c>
      <c r="D73" s="141">
        <f>+D58</f>
        <v>70</v>
      </c>
      <c r="E73" s="144">
        <f>+C73/D73</f>
        <v>0.39285714285714285</v>
      </c>
      <c r="F73" s="120"/>
      <c r="G73" s="64"/>
      <c r="H73" s="121"/>
      <c r="I73" s="121"/>
      <c r="J73" s="17"/>
    </row>
    <row r="74" spans="2:10" ht="13.8" thickBot="1" x14ac:dyDescent="0.3">
      <c r="B74" s="65" t="s">
        <v>75</v>
      </c>
      <c r="C74" s="141">
        <f>+F56</f>
        <v>41.00956478077152</v>
      </c>
      <c r="D74" s="141">
        <f>+D73</f>
        <v>70</v>
      </c>
      <c r="E74" s="66">
        <f>+C74/D74</f>
        <v>0.58585092543959316</v>
      </c>
      <c r="F74" s="120"/>
      <c r="G74" s="64"/>
      <c r="H74" s="121"/>
      <c r="I74" s="121"/>
      <c r="J74" s="17"/>
    </row>
    <row r="75" spans="2:10" ht="13.8" thickBot="1" x14ac:dyDescent="0.3">
      <c r="B75" s="43"/>
      <c r="C75" s="126"/>
      <c r="D75" s="126"/>
      <c r="E75" s="144"/>
      <c r="F75" s="120"/>
      <c r="G75" s="64"/>
      <c r="H75" s="121"/>
      <c r="I75" s="121"/>
      <c r="J75" s="17"/>
    </row>
    <row r="76" spans="2:10" ht="13.8" thickBot="1" x14ac:dyDescent="0.3">
      <c r="B76" s="65" t="s">
        <v>76</v>
      </c>
      <c r="C76" s="141">
        <f>+F54</f>
        <v>119.19947965106488</v>
      </c>
      <c r="D76" s="141">
        <f>+D74</f>
        <v>70</v>
      </c>
      <c r="E76" s="66">
        <f>+C76/D76</f>
        <v>1.7028497093009267</v>
      </c>
      <c r="F76" s="120"/>
      <c r="G76" s="64"/>
      <c r="H76" s="121"/>
      <c r="I76" s="121"/>
      <c r="J76" s="121"/>
    </row>
    <row r="77" spans="2:10" ht="13.8" thickBot="1" x14ac:dyDescent="0.3">
      <c r="B77" s="43"/>
      <c r="C77" s="126"/>
      <c r="D77" s="126"/>
      <c r="E77" s="144"/>
      <c r="F77" s="120"/>
      <c r="G77" s="64"/>
      <c r="H77" s="121"/>
      <c r="I77" s="121"/>
    </row>
    <row r="78" spans="2:10" ht="13.8" thickBot="1" x14ac:dyDescent="0.3">
      <c r="B78" s="356" t="s">
        <v>77</v>
      </c>
      <c r="C78" s="357"/>
      <c r="D78" s="358"/>
      <c r="E78" s="66">
        <f>+E69+E74</f>
        <v>1.6332079447713266</v>
      </c>
      <c r="G78" s="120"/>
      <c r="H78" s="64"/>
      <c r="I78" s="121"/>
      <c r="J78" s="144"/>
    </row>
    <row r="79" spans="2:10" x14ac:dyDescent="0.25">
      <c r="I79" s="64"/>
      <c r="J79" s="17"/>
    </row>
    <row r="80" spans="2:10" ht="13.8" thickBot="1" x14ac:dyDescent="0.3">
      <c r="B80" s="355" t="s">
        <v>78</v>
      </c>
      <c r="C80" s="355"/>
      <c r="D80" s="355"/>
      <c r="E80" s="355"/>
      <c r="F80" s="355"/>
      <c r="G80" s="120"/>
      <c r="H80" s="64"/>
      <c r="J80" s="17"/>
    </row>
    <row r="81" spans="1:10" ht="13.8" thickBot="1" x14ac:dyDescent="0.3">
      <c r="B81" s="65" t="s">
        <v>72</v>
      </c>
      <c r="C81" s="141">
        <f>+C69</f>
        <v>73.314991353221345</v>
      </c>
      <c r="D81" s="141">
        <f>+D60</f>
        <v>1</v>
      </c>
      <c r="E81" s="66">
        <f>+C81/D81</f>
        <v>73.314991353221345</v>
      </c>
      <c r="F81" s="120"/>
      <c r="G81" s="64"/>
      <c r="H81" s="121"/>
      <c r="I81" s="64"/>
      <c r="J81" s="17"/>
    </row>
    <row r="82" spans="1:10" x14ac:dyDescent="0.25">
      <c r="B82" s="67"/>
      <c r="C82" s="142"/>
      <c r="D82" s="143"/>
      <c r="E82" s="134"/>
      <c r="F82" s="120"/>
      <c r="G82" s="64"/>
      <c r="H82" s="121"/>
      <c r="I82" s="121"/>
      <c r="J82" s="17"/>
    </row>
    <row r="83" spans="1:10" x14ac:dyDescent="0.25">
      <c r="B83" s="65" t="s">
        <v>73</v>
      </c>
      <c r="C83" s="141">
        <f>+C71</f>
        <v>193.98077083135067</v>
      </c>
      <c r="D83" s="141">
        <f>+D60</f>
        <v>1</v>
      </c>
      <c r="E83" s="144">
        <f>+C83/D83</f>
        <v>193.98077083135067</v>
      </c>
      <c r="F83" s="120"/>
      <c r="G83" s="64"/>
      <c r="H83" s="121"/>
      <c r="I83" s="121"/>
      <c r="J83" s="17"/>
    </row>
    <row r="84" spans="1:10" x14ac:dyDescent="0.25">
      <c r="B84" s="65"/>
      <c r="C84" s="141"/>
      <c r="D84" s="141"/>
      <c r="E84" s="144"/>
      <c r="F84" s="120"/>
      <c r="G84" s="64"/>
      <c r="H84" s="121"/>
      <c r="I84" s="121"/>
      <c r="J84" s="17"/>
    </row>
    <row r="85" spans="1:10" ht="13.8" thickBot="1" x14ac:dyDescent="0.3">
      <c r="B85" s="65" t="s">
        <v>75</v>
      </c>
      <c r="C85" s="141">
        <f>+C73</f>
        <v>27.5</v>
      </c>
      <c r="D85" s="141">
        <f>+D60</f>
        <v>1</v>
      </c>
      <c r="E85" s="144">
        <f>+C85/D85</f>
        <v>27.5</v>
      </c>
      <c r="F85" s="146"/>
      <c r="G85" s="63"/>
      <c r="H85" s="16"/>
      <c r="I85" s="121"/>
    </row>
    <row r="86" spans="1:10" ht="13.8" thickBot="1" x14ac:dyDescent="0.3">
      <c r="B86" s="65" t="s">
        <v>75</v>
      </c>
      <c r="C86" s="141">
        <f>+C74</f>
        <v>41.00956478077152</v>
      </c>
      <c r="D86" s="141">
        <f>+D85</f>
        <v>1</v>
      </c>
      <c r="E86" s="66">
        <f>+C86/D86</f>
        <v>41.00956478077152</v>
      </c>
      <c r="F86" s="145"/>
      <c r="G86" s="63"/>
      <c r="H86" s="16"/>
      <c r="I86" s="16"/>
    </row>
    <row r="87" spans="1:10" x14ac:dyDescent="0.25">
      <c r="I87" s="16"/>
    </row>
    <row r="88" spans="1:10" x14ac:dyDescent="0.25">
      <c r="A88" s="359"/>
      <c r="B88" s="359"/>
      <c r="C88" s="68"/>
      <c r="D88" s="68"/>
      <c r="E88" s="147"/>
      <c r="G88" s="148"/>
    </row>
    <row r="89" spans="1:10" x14ac:dyDescent="0.25">
      <c r="A89" s="28"/>
      <c r="B89" s="69"/>
      <c r="C89" s="149"/>
      <c r="D89" s="149"/>
      <c r="E89" s="70"/>
      <c r="G89" s="148"/>
    </row>
    <row r="90" spans="1:10" x14ac:dyDescent="0.25">
      <c r="A90" s="28"/>
      <c r="B90" s="69"/>
      <c r="C90" s="71"/>
      <c r="D90" s="71"/>
      <c r="E90" s="28"/>
      <c r="G90" s="148"/>
    </row>
    <row r="91" spans="1:10" x14ac:dyDescent="0.25">
      <c r="A91" s="28"/>
      <c r="B91" s="69"/>
      <c r="C91" s="72"/>
      <c r="D91" s="72"/>
      <c r="E91" s="28"/>
      <c r="G91" s="14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5"/>
  <sheetViews>
    <sheetView workbookViewId="0">
      <selection activeCell="B40" sqref="B40:F40"/>
    </sheetView>
  </sheetViews>
  <sheetFormatPr baseColWidth="10" defaultColWidth="8.44140625" defaultRowHeight="10.199999999999999" x14ac:dyDescent="0.2"/>
  <cols>
    <col min="1" max="1" width="5" style="73" customWidth="1"/>
    <col min="2" max="2" width="10" style="73" bestFit="1" customWidth="1"/>
    <col min="3" max="3" width="39.21875" style="73" customWidth="1"/>
    <col min="4" max="4" width="10" style="73" bestFit="1" customWidth="1"/>
    <col min="5" max="5" width="10" style="73" customWidth="1"/>
    <col min="6" max="6" width="10.21875" style="73" bestFit="1" customWidth="1"/>
    <col min="7" max="7" width="11.5546875" style="74" customWidth="1"/>
    <col min="8" max="8" width="10.44140625" style="152" bestFit="1" customWidth="1"/>
    <col min="9" max="9" width="11.5546875" style="76" bestFit="1" customWidth="1"/>
    <col min="10" max="10" width="11.77734375" style="75" customWidth="1"/>
    <col min="11" max="11" width="9" style="73" bestFit="1" customWidth="1"/>
    <col min="12" max="16384" width="8.44140625" style="73"/>
  </cols>
  <sheetData>
    <row r="1" spans="2:11" x14ac:dyDescent="0.2">
      <c r="H1" s="388" t="s">
        <v>79</v>
      </c>
      <c r="I1" s="390">
        <f>+G51</f>
        <v>280.20481254673865</v>
      </c>
    </row>
    <row r="2" spans="2:11" ht="19.5" customHeight="1" thickBot="1" x14ac:dyDescent="0.25">
      <c r="H2" s="389"/>
      <c r="I2" s="391"/>
    </row>
    <row r="3" spans="2:11" ht="10.8" thickBot="1" x14ac:dyDescent="0.25"/>
    <row r="4" spans="2:11" ht="36" customHeight="1" thickBot="1" x14ac:dyDescent="0.4">
      <c r="B4" s="392"/>
      <c r="C4" s="393"/>
      <c r="D4" s="393"/>
      <c r="E4" s="393"/>
      <c r="F4" s="393"/>
      <c r="G4" s="393"/>
      <c r="H4" s="393"/>
      <c r="I4" s="394"/>
    </row>
    <row r="5" spans="2:11" ht="19.5" customHeight="1" thickBot="1" x14ac:dyDescent="0.25">
      <c r="B5" s="395" t="s">
        <v>80</v>
      </c>
      <c r="C5" s="395"/>
      <c r="D5" s="395"/>
      <c r="E5" s="395"/>
      <c r="F5" s="395"/>
      <c r="G5" s="395"/>
      <c r="H5" s="395"/>
      <c r="I5" s="395"/>
    </row>
    <row r="6" spans="2:11" ht="19.5" customHeight="1" thickTop="1" x14ac:dyDescent="0.2">
      <c r="B6" s="396" t="s">
        <v>81</v>
      </c>
      <c r="C6" s="396"/>
      <c r="D6" s="396"/>
      <c r="E6" s="396"/>
      <c r="F6" s="396"/>
      <c r="G6" s="396"/>
      <c r="H6" s="396"/>
      <c r="I6" s="396"/>
    </row>
    <row r="7" spans="2:11" ht="19.5" customHeight="1" thickBot="1" x14ac:dyDescent="0.25">
      <c r="B7" s="77"/>
      <c r="C7" s="77"/>
      <c r="D7" s="77"/>
      <c r="E7" s="77"/>
      <c r="F7" s="77"/>
      <c r="G7" s="397" t="s">
        <v>37</v>
      </c>
      <c r="H7" s="397"/>
      <c r="I7" s="20">
        <f ca="1">TODAY()</f>
        <v>45922</v>
      </c>
    </row>
    <row r="8" spans="2:11" ht="27" thickBot="1" x14ac:dyDescent="0.25">
      <c r="B8" s="21" t="s">
        <v>38</v>
      </c>
      <c r="C8" s="22" t="s">
        <v>82</v>
      </c>
      <c r="D8" s="22" t="s">
        <v>38</v>
      </c>
      <c r="E8" s="23" t="s">
        <v>40</v>
      </c>
      <c r="F8" s="23" t="s">
        <v>41</v>
      </c>
      <c r="G8" s="23" t="s">
        <v>42</v>
      </c>
      <c r="H8" s="23" t="s">
        <v>43</v>
      </c>
      <c r="I8" s="24" t="s">
        <v>44</v>
      </c>
    </row>
    <row r="9" spans="2:11" s="78" customFormat="1" ht="13.8" x14ac:dyDescent="0.3">
      <c r="B9" s="26">
        <v>1</v>
      </c>
      <c r="C9" s="28" t="s">
        <v>114</v>
      </c>
      <c r="D9" s="118">
        <f t="shared" ref="D9:D14" si="0">+B9</f>
        <v>1</v>
      </c>
      <c r="E9" s="79" t="s">
        <v>102</v>
      </c>
      <c r="F9" s="119">
        <f>+COSTO!O62</f>
        <v>273.37054882608646</v>
      </c>
      <c r="G9" s="119">
        <f t="shared" ref="G9:G14" si="1">IFERROR(D9*F9,"")</f>
        <v>273.37054882608646</v>
      </c>
      <c r="H9" s="153">
        <f t="shared" ref="H9:H14" si="2">IFERROR(G9/$G$53,"")</f>
        <v>0.22955523672883785</v>
      </c>
      <c r="I9" s="29"/>
    </row>
    <row r="10" spans="2:11" s="78" customFormat="1" ht="13.8" hidden="1" x14ac:dyDescent="0.3">
      <c r="B10" s="26"/>
      <c r="C10" s="28" t="e">
        <f>VLOOKUP(I10,'[1]COMPRAS LOCALES'!$A$2:$F$380,2,0)</f>
        <v>#N/A</v>
      </c>
      <c r="D10" s="118">
        <f t="shared" si="0"/>
        <v>0</v>
      </c>
      <c r="E10" s="79" t="e">
        <f>VLOOKUP(I10,'[1]COMPRAS LOCALES'!$A$2:$F$380,5,0)</f>
        <v>#N/A</v>
      </c>
      <c r="F10" s="119" t="e">
        <f>VLOOKUP(I10,'[1]COMPRAS LOCALES'!$A$2:$F$380,6,0)</f>
        <v>#N/A</v>
      </c>
      <c r="G10" s="119" t="str">
        <f t="shared" si="1"/>
        <v/>
      </c>
      <c r="H10" s="153" t="str">
        <f t="shared" si="2"/>
        <v/>
      </c>
      <c r="I10" s="29"/>
      <c r="K10" s="154"/>
    </row>
    <row r="11" spans="2:11" s="78" customFormat="1" ht="13.8" hidden="1" x14ac:dyDescent="0.3">
      <c r="B11" s="26"/>
      <c r="C11" s="28" t="e">
        <f>VLOOKUP(I11,'[1]COMPRAS LOCALES'!$A$2:$F$380,2,0)</f>
        <v>#N/A</v>
      </c>
      <c r="D11" s="118">
        <f t="shared" si="0"/>
        <v>0</v>
      </c>
      <c r="E11" s="79" t="e">
        <f>VLOOKUP(I11,'[1]COMPRAS LOCALES'!$A$2:$F$380,5,0)</f>
        <v>#N/A</v>
      </c>
      <c r="F11" s="119" t="e">
        <f>VLOOKUP(I11,'[1]COMPRAS LOCALES'!$A$2:$F$380,6,0)</f>
        <v>#N/A</v>
      </c>
      <c r="G11" s="119" t="str">
        <f t="shared" si="1"/>
        <v/>
      </c>
      <c r="H11" s="153" t="str">
        <f t="shared" si="2"/>
        <v/>
      </c>
      <c r="I11" s="29"/>
    </row>
    <row r="12" spans="2:11" s="78" customFormat="1" ht="13.8" hidden="1" x14ac:dyDescent="0.3">
      <c r="B12" s="26"/>
      <c r="C12" s="28" t="e">
        <f>VLOOKUP(I12,'[1]COMPRAS LOCALES'!$A$2:$F$380,2,0)</f>
        <v>#N/A</v>
      </c>
      <c r="D12" s="118">
        <f t="shared" si="0"/>
        <v>0</v>
      </c>
      <c r="E12" s="79" t="e">
        <f>VLOOKUP(I12,'[1]COMPRAS LOCALES'!$A$2:$F$380,5,0)</f>
        <v>#N/A</v>
      </c>
      <c r="F12" s="119" t="e">
        <f>VLOOKUP(I12,'[1]COMPRAS LOCALES'!$A$2:$F$380,6,0)</f>
        <v>#N/A</v>
      </c>
      <c r="G12" s="119" t="str">
        <f t="shared" si="1"/>
        <v/>
      </c>
      <c r="H12" s="153" t="str">
        <f t="shared" si="2"/>
        <v/>
      </c>
      <c r="I12" s="29"/>
    </row>
    <row r="13" spans="2:11" s="78" customFormat="1" ht="13.8" hidden="1" x14ac:dyDescent="0.3">
      <c r="B13" s="26"/>
      <c r="C13" s="28" t="e">
        <f>VLOOKUP(I13,'[1]COMPRAS LOCALES'!$A$2:$F$380,2,0)</f>
        <v>#N/A</v>
      </c>
      <c r="D13" s="118">
        <f t="shared" si="0"/>
        <v>0</v>
      </c>
      <c r="E13" s="79" t="e">
        <f>VLOOKUP(I13,'[1]COMPRAS LOCALES'!$A$2:$F$380,5,0)</f>
        <v>#N/A</v>
      </c>
      <c r="F13" s="119" t="e">
        <f>VLOOKUP(I13,'[1]COMPRAS LOCALES'!$A$2:$F$380,6,0)</f>
        <v>#N/A</v>
      </c>
      <c r="G13" s="119" t="str">
        <f t="shared" si="1"/>
        <v/>
      </c>
      <c r="H13" s="153" t="str">
        <f t="shared" si="2"/>
        <v/>
      </c>
      <c r="I13" s="29"/>
    </row>
    <row r="14" spans="2:11" s="78" customFormat="1" ht="13.8" hidden="1" x14ac:dyDescent="0.3">
      <c r="B14" s="26"/>
      <c r="C14" s="28" t="e">
        <f>VLOOKUP(I14,'[1]COMPRAS LOCALES'!$A$2:$F$380,2,0)</f>
        <v>#N/A</v>
      </c>
      <c r="D14" s="118">
        <f t="shared" si="0"/>
        <v>0</v>
      </c>
      <c r="E14" s="79" t="e">
        <f>VLOOKUP(I14,'[1]COMPRAS LOCALES'!$A$2:$F$380,5,0)</f>
        <v>#N/A</v>
      </c>
      <c r="F14" s="119" t="e">
        <f>VLOOKUP(I14,'[1]COMPRAS LOCALES'!$A$2:$F$380,6,0)</f>
        <v>#N/A</v>
      </c>
      <c r="G14" s="119" t="str">
        <f t="shared" si="1"/>
        <v/>
      </c>
      <c r="H14" s="153" t="str">
        <f t="shared" si="2"/>
        <v/>
      </c>
      <c r="I14" s="29"/>
    </row>
    <row r="15" spans="2:11" s="78" customFormat="1" ht="13.8" x14ac:dyDescent="0.3">
      <c r="B15" s="26"/>
      <c r="C15" s="32"/>
      <c r="D15" s="118"/>
      <c r="E15" s="118"/>
      <c r="F15" s="119"/>
      <c r="G15" s="119"/>
      <c r="H15" s="153"/>
      <c r="I15" s="29"/>
    </row>
    <row r="16" spans="2:11" s="78" customFormat="1" ht="24" hidden="1" customHeight="1" thickBot="1" x14ac:dyDescent="0.3">
      <c r="B16" s="21" t="s">
        <v>38</v>
      </c>
      <c r="C16" s="22" t="s">
        <v>83</v>
      </c>
      <c r="D16" s="22" t="s">
        <v>38</v>
      </c>
      <c r="E16" s="23" t="s">
        <v>40</v>
      </c>
      <c r="F16" s="23" t="s">
        <v>41</v>
      </c>
      <c r="G16" s="23" t="s">
        <v>42</v>
      </c>
      <c r="H16" s="23" t="s">
        <v>43</v>
      </c>
      <c r="I16" s="24" t="s">
        <v>44</v>
      </c>
    </row>
    <row r="17" spans="2:9" s="78" customFormat="1" ht="13.8" hidden="1" x14ac:dyDescent="0.3">
      <c r="B17" s="26"/>
      <c r="C17" s="28" t="e">
        <f>VLOOKUP(I17,'[1]COMPRAS LOCALES'!$A$2:$F$380,2,0)</f>
        <v>#N/A</v>
      </c>
      <c r="D17" s="155">
        <f>+B17</f>
        <v>0</v>
      </c>
      <c r="E17" s="155" t="e">
        <f>VLOOKUP(I17,'[1]COMPRAS LOCALES'!$A$2:$F$380,5,0)</f>
        <v>#N/A</v>
      </c>
      <c r="F17" s="156" t="e">
        <f>VLOOKUP(I17,'[1]COMPRAS LOCALES'!$A$2:$F$380,6,0)</f>
        <v>#N/A</v>
      </c>
      <c r="G17" s="156" t="str">
        <f>IFERROR(D17*F17,"")</f>
        <v/>
      </c>
      <c r="H17" s="153" t="str">
        <f>IFERROR(G17/$G$53,"")</f>
        <v/>
      </c>
      <c r="I17" s="29"/>
    </row>
    <row r="18" spans="2:9" s="78" customFormat="1" ht="13.8" hidden="1" x14ac:dyDescent="0.3">
      <c r="B18" s="26"/>
      <c r="C18" s="28" t="e">
        <f>VLOOKUP(I18,'[1]COMPRAS LOCALES'!$A$2:$F$380,2,0)</f>
        <v>#N/A</v>
      </c>
      <c r="D18" s="155">
        <f>+B18</f>
        <v>0</v>
      </c>
      <c r="E18" s="155" t="e">
        <f>VLOOKUP(I18,'[1]COMPRAS LOCALES'!$A$2:$F$380,5,0)</f>
        <v>#N/A</v>
      </c>
      <c r="F18" s="156" t="e">
        <f>VLOOKUP(I18,'[1]COMPRAS LOCALES'!$A$2:$F$380,6,0)</f>
        <v>#N/A</v>
      </c>
      <c r="G18" s="156" t="str">
        <f>IFERROR(D18*F18,"")</f>
        <v/>
      </c>
      <c r="H18" s="153" t="str">
        <f>IFERROR(G18/$G$53,"")</f>
        <v/>
      </c>
      <c r="I18" s="29"/>
    </row>
    <row r="19" spans="2:9" s="78" customFormat="1" ht="13.8" hidden="1" x14ac:dyDescent="0.3">
      <c r="B19" s="26"/>
      <c r="C19" s="28" t="e">
        <f>VLOOKUP(I19,'[1]COMPRAS LOCALES'!$A$2:$F$380,2,0)</f>
        <v>#N/A</v>
      </c>
      <c r="D19" s="155">
        <f>+B19</f>
        <v>0</v>
      </c>
      <c r="E19" s="155" t="e">
        <f>VLOOKUP(I19,'[1]COMPRAS LOCALES'!$A$2:$F$380,5,0)</f>
        <v>#N/A</v>
      </c>
      <c r="F19" s="156" t="e">
        <f>VLOOKUP(I19,'[1]COMPRAS LOCALES'!$A$2:$F$380,6,0)</f>
        <v>#N/A</v>
      </c>
      <c r="G19" s="156" t="str">
        <f>IFERROR(D19*F19,"")</f>
        <v/>
      </c>
      <c r="H19" s="153" t="str">
        <f>IFERROR(G19/$G$53,"")</f>
        <v/>
      </c>
      <c r="I19" s="29"/>
    </row>
    <row r="20" spans="2:9" s="78" customFormat="1" ht="13.8" hidden="1" x14ac:dyDescent="0.3">
      <c r="B20" s="26"/>
      <c r="C20" s="28" t="e">
        <f>VLOOKUP(I20,'[1]COMPRAS LOCALES'!$A$2:$F$380,2,0)</f>
        <v>#N/A</v>
      </c>
      <c r="D20" s="155">
        <f>+B20</f>
        <v>0</v>
      </c>
      <c r="E20" s="155" t="e">
        <f>VLOOKUP(I20,'[1]COMPRAS LOCALES'!$A$2:$F$380,5,0)</f>
        <v>#N/A</v>
      </c>
      <c r="F20" s="156" t="e">
        <f>VLOOKUP(I20,'[1]COMPRAS LOCALES'!$A$2:$F$380,6,0)</f>
        <v>#N/A</v>
      </c>
      <c r="G20" s="156" t="str">
        <f>IFERROR(D20*F20,"")</f>
        <v/>
      </c>
      <c r="H20" s="153" t="str">
        <f>IFERROR(G20/$G$53,"")</f>
        <v/>
      </c>
      <c r="I20" s="29"/>
    </row>
    <row r="21" spans="2:9" s="78" customFormat="1" ht="13.8" hidden="1" thickBot="1" x14ac:dyDescent="0.3">
      <c r="B21" s="80"/>
      <c r="C21" s="81"/>
      <c r="D21" s="82"/>
      <c r="E21" s="82"/>
      <c r="F21" s="82"/>
      <c r="G21" s="83"/>
      <c r="H21" s="157"/>
      <c r="I21" s="84"/>
    </row>
    <row r="22" spans="2:9" s="78" customFormat="1" ht="40.200000000000003" hidden="1" thickBot="1" x14ac:dyDescent="0.3">
      <c r="B22" s="21" t="s">
        <v>67</v>
      </c>
      <c r="C22" s="22" t="s">
        <v>25</v>
      </c>
      <c r="D22" s="22" t="s">
        <v>67</v>
      </c>
      <c r="E22" s="23" t="s">
        <v>40</v>
      </c>
      <c r="F22" s="23" t="s">
        <v>84</v>
      </c>
      <c r="G22" s="23" t="s">
        <v>85</v>
      </c>
      <c r="H22" s="23" t="s">
        <v>86</v>
      </c>
      <c r="I22" s="24" t="s">
        <v>87</v>
      </c>
    </row>
    <row r="23" spans="2:9" s="78" customFormat="1" ht="14.4" hidden="1" thickBot="1" x14ac:dyDescent="0.35">
      <c r="B23" s="26"/>
      <c r="C23" s="85" t="s">
        <v>88</v>
      </c>
      <c r="D23" s="118"/>
      <c r="E23" s="118"/>
      <c r="F23" s="119"/>
      <c r="G23" s="119"/>
      <c r="H23" s="153"/>
      <c r="I23" s="29"/>
    </row>
    <row r="24" spans="2:9" s="78" customFormat="1" ht="13.8" hidden="1" x14ac:dyDescent="0.3">
      <c r="B24" s="26">
        <v>0.55000000000000004</v>
      </c>
      <c r="C24" s="28" t="e">
        <f>VLOOKUP(I24,'[4]COMPRAS LOCALES'!$A$1:$F$380,2,0)</f>
        <v>#N/A</v>
      </c>
      <c r="D24" s="118">
        <f>+B24</f>
        <v>0.55000000000000004</v>
      </c>
      <c r="E24" s="118" t="e">
        <f>VLOOKUP(I24,'[1]COMPRAS LOCALES'!$A$2:$F$380,5,0)</f>
        <v>#N/A</v>
      </c>
      <c r="F24" s="119" t="e">
        <f>VLOOKUP(I24,'[1]COMPRAS LOCALES'!$A$2:$F$380,6,0)</f>
        <v>#N/A</v>
      </c>
      <c r="G24" s="119" t="str">
        <f>IFERROR(F24*D24,"")</f>
        <v/>
      </c>
      <c r="H24" s="158" t="str">
        <f>IFERROR(G24/$G$53,"")</f>
        <v/>
      </c>
      <c r="I24" s="29"/>
    </row>
    <row r="25" spans="2:9" s="78" customFormat="1" ht="13.8" hidden="1" x14ac:dyDescent="0.3">
      <c r="B25" s="26">
        <v>0.55000000000000004</v>
      </c>
      <c r="C25" s="28" t="e">
        <f>VLOOKUP(I25,'[4]COMPRAS LOCALES'!$A$1:$F$380,2,0)</f>
        <v>#N/A</v>
      </c>
      <c r="D25" s="118">
        <f t="shared" ref="D25:D31" si="3">+B25</f>
        <v>0.55000000000000004</v>
      </c>
      <c r="E25" s="118" t="e">
        <f>VLOOKUP(I25,'[1]COMPRAS LOCALES'!$A$2:$F$380,5,0)</f>
        <v>#N/A</v>
      </c>
      <c r="F25" s="119" t="e">
        <f>VLOOKUP(I25,'[1]COMPRAS LOCALES'!$A$2:$F$380,6,0)</f>
        <v>#N/A</v>
      </c>
      <c r="G25" s="119" t="str">
        <f t="shared" ref="G25:G31" si="4">IFERROR(F25*D25,"")</f>
        <v/>
      </c>
      <c r="H25" s="158" t="str">
        <f t="shared" ref="H25:H31" si="5">IFERROR(G25/$G$53,"")</f>
        <v/>
      </c>
      <c r="I25" s="29"/>
    </row>
    <row r="26" spans="2:9" s="78" customFormat="1" ht="13.8" hidden="1" x14ac:dyDescent="0.3">
      <c r="B26" s="26">
        <v>0.55000000000000004</v>
      </c>
      <c r="C26" s="28" t="e">
        <f>VLOOKUP(I26,'[4]COMPRAS LOCALES'!$A$1:$F$380,2,0)</f>
        <v>#N/A</v>
      </c>
      <c r="D26" s="118">
        <f t="shared" si="3"/>
        <v>0.55000000000000004</v>
      </c>
      <c r="E26" s="118" t="e">
        <f>VLOOKUP(I26,'[1]COMPRAS LOCALES'!$A$2:$F$380,5,0)</f>
        <v>#N/A</v>
      </c>
      <c r="F26" s="119" t="e">
        <f>VLOOKUP(I26,'[1]COMPRAS LOCALES'!$A$2:$F$380,6,0)</f>
        <v>#N/A</v>
      </c>
      <c r="G26" s="119" t="str">
        <f t="shared" si="4"/>
        <v/>
      </c>
      <c r="H26" s="158" t="str">
        <f t="shared" si="5"/>
        <v/>
      </c>
      <c r="I26" s="29"/>
    </row>
    <row r="27" spans="2:9" s="78" customFormat="1" ht="13.8" hidden="1" x14ac:dyDescent="0.3">
      <c r="B27" s="26">
        <v>0.55000000000000004</v>
      </c>
      <c r="C27" s="28" t="e">
        <f>VLOOKUP(I27,'[4]COMPRAS LOCALES'!$A$1:$F$380,2,0)</f>
        <v>#N/A</v>
      </c>
      <c r="D27" s="118">
        <f t="shared" si="3"/>
        <v>0.55000000000000004</v>
      </c>
      <c r="E27" s="118" t="e">
        <f>VLOOKUP(I27,'[1]COMPRAS LOCALES'!$A$2:$F$380,5,0)</f>
        <v>#N/A</v>
      </c>
      <c r="F27" s="119" t="e">
        <f>VLOOKUP(I27,'[1]COMPRAS LOCALES'!$A$2:$F$380,6,0)</f>
        <v>#N/A</v>
      </c>
      <c r="G27" s="119" t="str">
        <f t="shared" si="4"/>
        <v/>
      </c>
      <c r="H27" s="158" t="str">
        <f t="shared" si="5"/>
        <v/>
      </c>
      <c r="I27" s="29"/>
    </row>
    <row r="28" spans="2:9" s="78" customFormat="1" ht="13.8" hidden="1" x14ac:dyDescent="0.3">
      <c r="B28" s="26">
        <v>0.55000000000000004</v>
      </c>
      <c r="C28" s="28" t="e">
        <f>VLOOKUP(I28,'[4]COMPRAS LOCALES'!$A$1:$F$380,2,0)</f>
        <v>#N/A</v>
      </c>
      <c r="D28" s="118">
        <f t="shared" si="3"/>
        <v>0.55000000000000004</v>
      </c>
      <c r="E28" s="118" t="e">
        <f>VLOOKUP(I28,'[1]COMPRAS LOCALES'!$A$2:$F$380,5,0)</f>
        <v>#N/A</v>
      </c>
      <c r="F28" s="119" t="e">
        <f>VLOOKUP(I28,'[1]COMPRAS LOCALES'!$A$2:$F$380,6,0)</f>
        <v>#N/A</v>
      </c>
      <c r="G28" s="119" t="str">
        <f t="shared" si="4"/>
        <v/>
      </c>
      <c r="H28" s="158" t="str">
        <f t="shared" si="5"/>
        <v/>
      </c>
      <c r="I28" s="29"/>
    </row>
    <row r="29" spans="2:9" s="78" customFormat="1" ht="13.8" hidden="1" x14ac:dyDescent="0.3">
      <c r="B29" s="26">
        <v>0.55000000000000004</v>
      </c>
      <c r="C29" s="28" t="e">
        <f>VLOOKUP(I29,'[4]COMPRAS LOCALES'!$A$1:$F$380,2,0)</f>
        <v>#N/A</v>
      </c>
      <c r="D29" s="118">
        <f t="shared" si="3"/>
        <v>0.55000000000000004</v>
      </c>
      <c r="E29" s="118" t="e">
        <f>VLOOKUP(I29,'[1]COMPRAS LOCALES'!$A$2:$F$380,5,0)</f>
        <v>#N/A</v>
      </c>
      <c r="F29" s="119" t="e">
        <f>VLOOKUP(I29,'[1]COMPRAS LOCALES'!$A$2:$F$380,6,0)</f>
        <v>#N/A</v>
      </c>
      <c r="G29" s="119" t="str">
        <f t="shared" si="4"/>
        <v/>
      </c>
      <c r="H29" s="158" t="str">
        <f t="shared" si="5"/>
        <v/>
      </c>
      <c r="I29" s="29"/>
    </row>
    <row r="30" spans="2:9" s="78" customFormat="1" ht="13.8" hidden="1" x14ac:dyDescent="0.3">
      <c r="B30" s="26">
        <v>0.55000000000000004</v>
      </c>
      <c r="C30" s="28" t="e">
        <f>VLOOKUP(I30,'[4]COMPRAS LOCALES'!$A$1:$F$380,2,0)</f>
        <v>#N/A</v>
      </c>
      <c r="D30" s="118">
        <f t="shared" si="3"/>
        <v>0.55000000000000004</v>
      </c>
      <c r="E30" s="118" t="e">
        <f>VLOOKUP(I30,'[1]COMPRAS LOCALES'!$A$2:$F$380,5,0)</f>
        <v>#N/A</v>
      </c>
      <c r="F30" s="119" t="e">
        <f>VLOOKUP(I30,'[1]COMPRAS LOCALES'!$A$2:$F$380,6,0)</f>
        <v>#N/A</v>
      </c>
      <c r="G30" s="119" t="str">
        <f t="shared" si="4"/>
        <v/>
      </c>
      <c r="H30" s="158" t="str">
        <f t="shared" si="5"/>
        <v/>
      </c>
      <c r="I30" s="29"/>
    </row>
    <row r="31" spans="2:9" s="78" customFormat="1" ht="13.8" hidden="1" x14ac:dyDescent="0.3">
      <c r="B31" s="26">
        <v>0.55000000000000004</v>
      </c>
      <c r="C31" s="28" t="e">
        <f>VLOOKUP(I31,'[4]COMPRAS LOCALES'!$A$1:$F$380,2,0)</f>
        <v>#N/A</v>
      </c>
      <c r="D31" s="118">
        <f t="shared" si="3"/>
        <v>0.55000000000000004</v>
      </c>
      <c r="E31" s="118" t="e">
        <f>VLOOKUP(I31,'[1]COMPRAS LOCALES'!$A$2:$F$380,5,0)</f>
        <v>#N/A</v>
      </c>
      <c r="F31" s="119" t="e">
        <f>VLOOKUP(I31,'[1]COMPRAS LOCALES'!$A$2:$F$380,6,0)</f>
        <v>#N/A</v>
      </c>
      <c r="G31" s="119" t="str">
        <f t="shared" si="4"/>
        <v/>
      </c>
      <c r="H31" s="158" t="str">
        <f t="shared" si="5"/>
        <v/>
      </c>
      <c r="I31" s="29"/>
    </row>
    <row r="32" spans="2:9" s="78" customFormat="1" ht="14.4" hidden="1" thickBot="1" x14ac:dyDescent="0.35">
      <c r="B32" s="26"/>
      <c r="C32" s="85" t="s">
        <v>89</v>
      </c>
      <c r="D32" s="118"/>
      <c r="E32" s="118"/>
      <c r="F32" s="119"/>
      <c r="G32" s="119"/>
      <c r="H32" s="158"/>
      <c r="I32" s="29"/>
    </row>
    <row r="33" spans="1:38" s="78" customFormat="1" ht="13.8" hidden="1" x14ac:dyDescent="0.3">
      <c r="B33" s="26">
        <v>0.05</v>
      </c>
      <c r="C33" s="32" t="str">
        <f>IFERROR(VLOOKUP(I33,'[3]COMPRAS LOCALES'!$A$2:$G$119,2,0),"")</f>
        <v/>
      </c>
      <c r="D33" s="118">
        <f t="shared" ref="D33:D38" si="6">+B33</f>
        <v>0.05</v>
      </c>
      <c r="E33" s="118" t="str">
        <f>IFERROR(VLOOKUP(I33,'[3]COMPRAS LOCALES'!$A$2:$G$119,6,0),"")</f>
        <v/>
      </c>
      <c r="F33" s="119" t="str">
        <f>IFERROR(VLOOKUP(I33,'[3]COMPRAS LOCALES'!$A$2:$G$119,7,0),"")</f>
        <v/>
      </c>
      <c r="G33" s="119" t="str">
        <f t="shared" ref="G33:G38" si="7">IFERROR(F33*D33,"")</f>
        <v/>
      </c>
      <c r="H33" s="158" t="str">
        <f t="shared" ref="H33:H38" si="8">IFERROR(G33/$G$53,"")</f>
        <v/>
      </c>
      <c r="I33" s="29"/>
    </row>
    <row r="34" spans="1:38" s="78" customFormat="1" ht="13.8" hidden="1" x14ac:dyDescent="0.3">
      <c r="B34" s="26">
        <v>0.05</v>
      </c>
      <c r="C34" s="32" t="str">
        <f>IFERROR(VLOOKUP(I34,'[3]COMPRAS LOCALES'!$A$2:$G$119,2,0),"")</f>
        <v/>
      </c>
      <c r="D34" s="118">
        <f t="shared" si="6"/>
        <v>0.05</v>
      </c>
      <c r="E34" s="118" t="str">
        <f>IFERROR(VLOOKUP(I34,'[3]COMPRAS LOCALES'!$A$2:$G$119,6,0),"")</f>
        <v/>
      </c>
      <c r="F34" s="119" t="str">
        <f>IFERROR(VLOOKUP(I34,'[3]COMPRAS LOCALES'!$A$2:$G$119,7,0),"")</f>
        <v/>
      </c>
      <c r="G34" s="119" t="str">
        <f t="shared" si="7"/>
        <v/>
      </c>
      <c r="H34" s="158" t="str">
        <f t="shared" si="8"/>
        <v/>
      </c>
      <c r="I34" s="29"/>
    </row>
    <row r="35" spans="1:38" s="78" customFormat="1" ht="13.8" hidden="1" x14ac:dyDescent="0.3">
      <c r="B35" s="26">
        <v>0.05</v>
      </c>
      <c r="C35" s="32" t="str">
        <f>IFERROR(VLOOKUP(I35,'[3]COMPRAS LOCALES'!$A$2:$G$119,2,0),"")</f>
        <v/>
      </c>
      <c r="D35" s="118">
        <f t="shared" si="6"/>
        <v>0.05</v>
      </c>
      <c r="E35" s="118" t="str">
        <f>IFERROR(VLOOKUP(I35,'[3]COMPRAS LOCALES'!$A$2:$G$119,6,0),"")</f>
        <v/>
      </c>
      <c r="F35" s="119" t="str">
        <f>IFERROR(VLOOKUP(I35,'[3]COMPRAS LOCALES'!$A$2:$G$119,7,0),"")</f>
        <v/>
      </c>
      <c r="G35" s="119" t="str">
        <f t="shared" si="7"/>
        <v/>
      </c>
      <c r="H35" s="158" t="str">
        <f t="shared" si="8"/>
        <v/>
      </c>
      <c r="I35" s="29"/>
    </row>
    <row r="36" spans="1:38" s="78" customFormat="1" ht="13.8" hidden="1" x14ac:dyDescent="0.3">
      <c r="B36" s="26">
        <v>0.05</v>
      </c>
      <c r="C36" s="32" t="str">
        <f>IFERROR(VLOOKUP(I36,'[3]COMPRAS LOCALES'!$A$2:$G$119,2,0),"")</f>
        <v/>
      </c>
      <c r="D36" s="118">
        <f t="shared" si="6"/>
        <v>0.05</v>
      </c>
      <c r="E36" s="118" t="str">
        <f>IFERROR(VLOOKUP(I36,'[3]COMPRAS LOCALES'!$A$2:$G$119,6,0),"")</f>
        <v/>
      </c>
      <c r="F36" s="119" t="str">
        <f>IFERROR(VLOOKUP(I36,'[3]COMPRAS LOCALES'!$A$2:$G$119,7,0),"")</f>
        <v/>
      </c>
      <c r="G36" s="119" t="str">
        <f t="shared" si="7"/>
        <v/>
      </c>
      <c r="H36" s="158" t="str">
        <f t="shared" si="8"/>
        <v/>
      </c>
      <c r="I36" s="29"/>
    </row>
    <row r="37" spans="1:38" s="78" customFormat="1" ht="13.8" hidden="1" x14ac:dyDescent="0.3">
      <c r="B37" s="26">
        <v>0.05</v>
      </c>
      <c r="C37" s="32" t="str">
        <f>IFERROR(VLOOKUP(I37,'[3]COMPRAS LOCALES'!$A$2:$G$119,2,0),"")</f>
        <v/>
      </c>
      <c r="D37" s="118">
        <f t="shared" si="6"/>
        <v>0.05</v>
      </c>
      <c r="E37" s="118" t="str">
        <f>IFERROR(VLOOKUP(I37,'[3]COMPRAS LOCALES'!$A$2:$G$119,6,0),"")</f>
        <v/>
      </c>
      <c r="F37" s="119" t="str">
        <f>IFERROR(VLOOKUP(I37,'[3]COMPRAS LOCALES'!$A$2:$G$119,7,0),"")</f>
        <v/>
      </c>
      <c r="G37" s="119" t="str">
        <f t="shared" si="7"/>
        <v/>
      </c>
      <c r="H37" s="158" t="str">
        <f t="shared" si="8"/>
        <v/>
      </c>
      <c r="I37" s="29"/>
    </row>
    <row r="38" spans="1:38" s="78" customFormat="1" ht="13.8" hidden="1" x14ac:dyDescent="0.3">
      <c r="B38" s="26">
        <v>0.05</v>
      </c>
      <c r="C38" s="32" t="str">
        <f>IFERROR(VLOOKUP(I38,'[3]COMPRAS LOCALES'!$A$2:$G$119,2,0),"")</f>
        <v/>
      </c>
      <c r="D38" s="118">
        <f t="shared" si="6"/>
        <v>0.05</v>
      </c>
      <c r="E38" s="118" t="str">
        <f>IFERROR(VLOOKUP(I38,'[3]COMPRAS LOCALES'!$A$2:$G$119,6,0),"")</f>
        <v/>
      </c>
      <c r="F38" s="119" t="str">
        <f>IFERROR(VLOOKUP(I38,'[3]COMPRAS LOCALES'!$A$2:$G$119,7,0),"")</f>
        <v/>
      </c>
      <c r="G38" s="119" t="str">
        <f t="shared" si="7"/>
        <v/>
      </c>
      <c r="H38" s="158" t="str">
        <f t="shared" si="8"/>
        <v/>
      </c>
      <c r="I38" s="29"/>
    </row>
    <row r="39" spans="1:38" ht="13.2" x14ac:dyDescent="0.25">
      <c r="A39" s="86"/>
      <c r="B39" s="159"/>
      <c r="C39" s="87"/>
      <c r="D39" s="160"/>
      <c r="E39" s="160"/>
      <c r="F39" s="160"/>
      <c r="G39" s="119"/>
      <c r="H39" s="161"/>
      <c r="I39" s="162"/>
      <c r="J39" s="163"/>
    </row>
    <row r="40" spans="1:38" ht="13.2" x14ac:dyDescent="0.25">
      <c r="A40" s="80"/>
      <c r="B40" s="398" t="s">
        <v>90</v>
      </c>
      <c r="C40" s="398"/>
      <c r="D40" s="398"/>
      <c r="E40" s="398"/>
      <c r="F40" s="398"/>
      <c r="G40" s="164">
        <f>SUM(G9:G14)</f>
        <v>273.37054882608646</v>
      </c>
      <c r="H40" s="153">
        <f>+G40/$G$53</f>
        <v>0.22955523672883785</v>
      </c>
      <c r="I40" s="73"/>
      <c r="J40" s="73"/>
    </row>
    <row r="41" spans="1:38" ht="13.8" thickBot="1" x14ac:dyDescent="0.3">
      <c r="A41" s="80"/>
      <c r="B41" s="398" t="s">
        <v>91</v>
      </c>
      <c r="C41" s="398"/>
      <c r="D41" s="398"/>
      <c r="E41" s="398"/>
      <c r="F41" s="398" t="e">
        <f>SUM(F17:F20)</f>
        <v>#N/A</v>
      </c>
      <c r="G41" s="165">
        <f>SUM(G17:G20)</f>
        <v>0</v>
      </c>
      <c r="H41" s="153">
        <f>+G41/$G$53</f>
        <v>0</v>
      </c>
      <c r="I41" s="73"/>
      <c r="J41" s="73"/>
    </row>
    <row r="42" spans="1:38" ht="13.8" thickTop="1" x14ac:dyDescent="0.25">
      <c r="A42" s="88"/>
      <c r="B42" s="399" t="s">
        <v>92</v>
      </c>
      <c r="C42" s="399"/>
      <c r="D42" s="399"/>
      <c r="E42" s="399"/>
      <c r="F42" s="399"/>
      <c r="G42" s="166">
        <f>SUM(G40:G41)</f>
        <v>273.37054882608646</v>
      </c>
      <c r="H42" s="153">
        <f>+G42/$G$53</f>
        <v>0.22955523672883785</v>
      </c>
      <c r="I42" s="73"/>
      <c r="J42" s="73"/>
    </row>
    <row r="43" spans="1:38" ht="13.8" thickBot="1" x14ac:dyDescent="0.3">
      <c r="A43" s="80"/>
      <c r="B43" s="400" t="s">
        <v>93</v>
      </c>
      <c r="C43" s="400"/>
      <c r="D43" s="400"/>
      <c r="E43" s="400"/>
      <c r="F43" s="400"/>
      <c r="G43" s="165">
        <f>SUM(G24:G38)</f>
        <v>0</v>
      </c>
      <c r="H43" s="153">
        <f>+G43/$G$53</f>
        <v>0</v>
      </c>
      <c r="I43" s="73"/>
      <c r="J43" s="73"/>
    </row>
    <row r="44" spans="1:38" ht="13.8" thickTop="1" x14ac:dyDescent="0.25">
      <c r="A44" s="88"/>
      <c r="B44" s="399" t="s">
        <v>52</v>
      </c>
      <c r="C44" s="399"/>
      <c r="D44" s="399"/>
      <c r="E44" s="399"/>
      <c r="F44" s="399"/>
      <c r="G44" s="166">
        <f>SUM(G42:G43)</f>
        <v>273.37054882608646</v>
      </c>
      <c r="H44" s="153">
        <f>+G44/$G$53</f>
        <v>0.22955523672883785</v>
      </c>
      <c r="I44" s="73"/>
      <c r="J44" s="73"/>
    </row>
    <row r="45" spans="1:38" ht="13.8" thickBot="1" x14ac:dyDescent="0.3">
      <c r="A45" s="28"/>
      <c r="B45" s="91"/>
      <c r="C45" s="91"/>
      <c r="D45" s="167"/>
      <c r="E45" s="167"/>
      <c r="F45" s="168"/>
      <c r="G45" s="169"/>
      <c r="H45" s="28"/>
      <c r="I45" s="73"/>
      <c r="J45" s="73"/>
    </row>
    <row r="46" spans="1:38" s="92" customFormat="1" ht="19.5" customHeight="1" thickBot="1" x14ac:dyDescent="0.35">
      <c r="A46" s="386"/>
      <c r="B46" s="387"/>
      <c r="C46" s="387"/>
      <c r="D46" s="387"/>
      <c r="E46" s="387"/>
      <c r="F46" s="387"/>
      <c r="G46" s="387"/>
      <c r="H46" s="387"/>
      <c r="I46" s="387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</row>
    <row r="47" spans="1:38" ht="13.2" x14ac:dyDescent="0.25">
      <c r="A47" s="28"/>
      <c r="B47" s="93"/>
      <c r="C47" s="93"/>
      <c r="D47" s="93"/>
      <c r="E47" s="28"/>
      <c r="F47" s="80"/>
      <c r="G47" s="170"/>
      <c r="H47" s="94"/>
      <c r="I47" s="73"/>
      <c r="J47" s="73"/>
    </row>
    <row r="48" spans="1:38" ht="13.2" x14ac:dyDescent="0.25">
      <c r="A48" s="91"/>
      <c r="B48" s="399" t="s">
        <v>92</v>
      </c>
      <c r="C48" s="399"/>
      <c r="D48" s="399"/>
      <c r="E48" s="89"/>
      <c r="G48" s="149">
        <f>+G42</f>
        <v>273.37054882608646</v>
      </c>
      <c r="H48" s="153">
        <f>+G48/$G$53</f>
        <v>0.22955523672883785</v>
      </c>
      <c r="I48" s="73"/>
      <c r="J48" s="73"/>
    </row>
    <row r="49" spans="1:38" ht="13.2" x14ac:dyDescent="0.25">
      <c r="A49" s="91"/>
      <c r="B49" s="400" t="s">
        <v>25</v>
      </c>
      <c r="C49" s="400"/>
      <c r="D49" s="400"/>
      <c r="E49" s="90"/>
      <c r="F49" s="171" t="s">
        <v>94</v>
      </c>
      <c r="G49" s="149">
        <f>+G43</f>
        <v>0</v>
      </c>
      <c r="H49" s="153">
        <f>+G49/$G$53</f>
        <v>0</v>
      </c>
      <c r="I49" s="73"/>
      <c r="J49" s="73"/>
    </row>
    <row r="50" spans="1:38" ht="13.8" thickBot="1" x14ac:dyDescent="0.3">
      <c r="A50" s="28"/>
      <c r="B50" s="400" t="s">
        <v>95</v>
      </c>
      <c r="C50" s="400"/>
      <c r="D50" s="400"/>
      <c r="E50" s="90"/>
      <c r="F50" s="172">
        <v>2.5000000000000001E-2</v>
      </c>
      <c r="G50" s="149">
        <f>+(G49+G48)*F50</f>
        <v>6.8342637206521619</v>
      </c>
      <c r="H50" s="153">
        <f>+G50/$G$53</f>
        <v>5.7388809182209463E-3</v>
      </c>
      <c r="I50" s="73"/>
      <c r="J50" s="73"/>
    </row>
    <row r="51" spans="1:38" ht="13.8" thickBot="1" x14ac:dyDescent="0.3">
      <c r="A51" s="91"/>
      <c r="B51" s="402" t="s">
        <v>96</v>
      </c>
      <c r="C51" s="402"/>
      <c r="D51" s="402"/>
      <c r="E51" s="402"/>
      <c r="F51" s="403"/>
      <c r="G51" s="95">
        <f>SUM(G48:G50)</f>
        <v>280.20481254673865</v>
      </c>
      <c r="H51" s="153">
        <f>+G51/$G$53</f>
        <v>0.23529411764705879</v>
      </c>
      <c r="I51" s="73"/>
      <c r="J51" s="73"/>
    </row>
    <row r="52" spans="1:38" ht="17.25" customHeight="1" x14ac:dyDescent="0.25">
      <c r="A52" s="96"/>
      <c r="B52" s="401" t="s">
        <v>97</v>
      </c>
      <c r="C52" s="401"/>
      <c r="D52" s="401"/>
      <c r="E52" s="97"/>
      <c r="F52" s="173">
        <v>3.25</v>
      </c>
      <c r="G52" s="149">
        <f>+G51*F52</f>
        <v>910.66564077690066</v>
      </c>
      <c r="H52" s="98"/>
      <c r="I52" s="73"/>
      <c r="J52" s="73"/>
    </row>
    <row r="53" spans="1:38" ht="13.8" thickBot="1" x14ac:dyDescent="0.3">
      <c r="A53" s="96"/>
      <c r="B53" s="401" t="s">
        <v>98</v>
      </c>
      <c r="C53" s="401"/>
      <c r="D53" s="401"/>
      <c r="E53" s="97"/>
      <c r="F53" s="174"/>
      <c r="G53" s="149">
        <f>SUM(G51:G52)</f>
        <v>1190.8704533236394</v>
      </c>
      <c r="H53" s="99"/>
      <c r="I53" s="175">
        <f>+I55/1.13</f>
        <v>973.45132743362842</v>
      </c>
      <c r="J53" s="177">
        <f>+(I53-G51)/G51</f>
        <v>2.474070693454828</v>
      </c>
    </row>
    <row r="54" spans="1:38" s="101" customFormat="1" ht="13.8" thickBot="1" x14ac:dyDescent="0.3">
      <c r="A54" s="96"/>
      <c r="B54" s="401" t="s">
        <v>99</v>
      </c>
      <c r="C54" s="401"/>
      <c r="D54" s="401"/>
      <c r="E54" s="97"/>
      <c r="F54" s="176">
        <v>0.13</v>
      </c>
      <c r="G54" s="100">
        <f>+G53*(1+F54)</f>
        <v>1345.6836122557124</v>
      </c>
      <c r="H54" s="99"/>
      <c r="I54" s="175">
        <f>+I53*1.13</f>
        <v>1100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</row>
    <row r="55" spans="1:38" ht="13.8" thickBot="1" x14ac:dyDescent="0.3">
      <c r="A55" s="28"/>
      <c r="B55" s="401" t="s">
        <v>100</v>
      </c>
      <c r="C55" s="401"/>
      <c r="D55" s="401"/>
      <c r="E55" s="97"/>
      <c r="F55" s="176">
        <v>0.23</v>
      </c>
      <c r="G55" s="102">
        <f>+G53*(1+F55)</f>
        <v>1464.7706575880763</v>
      </c>
      <c r="H55" s="94"/>
      <c r="I55" s="175">
        <v>1100</v>
      </c>
      <c r="J55" s="73"/>
    </row>
    <row r="56" spans="1:38" ht="13.8" thickBot="1" x14ac:dyDescent="0.3">
      <c r="A56" s="28"/>
      <c r="B56" s="97"/>
      <c r="C56" s="97"/>
      <c r="D56" s="97"/>
      <c r="E56" s="97"/>
      <c r="F56" s="176"/>
      <c r="G56" s="103"/>
      <c r="H56" s="94"/>
      <c r="I56" s="73"/>
      <c r="J56" s="73"/>
    </row>
    <row r="57" spans="1:38" s="92" customFormat="1" ht="19.5" customHeight="1" thickBot="1" x14ac:dyDescent="0.35">
      <c r="A57" s="386" t="s">
        <v>101</v>
      </c>
      <c r="B57" s="387"/>
      <c r="C57" s="387"/>
      <c r="D57" s="387"/>
      <c r="E57" s="387"/>
      <c r="F57" s="387"/>
      <c r="G57" s="387"/>
      <c r="H57" s="387"/>
      <c r="I57" s="387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0.8" thickBot="1" x14ac:dyDescent="0.25"/>
    <row r="65" spans="1:37" s="101" customFormat="1" ht="19.5" customHeight="1" thickBot="1" x14ac:dyDescent="0.25">
      <c r="A65" s="73"/>
      <c r="B65" s="73"/>
      <c r="C65" s="73"/>
      <c r="D65" s="73"/>
      <c r="E65" s="73"/>
      <c r="F65" s="73"/>
      <c r="G65" s="74"/>
      <c r="H65" s="152"/>
      <c r="I65" s="76"/>
      <c r="J65" s="75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E6DA6C-2C93-47CF-9147-25EE000BE8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E7EEC8-52CE-4651-810A-CC26C7CC604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eae225b5-53a6-4b69-be5f-a92fedf9fd9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b4e74ba-38a7-42d4-a9ca-1da0fc041d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FF6AE98-836D-414B-8F1C-F38447FC4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OREJITAS DULCES</vt:lpstr>
      <vt:lpstr>COSTO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2023-08-21T19:01:14Z</cp:lastPrinted>
  <dcterms:created xsi:type="dcterms:W3CDTF">2009-03-11T22:07:15Z</dcterms:created>
  <dcterms:modified xsi:type="dcterms:W3CDTF">2025-09-22T19:50:36Z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327000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
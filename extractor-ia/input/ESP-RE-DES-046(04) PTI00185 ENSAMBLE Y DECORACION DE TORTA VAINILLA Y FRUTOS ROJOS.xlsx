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7423342D-48D4-4C5D-91C3-C57E4DA207FB}" xr6:coauthVersionLast="47" xr6:coauthVersionMax="47" xr10:uidLastSave="{3C85650B-1B06-45C9-9BBD-C42A6A2DFE34}"/>
  <bookViews>
    <workbookView xWindow="-108" yWindow="-108" windowWidth="23256" windowHeight="12456" xr2:uid="{E3DADF8F-148B-48AE-8982-24692779C9AE}"/>
  </bookViews>
  <sheets>
    <sheet name="Ensam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<sst xmlns="http://schemas.openxmlformats.org/spreadsheetml/2006/main" count="181" uniqueCount="110">
  <si>
    <t>Revision #4: Se unifica el brillo con la salsa</t>
  </si>
  <si>
    <t>3, Se actualiza taza de mdida salsa de arandanos</t>
  </si>
  <si>
    <t xml:space="preserve">2,Se actualizan datos receta y pesos finales </t>
  </si>
  <si>
    <t>CONTROL DE CAMBIOS</t>
  </si>
  <si>
    <t>8.- Etiquetar con los stckers y fechas requeridas.</t>
  </si>
  <si>
    <t>7.- Colocar en la parte supeior sobre la salsa y el brillo, al centro colocar la galleta con chocolate blanco.</t>
  </si>
  <si>
    <t>6.- Encremar con crema chantily beidge y hacer efecto con la espatula, difuminando la salsa a los lados acorde a la fotografia.</t>
  </si>
  <si>
    <t>5- Tapar con el ultimo disco de rosquete.</t>
  </si>
  <si>
    <t>4.-  Rellenar la segunda capa con 1/4 taza de manjar, 1/4  de relleno de limon,2/3 taza de relleno de frambuesa y moras, y 1/4 taza galleta con chocolate blanco.</t>
  </si>
  <si>
    <t>3.- Rellenar la primera capa con  1/4 taza de manjar, 1/4  de relleno de limon, 1/2  taza de relleno de frambuesa y moras,y 1/4cucharadas de galleta con chocolate blanco.</t>
  </si>
  <si>
    <t>2.- Humedecer las 3 tapas de rosquete con mezcla de tres leches.</t>
  </si>
  <si>
    <t>1.- Partir los rosquetes de vainilla a la mitad, utilizar 3 medios discos.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</si>
  <si>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</si>
  <si>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</si>
  <si>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</si>
  <si>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</si>
  <si>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</si>
  <si>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</si>
  <si>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</si>
  <si>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</si>
  <si>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</si>
  <si>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</si>
  <si>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</si>
  <si>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</si>
  <si>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</si>
  <si>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</si>
  <si>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</si>
  <si>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</si>
  <si>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IMPRES SPOON GRANDE V-272 (UND)</t>
  </si>
  <si>
    <t>EM10006</t>
  </si>
  <si>
    <t>702175</t>
  </si>
  <si>
    <t>ETIQ.FECHA VENCIMIENTO BLANCO</t>
  </si>
  <si>
    <t>EM10004</t>
  </si>
  <si>
    <t>0702007</t>
  </si>
  <si>
    <t>ETIQUETA BLANCA 2 5/8X1 15/16</t>
  </si>
  <si>
    <t>EM10011</t>
  </si>
  <si>
    <t>0702123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</si>
  <si>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</si>
  <si>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</si>
  <si>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</si>
  <si>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</si>
  <si>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</si>
  <si>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</si>
  <si>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</si>
  <si>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703020</t>
  </si>
  <si>
    <t>RAPIBOX</t>
  </si>
  <si>
    <t>ORLA CARTON 10"  (100 * PAQ)</t>
  </si>
  <si>
    <t>EM10008</t>
  </si>
  <si>
    <t>1950692</t>
  </si>
  <si>
    <t>EXPORT PMT</t>
  </si>
  <si>
    <t>QUEQUERA RED  BASE/DOMO 10 (CAJA:50)</t>
  </si>
  <si>
    <t>EM10009</t>
  </si>
  <si>
    <t>121603</t>
  </si>
  <si>
    <t>Empaque</t>
  </si>
  <si>
    <t>1/8 TAZA</t>
  </si>
  <si>
    <t>FAS</t>
  </si>
  <si>
    <t>GALLETA VAINILLA BAÑO CHOCO BLANCO KILO</t>
  </si>
  <si>
    <t>SE00077</t>
  </si>
  <si>
    <t>Para Bordes</t>
  </si>
  <si>
    <t>SALSA DE FRAMBUESA Y ARANDANO</t>
  </si>
  <si>
    <t>SE00542</t>
  </si>
  <si>
    <t>1/4 TAZA</t>
  </si>
  <si>
    <t>SALSA DE FRAMBUESA ARANDANO CON BRILLO</t>
  </si>
  <si>
    <t>SE00838</t>
  </si>
  <si>
    <t>NUEVO</t>
  </si>
  <si>
    <t>CREMA BEIDGE (KILO)</t>
  </si>
  <si>
    <t>SE00069</t>
  </si>
  <si>
    <t>Decoración</t>
  </si>
  <si>
    <t>LECHES PASTEURIZADA CON AGUA</t>
  </si>
  <si>
    <t>SE00254</t>
  </si>
  <si>
    <t>3era CAPA RELLENO</t>
  </si>
  <si>
    <t>2/3 TAZA</t>
  </si>
  <si>
    <t>RELLENO FRAMBUESA Y ARANDANO</t>
  </si>
  <si>
    <t>SE00541</t>
  </si>
  <si>
    <t>RELLENO DE LIMON SPOON KILO</t>
  </si>
  <si>
    <t>SE00008</t>
  </si>
  <si>
    <t>MANJAR LECHE CONDENSADA (PAQ: 6 K)</t>
  </si>
  <si>
    <t>MP10007</t>
  </si>
  <si>
    <t>2nda CAPA RELLENO</t>
  </si>
  <si>
    <t>1/2 TAZA</t>
  </si>
  <si>
    <t>1era CAPA RELLENO</t>
  </si>
  <si>
    <t>1/2 UND</t>
  </si>
  <si>
    <t>ROSQUETE VAINILLA DAWN 320 G</t>
  </si>
  <si>
    <t>SE00448</t>
  </si>
  <si>
    <t>1 UND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</si>
  <si>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</si>
  <si>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</si>
  <si>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</si>
  <si>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</si>
  <si>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</si>
  <si>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</si>
  <si>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</si>
  <si>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</si>
  <si>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</si>
  <si>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</si>
  <si>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Decoracion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</si>
  <si>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</si>
  <si>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</si>
  <si>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</si>
  <si>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</si>
  <si>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</si>
  <si>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</si>
  <si>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</si>
  <si>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PTI00185 ENSAMBLE Y DECORACION DE TORTA VAINILLA Y FRUTOS ROJOS</t>
  </si>
  <si>
    <t>REVISIÓN:</t>
  </si>
  <si>
    <t>ESPECIFICACION DE RECETA</t>
  </si>
  <si>
    <t>ESP-RE-DES-046</t>
  </si>
  <si>
    <t>CÓDIGO:</t>
  </si>
  <si>
    <t>SERVICIOS DE PASTELERIA S.A.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</si>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</sst>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i/>
      <sz val="1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164">
    <xf numFmtId="0" fontId="0" fillId="0" borderId="0" xfId="0"/>
    <xf numFmtId="0" fontId="4" fillId="4" borderId="11" xfId="3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3" fillId="4" borderId="10" xfId="3" applyFont="1" applyFill="1" applyBorder="1" applyAlignment="1">
      <alignment horizontal="center"/>
    </xf>
    <xf numFmtId="0" fontId="3" fillId="4" borderId="11" xfId="3" applyFont="1" applyFill="1" applyBorder="1"/>
    <xf numFmtId="164" fontId="3" fillId="4" borderId="11" xfId="3" applyNumberFormat="1" applyFont="1" applyFill="1" applyBorder="1" applyAlignment="1">
      <alignment horizontal="center" wrapText="1"/>
    </xf>
    <xf numFmtId="1" fontId="4" fillId="4" borderId="11" xfId="3" applyNumberFormat="1" applyFont="1" applyFill="1" applyBorder="1" applyAlignment="1">
      <alignment horizontal="center"/>
    </xf>
    <xf numFmtId="0" fontId="3" fillId="4" borderId="11" xfId="3" applyFont="1" applyFill="1" applyBorder="1" applyAlignment="1">
      <alignment horizontal="center"/>
    </xf>
    <xf numFmtId="0" fontId="3" fillId="4" borderId="12" xfId="3" applyFont="1" applyFill="1" applyBorder="1" applyAlignment="1">
      <alignment horizontal="center"/>
    </xf>
    <xf numFmtId="0" fontId="3" fillId="2" borderId="21" xfId="3" applyFont="1" applyFill="1" applyBorder="1" applyAlignment="1">
      <alignment horizontal="center"/>
    </xf>
    <xf numFmtId="0" fontId="3" fillId="2" borderId="0" xfId="3" applyFont="1" applyFill="1"/>
    <xf numFmtId="164" fontId="3" fillId="2" borderId="0" xfId="3" applyNumberFormat="1" applyFont="1" applyFill="1" applyAlignment="1">
      <alignment horizontal="center" wrapText="1"/>
    </xf>
    <xf numFmtId="1" fontId="3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2" xfId="3" applyNumberFormat="1" applyFont="1" applyFill="1" applyBorder="1" applyAlignment="1">
      <alignment horizontal="center" vertical="center"/>
    </xf>
    <xf numFmtId="0" fontId="3" fillId="0" borderId="23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49" fontId="3" fillId="0" borderId="1" xfId="3" applyNumberFormat="1" applyFont="1" applyBorder="1"/>
    <xf numFmtId="49" fontId="3" fillId="0" borderId="17" xfId="3" applyNumberFormat="1" applyFont="1" applyBorder="1" applyAlignment="1">
      <alignment horizontal="center"/>
    </xf>
    <xf numFmtId="49" fontId="3" fillId="0" borderId="24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" fontId="3" fillId="0" borderId="1" xfId="3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7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3" fillId="0" borderId="1" xfId="0" quotePrefix="1" applyFont="1" applyBorder="1"/>
    <xf numFmtId="0" fontId="3" fillId="0" borderId="1" xfId="0" quotePrefix="1" applyFont="1" applyBorder="1" applyAlignment="1">
      <alignment horizontal="center"/>
    </xf>
    <xf numFmtId="12" fontId="3" fillId="0" borderId="1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49" fontId="3" fillId="0" borderId="1" xfId="3" applyNumberFormat="1" applyFont="1" applyBorder="1" applyAlignment="1">
      <alignment horizontal="center"/>
    </xf>
    <xf numFmtId="165" fontId="4" fillId="5" borderId="1" xfId="1" applyNumberFormat="1" applyFont="1" applyFill="1" applyBorder="1" applyAlignment="1">
      <alignment horizontal="center"/>
    </xf>
    <xf numFmtId="0" fontId="7" fillId="0" borderId="1" xfId="0" applyFont="1" applyBorder="1"/>
    <xf numFmtId="0" fontId="7" fillId="0" borderId="1" xfId="4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0" fontId="7" fillId="0" borderId="0" xfId="0" applyFont="1"/>
    <xf numFmtId="166" fontId="4" fillId="0" borderId="1" xfId="3" applyNumberFormat="1" applyFont="1" applyBorder="1" applyAlignment="1">
      <alignment horizontal="center"/>
    </xf>
    <xf numFmtId="0" fontId="4" fillId="0" borderId="17" xfId="3" applyFont="1" applyBorder="1" applyAlignment="1">
      <alignment horizontal="center"/>
    </xf>
    <xf numFmtId="0" fontId="8" fillId="5" borderId="1" xfId="3" applyFont="1" applyFill="1" applyBorder="1" applyAlignment="1">
      <alignment vertical="center"/>
    </xf>
    <xf numFmtId="49" fontId="4" fillId="0" borderId="5" xfId="3" applyNumberFormat="1" applyFont="1" applyBorder="1" applyAlignment="1">
      <alignment horizontal="center"/>
    </xf>
    <xf numFmtId="49" fontId="4" fillId="0" borderId="6" xfId="3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16" fontId="3" fillId="5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" fontId="3" fillId="5" borderId="1" xfId="3" applyNumberFormat="1" applyFont="1" applyFill="1" applyBorder="1" applyAlignment="1">
      <alignment horizontal="center" wrapText="1"/>
    </xf>
    <xf numFmtId="1" fontId="3" fillId="5" borderId="1" xfId="3" applyNumberFormat="1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5" borderId="19" xfId="0" applyFont="1" applyFill="1" applyBorder="1"/>
    <xf numFmtId="0" fontId="7" fillId="5" borderId="20" xfId="0" applyFont="1" applyFill="1" applyBorder="1" applyAlignment="1">
      <alignment horizontal="center"/>
    </xf>
    <xf numFmtId="0" fontId="7" fillId="5" borderId="24" xfId="0" applyFont="1" applyFill="1" applyBorder="1" applyAlignment="1">
      <alignment horizontal="center"/>
    </xf>
    <xf numFmtId="1" fontId="3" fillId="5" borderId="19" xfId="0" applyNumberFormat="1" applyFont="1" applyFill="1" applyBorder="1" applyAlignment="1">
      <alignment horizontal="center" wrapText="1"/>
    </xf>
    <xf numFmtId="1" fontId="3" fillId="5" borderId="19" xfId="0" applyNumberFormat="1" applyFont="1" applyFill="1" applyBorder="1" applyAlignment="1">
      <alignment horizontal="center"/>
    </xf>
    <xf numFmtId="0" fontId="7" fillId="6" borderId="19" xfId="0" applyFont="1" applyFill="1" applyBorder="1"/>
    <xf numFmtId="0" fontId="7" fillId="6" borderId="20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166" fontId="3" fillId="0" borderId="1" xfId="3" applyNumberFormat="1" applyFont="1" applyBorder="1" applyAlignment="1">
      <alignment horizontal="center"/>
    </xf>
    <xf numFmtId="0" fontId="4" fillId="5" borderId="1" xfId="3" applyFont="1" applyFill="1" applyBorder="1" applyAlignment="1">
      <alignment horizontal="left"/>
    </xf>
    <xf numFmtId="12" fontId="3" fillId="0" borderId="19" xfId="0" applyNumberFormat="1" applyFont="1" applyBorder="1" applyAlignment="1">
      <alignment horizontal="center"/>
    </xf>
    <xf numFmtId="0" fontId="3" fillId="5" borderId="1" xfId="3" applyFont="1" applyFill="1" applyBorder="1" applyAlignment="1">
      <alignment horizontal="center"/>
    </xf>
    <xf numFmtId="1" fontId="7" fillId="0" borderId="1" xfId="0" applyNumberFormat="1" applyFont="1" applyBorder="1"/>
    <xf numFmtId="1" fontId="4" fillId="5" borderId="25" xfId="3" applyNumberFormat="1" applyFont="1" applyFill="1" applyBorder="1" applyAlignment="1">
      <alignment horizontal="center" wrapText="1"/>
    </xf>
    <xf numFmtId="1" fontId="4" fillId="5" borderId="1" xfId="3" applyNumberFormat="1" applyFont="1" applyFill="1" applyBorder="1" applyAlignment="1">
      <alignment horizontal="center"/>
    </xf>
    <xf numFmtId="0" fontId="4" fillId="5" borderId="1" xfId="3" applyFont="1" applyFill="1" applyBorder="1" applyAlignment="1">
      <alignment horizontal="center" vertical="center"/>
    </xf>
    <xf numFmtId="0" fontId="4" fillId="5" borderId="1" xfId="3" applyFont="1" applyFill="1" applyBorder="1" applyAlignment="1">
      <alignment horizontal="right" vertical="center"/>
    </xf>
    <xf numFmtId="0" fontId="3" fillId="5" borderId="1" xfId="3" applyFont="1" applyFill="1" applyBorder="1"/>
    <xf numFmtId="0" fontId="3" fillId="5" borderId="1" xfId="3" applyFont="1" applyFill="1" applyBorder="1" applyAlignment="1">
      <alignment horizontal="right"/>
    </xf>
    <xf numFmtId="0" fontId="3" fillId="5" borderId="1" xfId="3" applyFont="1" applyFill="1" applyBorder="1" applyAlignment="1">
      <alignment horizontal="left" vertical="center"/>
    </xf>
    <xf numFmtId="1" fontId="4" fillId="7" borderId="25" xfId="3" applyNumberFormat="1" applyFont="1" applyFill="1" applyBorder="1" applyAlignment="1">
      <alignment horizontal="center" wrapText="1"/>
    </xf>
    <xf numFmtId="1" fontId="4" fillId="5" borderId="25" xfId="3" applyNumberFormat="1" applyFont="1" applyFill="1" applyBorder="1" applyAlignment="1">
      <alignment horizontal="center"/>
    </xf>
    <xf numFmtId="0" fontId="4" fillId="5" borderId="25" xfId="3" applyFont="1" applyFill="1" applyBorder="1" applyAlignment="1">
      <alignment horizontal="center" vertical="center"/>
    </xf>
    <xf numFmtId="0" fontId="4" fillId="5" borderId="25" xfId="3" applyFont="1" applyFill="1" applyBorder="1" applyAlignment="1">
      <alignment horizontal="left"/>
    </xf>
    <xf numFmtId="0" fontId="4" fillId="5" borderId="26" xfId="3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wrapText="1"/>
    </xf>
    <xf numFmtId="0" fontId="3" fillId="5" borderId="24" xfId="3" applyFont="1" applyFill="1" applyBorder="1" applyAlignment="1">
      <alignment horizontal="right"/>
    </xf>
    <xf numFmtId="0" fontId="4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4" fillId="0" borderId="17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9" fillId="4" borderId="27" xfId="3" applyFont="1" applyFill="1" applyBorder="1" applyAlignment="1">
      <alignment horizontal="center"/>
    </xf>
    <xf numFmtId="1" fontId="9" fillId="4" borderId="14" xfId="3" applyNumberFormat="1" applyFont="1" applyFill="1" applyBorder="1" applyAlignment="1">
      <alignment horizontal="center" wrapText="1"/>
    </xf>
    <xf numFmtId="1" fontId="9" fillId="4" borderId="14" xfId="3" applyNumberFormat="1" applyFont="1" applyFill="1" applyBorder="1" applyAlignment="1">
      <alignment horizontal="center"/>
    </xf>
    <xf numFmtId="0" fontId="9" fillId="4" borderId="28" xfId="3" applyFont="1" applyFill="1" applyBorder="1" applyAlignment="1">
      <alignment horizontal="center" vertical="center" wrapText="1"/>
    </xf>
    <xf numFmtId="14" fontId="10" fillId="2" borderId="0" xfId="2" applyNumberFormat="1" applyFont="1" applyFill="1" applyAlignment="1">
      <alignment horizontal="center" vertical="center" wrapText="1"/>
    </xf>
    <xf numFmtId="0" fontId="12" fillId="2" borderId="1" xfId="2" applyFont="1" applyFill="1" applyBorder="1" applyAlignment="1">
      <alignment horizontal="right"/>
    </xf>
    <xf numFmtId="0" fontId="12" fillId="2" borderId="19" xfId="2" applyFont="1" applyFill="1" applyBorder="1" applyAlignment="1">
      <alignment horizontal="right"/>
    </xf>
    <xf numFmtId="49" fontId="12" fillId="2" borderId="23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0" fontId="12" fillId="2" borderId="28" xfId="2" applyFont="1" applyFill="1" applyBorder="1" applyAlignment="1">
      <alignment horizontal="center"/>
    </xf>
    <xf numFmtId="0" fontId="9" fillId="2" borderId="29" xfId="2" applyFont="1" applyFill="1" applyBorder="1" applyAlignment="1">
      <alignment horizontal="right"/>
    </xf>
    <xf numFmtId="0" fontId="10" fillId="2" borderId="31" xfId="2" applyFont="1" applyFill="1" applyBorder="1" applyAlignment="1">
      <alignment horizontal="center"/>
    </xf>
    <xf numFmtId="0" fontId="11" fillId="2" borderId="0" xfId="2" applyFont="1" applyFill="1"/>
    <xf numFmtId="0" fontId="9" fillId="4" borderId="30" xfId="3" applyFont="1" applyFill="1" applyBorder="1" applyAlignment="1">
      <alignment horizontal="center" vertical="center"/>
    </xf>
    <xf numFmtId="0" fontId="9" fillId="4" borderId="16" xfId="3" applyFont="1" applyFill="1" applyBorder="1" applyAlignment="1">
      <alignment horizontal="center" vertical="center"/>
    </xf>
    <xf numFmtId="0" fontId="9" fillId="4" borderId="30" xfId="3" applyFont="1" applyFill="1" applyBorder="1" applyAlignment="1">
      <alignment horizontal="center" vertical="center" wrapText="1"/>
    </xf>
    <xf numFmtId="0" fontId="9" fillId="4" borderId="16" xfId="3" applyFont="1" applyFill="1" applyBorder="1" applyAlignment="1">
      <alignment horizontal="center" vertical="center" wrapText="1"/>
    </xf>
    <xf numFmtId="0" fontId="9" fillId="4" borderId="29" xfId="3" applyFont="1" applyFill="1" applyBorder="1" applyAlignment="1">
      <alignment horizontal="center" vertical="center"/>
    </xf>
    <xf numFmtId="0" fontId="9" fillId="4" borderId="14" xfId="3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/>
    </xf>
    <xf numFmtId="14" fontId="12" fillId="2" borderId="39" xfId="2" applyNumberFormat="1" applyFont="1" applyFill="1" applyBorder="1" applyAlignment="1">
      <alignment horizontal="center" vertical="center" wrapText="1"/>
    </xf>
    <xf numFmtId="14" fontId="12" fillId="2" borderId="34" xfId="2" applyNumberFormat="1" applyFont="1" applyFill="1" applyBorder="1" applyAlignment="1">
      <alignment horizontal="center" vertical="center" wrapText="1"/>
    </xf>
    <xf numFmtId="14" fontId="12" fillId="2" borderId="32" xfId="2" applyNumberFormat="1" applyFont="1" applyFill="1" applyBorder="1" applyAlignment="1">
      <alignment horizontal="center" vertical="center" wrapText="1"/>
    </xf>
    <xf numFmtId="0" fontId="12" fillId="2" borderId="38" xfId="2" applyFont="1" applyFill="1" applyBorder="1" applyAlignment="1">
      <alignment horizontal="left"/>
    </xf>
    <xf numFmtId="0" fontId="12" fillId="2" borderId="37" xfId="2" applyFont="1" applyFill="1" applyBorder="1" applyAlignment="1">
      <alignment horizontal="left"/>
    </xf>
    <xf numFmtId="0" fontId="12" fillId="2" borderId="36" xfId="2" applyFont="1" applyFill="1" applyBorder="1" applyAlignment="1">
      <alignment horizontal="left"/>
    </xf>
    <xf numFmtId="0" fontId="12" fillId="2" borderId="13" xfId="2" applyFont="1" applyFill="1" applyBorder="1" applyAlignment="1">
      <alignment horizontal="left"/>
    </xf>
    <xf numFmtId="0" fontId="12" fillId="2" borderId="5" xfId="2" applyFont="1" applyFill="1" applyBorder="1" applyAlignment="1">
      <alignment horizontal="left"/>
    </xf>
    <xf numFmtId="0" fontId="12" fillId="2" borderId="17" xfId="2" applyFont="1" applyFill="1" applyBorder="1" applyAlignment="1">
      <alignment horizontal="left"/>
    </xf>
    <xf numFmtId="0" fontId="12" fillId="2" borderId="43" xfId="2" applyFont="1" applyFill="1" applyBorder="1" applyAlignment="1">
      <alignment horizontal="center"/>
    </xf>
    <xf numFmtId="0" fontId="12" fillId="2" borderId="2" xfId="2" applyFont="1" applyFill="1" applyBorder="1" applyAlignment="1">
      <alignment horizontal="center"/>
    </xf>
    <xf numFmtId="0" fontId="12" fillId="2" borderId="22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9" xfId="2" applyFont="1" applyFill="1" applyBorder="1" applyAlignment="1">
      <alignment horizontal="center"/>
    </xf>
    <xf numFmtId="0" fontId="12" fillId="2" borderId="8" xfId="2" applyFont="1" applyFill="1" applyBorder="1" applyAlignment="1">
      <alignment horizontal="center"/>
    </xf>
    <xf numFmtId="0" fontId="9" fillId="2" borderId="29" xfId="2" applyFont="1" applyFill="1" applyBorder="1" applyAlignment="1">
      <alignment horizontal="center"/>
    </xf>
    <xf numFmtId="0" fontId="9" fillId="2" borderId="42" xfId="2" applyFont="1" applyFill="1" applyBorder="1" applyAlignment="1">
      <alignment horizontal="center"/>
    </xf>
    <xf numFmtId="0" fontId="9" fillId="2" borderId="41" xfId="2" applyFont="1" applyFill="1" applyBorder="1" applyAlignment="1">
      <alignment horizontal="center"/>
    </xf>
    <xf numFmtId="0" fontId="9" fillId="2" borderId="15" xfId="2" applyFont="1" applyFill="1" applyBorder="1" applyAlignment="1">
      <alignment horizontal="center"/>
    </xf>
    <xf numFmtId="0" fontId="13" fillId="8" borderId="26" xfId="2" applyFont="1" applyFill="1" applyBorder="1" applyAlignment="1">
      <alignment horizontal="center" vertical="center" wrapText="1"/>
    </xf>
    <xf numFmtId="0" fontId="13" fillId="8" borderId="1" xfId="2" applyFont="1" applyFill="1" applyBorder="1" applyAlignment="1">
      <alignment horizontal="center" vertical="center" wrapText="1"/>
    </xf>
    <xf numFmtId="0" fontId="9" fillId="2" borderId="40" xfId="2" applyFont="1" applyFill="1" applyBorder="1" applyAlignment="1">
      <alignment horizontal="right" vertical="top" wrapText="1"/>
    </xf>
    <xf numFmtId="0" fontId="9" fillId="2" borderId="35" xfId="2" applyFont="1" applyFill="1" applyBorder="1" applyAlignment="1">
      <alignment horizontal="right" vertical="top" wrapText="1"/>
    </xf>
    <xf numFmtId="0" fontId="9" fillId="2" borderId="33" xfId="2" applyFont="1" applyFill="1" applyBorder="1" applyAlignment="1">
      <alignment horizontal="right" vertical="top" wrapText="1"/>
    </xf>
    <xf numFmtId="0" fontId="11" fillId="2" borderId="0" xfId="2" applyFont="1" applyFill="1" applyAlignment="1">
      <alignment horizontal="right"/>
    </xf>
    <xf numFmtId="0" fontId="4" fillId="0" borderId="16" xfId="3" applyFont="1" applyBorder="1" applyAlignment="1">
      <alignment horizontal="right"/>
    </xf>
    <xf numFmtId="0" fontId="4" fillId="0" borderId="15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164" fontId="3" fillId="0" borderId="13" xfId="3" applyNumberFormat="1" applyFont="1" applyBorder="1" applyAlignment="1">
      <alignment horizontal="center"/>
    </xf>
    <xf numFmtId="164" fontId="3" fillId="0" borderId="4" xfId="3" applyNumberFormat="1" applyFont="1" applyBorder="1" applyAlignment="1">
      <alignment horizontal="center"/>
    </xf>
    <xf numFmtId="0" fontId="4" fillId="4" borderId="12" xfId="3" applyFont="1" applyFill="1" applyBorder="1" applyAlignment="1">
      <alignment horizontal="center"/>
    </xf>
    <xf numFmtId="0" fontId="4" fillId="4" borderId="11" xfId="3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4" fillId="0" borderId="9" xfId="3" applyFont="1" applyBorder="1" applyAlignment="1">
      <alignment horizontal="left" wrapText="1"/>
    </xf>
    <xf numFmtId="0" fontId="4" fillId="0" borderId="8" xfId="3" applyFont="1" applyBorder="1" applyAlignment="1">
      <alignment horizontal="left" wrapText="1"/>
    </xf>
    <xf numFmtId="0" fontId="4" fillId="0" borderId="7" xfId="3" applyFont="1" applyBorder="1" applyAlignment="1">
      <alignment horizontal="left" wrapText="1"/>
    </xf>
    <xf numFmtId="0" fontId="4" fillId="0" borderId="9" xfId="3" applyFont="1" applyBorder="1" applyAlignment="1">
      <alignment horizontal="right"/>
    </xf>
    <xf numFmtId="0" fontId="4" fillId="0" borderId="8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164" fontId="3" fillId="0" borderId="19" xfId="3" applyNumberFormat="1" applyFont="1" applyBorder="1" applyAlignment="1">
      <alignment horizontal="right"/>
    </xf>
    <xf numFmtId="0" fontId="3" fillId="2" borderId="18" xfId="3" applyFont="1" applyFill="1" applyBorder="1" applyAlignment="1">
      <alignment horizontal="center"/>
    </xf>
    <xf numFmtId="0" fontId="3" fillId="2" borderId="7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7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164" fontId="3" fillId="0" borderId="13" xfId="3" applyNumberFormat="1" applyFont="1" applyBorder="1" applyAlignment="1">
      <alignment horizontal="right" wrapText="1"/>
    </xf>
    <xf numFmtId="164" fontId="3" fillId="0" borderId="17" xfId="3" applyNumberFormat="1" applyFont="1" applyBorder="1" applyAlignment="1">
      <alignment horizontal="right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3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/>
    </xf>
  </cellXfs>
  <cellStyles count="5">
    <cellStyle name="Millares" xfId="1" builtinId="3"/>
    <cellStyle name="Normal" xfId="0" builtinId="0"/>
    <cellStyle name="Normal 2" xfId="3" xr:uid="{1764ED66-E321-4AD6-A3E5-786D7CF800C1}"/>
    <cellStyle name="Normal 3" xfId="4" xr:uid="{05A44647-6B13-48CF-B8DE-A15E2C055289}"/>
    <cellStyle name="Normal_CRITERIOS DE EVALUACION PT DE GB 2" xfId="2" xr:uid="{38BD4D11-702B-4E29-A648-15E3F13761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53522</xdr:colOff>
      <xdr:row>0</xdr:row>
      <xdr:rowOff>152400</xdr:rowOff>
    </xdr:from>
    <xdr:ext cx="2210715" cy="1026319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AC31DEA-DE7D-4817-BBF6-B9A082C0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22" y="152400"/>
          <a:ext cx="2210715" cy="1026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F19B-4016-41B3-A4D7-9ADE8F9DFFE5}">
  <sheetPr>
    <pageSetUpPr fitToPage="1"/>
  </sheetPr>
  <dimension ref="A1:I65"/>
  <sheetViews>
    <sheetView tabSelected="1" topLeftCell="A24" zoomScale="80" zoomScaleNormal="80" zoomScaleSheetLayoutView="70" workbookViewId="0">
      <selection activeCell="C40" sqref="C40"/>
    </sheetView>
  </sheetViews>
  <sheetFormatPr baseColWidth="10" defaultRowHeight="14.4" x14ac:dyDescent="0.3"/>
  <cols>
    <col min="1" max="1" width="18.44140625" customWidth="1"/>
    <col min="2" max="2" width="16.33203125" customWidth="1"/>
    <col min="3" max="3" width="71.5546875" customWidth="1"/>
    <col min="4" max="4" width="21.5546875" customWidth="1"/>
    <col min="5" max="5" width="18.33203125" customWidth="1"/>
    <col min="6" max="6" width="17.5546875" customWidth="1"/>
    <col min="7" max="7" width="16.5546875" customWidth="1"/>
    <col min="8" max="8" width="22" customWidth="1"/>
    <col min="9" max="9" width="20.6640625" bestFit="1" customWidth="1"/>
  </cols>
  <sheetData>
    <row r="1" spans="1:9" ht="17.399999999999999" x14ac:dyDescent="0.3">
      <c r="A1" s="117"/>
      <c r="B1" s="118"/>
      <c r="C1" s="123" t="s">
        <v>108</v>
      </c>
      <c r="D1" s="123"/>
      <c r="E1" s="123"/>
      <c r="F1" s="123"/>
      <c r="G1" s="123"/>
      <c r="H1" s="98" t="s">
        <v>107</v>
      </c>
      <c r="I1" s="97" t="s">
        <v>106</v>
      </c>
    </row>
    <row r="2" spans="1:9" ht="18" customHeight="1" thickBot="1" x14ac:dyDescent="0.35">
      <c r="A2" s="119"/>
      <c r="B2" s="120"/>
      <c r="C2" s="124" t="s">
        <v>105</v>
      </c>
      <c r="D2" s="125"/>
      <c r="E2" s="125"/>
      <c r="F2" s="125"/>
      <c r="G2" s="126"/>
      <c r="H2" s="96" t="s">
        <v>104</v>
      </c>
      <c r="I2" s="95" t="s">
        <v>109</v>
      </c>
    </row>
    <row r="3" spans="1:9" ht="31.5" customHeight="1" thickBot="1" x14ac:dyDescent="0.35">
      <c r="A3" s="119"/>
      <c r="B3" s="120"/>
      <c r="C3" s="127" t="s">
        <v>103</v>
      </c>
      <c r="D3" s="128"/>
      <c r="E3" s="128"/>
      <c r="F3" s="128"/>
      <c r="G3" s="128"/>
      <c r="H3" s="129" t="s">
        <v>102</v>
      </c>
      <c r="I3" s="108">
        <v>45613</v>
      </c>
    </row>
    <row r="4" spans="1:9" ht="18" customHeight="1" x14ac:dyDescent="0.3">
      <c r="A4" s="119"/>
      <c r="B4" s="120"/>
      <c r="C4" s="94" t="s">
        <v>101</v>
      </c>
      <c r="D4" s="111" t="s">
        <v>100</v>
      </c>
      <c r="E4" s="112"/>
      <c r="F4" s="112"/>
      <c r="G4" s="113"/>
      <c r="H4" s="130"/>
      <c r="I4" s="109"/>
    </row>
    <row r="5" spans="1:9" ht="18" thickBot="1" x14ac:dyDescent="0.35">
      <c r="A5" s="121"/>
      <c r="B5" s="122"/>
      <c r="C5" s="93" t="s">
        <v>99</v>
      </c>
      <c r="D5" s="114" t="s">
        <v>98</v>
      </c>
      <c r="E5" s="115"/>
      <c r="F5" s="115"/>
      <c r="G5" s="116"/>
      <c r="H5" s="131"/>
      <c r="I5" s="110"/>
    </row>
    <row r="6" spans="1:9" ht="18" thickBot="1" x14ac:dyDescent="0.35">
      <c r="A6" s="132" t="s">
        <v>97</v>
      </c>
      <c r="B6" s="132"/>
      <c r="C6" s="132"/>
      <c r="D6" s="99" t="s">
        <v>67</v>
      </c>
      <c r="E6" s="99"/>
      <c r="F6" s="99"/>
      <c r="G6" s="100" t="s">
        <v>96</v>
      </c>
      <c r="H6" s="100"/>
      <c r="I6" s="92" t="s">
        <v>95</v>
      </c>
    </row>
    <row r="7" spans="1:9" ht="34.799999999999997" x14ac:dyDescent="0.3">
      <c r="A7" s="101" t="s">
        <v>94</v>
      </c>
      <c r="B7" s="103" t="s">
        <v>93</v>
      </c>
      <c r="C7" s="105" t="s">
        <v>92</v>
      </c>
      <c r="D7" s="105" t="s">
        <v>91</v>
      </c>
      <c r="E7" s="105" t="s">
        <v>90</v>
      </c>
      <c r="F7" s="105"/>
      <c r="G7" s="105" t="s">
        <v>89</v>
      </c>
      <c r="H7" s="105"/>
      <c r="I7" s="91" t="s">
        <v>88</v>
      </c>
    </row>
    <row r="8" spans="1:9" ht="35.4" thickBot="1" x14ac:dyDescent="0.35">
      <c r="A8" s="102"/>
      <c r="B8" s="104"/>
      <c r="C8" s="106"/>
      <c r="D8" s="106"/>
      <c r="E8" s="90" t="s">
        <v>26</v>
      </c>
      <c r="F8" s="89" t="s">
        <v>87</v>
      </c>
      <c r="G8" s="90" t="s">
        <v>26</v>
      </c>
      <c r="H8" s="89" t="s">
        <v>87</v>
      </c>
      <c r="I8" s="88" t="s">
        <v>86</v>
      </c>
    </row>
    <row r="9" spans="1:9" ht="21" x14ac:dyDescent="0.4">
      <c r="A9" s="87"/>
      <c r="B9" s="86"/>
      <c r="C9" s="85" t="s">
        <v>85</v>
      </c>
      <c r="D9" s="84"/>
      <c r="E9" s="38"/>
      <c r="F9" s="26"/>
      <c r="G9" s="38"/>
      <c r="H9" s="26"/>
      <c r="I9" s="20"/>
    </row>
    <row r="10" spans="1:9" ht="20.399999999999999" x14ac:dyDescent="0.35">
      <c r="A10" s="83">
        <v>907000310</v>
      </c>
      <c r="B10" s="32" t="s">
        <v>83</v>
      </c>
      <c r="C10" s="74" t="s">
        <v>82</v>
      </c>
      <c r="D10" s="68" t="s">
        <v>55</v>
      </c>
      <c r="E10" s="68">
        <v>260</v>
      </c>
      <c r="F10" s="68" t="s">
        <v>13</v>
      </c>
      <c r="G10" s="82"/>
      <c r="H10" s="67" t="s">
        <v>84</v>
      </c>
      <c r="I10" s="20"/>
    </row>
    <row r="11" spans="1:9" ht="20.399999999999999" x14ac:dyDescent="0.35">
      <c r="A11" s="83">
        <v>907000310</v>
      </c>
      <c r="B11" s="32" t="s">
        <v>83</v>
      </c>
      <c r="C11" s="74" t="s">
        <v>82</v>
      </c>
      <c r="D11" s="68" t="s">
        <v>55</v>
      </c>
      <c r="E11" s="68">
        <v>130</v>
      </c>
      <c r="F11" s="68" t="s">
        <v>13</v>
      </c>
      <c r="G11" s="82"/>
      <c r="H11" s="67" t="s">
        <v>81</v>
      </c>
      <c r="I11" s="20"/>
    </row>
    <row r="12" spans="1:9" ht="21" x14ac:dyDescent="0.4">
      <c r="A12" s="81"/>
      <c r="B12" s="79"/>
      <c r="C12" s="80" t="s">
        <v>80</v>
      </c>
      <c r="D12" s="79"/>
      <c r="E12" s="78"/>
      <c r="F12" s="70"/>
      <c r="G12" s="4"/>
      <c r="H12" s="67"/>
      <c r="I12" s="20"/>
    </row>
    <row r="13" spans="1:9" ht="20.399999999999999" x14ac:dyDescent="0.35">
      <c r="A13" s="69">
        <v>910000003</v>
      </c>
      <c r="B13" s="32" t="s">
        <v>69</v>
      </c>
      <c r="C13" s="41" t="s">
        <v>68</v>
      </c>
      <c r="D13" s="68" t="s">
        <v>55</v>
      </c>
      <c r="E13" s="68">
        <v>70</v>
      </c>
      <c r="F13" s="68" t="s">
        <v>13</v>
      </c>
      <c r="G13" s="4"/>
      <c r="H13" s="67" t="s">
        <v>61</v>
      </c>
      <c r="I13" s="20"/>
    </row>
    <row r="14" spans="1:9" ht="20.399999999999999" x14ac:dyDescent="0.35">
      <c r="A14" s="75">
        <v>11400066</v>
      </c>
      <c r="B14" s="32" t="s">
        <v>77</v>
      </c>
      <c r="C14" s="74" t="s">
        <v>76</v>
      </c>
      <c r="D14" s="68" t="s">
        <v>55</v>
      </c>
      <c r="E14" s="68">
        <v>70</v>
      </c>
      <c r="F14" s="68" t="s">
        <v>13</v>
      </c>
      <c r="G14" s="4"/>
      <c r="H14" s="67" t="s">
        <v>61</v>
      </c>
      <c r="I14" s="20"/>
    </row>
    <row r="15" spans="1:9" ht="20.399999999999999" x14ac:dyDescent="0.35">
      <c r="A15" s="75">
        <v>902000085</v>
      </c>
      <c r="B15" s="32" t="s">
        <v>75</v>
      </c>
      <c r="C15" s="74" t="s">
        <v>74</v>
      </c>
      <c r="D15" s="68" t="s">
        <v>55</v>
      </c>
      <c r="E15" s="68">
        <v>70</v>
      </c>
      <c r="F15" s="68" t="s">
        <v>13</v>
      </c>
      <c r="G15" s="4"/>
      <c r="H15" s="67" t="s">
        <v>61</v>
      </c>
      <c r="I15" s="20"/>
    </row>
    <row r="16" spans="1:9" ht="20.399999999999999" x14ac:dyDescent="0.35">
      <c r="A16" s="75">
        <v>902000162</v>
      </c>
      <c r="B16" s="68" t="s">
        <v>73</v>
      </c>
      <c r="C16" s="76" t="s">
        <v>72</v>
      </c>
      <c r="D16" s="68" t="s">
        <v>55</v>
      </c>
      <c r="E16" s="68">
        <v>110</v>
      </c>
      <c r="F16" s="68" t="s">
        <v>13</v>
      </c>
      <c r="G16" s="4"/>
      <c r="H16" s="67" t="s">
        <v>79</v>
      </c>
      <c r="I16" s="20"/>
    </row>
    <row r="17" spans="1:9" ht="20.399999999999999" x14ac:dyDescent="0.35">
      <c r="A17" s="75">
        <v>911000005</v>
      </c>
      <c r="B17" s="68" t="s">
        <v>57</v>
      </c>
      <c r="C17" s="74" t="s">
        <v>56</v>
      </c>
      <c r="D17" s="68" t="s">
        <v>55</v>
      </c>
      <c r="E17" s="68">
        <v>20</v>
      </c>
      <c r="F17" s="68" t="s">
        <v>13</v>
      </c>
      <c r="G17" s="4"/>
      <c r="H17" s="67" t="s">
        <v>54</v>
      </c>
      <c r="I17" s="20"/>
    </row>
    <row r="18" spans="1:9" ht="21" x14ac:dyDescent="0.4">
      <c r="A18" s="73"/>
      <c r="B18" s="72"/>
      <c r="C18" s="66" t="s">
        <v>78</v>
      </c>
      <c r="D18" s="72"/>
      <c r="E18" s="71"/>
      <c r="F18" s="77"/>
      <c r="G18" s="4"/>
      <c r="H18" s="67"/>
      <c r="I18" s="20"/>
    </row>
    <row r="19" spans="1:9" ht="20.399999999999999" x14ac:dyDescent="0.35">
      <c r="A19" s="69">
        <v>910000003</v>
      </c>
      <c r="B19" s="32" t="s">
        <v>69</v>
      </c>
      <c r="C19" s="41" t="s">
        <v>68</v>
      </c>
      <c r="D19" s="68" t="s">
        <v>55</v>
      </c>
      <c r="E19" s="68">
        <v>70</v>
      </c>
      <c r="F19" s="68" t="s">
        <v>13</v>
      </c>
      <c r="G19" s="4"/>
      <c r="H19" s="67" t="s">
        <v>61</v>
      </c>
      <c r="I19" s="20"/>
    </row>
    <row r="20" spans="1:9" ht="20.399999999999999" x14ac:dyDescent="0.35">
      <c r="A20" s="75">
        <v>11400066</v>
      </c>
      <c r="B20" s="68" t="s">
        <v>77</v>
      </c>
      <c r="C20" s="74" t="s">
        <v>76</v>
      </c>
      <c r="D20" s="68" t="s">
        <v>55</v>
      </c>
      <c r="E20" s="68">
        <v>70</v>
      </c>
      <c r="F20" s="68" t="s">
        <v>13</v>
      </c>
      <c r="G20" s="4"/>
      <c r="H20" s="67" t="s">
        <v>61</v>
      </c>
      <c r="I20" s="20"/>
    </row>
    <row r="21" spans="1:9" ht="20.399999999999999" x14ac:dyDescent="0.35">
      <c r="A21" s="75">
        <v>902000085</v>
      </c>
      <c r="B21" s="32" t="s">
        <v>75</v>
      </c>
      <c r="C21" s="74" t="s">
        <v>74</v>
      </c>
      <c r="D21" s="68" t="s">
        <v>55</v>
      </c>
      <c r="E21" s="68">
        <v>70</v>
      </c>
      <c r="F21" s="68" t="s">
        <v>13</v>
      </c>
      <c r="G21" s="4"/>
      <c r="H21" s="67" t="s">
        <v>61</v>
      </c>
      <c r="I21" s="20"/>
    </row>
    <row r="22" spans="1:9" ht="20.399999999999999" x14ac:dyDescent="0.35">
      <c r="A22" s="75">
        <v>902000162</v>
      </c>
      <c r="B22" s="68" t="s">
        <v>73</v>
      </c>
      <c r="C22" s="76" t="s">
        <v>72</v>
      </c>
      <c r="D22" s="68" t="s">
        <v>55</v>
      </c>
      <c r="E22" s="68">
        <v>180</v>
      </c>
      <c r="F22" s="68" t="s">
        <v>13</v>
      </c>
      <c r="G22" s="4"/>
      <c r="H22" s="67" t="s">
        <v>71</v>
      </c>
      <c r="I22" s="20"/>
    </row>
    <row r="23" spans="1:9" ht="20.399999999999999" x14ac:dyDescent="0.35">
      <c r="A23" s="75">
        <v>911000005</v>
      </c>
      <c r="B23" s="68" t="s">
        <v>57</v>
      </c>
      <c r="C23" s="74" t="s">
        <v>56</v>
      </c>
      <c r="D23" s="68" t="s">
        <v>55</v>
      </c>
      <c r="E23" s="68">
        <v>20</v>
      </c>
      <c r="F23" s="68" t="s">
        <v>13</v>
      </c>
      <c r="G23" s="4"/>
      <c r="H23" s="67" t="s">
        <v>54</v>
      </c>
      <c r="I23" s="20"/>
    </row>
    <row r="24" spans="1:9" ht="21" x14ac:dyDescent="0.4">
      <c r="A24" s="73"/>
      <c r="B24" s="72"/>
      <c r="C24" s="66" t="s">
        <v>70</v>
      </c>
      <c r="D24" s="72"/>
      <c r="E24" s="71"/>
      <c r="F24" s="70"/>
      <c r="G24" s="4"/>
      <c r="H24" s="67"/>
      <c r="I24" s="20"/>
    </row>
    <row r="25" spans="1:9" ht="21" x14ac:dyDescent="0.4">
      <c r="A25" s="69">
        <v>910000003</v>
      </c>
      <c r="B25" s="32" t="s">
        <v>69</v>
      </c>
      <c r="C25" s="41" t="s">
        <v>68</v>
      </c>
      <c r="D25" s="68" t="s">
        <v>55</v>
      </c>
      <c r="E25" s="68">
        <v>70</v>
      </c>
      <c r="F25" s="68" t="s">
        <v>13</v>
      </c>
      <c r="G25" s="38"/>
      <c r="H25" s="67"/>
      <c r="I25" s="20"/>
    </row>
    <row r="26" spans="1:9" ht="21" x14ac:dyDescent="0.4">
      <c r="A26" s="25"/>
      <c r="B26" s="24"/>
      <c r="C26" s="66" t="s">
        <v>67</v>
      </c>
      <c r="D26" s="21"/>
      <c r="E26" s="65"/>
      <c r="F26" s="22"/>
      <c r="G26" s="38"/>
      <c r="H26" s="26"/>
      <c r="I26" s="20"/>
    </row>
    <row r="27" spans="1:9" ht="21" x14ac:dyDescent="0.4">
      <c r="A27" s="59">
        <v>910000018</v>
      </c>
      <c r="B27" s="58" t="s">
        <v>66</v>
      </c>
      <c r="C27" s="57" t="s">
        <v>65</v>
      </c>
      <c r="D27" s="56" t="s">
        <v>55</v>
      </c>
      <c r="E27" s="61">
        <v>200</v>
      </c>
      <c r="F27" s="60" t="s">
        <v>13</v>
      </c>
      <c r="G27" s="38"/>
      <c r="H27" s="26"/>
      <c r="I27" s="20"/>
    </row>
    <row r="28" spans="1:9" ht="21" x14ac:dyDescent="0.4">
      <c r="A28" s="64" t="s">
        <v>64</v>
      </c>
      <c r="B28" s="63" t="s">
        <v>63</v>
      </c>
      <c r="C28" s="62" t="s">
        <v>62</v>
      </c>
      <c r="D28" s="56" t="s">
        <v>55</v>
      </c>
      <c r="E28" s="61">
        <v>80</v>
      </c>
      <c r="F28" s="60" t="s">
        <v>13</v>
      </c>
      <c r="G28" s="38"/>
      <c r="H28" s="26" t="s">
        <v>61</v>
      </c>
      <c r="I28" s="20"/>
    </row>
    <row r="29" spans="1:9" ht="21" x14ac:dyDescent="0.4">
      <c r="A29" s="59">
        <v>906000143</v>
      </c>
      <c r="B29" s="58" t="s">
        <v>60</v>
      </c>
      <c r="C29" s="57" t="s">
        <v>59</v>
      </c>
      <c r="D29" s="56" t="s">
        <v>55</v>
      </c>
      <c r="E29" s="55">
        <v>40</v>
      </c>
      <c r="F29" s="54" t="s">
        <v>13</v>
      </c>
      <c r="G29" s="38"/>
      <c r="H29" s="26" t="s">
        <v>58</v>
      </c>
      <c r="I29" s="20"/>
    </row>
    <row r="30" spans="1:9" ht="21" x14ac:dyDescent="0.4">
      <c r="A30" s="53">
        <v>911000005</v>
      </c>
      <c r="B30" s="53" t="s">
        <v>57</v>
      </c>
      <c r="C30" s="44" t="s">
        <v>56</v>
      </c>
      <c r="D30" s="52" t="s">
        <v>55</v>
      </c>
      <c r="E30" s="51">
        <v>20</v>
      </c>
      <c r="F30" s="50" t="s">
        <v>13</v>
      </c>
      <c r="G30" s="38"/>
      <c r="H30" s="26" t="s">
        <v>54</v>
      </c>
      <c r="I30" s="20"/>
    </row>
    <row r="31" spans="1:9" ht="21" x14ac:dyDescent="0.4">
      <c r="A31" s="32"/>
      <c r="B31" s="32"/>
      <c r="C31" s="41"/>
      <c r="D31" s="30"/>
      <c r="E31" s="7"/>
      <c r="F31" s="50"/>
      <c r="G31" s="38"/>
      <c r="H31" s="26"/>
      <c r="I31" s="20"/>
    </row>
    <row r="32" spans="1:9" ht="21" x14ac:dyDescent="0.4">
      <c r="A32" s="32"/>
      <c r="B32" s="32"/>
      <c r="C32" s="41"/>
      <c r="D32" s="30"/>
      <c r="E32" s="5"/>
      <c r="F32" s="34"/>
      <c r="G32" s="38"/>
      <c r="H32" s="26"/>
      <c r="I32" s="20"/>
    </row>
    <row r="33" spans="1:9" ht="21" x14ac:dyDescent="0.4">
      <c r="A33" s="49"/>
      <c r="B33" s="48"/>
      <c r="C33" s="47" t="s">
        <v>53</v>
      </c>
      <c r="D33" s="46"/>
      <c r="E33" s="45"/>
      <c r="F33" s="26"/>
      <c r="G33" s="38"/>
      <c r="H33" s="44"/>
      <c r="I33" s="20"/>
    </row>
    <row r="34" spans="1:9" ht="21" x14ac:dyDescent="0.4">
      <c r="A34" s="33" t="s">
        <v>52</v>
      </c>
      <c r="B34" s="33" t="s">
        <v>51</v>
      </c>
      <c r="C34" s="31" t="s">
        <v>50</v>
      </c>
      <c r="D34" s="4" t="s">
        <v>49</v>
      </c>
      <c r="E34" s="5">
        <v>1</v>
      </c>
      <c r="F34" s="34" t="s">
        <v>18</v>
      </c>
      <c r="G34" s="40"/>
      <c r="H34" s="26"/>
      <c r="I34" s="20"/>
    </row>
    <row r="35" spans="1:9" ht="21" x14ac:dyDescent="0.4">
      <c r="A35" s="43" t="s">
        <v>48</v>
      </c>
      <c r="B35" s="43" t="s">
        <v>47</v>
      </c>
      <c r="C35" s="42" t="s">
        <v>46</v>
      </c>
      <c r="D35" s="4" t="s">
        <v>45</v>
      </c>
      <c r="E35" s="5">
        <v>1</v>
      </c>
      <c r="F35" s="34" t="s">
        <v>18</v>
      </c>
      <c r="G35" s="40"/>
      <c r="H35" s="26"/>
      <c r="I35" s="20"/>
    </row>
    <row r="36" spans="1:9" ht="21" x14ac:dyDescent="0.4">
      <c r="A36" s="32" t="s">
        <v>44</v>
      </c>
      <c r="B36" s="32" t="s">
        <v>43</v>
      </c>
      <c r="C36" s="41" t="s">
        <v>42</v>
      </c>
      <c r="D36" s="30" t="s">
        <v>41</v>
      </c>
      <c r="E36" s="5">
        <v>60</v>
      </c>
      <c r="F36" s="4" t="s">
        <v>40</v>
      </c>
      <c r="G36" s="40"/>
      <c r="H36" s="26"/>
      <c r="I36" s="20"/>
    </row>
    <row r="37" spans="1:9" ht="21" x14ac:dyDescent="0.4">
      <c r="A37" s="39">
        <v>701096</v>
      </c>
      <c r="B37" s="39" t="s">
        <v>39</v>
      </c>
      <c r="C37" s="23" t="s">
        <v>38</v>
      </c>
      <c r="D37" s="4" t="s">
        <v>37</v>
      </c>
      <c r="E37" s="5">
        <v>1</v>
      </c>
      <c r="F37" s="34" t="s">
        <v>18</v>
      </c>
      <c r="G37" s="38"/>
      <c r="H37" s="26"/>
      <c r="I37" s="20"/>
    </row>
    <row r="38" spans="1:9" ht="21" x14ac:dyDescent="0.4">
      <c r="A38" s="29" t="s">
        <v>36</v>
      </c>
      <c r="B38" s="29" t="s">
        <v>35</v>
      </c>
      <c r="C38" s="28" t="s">
        <v>34</v>
      </c>
      <c r="D38" s="4" t="s">
        <v>27</v>
      </c>
      <c r="E38" s="5">
        <v>1</v>
      </c>
      <c r="F38" s="34" t="s">
        <v>18</v>
      </c>
      <c r="G38" s="38"/>
      <c r="H38" s="26"/>
      <c r="I38" s="20"/>
    </row>
    <row r="39" spans="1:9" ht="21" x14ac:dyDescent="0.4">
      <c r="A39" s="29" t="s">
        <v>33</v>
      </c>
      <c r="B39" s="29" t="s">
        <v>32</v>
      </c>
      <c r="C39" s="28" t="s">
        <v>31</v>
      </c>
      <c r="D39" s="4" t="s">
        <v>27</v>
      </c>
      <c r="E39" s="5">
        <v>1</v>
      </c>
      <c r="F39" s="34" t="s">
        <v>18</v>
      </c>
      <c r="G39" s="37"/>
      <c r="H39" s="26"/>
      <c r="I39" s="20"/>
    </row>
    <row r="40" spans="1:9" ht="21" x14ac:dyDescent="0.4">
      <c r="A40" s="29" t="s">
        <v>30</v>
      </c>
      <c r="B40" s="29" t="s">
        <v>29</v>
      </c>
      <c r="C40" s="28" t="s">
        <v>28</v>
      </c>
      <c r="D40" s="4" t="s">
        <v>27</v>
      </c>
      <c r="E40" s="5">
        <v>1</v>
      </c>
      <c r="F40" s="34" t="s">
        <v>18</v>
      </c>
      <c r="G40" s="27"/>
      <c r="H40" s="26"/>
      <c r="I40" s="20"/>
    </row>
    <row r="41" spans="1:9" ht="21" x14ac:dyDescent="0.4">
      <c r="A41" s="36"/>
      <c r="B41" s="36"/>
      <c r="C41" s="35"/>
      <c r="D41" s="4"/>
      <c r="E41" s="34"/>
      <c r="F41" s="34"/>
      <c r="G41" s="27"/>
      <c r="H41" s="26"/>
      <c r="I41" s="20"/>
    </row>
    <row r="42" spans="1:9" ht="21" x14ac:dyDescent="0.4">
      <c r="A42" s="33"/>
      <c r="B42" s="32"/>
      <c r="C42" s="31"/>
      <c r="D42" s="30"/>
      <c r="E42" s="5"/>
      <c r="F42" s="4"/>
      <c r="G42" s="27"/>
      <c r="H42" s="26"/>
      <c r="I42" s="20"/>
    </row>
    <row r="43" spans="1:9" ht="21" x14ac:dyDescent="0.4">
      <c r="A43" s="29"/>
      <c r="B43" s="29"/>
      <c r="C43" s="28"/>
      <c r="D43" s="4"/>
      <c r="E43" s="5"/>
      <c r="F43" s="4"/>
      <c r="G43" s="27"/>
      <c r="H43" s="26"/>
      <c r="I43" s="20"/>
    </row>
    <row r="44" spans="1:9" ht="20.399999999999999" x14ac:dyDescent="0.35">
      <c r="A44" s="25"/>
      <c r="B44" s="24"/>
      <c r="C44" s="23"/>
      <c r="D44" s="21"/>
      <c r="E44" s="21"/>
      <c r="F44" s="22"/>
      <c r="G44" s="21"/>
      <c r="H44" s="21"/>
      <c r="I44" s="20"/>
    </row>
    <row r="45" spans="1:9" ht="21" thickBot="1" x14ac:dyDescent="0.4">
      <c r="A45" s="19"/>
      <c r="B45" s="18"/>
      <c r="C45" s="15"/>
      <c r="D45" s="15"/>
      <c r="E45" s="17"/>
      <c r="F45" s="16"/>
      <c r="G45" s="15"/>
      <c r="H45" s="15"/>
      <c r="I45" s="14"/>
    </row>
    <row r="46" spans="1:9" ht="21.6" thickBot="1" x14ac:dyDescent="0.45">
      <c r="A46" s="13"/>
      <c r="B46" s="12"/>
      <c r="C46" s="9"/>
      <c r="D46" s="1" t="s">
        <v>26</v>
      </c>
      <c r="E46" s="11" t="s">
        <v>25</v>
      </c>
      <c r="F46" s="10"/>
      <c r="G46" s="9"/>
      <c r="H46" s="9"/>
      <c r="I46" s="8"/>
    </row>
    <row r="47" spans="1:9" ht="21" x14ac:dyDescent="0.4">
      <c r="A47" s="145" t="s">
        <v>24</v>
      </c>
      <c r="B47" s="146"/>
      <c r="C47" s="147"/>
      <c r="D47" s="7">
        <v>1420</v>
      </c>
      <c r="E47" s="6" t="s">
        <v>13</v>
      </c>
      <c r="F47" s="148" t="s">
        <v>23</v>
      </c>
      <c r="G47" s="148"/>
      <c r="H47" s="149"/>
      <c r="I47" s="150"/>
    </row>
    <row r="48" spans="1:9" ht="21" x14ac:dyDescent="0.4">
      <c r="A48" s="151" t="s">
        <v>22</v>
      </c>
      <c r="B48" s="152"/>
      <c r="C48" s="153"/>
      <c r="D48" s="4">
        <v>5</v>
      </c>
      <c r="E48" s="4" t="s">
        <v>21</v>
      </c>
      <c r="F48" s="154" t="s">
        <v>20</v>
      </c>
      <c r="G48" s="154"/>
      <c r="H48" s="137"/>
      <c r="I48" s="138"/>
    </row>
    <row r="49" spans="1:9" ht="21" x14ac:dyDescent="0.4">
      <c r="A49" s="151" t="s">
        <v>19</v>
      </c>
      <c r="B49" s="152"/>
      <c r="C49" s="153"/>
      <c r="D49" s="4">
        <v>1</v>
      </c>
      <c r="E49" s="4" t="s">
        <v>18</v>
      </c>
      <c r="F49" s="154" t="s">
        <v>17</v>
      </c>
      <c r="G49" s="154"/>
      <c r="H49" s="137"/>
      <c r="I49" s="138"/>
    </row>
    <row r="50" spans="1:9" ht="21" x14ac:dyDescent="0.4">
      <c r="A50" s="151" t="s">
        <v>16</v>
      </c>
      <c r="B50" s="152"/>
      <c r="C50" s="153"/>
      <c r="D50" s="5">
        <v>1420</v>
      </c>
      <c r="E50" s="4" t="s">
        <v>13</v>
      </c>
      <c r="F50" s="155" t="s">
        <v>15</v>
      </c>
      <c r="G50" s="156"/>
      <c r="H50" s="157"/>
      <c r="I50" s="158"/>
    </row>
    <row r="51" spans="1:9" ht="21.6" thickBot="1" x14ac:dyDescent="0.45">
      <c r="A51" s="133" t="s">
        <v>14</v>
      </c>
      <c r="B51" s="134"/>
      <c r="C51" s="135"/>
      <c r="D51" s="3">
        <f>SUM(E10:E30)-D47</f>
        <v>130</v>
      </c>
      <c r="E51" s="2" t="s">
        <v>13</v>
      </c>
      <c r="F51" s="136"/>
      <c r="G51" s="136"/>
      <c r="H51" s="137"/>
      <c r="I51" s="138"/>
    </row>
    <row r="52" spans="1:9" ht="21.6" thickBot="1" x14ac:dyDescent="0.45">
      <c r="A52" s="139" t="s">
        <v>12</v>
      </c>
      <c r="B52" s="140"/>
      <c r="C52" s="140"/>
      <c r="D52" s="140"/>
      <c r="E52" s="140"/>
      <c r="F52" s="140"/>
      <c r="G52" s="140"/>
      <c r="H52" s="140"/>
      <c r="I52" s="141"/>
    </row>
    <row r="53" spans="1:9" ht="21" x14ac:dyDescent="0.4">
      <c r="A53" s="142" t="s">
        <v>11</v>
      </c>
      <c r="B53" s="143"/>
      <c r="C53" s="143"/>
      <c r="D53" s="143"/>
      <c r="E53" s="143"/>
      <c r="F53" s="143"/>
      <c r="G53" s="143"/>
      <c r="H53" s="143"/>
      <c r="I53" s="144"/>
    </row>
    <row r="54" spans="1:9" ht="21" x14ac:dyDescent="0.4">
      <c r="A54" s="142" t="s">
        <v>10</v>
      </c>
      <c r="B54" s="143"/>
      <c r="C54" s="143"/>
      <c r="D54" s="143"/>
      <c r="E54" s="143"/>
      <c r="F54" s="143"/>
      <c r="G54" s="143"/>
      <c r="H54" s="143"/>
      <c r="I54" s="144"/>
    </row>
    <row r="55" spans="1:9" ht="45" customHeight="1" x14ac:dyDescent="0.4">
      <c r="A55" s="142" t="s">
        <v>9</v>
      </c>
      <c r="B55" s="143"/>
      <c r="C55" s="143"/>
      <c r="D55" s="143"/>
      <c r="E55" s="143"/>
      <c r="F55" s="143"/>
      <c r="G55" s="143"/>
      <c r="H55" s="143"/>
      <c r="I55" s="144"/>
    </row>
    <row r="56" spans="1:9" ht="45.75" customHeight="1" x14ac:dyDescent="0.4">
      <c r="A56" s="142" t="s">
        <v>8</v>
      </c>
      <c r="B56" s="143"/>
      <c r="C56" s="143"/>
      <c r="D56" s="143"/>
      <c r="E56" s="143"/>
      <c r="F56" s="143"/>
      <c r="G56" s="143"/>
      <c r="H56" s="143"/>
      <c r="I56" s="144"/>
    </row>
    <row r="57" spans="1:9" ht="21" x14ac:dyDescent="0.4">
      <c r="A57" s="142" t="s">
        <v>7</v>
      </c>
      <c r="B57" s="143"/>
      <c r="C57" s="143"/>
      <c r="D57" s="143"/>
      <c r="E57" s="143"/>
      <c r="F57" s="143"/>
      <c r="G57" s="143"/>
      <c r="H57" s="143"/>
      <c r="I57" s="144"/>
    </row>
    <row r="58" spans="1:9" ht="21" x14ac:dyDescent="0.4">
      <c r="A58" s="142" t="s">
        <v>6</v>
      </c>
      <c r="B58" s="143"/>
      <c r="C58" s="143"/>
      <c r="D58" s="143"/>
      <c r="E58" s="143"/>
      <c r="F58" s="143"/>
      <c r="G58" s="143"/>
      <c r="H58" s="143"/>
      <c r="I58" s="144"/>
    </row>
    <row r="59" spans="1:9" ht="21" x14ac:dyDescent="0.4">
      <c r="A59" s="142" t="s">
        <v>5</v>
      </c>
      <c r="B59" s="143"/>
      <c r="C59" s="143"/>
      <c r="D59" s="143"/>
      <c r="E59" s="143"/>
      <c r="F59" s="143"/>
      <c r="G59" s="143"/>
      <c r="H59" s="143"/>
      <c r="I59" s="144"/>
    </row>
    <row r="60" spans="1:9" ht="21" x14ac:dyDescent="0.4">
      <c r="A60" s="142" t="s">
        <v>4</v>
      </c>
      <c r="B60" s="143"/>
      <c r="C60" s="143"/>
      <c r="D60" s="143"/>
      <c r="E60" s="143"/>
      <c r="F60" s="143"/>
      <c r="G60" s="143"/>
      <c r="H60" s="143"/>
      <c r="I60" s="144"/>
    </row>
    <row r="61" spans="1:9" ht="21.6" thickBot="1" x14ac:dyDescent="0.45">
      <c r="A61" s="159"/>
      <c r="B61" s="160"/>
      <c r="C61" s="160"/>
      <c r="D61" s="160"/>
      <c r="E61" s="160"/>
      <c r="F61" s="160"/>
      <c r="G61" s="160"/>
      <c r="H61" s="160"/>
      <c r="I61" s="161"/>
    </row>
    <row r="62" spans="1:9" ht="21" x14ac:dyDescent="0.4">
      <c r="A62" s="162" t="s">
        <v>3</v>
      </c>
      <c r="B62" s="163"/>
      <c r="C62" s="163"/>
      <c r="D62" s="163"/>
      <c r="E62" s="163"/>
      <c r="F62" s="163"/>
      <c r="G62" s="163"/>
      <c r="H62" s="163"/>
      <c r="I62" s="163"/>
    </row>
    <row r="63" spans="1:9" ht="20.399999999999999" x14ac:dyDescent="0.35">
      <c r="A63" s="107" t="s">
        <v>2</v>
      </c>
      <c r="B63" s="107"/>
      <c r="C63" s="107"/>
      <c r="D63" s="107"/>
      <c r="E63" s="107"/>
      <c r="F63" s="107"/>
      <c r="G63" s="107"/>
      <c r="H63" s="107"/>
      <c r="I63" s="107"/>
    </row>
    <row r="64" spans="1:9" ht="20.399999999999999" x14ac:dyDescent="0.35">
      <c r="A64" s="107" t="s">
        <v>1</v>
      </c>
      <c r="B64" s="107"/>
      <c r="C64" s="107"/>
      <c r="D64" s="107"/>
      <c r="E64" s="107"/>
      <c r="F64" s="107"/>
      <c r="G64" s="107"/>
      <c r="H64" s="107"/>
      <c r="I64" s="107"/>
    </row>
    <row r="65" spans="1:9" ht="20.399999999999999" x14ac:dyDescent="0.35">
      <c r="A65" s="107" t="s">
        <v>0</v>
      </c>
      <c r="B65" s="107"/>
      <c r="C65" s="107"/>
      <c r="D65" s="107"/>
      <c r="E65" s="107"/>
      <c r="F65" s="107"/>
      <c r="G65" s="107"/>
      <c r="H65" s="107"/>
      <c r="I65" s="107"/>
    </row>
  </sheetData>
  <mergeCells count="46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47:C47"/>
    <mergeCell ref="F47:G47"/>
    <mergeCell ref="H47:I47"/>
    <mergeCell ref="A48:C48"/>
    <mergeCell ref="F48:G48"/>
    <mergeCell ref="H48:I48"/>
    <mergeCell ref="A65:I65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A51:C51"/>
    <mergeCell ref="F51:G51"/>
    <mergeCell ref="H51:I51"/>
    <mergeCell ref="A52:I52"/>
    <mergeCell ref="A53:I53"/>
    <mergeCell ref="E7:F7"/>
    <mergeCell ref="D6:F6"/>
    <mergeCell ref="G6:H6"/>
    <mergeCell ref="A7:A8"/>
    <mergeCell ref="B7:B8"/>
    <mergeCell ref="C7:C8"/>
    <mergeCell ref="D7:D8"/>
    <mergeCell ref="G7:H7"/>
  </mergeCells>
  <pageMargins left="0.25" right="0.25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F2559B-120A-4C54-99E8-38E560807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8024E0-BF42-4247-AAB4-30230E117F5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D6F2361-55C4-456B-9BD6-A9F34C3125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Valery Cerdas</cp:lastModifiedBy>
  <cp:lastPrinted>2026-03-31T22:25:21Z</cp:lastPrinted>
  <dcterms:created xsi:type="dcterms:W3CDTF">2026-03-31T22:16:09Z</dcterms:created>
  <dcterms:modified xsi:type="dcterms:W3CDTF">2026-05-12T16:00:46Z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
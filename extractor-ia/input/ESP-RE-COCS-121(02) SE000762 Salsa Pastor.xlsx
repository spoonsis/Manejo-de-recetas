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FFCD24D8-22E7-4AB2-9BA4-784D553C268D}" xr6:coauthVersionLast="47" xr6:coauthVersionMax="47" xr10:uidLastSave="{D5F2B590-BA96-4550-84CE-45FF922A14E2}"/>
  <bookViews>
    <workbookView xWindow="-120" yWindow="-120" windowWidth="20730" windowHeight="11040" xr2:uid="{1E71F891-EA52-4379-843F-2C897A24FD79}"/>
  </bookViews>
  <sheets>
    <sheet name="Salsa Pastor" sheetId="1" r:id="rId1"/>
  </sheets>
  <definedNames>
    <definedName name="_xlnm.Print_Area" localSheetId="0">'Salsa Pastor'!$A$1:$I$48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2" i="1"/>
</calcChain>
</file>

<file path=xl/sharedStrings.xml><?xml version="1.0" encoding="utf-8"?>
<sst xmlns="http://schemas.openxmlformats.org/spreadsheetml/2006/main" count="98" uniqueCount="75">
  <si>
    <t>Detalle del Cambio</t>
  </si>
  <si>
    <t># Revisión</t>
  </si>
  <si>
    <t>CONTROL DE CAMBIOS</t>
  </si>
  <si>
    <t>4.- Pasar a enfriamiento.</t>
  </si>
  <si>
    <t>3.- Lllevar a hervor y espesar con el amidon disuelto en agua.</t>
  </si>
  <si>
    <t>2.- Luego agregar el tomate y saltear. Despues agregar el jugo de naranja,agua,  sal, comino, nuez moscada, clavo de olor y demiglace.</t>
  </si>
  <si>
    <t>1.- En una olla colocar la lactocrema, la cebolla, ajo y achiote y cocer.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</si>
  <si>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</si>
  <si>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</si>
  <si>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</si>
  <si>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</si>
  <si>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</si>
  <si>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</si>
  <si>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Minutos</t>
  </si>
  <si>
    <t>TIEMPO TOTAL DE PREPARACION</t>
  </si>
  <si>
    <t>PESO TOTAL OBTENIDO</t>
  </si>
  <si>
    <t>u</t>
  </si>
  <si>
    <t xml:space="preserve">OTROS DATOS </t>
  </si>
  <si>
    <t>Unidad</t>
  </si>
  <si>
    <t>Cantidad</t>
  </si>
  <si>
    <t>FAS</t>
  </si>
  <si>
    <t>Empaque Almidon Modificado</t>
  </si>
  <si>
    <t>SE00014</t>
  </si>
  <si>
    <t>AGUA POTABLE (PLANTA)</t>
  </si>
  <si>
    <t>0.5</t>
  </si>
  <si>
    <t>Clavo de Olor Molido</t>
  </si>
  <si>
    <t>MP10600</t>
  </si>
  <si>
    <t>Knorr</t>
  </si>
  <si>
    <t>Salsa Demiglace Gourmet</t>
  </si>
  <si>
    <t>MP10716</t>
  </si>
  <si>
    <t>Badia</t>
  </si>
  <si>
    <t>Condimento Comino</t>
  </si>
  <si>
    <t>MP10158</t>
  </si>
  <si>
    <t>Nuez Moscada Molida</t>
  </si>
  <si>
    <t>MP10013</t>
  </si>
  <si>
    <t>EMPAQUE SAL KILO</t>
  </si>
  <si>
    <t>SE00104</t>
  </si>
  <si>
    <t>Jugo de Naranja TB</t>
  </si>
  <si>
    <t>MP10598</t>
  </si>
  <si>
    <t>Mayca</t>
  </si>
  <si>
    <t>Tomate Pelado Entero</t>
  </si>
  <si>
    <t>MP10376</t>
  </si>
  <si>
    <t>Achiote</t>
  </si>
  <si>
    <t>MP10058</t>
  </si>
  <si>
    <t>Ajo Pelado</t>
  </si>
  <si>
    <t>MP10021</t>
  </si>
  <si>
    <t>Presto</t>
  </si>
  <si>
    <t>CEBOLLA PICADA (PAQ = 1 KILO )</t>
  </si>
  <si>
    <t>MP10020</t>
  </si>
  <si>
    <t>Dos pinos</t>
  </si>
  <si>
    <t>Lactocrema Granel</t>
  </si>
  <si>
    <t>MP10022</t>
  </si>
  <si>
    <t xml:space="preserve">Unidad medida </t>
  </si>
  <si>
    <t>OBSERVACIONES GENERALES</t>
  </si>
  <si>
    <t>Unidad de Medida</t>
  </si>
  <si>
    <t>ALERGENO</t>
  </si>
  <si>
    <t xml:space="preserve">Marca </t>
  </si>
  <si>
    <t>Descripción del ingrediente</t>
  </si>
  <si>
    <t># Código Netsuite</t>
  </si>
  <si>
    <t>Empaque</t>
  </si>
  <si>
    <t xml:space="preserve">AREA QUE EMPACA: </t>
  </si>
  <si>
    <t xml:space="preserve">Cocina </t>
  </si>
  <si>
    <t>AREA QUE PRODUCE:</t>
  </si>
  <si>
    <t>Aprobado</t>
  </si>
  <si>
    <t>Juan Pablo Brenes, Chef</t>
  </si>
  <si>
    <t>Elaborado</t>
  </si>
  <si>
    <t>FECHA DE APROBACIÓN:</t>
  </si>
  <si>
    <t>SE000762 Salsa Pastor</t>
  </si>
  <si>
    <t>REVISIÓN:</t>
  </si>
  <si>
    <t>ESPECIFICACION DE RECETA</t>
  </si>
  <si>
    <t>CÓDIGO:</t>
  </si>
  <si>
    <t>SERVICIOS DE PASTELERIA S.A.</t>
  </si>
  <si>
    <t>ESP-RE-COCS-121</t>
  </si>
  <si>
    <t>Se baja el achiote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</si>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</sst>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Century Gothic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rgb="FF0070C0"/>
      <name val="Arial"/>
      <family val="2"/>
    </font>
    <font>
      <b/>
      <sz val="16"/>
      <color rgb="FF0070C0"/>
      <name val="Arial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i/>
      <sz val="20"/>
      <name val="Century Gothic"/>
      <family val="2"/>
    </font>
    <font>
      <b/>
      <sz val="14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</cellStyleXfs>
  <cellXfs count="129">
    <xf numFmtId="0" fontId="0" fillId="0" borderId="0" xfId="0"/>
    <xf numFmtId="0" fontId="1" fillId="0" borderId="0" xfId="0" applyFont="1"/>
    <xf numFmtId="0" fontId="3" fillId="0" borderId="0" xfId="1" applyFont="1"/>
    <xf numFmtId="0" fontId="6" fillId="2" borderId="4" xfId="2" applyFont="1" applyFill="1" applyBorder="1" applyAlignment="1">
      <alignment horizontal="center"/>
    </xf>
    <xf numFmtId="0" fontId="5" fillId="2" borderId="4" xfId="2" applyFont="1" applyFill="1" applyBorder="1"/>
    <xf numFmtId="0" fontId="2" fillId="0" borderId="0" xfId="1"/>
    <xf numFmtId="0" fontId="7" fillId="4" borderId="0" xfId="1" applyFont="1" applyFill="1"/>
    <xf numFmtId="0" fontId="7" fillId="4" borderId="0" xfId="1" applyFont="1" applyFill="1" applyAlignment="1">
      <alignment horizontal="left" indent="1"/>
    </xf>
    <xf numFmtId="164" fontId="6" fillId="0" borderId="0" xfId="1" applyNumberFormat="1" applyFont="1" applyAlignment="1">
      <alignment horizontal="center"/>
    </xf>
    <xf numFmtId="0" fontId="8" fillId="0" borderId="0" xfId="0" applyFont="1"/>
    <xf numFmtId="0" fontId="6" fillId="0" borderId="0" xfId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6" xfId="0" applyFont="1" applyBorder="1" applyAlignment="1">
      <alignment horizontal="right"/>
    </xf>
    <xf numFmtId="0" fontId="6" fillId="0" borderId="7" xfId="1" applyFont="1" applyBorder="1" applyAlignment="1">
      <alignment horizontal="center"/>
    </xf>
    <xf numFmtId="1" fontId="5" fillId="0" borderId="8" xfId="0" applyNumberFormat="1" applyFont="1" applyBorder="1" applyAlignment="1">
      <alignment horizontal="right"/>
    </xf>
    <xf numFmtId="9" fontId="7" fillId="4" borderId="0" xfId="3" applyFont="1" applyFill="1"/>
    <xf numFmtId="0" fontId="6" fillId="0" borderId="23" xfId="1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1" fontId="5" fillId="3" borderId="25" xfId="1" applyNumberFormat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/>
    </xf>
    <xf numFmtId="0" fontId="6" fillId="3" borderId="26" xfId="1" applyFont="1" applyFill="1" applyBorder="1"/>
    <xf numFmtId="0" fontId="6" fillId="3" borderId="27" xfId="1" applyFont="1" applyFill="1" applyBorder="1" applyAlignment="1">
      <alignment horizontal="center"/>
    </xf>
    <xf numFmtId="0" fontId="6" fillId="4" borderId="28" xfId="1" applyFont="1" applyFill="1" applyBorder="1" applyAlignment="1">
      <alignment horizontal="center"/>
    </xf>
    <xf numFmtId="0" fontId="6" fillId="4" borderId="0" xfId="1" applyFont="1" applyFill="1"/>
    <xf numFmtId="164" fontId="6" fillId="4" borderId="0" xfId="1" applyNumberFormat="1" applyFont="1" applyFill="1" applyAlignment="1">
      <alignment horizontal="center" wrapText="1"/>
    </xf>
    <xf numFmtId="1" fontId="6" fillId="4" borderId="0" xfId="1" applyNumberFormat="1" applyFont="1" applyFill="1" applyAlignment="1">
      <alignment horizontal="center"/>
    </xf>
    <xf numFmtId="49" fontId="9" fillId="4" borderId="0" xfId="1" applyNumberFormat="1" applyFont="1" applyFill="1" applyAlignment="1">
      <alignment horizontal="center" vertical="center"/>
    </xf>
    <xf numFmtId="12" fontId="10" fillId="0" borderId="29" xfId="1" applyNumberFormat="1" applyFont="1" applyBorder="1" applyAlignment="1">
      <alignment horizontal="left"/>
    </xf>
    <xf numFmtId="12" fontId="10" fillId="0" borderId="2" xfId="1" applyNumberFormat="1" applyFont="1" applyBorder="1" applyAlignment="1">
      <alignment horizontal="left"/>
    </xf>
    <xf numFmtId="12" fontId="10" fillId="0" borderId="3" xfId="1" applyNumberFormat="1" applyFont="1" applyBorder="1" applyAlignment="1">
      <alignment horizontal="left"/>
    </xf>
    <xf numFmtId="1" fontId="6" fillId="0" borderId="8" xfId="1" applyNumberFormat="1" applyFont="1" applyBorder="1" applyAlignment="1">
      <alignment horizontal="center" wrapText="1"/>
    </xf>
    <xf numFmtId="0" fontId="6" fillId="0" borderId="8" xfId="1" applyFont="1" applyBorder="1" applyAlignment="1">
      <alignment horizontal="center"/>
    </xf>
    <xf numFmtId="49" fontId="6" fillId="0" borderId="4" xfId="1" applyNumberFormat="1" applyFont="1" applyBorder="1"/>
    <xf numFmtId="49" fontId="6" fillId="0" borderId="4" xfId="1" applyNumberFormat="1" applyFont="1" applyBorder="1" applyAlignment="1">
      <alignment horizontal="center"/>
    </xf>
    <xf numFmtId="1" fontId="6" fillId="0" borderId="4" xfId="1" applyNumberFormat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1" fontId="6" fillId="0" borderId="4" xfId="1" applyNumberFormat="1" applyFont="1" applyBorder="1" applyAlignment="1">
      <alignment horizontal="center"/>
    </xf>
    <xf numFmtId="0" fontId="8" fillId="2" borderId="4" xfId="0" applyFont="1" applyFill="1" applyBorder="1"/>
    <xf numFmtId="0" fontId="8" fillId="0" borderId="4" xfId="0" applyFont="1" applyBorder="1" applyAlignment="1">
      <alignment horizontal="center"/>
    </xf>
    <xf numFmtId="16" fontId="6" fillId="0" borderId="4" xfId="4" applyNumberFormat="1" applyFont="1" applyBorder="1" applyAlignment="1">
      <alignment horizontal="center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65" fontId="6" fillId="0" borderId="4" xfId="1" applyNumberFormat="1" applyFont="1" applyBorder="1" applyAlignment="1">
      <alignment horizontal="center"/>
    </xf>
    <xf numFmtId="0" fontId="8" fillId="0" borderId="4" xfId="0" applyFont="1" applyBorder="1"/>
    <xf numFmtId="1" fontId="0" fillId="0" borderId="0" xfId="0" applyNumberFormat="1"/>
    <xf numFmtId="0" fontId="6" fillId="5" borderId="4" xfId="0" applyFont="1" applyFill="1" applyBorder="1"/>
    <xf numFmtId="0" fontId="6" fillId="5" borderId="4" xfId="0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5" fillId="0" borderId="4" xfId="1" applyNumberFormat="1" applyFont="1" applyBorder="1" applyAlignment="1">
      <alignment horizontal="center" wrapText="1"/>
    </xf>
    <xf numFmtId="1" fontId="5" fillId="0" borderId="4" xfId="1" applyNumberFormat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14" fontId="13" fillId="4" borderId="0" xfId="5" applyNumberFormat="1" applyFont="1" applyFill="1" applyAlignment="1">
      <alignment horizontal="center" vertical="center" wrapText="1"/>
    </xf>
    <xf numFmtId="0" fontId="14" fillId="4" borderId="0" xfId="5" applyFont="1" applyFill="1"/>
    <xf numFmtId="0" fontId="13" fillId="4" borderId="0" xfId="5" applyFont="1" applyFill="1" applyAlignment="1">
      <alignment horizontal="center"/>
    </xf>
    <xf numFmtId="0" fontId="14" fillId="4" borderId="0" xfId="5" applyFont="1" applyFill="1" applyAlignment="1">
      <alignment horizontal="right"/>
    </xf>
    <xf numFmtId="14" fontId="7" fillId="4" borderId="0" xfId="2" applyNumberFormat="1" applyFont="1" applyFill="1" applyAlignment="1">
      <alignment horizontal="center" vertical="center" wrapText="1"/>
    </xf>
    <xf numFmtId="0" fontId="12" fillId="4" borderId="0" xfId="2" applyFont="1" applyFill="1" applyAlignment="1">
      <alignment horizontal="right" vertical="top" wrapText="1"/>
    </xf>
    <xf numFmtId="0" fontId="7" fillId="4" borderId="0" xfId="2" applyFont="1" applyFill="1" applyAlignment="1">
      <alignment horizontal="left"/>
    </xf>
    <xf numFmtId="0" fontId="7" fillId="4" borderId="0" xfId="2" applyFont="1" applyFill="1" applyAlignment="1">
      <alignment horizontal="right"/>
    </xf>
    <xf numFmtId="0" fontId="7" fillId="4" borderId="0" xfId="2" applyFont="1" applyFill="1" applyAlignment="1">
      <alignment horizontal="center"/>
    </xf>
    <xf numFmtId="0" fontId="12" fillId="4" borderId="8" xfId="2" applyFont="1" applyFill="1" applyBorder="1" applyAlignment="1">
      <alignment horizontal="right"/>
    </xf>
    <xf numFmtId="0" fontId="12" fillId="4" borderId="4" xfId="2" applyFont="1" applyFill="1" applyBorder="1" applyAlignment="1">
      <alignment horizontal="center" vertical="top" wrapText="1"/>
    </xf>
    <xf numFmtId="49" fontId="7" fillId="4" borderId="23" xfId="2" applyNumberFormat="1" applyFont="1" applyFill="1" applyBorder="1" applyAlignment="1">
      <alignment horizontal="center"/>
    </xf>
    <xf numFmtId="0" fontId="12" fillId="4" borderId="4" xfId="2" applyFont="1" applyFill="1" applyBorder="1" applyAlignment="1">
      <alignment horizontal="center"/>
    </xf>
    <xf numFmtId="0" fontId="7" fillId="4" borderId="25" xfId="2" applyFont="1" applyFill="1" applyBorder="1" applyAlignment="1">
      <alignment horizontal="center"/>
    </xf>
    <xf numFmtId="0" fontId="12" fillId="4" borderId="26" xfId="2" applyFont="1" applyFill="1" applyBorder="1" applyAlignment="1">
      <alignment horizontal="center"/>
    </xf>
    <xf numFmtId="14" fontId="12" fillId="4" borderId="23" xfId="2" applyNumberFormat="1" applyFont="1" applyFill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center"/>
    </xf>
    <xf numFmtId="0" fontId="12" fillId="4" borderId="8" xfId="2" applyFont="1" applyFill="1" applyBorder="1" applyAlignment="1">
      <alignment horizontal="center"/>
    </xf>
    <xf numFmtId="0" fontId="7" fillId="4" borderId="7" xfId="2" applyFont="1" applyFill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4" borderId="38" xfId="5" applyFont="1" applyFill="1" applyBorder="1" applyAlignment="1">
      <alignment horizontal="center"/>
    </xf>
    <xf numFmtId="0" fontId="14" fillId="4" borderId="0" xfId="5" applyFont="1" applyFill="1" applyAlignment="1">
      <alignment horizontal="center"/>
    </xf>
    <xf numFmtId="0" fontId="12" fillId="6" borderId="37" xfId="1" applyFont="1" applyFill="1" applyBorder="1" applyAlignment="1">
      <alignment horizontal="center" vertical="center"/>
    </xf>
    <xf numFmtId="0" fontId="12" fillId="6" borderId="33" xfId="1" applyFont="1" applyFill="1" applyBorder="1" applyAlignment="1">
      <alignment horizontal="center" vertical="center"/>
    </xf>
    <xf numFmtId="0" fontId="12" fillId="3" borderId="36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1" fontId="11" fillId="0" borderId="3" xfId="1" applyNumberFormat="1" applyFont="1" applyBorder="1" applyAlignment="1">
      <alignment horizontal="center"/>
    </xf>
    <xf numFmtId="1" fontId="11" fillId="0" borderId="2" xfId="1" applyNumberFormat="1" applyFont="1" applyBorder="1" applyAlignment="1">
      <alignment horizontal="center"/>
    </xf>
    <xf numFmtId="1" fontId="11" fillId="0" borderId="29" xfId="1" applyNumberFormat="1" applyFont="1" applyBorder="1" applyAlignment="1">
      <alignment horizontal="center"/>
    </xf>
    <xf numFmtId="12" fontId="10" fillId="0" borderId="3" xfId="1" applyNumberFormat="1" applyFont="1" applyBorder="1" applyAlignment="1">
      <alignment horizontal="left"/>
    </xf>
    <xf numFmtId="12" fontId="10" fillId="0" borderId="2" xfId="1" applyNumberFormat="1" applyFont="1" applyBorder="1" applyAlignment="1">
      <alignment horizontal="left"/>
    </xf>
    <xf numFmtId="12" fontId="10" fillId="0" borderId="29" xfId="1" applyNumberFormat="1" applyFont="1" applyBorder="1" applyAlignment="1">
      <alignment horizontal="left"/>
    </xf>
    <xf numFmtId="0" fontId="5" fillId="2" borderId="3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3" borderId="15" xfId="1" applyFont="1" applyFill="1" applyBorder="1" applyAlignment="1">
      <alignment horizontal="center"/>
    </xf>
    <xf numFmtId="0" fontId="5" fillId="3" borderId="14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/>
    </xf>
    <xf numFmtId="164" fontId="6" fillId="0" borderId="22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21" xfId="1" applyNumberFormat="1" applyFont="1" applyBorder="1" applyAlignment="1">
      <alignment horizontal="center"/>
    </xf>
    <xf numFmtId="164" fontId="6" fillId="0" borderId="19" xfId="1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center"/>
    </xf>
    <xf numFmtId="164" fontId="6" fillId="0" borderId="17" xfId="1" applyNumberFormat="1" applyFont="1" applyBorder="1" applyAlignment="1">
      <alignment horizontal="center"/>
    </xf>
    <xf numFmtId="0" fontId="5" fillId="0" borderId="24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12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5" fillId="3" borderId="6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12" fillId="3" borderId="26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7" fillId="4" borderId="27" xfId="2" applyFont="1" applyFill="1" applyBorder="1" applyAlignment="1">
      <alignment horizontal="center"/>
    </xf>
    <xf numFmtId="0" fontId="7" fillId="4" borderId="24" xfId="2" applyFont="1" applyFill="1" applyBorder="1" applyAlignment="1">
      <alignment horizontal="center"/>
    </xf>
    <xf numFmtId="0" fontId="7" fillId="4" borderId="20" xfId="2" applyFont="1" applyFill="1" applyBorder="1" applyAlignment="1">
      <alignment horizontal="center"/>
    </xf>
    <xf numFmtId="0" fontId="17" fillId="4" borderId="26" xfId="2" applyFont="1" applyFill="1" applyBorder="1" applyAlignment="1">
      <alignment horizontal="center" vertical="center" wrapText="1"/>
    </xf>
    <xf numFmtId="0" fontId="17" fillId="4" borderId="4" xfId="2" applyFont="1" applyFill="1" applyBorder="1" applyAlignment="1">
      <alignment horizontal="center" vertical="center" wrapText="1"/>
    </xf>
    <xf numFmtId="0" fontId="16" fillId="4" borderId="4" xfId="2" applyFont="1" applyFill="1" applyBorder="1" applyAlignment="1">
      <alignment horizontal="center" vertical="center" wrapText="1"/>
    </xf>
    <xf numFmtId="164" fontId="5" fillId="3" borderId="15" xfId="1" applyNumberFormat="1" applyFont="1" applyFill="1" applyBorder="1" applyAlignment="1">
      <alignment horizontal="center" wrapText="1"/>
    </xf>
    <xf numFmtId="164" fontId="5" fillId="3" borderId="14" xfId="1" applyNumberFormat="1" applyFont="1" applyFill="1" applyBorder="1" applyAlignment="1">
      <alignment horizontal="center" wrapText="1"/>
    </xf>
    <xf numFmtId="164" fontId="5" fillId="3" borderId="13" xfId="1" applyNumberFormat="1" applyFont="1" applyFill="1" applyBorder="1" applyAlignment="1">
      <alignment horizontal="center" wrapText="1"/>
    </xf>
    <xf numFmtId="0" fontId="12" fillId="3" borderId="27" xfId="1" applyFont="1" applyFill="1" applyBorder="1" applyAlignment="1">
      <alignment horizontal="center" vertical="center" wrapText="1"/>
    </xf>
    <xf numFmtId="0" fontId="12" fillId="3" borderId="35" xfId="1" applyFont="1" applyFill="1" applyBorder="1" applyAlignment="1">
      <alignment horizontal="center" vertical="center" wrapText="1"/>
    </xf>
    <xf numFmtId="0" fontId="12" fillId="3" borderId="34" xfId="1" applyFont="1" applyFill="1" applyBorder="1" applyAlignment="1">
      <alignment horizontal="center" vertical="center"/>
    </xf>
  </cellXfs>
  <cellStyles count="6">
    <cellStyle name="Normal" xfId="0" builtinId="0"/>
    <cellStyle name="Normal 2" xfId="1" xr:uid="{DB476D0A-E1CB-444F-A751-EB42DCC6ED2F}"/>
    <cellStyle name="Normal 3 2" xfId="4" xr:uid="{337913E3-A2BD-4339-B502-AD126A0AF1AB}"/>
    <cellStyle name="Normal_CRITERIOS DE EVALUACION PT DE GB" xfId="2" xr:uid="{48023C9F-C15B-4C3D-B683-F89B155D309D}"/>
    <cellStyle name="Normal_CRITERIOS DE EVALUACION PT DE GB 2" xfId="5" xr:uid="{889DCEF2-DF68-4711-A5FB-A538F1979C93}"/>
    <cellStyle name="Porcentaje 2 2" xfId="3" xr:uid="{2E07260F-F888-47CF-A621-C6770B069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36807</xdr:colOff>
      <xdr:row>0</xdr:row>
      <xdr:rowOff>186964</xdr:rowOff>
    </xdr:from>
    <xdr:ext cx="1464858" cy="670286"/>
    <xdr:pic>
      <xdr:nvPicPr>
        <xdr:cNvPr id="2" name="Imagen 1">
          <a:extLst>
            <a:ext uri="{FF2B5EF4-FFF2-40B4-BE49-F238E27FC236}">
              <a16:creationId xmlns:a16="http://schemas.microsoft.com/office/drawing/2014/main" id="{00D2D39E-5836-4369-9CDB-AD37C3970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07" y="186964"/>
          <a:ext cx="1464858" cy="670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01D6-A591-4BA5-A536-B806C12868BC}">
  <sheetPr>
    <pageSetUpPr fitToPage="1"/>
  </sheetPr>
  <dimension ref="A1:M47"/>
  <sheetViews>
    <sheetView showGridLines="0" tabSelected="1" zoomScale="80" zoomScaleNormal="80" zoomScaleSheetLayoutView="80" workbookViewId="0">
      <selection activeCell="B1" sqref="B1:G1"/>
    </sheetView>
  </sheetViews>
  <sheetFormatPr baseColWidth="10" defaultColWidth="11.42578125" defaultRowHeight="15" x14ac:dyDescent="0.25"/>
  <cols>
    <col min="1" max="1" width="23.42578125" customWidth="1"/>
    <col min="2" max="2" width="50.28515625" customWidth="1"/>
    <col min="3" max="3" width="19.42578125" customWidth="1"/>
    <col min="4" max="4" width="12.28515625" customWidth="1"/>
    <col min="5" max="5" width="15.28515625" customWidth="1"/>
    <col min="6" max="6" width="13.42578125" customWidth="1"/>
    <col min="7" max="7" width="12.28515625" customWidth="1"/>
    <col min="8" max="8" width="14.42578125" customWidth="1"/>
    <col min="9" max="9" width="18.5703125" bestFit="1" customWidth="1"/>
  </cols>
  <sheetData>
    <row r="1" spans="1:11" ht="21" customHeight="1" x14ac:dyDescent="0.25">
      <c r="A1" s="117"/>
      <c r="B1" s="120" t="s">
        <v>71</v>
      </c>
      <c r="C1" s="120"/>
      <c r="D1" s="120"/>
      <c r="E1" s="120"/>
      <c r="F1" s="120"/>
      <c r="G1" s="120"/>
      <c r="H1" s="67" t="s">
        <v>70</v>
      </c>
      <c r="I1" s="66" t="s">
        <v>72</v>
      </c>
    </row>
    <row r="2" spans="1:11" ht="21" customHeight="1" x14ac:dyDescent="0.25">
      <c r="A2" s="118"/>
      <c r="B2" s="121" t="s">
        <v>69</v>
      </c>
      <c r="C2" s="121"/>
      <c r="D2" s="121"/>
      <c r="E2" s="121"/>
      <c r="F2" s="121"/>
      <c r="G2" s="121"/>
      <c r="H2" s="65" t="s">
        <v>68</v>
      </c>
      <c r="I2" s="64" t="s">
        <v>74</v>
      </c>
    </row>
    <row r="3" spans="1:11" ht="29.45" customHeight="1" x14ac:dyDescent="0.25">
      <c r="A3" s="118"/>
      <c r="B3" s="122" t="s">
        <v>67</v>
      </c>
      <c r="C3" s="122"/>
      <c r="D3" s="122"/>
      <c r="E3" s="122"/>
      <c r="F3" s="122"/>
      <c r="G3" s="122"/>
      <c r="H3" s="63" t="s">
        <v>66</v>
      </c>
      <c r="I3" s="68">
        <v>45959</v>
      </c>
    </row>
    <row r="4" spans="1:11" ht="18" customHeight="1" thickBot="1" x14ac:dyDescent="0.3">
      <c r="A4" s="119"/>
      <c r="B4" s="62" t="s">
        <v>65</v>
      </c>
      <c r="C4" s="71" t="s">
        <v>64</v>
      </c>
      <c r="D4" s="71"/>
      <c r="E4" s="72" t="s">
        <v>63</v>
      </c>
      <c r="F4" s="72"/>
      <c r="G4" s="71"/>
      <c r="H4" s="71"/>
      <c r="I4" s="73"/>
    </row>
    <row r="5" spans="1:11" x14ac:dyDescent="0.25">
      <c r="A5" s="61"/>
      <c r="B5" s="60"/>
      <c r="C5" s="59"/>
      <c r="D5" s="59"/>
      <c r="E5" s="59"/>
      <c r="F5" s="59"/>
      <c r="G5" s="59"/>
      <c r="H5" s="58"/>
      <c r="I5" s="57"/>
    </row>
    <row r="6" spans="1:11" ht="18.75" thickBot="1" x14ac:dyDescent="0.3">
      <c r="A6" s="76" t="s">
        <v>62</v>
      </c>
      <c r="B6" s="76"/>
      <c r="C6" s="75" t="s">
        <v>61</v>
      </c>
      <c r="D6" s="75"/>
      <c r="E6" s="76" t="s">
        <v>60</v>
      </c>
      <c r="F6" s="76"/>
      <c r="G6" s="76"/>
      <c r="H6" s="74" t="s">
        <v>59</v>
      </c>
      <c r="I6" s="74"/>
    </row>
    <row r="7" spans="1:11" ht="18.75" thickBot="1" x14ac:dyDescent="0.3">
      <c r="A7" s="56"/>
      <c r="B7" s="56"/>
      <c r="C7" s="55"/>
      <c r="D7" s="55"/>
      <c r="E7" s="55"/>
      <c r="F7" s="55"/>
      <c r="G7" s="54"/>
      <c r="H7" s="54"/>
      <c r="I7" s="53"/>
    </row>
    <row r="8" spans="1:11" x14ac:dyDescent="0.25">
      <c r="A8" s="126" t="s">
        <v>58</v>
      </c>
      <c r="B8" s="115" t="s">
        <v>57</v>
      </c>
      <c r="C8" s="115" t="s">
        <v>56</v>
      </c>
      <c r="D8" s="77" t="s">
        <v>55</v>
      </c>
      <c r="E8" s="115" t="s">
        <v>19</v>
      </c>
      <c r="F8" s="69" t="s">
        <v>54</v>
      </c>
      <c r="G8" s="79" t="s">
        <v>53</v>
      </c>
      <c r="H8" s="80"/>
      <c r="I8" s="81"/>
    </row>
    <row r="9" spans="1:11" ht="15.75" thickBot="1" x14ac:dyDescent="0.3">
      <c r="A9" s="127"/>
      <c r="B9" s="128"/>
      <c r="C9" s="116"/>
      <c r="D9" s="78"/>
      <c r="E9" s="116"/>
      <c r="F9" s="70" t="s">
        <v>52</v>
      </c>
      <c r="G9" s="82"/>
      <c r="H9" s="83"/>
      <c r="I9" s="84"/>
    </row>
    <row r="10" spans="1:11" ht="20.25" x14ac:dyDescent="0.3">
      <c r="A10" s="38" t="s">
        <v>51</v>
      </c>
      <c r="B10" s="45" t="s">
        <v>50</v>
      </c>
      <c r="C10" s="52" t="s">
        <v>49</v>
      </c>
      <c r="D10" s="52"/>
      <c r="E10" s="51">
        <v>100</v>
      </c>
      <c r="F10" s="50" t="s">
        <v>8</v>
      </c>
      <c r="G10" s="85"/>
      <c r="H10" s="86"/>
      <c r="I10" s="87"/>
    </row>
    <row r="11" spans="1:11" ht="20.25" x14ac:dyDescent="0.3">
      <c r="A11" s="43" t="s">
        <v>48</v>
      </c>
      <c r="B11" s="42" t="s">
        <v>47</v>
      </c>
      <c r="C11" s="35" t="s">
        <v>46</v>
      </c>
      <c r="D11" s="35"/>
      <c r="E11" s="49">
        <v>120</v>
      </c>
      <c r="F11" s="34" t="s">
        <v>8</v>
      </c>
      <c r="G11" s="88"/>
      <c r="H11" s="89"/>
      <c r="I11" s="90"/>
    </row>
    <row r="12" spans="1:11" ht="20.25" x14ac:dyDescent="0.3">
      <c r="A12" s="38" t="s">
        <v>45</v>
      </c>
      <c r="B12" s="45" t="s">
        <v>44</v>
      </c>
      <c r="C12" s="35"/>
      <c r="D12" s="35"/>
      <c r="E12" s="49">
        <v>20</v>
      </c>
      <c r="F12" s="34" t="s">
        <v>8</v>
      </c>
      <c r="G12" s="29"/>
      <c r="H12" s="28"/>
      <c r="I12" s="27"/>
    </row>
    <row r="13" spans="1:11" ht="20.25" x14ac:dyDescent="0.3">
      <c r="A13" s="38" t="s">
        <v>43</v>
      </c>
      <c r="B13" s="45" t="s">
        <v>42</v>
      </c>
      <c r="C13" s="35"/>
      <c r="D13" s="35"/>
      <c r="E13" s="49">
        <v>20</v>
      </c>
      <c r="F13" s="34" t="s">
        <v>8</v>
      </c>
      <c r="G13" s="29"/>
      <c r="H13" s="28"/>
      <c r="I13" s="27"/>
    </row>
    <row r="14" spans="1:11" ht="20.25" x14ac:dyDescent="0.3">
      <c r="A14" s="43" t="s">
        <v>41</v>
      </c>
      <c r="B14" s="42" t="s">
        <v>40</v>
      </c>
      <c r="C14" s="35" t="s">
        <v>39</v>
      </c>
      <c r="D14" s="35"/>
      <c r="E14" s="36">
        <v>280</v>
      </c>
      <c r="F14" s="34" t="s">
        <v>8</v>
      </c>
      <c r="G14" s="88"/>
      <c r="H14" s="89"/>
      <c r="I14" s="90"/>
    </row>
    <row r="15" spans="1:11" ht="20.25" x14ac:dyDescent="0.3">
      <c r="A15" s="38" t="s">
        <v>38</v>
      </c>
      <c r="B15" s="45" t="s">
        <v>37</v>
      </c>
      <c r="C15" s="35"/>
      <c r="D15" s="35"/>
      <c r="E15" s="36">
        <v>500</v>
      </c>
      <c r="F15" s="34" t="s">
        <v>8</v>
      </c>
      <c r="G15" s="88"/>
      <c r="H15" s="89"/>
      <c r="I15" s="90"/>
    </row>
    <row r="16" spans="1:11" ht="20.25" x14ac:dyDescent="0.3">
      <c r="A16" s="48" t="s">
        <v>36</v>
      </c>
      <c r="B16" s="47" t="s">
        <v>35</v>
      </c>
      <c r="C16" s="36"/>
      <c r="D16" s="36"/>
      <c r="E16" s="35">
        <v>10</v>
      </c>
      <c r="F16" s="34" t="s">
        <v>8</v>
      </c>
      <c r="G16" s="88"/>
      <c r="H16" s="89"/>
      <c r="I16" s="90"/>
      <c r="K16" s="46"/>
    </row>
    <row r="17" spans="1:13" ht="20.25" x14ac:dyDescent="0.3">
      <c r="A17" s="38" t="s">
        <v>34</v>
      </c>
      <c r="B17" s="45" t="s">
        <v>33</v>
      </c>
      <c r="C17" s="36" t="s">
        <v>20</v>
      </c>
      <c r="D17" s="36"/>
      <c r="E17" s="35" t="s">
        <v>24</v>
      </c>
      <c r="F17" s="34" t="s">
        <v>8</v>
      </c>
      <c r="G17" s="88"/>
      <c r="H17" s="89"/>
      <c r="I17" s="90"/>
    </row>
    <row r="18" spans="1:13" ht="20.25" x14ac:dyDescent="0.3">
      <c r="A18" s="38" t="s">
        <v>32</v>
      </c>
      <c r="B18" s="45" t="s">
        <v>31</v>
      </c>
      <c r="C18" s="36" t="s">
        <v>30</v>
      </c>
      <c r="D18" s="36"/>
      <c r="E18" s="36" t="s">
        <v>24</v>
      </c>
      <c r="F18" s="34" t="s">
        <v>8</v>
      </c>
      <c r="G18" s="88"/>
      <c r="H18" s="89"/>
      <c r="I18" s="90"/>
    </row>
    <row r="19" spans="1:13" ht="20.25" x14ac:dyDescent="0.3">
      <c r="A19" s="38" t="s">
        <v>29</v>
      </c>
      <c r="B19" s="45" t="s">
        <v>28</v>
      </c>
      <c r="C19" s="35" t="s">
        <v>27</v>
      </c>
      <c r="D19" s="35"/>
      <c r="E19" s="44">
        <v>30</v>
      </c>
      <c r="F19" s="34" t="s">
        <v>8</v>
      </c>
      <c r="G19" s="88"/>
      <c r="H19" s="89"/>
      <c r="I19" s="90"/>
    </row>
    <row r="20" spans="1:13" ht="20.25" x14ac:dyDescent="0.3">
      <c r="A20" s="38" t="s">
        <v>26</v>
      </c>
      <c r="B20" s="45" t="s">
        <v>25</v>
      </c>
      <c r="C20" s="35"/>
      <c r="D20" s="35"/>
      <c r="E20" s="44" t="s">
        <v>24</v>
      </c>
      <c r="F20" s="34" t="s">
        <v>8</v>
      </c>
      <c r="G20" s="29"/>
      <c r="H20" s="28"/>
      <c r="I20" s="27"/>
    </row>
    <row r="21" spans="1:13" ht="20.25" x14ac:dyDescent="0.3">
      <c r="A21" s="43">
        <v>10415</v>
      </c>
      <c r="B21" s="42" t="s">
        <v>23</v>
      </c>
      <c r="C21" s="39" t="s">
        <v>20</v>
      </c>
      <c r="D21" s="39"/>
      <c r="E21" s="36">
        <v>100</v>
      </c>
      <c r="F21" s="34" t="s">
        <v>8</v>
      </c>
      <c r="G21" s="88"/>
      <c r="H21" s="89"/>
      <c r="I21" s="90"/>
    </row>
    <row r="22" spans="1:13" ht="20.25" x14ac:dyDescent="0.3">
      <c r="A22" s="43">
        <v>10415</v>
      </c>
      <c r="B22" s="42" t="s">
        <v>23</v>
      </c>
      <c r="C22" s="39" t="s">
        <v>20</v>
      </c>
      <c r="D22" s="39"/>
      <c r="E22" s="36">
        <v>40</v>
      </c>
      <c r="F22" s="34" t="s">
        <v>8</v>
      </c>
      <c r="G22" s="88"/>
      <c r="H22" s="89"/>
      <c r="I22" s="90"/>
    </row>
    <row r="23" spans="1:13" ht="20.25" x14ac:dyDescent="0.3">
      <c r="A23" s="41" t="s">
        <v>22</v>
      </c>
      <c r="B23" s="40" t="s">
        <v>21</v>
      </c>
      <c r="C23" s="39" t="s">
        <v>20</v>
      </c>
      <c r="D23" s="39"/>
      <c r="E23" s="36">
        <v>10</v>
      </c>
      <c r="F23" s="34" t="s">
        <v>8</v>
      </c>
      <c r="G23" s="88"/>
      <c r="H23" s="89"/>
      <c r="I23" s="90"/>
    </row>
    <row r="24" spans="1:13" ht="20.25" x14ac:dyDescent="0.3">
      <c r="A24" s="38"/>
      <c r="B24" s="37"/>
      <c r="C24" s="36"/>
      <c r="D24" s="36"/>
      <c r="E24" s="35"/>
      <c r="F24" s="34"/>
      <c r="G24" s="88"/>
      <c r="H24" s="89"/>
      <c r="I24" s="90"/>
    </row>
    <row r="25" spans="1:13" ht="21" thickBot="1" x14ac:dyDescent="0.35">
      <c r="A25" s="33"/>
      <c r="B25" s="32"/>
      <c r="C25" s="31"/>
      <c r="D25" s="31"/>
      <c r="E25" s="31"/>
      <c r="F25" s="30"/>
      <c r="G25" s="88"/>
      <c r="H25" s="89"/>
      <c r="I25" s="90"/>
    </row>
    <row r="26" spans="1:13" ht="21" thickBot="1" x14ac:dyDescent="0.35">
      <c r="A26" s="26"/>
      <c r="B26" s="23"/>
      <c r="C26" s="23"/>
      <c r="D26" s="23"/>
      <c r="E26" s="25"/>
      <c r="F26" s="24"/>
      <c r="G26" s="23"/>
      <c r="H26" s="23"/>
      <c r="I26" s="22"/>
      <c r="J26" s="5"/>
      <c r="K26" s="5"/>
      <c r="L26" s="7"/>
      <c r="M26" s="5"/>
    </row>
    <row r="27" spans="1:13" ht="21" thickBot="1" x14ac:dyDescent="0.35">
      <c r="A27" s="21"/>
      <c r="B27" s="20"/>
      <c r="C27" s="19" t="s">
        <v>19</v>
      </c>
      <c r="D27" s="18" t="s">
        <v>18</v>
      </c>
      <c r="E27" s="9"/>
      <c r="F27" s="123" t="s">
        <v>17</v>
      </c>
      <c r="G27" s="124"/>
      <c r="H27" s="124"/>
      <c r="I27" s="125"/>
      <c r="J27" s="5"/>
      <c r="K27" s="5"/>
      <c r="L27" s="7" t="s">
        <v>16</v>
      </c>
      <c r="M27" s="5"/>
    </row>
    <row r="28" spans="1:13" ht="20.25" x14ac:dyDescent="0.3">
      <c r="A28" s="103" t="s">
        <v>15</v>
      </c>
      <c r="B28" s="104"/>
      <c r="C28" s="17">
        <v>1200</v>
      </c>
      <c r="D28" s="16" t="s">
        <v>8</v>
      </c>
      <c r="E28" s="9"/>
      <c r="F28" s="97"/>
      <c r="G28" s="98"/>
      <c r="H28" s="98"/>
      <c r="I28" s="99"/>
      <c r="J28" s="5"/>
      <c r="K28" s="5"/>
      <c r="L28" s="7"/>
      <c r="M28" s="5"/>
    </row>
    <row r="29" spans="1:13" ht="20.25" x14ac:dyDescent="0.3">
      <c r="A29" s="103" t="s">
        <v>14</v>
      </c>
      <c r="B29" s="104"/>
      <c r="C29" s="17">
        <v>4</v>
      </c>
      <c r="D29" s="16" t="s">
        <v>13</v>
      </c>
      <c r="E29" s="9"/>
      <c r="F29" s="97"/>
      <c r="G29" s="98"/>
      <c r="H29" s="98"/>
      <c r="I29" s="99"/>
      <c r="J29" s="5"/>
      <c r="K29" s="5"/>
      <c r="L29" s="7"/>
      <c r="M29" s="5"/>
    </row>
    <row r="30" spans="1:13" ht="20.25" x14ac:dyDescent="0.3">
      <c r="A30" s="103" t="s">
        <v>12</v>
      </c>
      <c r="B30" s="104"/>
      <c r="C30" s="17">
        <f>C28/C31</f>
        <v>4</v>
      </c>
      <c r="D30" s="16" t="s">
        <v>11</v>
      </c>
      <c r="E30" s="9"/>
      <c r="F30" s="97"/>
      <c r="G30" s="98"/>
      <c r="H30" s="98"/>
      <c r="I30" s="99"/>
      <c r="J30" s="5"/>
      <c r="K30" s="5"/>
      <c r="L30" s="7"/>
      <c r="M30" s="5"/>
    </row>
    <row r="31" spans="1:13" ht="20.25" x14ac:dyDescent="0.3">
      <c r="A31" s="103" t="s">
        <v>10</v>
      </c>
      <c r="B31" s="104"/>
      <c r="C31" s="17">
        <v>300</v>
      </c>
      <c r="D31" s="16" t="s">
        <v>8</v>
      </c>
      <c r="E31" s="9"/>
      <c r="F31" s="97"/>
      <c r="G31" s="98"/>
      <c r="H31" s="98"/>
      <c r="I31" s="99"/>
      <c r="J31" s="5"/>
      <c r="K31" s="5"/>
      <c r="L31" s="7"/>
      <c r="M31" s="15"/>
    </row>
    <row r="32" spans="1:13" ht="21" thickBot="1" x14ac:dyDescent="0.35">
      <c r="A32" s="105" t="s">
        <v>9</v>
      </c>
      <c r="B32" s="106"/>
      <c r="C32" s="14">
        <f>SUM(E10:E23)-C28</f>
        <v>30</v>
      </c>
      <c r="D32" s="13" t="s">
        <v>8</v>
      </c>
      <c r="E32" s="9"/>
      <c r="F32" s="100"/>
      <c r="G32" s="101"/>
      <c r="H32" s="101"/>
      <c r="I32" s="102"/>
      <c r="J32" s="6"/>
      <c r="K32" s="6"/>
      <c r="L32" s="7"/>
      <c r="M32" s="6"/>
    </row>
    <row r="33" spans="1:13" ht="21" thickBot="1" x14ac:dyDescent="0.35">
      <c r="A33" s="12"/>
      <c r="B33" s="11"/>
      <c r="C33" s="11"/>
      <c r="D33" s="10"/>
      <c r="E33" s="9"/>
      <c r="F33" s="8"/>
      <c r="G33" s="8"/>
      <c r="H33" s="8"/>
      <c r="I33" s="8"/>
      <c r="J33" s="6"/>
      <c r="K33" s="6"/>
      <c r="L33" s="7"/>
      <c r="M33" s="6"/>
    </row>
    <row r="34" spans="1:13" ht="21" thickBot="1" x14ac:dyDescent="0.35">
      <c r="A34" s="94" t="s">
        <v>7</v>
      </c>
      <c r="B34" s="95"/>
      <c r="C34" s="95"/>
      <c r="D34" s="95"/>
      <c r="E34" s="95"/>
      <c r="F34" s="95"/>
      <c r="G34" s="95"/>
      <c r="H34" s="95"/>
      <c r="I34" s="96"/>
      <c r="J34" s="5"/>
      <c r="K34" s="5"/>
      <c r="L34" s="5"/>
      <c r="M34" s="5"/>
    </row>
    <row r="35" spans="1:13" ht="21" thickBot="1" x14ac:dyDescent="0.3">
      <c r="A35" s="107" t="s">
        <v>6</v>
      </c>
      <c r="B35" s="108"/>
      <c r="C35" s="108"/>
      <c r="D35" s="108"/>
      <c r="E35" s="108"/>
      <c r="F35" s="108"/>
      <c r="G35" s="108"/>
      <c r="H35" s="108"/>
      <c r="I35" s="109"/>
      <c r="J35" s="5"/>
      <c r="K35" s="5"/>
      <c r="L35" s="5"/>
      <c r="M35" s="5"/>
    </row>
    <row r="36" spans="1:13" ht="46.5" customHeight="1" thickBot="1" x14ac:dyDescent="0.3">
      <c r="A36" s="107" t="s">
        <v>5</v>
      </c>
      <c r="B36" s="108"/>
      <c r="C36" s="108"/>
      <c r="D36" s="108"/>
      <c r="E36" s="108"/>
      <c r="F36" s="108"/>
      <c r="G36" s="108"/>
      <c r="H36" s="108"/>
      <c r="I36" s="109"/>
      <c r="J36" s="5"/>
      <c r="K36" s="5"/>
      <c r="L36" s="5"/>
      <c r="M36" s="5"/>
    </row>
    <row r="37" spans="1:13" ht="27.6" customHeight="1" thickBot="1" x14ac:dyDescent="0.3">
      <c r="A37" s="107" t="s">
        <v>4</v>
      </c>
      <c r="B37" s="108"/>
      <c r="C37" s="108"/>
      <c r="D37" s="108"/>
      <c r="E37" s="108"/>
      <c r="F37" s="108"/>
      <c r="G37" s="108"/>
      <c r="H37" s="108"/>
      <c r="I37" s="109"/>
      <c r="J37" s="5"/>
      <c r="K37" s="5"/>
      <c r="L37" s="5"/>
      <c r="M37" s="5"/>
    </row>
    <row r="38" spans="1:13" ht="27.6" customHeight="1" thickBot="1" x14ac:dyDescent="0.3">
      <c r="A38" s="107" t="s">
        <v>3</v>
      </c>
      <c r="B38" s="108"/>
      <c r="C38" s="108"/>
      <c r="D38" s="108"/>
      <c r="E38" s="108"/>
      <c r="F38" s="108"/>
      <c r="G38" s="108"/>
      <c r="H38" s="108"/>
      <c r="I38" s="109"/>
      <c r="J38" s="5"/>
      <c r="K38" s="5"/>
      <c r="L38" s="5"/>
      <c r="M38" s="5"/>
    </row>
    <row r="39" spans="1:13" ht="27.6" customHeight="1" x14ac:dyDescent="0.25">
      <c r="A39" s="107"/>
      <c r="B39" s="108"/>
      <c r="C39" s="108"/>
      <c r="D39" s="108"/>
      <c r="E39" s="108"/>
      <c r="F39" s="108"/>
      <c r="G39" s="108"/>
      <c r="H39" s="108"/>
      <c r="I39" s="109"/>
      <c r="J39" s="5"/>
      <c r="K39" s="5"/>
      <c r="L39" s="5"/>
      <c r="M39" s="5"/>
    </row>
    <row r="40" spans="1:13" ht="24" customHeight="1" thickBot="1" x14ac:dyDescent="0.35">
      <c r="A40" s="110"/>
      <c r="B40" s="111"/>
      <c r="C40" s="111"/>
      <c r="D40" s="111"/>
      <c r="E40" s="111"/>
      <c r="F40" s="111"/>
      <c r="G40" s="111"/>
      <c r="H40" s="111"/>
      <c r="I40" s="112"/>
      <c r="J40" s="5"/>
      <c r="K40" s="5"/>
      <c r="L40" s="5"/>
      <c r="M40" s="5"/>
    </row>
    <row r="41" spans="1:13" ht="20.25" x14ac:dyDescent="0.3">
      <c r="A41" s="113" t="s">
        <v>2</v>
      </c>
      <c r="B41" s="113"/>
      <c r="C41" s="113"/>
      <c r="D41" s="113"/>
      <c r="E41" s="113"/>
      <c r="F41" s="113"/>
      <c r="G41" s="113"/>
      <c r="H41" s="113"/>
      <c r="I41" s="114"/>
      <c r="J41" s="5"/>
      <c r="K41" s="5"/>
      <c r="L41" s="5"/>
      <c r="M41" s="5"/>
    </row>
    <row r="42" spans="1:13" s="1" customFormat="1" ht="20.25" x14ac:dyDescent="0.3">
      <c r="A42" s="4" t="s">
        <v>1</v>
      </c>
      <c r="B42" s="91" t="s">
        <v>0</v>
      </c>
      <c r="C42" s="92"/>
      <c r="D42" s="92"/>
      <c r="E42" s="92"/>
      <c r="F42" s="92"/>
      <c r="G42" s="92"/>
      <c r="H42" s="92"/>
      <c r="I42" s="93"/>
      <c r="J42" s="2"/>
      <c r="K42" s="2"/>
      <c r="L42" s="2"/>
      <c r="M42" s="2"/>
    </row>
    <row r="43" spans="1:13" s="1" customFormat="1" ht="20.25" x14ac:dyDescent="0.3">
      <c r="A43" s="3">
        <v>1</v>
      </c>
      <c r="B43" s="91" t="s">
        <v>73</v>
      </c>
      <c r="C43" s="92"/>
      <c r="D43" s="92"/>
      <c r="E43" s="92"/>
      <c r="F43" s="92"/>
      <c r="G43" s="92"/>
      <c r="H43" s="92"/>
      <c r="I43" s="93"/>
      <c r="J43" s="2"/>
      <c r="K43" s="2"/>
      <c r="L43" s="2"/>
      <c r="M43" s="2"/>
    </row>
    <row r="44" spans="1:13" s="1" customFormat="1" ht="20.25" x14ac:dyDescent="0.3">
      <c r="A44" s="3">
        <v>2</v>
      </c>
      <c r="B44" s="91"/>
      <c r="C44" s="92"/>
      <c r="D44" s="92"/>
      <c r="E44" s="92"/>
      <c r="F44" s="92"/>
      <c r="G44" s="92"/>
      <c r="H44" s="92"/>
      <c r="I44" s="93"/>
      <c r="J44" s="2"/>
      <c r="K44" s="2"/>
      <c r="L44" s="2"/>
      <c r="M44" s="2"/>
    </row>
    <row r="45" spans="1:13" s="1" customFormat="1" ht="20.25" x14ac:dyDescent="0.3">
      <c r="A45" s="3">
        <v>3</v>
      </c>
      <c r="B45" s="91"/>
      <c r="C45" s="92"/>
      <c r="D45" s="92"/>
      <c r="E45" s="92"/>
      <c r="F45" s="92"/>
      <c r="G45" s="92"/>
      <c r="H45" s="92"/>
      <c r="I45" s="93"/>
      <c r="J45" s="2"/>
      <c r="K45" s="2"/>
      <c r="L45" s="2"/>
      <c r="M45" s="2"/>
    </row>
    <row r="46" spans="1:13" s="1" customFormat="1" ht="20.25" x14ac:dyDescent="0.3">
      <c r="A46" s="3">
        <v>4</v>
      </c>
      <c r="B46" s="91"/>
      <c r="C46" s="92"/>
      <c r="D46" s="92"/>
      <c r="E46" s="92"/>
      <c r="F46" s="92"/>
      <c r="G46" s="92"/>
      <c r="H46" s="92"/>
      <c r="I46" s="93"/>
      <c r="J46" s="2"/>
      <c r="K46" s="2"/>
      <c r="L46" s="2"/>
      <c r="M46" s="2"/>
    </row>
    <row r="47" spans="1:13" s="1" customFormat="1" ht="20.25" x14ac:dyDescent="0.3">
      <c r="A47" s="3">
        <v>5</v>
      </c>
      <c r="B47" s="91"/>
      <c r="C47" s="92"/>
      <c r="D47" s="92"/>
      <c r="E47" s="92"/>
      <c r="F47" s="92"/>
      <c r="G47" s="92"/>
      <c r="H47" s="92"/>
      <c r="I47" s="93"/>
      <c r="J47" s="2"/>
      <c r="K47" s="2"/>
      <c r="L47" s="2"/>
      <c r="M47" s="2"/>
    </row>
  </sheetData>
  <mergeCells count="52">
    <mergeCell ref="A1:A4"/>
    <mergeCell ref="B1:G1"/>
    <mergeCell ref="B2:G2"/>
    <mergeCell ref="B3:G3"/>
    <mergeCell ref="A28:B28"/>
    <mergeCell ref="F27:I27"/>
    <mergeCell ref="A6:B6"/>
    <mergeCell ref="A8:A9"/>
    <mergeCell ref="B8:B9"/>
    <mergeCell ref="C8:C9"/>
    <mergeCell ref="G17:I17"/>
    <mergeCell ref="G18:I18"/>
    <mergeCell ref="G19:I19"/>
    <mergeCell ref="B47:I47"/>
    <mergeCell ref="A31:B31"/>
    <mergeCell ref="A32:B32"/>
    <mergeCell ref="A35:I35"/>
    <mergeCell ref="A36:I36"/>
    <mergeCell ref="A37:I37"/>
    <mergeCell ref="A38:I38"/>
    <mergeCell ref="A39:I39"/>
    <mergeCell ref="A40:I40"/>
    <mergeCell ref="A41:I41"/>
    <mergeCell ref="B46:I46"/>
    <mergeCell ref="B42:I42"/>
    <mergeCell ref="B43:I43"/>
    <mergeCell ref="B44:I44"/>
    <mergeCell ref="F28:I32"/>
    <mergeCell ref="A29:B29"/>
    <mergeCell ref="A30:B30"/>
    <mergeCell ref="G10:I10"/>
    <mergeCell ref="G11:I11"/>
    <mergeCell ref="G14:I14"/>
    <mergeCell ref="G15:I15"/>
    <mergeCell ref="B45:I45"/>
    <mergeCell ref="G25:I25"/>
    <mergeCell ref="G22:I22"/>
    <mergeCell ref="G23:I23"/>
    <mergeCell ref="G24:I24"/>
    <mergeCell ref="G16:I16"/>
    <mergeCell ref="G21:I21"/>
    <mergeCell ref="A34:I34"/>
    <mergeCell ref="F8:F9"/>
    <mergeCell ref="C4:D4"/>
    <mergeCell ref="E4:F4"/>
    <mergeCell ref="G4:I4"/>
    <mergeCell ref="H6:I6"/>
    <mergeCell ref="C6:D6"/>
    <mergeCell ref="E6:G6"/>
    <mergeCell ref="D8:D9"/>
    <mergeCell ref="G8:I9"/>
    <mergeCell ref="E8:E9"/>
  </mergeCells>
  <pageMargins left="0.25" right="0.25" top="0.75" bottom="0.75" header="0.3" footer="0.3"/>
  <pageSetup scale="56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40AC4-EB9D-4C04-84A7-347267DE1A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74FB5-E44D-40AD-8195-FE06F533E67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2625892-EFC4-431C-B4F7-FD0BC5508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Pastor</vt:lpstr>
      <vt:lpstr>'Salsa Pastor'!Área_de_impresión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2025-12-18T19:05:45Z</cp:lastPrinted>
  <dcterms:created xsi:type="dcterms:W3CDTF">2025-10-29T22:05:28Z</dcterms:created>
  <dcterms:modified xsi:type="dcterms:W3CDTF">2025-12-18T19:07:04Z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